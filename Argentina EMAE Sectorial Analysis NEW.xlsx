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0.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abelle1" sheetId="1" state="visible" r:id="rId3"/>
    <sheet name="Weights &amp; Assumptions" sheetId="2" state="visible" r:id="rId4"/>
    <sheet name="X11 Reference" sheetId="3" state="visible" r:id="rId5"/>
    <sheet name="SF Workings" sheetId="4" state="visible" r:id="rId6"/>
    <sheet name="Seasonal Factors" sheetId="5" state="visible" r:id="rId7"/>
    <sheet name="SA Data" sheetId="6" state="visible" r:id="rId8"/>
    <sheet name="EMAE Analysis" sheetId="7" state="visible" r:id="rId9"/>
    <sheet name="Sub-Index Analysis" sheetId="8" state="visible" r:id="rId10"/>
    <sheet name="Forecast" sheetId="9" state="visible" r:id="rId11"/>
    <sheet name="Dashboard" sheetId="10" state="visible" r:id="rId12"/>
    <sheet name="Methodology" sheetId="11" state="visible" r:id="rId13"/>
  </sheets>
  <definedNames>
    <definedName function="false" hidden="false" name="_DLX1" vbProcedure="false">Tabelle1!$B$2:$Y$7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<sst xmlns="http://schemas.openxmlformats.org/spreadsheetml/2006/main" count="767" uniqueCount="588">
  <si>
    <t xml:space="preserve">EMAE</t>
  </si>
  <si>
    <t xml:space="preserve">Agri.</t>
  </si>
  <si>
    <t xml:space="preserve">Fishing</t>
  </si>
  <si>
    <t xml:space="preserve">Mining</t>
  </si>
  <si>
    <t xml:space="preserve">Mfg.</t>
  </si>
  <si>
    <t xml:space="preserve">Utilities</t>
  </si>
  <si>
    <t xml:space="preserve">Const.</t>
  </si>
  <si>
    <t xml:space="preserve">Trade</t>
  </si>
  <si>
    <t xml:space="preserve">Hotels</t>
  </si>
  <si>
    <t xml:space="preserve">Transport</t>
  </si>
  <si>
    <t xml:space="preserve">Finance</t>
  </si>
  <si>
    <t xml:space="preserve">Real Estate</t>
  </si>
  <si>
    <t xml:space="preserve">Public Admin.</t>
  </si>
  <si>
    <t xml:space="preserve">Education</t>
  </si>
  <si>
    <t xml:space="preserve">Health</t>
  </si>
  <si>
    <t xml:space="preserve">Other Services</t>
  </si>
  <si>
    <t xml:space="preserve">10401 !M NA_</t>
  </si>
  <si>
    <t xml:space="preserve">.excel_last</t>
  </si>
  <si>
    <t xml:space="preserve">S213GVI@EMERGELA</t>
  </si>
  <si>
    <t xml:space="preserve">N213GAFI@EMERGELA</t>
  </si>
  <si>
    <t xml:space="preserve">N213GFFI@EMERGELA</t>
  </si>
  <si>
    <t xml:space="preserve">N213GQI@EMERGELA</t>
  </si>
  <si>
    <t xml:space="preserve">N213GMI@EMERGELA</t>
  </si>
  <si>
    <t xml:space="preserve">N213GEI@EMERGELA</t>
  </si>
  <si>
    <t xml:space="preserve">N213GCOI@EMERGELA</t>
  </si>
  <si>
    <t xml:space="preserve">N213GWRI@EMERGELA</t>
  </si>
  <si>
    <t xml:space="preserve">N213GHI@EMERGELA</t>
  </si>
  <si>
    <t xml:space="preserve">N213GTSI@EMERGELA</t>
  </si>
  <si>
    <t xml:space="preserve">N213GFMI@EMERGELA</t>
  </si>
  <si>
    <t xml:space="preserve">N213GPRI@EMERGELA</t>
  </si>
  <si>
    <t xml:space="preserve">N213GGI@EMERGELA</t>
  </si>
  <si>
    <t xml:space="preserve">N213GDI@EMERGELA</t>
  </si>
  <si>
    <t xml:space="preserve">N213GHSI@EMERGELA</t>
  </si>
  <si>
    <t xml:space="preserve">N213GSOI@EMERGELA</t>
  </si>
  <si>
    <t xml:space="preserve">.DESC</t>
  </si>
  <si>
    <t xml:space="preserve">Argentina: Economic Activity Indicator (SA, 2004=100)</t>
  </si>
  <si>
    <t xml:space="preserve">Argentina: Economic Act: Agr, Livestock, Hunting &amp; Forestry (NSA, 2004=100)</t>
  </si>
  <si>
    <t xml:space="preserve">Argentina: Economic Activity: Fishing (NSA, 2004=100)</t>
  </si>
  <si>
    <t xml:space="preserve">Argentina: Economic Activity: Mining &amp; Quarrying(NSA, 2004=100)</t>
  </si>
  <si>
    <t xml:space="preserve">Argentina: Economic Activity: Manufacturing (NSA, 2004=100)</t>
  </si>
  <si>
    <t xml:space="preserve">Argentina: Economic Activity: Electricity, Gas &amp; Water (NSA, 2004=100)</t>
  </si>
  <si>
    <t xml:space="preserve">Argentina: Economic Activity: Construction (NSA, 2004=100)</t>
  </si>
  <si>
    <t xml:space="preserve">Argentina: Economic Act: Wholesale &amp; Retail Trade and Repairs (NSA, 2004=100)</t>
  </si>
  <si>
    <t xml:space="preserve">Argentina: Economic Activity: Hotel &amp; Restaurants (NSA, 2004=100)</t>
  </si>
  <si>
    <t xml:space="preserve">Argentina: Economic Activity: Transportation &amp; Communications (NSA, 2004=100)</t>
  </si>
  <si>
    <t xml:space="preserve">Argentina: Economic Activity: Financial Intermediation (NSA, 2004=100)</t>
  </si>
  <si>
    <t xml:space="preserve">Argentina: Econ Act: Real Estate, Business &amp; Rental Activities (NSA, 2004=100)</t>
  </si>
  <si>
    <t xml:space="preserve">Argentina: Econ Act: Public Admin &amp; Defense, SocSec Plans (NSA, 2004=100)</t>
  </si>
  <si>
    <t xml:space="preserve">Argentina: Economic Activity: Education (NSA, 2004=100)</t>
  </si>
  <si>
    <t xml:space="preserve">Argentina: Economic Activity: Social &amp; Health Services (NSA, 2004=100)</t>
  </si>
  <si>
    <t xml:space="preserve">Argentina: EconAct: Other Community, Social &amp; Personal Srvc Act (NSA, 2004=100)</t>
  </si>
  <si>
    <t xml:space="preserve">.SOURCE</t>
  </si>
  <si>
    <t xml:space="preserve">INDEC</t>
  </si>
  <si>
    <t xml:space="preserve">.DTLM</t>
  </si>
  <si>
    <t xml:space="preserve">Jul-22-2026 15:06</t>
  </si>
  <si>
    <t xml:space="preserve">.DATA_TYPE</t>
  </si>
  <si>
    <t xml:space="preserve">INDEX</t>
  </si>
  <si>
    <t xml:space="preserve">.MAG</t>
  </si>
  <si>
    <t xml:space="preserve">0</t>
  </si>
  <si>
    <t xml:space="preserve">0401</t>
  </si>
  <si>
    <t xml:space="preserve">0402</t>
  </si>
  <si>
    <t xml:space="preserve">0403</t>
  </si>
  <si>
    <t xml:space="preserve">0404</t>
  </si>
  <si>
    <t xml:space="preserve">0405</t>
  </si>
  <si>
    <t xml:space="preserve">0406</t>
  </si>
  <si>
    <t xml:space="preserve">0407</t>
  </si>
  <si>
    <t xml:space="preserve">0408</t>
  </si>
  <si>
    <t xml:space="preserve">0409</t>
  </si>
  <si>
    <t xml:space="preserve">0410</t>
  </si>
  <si>
    <t xml:space="preserve">0411</t>
  </si>
  <si>
    <t xml:space="preserve">0412</t>
  </si>
  <si>
    <t xml:space="preserve">0501</t>
  </si>
  <si>
    <t xml:space="preserve">0502</t>
  </si>
  <si>
    <t xml:space="preserve">0503</t>
  </si>
  <si>
    <t xml:space="preserve">0504</t>
  </si>
  <si>
    <t xml:space="preserve">0505</t>
  </si>
  <si>
    <t xml:space="preserve">0506</t>
  </si>
  <si>
    <t xml:space="preserve">0507</t>
  </si>
  <si>
    <t xml:space="preserve">0508</t>
  </si>
  <si>
    <t xml:space="preserve">0509</t>
  </si>
  <si>
    <t xml:space="preserve">0510</t>
  </si>
  <si>
    <t xml:space="preserve">0511</t>
  </si>
  <si>
    <t xml:space="preserve">0512</t>
  </si>
  <si>
    <t xml:space="preserve">0601</t>
  </si>
  <si>
    <t xml:space="preserve">0602</t>
  </si>
  <si>
    <t xml:space="preserve">0603</t>
  </si>
  <si>
    <t xml:space="preserve">0604</t>
  </si>
  <si>
    <t xml:space="preserve">0605</t>
  </si>
  <si>
    <t xml:space="preserve">0606</t>
  </si>
  <si>
    <t xml:space="preserve">0607</t>
  </si>
  <si>
    <t xml:space="preserve">0608</t>
  </si>
  <si>
    <t xml:space="preserve">0609</t>
  </si>
  <si>
    <t xml:space="preserve">0610</t>
  </si>
  <si>
    <t xml:space="preserve">0611</t>
  </si>
  <si>
    <t xml:space="preserve">0612</t>
  </si>
  <si>
    <t xml:space="preserve">0701</t>
  </si>
  <si>
    <t xml:space="preserve">0702</t>
  </si>
  <si>
    <t xml:space="preserve">0703</t>
  </si>
  <si>
    <t xml:space="preserve">0704</t>
  </si>
  <si>
    <t xml:space="preserve">0705</t>
  </si>
  <si>
    <t xml:space="preserve">0706</t>
  </si>
  <si>
    <t xml:space="preserve">0707</t>
  </si>
  <si>
    <t xml:space="preserve">0708</t>
  </si>
  <si>
    <t xml:space="preserve">0709</t>
  </si>
  <si>
    <t xml:space="preserve">0710</t>
  </si>
  <si>
    <t xml:space="preserve">0711</t>
  </si>
  <si>
    <t xml:space="preserve">0712</t>
  </si>
  <si>
    <t xml:space="preserve">0801</t>
  </si>
  <si>
    <t xml:space="preserve">0802</t>
  </si>
  <si>
    <t xml:space="preserve">0803</t>
  </si>
  <si>
    <t xml:space="preserve">0804</t>
  </si>
  <si>
    <t xml:space="preserve">0805</t>
  </si>
  <si>
    <t xml:space="preserve">0806</t>
  </si>
  <si>
    <t xml:space="preserve">0807</t>
  </si>
  <si>
    <t xml:space="preserve">0808</t>
  </si>
  <si>
    <t xml:space="preserve">0809</t>
  </si>
  <si>
    <t xml:space="preserve">0810</t>
  </si>
  <si>
    <t xml:space="preserve">0811</t>
  </si>
  <si>
    <t xml:space="preserve">0812</t>
  </si>
  <si>
    <t xml:space="preserve">0901</t>
  </si>
  <si>
    <t xml:space="preserve">0902</t>
  </si>
  <si>
    <t xml:space="preserve">0903</t>
  </si>
  <si>
    <t xml:space="preserve">0904</t>
  </si>
  <si>
    <t xml:space="preserve">0905</t>
  </si>
  <si>
    <t xml:space="preserve">0906</t>
  </si>
  <si>
    <t xml:space="preserve">0907</t>
  </si>
  <si>
    <t xml:space="preserve">0908</t>
  </si>
  <si>
    <t xml:space="preserve">0909</t>
  </si>
  <si>
    <t xml:space="preserve">0910</t>
  </si>
  <si>
    <t xml:space="preserve">0911</t>
  </si>
  <si>
    <t xml:space="preserve">0912</t>
  </si>
  <si>
    <t xml:space="preserve">1001</t>
  </si>
  <si>
    <t xml:space="preserve">1002</t>
  </si>
  <si>
    <t xml:space="preserve">1003</t>
  </si>
  <si>
    <t xml:space="preserve">1004</t>
  </si>
  <si>
    <t xml:space="preserve">1005</t>
  </si>
  <si>
    <t xml:space="preserve">1006</t>
  </si>
  <si>
    <t xml:space="preserve">1007</t>
  </si>
  <si>
    <t xml:space="preserve">1008</t>
  </si>
  <si>
    <t xml:space="preserve">1009</t>
  </si>
  <si>
    <t xml:space="preserve">1010</t>
  </si>
  <si>
    <t xml:space="preserve">1011</t>
  </si>
  <si>
    <t xml:space="preserve">1012</t>
  </si>
  <si>
    <t xml:space="preserve">1101</t>
  </si>
  <si>
    <t xml:space="preserve">1102</t>
  </si>
  <si>
    <t xml:space="preserve">1103</t>
  </si>
  <si>
    <t xml:space="preserve">1104</t>
  </si>
  <si>
    <t xml:space="preserve">1105</t>
  </si>
  <si>
    <t xml:space="preserve">1106</t>
  </si>
  <si>
    <t xml:space="preserve">1107</t>
  </si>
  <si>
    <t xml:space="preserve">1108</t>
  </si>
  <si>
    <t xml:space="preserve">1109</t>
  </si>
  <si>
    <t xml:space="preserve">1110</t>
  </si>
  <si>
    <t xml:space="preserve">1111</t>
  </si>
  <si>
    <t xml:space="preserve">1112</t>
  </si>
  <si>
    <t xml:space="preserve">1201</t>
  </si>
  <si>
    <t xml:space="preserve">1202</t>
  </si>
  <si>
    <t xml:space="preserve">1203</t>
  </si>
  <si>
    <t xml:space="preserve">1204</t>
  </si>
  <si>
    <t xml:space="preserve">1205</t>
  </si>
  <si>
    <t xml:space="preserve">1206</t>
  </si>
  <si>
    <t xml:space="preserve">1207</t>
  </si>
  <si>
    <t xml:space="preserve">1208</t>
  </si>
  <si>
    <t xml:space="preserve">1209</t>
  </si>
  <si>
    <t xml:space="preserve">1210</t>
  </si>
  <si>
    <t xml:space="preserve">1211</t>
  </si>
  <si>
    <t xml:space="preserve">1212</t>
  </si>
  <si>
    <t xml:space="preserve">1301</t>
  </si>
  <si>
    <t xml:space="preserve">1302</t>
  </si>
  <si>
    <t xml:space="preserve">1303</t>
  </si>
  <si>
    <t xml:space="preserve">1304</t>
  </si>
  <si>
    <t xml:space="preserve">1305</t>
  </si>
  <si>
    <t xml:space="preserve">1306</t>
  </si>
  <si>
    <t xml:space="preserve">1307</t>
  </si>
  <si>
    <t xml:space="preserve">1308</t>
  </si>
  <si>
    <t xml:space="preserve">1309</t>
  </si>
  <si>
    <t xml:space="preserve">1310</t>
  </si>
  <si>
    <t xml:space="preserve">1311</t>
  </si>
  <si>
    <t xml:space="preserve">1312</t>
  </si>
  <si>
    <t xml:space="preserve">1401</t>
  </si>
  <si>
    <t xml:space="preserve">1402</t>
  </si>
  <si>
    <t xml:space="preserve">1403</t>
  </si>
  <si>
    <t xml:space="preserve">1404</t>
  </si>
  <si>
    <t xml:space="preserve">1405</t>
  </si>
  <si>
    <t xml:space="preserve">1406</t>
  </si>
  <si>
    <t xml:space="preserve">1407</t>
  </si>
  <si>
    <t xml:space="preserve">1408</t>
  </si>
  <si>
    <t xml:space="preserve">1409</t>
  </si>
  <si>
    <t xml:space="preserve">1410</t>
  </si>
  <si>
    <t xml:space="preserve">1411</t>
  </si>
  <si>
    <t xml:space="preserve">1412</t>
  </si>
  <si>
    <t xml:space="preserve">1501</t>
  </si>
  <si>
    <t xml:space="preserve">1502</t>
  </si>
  <si>
    <t xml:space="preserve">1503</t>
  </si>
  <si>
    <t xml:space="preserve">1504</t>
  </si>
  <si>
    <t xml:space="preserve">1505</t>
  </si>
  <si>
    <t xml:space="preserve">1506</t>
  </si>
  <si>
    <t xml:space="preserve">1507</t>
  </si>
  <si>
    <t xml:space="preserve">1508</t>
  </si>
  <si>
    <t xml:space="preserve">1509</t>
  </si>
  <si>
    <t xml:space="preserve">1510</t>
  </si>
  <si>
    <t xml:space="preserve">1511</t>
  </si>
  <si>
    <t xml:space="preserve">1512</t>
  </si>
  <si>
    <t xml:space="preserve">1601</t>
  </si>
  <si>
    <t xml:space="preserve">1602</t>
  </si>
  <si>
    <t xml:space="preserve">1603</t>
  </si>
  <si>
    <t xml:space="preserve">1604</t>
  </si>
  <si>
    <t xml:space="preserve">1605</t>
  </si>
  <si>
    <t xml:space="preserve">1606</t>
  </si>
  <si>
    <t xml:space="preserve">1607</t>
  </si>
  <si>
    <t xml:space="preserve">1608</t>
  </si>
  <si>
    <t xml:space="preserve">1609</t>
  </si>
  <si>
    <t xml:space="preserve">1610</t>
  </si>
  <si>
    <t xml:space="preserve">1611</t>
  </si>
  <si>
    <t xml:space="preserve">1612</t>
  </si>
  <si>
    <t xml:space="preserve">1701</t>
  </si>
  <si>
    <t xml:space="preserve">1702</t>
  </si>
  <si>
    <t xml:space="preserve">1703</t>
  </si>
  <si>
    <t xml:space="preserve">1704</t>
  </si>
  <si>
    <t xml:space="preserve">1705</t>
  </si>
  <si>
    <t xml:space="preserve">1706</t>
  </si>
  <si>
    <t xml:space="preserve">1707</t>
  </si>
  <si>
    <t xml:space="preserve">1708</t>
  </si>
  <si>
    <t xml:space="preserve">1709</t>
  </si>
  <si>
    <t xml:space="preserve">1710</t>
  </si>
  <si>
    <t xml:space="preserve">1711</t>
  </si>
  <si>
    <t xml:space="preserve">1712</t>
  </si>
  <si>
    <t xml:space="preserve">1801</t>
  </si>
  <si>
    <t xml:space="preserve">1802</t>
  </si>
  <si>
    <t xml:space="preserve">1803</t>
  </si>
  <si>
    <t xml:space="preserve">1804</t>
  </si>
  <si>
    <t xml:space="preserve">1805</t>
  </si>
  <si>
    <t xml:space="preserve">1806</t>
  </si>
  <si>
    <t xml:space="preserve">1807</t>
  </si>
  <si>
    <t xml:space="preserve">1808</t>
  </si>
  <si>
    <t xml:space="preserve">1809</t>
  </si>
  <si>
    <t xml:space="preserve">1810</t>
  </si>
  <si>
    <t xml:space="preserve">1811</t>
  </si>
  <si>
    <t xml:space="preserve">1812</t>
  </si>
  <si>
    <t xml:space="preserve">1901</t>
  </si>
  <si>
    <t xml:space="preserve">1902</t>
  </si>
  <si>
    <t xml:space="preserve">1903</t>
  </si>
  <si>
    <t xml:space="preserve">1904</t>
  </si>
  <si>
    <t xml:space="preserve">1905</t>
  </si>
  <si>
    <t xml:space="preserve">1906</t>
  </si>
  <si>
    <t xml:space="preserve">1907</t>
  </si>
  <si>
    <t xml:space="preserve">1908</t>
  </si>
  <si>
    <t xml:space="preserve">1909</t>
  </si>
  <si>
    <t xml:space="preserve">1910</t>
  </si>
  <si>
    <t xml:space="preserve">1911</t>
  </si>
  <si>
    <t xml:space="preserve">1912</t>
  </si>
  <si>
    <t xml:space="preserve">2001</t>
  </si>
  <si>
    <t xml:space="preserve">2002</t>
  </si>
  <si>
    <t xml:space="preserve">2003</t>
  </si>
  <si>
    <t xml:space="preserve">2004</t>
  </si>
  <si>
    <t xml:space="preserve">2005</t>
  </si>
  <si>
    <t xml:space="preserve">2006</t>
  </si>
  <si>
    <t xml:space="preserve">2007</t>
  </si>
  <si>
    <t xml:space="preserve">2008</t>
  </si>
  <si>
    <t xml:space="preserve">2009</t>
  </si>
  <si>
    <t xml:space="preserve">2010</t>
  </si>
  <si>
    <t xml:space="preserve">2011</t>
  </si>
  <si>
    <t xml:space="preserve">2012</t>
  </si>
  <si>
    <t xml:space="preserve">2101</t>
  </si>
  <si>
    <t xml:space="preserve">2102</t>
  </si>
  <si>
    <t xml:space="preserve">2103</t>
  </si>
  <si>
    <t xml:space="preserve">2104</t>
  </si>
  <si>
    <t xml:space="preserve">2105</t>
  </si>
  <si>
    <t xml:space="preserve">2106</t>
  </si>
  <si>
    <t xml:space="preserve">2107</t>
  </si>
  <si>
    <t xml:space="preserve">2108</t>
  </si>
  <si>
    <t xml:space="preserve">2109</t>
  </si>
  <si>
    <t xml:space="preserve">2110</t>
  </si>
  <si>
    <t xml:space="preserve">2111</t>
  </si>
  <si>
    <t xml:space="preserve">2112</t>
  </si>
  <si>
    <t xml:space="preserve">2201</t>
  </si>
  <si>
    <t xml:space="preserve">2202</t>
  </si>
  <si>
    <t xml:space="preserve">2203</t>
  </si>
  <si>
    <t xml:space="preserve">2204</t>
  </si>
  <si>
    <t xml:space="preserve">2205</t>
  </si>
  <si>
    <t xml:space="preserve">2206</t>
  </si>
  <si>
    <t xml:space="preserve">2207</t>
  </si>
  <si>
    <t xml:space="preserve">2208</t>
  </si>
  <si>
    <t xml:space="preserve">2209</t>
  </si>
  <si>
    <t xml:space="preserve">2210</t>
  </si>
  <si>
    <t xml:space="preserve">2211</t>
  </si>
  <si>
    <t xml:space="preserve">2212</t>
  </si>
  <si>
    <t xml:space="preserve">2301</t>
  </si>
  <si>
    <t xml:space="preserve">2302</t>
  </si>
  <si>
    <t xml:space="preserve">2303</t>
  </si>
  <si>
    <t xml:space="preserve">2304</t>
  </si>
  <si>
    <t xml:space="preserve">2305</t>
  </si>
  <si>
    <t xml:space="preserve">2306</t>
  </si>
  <si>
    <t xml:space="preserve">2307</t>
  </si>
  <si>
    <t xml:space="preserve">2308</t>
  </si>
  <si>
    <t xml:space="preserve">2309</t>
  </si>
  <si>
    <t xml:space="preserve">2310</t>
  </si>
  <si>
    <t xml:space="preserve">2311</t>
  </si>
  <si>
    <t xml:space="preserve">2312</t>
  </si>
  <si>
    <t xml:space="preserve">2401</t>
  </si>
  <si>
    <t xml:space="preserve">2402</t>
  </si>
  <si>
    <t xml:space="preserve">2403</t>
  </si>
  <si>
    <t xml:space="preserve">2404</t>
  </si>
  <si>
    <t xml:space="preserve">2405</t>
  </si>
  <si>
    <t xml:space="preserve">2406</t>
  </si>
  <si>
    <t xml:space="preserve">2407</t>
  </si>
  <si>
    <t xml:space="preserve">2408</t>
  </si>
  <si>
    <t xml:space="preserve">2409</t>
  </si>
  <si>
    <t xml:space="preserve">2410</t>
  </si>
  <si>
    <t xml:space="preserve">2411</t>
  </si>
  <si>
    <t xml:space="preserve">2412</t>
  </si>
  <si>
    <t xml:space="preserve">2501</t>
  </si>
  <si>
    <t xml:space="preserve">2502</t>
  </si>
  <si>
    <t xml:space="preserve">2503</t>
  </si>
  <si>
    <t xml:space="preserve">2504</t>
  </si>
  <si>
    <t xml:space="preserve">2505</t>
  </si>
  <si>
    <t xml:space="preserve">2506</t>
  </si>
  <si>
    <t xml:space="preserve">2507</t>
  </si>
  <si>
    <t xml:space="preserve">2508</t>
  </si>
  <si>
    <t xml:space="preserve">2509</t>
  </si>
  <si>
    <t xml:space="preserve">2510</t>
  </si>
  <si>
    <t xml:space="preserve">2511</t>
  </si>
  <si>
    <t xml:space="preserve">2512</t>
  </si>
  <si>
    <t xml:space="preserve">2601</t>
  </si>
  <si>
    <t xml:space="preserve">2602</t>
  </si>
  <si>
    <t xml:space="preserve">2603</t>
  </si>
  <si>
    <t xml:space="preserve">2604</t>
  </si>
  <si>
    <t xml:space="preserve">2605</t>
  </si>
  <si>
    <t xml:space="preserve">Weights, Sector Mapping and Forecast Assumptions</t>
  </si>
  <si>
    <t xml:space="preserve">Blue cells are inputs you can overwrite. Everything downstream is formula-driven and will recalculate.</t>
  </si>
  <si>
    <t xml:space="preserve">1 | Sector weights and bucket mapping</t>
  </si>
  <si>
    <t xml:space="preserve">Sector</t>
  </si>
  <si>
    <t xml:space="preserve">Bucket</t>
  </si>
  <si>
    <t xml:space="preserve">Weight (%)</t>
  </si>
  <si>
    <t xml:space="preserve">INDEC 2004 prior (%)</t>
  </si>
  <si>
    <t xml:space="preserve">Deviation (pp)</t>
  </si>
  <si>
    <t xml:space="preserve">Weight within bucket</t>
  </si>
  <si>
    <t xml:space="preserve">Contribution check</t>
  </si>
  <si>
    <t xml:space="preserve">Primary</t>
  </si>
  <si>
    <t xml:space="preserve">Industrial</t>
  </si>
  <si>
    <t xml:space="preserve">Services</t>
  </si>
  <si>
    <t xml:space="preserve">Total</t>
  </si>
  <si>
    <t xml:space="preserve">2 | Bucket weights (derived)</t>
  </si>
  <si>
    <t xml:space="preserve">Share of EMAE</t>
  </si>
  <si>
    <t xml:space="preserve">3 | Forecast assumptions — average m/m growth of each sub-index, SA (%)</t>
  </si>
  <si>
    <t xml:space="preserve">The forecast is built bottom-up: these three pairs of assumptions drive the sub-index level paths, which aggregate to EMAE using the bucket weights above. Change a cell and every forecast number moves.</t>
  </si>
  <si>
    <t xml:space="preserve">Sub-index</t>
  </si>
  <si>
    <t xml:space="preserve">May-26 to Dec-26 (% m/m)</t>
  </si>
  <si>
    <t xml:space="preserve">2027 (% m/m)</t>
  </si>
  <si>
    <t xml:space="preserve">Implied ann. pace 2026H2</t>
  </si>
  <si>
    <t xml:space="preserve">Implied ann. pace 2027</t>
  </si>
  <si>
    <t xml:space="preserve">Trailing 6m actual (% m/m)</t>
  </si>
  <si>
    <t xml:space="preserve">4 | Weight estimation diagnostics</t>
  </si>
  <si>
    <t xml:space="preserve">Method</t>
  </si>
  <si>
    <t xml:space="preserve">Constrained least squares of the 15 seasonally-adjusted sector indices on the published SA EMAE, shrunk toward the INDEC 2004 value-added shares.</t>
  </si>
  <si>
    <t xml:space="preserve">Why shrinkage</t>
  </si>
  <si>
    <t xml:space="preserve">Every series is rebased to 2004=100, so EMAE is exactly a convex combination of the sectors and the weights are the 2004 value-added shares. But the services block is highly collinear: the unpenalised fit pins Education, Utilities, Public Admin and Other Services at zero and pushes Trade to 22.9%. Shrinkage restores economically sensible weights at almost no cost in fit.</t>
  </si>
  <si>
    <t xml:space="preserve">Shrinkage parameter</t>
  </si>
  <si>
    <t xml:space="preserve">lambda = 5.0</t>
  </si>
  <si>
    <t xml:space="preserve">R-squared</t>
  </si>
  <si>
    <t xml:space="preserve">Residual std. dev. (index pts)</t>
  </si>
  <si>
    <t xml:space="preserve">Max abs. residual (index pts)</t>
  </si>
  <si>
    <t xml:space="preserve">Bucket weights: stability</t>
  </si>
  <si>
    <t xml:space="preserve">Primary 8-10%, Industrial 26-27%, Services 63-65% across the entire shrinkage range. The bucket split is well identified even though individual sector weights are not.</t>
  </si>
  <si>
    <t xml:space="preserve">Override</t>
  </si>
  <si>
    <t xml:space="preserve">If you have INDEC's official EMAE base-2004 weights, paste them into column C. Nothing else needs changing.</t>
  </si>
  <si>
    <t xml:space="preserve">Static X-11 Benchmark</t>
  </si>
  <si>
    <t xml:space="preserve">One-off seasonal adjustment computed offline with a full X-11-style routine. Frozen values, kept only as a benchmark for the live in-sheet factors. Nothing downstream depends on this sheet.</t>
  </si>
  <si>
    <t xml:space="preserve">Date</t>
  </si>
  <si>
    <t xml:space="preserve">Seasonal Factor Workings — live</t>
  </si>
  <si>
    <t xml:space="preserve">Trend = centred 2x12 moving average of the NSA series. Ratio = NSA / trend. Raw factor = mean of the ratios for the same calendar month inside a rolling window centred on that date, so seasonality is allowed to evolve. Normalised factor rescales so the twelve factors around any date average to 1.</t>
  </si>
  <si>
    <t xml:space="preserve">Month</t>
  </si>
  <si>
    <t xml:space="preserve">Agri. trend</t>
  </si>
  <si>
    <t xml:space="preserve">Agri. ratio</t>
  </si>
  <si>
    <t xml:space="preserve">Agri. raw fac</t>
  </si>
  <si>
    <t xml:space="preserve">Agri. FACTOR</t>
  </si>
  <si>
    <t xml:space="preserve">Fishing trend</t>
  </si>
  <si>
    <t xml:space="preserve">Fishing ratio</t>
  </si>
  <si>
    <t xml:space="preserve">Fishing raw fac</t>
  </si>
  <si>
    <t xml:space="preserve">Fishing FACTOR</t>
  </si>
  <si>
    <t xml:space="preserve">Mining trend</t>
  </si>
  <si>
    <t xml:space="preserve">Mining ratio</t>
  </si>
  <si>
    <t xml:space="preserve">Mining raw fac</t>
  </si>
  <si>
    <t xml:space="preserve">Mining FACTOR</t>
  </si>
  <si>
    <t xml:space="preserve">Mfg. trend</t>
  </si>
  <si>
    <t xml:space="preserve">Mfg. ratio</t>
  </si>
  <si>
    <t xml:space="preserve">Mfg. raw fac</t>
  </si>
  <si>
    <t xml:space="preserve">Mfg. FACTOR</t>
  </si>
  <si>
    <t xml:space="preserve">Utilities trend</t>
  </si>
  <si>
    <t xml:space="preserve">Utilities ratio</t>
  </si>
  <si>
    <t xml:space="preserve">Utilities raw fac</t>
  </si>
  <si>
    <t xml:space="preserve">Utilities FACTOR</t>
  </si>
  <si>
    <t xml:space="preserve">Const. trend</t>
  </si>
  <si>
    <t xml:space="preserve">Const. ratio</t>
  </si>
  <si>
    <t xml:space="preserve">Const. raw fac</t>
  </si>
  <si>
    <t xml:space="preserve">Const. FACTOR</t>
  </si>
  <si>
    <t xml:space="preserve">Trade trend</t>
  </si>
  <si>
    <t xml:space="preserve">Trade ratio</t>
  </si>
  <si>
    <t xml:space="preserve">Trade raw fac</t>
  </si>
  <si>
    <t xml:space="preserve">Trade FACTOR</t>
  </si>
  <si>
    <t xml:space="preserve">Hotels trend</t>
  </si>
  <si>
    <t xml:space="preserve">Hotels ratio</t>
  </si>
  <si>
    <t xml:space="preserve">Hotels raw fac</t>
  </si>
  <si>
    <t xml:space="preserve">Hotels FACTOR</t>
  </si>
  <si>
    <t xml:space="preserve">Transport trend</t>
  </si>
  <si>
    <t xml:space="preserve">Transport ratio</t>
  </si>
  <si>
    <t xml:space="preserve">Transport raw fac</t>
  </si>
  <si>
    <t xml:space="preserve">Transport FACTOR</t>
  </si>
  <si>
    <t xml:space="preserve">Finance trend</t>
  </si>
  <si>
    <t xml:space="preserve">Finance ratio</t>
  </si>
  <si>
    <t xml:space="preserve">Finance raw fac</t>
  </si>
  <si>
    <t xml:space="preserve">Finance FACTOR</t>
  </si>
  <si>
    <t xml:space="preserve">Real Estate trend</t>
  </si>
  <si>
    <t xml:space="preserve">Real Estate ratio</t>
  </si>
  <si>
    <t xml:space="preserve">Real Estate raw fac</t>
  </si>
  <si>
    <t xml:space="preserve">Real Estate FACTOR</t>
  </si>
  <si>
    <t xml:space="preserve">Public Admin. trend</t>
  </si>
  <si>
    <t xml:space="preserve">Public Admin. ratio</t>
  </si>
  <si>
    <t xml:space="preserve">Public Admin. raw fac</t>
  </si>
  <si>
    <t xml:space="preserve">Public Admin. FACTOR</t>
  </si>
  <si>
    <t xml:space="preserve">Education trend</t>
  </si>
  <si>
    <t xml:space="preserve">Education ratio</t>
  </si>
  <si>
    <t xml:space="preserve">Education raw fac</t>
  </si>
  <si>
    <t xml:space="preserve">Education FACTOR</t>
  </si>
  <si>
    <t xml:space="preserve">Health trend</t>
  </si>
  <si>
    <t xml:space="preserve">Health ratio</t>
  </si>
  <si>
    <t xml:space="preserve">Health raw fac</t>
  </si>
  <si>
    <t xml:space="preserve">Health FACTOR</t>
  </si>
  <si>
    <t xml:space="preserve">Other Services trend</t>
  </si>
  <si>
    <t xml:space="preserve">Other Services ratio</t>
  </si>
  <si>
    <t xml:space="preserve">Other Services raw fac</t>
  </si>
  <si>
    <t xml:space="preserve">Other Services FACTOR</t>
  </si>
  <si>
    <t xml:space="preserve">Seasonal Factors — live, recalculate on every Haver refresh</t>
  </si>
  <si>
    <t xml:space="preserve">Factors are estimated on 'SF Workings' and evolve through time. This sheet is the control panel and the quality check. Nothing here needs to be re-run by hand when new data arrives.</t>
  </si>
  <si>
    <t xml:space="preserve">Half-window (years either side used to estimate each factor)</t>
  </si>
  <si>
    <t xml:space="preserve">Smaller tracks shifting seasonality faster but is noisier; larger is smoother but slower to adapt. 2 years tracks shifting seasonality fastest but destabilises the most recent months, where no centred trend exists yet. 4 gives the steadier endpoint and is the default. Change this one cell and the entire workbook re-adjusts.</t>
  </si>
  <si>
    <t xml:space="preserve">Latest estimated factors, by calendar month</t>
  </si>
  <si>
    <t xml:space="preserve">Mean (should be ~1.0000)</t>
  </si>
  <si>
    <t xml:space="preserve">Quality check: live factors vs the static X-11 benchmark</t>
  </si>
  <si>
    <t xml:space="preserve">Mean absolute difference in the SA level. The last-5-years column is the one that matters: it covers the period any current analysis actually uses.</t>
  </si>
  <si>
    <t xml:space="preserve">Weight %</t>
  </si>
  <si>
    <t xml:space="preserve">Mean abs diff, full sample (%)</t>
  </si>
  <si>
    <t xml:space="preserve">Mean abs diff, last 5y (%)</t>
  </si>
  <si>
    <t xml:space="preserve">Seasonally Adjusted Levels</t>
  </si>
  <si>
    <t xml:space="preserve">Sector SA levels are computed values (X-11-style multiplicative decomposition) and do NOT auto-update with Haver. NSA columns and all sub-indices are live formulas.</t>
  </si>
  <si>
    <t xml:space="preserve">Sub-index levels are SUMPRODUCTs of the sector indices and the within-bucket weights on 'Weights &amp; Assumptions', so they respond immediately to any weight change.</t>
  </si>
  <si>
    <t xml:space="preserve">EMAE published (SA)</t>
  </si>
  <si>
    <t xml:space="preserve">Agri. (SA)</t>
  </si>
  <si>
    <t xml:space="preserve">Fishing (SA)</t>
  </si>
  <si>
    <t xml:space="preserve">Mining (SA)</t>
  </si>
  <si>
    <t xml:space="preserve">Mfg. (SA)</t>
  </si>
  <si>
    <t xml:space="preserve">Utilities (SA)</t>
  </si>
  <si>
    <t xml:space="preserve">Const. (SA)</t>
  </si>
  <si>
    <t xml:space="preserve">Trade (SA)</t>
  </si>
  <si>
    <t xml:space="preserve">Hotels (SA)</t>
  </si>
  <si>
    <t xml:space="preserve">Transport (SA)</t>
  </si>
  <si>
    <t xml:space="preserve">Finance (SA)</t>
  </si>
  <si>
    <t xml:space="preserve">Real Estate (SA)</t>
  </si>
  <si>
    <t xml:space="preserve">Public Admin. (SA)</t>
  </si>
  <si>
    <t xml:space="preserve">Education (SA)</t>
  </si>
  <si>
    <t xml:space="preserve">Health (SA)</t>
  </si>
  <si>
    <t xml:space="preserve">Other Services (SA)</t>
  </si>
  <si>
    <t xml:space="preserve">Primary (SA)</t>
  </si>
  <si>
    <t xml:space="preserve">Industrial (SA)</t>
  </si>
  <si>
    <t xml:space="preserve">Services (SA)</t>
  </si>
  <si>
    <t xml:space="preserve">EMAE reconstructed (SA)</t>
  </si>
  <si>
    <t xml:space="preserve">Primary (NSA)</t>
  </si>
  <si>
    <t xml:space="preserve">Industrial (NSA)</t>
  </si>
  <si>
    <t xml:space="preserve">Services (NSA)</t>
  </si>
  <si>
    <t xml:space="preserve">EMAE reconstructed (NSA)</t>
  </si>
  <si>
    <t xml:space="preserve">EMAE Analysis</t>
  </si>
  <si>
    <t xml:space="preserve">Headline activity. 'Published' is INDEC's own SA series; 'reconstructed' is our weighted aggregate of the three sub-indices — the gap between them is the aggregation error and is the honest measure of model quality.</t>
  </si>
  <si>
    <t xml:space="preserve">EMAE published: SA level</t>
  </si>
  <si>
    <t xml:space="preserve">EMAE published: m/m %</t>
  </si>
  <si>
    <t xml:space="preserve">EMAE published: 3m/3m %</t>
  </si>
  <si>
    <t xml:space="preserve">EMAE published: 3m/3m ann. %</t>
  </si>
  <si>
    <t xml:space="preserve">EMAE published: y/y %</t>
  </si>
  <si>
    <t xml:space="preserve">EMAE published: YTD avg %</t>
  </si>
  <si>
    <t xml:space="preserve">EMAE reconstructed: SA level</t>
  </si>
  <si>
    <t xml:space="preserve">EMAE reconstructed: m/m %</t>
  </si>
  <si>
    <t xml:space="preserve">EMAE reconstructed: 3m/3m %</t>
  </si>
  <si>
    <t xml:space="preserve">EMAE reconstructed: 3m/3m ann. %</t>
  </si>
  <si>
    <t xml:space="preserve">EMAE reconstructed: y/y %</t>
  </si>
  <si>
    <t xml:space="preserve">EMAE reconstructed: YTD avg %</t>
  </si>
  <si>
    <t xml:space="preserve">Sub-Index Analysis</t>
  </si>
  <si>
    <t xml:space="preserve">Primary = agriculture + fishing. Industrial = mining + manufacturing + construction. Services = the remaining ten. Growth rates on SA levels; y/y and YTD on NSA levels, which is how INDEC headlines them.</t>
  </si>
  <si>
    <t xml:space="preserve">Primary: SA level</t>
  </si>
  <si>
    <t xml:space="preserve">Primary: m/m %</t>
  </si>
  <si>
    <t xml:space="preserve">Primary: 3m/3m %</t>
  </si>
  <si>
    <t xml:space="preserve">Primary: 3m/3m ann. %</t>
  </si>
  <si>
    <t xml:space="preserve">Primary: y/y %</t>
  </si>
  <si>
    <t xml:space="preserve">Primary: YTD avg %</t>
  </si>
  <si>
    <t xml:space="preserve">Industrial: SA level</t>
  </si>
  <si>
    <t xml:space="preserve">Industrial: m/m %</t>
  </si>
  <si>
    <t xml:space="preserve">Industrial: 3m/3m %</t>
  </si>
  <si>
    <t xml:space="preserve">Industrial: 3m/3m ann. %</t>
  </si>
  <si>
    <t xml:space="preserve">Industrial: y/y %</t>
  </si>
  <si>
    <t xml:space="preserve">Industrial: YTD avg %</t>
  </si>
  <si>
    <t xml:space="preserve">Services: SA level</t>
  </si>
  <si>
    <t xml:space="preserve">Services: m/m %</t>
  </si>
  <si>
    <t xml:space="preserve">Services: 3m/3m %</t>
  </si>
  <si>
    <t xml:space="preserve">Services: 3m/3m ann. %</t>
  </si>
  <si>
    <t xml:space="preserve">Services: y/y %</t>
  </si>
  <si>
    <t xml:space="preserve">Services: YTD avg %</t>
  </si>
  <si>
    <t xml:space="preserve">Bottom-Up Forecast — 2026 and 2027</t>
  </si>
  <si>
    <t xml:space="preserve">Sub-index level paths are projected from the assumptions on 'Weights &amp; Assumptions' and aggregated to EMAE. History is linked; the forecast rows are live formulas.</t>
  </si>
  <si>
    <t xml:space="preserve">Annual growth is computed on annual averages of the monthly SA level path, which is the convention INDEC and consensus use. The 2026 number is therefore already largely determined by the realised path: see the carry-over decomposition below.</t>
  </si>
  <si>
    <t xml:space="preserve">Flag</t>
  </si>
  <si>
    <t xml:space="preserve">EMAE m/m %</t>
  </si>
  <si>
    <t xml:space="preserve">EMAE y/y %</t>
  </si>
  <si>
    <t xml:space="preserve">Primary m/m %</t>
  </si>
  <si>
    <t xml:space="preserve">Industrial m/m %</t>
  </si>
  <si>
    <t xml:space="preserve">Services m/m %</t>
  </si>
  <si>
    <t xml:space="preserve">Annual averages and growth</t>
  </si>
  <si>
    <t xml:space="preserve">Year</t>
  </si>
  <si>
    <t xml:space="preserve">Primary lvl</t>
  </si>
  <si>
    <t xml:space="preserve">Industrial lvl</t>
  </si>
  <si>
    <t xml:space="preserve">Services lvl</t>
  </si>
  <si>
    <t xml:space="preserve">EMAE lvl</t>
  </si>
  <si>
    <t xml:space="preserve">Primary %</t>
  </si>
  <si>
    <t xml:space="preserve">Industrial %</t>
  </si>
  <si>
    <t xml:space="preserve">Services %</t>
  </si>
  <si>
    <t xml:space="preserve">EMAE %</t>
  </si>
  <si>
    <t xml:space="preserve">Primary contrib (pp)</t>
  </si>
  <si>
    <t xml:space="preserve">Industrial contrib (pp)</t>
  </si>
  <si>
    <t xml:space="preserve">Services contrib (pp)</t>
  </si>
  <si>
    <t xml:space="preserve">2019</t>
  </si>
  <si>
    <t xml:space="preserve">2020</t>
  </si>
  <si>
    <t xml:space="preserve">2021</t>
  </si>
  <si>
    <t xml:space="preserve">2022</t>
  </si>
  <si>
    <t xml:space="preserve">2023</t>
  </si>
  <si>
    <t xml:space="preserve">2024</t>
  </si>
  <si>
    <t xml:space="preserve">2025</t>
  </si>
  <si>
    <t xml:space="preserve">2026</t>
  </si>
  <si>
    <t xml:space="preserve">2027</t>
  </si>
  <si>
    <t xml:space="preserve">Carry-over decomposition of the forecast</t>
  </si>
  <si>
    <t xml:space="preserve">Carry-over is the annual growth that would be printed if the SA level simply held flat at its last actual reading for the rest of the year. It isolates how much of the forecast is already locked in.</t>
  </si>
  <si>
    <t xml:space="preserve">Actual months booked</t>
  </si>
  <si>
    <t xml:space="preserve">EMAE: carry-over already locked in (pp)</t>
  </si>
  <si>
    <t xml:space="preserve">EMAE: total forecast (%)</t>
  </si>
  <si>
    <t xml:space="preserve">EMAE: contribution from assumed momentum (pp)</t>
  </si>
  <si>
    <t xml:space="preserve">Argentina Activity Dashboard</t>
  </si>
  <si>
    <t xml:space="preserve">Data through May 2026. All figures percent unless stated.</t>
  </si>
  <si>
    <t xml:space="preserve">Latest readings</t>
  </si>
  <si>
    <t xml:space="preserve">Series</t>
  </si>
  <si>
    <t xml:space="preserve">SA level</t>
  </si>
  <si>
    <t xml:space="preserve">m/m %</t>
  </si>
  <si>
    <t xml:space="preserve">3m/3m ann. %</t>
  </si>
  <si>
    <t xml:space="preserve">y/y %</t>
  </si>
  <si>
    <t xml:space="preserve">YTD %</t>
  </si>
  <si>
    <t xml:space="preserve">2026F %</t>
  </si>
  <si>
    <t xml:space="preserve">2027F %</t>
  </si>
  <si>
    <t xml:space="preserve">EMAE (published)</t>
  </si>
  <si>
    <t xml:space="preserve">EMAE (reconstructed)</t>
  </si>
  <si>
    <t xml:space="preserve">Sector detail — latest m/m and y/y (SA levels, NSA y/y)</t>
  </si>
  <si>
    <t xml:space="preserve">Methodology and Caveats</t>
  </si>
  <si>
    <t xml:space="preserve">Source data</t>
  </si>
  <si>
    <t xml:space="preserve">Tabelle1, untouched. Haver codes and the _DLX1 range are preserved so the sheet refreshes normally.</t>
  </si>
  <si>
    <t xml:space="preserve">The core problem</t>
  </si>
  <si>
    <t xml:space="preserve">INDEC publishes EMAE seasonally adjusted but the 15 sector series NSA. Month-on-month and 3m/3m readings on NSA sector data are meaningless — agriculture swings from 65 to 298 on harvest timing alone. Every sector series is therefore seasonally adjusted before any high-frequency transformation.</t>
  </si>
  <si>
    <t xml:space="preserve">Seasonal adjustment</t>
  </si>
  <si>
    <t xml:space="preserve">Done live in-sheet so the workbook self-updates. A full offline X-11 run is frozen on 'X11 Reference' purely as a benchmark, and 'Seasonal Factors' reports the gap between the two. For everything outside agriculture the two methods agree within roughly 1-2% of level over the last five years; the offline routine correlates 0.9985 with INDEC's own published SA EMAE.</t>
  </si>
  <si>
    <t xml:space="preserve">Agriculture is the weak point — read this</t>
  </si>
  <si>
    <t xml:space="preserve">Agriculture and fishing disagree between adjustment methods by roughly 9-12% of level, and the most recent months are worse: on the half-window setting alone, Primary's latest m/m moves between +6% and -6% and its 2026 growth between +7% and +16%. This is not a bug to be fixed. The seasonal amplitude is roughly fourfold, harvest timing genuinely shifts year to year, and the last six months have no centred trend to anchor the factor, so the recent seasonally-adjusted path of agriculture is simply not well identified by any method. Practical rule: read Primary through y/y and YTD, which are computed on NSA data and are identical under every method, and treat its m/m and 3m/3m as directional only. Because Primary is just 8.4% of EMAE the headline is insulated - the 2026 EMAE forecast moves only 0.03pp between methods - but do not put weight on a single month of Primary.</t>
  </si>
  <si>
    <t xml:space="preserve">Monthly workflow</t>
  </si>
  <si>
    <t xml:space="preserve">Refresh Haver, then press F9. That is the whole process. The seasonal factors, the SA levels, every growth rate, the sub-indices and the forecast all recompute from the new NSA data with no manual step. Rows are pre-built through December 2027, so new months populate themselves.</t>
  </si>
  <si>
    <t xml:space="preserve">How the live adjustment works</t>
  </si>
  <si>
    <t xml:space="preserve">Trend is a centred 2x12 moving average of each NSA series. The ratio of NSA to trend isolates seasonality. Each month's factor is the mean of the ratios for that same calendar month within a rolling window centred on the date, so the factors evolve rather than being frozen. Factors are then rescaled so the twelve around any date average to 1.00. SA level = NSA / factor.</t>
  </si>
  <si>
    <t xml:space="preserve">Actual vs forecast rolls automatically</t>
  </si>
  <si>
    <t xml:space="preserve">The Forecast sheet flags each month A or F by testing whether the underlying data exists. When June-2026 arrives it flips from F to A, drops out of the assumption-driven path, and the carry-over decomposition updates itself. You never edit the forecast range.</t>
  </si>
  <si>
    <t xml:space="preserve">The one thing that is NOT live</t>
  </si>
  <si>
    <t xml:space="preserve">The sector weights. They are 2004 base-year value-added shares and do not change with new monthly data, so there is nothing to update. Revisit them only if INDEC rebases.</t>
  </si>
  <si>
    <t xml:space="preserve">Weights</t>
  </si>
  <si>
    <t xml:space="preserve">Estimated by constrained least squares shrunk toward the INDEC 2004 value-added shares (lambda=5.0); R-squared 0.9896. See 'Weights &amp; Assumptions' for the full diagnostic and for how to override with official INDEC weights.</t>
  </si>
  <si>
    <t xml:space="preserve">Bucket definitions</t>
  </si>
  <si>
    <t xml:space="preserve">Primary = agriculture, livestock, hunting &amp; forestry + fishing. Industrial = mining &amp; quarrying + manufacturing + construction. Services = utilities, trade, hotels &amp; restaurants, transport &amp; communications, finance, real estate &amp; business, public administration, education, health, other. Utilities sits in Services here; if you would rather treat it as industrial, change column B on 'Weights &amp; Assumptions' and everything re-aggregates.</t>
  </si>
  <si>
    <t xml:space="preserve">Transformations</t>
  </si>
  <si>
    <t xml:space="preserve">m/m and 3m/3m computed on SA levels. 3m/3m annualised compounds the quarterly rate to the fourth power. y/y and YTD computed on NSA levels, which is how INDEC headlines them and where seasonality cancels.</t>
  </si>
  <si>
    <t xml:space="preserve">Forecast</t>
  </si>
  <si>
    <t xml:space="preserve">Bottom-up. Each sub-index is projected forward at an assumed average monthly SA growth rate — one for the remainder of 2026, one for 2027 — and the three paths are aggregated to EMAE using the bucket weights. Annual growth is the ratio of annual averages of the monthly level path.</t>
  </si>
  <si>
    <t xml:space="preserve">Forecast defaults</t>
  </si>
  <si>
    <t xml:space="preserve">Primary is held near flat despite very strong recent momentum: the trailing 3m average of +6.1% m/m reflects a record harvest level shift, not a sustainable growth rate, and extrapolating it would be an error. Industrial and Services are set to a mild recovery from a stalled base.</t>
  </si>
  <si>
    <t xml:space="preserve">Reading the result</t>
  </si>
  <si>
    <t xml:space="preserve">On the defaults, 2026 is roughly a flat year for headline activity with the Primary sector doing essentially all the work, and 2027 recovers to the low single digits. The carry-over block on 'Forecast' shows how much of each year is already locked in versus driven by the assumptions.</t>
  </si>
  <si>
    <t xml:space="preserve">Colour convention</t>
  </si>
  <si>
    <t xml:space="preserve">Blue = hardcoded input you may overwrite. Green = link to another sheet. Black = formula. Yellow fill = forecast cells and key assumptions.</t>
  </si>
  <si>
    <t xml:space="preserve">Known limitations</t>
  </si>
  <si>
    <t xml:space="preserve">Aggregation error between reconstructed and published EMAE runs at about 1.5 index points (roughly 1%); individual sector weights inside the services block are only weakly identified even after shrinkage, though the bucket split is robust. The forecast is a mechanical level path, not a structural model — it has no explicit treatment of policy, the exchange rate, or the harvest cycle.</t>
  </si>
</sst>
</file>

<file path=xl/styles.xml><?xml version="1.0" encoding="utf-8"?>
<styleSheet xmlns="http://schemas.openxmlformats.org/spreadsheetml/2006/main">
  <numFmts count="11">
    <numFmt numFmtId="164" formatCode="General"/>
    <numFmt numFmtId="165" formatCode="yymm"/>
    <numFmt numFmtId="166" formatCode="0.00000"/>
    <numFmt numFmtId="167" formatCode="0.00"/>
    <numFmt numFmtId="168" formatCode="0.0;\(0.0\);\-"/>
    <numFmt numFmtId="169" formatCode="0.00%"/>
    <numFmt numFmtId="170" formatCode="mmm\-yy"/>
    <numFmt numFmtId="171" formatCode="0.0"/>
    <numFmt numFmtId="172" formatCode="General"/>
    <numFmt numFmtId="173" formatCode="0.0000"/>
    <numFmt numFmtId="174" formatCode="0"/>
  </numFmts>
  <fonts count="15">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i val="true"/>
      <sz val="9"/>
      <color rgb="FF595959"/>
      <name val="Arial"/>
      <family val="0"/>
      <charset val="1"/>
    </font>
    <font>
      <b val="true"/>
      <sz val="11"/>
      <color rgb="FF1F3864"/>
      <name val="Arial"/>
      <family val="0"/>
      <charset val="1"/>
    </font>
    <font>
      <b val="true"/>
      <sz val="10"/>
      <color rgb="FFFFFFFF"/>
      <name val="Arial"/>
      <family val="0"/>
      <charset val="1"/>
    </font>
    <font>
      <sz val="10"/>
      <name val="Arial"/>
      <family val="0"/>
      <charset val="1"/>
    </font>
    <font>
      <sz val="10"/>
      <color rgb="FF0000FF"/>
      <name val="Arial"/>
      <family val="0"/>
      <charset val="1"/>
    </font>
    <font>
      <b val="true"/>
      <sz val="10"/>
      <name val="Arial"/>
      <family val="0"/>
      <charset val="1"/>
    </font>
    <font>
      <sz val="10"/>
      <color rgb="FF008000"/>
      <name val="Arial"/>
      <family val="0"/>
      <charset val="1"/>
    </font>
    <font>
      <b val="true"/>
      <sz val="18"/>
      <color rgb="FF000000"/>
      <name val="Calibri"/>
      <family val="2"/>
    </font>
    <font>
      <sz val="10"/>
      <color rgb="FF000000"/>
      <name val="Calibri"/>
      <family val="2"/>
    </font>
    <font>
      <b val="true"/>
      <sz val="10"/>
      <color rgb="FF000000"/>
      <name val="Calibri"/>
      <family val="2"/>
    </font>
  </fonts>
  <fills count="5">
    <fill>
      <patternFill patternType="none"/>
    </fill>
    <fill>
      <patternFill patternType="gray125"/>
    </fill>
    <fill>
      <patternFill patternType="solid">
        <fgColor rgb="FF1F3864"/>
        <bgColor rgb="FF333333"/>
      </patternFill>
    </fill>
    <fill>
      <patternFill patternType="solid">
        <fgColor rgb="FFFFF2CC"/>
        <bgColor rgb="FFFFFFFF"/>
      </patternFill>
    </fill>
    <fill>
      <patternFill patternType="solid">
        <fgColor rgb="FF2F5496"/>
        <bgColor rgb="FF1F3864"/>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7" fontId="9" fillId="0" borderId="1" xfId="0" applyFont="true" applyBorder="true" applyAlignment="false" applyProtection="false">
      <alignment horizontal="general" vertical="bottom" textRotation="0" wrapText="false" indent="0" shrinkToFit="false"/>
      <protection locked="true" hidden="false"/>
    </xf>
    <xf numFmtId="168" fontId="8" fillId="0" borderId="1" xfId="0" applyFont="true" applyBorder="true" applyAlignment="false" applyProtection="false">
      <alignment horizontal="general" vertical="bottom" textRotation="0" wrapText="false" indent="0" shrinkToFit="false"/>
      <protection locked="true" hidden="false"/>
    </xf>
    <xf numFmtId="169" fontId="8" fillId="0" borderId="1"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7" fontId="10" fillId="0" borderId="0" xfId="0" applyFont="true" applyBorder="false" applyAlignment="false" applyProtection="false">
      <alignment horizontal="general" vertical="bottom" textRotation="0" wrapText="false" indent="0" shrinkToFit="false"/>
      <protection locked="true" hidden="false"/>
    </xf>
    <xf numFmtId="169" fontId="10" fillId="0" borderId="0" xfId="0" applyFont="true" applyBorder="false" applyAlignment="false" applyProtection="false">
      <alignment horizontal="general" vertical="bottom" textRotation="0" wrapText="false" indent="0" shrinkToFit="false"/>
      <protection locked="true" hidden="false"/>
    </xf>
    <xf numFmtId="167" fontId="8" fillId="0" borderId="1" xfId="0" applyFont="true" applyBorder="true" applyAlignment="false" applyProtection="false">
      <alignment horizontal="general" vertical="bottom" textRotation="0" wrapText="false" indent="0" shrinkToFit="false"/>
      <protection locked="true" hidden="false"/>
    </xf>
    <xf numFmtId="167" fontId="9" fillId="3" borderId="1" xfId="0" applyFont="true" applyBorder="true" applyAlignment="false" applyProtection="false">
      <alignment horizontal="general" vertical="bottom" textRotation="0" wrapText="false" indent="0" shrinkToFit="false"/>
      <protection locked="true" hidden="false"/>
    </xf>
    <xf numFmtId="168" fontId="9" fillId="0" borderId="1"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70" fontId="8" fillId="0" borderId="0" xfId="0" applyFont="true" applyBorder="false" applyAlignment="false" applyProtection="false">
      <alignment horizontal="general" vertical="bottom" textRotation="0" wrapText="false" indent="0" shrinkToFit="false"/>
      <protection locked="true" hidden="false"/>
    </xf>
    <xf numFmtId="171" fontId="9" fillId="0" borderId="0" xfId="0" applyFont="true" applyBorder="false" applyAlignment="false" applyProtection="false">
      <alignment horizontal="general" vertical="bottom" textRotation="0" wrapText="false" indent="0" shrinkToFit="false"/>
      <protection locked="true" hidden="false"/>
    </xf>
    <xf numFmtId="172" fontId="8" fillId="0" borderId="0" xfId="0" applyFont="true" applyBorder="false" applyAlignment="false" applyProtection="false">
      <alignment horizontal="general" vertical="bottom" textRotation="0" wrapText="false" indent="0" shrinkToFit="false"/>
      <protection locked="true" hidden="false"/>
    </xf>
    <xf numFmtId="171" fontId="8" fillId="0" borderId="0" xfId="0" applyFont="true" applyBorder="false" applyAlignment="false" applyProtection="false">
      <alignment horizontal="general" vertical="bottom" textRotation="0" wrapText="false" indent="0" shrinkToFit="false"/>
      <protection locked="true" hidden="false"/>
    </xf>
    <xf numFmtId="173" fontId="8" fillId="0" borderId="0" xfId="0" applyFont="true" applyBorder="false" applyAlignment="false" applyProtection="false">
      <alignment horizontal="general" vertical="bottom" textRotation="0" wrapText="false" indent="0" shrinkToFit="false"/>
      <protection locked="true" hidden="false"/>
    </xf>
    <xf numFmtId="174" fontId="9" fillId="3" borderId="0" xfId="0" applyFont="true" applyBorder="false" applyAlignment="false" applyProtection="false">
      <alignment horizontal="general" vertical="bottom" textRotation="0" wrapText="false" indent="0" shrinkToFit="false"/>
      <protection locked="true" hidden="false"/>
    </xf>
    <xf numFmtId="173" fontId="8" fillId="0" borderId="1" xfId="0" applyFont="true" applyBorder="true" applyAlignment="false" applyProtection="false">
      <alignment horizontal="general" vertical="bottom" textRotation="0" wrapText="false" indent="0" shrinkToFit="false"/>
      <protection locked="true" hidden="false"/>
    </xf>
    <xf numFmtId="173" fontId="10" fillId="0" borderId="0" xfId="0" applyFont="true" applyBorder="false" applyAlignment="false" applyProtection="false">
      <alignment horizontal="general" vertical="bottom" textRotation="0" wrapText="false" indent="0" shrinkToFit="false"/>
      <protection locked="true" hidden="false"/>
    </xf>
    <xf numFmtId="164" fontId="7" fillId="4" borderId="1" xfId="0" applyFont="true" applyBorder="true" applyAlignment="true" applyProtection="false">
      <alignment horizontal="center" vertical="center" textRotation="0" wrapText="true" indent="0" shrinkToFit="false"/>
      <protection locked="true" hidden="false"/>
    </xf>
    <xf numFmtId="167" fontId="11" fillId="0" borderId="1" xfId="0" applyFont="true" applyBorder="true" applyAlignment="false" applyProtection="false">
      <alignment horizontal="general" vertical="bottom" textRotation="0" wrapText="false" indent="0" shrinkToFit="false"/>
      <protection locked="true" hidden="false"/>
    </xf>
    <xf numFmtId="171" fontId="11" fillId="0" borderId="0" xfId="0" applyFont="true" applyBorder="false" applyAlignment="false" applyProtection="false">
      <alignment horizontal="general" vertical="bottom" textRotation="0" wrapText="false" indent="0" shrinkToFit="false"/>
      <protection locked="true" hidden="false"/>
    </xf>
    <xf numFmtId="168" fontId="8"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center" vertical="bottom" textRotation="0" wrapText="false" indent="0" shrinkToFit="false"/>
      <protection locked="true" hidden="false"/>
    </xf>
    <xf numFmtId="164" fontId="8" fillId="3" borderId="0" xfId="0" applyFont="true" applyBorder="false" applyAlignment="true" applyProtection="false">
      <alignment horizontal="center" vertical="bottom" textRotation="0" wrapText="false" indent="0" shrinkToFit="false"/>
      <protection locked="true" hidden="false"/>
    </xf>
    <xf numFmtId="171" fontId="8" fillId="3" borderId="0" xfId="0" applyFont="true" applyBorder="false" applyAlignment="false" applyProtection="false">
      <alignment horizontal="general" vertical="bottom" textRotation="0" wrapText="false" indent="0" shrinkToFit="false"/>
      <protection locked="true" hidden="false"/>
    </xf>
    <xf numFmtId="171" fontId="8" fillId="0" borderId="1" xfId="0" applyFont="tru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8" fontId="10" fillId="0" borderId="1" xfId="0" applyFont="tru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false" applyProtection="false">
      <alignment horizontal="general" vertical="bottom" textRotation="0" wrapText="false" indent="0" shrinkToFit="false"/>
      <protection locked="true" hidden="false"/>
    </xf>
    <xf numFmtId="171" fontId="11" fillId="0" borderId="1" xfId="0" applyFont="true" applyBorder="true" applyAlignment="false" applyProtection="false">
      <alignment horizontal="general" vertical="bottom" textRotation="0" wrapText="false" indent="0" shrinkToFit="false"/>
      <protection locked="true" hidden="false"/>
    </xf>
    <xf numFmtId="168" fontId="11" fillId="0" borderId="1" xfId="0" applyFont="true" applyBorder="true" applyAlignment="false" applyProtection="false">
      <alignment horizontal="general" vertical="bottom" textRotation="0" wrapText="false" indent="0" shrinkToFit="false"/>
      <protection locked="true" hidden="false"/>
    </xf>
    <xf numFmtId="164" fontId="11" fillId="0" borderId="1"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ont>
        <name val="Arial"/>
        <charset val="1"/>
        <family val="0"/>
        <color rgb="FFC00000"/>
        <sz val="10"/>
      </font>
    </dxf>
  </dxfs>
  <colors>
    <indexedColors>
      <rgbColor rgb="FF000000"/>
      <rgbColor rgb="FFFFFFFF"/>
      <rgbColor rgb="FFC00000"/>
      <rgbColor rgb="FF00FF00"/>
      <rgbColor rgb="FF0000FF"/>
      <rgbColor rgb="FFFFFF00"/>
      <rgbColor rgb="FFFF00FF"/>
      <rgbColor rgb="FF00FFFF"/>
      <rgbColor rgb="FF800000"/>
      <rgbColor rgb="FF008000"/>
      <rgbColor rgb="FF000080"/>
      <rgbColor rgb="FFC46728"/>
      <rgbColor rgb="FF800080"/>
      <rgbColor rgb="FF008080"/>
      <rgbColor rgb="FFBFBFBF"/>
      <rgbColor rgb="FF8B8B8B"/>
      <rgbColor rgb="FF5B9BD5"/>
      <rgbColor rgb="FF993366"/>
      <rgbColor rgb="FFFFF2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3B8A4"/>
      <rgbColor rgb="FF3366FF"/>
      <rgbColor rgb="FF33CCCC"/>
      <rgbColor rgb="FF99CC00"/>
      <rgbColor rgb="FFFFCC00"/>
      <rgbColor rgb="FFFF9900"/>
      <rgbColor rgb="FFED7D31"/>
      <rgbColor rgb="FF595959"/>
      <rgbColor rgb="FFA5A5A5"/>
      <rgbColor rgb="FF1F3864"/>
      <rgbColor rgb="FF339966"/>
      <rgbColor rgb="FF003300"/>
      <rgbColor rgb="FF333300"/>
      <rgbColor rgb="FF993300"/>
      <rgbColor rgb="FF993366"/>
      <rgbColor rgb="FF2F5496"/>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Sub-index levels, SA (2004=100)</a:t>
            </a:r>
          </a:p>
        </c:rich>
      </c:tx>
      <c:overlay val="0"/>
      <c:spPr>
        <a:noFill/>
        <a:ln w="0">
          <a:noFill/>
        </a:ln>
      </c:spPr>
    </c:title>
    <c:autoTitleDeleted val="0"/>
    <c:plotArea>
      <c:lineChart>
        <c:grouping val="standard"/>
        <c:varyColors val="0"/>
        <c:ser>
          <c:idx val="0"/>
          <c:order val="0"/>
          <c:tx>
            <c:strRef>
              <c:f>'Sub-Index Analysis'!B6</c:f>
              <c:strCache>
                <c:ptCount val="1"/>
                <c:pt idx="0">
                  <c:v>Primary: SA level</c:v>
                </c:pt>
              </c:strCache>
            </c:strRef>
          </c:tx>
          <c:spPr>
            <a:solidFill>
              <a:srgbClr val="c46728"/>
            </a:solidFill>
            <a:ln w="31680">
              <a:solidFill>
                <a:srgbClr val="c46728"/>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'Sub-Index Analysis'!$A$7:$A$275</c:f>
              <c:strCache>
                <c:ptCount val="269"/>
                <c:pt idx="0">
                  <c:v>Jan-04</c:v>
                </c:pt>
                <c:pt idx="1">
                  <c:v>Feb-04</c:v>
                </c:pt>
                <c:pt idx="2">
                  <c:v>Mar-04</c:v>
                </c:pt>
                <c:pt idx="3">
                  <c:v>Apr-04</c:v>
                </c:pt>
                <c:pt idx="4">
                  <c:v>May-04</c:v>
                </c:pt>
                <c:pt idx="5">
                  <c:v>Jun-04</c:v>
                </c:pt>
                <c:pt idx="6">
                  <c:v>Jul-04</c:v>
                </c:pt>
                <c:pt idx="7">
                  <c:v>Aug-04</c:v>
                </c:pt>
                <c:pt idx="8">
                  <c:v>Sep-04</c:v>
                </c:pt>
                <c:pt idx="9">
                  <c:v>Oct-04</c:v>
                </c:pt>
                <c:pt idx="10">
                  <c:v>Nov-04</c:v>
                </c:pt>
                <c:pt idx="11">
                  <c:v>Dec-04</c:v>
                </c:pt>
                <c:pt idx="12">
                  <c:v>Jan-05</c:v>
                </c:pt>
                <c:pt idx="13">
                  <c:v>Feb-05</c:v>
                </c:pt>
                <c:pt idx="14">
                  <c:v>Mar-05</c:v>
                </c:pt>
                <c:pt idx="15">
                  <c:v>Apr-05</c:v>
                </c:pt>
                <c:pt idx="16">
                  <c:v>May-05</c:v>
                </c:pt>
                <c:pt idx="17">
                  <c:v>Jun-05</c:v>
                </c:pt>
                <c:pt idx="18">
                  <c:v>Jul-05</c:v>
                </c:pt>
                <c:pt idx="19">
                  <c:v>Aug-05</c:v>
                </c:pt>
                <c:pt idx="20">
                  <c:v>Sep-05</c:v>
                </c:pt>
                <c:pt idx="21">
                  <c:v>Oct-05</c:v>
                </c:pt>
                <c:pt idx="22">
                  <c:v>Nov-05</c:v>
                </c:pt>
                <c:pt idx="23">
                  <c:v>Dec-05</c:v>
                </c:pt>
                <c:pt idx="24">
                  <c:v>Jan-06</c:v>
                </c:pt>
                <c:pt idx="25">
                  <c:v>Feb-06</c:v>
                </c:pt>
                <c:pt idx="26">
                  <c:v>Mar-06</c:v>
                </c:pt>
                <c:pt idx="27">
                  <c:v>Apr-06</c:v>
                </c:pt>
                <c:pt idx="28">
                  <c:v>May-06</c:v>
                </c:pt>
                <c:pt idx="29">
                  <c:v>Jun-06</c:v>
                </c:pt>
                <c:pt idx="30">
                  <c:v>Jul-06</c:v>
                </c:pt>
                <c:pt idx="31">
                  <c:v>Aug-06</c:v>
                </c:pt>
                <c:pt idx="32">
                  <c:v>Sep-06</c:v>
                </c:pt>
                <c:pt idx="33">
                  <c:v>Oct-06</c:v>
                </c:pt>
                <c:pt idx="34">
                  <c:v>Nov-06</c:v>
                </c:pt>
                <c:pt idx="35">
                  <c:v>Dec-06</c:v>
                </c:pt>
                <c:pt idx="36">
                  <c:v>Jan-07</c:v>
                </c:pt>
                <c:pt idx="37">
                  <c:v>Feb-07</c:v>
                </c:pt>
                <c:pt idx="38">
                  <c:v>Mar-07</c:v>
                </c:pt>
                <c:pt idx="39">
                  <c:v>Apr-07</c:v>
                </c:pt>
                <c:pt idx="40">
                  <c:v>May-07</c:v>
                </c:pt>
                <c:pt idx="41">
                  <c:v>Jun-07</c:v>
                </c:pt>
                <c:pt idx="42">
                  <c:v>Jul-07</c:v>
                </c:pt>
                <c:pt idx="43">
                  <c:v>Aug-07</c:v>
                </c:pt>
                <c:pt idx="44">
                  <c:v>Sep-07</c:v>
                </c:pt>
                <c:pt idx="45">
                  <c:v>Oct-07</c:v>
                </c:pt>
                <c:pt idx="46">
                  <c:v>Nov-07</c:v>
                </c:pt>
                <c:pt idx="47">
                  <c:v>Dec-07</c:v>
                </c:pt>
                <c:pt idx="48">
                  <c:v>Jan-08</c:v>
                </c:pt>
                <c:pt idx="49">
                  <c:v>Feb-08</c:v>
                </c:pt>
                <c:pt idx="50">
                  <c:v>Mar-08</c:v>
                </c:pt>
                <c:pt idx="51">
                  <c:v>Apr-08</c:v>
                </c:pt>
                <c:pt idx="52">
                  <c:v>May-08</c:v>
                </c:pt>
                <c:pt idx="53">
                  <c:v>Jun-08</c:v>
                </c:pt>
                <c:pt idx="54">
                  <c:v>Jul-08</c:v>
                </c:pt>
                <c:pt idx="55">
                  <c:v>Aug-08</c:v>
                </c:pt>
                <c:pt idx="56">
                  <c:v>Sep-08</c:v>
                </c:pt>
                <c:pt idx="57">
                  <c:v>Oct-08</c:v>
                </c:pt>
                <c:pt idx="58">
                  <c:v>Nov-08</c:v>
                </c:pt>
                <c:pt idx="59">
                  <c:v>Dec-08</c:v>
                </c:pt>
                <c:pt idx="60">
                  <c:v>Jan-09</c:v>
                </c:pt>
                <c:pt idx="61">
                  <c:v>Feb-09</c:v>
                </c:pt>
                <c:pt idx="62">
                  <c:v>Mar-09</c:v>
                </c:pt>
                <c:pt idx="63">
                  <c:v>Apr-09</c:v>
                </c:pt>
                <c:pt idx="64">
                  <c:v>May-09</c:v>
                </c:pt>
                <c:pt idx="65">
                  <c:v>Jun-09</c:v>
                </c:pt>
                <c:pt idx="66">
                  <c:v>Jul-09</c:v>
                </c:pt>
                <c:pt idx="67">
                  <c:v>Aug-09</c:v>
                </c:pt>
                <c:pt idx="68">
                  <c:v>Sep-09</c:v>
                </c:pt>
                <c:pt idx="69">
                  <c:v>Oct-09</c:v>
                </c:pt>
                <c:pt idx="70">
                  <c:v>Nov-09</c:v>
                </c:pt>
                <c:pt idx="71">
                  <c:v>Dec-09</c:v>
                </c:pt>
                <c:pt idx="72">
                  <c:v>Jan-10</c:v>
                </c:pt>
                <c:pt idx="73">
                  <c:v>Feb-10</c:v>
                </c:pt>
                <c:pt idx="74">
                  <c:v>Mar-10</c:v>
                </c:pt>
                <c:pt idx="75">
                  <c:v>Apr-10</c:v>
                </c:pt>
                <c:pt idx="76">
                  <c:v>May-10</c:v>
                </c:pt>
                <c:pt idx="77">
                  <c:v>Jun-10</c:v>
                </c:pt>
                <c:pt idx="78">
                  <c:v>Jul-10</c:v>
                </c:pt>
                <c:pt idx="79">
                  <c:v>Aug-10</c:v>
                </c:pt>
                <c:pt idx="80">
                  <c:v>Sep-10</c:v>
                </c:pt>
                <c:pt idx="81">
                  <c:v>Oct-10</c:v>
                </c:pt>
                <c:pt idx="82">
                  <c:v>Nov-10</c:v>
                </c:pt>
                <c:pt idx="83">
                  <c:v>Dec-10</c:v>
                </c:pt>
                <c:pt idx="84">
                  <c:v>Jan-11</c:v>
                </c:pt>
                <c:pt idx="85">
                  <c:v>Feb-11</c:v>
                </c:pt>
                <c:pt idx="86">
                  <c:v>Mar-11</c:v>
                </c:pt>
                <c:pt idx="87">
                  <c:v>Apr-11</c:v>
                </c:pt>
                <c:pt idx="88">
                  <c:v>May-11</c:v>
                </c:pt>
                <c:pt idx="89">
                  <c:v>Jun-11</c:v>
                </c:pt>
                <c:pt idx="90">
                  <c:v>Jul-11</c:v>
                </c:pt>
                <c:pt idx="91">
                  <c:v>Aug-11</c:v>
                </c:pt>
                <c:pt idx="92">
                  <c:v>Sep-11</c:v>
                </c:pt>
                <c:pt idx="93">
                  <c:v>Oct-11</c:v>
                </c:pt>
                <c:pt idx="94">
                  <c:v>Nov-11</c:v>
                </c:pt>
                <c:pt idx="95">
                  <c:v>Dec-11</c:v>
                </c:pt>
                <c:pt idx="96">
                  <c:v>Jan-12</c:v>
                </c:pt>
                <c:pt idx="97">
                  <c:v>Feb-12</c:v>
                </c:pt>
                <c:pt idx="98">
                  <c:v>Mar-12</c:v>
                </c:pt>
                <c:pt idx="99">
                  <c:v>Apr-12</c:v>
                </c:pt>
                <c:pt idx="100">
                  <c:v>May-12</c:v>
                </c:pt>
                <c:pt idx="101">
                  <c:v>Jun-12</c:v>
                </c:pt>
                <c:pt idx="102">
                  <c:v>Jul-12</c:v>
                </c:pt>
                <c:pt idx="103">
                  <c:v>Aug-12</c:v>
                </c:pt>
                <c:pt idx="104">
                  <c:v>Sep-12</c:v>
                </c:pt>
                <c:pt idx="105">
                  <c:v>Oct-12</c:v>
                </c:pt>
                <c:pt idx="106">
                  <c:v>Nov-12</c:v>
                </c:pt>
                <c:pt idx="107">
                  <c:v>Dec-12</c:v>
                </c:pt>
                <c:pt idx="108">
                  <c:v>Jan-13</c:v>
                </c:pt>
                <c:pt idx="109">
                  <c:v>Feb-13</c:v>
                </c:pt>
                <c:pt idx="110">
                  <c:v>Mar-13</c:v>
                </c:pt>
                <c:pt idx="111">
                  <c:v>Apr-13</c:v>
                </c:pt>
                <c:pt idx="112">
                  <c:v>May-13</c:v>
                </c:pt>
                <c:pt idx="113">
                  <c:v>Jun-13</c:v>
                </c:pt>
                <c:pt idx="114">
                  <c:v>Jul-13</c:v>
                </c:pt>
                <c:pt idx="115">
                  <c:v>Aug-13</c:v>
                </c:pt>
                <c:pt idx="116">
                  <c:v>Sep-13</c:v>
                </c:pt>
                <c:pt idx="117">
                  <c:v>Oct-13</c:v>
                </c:pt>
                <c:pt idx="118">
                  <c:v>Nov-13</c:v>
                </c:pt>
                <c:pt idx="119">
                  <c:v>Dec-13</c:v>
                </c:pt>
                <c:pt idx="120">
                  <c:v>Jan-14</c:v>
                </c:pt>
                <c:pt idx="121">
                  <c:v>Feb-14</c:v>
                </c:pt>
                <c:pt idx="122">
                  <c:v>Mar-14</c:v>
                </c:pt>
                <c:pt idx="123">
                  <c:v>Apr-14</c:v>
                </c:pt>
                <c:pt idx="124">
                  <c:v>May-14</c:v>
                </c:pt>
                <c:pt idx="125">
                  <c:v>Jun-14</c:v>
                </c:pt>
                <c:pt idx="126">
                  <c:v>Jul-14</c:v>
                </c:pt>
                <c:pt idx="127">
                  <c:v>Aug-14</c:v>
                </c:pt>
                <c:pt idx="128">
                  <c:v>Sep-14</c:v>
                </c:pt>
                <c:pt idx="129">
                  <c:v>Oct-14</c:v>
                </c:pt>
                <c:pt idx="130">
                  <c:v>Nov-14</c:v>
                </c:pt>
                <c:pt idx="131">
                  <c:v>Dec-14</c:v>
                </c:pt>
                <c:pt idx="132">
                  <c:v>Jan-15</c:v>
                </c:pt>
                <c:pt idx="133">
                  <c:v>Feb-15</c:v>
                </c:pt>
                <c:pt idx="134">
                  <c:v>Mar-15</c:v>
                </c:pt>
                <c:pt idx="135">
                  <c:v>Apr-15</c:v>
                </c:pt>
                <c:pt idx="136">
                  <c:v>May-15</c:v>
                </c:pt>
                <c:pt idx="137">
                  <c:v>Jun-15</c:v>
                </c:pt>
                <c:pt idx="138">
                  <c:v>Jul-15</c:v>
                </c:pt>
                <c:pt idx="139">
                  <c:v>Aug-15</c:v>
                </c:pt>
                <c:pt idx="140">
                  <c:v>Sep-15</c:v>
                </c:pt>
                <c:pt idx="141">
                  <c:v>Oct-15</c:v>
                </c:pt>
                <c:pt idx="142">
                  <c:v>Nov-15</c:v>
                </c:pt>
                <c:pt idx="143">
                  <c:v>Dec-15</c:v>
                </c:pt>
                <c:pt idx="144">
                  <c:v>Jan-16</c:v>
                </c:pt>
                <c:pt idx="145">
                  <c:v>Feb-16</c:v>
                </c:pt>
                <c:pt idx="146">
                  <c:v>Mar-16</c:v>
                </c:pt>
                <c:pt idx="147">
                  <c:v>Apr-16</c:v>
                </c:pt>
                <c:pt idx="148">
                  <c:v>May-16</c:v>
                </c:pt>
                <c:pt idx="149">
                  <c:v>Jun-16</c:v>
                </c:pt>
                <c:pt idx="150">
                  <c:v>Jul-16</c:v>
                </c:pt>
                <c:pt idx="151">
                  <c:v>Aug-16</c:v>
                </c:pt>
                <c:pt idx="152">
                  <c:v>Sep-16</c:v>
                </c:pt>
                <c:pt idx="153">
                  <c:v>Oct-16</c:v>
                </c:pt>
                <c:pt idx="154">
                  <c:v>Nov-16</c:v>
                </c:pt>
                <c:pt idx="155">
                  <c:v>Dec-16</c:v>
                </c:pt>
                <c:pt idx="156">
                  <c:v>Jan-17</c:v>
                </c:pt>
                <c:pt idx="157">
                  <c:v>Feb-17</c:v>
                </c:pt>
                <c:pt idx="158">
                  <c:v>Mar-17</c:v>
                </c:pt>
                <c:pt idx="159">
                  <c:v>Apr-17</c:v>
                </c:pt>
                <c:pt idx="160">
                  <c:v>May-17</c:v>
                </c:pt>
                <c:pt idx="161">
                  <c:v>Jun-17</c:v>
                </c:pt>
                <c:pt idx="162">
                  <c:v>Jul-17</c:v>
                </c:pt>
                <c:pt idx="163">
                  <c:v>Aug-17</c:v>
                </c:pt>
                <c:pt idx="164">
                  <c:v>Sep-17</c:v>
                </c:pt>
                <c:pt idx="165">
                  <c:v>Oct-17</c:v>
                </c:pt>
                <c:pt idx="166">
                  <c:v>Nov-17</c:v>
                </c:pt>
                <c:pt idx="167">
                  <c:v>Dec-17</c:v>
                </c:pt>
                <c:pt idx="168">
                  <c:v>Jan-18</c:v>
                </c:pt>
                <c:pt idx="169">
                  <c:v>Feb-18</c:v>
                </c:pt>
                <c:pt idx="170">
                  <c:v>Mar-18</c:v>
                </c:pt>
                <c:pt idx="171">
                  <c:v>Apr-18</c:v>
                </c:pt>
                <c:pt idx="172">
                  <c:v>May-18</c:v>
                </c:pt>
                <c:pt idx="173">
                  <c:v>Jun-18</c:v>
                </c:pt>
                <c:pt idx="174">
                  <c:v>Jul-18</c:v>
                </c:pt>
                <c:pt idx="175">
                  <c:v>Aug-18</c:v>
                </c:pt>
                <c:pt idx="176">
                  <c:v>Sep-18</c:v>
                </c:pt>
                <c:pt idx="177">
                  <c:v>Oct-18</c:v>
                </c:pt>
                <c:pt idx="178">
                  <c:v>Nov-18</c:v>
                </c:pt>
                <c:pt idx="179">
                  <c:v>Dec-18</c:v>
                </c:pt>
                <c:pt idx="180">
                  <c:v>Jan-19</c:v>
                </c:pt>
                <c:pt idx="181">
                  <c:v>Feb-19</c:v>
                </c:pt>
                <c:pt idx="182">
                  <c:v>Mar-19</c:v>
                </c:pt>
                <c:pt idx="183">
                  <c:v>Apr-19</c:v>
                </c:pt>
                <c:pt idx="184">
                  <c:v>May-19</c:v>
                </c:pt>
                <c:pt idx="185">
                  <c:v>Jun-19</c:v>
                </c:pt>
                <c:pt idx="186">
                  <c:v>Jul-19</c:v>
                </c:pt>
                <c:pt idx="187">
                  <c:v>Aug-19</c:v>
                </c:pt>
                <c:pt idx="188">
                  <c:v>Sep-19</c:v>
                </c:pt>
                <c:pt idx="189">
                  <c:v>Oct-19</c:v>
                </c:pt>
                <c:pt idx="190">
                  <c:v>Nov-19</c:v>
                </c:pt>
                <c:pt idx="191">
                  <c:v>Dec-19</c:v>
                </c:pt>
                <c:pt idx="192">
                  <c:v>Jan-20</c:v>
                </c:pt>
                <c:pt idx="193">
                  <c:v>Feb-20</c:v>
                </c:pt>
                <c:pt idx="194">
                  <c:v>Mar-20</c:v>
                </c:pt>
                <c:pt idx="195">
                  <c:v>Apr-20</c:v>
                </c:pt>
                <c:pt idx="196">
                  <c:v>May-20</c:v>
                </c:pt>
                <c:pt idx="197">
                  <c:v>Jun-20</c:v>
                </c:pt>
                <c:pt idx="198">
                  <c:v>Jul-20</c:v>
                </c:pt>
                <c:pt idx="199">
                  <c:v>Aug-20</c:v>
                </c:pt>
                <c:pt idx="200">
                  <c:v>Sep-20</c:v>
                </c:pt>
                <c:pt idx="201">
                  <c:v>Oct-20</c:v>
                </c:pt>
                <c:pt idx="202">
                  <c:v>Nov-20</c:v>
                </c:pt>
                <c:pt idx="203">
                  <c:v>Dec-20</c:v>
                </c:pt>
                <c:pt idx="204">
                  <c:v>Jan-21</c:v>
                </c:pt>
                <c:pt idx="205">
                  <c:v>Feb-21</c:v>
                </c:pt>
                <c:pt idx="206">
                  <c:v>Mar-21</c:v>
                </c:pt>
                <c:pt idx="207">
                  <c:v>Apr-21</c:v>
                </c:pt>
                <c:pt idx="208">
                  <c:v>May-21</c:v>
                </c:pt>
                <c:pt idx="209">
                  <c:v>Jun-21</c:v>
                </c:pt>
                <c:pt idx="210">
                  <c:v>Jul-21</c:v>
                </c:pt>
                <c:pt idx="211">
                  <c:v>Aug-21</c:v>
                </c:pt>
                <c:pt idx="212">
                  <c:v>Sep-21</c:v>
                </c:pt>
                <c:pt idx="213">
                  <c:v>Oct-21</c:v>
                </c:pt>
                <c:pt idx="214">
                  <c:v>Nov-21</c:v>
                </c:pt>
                <c:pt idx="215">
                  <c:v>Dec-21</c:v>
                </c:pt>
                <c:pt idx="216">
                  <c:v>Jan-22</c:v>
                </c:pt>
                <c:pt idx="217">
                  <c:v>Feb-22</c:v>
                </c:pt>
                <c:pt idx="218">
                  <c:v>Mar-22</c:v>
                </c:pt>
                <c:pt idx="219">
                  <c:v>Apr-22</c:v>
                </c:pt>
                <c:pt idx="220">
                  <c:v>May-22</c:v>
                </c:pt>
                <c:pt idx="221">
                  <c:v>Jun-22</c:v>
                </c:pt>
                <c:pt idx="222">
                  <c:v>Jul-22</c:v>
                </c:pt>
                <c:pt idx="223">
                  <c:v>Aug-22</c:v>
                </c:pt>
                <c:pt idx="224">
                  <c:v>Sep-22</c:v>
                </c:pt>
                <c:pt idx="225">
                  <c:v>Oct-22</c:v>
                </c:pt>
                <c:pt idx="226">
                  <c:v>Nov-22</c:v>
                </c:pt>
                <c:pt idx="227">
                  <c:v>Dec-22</c:v>
                </c:pt>
                <c:pt idx="228">
                  <c:v>Jan-23</c:v>
                </c:pt>
                <c:pt idx="229">
                  <c:v>Feb-23</c:v>
                </c:pt>
                <c:pt idx="230">
                  <c:v>Mar-23</c:v>
                </c:pt>
                <c:pt idx="231">
                  <c:v>Apr-23</c:v>
                </c:pt>
                <c:pt idx="232">
                  <c:v>May-23</c:v>
                </c:pt>
                <c:pt idx="233">
                  <c:v>Jun-23</c:v>
                </c:pt>
                <c:pt idx="234">
                  <c:v>Jul-23</c:v>
                </c:pt>
                <c:pt idx="235">
                  <c:v>Aug-23</c:v>
                </c:pt>
                <c:pt idx="236">
                  <c:v>Sep-23</c:v>
                </c:pt>
                <c:pt idx="237">
                  <c:v>Oct-23</c:v>
                </c:pt>
                <c:pt idx="238">
                  <c:v>Nov-23</c:v>
                </c:pt>
                <c:pt idx="239">
                  <c:v>Dec-23</c:v>
                </c:pt>
                <c:pt idx="240">
                  <c:v>Jan-24</c:v>
                </c:pt>
                <c:pt idx="241">
                  <c:v>Feb-24</c:v>
                </c:pt>
                <c:pt idx="242">
                  <c:v>Mar-24</c:v>
                </c:pt>
                <c:pt idx="243">
                  <c:v>Apr-24</c:v>
                </c:pt>
                <c:pt idx="244">
                  <c:v>May-24</c:v>
                </c:pt>
                <c:pt idx="245">
                  <c:v>Jun-24</c:v>
                </c:pt>
                <c:pt idx="246">
                  <c:v>Jul-24</c:v>
                </c:pt>
                <c:pt idx="247">
                  <c:v>Aug-24</c:v>
                </c:pt>
                <c:pt idx="248">
                  <c:v>Sep-24</c:v>
                </c:pt>
                <c:pt idx="249">
                  <c:v>Oct-24</c:v>
                </c:pt>
                <c:pt idx="250">
                  <c:v>Nov-24</c:v>
                </c:pt>
                <c:pt idx="251">
                  <c:v>Dec-24</c:v>
                </c:pt>
                <c:pt idx="252">
                  <c:v>Jan-25</c:v>
                </c:pt>
                <c:pt idx="253">
                  <c:v>Feb-25</c:v>
                </c:pt>
                <c:pt idx="254">
                  <c:v>Mar-25</c:v>
                </c:pt>
                <c:pt idx="255">
                  <c:v>Apr-25</c:v>
                </c:pt>
                <c:pt idx="256">
                  <c:v>May-25</c:v>
                </c:pt>
                <c:pt idx="257">
                  <c:v>Jun-25</c:v>
                </c:pt>
                <c:pt idx="258">
                  <c:v>Jul-25</c:v>
                </c:pt>
                <c:pt idx="259">
                  <c:v>Aug-25</c:v>
                </c:pt>
                <c:pt idx="260">
                  <c:v>Sep-25</c:v>
                </c:pt>
                <c:pt idx="261">
                  <c:v>Oct-25</c:v>
                </c:pt>
                <c:pt idx="262">
                  <c:v>Nov-25</c:v>
                </c:pt>
                <c:pt idx="263">
                  <c:v>Dec-25</c:v>
                </c:pt>
                <c:pt idx="264">
                  <c:v>Jan-26</c:v>
                </c:pt>
                <c:pt idx="265">
                  <c:v>Feb-26</c:v>
                </c:pt>
                <c:pt idx="266">
                  <c:v>Mar-26</c:v>
                </c:pt>
                <c:pt idx="267">
                  <c:v>Apr-26</c:v>
                </c:pt>
                <c:pt idx="268">
                  <c:v>May-26</c:v>
                </c:pt>
              </c:strCache>
            </c:strRef>
          </c:cat>
          <c:val>
            <c:numRef>
              <c:f>'Sub-Index Analysis'!$B$7:$B$275</c:f>
              <c:numCache>
                <c:formatCode>0.0</c:formatCode>
                <c:ptCount val="269"/>
                <c:pt idx="0">
                  <c:v>152.122490943548</c:v>
                </c:pt>
                <c:pt idx="1">
                  <c:v>137.645423880149</c:v>
                </c:pt>
                <c:pt idx="2">
                  <c:v>113.662051207078</c:v>
                </c:pt>
                <c:pt idx="3">
                  <c:v>93.2266598964898</c:v>
                </c:pt>
                <c:pt idx="4">
                  <c:v>86.1881177356952</c:v>
                </c:pt>
                <c:pt idx="5">
                  <c:v>88.0848893287709</c:v>
                </c:pt>
                <c:pt idx="6">
                  <c:v>108.550916950829</c:v>
                </c:pt>
                <c:pt idx="7">
                  <c:v>112.808843681497</c:v>
                </c:pt>
                <c:pt idx="8">
                  <c:v>113.349880358795</c:v>
                </c:pt>
                <c:pt idx="9">
                  <c:v>116.048014110656</c:v>
                </c:pt>
                <c:pt idx="10">
                  <c:v>114.359674156125</c:v>
                </c:pt>
                <c:pt idx="11">
                  <c:v>115.596288277326</c:v>
                </c:pt>
                <c:pt idx="12">
                  <c:v>115.292957515589</c:v>
                </c:pt>
                <c:pt idx="13">
                  <c:v>118.828518879066</c:v>
                </c:pt>
                <c:pt idx="14">
                  <c:v>125.350869995437</c:v>
                </c:pt>
                <c:pt idx="15">
                  <c:v>126.075796354183</c:v>
                </c:pt>
                <c:pt idx="16">
                  <c:v>122.962910637118</c:v>
                </c:pt>
                <c:pt idx="17">
                  <c:v>121.981539136623</c:v>
                </c:pt>
                <c:pt idx="18">
                  <c:v>109.260201544076</c:v>
                </c:pt>
                <c:pt idx="19">
                  <c:v>105.10223823339</c:v>
                </c:pt>
                <c:pt idx="20">
                  <c:v>104.016730634339</c:v>
                </c:pt>
                <c:pt idx="21">
                  <c:v>107.914640183608</c:v>
                </c:pt>
                <c:pt idx="22">
                  <c:v>115.566678818539</c:v>
                </c:pt>
                <c:pt idx="23">
                  <c:v>132.654764283697</c:v>
                </c:pt>
                <c:pt idx="24">
                  <c:v>127.323770776958</c:v>
                </c:pt>
                <c:pt idx="25">
                  <c:v>118.933443499692</c:v>
                </c:pt>
                <c:pt idx="26">
                  <c:v>116.99166030373</c:v>
                </c:pt>
                <c:pt idx="27">
                  <c:v>114.109634810441</c:v>
                </c:pt>
                <c:pt idx="28">
                  <c:v>114.450660955136</c:v>
                </c:pt>
                <c:pt idx="29">
                  <c:v>115.373322549511</c:v>
                </c:pt>
                <c:pt idx="30">
                  <c:v>117.732386476579</c:v>
                </c:pt>
                <c:pt idx="31">
                  <c:v>121.937577316195</c:v>
                </c:pt>
                <c:pt idx="32">
                  <c:v>121.557337446857</c:v>
                </c:pt>
                <c:pt idx="33">
                  <c:v>114.834582074512</c:v>
                </c:pt>
                <c:pt idx="34">
                  <c:v>117.131655516974</c:v>
                </c:pt>
                <c:pt idx="35">
                  <c:v>127.027051801414</c:v>
                </c:pt>
                <c:pt idx="36">
                  <c:v>128.007238868453</c:v>
                </c:pt>
                <c:pt idx="37">
                  <c:v>122.619088388606</c:v>
                </c:pt>
                <c:pt idx="38">
                  <c:v>124.282789431014</c:v>
                </c:pt>
                <c:pt idx="39">
                  <c:v>132.609978255839</c:v>
                </c:pt>
                <c:pt idx="40">
                  <c:v>134.487419987129</c:v>
                </c:pt>
                <c:pt idx="41">
                  <c:v>133.90070887193</c:v>
                </c:pt>
                <c:pt idx="42">
                  <c:v>125.237033478875</c:v>
                </c:pt>
                <c:pt idx="43">
                  <c:v>121.141048897852</c:v>
                </c:pt>
                <c:pt idx="44">
                  <c:v>117.612438716318</c:v>
                </c:pt>
                <c:pt idx="45">
                  <c:v>120.855282150768</c:v>
                </c:pt>
                <c:pt idx="46">
                  <c:v>121.18852251658</c:v>
                </c:pt>
                <c:pt idx="47">
                  <c:v>122.291789894159</c:v>
                </c:pt>
                <c:pt idx="48">
                  <c:v>118.301920540347</c:v>
                </c:pt>
                <c:pt idx="49">
                  <c:v>118.822528360154</c:v>
                </c:pt>
                <c:pt idx="50">
                  <c:v>122.796098846927</c:v>
                </c:pt>
                <c:pt idx="51">
                  <c:v>133.304163715756</c:v>
                </c:pt>
                <c:pt idx="52">
                  <c:v>133.411476734012</c:v>
                </c:pt>
                <c:pt idx="53">
                  <c:v>131.043315074948</c:v>
                </c:pt>
                <c:pt idx="54">
                  <c:v>125.658404193652</c:v>
                </c:pt>
                <c:pt idx="55">
                  <c:v>120.043875375697</c:v>
                </c:pt>
                <c:pt idx="56">
                  <c:v>119.88223781073</c:v>
                </c:pt>
                <c:pt idx="57">
                  <c:v>118.58324809829</c:v>
                </c:pt>
                <c:pt idx="58">
                  <c:v>115.354441358158</c:v>
                </c:pt>
                <c:pt idx="59">
                  <c:v>103.561226608943</c:v>
                </c:pt>
                <c:pt idx="60">
                  <c:v>105.317637404987</c:v>
                </c:pt>
                <c:pt idx="61">
                  <c:v>108.069850664017</c:v>
                </c:pt>
                <c:pt idx="62">
                  <c:v>96.9658983051827</c:v>
                </c:pt>
                <c:pt idx="63">
                  <c:v>79.3291115373725</c:v>
                </c:pt>
                <c:pt idx="64">
                  <c:v>77.4856106376262</c:v>
                </c:pt>
                <c:pt idx="65">
                  <c:v>79.7094025480293</c:v>
                </c:pt>
                <c:pt idx="66">
                  <c:v>101.18958661032</c:v>
                </c:pt>
                <c:pt idx="67">
                  <c:v>110.76735265301</c:v>
                </c:pt>
                <c:pt idx="68">
                  <c:v>113.822442541418</c:v>
                </c:pt>
                <c:pt idx="69">
                  <c:v>110.954597721335</c:v>
                </c:pt>
                <c:pt idx="70">
                  <c:v>109.942361503719</c:v>
                </c:pt>
                <c:pt idx="71">
                  <c:v>95.7942410392075</c:v>
                </c:pt>
                <c:pt idx="72">
                  <c:v>100.730748743133</c:v>
                </c:pt>
                <c:pt idx="73">
                  <c:v>112.040158294404</c:v>
                </c:pt>
                <c:pt idx="74">
                  <c:v>120.967806396335</c:v>
                </c:pt>
                <c:pt idx="75">
                  <c:v>139.40937987055</c:v>
                </c:pt>
                <c:pt idx="76">
                  <c:v>143.387315636581</c:v>
                </c:pt>
                <c:pt idx="77">
                  <c:v>141.11506731792</c:v>
                </c:pt>
                <c:pt idx="78">
                  <c:v>122.702303213126</c:v>
                </c:pt>
                <c:pt idx="79">
                  <c:v>112.192574385447</c:v>
                </c:pt>
                <c:pt idx="80">
                  <c:v>111.595601399625</c:v>
                </c:pt>
                <c:pt idx="81">
                  <c:v>116.813641109362</c:v>
                </c:pt>
                <c:pt idx="82">
                  <c:v>124.232304629304</c:v>
                </c:pt>
                <c:pt idx="83">
                  <c:v>138.086731682048</c:v>
                </c:pt>
                <c:pt idx="84">
                  <c:v>132.129839578409</c:v>
                </c:pt>
                <c:pt idx="85">
                  <c:v>125.462904254263</c:v>
                </c:pt>
                <c:pt idx="86">
                  <c:v>127.88106766193</c:v>
                </c:pt>
                <c:pt idx="87">
                  <c:v>128.146254506252</c:v>
                </c:pt>
                <c:pt idx="88">
                  <c:v>126.91553707771</c:v>
                </c:pt>
                <c:pt idx="89">
                  <c:v>127.752735125047</c:v>
                </c:pt>
                <c:pt idx="90">
                  <c:v>120.478411392842</c:v>
                </c:pt>
                <c:pt idx="91">
                  <c:v>120.483169104367</c:v>
                </c:pt>
                <c:pt idx="92">
                  <c:v>120.330834549087</c:v>
                </c:pt>
                <c:pt idx="93">
                  <c:v>121.314426471147</c:v>
                </c:pt>
                <c:pt idx="94">
                  <c:v>124.21482010959</c:v>
                </c:pt>
                <c:pt idx="95">
                  <c:v>132.612622982677</c:v>
                </c:pt>
                <c:pt idx="96">
                  <c:v>131.960926207219</c:v>
                </c:pt>
                <c:pt idx="97">
                  <c:v>120.156840287338</c:v>
                </c:pt>
                <c:pt idx="98">
                  <c:v>114.1420038941</c:v>
                </c:pt>
                <c:pt idx="99">
                  <c:v>99.2630652597206</c:v>
                </c:pt>
                <c:pt idx="100">
                  <c:v>96.6383766436702</c:v>
                </c:pt>
                <c:pt idx="101">
                  <c:v>97.4751647028375</c:v>
                </c:pt>
                <c:pt idx="102">
                  <c:v>114.836063480638</c:v>
                </c:pt>
                <c:pt idx="103">
                  <c:v>127.287213305358</c:v>
                </c:pt>
                <c:pt idx="104">
                  <c:v>129.940305024849</c:v>
                </c:pt>
                <c:pt idx="105">
                  <c:v>126.985590045658</c:v>
                </c:pt>
                <c:pt idx="106">
                  <c:v>122.984264846587</c:v>
                </c:pt>
                <c:pt idx="107">
                  <c:v>112.276846641416</c:v>
                </c:pt>
                <c:pt idx="108">
                  <c:v>120.505996498207</c:v>
                </c:pt>
                <c:pt idx="109">
                  <c:v>127.558051721503</c:v>
                </c:pt>
                <c:pt idx="110">
                  <c:v>127.443816987875</c:v>
                </c:pt>
                <c:pt idx="111">
                  <c:v>120.903173969724</c:v>
                </c:pt>
                <c:pt idx="112">
                  <c:v>120.394197310258</c:v>
                </c:pt>
                <c:pt idx="113">
                  <c:v>119.840672341194</c:v>
                </c:pt>
                <c:pt idx="114">
                  <c:v>122.220234128997</c:v>
                </c:pt>
                <c:pt idx="115">
                  <c:v>121.594577597619</c:v>
                </c:pt>
                <c:pt idx="116">
                  <c:v>124.360875027459</c:v>
                </c:pt>
                <c:pt idx="117">
                  <c:v>124.181375626093</c:v>
                </c:pt>
                <c:pt idx="118">
                  <c:v>123.10863983047</c:v>
                </c:pt>
                <c:pt idx="119">
                  <c:v>117.706461009117</c:v>
                </c:pt>
                <c:pt idx="120">
                  <c:v>122.530390867434</c:v>
                </c:pt>
                <c:pt idx="121">
                  <c:v>120.146915720691</c:v>
                </c:pt>
                <c:pt idx="122">
                  <c:v>118.533632688796</c:v>
                </c:pt>
                <c:pt idx="123">
                  <c:v>127.257090841389</c:v>
                </c:pt>
                <c:pt idx="124">
                  <c:v>131.472789744165</c:v>
                </c:pt>
                <c:pt idx="125">
                  <c:v>130.429017871964</c:v>
                </c:pt>
                <c:pt idx="126">
                  <c:v>126.241247683033</c:v>
                </c:pt>
                <c:pt idx="127">
                  <c:v>121.165447378304</c:v>
                </c:pt>
                <c:pt idx="128">
                  <c:v>127.7454320513</c:v>
                </c:pt>
                <c:pt idx="129">
                  <c:v>121.51233770998</c:v>
                </c:pt>
                <c:pt idx="130">
                  <c:v>121.82541894128</c:v>
                </c:pt>
                <c:pt idx="131">
                  <c:v>118.719430918923</c:v>
                </c:pt>
                <c:pt idx="132">
                  <c:v>113.04624643555</c:v>
                </c:pt>
                <c:pt idx="133">
                  <c:v>121.216362005868</c:v>
                </c:pt>
                <c:pt idx="134">
                  <c:v>128.641726772233</c:v>
                </c:pt>
                <c:pt idx="135">
                  <c:v>144.935311111142</c:v>
                </c:pt>
                <c:pt idx="136">
                  <c:v>150.514540079823</c:v>
                </c:pt>
                <c:pt idx="137">
                  <c:v>149.32721680874</c:v>
                </c:pt>
                <c:pt idx="138">
                  <c:v>130.797839519635</c:v>
                </c:pt>
                <c:pt idx="139">
                  <c:v>120.130058587672</c:v>
                </c:pt>
                <c:pt idx="140">
                  <c:v>121.673690763431</c:v>
                </c:pt>
                <c:pt idx="141">
                  <c:v>120.128225200537</c:v>
                </c:pt>
                <c:pt idx="142">
                  <c:v>125.449966331347</c:v>
                </c:pt>
                <c:pt idx="143">
                  <c:v>121.253933042867</c:v>
                </c:pt>
                <c:pt idx="144">
                  <c:v>116.888354255581</c:v>
                </c:pt>
                <c:pt idx="145">
                  <c:v>121.62849852582</c:v>
                </c:pt>
                <c:pt idx="146">
                  <c:v>121.980115679681</c:v>
                </c:pt>
                <c:pt idx="147">
                  <c:v>133.403363023392</c:v>
                </c:pt>
                <c:pt idx="148">
                  <c:v>135.919314739365</c:v>
                </c:pt>
                <c:pt idx="149">
                  <c:v>137.339616391747</c:v>
                </c:pt>
                <c:pt idx="150">
                  <c:v>127.288989974674</c:v>
                </c:pt>
                <c:pt idx="151">
                  <c:v>122.41850953312</c:v>
                </c:pt>
                <c:pt idx="152">
                  <c:v>115.368693284573</c:v>
                </c:pt>
                <c:pt idx="153">
                  <c:v>121.489696549462</c:v>
                </c:pt>
                <c:pt idx="154">
                  <c:v>126.128645631775</c:v>
                </c:pt>
                <c:pt idx="155">
                  <c:v>126.626325687898</c:v>
                </c:pt>
                <c:pt idx="156">
                  <c:v>121.167152103451</c:v>
                </c:pt>
                <c:pt idx="157">
                  <c:v>132.763157697065</c:v>
                </c:pt>
                <c:pt idx="158">
                  <c:v>126.885391277369</c:v>
                </c:pt>
                <c:pt idx="159">
                  <c:v>138.1971443109</c:v>
                </c:pt>
                <c:pt idx="160">
                  <c:v>136.359840946841</c:v>
                </c:pt>
                <c:pt idx="161">
                  <c:v>141.087721061119</c:v>
                </c:pt>
                <c:pt idx="162">
                  <c:v>126.779790711633</c:v>
                </c:pt>
                <c:pt idx="163">
                  <c:v>128.810740724859</c:v>
                </c:pt>
                <c:pt idx="164">
                  <c:v>123.881510273527</c:v>
                </c:pt>
                <c:pt idx="165">
                  <c:v>136.173350238016</c:v>
                </c:pt>
                <c:pt idx="166">
                  <c:v>130.199871619345</c:v>
                </c:pt>
                <c:pt idx="167">
                  <c:v>124.299686707646</c:v>
                </c:pt>
                <c:pt idx="168">
                  <c:v>117.771108761668</c:v>
                </c:pt>
                <c:pt idx="169">
                  <c:v>131.676018785222</c:v>
                </c:pt>
                <c:pt idx="170">
                  <c:v>129.051516301702</c:v>
                </c:pt>
                <c:pt idx="171">
                  <c:v>98.4902126423128</c:v>
                </c:pt>
                <c:pt idx="172">
                  <c:v>94.1823311007906</c:v>
                </c:pt>
                <c:pt idx="173">
                  <c:v>94.0455229655958</c:v>
                </c:pt>
                <c:pt idx="174">
                  <c:v>120.494303519358</c:v>
                </c:pt>
                <c:pt idx="175">
                  <c:v>130.634907672643</c:v>
                </c:pt>
                <c:pt idx="176">
                  <c:v>124.626614724271</c:v>
                </c:pt>
                <c:pt idx="177">
                  <c:v>138.78956713487</c:v>
                </c:pt>
                <c:pt idx="178">
                  <c:v>131.116113013698</c:v>
                </c:pt>
                <c:pt idx="179">
                  <c:v>125.013887010372</c:v>
                </c:pt>
                <c:pt idx="180">
                  <c:v>117.494422228663</c:v>
                </c:pt>
                <c:pt idx="181">
                  <c:v>130.414014285996</c:v>
                </c:pt>
                <c:pt idx="182">
                  <c:v>138.726055972158</c:v>
                </c:pt>
                <c:pt idx="183">
                  <c:v>142.757205754967</c:v>
                </c:pt>
                <c:pt idx="184">
                  <c:v>149.845113070154</c:v>
                </c:pt>
                <c:pt idx="185">
                  <c:v>143.817728197709</c:v>
                </c:pt>
                <c:pt idx="186">
                  <c:v>141.48057159478</c:v>
                </c:pt>
                <c:pt idx="187">
                  <c:v>130.127710953079</c:v>
                </c:pt>
                <c:pt idx="188">
                  <c:v>127.070957544861</c:v>
                </c:pt>
                <c:pt idx="189">
                  <c:v>137.983375455065</c:v>
                </c:pt>
                <c:pt idx="190">
                  <c:v>130.277172178044</c:v>
                </c:pt>
                <c:pt idx="191">
                  <c:v>120.95895507775</c:v>
                </c:pt>
                <c:pt idx="192">
                  <c:v>128.688969036384</c:v>
                </c:pt>
                <c:pt idx="193">
                  <c:v>115.120658128112</c:v>
                </c:pt>
                <c:pt idx="194">
                  <c:v>118.80250934742</c:v>
                </c:pt>
                <c:pt idx="195">
                  <c:v>131.39098574497</c:v>
                </c:pt>
                <c:pt idx="196">
                  <c:v>133.423091164364</c:v>
                </c:pt>
                <c:pt idx="197">
                  <c:v>131.41325590775</c:v>
                </c:pt>
                <c:pt idx="198">
                  <c:v>127.765686837122</c:v>
                </c:pt>
                <c:pt idx="199">
                  <c:v>123.337069918355</c:v>
                </c:pt>
                <c:pt idx="200">
                  <c:v>129.96975464684</c:v>
                </c:pt>
                <c:pt idx="201">
                  <c:v>124.847854644859</c:v>
                </c:pt>
                <c:pt idx="202">
                  <c:v>125.056655416359</c:v>
                </c:pt>
                <c:pt idx="203">
                  <c:v>132.022863219029</c:v>
                </c:pt>
                <c:pt idx="204">
                  <c:v>127.796127857789</c:v>
                </c:pt>
                <c:pt idx="205">
                  <c:v>119.14357540176</c:v>
                </c:pt>
                <c:pt idx="206">
                  <c:v>126.21621851042</c:v>
                </c:pt>
                <c:pt idx="207">
                  <c:v>130.175467518569</c:v>
                </c:pt>
                <c:pt idx="208">
                  <c:v>130.18679535944</c:v>
                </c:pt>
                <c:pt idx="209">
                  <c:v>129.308003761788</c:v>
                </c:pt>
                <c:pt idx="210">
                  <c:v>127.746062803406</c:v>
                </c:pt>
                <c:pt idx="211">
                  <c:v>126.895017038213</c:v>
                </c:pt>
                <c:pt idx="212">
                  <c:v>128.405632312173</c:v>
                </c:pt>
                <c:pt idx="213">
                  <c:v>128.600755661388</c:v>
                </c:pt>
                <c:pt idx="214">
                  <c:v>133.088411345495</c:v>
                </c:pt>
                <c:pt idx="215">
                  <c:v>148.718191574718</c:v>
                </c:pt>
                <c:pt idx="216">
                  <c:v>145.919210863581</c:v>
                </c:pt>
                <c:pt idx="217">
                  <c:v>129.532935053036</c:v>
                </c:pt>
                <c:pt idx="218">
                  <c:v>126.979914143143</c:v>
                </c:pt>
                <c:pt idx="219">
                  <c:v>129.776015603486</c:v>
                </c:pt>
                <c:pt idx="220">
                  <c:v>128.040999158444</c:v>
                </c:pt>
                <c:pt idx="221">
                  <c:v>130.191161704065</c:v>
                </c:pt>
                <c:pt idx="222">
                  <c:v>118.319925465452</c:v>
                </c:pt>
                <c:pt idx="223">
                  <c:v>121.473923594516</c:v>
                </c:pt>
                <c:pt idx="224">
                  <c:v>122.366161030829</c:v>
                </c:pt>
                <c:pt idx="225">
                  <c:v>109.533728432836</c:v>
                </c:pt>
                <c:pt idx="226">
                  <c:v>109.2333681444</c:v>
                </c:pt>
                <c:pt idx="227">
                  <c:v>106.642354480152</c:v>
                </c:pt>
                <c:pt idx="228">
                  <c:v>114.758265212799</c:v>
                </c:pt>
                <c:pt idx="229">
                  <c:v>115.899237197798</c:v>
                </c:pt>
                <c:pt idx="230">
                  <c:v>106.145846098552</c:v>
                </c:pt>
                <c:pt idx="231">
                  <c:v>76.374470934686</c:v>
                </c:pt>
                <c:pt idx="232">
                  <c:v>65.5113687929267</c:v>
                </c:pt>
                <c:pt idx="233">
                  <c:v>73.4454697712109</c:v>
                </c:pt>
                <c:pt idx="234">
                  <c:v>103.316131718908</c:v>
                </c:pt>
                <c:pt idx="235">
                  <c:v>118.976592151031</c:v>
                </c:pt>
                <c:pt idx="236">
                  <c:v>120.834110258561</c:v>
                </c:pt>
                <c:pt idx="237">
                  <c:v>114.035048167104</c:v>
                </c:pt>
                <c:pt idx="238">
                  <c:v>114.461770253004</c:v>
                </c:pt>
                <c:pt idx="239">
                  <c:v>114.027525759265</c:v>
                </c:pt>
                <c:pt idx="240">
                  <c:v>120.335818655004</c:v>
                </c:pt>
                <c:pt idx="241">
                  <c:v>117.199931482926</c:v>
                </c:pt>
                <c:pt idx="242">
                  <c:v>117.67968365246</c:v>
                </c:pt>
                <c:pt idx="243">
                  <c:v>127.251476638345</c:v>
                </c:pt>
                <c:pt idx="244">
                  <c:v>129.344785339898</c:v>
                </c:pt>
                <c:pt idx="245">
                  <c:v>130.161987851068</c:v>
                </c:pt>
                <c:pt idx="246">
                  <c:v>128.376868700153</c:v>
                </c:pt>
                <c:pt idx="247">
                  <c:v>124.217277065181</c:v>
                </c:pt>
                <c:pt idx="248">
                  <c:v>122.938261292401</c:v>
                </c:pt>
                <c:pt idx="249">
                  <c:v>118.953654545853</c:v>
                </c:pt>
                <c:pt idx="250">
                  <c:v>119.63354492917</c:v>
                </c:pt>
                <c:pt idx="251">
                  <c:v>121.486998280701</c:v>
                </c:pt>
                <c:pt idx="252">
                  <c:v>121.079543006311</c:v>
                </c:pt>
                <c:pt idx="253">
                  <c:v>122.503480817932</c:v>
                </c:pt>
                <c:pt idx="254">
                  <c:v>124.914131598365</c:v>
                </c:pt>
                <c:pt idx="255">
                  <c:v>136.869094493639</c:v>
                </c:pt>
                <c:pt idx="256">
                  <c:v>138.715714084799</c:v>
                </c:pt>
                <c:pt idx="257">
                  <c:v>136.334235617136</c:v>
                </c:pt>
                <c:pt idx="258">
                  <c:v>128.19315719576</c:v>
                </c:pt>
                <c:pt idx="259">
                  <c:v>121.900363945353</c:v>
                </c:pt>
                <c:pt idx="260">
                  <c:v>124.132591207767</c:v>
                </c:pt>
                <c:pt idx="261">
                  <c:v>126.554076894326</c:v>
                </c:pt>
                <c:pt idx="262">
                  <c:v>132.069150754299</c:v>
                </c:pt>
                <c:pt idx="263">
                  <c:v>158.786003658104</c:v>
                </c:pt>
                <c:pt idx="264">
                  <c:v>146.475725620734</c:v>
                </c:pt>
                <c:pt idx="265">
                  <c:v>129.063977014259</c:v>
                </c:pt>
                <c:pt idx="266">
                  <c:v>149.567375471466</c:v>
                </c:pt>
                <c:pt idx="267">
                  <c:v>152.69370647978</c:v>
                </c:pt>
                <c:pt idx="268">
                  <c:v>147.24443805072</c:v>
                </c:pt>
              </c:numCache>
            </c:numRef>
          </c:val>
          <c:smooth val="0"/>
        </c:ser>
        <c:ser>
          <c:idx val="1"/>
          <c:order val="1"/>
          <c:tx>
            <c:strRef>
              <c:f>'Sub-Index Analysis'!H6</c:f>
              <c:strCache>
                <c:ptCount val="1"/>
                <c:pt idx="0">
                  <c:v>Industrial: SA level</c:v>
                </c:pt>
              </c:strCache>
            </c:strRef>
          </c:tx>
          <c:spPr>
            <a:solidFill>
              <a:srgbClr val="ed7d31"/>
            </a:solidFill>
            <a:ln w="31680">
              <a:solidFill>
                <a:srgbClr val="ed7d31"/>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'Sub-Index Analysis'!$A$7:$A$275</c:f>
              <c:strCache>
                <c:ptCount val="269"/>
                <c:pt idx="0">
                  <c:v>Jan-04</c:v>
                </c:pt>
                <c:pt idx="1">
                  <c:v>Feb-04</c:v>
                </c:pt>
                <c:pt idx="2">
                  <c:v>Mar-04</c:v>
                </c:pt>
                <c:pt idx="3">
                  <c:v>Apr-04</c:v>
                </c:pt>
                <c:pt idx="4">
                  <c:v>May-04</c:v>
                </c:pt>
                <c:pt idx="5">
                  <c:v>Jun-04</c:v>
                </c:pt>
                <c:pt idx="6">
                  <c:v>Jul-04</c:v>
                </c:pt>
                <c:pt idx="7">
                  <c:v>Aug-04</c:v>
                </c:pt>
                <c:pt idx="8">
                  <c:v>Sep-04</c:v>
                </c:pt>
                <c:pt idx="9">
                  <c:v>Oct-04</c:v>
                </c:pt>
                <c:pt idx="10">
                  <c:v>Nov-04</c:v>
                </c:pt>
                <c:pt idx="11">
                  <c:v>Dec-04</c:v>
                </c:pt>
                <c:pt idx="12">
                  <c:v>Jan-05</c:v>
                </c:pt>
                <c:pt idx="13">
                  <c:v>Feb-05</c:v>
                </c:pt>
                <c:pt idx="14">
                  <c:v>Mar-05</c:v>
                </c:pt>
                <c:pt idx="15">
                  <c:v>Apr-05</c:v>
                </c:pt>
                <c:pt idx="16">
                  <c:v>May-05</c:v>
                </c:pt>
                <c:pt idx="17">
                  <c:v>Jun-05</c:v>
                </c:pt>
                <c:pt idx="18">
                  <c:v>Jul-05</c:v>
                </c:pt>
                <c:pt idx="19">
                  <c:v>Aug-05</c:v>
                </c:pt>
                <c:pt idx="20">
                  <c:v>Sep-05</c:v>
                </c:pt>
                <c:pt idx="21">
                  <c:v>Oct-05</c:v>
                </c:pt>
                <c:pt idx="22">
                  <c:v>Nov-05</c:v>
                </c:pt>
                <c:pt idx="23">
                  <c:v>Dec-05</c:v>
                </c:pt>
                <c:pt idx="24">
                  <c:v>Jan-06</c:v>
                </c:pt>
                <c:pt idx="25">
                  <c:v>Feb-06</c:v>
                </c:pt>
                <c:pt idx="26">
                  <c:v>Mar-06</c:v>
                </c:pt>
                <c:pt idx="27">
                  <c:v>Apr-06</c:v>
                </c:pt>
                <c:pt idx="28">
                  <c:v>May-06</c:v>
                </c:pt>
                <c:pt idx="29">
                  <c:v>Jun-06</c:v>
                </c:pt>
                <c:pt idx="30">
                  <c:v>Jul-06</c:v>
                </c:pt>
                <c:pt idx="31">
                  <c:v>Aug-06</c:v>
                </c:pt>
                <c:pt idx="32">
                  <c:v>Sep-06</c:v>
                </c:pt>
                <c:pt idx="33">
                  <c:v>Oct-06</c:v>
                </c:pt>
                <c:pt idx="34">
                  <c:v>Nov-06</c:v>
                </c:pt>
                <c:pt idx="35">
                  <c:v>Dec-06</c:v>
                </c:pt>
                <c:pt idx="36">
                  <c:v>Jan-07</c:v>
                </c:pt>
                <c:pt idx="37">
                  <c:v>Feb-07</c:v>
                </c:pt>
                <c:pt idx="38">
                  <c:v>Mar-07</c:v>
                </c:pt>
                <c:pt idx="39">
                  <c:v>Apr-07</c:v>
                </c:pt>
                <c:pt idx="40">
                  <c:v>May-07</c:v>
                </c:pt>
                <c:pt idx="41">
                  <c:v>Jun-07</c:v>
                </c:pt>
                <c:pt idx="42">
                  <c:v>Jul-07</c:v>
                </c:pt>
                <c:pt idx="43">
                  <c:v>Aug-07</c:v>
                </c:pt>
                <c:pt idx="44">
                  <c:v>Sep-07</c:v>
                </c:pt>
                <c:pt idx="45">
                  <c:v>Oct-07</c:v>
                </c:pt>
                <c:pt idx="46">
                  <c:v>Nov-07</c:v>
                </c:pt>
                <c:pt idx="47">
                  <c:v>Dec-07</c:v>
                </c:pt>
                <c:pt idx="48">
                  <c:v>Jan-08</c:v>
                </c:pt>
                <c:pt idx="49">
                  <c:v>Feb-08</c:v>
                </c:pt>
                <c:pt idx="50">
                  <c:v>Mar-08</c:v>
                </c:pt>
                <c:pt idx="51">
                  <c:v>Apr-08</c:v>
                </c:pt>
                <c:pt idx="52">
                  <c:v>May-08</c:v>
                </c:pt>
                <c:pt idx="53">
                  <c:v>Jun-08</c:v>
                </c:pt>
                <c:pt idx="54">
                  <c:v>Jul-08</c:v>
                </c:pt>
                <c:pt idx="55">
                  <c:v>Aug-08</c:v>
                </c:pt>
                <c:pt idx="56">
                  <c:v>Sep-08</c:v>
                </c:pt>
                <c:pt idx="57">
                  <c:v>Oct-08</c:v>
                </c:pt>
                <c:pt idx="58">
                  <c:v>Nov-08</c:v>
                </c:pt>
                <c:pt idx="59">
                  <c:v>Dec-08</c:v>
                </c:pt>
                <c:pt idx="60">
                  <c:v>Jan-09</c:v>
                </c:pt>
                <c:pt idx="61">
                  <c:v>Feb-09</c:v>
                </c:pt>
                <c:pt idx="62">
                  <c:v>Mar-09</c:v>
                </c:pt>
                <c:pt idx="63">
                  <c:v>Apr-09</c:v>
                </c:pt>
                <c:pt idx="64">
                  <c:v>May-09</c:v>
                </c:pt>
                <c:pt idx="65">
                  <c:v>Jun-09</c:v>
                </c:pt>
                <c:pt idx="66">
                  <c:v>Jul-09</c:v>
                </c:pt>
                <c:pt idx="67">
                  <c:v>Aug-09</c:v>
                </c:pt>
                <c:pt idx="68">
                  <c:v>Sep-09</c:v>
                </c:pt>
                <c:pt idx="69">
                  <c:v>Oct-09</c:v>
                </c:pt>
                <c:pt idx="70">
                  <c:v>Nov-09</c:v>
                </c:pt>
                <c:pt idx="71">
                  <c:v>Dec-09</c:v>
                </c:pt>
                <c:pt idx="72">
                  <c:v>Jan-10</c:v>
                </c:pt>
                <c:pt idx="73">
                  <c:v>Feb-10</c:v>
                </c:pt>
                <c:pt idx="74">
                  <c:v>Mar-10</c:v>
                </c:pt>
                <c:pt idx="75">
                  <c:v>Apr-10</c:v>
                </c:pt>
                <c:pt idx="76">
                  <c:v>May-10</c:v>
                </c:pt>
                <c:pt idx="77">
                  <c:v>Jun-10</c:v>
                </c:pt>
                <c:pt idx="78">
                  <c:v>Jul-10</c:v>
                </c:pt>
                <c:pt idx="79">
                  <c:v>Aug-10</c:v>
                </c:pt>
                <c:pt idx="80">
                  <c:v>Sep-10</c:v>
                </c:pt>
                <c:pt idx="81">
                  <c:v>Oct-10</c:v>
                </c:pt>
                <c:pt idx="82">
                  <c:v>Nov-10</c:v>
                </c:pt>
                <c:pt idx="83">
                  <c:v>Dec-10</c:v>
                </c:pt>
                <c:pt idx="84">
                  <c:v>Jan-11</c:v>
                </c:pt>
                <c:pt idx="85">
                  <c:v>Feb-11</c:v>
                </c:pt>
                <c:pt idx="86">
                  <c:v>Mar-11</c:v>
                </c:pt>
                <c:pt idx="87">
                  <c:v>Apr-11</c:v>
                </c:pt>
                <c:pt idx="88">
                  <c:v>May-11</c:v>
                </c:pt>
                <c:pt idx="89">
                  <c:v>Jun-11</c:v>
                </c:pt>
                <c:pt idx="90">
                  <c:v>Jul-11</c:v>
                </c:pt>
                <c:pt idx="91">
                  <c:v>Aug-11</c:v>
                </c:pt>
                <c:pt idx="92">
                  <c:v>Sep-11</c:v>
                </c:pt>
                <c:pt idx="93">
                  <c:v>Oct-11</c:v>
                </c:pt>
                <c:pt idx="94">
                  <c:v>Nov-11</c:v>
                </c:pt>
                <c:pt idx="95">
                  <c:v>Dec-11</c:v>
                </c:pt>
                <c:pt idx="96">
                  <c:v>Jan-12</c:v>
                </c:pt>
                <c:pt idx="97">
                  <c:v>Feb-12</c:v>
                </c:pt>
                <c:pt idx="98">
                  <c:v>Mar-12</c:v>
                </c:pt>
                <c:pt idx="99">
                  <c:v>Apr-12</c:v>
                </c:pt>
                <c:pt idx="100">
                  <c:v>May-12</c:v>
                </c:pt>
                <c:pt idx="101">
                  <c:v>Jun-12</c:v>
                </c:pt>
                <c:pt idx="102">
                  <c:v>Jul-12</c:v>
                </c:pt>
                <c:pt idx="103">
                  <c:v>Aug-12</c:v>
                </c:pt>
                <c:pt idx="104">
                  <c:v>Sep-12</c:v>
                </c:pt>
                <c:pt idx="105">
                  <c:v>Oct-12</c:v>
                </c:pt>
                <c:pt idx="106">
                  <c:v>Nov-12</c:v>
                </c:pt>
                <c:pt idx="107">
                  <c:v>Dec-12</c:v>
                </c:pt>
                <c:pt idx="108">
                  <c:v>Jan-13</c:v>
                </c:pt>
                <c:pt idx="109">
                  <c:v>Feb-13</c:v>
                </c:pt>
                <c:pt idx="110">
                  <c:v>Mar-13</c:v>
                </c:pt>
                <c:pt idx="111">
                  <c:v>Apr-13</c:v>
                </c:pt>
                <c:pt idx="112">
                  <c:v>May-13</c:v>
                </c:pt>
                <c:pt idx="113">
                  <c:v>Jun-13</c:v>
                </c:pt>
                <c:pt idx="114">
                  <c:v>Jul-13</c:v>
                </c:pt>
                <c:pt idx="115">
                  <c:v>Aug-13</c:v>
                </c:pt>
                <c:pt idx="116">
                  <c:v>Sep-13</c:v>
                </c:pt>
                <c:pt idx="117">
                  <c:v>Oct-13</c:v>
                </c:pt>
                <c:pt idx="118">
                  <c:v>Nov-13</c:v>
                </c:pt>
                <c:pt idx="119">
                  <c:v>Dec-13</c:v>
                </c:pt>
                <c:pt idx="120">
                  <c:v>Jan-14</c:v>
                </c:pt>
                <c:pt idx="121">
                  <c:v>Feb-14</c:v>
                </c:pt>
                <c:pt idx="122">
                  <c:v>Mar-14</c:v>
                </c:pt>
                <c:pt idx="123">
                  <c:v>Apr-14</c:v>
                </c:pt>
                <c:pt idx="124">
                  <c:v>May-14</c:v>
                </c:pt>
                <c:pt idx="125">
                  <c:v>Jun-14</c:v>
                </c:pt>
                <c:pt idx="126">
                  <c:v>Jul-14</c:v>
                </c:pt>
                <c:pt idx="127">
                  <c:v>Aug-14</c:v>
                </c:pt>
                <c:pt idx="128">
                  <c:v>Sep-14</c:v>
                </c:pt>
                <c:pt idx="129">
                  <c:v>Oct-14</c:v>
                </c:pt>
                <c:pt idx="130">
                  <c:v>Nov-14</c:v>
                </c:pt>
                <c:pt idx="131">
                  <c:v>Dec-14</c:v>
                </c:pt>
                <c:pt idx="132">
                  <c:v>Jan-15</c:v>
                </c:pt>
                <c:pt idx="133">
                  <c:v>Feb-15</c:v>
                </c:pt>
                <c:pt idx="134">
                  <c:v>Mar-15</c:v>
                </c:pt>
                <c:pt idx="135">
                  <c:v>Apr-15</c:v>
                </c:pt>
                <c:pt idx="136">
                  <c:v>May-15</c:v>
                </c:pt>
                <c:pt idx="137">
                  <c:v>Jun-15</c:v>
                </c:pt>
                <c:pt idx="138">
                  <c:v>Jul-15</c:v>
                </c:pt>
                <c:pt idx="139">
                  <c:v>Aug-15</c:v>
                </c:pt>
                <c:pt idx="140">
                  <c:v>Sep-15</c:v>
                </c:pt>
                <c:pt idx="141">
                  <c:v>Oct-15</c:v>
                </c:pt>
                <c:pt idx="142">
                  <c:v>Nov-15</c:v>
                </c:pt>
                <c:pt idx="143">
                  <c:v>Dec-15</c:v>
                </c:pt>
                <c:pt idx="144">
                  <c:v>Jan-16</c:v>
                </c:pt>
                <c:pt idx="145">
                  <c:v>Feb-16</c:v>
                </c:pt>
                <c:pt idx="146">
                  <c:v>Mar-16</c:v>
                </c:pt>
                <c:pt idx="147">
                  <c:v>Apr-16</c:v>
                </c:pt>
                <c:pt idx="148">
                  <c:v>May-16</c:v>
                </c:pt>
                <c:pt idx="149">
                  <c:v>Jun-16</c:v>
                </c:pt>
                <c:pt idx="150">
                  <c:v>Jul-16</c:v>
                </c:pt>
                <c:pt idx="151">
                  <c:v>Aug-16</c:v>
                </c:pt>
                <c:pt idx="152">
                  <c:v>Sep-16</c:v>
                </c:pt>
                <c:pt idx="153">
                  <c:v>Oct-16</c:v>
                </c:pt>
                <c:pt idx="154">
                  <c:v>Nov-16</c:v>
                </c:pt>
                <c:pt idx="155">
                  <c:v>Dec-16</c:v>
                </c:pt>
                <c:pt idx="156">
                  <c:v>Jan-17</c:v>
                </c:pt>
                <c:pt idx="157">
                  <c:v>Feb-17</c:v>
                </c:pt>
                <c:pt idx="158">
                  <c:v>Mar-17</c:v>
                </c:pt>
                <c:pt idx="159">
                  <c:v>Apr-17</c:v>
                </c:pt>
                <c:pt idx="160">
                  <c:v>May-17</c:v>
                </c:pt>
                <c:pt idx="161">
                  <c:v>Jun-17</c:v>
                </c:pt>
                <c:pt idx="162">
                  <c:v>Jul-17</c:v>
                </c:pt>
                <c:pt idx="163">
                  <c:v>Aug-17</c:v>
                </c:pt>
                <c:pt idx="164">
                  <c:v>Sep-17</c:v>
                </c:pt>
                <c:pt idx="165">
                  <c:v>Oct-17</c:v>
                </c:pt>
                <c:pt idx="166">
                  <c:v>Nov-17</c:v>
                </c:pt>
                <c:pt idx="167">
                  <c:v>Dec-17</c:v>
                </c:pt>
                <c:pt idx="168">
                  <c:v>Jan-18</c:v>
                </c:pt>
                <c:pt idx="169">
                  <c:v>Feb-18</c:v>
                </c:pt>
                <c:pt idx="170">
                  <c:v>Mar-18</c:v>
                </c:pt>
                <c:pt idx="171">
                  <c:v>Apr-18</c:v>
                </c:pt>
                <c:pt idx="172">
                  <c:v>May-18</c:v>
                </c:pt>
                <c:pt idx="173">
                  <c:v>Jun-18</c:v>
                </c:pt>
                <c:pt idx="174">
                  <c:v>Jul-18</c:v>
                </c:pt>
                <c:pt idx="175">
                  <c:v>Aug-18</c:v>
                </c:pt>
                <c:pt idx="176">
                  <c:v>Sep-18</c:v>
                </c:pt>
                <c:pt idx="177">
                  <c:v>Oct-18</c:v>
                </c:pt>
                <c:pt idx="178">
                  <c:v>Nov-18</c:v>
                </c:pt>
                <c:pt idx="179">
                  <c:v>Dec-18</c:v>
                </c:pt>
                <c:pt idx="180">
                  <c:v>Jan-19</c:v>
                </c:pt>
                <c:pt idx="181">
                  <c:v>Feb-19</c:v>
                </c:pt>
                <c:pt idx="182">
                  <c:v>Mar-19</c:v>
                </c:pt>
                <c:pt idx="183">
                  <c:v>Apr-19</c:v>
                </c:pt>
                <c:pt idx="184">
                  <c:v>May-19</c:v>
                </c:pt>
                <c:pt idx="185">
                  <c:v>Jun-19</c:v>
                </c:pt>
                <c:pt idx="186">
                  <c:v>Jul-19</c:v>
                </c:pt>
                <c:pt idx="187">
                  <c:v>Aug-19</c:v>
                </c:pt>
                <c:pt idx="188">
                  <c:v>Sep-19</c:v>
                </c:pt>
                <c:pt idx="189">
                  <c:v>Oct-19</c:v>
                </c:pt>
                <c:pt idx="190">
                  <c:v>Nov-19</c:v>
                </c:pt>
                <c:pt idx="191">
                  <c:v>Dec-19</c:v>
                </c:pt>
                <c:pt idx="192">
                  <c:v>Jan-20</c:v>
                </c:pt>
                <c:pt idx="193">
                  <c:v>Feb-20</c:v>
                </c:pt>
                <c:pt idx="194">
                  <c:v>Mar-20</c:v>
                </c:pt>
                <c:pt idx="195">
                  <c:v>Apr-20</c:v>
                </c:pt>
                <c:pt idx="196">
                  <c:v>May-20</c:v>
                </c:pt>
                <c:pt idx="197">
                  <c:v>Jun-20</c:v>
                </c:pt>
                <c:pt idx="198">
                  <c:v>Jul-20</c:v>
                </c:pt>
                <c:pt idx="199">
                  <c:v>Aug-20</c:v>
                </c:pt>
                <c:pt idx="200">
                  <c:v>Sep-20</c:v>
                </c:pt>
                <c:pt idx="201">
                  <c:v>Oct-20</c:v>
                </c:pt>
                <c:pt idx="202">
                  <c:v>Nov-20</c:v>
                </c:pt>
                <c:pt idx="203">
                  <c:v>Dec-20</c:v>
                </c:pt>
                <c:pt idx="204">
                  <c:v>Jan-21</c:v>
                </c:pt>
                <c:pt idx="205">
                  <c:v>Feb-21</c:v>
                </c:pt>
                <c:pt idx="206">
                  <c:v>Mar-21</c:v>
                </c:pt>
                <c:pt idx="207">
                  <c:v>Apr-21</c:v>
                </c:pt>
                <c:pt idx="208">
                  <c:v>May-21</c:v>
                </c:pt>
                <c:pt idx="209">
                  <c:v>Jun-21</c:v>
                </c:pt>
                <c:pt idx="210">
                  <c:v>Jul-21</c:v>
                </c:pt>
                <c:pt idx="211">
                  <c:v>Aug-21</c:v>
                </c:pt>
                <c:pt idx="212">
                  <c:v>Sep-21</c:v>
                </c:pt>
                <c:pt idx="213">
                  <c:v>Oct-21</c:v>
                </c:pt>
                <c:pt idx="214">
                  <c:v>Nov-21</c:v>
                </c:pt>
                <c:pt idx="215">
                  <c:v>Dec-21</c:v>
                </c:pt>
                <c:pt idx="216">
                  <c:v>Jan-22</c:v>
                </c:pt>
                <c:pt idx="217">
                  <c:v>Feb-22</c:v>
                </c:pt>
                <c:pt idx="218">
                  <c:v>Mar-22</c:v>
                </c:pt>
                <c:pt idx="219">
                  <c:v>Apr-22</c:v>
                </c:pt>
                <c:pt idx="220">
                  <c:v>May-22</c:v>
                </c:pt>
                <c:pt idx="221">
                  <c:v>Jun-22</c:v>
                </c:pt>
                <c:pt idx="222">
                  <c:v>Jul-22</c:v>
                </c:pt>
                <c:pt idx="223">
                  <c:v>Aug-22</c:v>
                </c:pt>
                <c:pt idx="224">
                  <c:v>Sep-22</c:v>
                </c:pt>
                <c:pt idx="225">
                  <c:v>Oct-22</c:v>
                </c:pt>
                <c:pt idx="226">
                  <c:v>Nov-22</c:v>
                </c:pt>
                <c:pt idx="227">
                  <c:v>Dec-22</c:v>
                </c:pt>
                <c:pt idx="228">
                  <c:v>Jan-23</c:v>
                </c:pt>
                <c:pt idx="229">
                  <c:v>Feb-23</c:v>
                </c:pt>
                <c:pt idx="230">
                  <c:v>Mar-23</c:v>
                </c:pt>
                <c:pt idx="231">
                  <c:v>Apr-23</c:v>
                </c:pt>
                <c:pt idx="232">
                  <c:v>May-23</c:v>
                </c:pt>
                <c:pt idx="233">
                  <c:v>Jun-23</c:v>
                </c:pt>
                <c:pt idx="234">
                  <c:v>Jul-23</c:v>
                </c:pt>
                <c:pt idx="235">
                  <c:v>Aug-23</c:v>
                </c:pt>
                <c:pt idx="236">
                  <c:v>Sep-23</c:v>
                </c:pt>
                <c:pt idx="237">
                  <c:v>Oct-23</c:v>
                </c:pt>
                <c:pt idx="238">
                  <c:v>Nov-23</c:v>
                </c:pt>
                <c:pt idx="239">
                  <c:v>Dec-23</c:v>
                </c:pt>
                <c:pt idx="240">
                  <c:v>Jan-24</c:v>
                </c:pt>
                <c:pt idx="241">
                  <c:v>Feb-24</c:v>
                </c:pt>
                <c:pt idx="242">
                  <c:v>Mar-24</c:v>
                </c:pt>
                <c:pt idx="243">
                  <c:v>Apr-24</c:v>
                </c:pt>
                <c:pt idx="244">
                  <c:v>May-24</c:v>
                </c:pt>
                <c:pt idx="245">
                  <c:v>Jun-24</c:v>
                </c:pt>
                <c:pt idx="246">
                  <c:v>Jul-24</c:v>
                </c:pt>
                <c:pt idx="247">
                  <c:v>Aug-24</c:v>
                </c:pt>
                <c:pt idx="248">
                  <c:v>Sep-24</c:v>
                </c:pt>
                <c:pt idx="249">
                  <c:v>Oct-24</c:v>
                </c:pt>
                <c:pt idx="250">
                  <c:v>Nov-24</c:v>
                </c:pt>
                <c:pt idx="251">
                  <c:v>Dec-24</c:v>
                </c:pt>
                <c:pt idx="252">
                  <c:v>Jan-25</c:v>
                </c:pt>
                <c:pt idx="253">
                  <c:v>Feb-25</c:v>
                </c:pt>
                <c:pt idx="254">
                  <c:v>Mar-25</c:v>
                </c:pt>
                <c:pt idx="255">
                  <c:v>Apr-25</c:v>
                </c:pt>
                <c:pt idx="256">
                  <c:v>May-25</c:v>
                </c:pt>
                <c:pt idx="257">
                  <c:v>Jun-25</c:v>
                </c:pt>
                <c:pt idx="258">
                  <c:v>Jul-25</c:v>
                </c:pt>
                <c:pt idx="259">
                  <c:v>Aug-25</c:v>
                </c:pt>
                <c:pt idx="260">
                  <c:v>Sep-25</c:v>
                </c:pt>
                <c:pt idx="261">
                  <c:v>Oct-25</c:v>
                </c:pt>
                <c:pt idx="262">
                  <c:v>Nov-25</c:v>
                </c:pt>
                <c:pt idx="263">
                  <c:v>Dec-25</c:v>
                </c:pt>
                <c:pt idx="264">
                  <c:v>Jan-26</c:v>
                </c:pt>
                <c:pt idx="265">
                  <c:v>Feb-26</c:v>
                </c:pt>
                <c:pt idx="266">
                  <c:v>Mar-26</c:v>
                </c:pt>
                <c:pt idx="267">
                  <c:v>Apr-26</c:v>
                </c:pt>
                <c:pt idx="268">
                  <c:v>May-26</c:v>
                </c:pt>
              </c:strCache>
            </c:strRef>
          </c:cat>
          <c:val>
            <c:numRef>
              <c:f>'Sub-Index Analysis'!$H$7:$H$275</c:f>
              <c:numCache>
                <c:formatCode>0.0</c:formatCode>
                <c:ptCount val="269"/>
                <c:pt idx="0">
                  <c:v>97.3709648391369</c:v>
                </c:pt>
                <c:pt idx="1">
                  <c:v>98.3644013635702</c:v>
                </c:pt>
                <c:pt idx="2">
                  <c:v>99.089461582653</c:v>
                </c:pt>
                <c:pt idx="3">
                  <c:v>97.0150191202008</c:v>
                </c:pt>
                <c:pt idx="4">
                  <c:v>98.5655027893669</c:v>
                </c:pt>
                <c:pt idx="5">
                  <c:v>101.28253511621</c:v>
                </c:pt>
                <c:pt idx="6">
                  <c:v>100.3619623528</c:v>
                </c:pt>
                <c:pt idx="7">
                  <c:v>99.6362605293292</c:v>
                </c:pt>
                <c:pt idx="8">
                  <c:v>100.453027569418</c:v>
                </c:pt>
                <c:pt idx="9">
                  <c:v>100.042763992303</c:v>
                </c:pt>
                <c:pt idx="10">
                  <c:v>101.460653698523</c:v>
                </c:pt>
                <c:pt idx="11">
                  <c:v>103.216758805147</c:v>
                </c:pt>
                <c:pt idx="12">
                  <c:v>105.526985296758</c:v>
                </c:pt>
                <c:pt idx="13">
                  <c:v>105.491978749939</c:v>
                </c:pt>
                <c:pt idx="14">
                  <c:v>106.373259454193</c:v>
                </c:pt>
                <c:pt idx="15">
                  <c:v>106.215165856444</c:v>
                </c:pt>
                <c:pt idx="16">
                  <c:v>107.360084562221</c:v>
                </c:pt>
                <c:pt idx="17">
                  <c:v>108.67065742369</c:v>
                </c:pt>
                <c:pt idx="18">
                  <c:v>106.369024387839</c:v>
                </c:pt>
                <c:pt idx="19">
                  <c:v>107.705582884191</c:v>
                </c:pt>
                <c:pt idx="20">
                  <c:v>106.372569382923</c:v>
                </c:pt>
                <c:pt idx="21">
                  <c:v>107.803439497059</c:v>
                </c:pt>
                <c:pt idx="22">
                  <c:v>110.56127656973</c:v>
                </c:pt>
                <c:pt idx="23">
                  <c:v>111.792882023357</c:v>
                </c:pt>
                <c:pt idx="24">
                  <c:v>115.173092924293</c:v>
                </c:pt>
                <c:pt idx="25">
                  <c:v>115.314126314154</c:v>
                </c:pt>
                <c:pt idx="26">
                  <c:v>117.083569025343</c:v>
                </c:pt>
                <c:pt idx="27">
                  <c:v>115.135123473578</c:v>
                </c:pt>
                <c:pt idx="28">
                  <c:v>116.743911489852</c:v>
                </c:pt>
                <c:pt idx="29">
                  <c:v>117.844107334122</c:v>
                </c:pt>
                <c:pt idx="30">
                  <c:v>117.916321233534</c:v>
                </c:pt>
                <c:pt idx="31">
                  <c:v>118.148913762581</c:v>
                </c:pt>
                <c:pt idx="32">
                  <c:v>117.413208399168</c:v>
                </c:pt>
                <c:pt idx="33">
                  <c:v>118.707679919694</c:v>
                </c:pt>
                <c:pt idx="34">
                  <c:v>120.253215289353</c:v>
                </c:pt>
                <c:pt idx="35">
                  <c:v>122.059807543407</c:v>
                </c:pt>
                <c:pt idx="36">
                  <c:v>121.688484195134</c:v>
                </c:pt>
                <c:pt idx="37">
                  <c:v>123.780752830524</c:v>
                </c:pt>
                <c:pt idx="38">
                  <c:v>125.466301179139</c:v>
                </c:pt>
                <c:pt idx="39">
                  <c:v>123.766613197448</c:v>
                </c:pt>
                <c:pt idx="40">
                  <c:v>125.357127856414</c:v>
                </c:pt>
                <c:pt idx="41">
                  <c:v>124.143666510106</c:v>
                </c:pt>
                <c:pt idx="42">
                  <c:v>122.564998515426</c:v>
                </c:pt>
                <c:pt idx="43">
                  <c:v>125.94345399947</c:v>
                </c:pt>
                <c:pt idx="44">
                  <c:v>126.630215655831</c:v>
                </c:pt>
                <c:pt idx="45">
                  <c:v>130.521188034763</c:v>
                </c:pt>
                <c:pt idx="46">
                  <c:v>130.977859987971</c:v>
                </c:pt>
                <c:pt idx="47">
                  <c:v>131.554143243697</c:v>
                </c:pt>
                <c:pt idx="48">
                  <c:v>133.42024363001</c:v>
                </c:pt>
                <c:pt idx="49">
                  <c:v>133.925824379542</c:v>
                </c:pt>
                <c:pt idx="50">
                  <c:v>128.699265065691</c:v>
                </c:pt>
                <c:pt idx="51">
                  <c:v>135.209088515399</c:v>
                </c:pt>
                <c:pt idx="52">
                  <c:v>132.06099123071</c:v>
                </c:pt>
                <c:pt idx="53">
                  <c:v>129.266091754016</c:v>
                </c:pt>
                <c:pt idx="54">
                  <c:v>133.589417568052</c:v>
                </c:pt>
                <c:pt idx="55">
                  <c:v>130.653301384461</c:v>
                </c:pt>
                <c:pt idx="56">
                  <c:v>133.983877102742</c:v>
                </c:pt>
                <c:pt idx="57">
                  <c:v>128.282968234968</c:v>
                </c:pt>
                <c:pt idx="58">
                  <c:v>123.152385977365</c:v>
                </c:pt>
                <c:pt idx="59">
                  <c:v>121.056431342687</c:v>
                </c:pt>
                <c:pt idx="60">
                  <c:v>117.154814359432</c:v>
                </c:pt>
                <c:pt idx="61">
                  <c:v>117.448089099876</c:v>
                </c:pt>
                <c:pt idx="62">
                  <c:v>116.230152033769</c:v>
                </c:pt>
                <c:pt idx="63">
                  <c:v>117.742923529829</c:v>
                </c:pt>
                <c:pt idx="64">
                  <c:v>116.778738381863</c:v>
                </c:pt>
                <c:pt idx="65">
                  <c:v>118.705507735465</c:v>
                </c:pt>
                <c:pt idx="66">
                  <c:v>121.892251460166</c:v>
                </c:pt>
                <c:pt idx="67">
                  <c:v>119.938644655243</c:v>
                </c:pt>
                <c:pt idx="68">
                  <c:v>120.884322919281</c:v>
                </c:pt>
                <c:pt idx="69">
                  <c:v>124.103371956506</c:v>
                </c:pt>
                <c:pt idx="70">
                  <c:v>124.331775941581</c:v>
                </c:pt>
                <c:pt idx="71">
                  <c:v>125.417879319592</c:v>
                </c:pt>
                <c:pt idx="72">
                  <c:v>126.425632616105</c:v>
                </c:pt>
                <c:pt idx="73">
                  <c:v>126.183658846047</c:v>
                </c:pt>
                <c:pt idx="74">
                  <c:v>128.979817419008</c:v>
                </c:pt>
                <c:pt idx="75">
                  <c:v>131.077184316009</c:v>
                </c:pt>
                <c:pt idx="76">
                  <c:v>130.497690958048</c:v>
                </c:pt>
                <c:pt idx="77">
                  <c:v>132.984900606792</c:v>
                </c:pt>
                <c:pt idx="78">
                  <c:v>132.619970073466</c:v>
                </c:pt>
                <c:pt idx="79">
                  <c:v>134.929011333757</c:v>
                </c:pt>
                <c:pt idx="80">
                  <c:v>133.586497463679</c:v>
                </c:pt>
                <c:pt idx="81">
                  <c:v>132.421690846114</c:v>
                </c:pt>
                <c:pt idx="82">
                  <c:v>136.12796880806</c:v>
                </c:pt>
                <c:pt idx="83">
                  <c:v>134.612151994352</c:v>
                </c:pt>
                <c:pt idx="84">
                  <c:v>139.090508433034</c:v>
                </c:pt>
                <c:pt idx="85">
                  <c:v>139.484935323508</c:v>
                </c:pt>
                <c:pt idx="86">
                  <c:v>140.954322515253</c:v>
                </c:pt>
                <c:pt idx="87">
                  <c:v>138.203002688308</c:v>
                </c:pt>
                <c:pt idx="88">
                  <c:v>142.14721125854</c:v>
                </c:pt>
                <c:pt idx="89">
                  <c:v>143.295171636148</c:v>
                </c:pt>
                <c:pt idx="90">
                  <c:v>141.000456611171</c:v>
                </c:pt>
                <c:pt idx="91">
                  <c:v>142.319583422555</c:v>
                </c:pt>
                <c:pt idx="92">
                  <c:v>142.976507759983</c:v>
                </c:pt>
                <c:pt idx="93">
                  <c:v>139.737003312033</c:v>
                </c:pt>
                <c:pt idx="94">
                  <c:v>140.175783972182</c:v>
                </c:pt>
                <c:pt idx="95">
                  <c:v>139.716686860896</c:v>
                </c:pt>
                <c:pt idx="96">
                  <c:v>137.962995824099</c:v>
                </c:pt>
                <c:pt idx="97">
                  <c:v>139.401039301338</c:v>
                </c:pt>
                <c:pt idx="98">
                  <c:v>141.722405943973</c:v>
                </c:pt>
                <c:pt idx="99">
                  <c:v>135.744823471687</c:v>
                </c:pt>
                <c:pt idx="100">
                  <c:v>135.889340294006</c:v>
                </c:pt>
                <c:pt idx="101">
                  <c:v>135.091497678173</c:v>
                </c:pt>
                <c:pt idx="102">
                  <c:v>137.236542191886</c:v>
                </c:pt>
                <c:pt idx="103">
                  <c:v>135.439844918472</c:v>
                </c:pt>
                <c:pt idx="104">
                  <c:v>133.630149802262</c:v>
                </c:pt>
                <c:pt idx="105">
                  <c:v>137.563423008718</c:v>
                </c:pt>
                <c:pt idx="106">
                  <c:v>136.92889611208</c:v>
                </c:pt>
                <c:pt idx="107">
                  <c:v>138.275800079783</c:v>
                </c:pt>
                <c:pt idx="108">
                  <c:v>137.101614601161</c:v>
                </c:pt>
                <c:pt idx="109">
                  <c:v>135.708682538926</c:v>
                </c:pt>
                <c:pt idx="110">
                  <c:v>136.911426009757</c:v>
                </c:pt>
                <c:pt idx="111">
                  <c:v>141.198304169494</c:v>
                </c:pt>
                <c:pt idx="112">
                  <c:v>140.174365025278</c:v>
                </c:pt>
                <c:pt idx="113">
                  <c:v>136.726628442906</c:v>
                </c:pt>
                <c:pt idx="114">
                  <c:v>137.580236421493</c:v>
                </c:pt>
                <c:pt idx="115">
                  <c:v>138.33298883706</c:v>
                </c:pt>
                <c:pt idx="116">
                  <c:v>139.445640903428</c:v>
                </c:pt>
                <c:pt idx="117">
                  <c:v>139.44472831499</c:v>
                </c:pt>
                <c:pt idx="118">
                  <c:v>136.270804141585</c:v>
                </c:pt>
                <c:pt idx="119">
                  <c:v>137.588986925253</c:v>
                </c:pt>
                <c:pt idx="120">
                  <c:v>137.251451449808</c:v>
                </c:pt>
                <c:pt idx="121">
                  <c:v>136.183613218394</c:v>
                </c:pt>
                <c:pt idx="122">
                  <c:v>132.342371830385</c:v>
                </c:pt>
                <c:pt idx="123">
                  <c:v>134.294766039297</c:v>
                </c:pt>
                <c:pt idx="124">
                  <c:v>134.00243304456</c:v>
                </c:pt>
                <c:pt idx="125">
                  <c:v>132.441644507844</c:v>
                </c:pt>
                <c:pt idx="126">
                  <c:v>132.234015893369</c:v>
                </c:pt>
                <c:pt idx="127">
                  <c:v>128.220965667252</c:v>
                </c:pt>
                <c:pt idx="128">
                  <c:v>131.836285273729</c:v>
                </c:pt>
                <c:pt idx="129">
                  <c:v>132.021176351742</c:v>
                </c:pt>
                <c:pt idx="130">
                  <c:v>130.447821855774</c:v>
                </c:pt>
                <c:pt idx="131">
                  <c:v>133.017865064921</c:v>
                </c:pt>
                <c:pt idx="132">
                  <c:v>132.321074772454</c:v>
                </c:pt>
                <c:pt idx="133">
                  <c:v>133.548703287193</c:v>
                </c:pt>
                <c:pt idx="134">
                  <c:v>132.822409301957</c:v>
                </c:pt>
                <c:pt idx="135">
                  <c:v>137.516990829502</c:v>
                </c:pt>
                <c:pt idx="136">
                  <c:v>134.281968675332</c:v>
                </c:pt>
                <c:pt idx="137">
                  <c:v>138.976386140353</c:v>
                </c:pt>
                <c:pt idx="138">
                  <c:v>137.768031471518</c:v>
                </c:pt>
                <c:pt idx="139">
                  <c:v>134.666351355833</c:v>
                </c:pt>
                <c:pt idx="140">
                  <c:v>134.887235199827</c:v>
                </c:pt>
                <c:pt idx="141">
                  <c:v>133.145437289234</c:v>
                </c:pt>
                <c:pt idx="142">
                  <c:v>131.722355927069</c:v>
                </c:pt>
                <c:pt idx="143">
                  <c:v>130.542060030861</c:v>
                </c:pt>
                <c:pt idx="144">
                  <c:v>126.361262590006</c:v>
                </c:pt>
                <c:pt idx="145">
                  <c:v>127.872199295077</c:v>
                </c:pt>
                <c:pt idx="146">
                  <c:v>128.074121421601</c:v>
                </c:pt>
                <c:pt idx="147">
                  <c:v>130.722260116715</c:v>
                </c:pt>
                <c:pt idx="148">
                  <c:v>127.09723750456</c:v>
                </c:pt>
                <c:pt idx="149">
                  <c:v>120.614180399513</c:v>
                </c:pt>
                <c:pt idx="150">
                  <c:v>120.409681894966</c:v>
                </c:pt>
                <c:pt idx="151">
                  <c:v>124.049946419057</c:v>
                </c:pt>
                <c:pt idx="152">
                  <c:v>126.566522282273</c:v>
                </c:pt>
                <c:pt idx="153">
                  <c:v>119.992545099361</c:v>
                </c:pt>
                <c:pt idx="154">
                  <c:v>125.792769958647</c:v>
                </c:pt>
                <c:pt idx="155">
                  <c:v>126.248123785215</c:v>
                </c:pt>
                <c:pt idx="156">
                  <c:v>124.780252781117</c:v>
                </c:pt>
                <c:pt idx="157">
                  <c:v>121.39969751126</c:v>
                </c:pt>
                <c:pt idx="158">
                  <c:v>129.701919891845</c:v>
                </c:pt>
                <c:pt idx="159">
                  <c:v>126.833150413741</c:v>
                </c:pt>
                <c:pt idx="160">
                  <c:v>131.134757252641</c:v>
                </c:pt>
                <c:pt idx="161">
                  <c:v>133.496099042789</c:v>
                </c:pt>
                <c:pt idx="162">
                  <c:v>128.584934870553</c:v>
                </c:pt>
                <c:pt idx="163">
                  <c:v>132.504450328195</c:v>
                </c:pt>
                <c:pt idx="164">
                  <c:v>130.551111326883</c:v>
                </c:pt>
                <c:pt idx="165">
                  <c:v>130.317085872409</c:v>
                </c:pt>
                <c:pt idx="166">
                  <c:v>134.165767406144</c:v>
                </c:pt>
                <c:pt idx="167">
                  <c:v>130.771527159733</c:v>
                </c:pt>
                <c:pt idx="168">
                  <c:v>132.021269521825</c:v>
                </c:pt>
                <c:pt idx="169">
                  <c:v>128.745519461918</c:v>
                </c:pt>
                <c:pt idx="170">
                  <c:v>132.739889223548</c:v>
                </c:pt>
                <c:pt idx="171">
                  <c:v>133.645608961902</c:v>
                </c:pt>
                <c:pt idx="172">
                  <c:v>132.653236835385</c:v>
                </c:pt>
                <c:pt idx="173">
                  <c:v>126.834177220686</c:v>
                </c:pt>
                <c:pt idx="174">
                  <c:v>123.592672086365</c:v>
                </c:pt>
                <c:pt idx="175">
                  <c:v>127.619605946643</c:v>
                </c:pt>
                <c:pt idx="176">
                  <c:v>119.575956875273</c:v>
                </c:pt>
                <c:pt idx="177">
                  <c:v>122.626349387092</c:v>
                </c:pt>
                <c:pt idx="178">
                  <c:v>118.372447245968</c:v>
                </c:pt>
                <c:pt idx="179">
                  <c:v>114.045537420747</c:v>
                </c:pt>
                <c:pt idx="180">
                  <c:v>120.020211996605</c:v>
                </c:pt>
                <c:pt idx="181">
                  <c:v>121.284697139551</c:v>
                </c:pt>
                <c:pt idx="182">
                  <c:v>117.417694811797</c:v>
                </c:pt>
                <c:pt idx="183">
                  <c:v>124.553081763224</c:v>
                </c:pt>
                <c:pt idx="184">
                  <c:v>126.624584037581</c:v>
                </c:pt>
                <c:pt idx="185">
                  <c:v>118.877197894614</c:v>
                </c:pt>
                <c:pt idx="186">
                  <c:v>122.771857624211</c:v>
                </c:pt>
                <c:pt idx="187">
                  <c:v>120.622938662287</c:v>
                </c:pt>
                <c:pt idx="188">
                  <c:v>114.50518120204</c:v>
                </c:pt>
                <c:pt idx="189">
                  <c:v>119.314644461771</c:v>
                </c:pt>
                <c:pt idx="190">
                  <c:v>113.17276572005</c:v>
                </c:pt>
                <c:pt idx="191">
                  <c:v>114.243550912611</c:v>
                </c:pt>
                <c:pt idx="192">
                  <c:v>115.264185725455</c:v>
                </c:pt>
                <c:pt idx="193">
                  <c:v>115.813513977172</c:v>
                </c:pt>
                <c:pt idx="194">
                  <c:v>96.5741005766515</c:v>
                </c:pt>
                <c:pt idx="195">
                  <c:v>74.0261825953414</c:v>
                </c:pt>
                <c:pt idx="196">
                  <c:v>87.6885172083244</c:v>
                </c:pt>
                <c:pt idx="197">
                  <c:v>104.007580444935</c:v>
                </c:pt>
                <c:pt idx="198">
                  <c:v>107.498628338212</c:v>
                </c:pt>
                <c:pt idx="199">
                  <c:v>104.397455810414</c:v>
                </c:pt>
                <c:pt idx="200">
                  <c:v>109.740706103859</c:v>
                </c:pt>
                <c:pt idx="201">
                  <c:v>115.666240593981</c:v>
                </c:pt>
                <c:pt idx="202">
                  <c:v>115.527118752295</c:v>
                </c:pt>
                <c:pt idx="203">
                  <c:v>119.452980663796</c:v>
                </c:pt>
                <c:pt idx="204">
                  <c:v>120.767720886205</c:v>
                </c:pt>
                <c:pt idx="205">
                  <c:v>118.746112447243</c:v>
                </c:pt>
                <c:pt idx="206">
                  <c:v>128.665432151672</c:v>
                </c:pt>
                <c:pt idx="207">
                  <c:v>129.377796922854</c:v>
                </c:pt>
                <c:pt idx="208">
                  <c:v>120.197434297232</c:v>
                </c:pt>
                <c:pt idx="209">
                  <c:v>127.059635835968</c:v>
                </c:pt>
                <c:pt idx="210">
                  <c:v>123.228394003443</c:v>
                </c:pt>
                <c:pt idx="211">
                  <c:v>122.228475328459</c:v>
                </c:pt>
                <c:pt idx="212">
                  <c:v>126.253472757932</c:v>
                </c:pt>
                <c:pt idx="213">
                  <c:v>121.975138905109</c:v>
                </c:pt>
                <c:pt idx="214">
                  <c:v>127.717415012676</c:v>
                </c:pt>
                <c:pt idx="215">
                  <c:v>130.588720082774</c:v>
                </c:pt>
                <c:pt idx="216">
                  <c:v>121.939796647992</c:v>
                </c:pt>
                <c:pt idx="217">
                  <c:v>129.294286913819</c:v>
                </c:pt>
                <c:pt idx="218">
                  <c:v>134.382190807027</c:v>
                </c:pt>
                <c:pt idx="219">
                  <c:v>138.067630394526</c:v>
                </c:pt>
                <c:pt idx="220">
                  <c:v>135.883423737133</c:v>
                </c:pt>
                <c:pt idx="221">
                  <c:v>137.285898287306</c:v>
                </c:pt>
                <c:pt idx="222">
                  <c:v>131.098733859299</c:v>
                </c:pt>
                <c:pt idx="223">
                  <c:v>132.608216601993</c:v>
                </c:pt>
                <c:pt idx="224">
                  <c:v>132.580664702468</c:v>
                </c:pt>
                <c:pt idx="225">
                  <c:v>126.864530740007</c:v>
                </c:pt>
                <c:pt idx="226">
                  <c:v>130.906673541978</c:v>
                </c:pt>
                <c:pt idx="227">
                  <c:v>130.028963019288</c:v>
                </c:pt>
                <c:pt idx="228">
                  <c:v>131.220975641308</c:v>
                </c:pt>
                <c:pt idx="229">
                  <c:v>128.598615393092</c:v>
                </c:pt>
                <c:pt idx="230">
                  <c:v>140.192636582435</c:v>
                </c:pt>
                <c:pt idx="231">
                  <c:v>140.905969344912</c:v>
                </c:pt>
                <c:pt idx="232">
                  <c:v>137.510800204932</c:v>
                </c:pt>
                <c:pt idx="233">
                  <c:v>134.114973065434</c:v>
                </c:pt>
                <c:pt idx="234">
                  <c:v>129.061255408337</c:v>
                </c:pt>
                <c:pt idx="235">
                  <c:v>131.877962354979</c:v>
                </c:pt>
                <c:pt idx="236">
                  <c:v>130.19773779108</c:v>
                </c:pt>
                <c:pt idx="237">
                  <c:v>127.153347061245</c:v>
                </c:pt>
                <c:pt idx="238">
                  <c:v>127.010831379337</c:v>
                </c:pt>
                <c:pt idx="239">
                  <c:v>117.398626131538</c:v>
                </c:pt>
                <c:pt idx="240">
                  <c:v>117.086472724758</c:v>
                </c:pt>
                <c:pt idx="241">
                  <c:v>117.072282035945</c:v>
                </c:pt>
                <c:pt idx="242">
                  <c:v>112.926434788099</c:v>
                </c:pt>
                <c:pt idx="243">
                  <c:v>119.400044467277</c:v>
                </c:pt>
                <c:pt idx="244">
                  <c:v>119.004174583129</c:v>
                </c:pt>
                <c:pt idx="245">
                  <c:v>109.360009207928</c:v>
                </c:pt>
                <c:pt idx="246">
                  <c:v>120.804934944903</c:v>
                </c:pt>
                <c:pt idx="247">
                  <c:v>121.445903916669</c:v>
                </c:pt>
                <c:pt idx="248">
                  <c:v>119.915242681294</c:v>
                </c:pt>
                <c:pt idx="249">
                  <c:v>123.055015130224</c:v>
                </c:pt>
                <c:pt idx="250">
                  <c:v>123.328874855809</c:v>
                </c:pt>
                <c:pt idx="251">
                  <c:v>123.995045745282</c:v>
                </c:pt>
                <c:pt idx="252">
                  <c:v>125.978942127628</c:v>
                </c:pt>
                <c:pt idx="253">
                  <c:v>125.464644319143</c:v>
                </c:pt>
                <c:pt idx="254">
                  <c:v>118.404678456905</c:v>
                </c:pt>
                <c:pt idx="255">
                  <c:v>124.261407489037</c:v>
                </c:pt>
                <c:pt idx="256">
                  <c:v>122.628276000926</c:v>
                </c:pt>
                <c:pt idx="257">
                  <c:v>119.366687697252</c:v>
                </c:pt>
                <c:pt idx="258">
                  <c:v>122.688815094666</c:v>
                </c:pt>
                <c:pt idx="259">
                  <c:v>119.216730788163</c:v>
                </c:pt>
                <c:pt idx="260">
                  <c:v>121.697498816787</c:v>
                </c:pt>
                <c:pt idx="261">
                  <c:v>123.527348082029</c:v>
                </c:pt>
                <c:pt idx="262">
                  <c:v>116.940935010626</c:v>
                </c:pt>
                <c:pt idx="263">
                  <c:v>122.167353067354</c:v>
                </c:pt>
                <c:pt idx="264">
                  <c:v>125.985515729668</c:v>
                </c:pt>
                <c:pt idx="265">
                  <c:v>119.378125856441</c:v>
                </c:pt>
                <c:pt idx="266">
                  <c:v>128.168226155559</c:v>
                </c:pt>
                <c:pt idx="267">
                  <c:v>124.221741915986</c:v>
                </c:pt>
                <c:pt idx="268">
                  <c:v>119.855196252247</c:v>
                </c:pt>
              </c:numCache>
            </c:numRef>
          </c:val>
          <c:smooth val="0"/>
        </c:ser>
        <c:ser>
          <c:idx val="2"/>
          <c:order val="2"/>
          <c:tx>
            <c:strRef>
              <c:f>'Sub-Index Analysis'!N6</c:f>
              <c:strCache>
                <c:ptCount val="1"/>
                <c:pt idx="0">
                  <c:v>Services: SA level</c:v>
                </c:pt>
              </c:strCache>
            </c:strRef>
          </c:tx>
          <c:spPr>
            <a:solidFill>
              <a:srgbClr val="f3b8a4"/>
            </a:solidFill>
            <a:ln w="31680">
              <a:solidFill>
                <a:srgbClr val="f3b8a4"/>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'Sub-Index Analysis'!$A$7:$A$275</c:f>
              <c:strCache>
                <c:ptCount val="269"/>
                <c:pt idx="0">
                  <c:v>Jan-04</c:v>
                </c:pt>
                <c:pt idx="1">
                  <c:v>Feb-04</c:v>
                </c:pt>
                <c:pt idx="2">
                  <c:v>Mar-04</c:v>
                </c:pt>
                <c:pt idx="3">
                  <c:v>Apr-04</c:v>
                </c:pt>
                <c:pt idx="4">
                  <c:v>May-04</c:v>
                </c:pt>
                <c:pt idx="5">
                  <c:v>Jun-04</c:v>
                </c:pt>
                <c:pt idx="6">
                  <c:v>Jul-04</c:v>
                </c:pt>
                <c:pt idx="7">
                  <c:v>Aug-04</c:v>
                </c:pt>
                <c:pt idx="8">
                  <c:v>Sep-04</c:v>
                </c:pt>
                <c:pt idx="9">
                  <c:v>Oct-04</c:v>
                </c:pt>
                <c:pt idx="10">
                  <c:v>Nov-04</c:v>
                </c:pt>
                <c:pt idx="11">
                  <c:v>Dec-04</c:v>
                </c:pt>
                <c:pt idx="12">
                  <c:v>Jan-05</c:v>
                </c:pt>
                <c:pt idx="13">
                  <c:v>Feb-05</c:v>
                </c:pt>
                <c:pt idx="14">
                  <c:v>Mar-05</c:v>
                </c:pt>
                <c:pt idx="15">
                  <c:v>Apr-05</c:v>
                </c:pt>
                <c:pt idx="16">
                  <c:v>May-05</c:v>
                </c:pt>
                <c:pt idx="17">
                  <c:v>Jun-05</c:v>
                </c:pt>
                <c:pt idx="18">
                  <c:v>Jul-05</c:v>
                </c:pt>
                <c:pt idx="19">
                  <c:v>Aug-05</c:v>
                </c:pt>
                <c:pt idx="20">
                  <c:v>Sep-05</c:v>
                </c:pt>
                <c:pt idx="21">
                  <c:v>Oct-05</c:v>
                </c:pt>
                <c:pt idx="22">
                  <c:v>Nov-05</c:v>
                </c:pt>
                <c:pt idx="23">
                  <c:v>Dec-05</c:v>
                </c:pt>
                <c:pt idx="24">
                  <c:v>Jan-06</c:v>
                </c:pt>
                <c:pt idx="25">
                  <c:v>Feb-06</c:v>
                </c:pt>
                <c:pt idx="26">
                  <c:v>Mar-06</c:v>
                </c:pt>
                <c:pt idx="27">
                  <c:v>Apr-06</c:v>
                </c:pt>
                <c:pt idx="28">
                  <c:v>May-06</c:v>
                </c:pt>
                <c:pt idx="29">
                  <c:v>Jun-06</c:v>
                </c:pt>
                <c:pt idx="30">
                  <c:v>Jul-06</c:v>
                </c:pt>
                <c:pt idx="31">
                  <c:v>Aug-06</c:v>
                </c:pt>
                <c:pt idx="32">
                  <c:v>Sep-06</c:v>
                </c:pt>
                <c:pt idx="33">
                  <c:v>Oct-06</c:v>
                </c:pt>
                <c:pt idx="34">
                  <c:v>Nov-06</c:v>
                </c:pt>
                <c:pt idx="35">
                  <c:v>Dec-06</c:v>
                </c:pt>
                <c:pt idx="36">
                  <c:v>Jan-07</c:v>
                </c:pt>
                <c:pt idx="37">
                  <c:v>Feb-07</c:v>
                </c:pt>
                <c:pt idx="38">
                  <c:v>Mar-07</c:v>
                </c:pt>
                <c:pt idx="39">
                  <c:v>Apr-07</c:v>
                </c:pt>
                <c:pt idx="40">
                  <c:v>May-07</c:v>
                </c:pt>
                <c:pt idx="41">
                  <c:v>Jun-07</c:v>
                </c:pt>
                <c:pt idx="42">
                  <c:v>Jul-07</c:v>
                </c:pt>
                <c:pt idx="43">
                  <c:v>Aug-07</c:v>
                </c:pt>
                <c:pt idx="44">
                  <c:v>Sep-07</c:v>
                </c:pt>
                <c:pt idx="45">
                  <c:v>Oct-07</c:v>
                </c:pt>
                <c:pt idx="46">
                  <c:v>Nov-07</c:v>
                </c:pt>
                <c:pt idx="47">
                  <c:v>Dec-07</c:v>
                </c:pt>
                <c:pt idx="48">
                  <c:v>Jan-08</c:v>
                </c:pt>
                <c:pt idx="49">
                  <c:v>Feb-08</c:v>
                </c:pt>
                <c:pt idx="50">
                  <c:v>Mar-08</c:v>
                </c:pt>
                <c:pt idx="51">
                  <c:v>Apr-08</c:v>
                </c:pt>
                <c:pt idx="52">
                  <c:v>May-08</c:v>
                </c:pt>
                <c:pt idx="53">
                  <c:v>Jun-08</c:v>
                </c:pt>
                <c:pt idx="54">
                  <c:v>Jul-08</c:v>
                </c:pt>
                <c:pt idx="55">
                  <c:v>Aug-08</c:v>
                </c:pt>
                <c:pt idx="56">
                  <c:v>Sep-08</c:v>
                </c:pt>
                <c:pt idx="57">
                  <c:v>Oct-08</c:v>
                </c:pt>
                <c:pt idx="58">
                  <c:v>Nov-08</c:v>
                </c:pt>
                <c:pt idx="59">
                  <c:v>Dec-08</c:v>
                </c:pt>
                <c:pt idx="60">
                  <c:v>Jan-09</c:v>
                </c:pt>
                <c:pt idx="61">
                  <c:v>Feb-09</c:v>
                </c:pt>
                <c:pt idx="62">
                  <c:v>Mar-09</c:v>
                </c:pt>
                <c:pt idx="63">
                  <c:v>Apr-09</c:v>
                </c:pt>
                <c:pt idx="64">
                  <c:v>May-09</c:v>
                </c:pt>
                <c:pt idx="65">
                  <c:v>Jun-09</c:v>
                </c:pt>
                <c:pt idx="66">
                  <c:v>Jul-09</c:v>
                </c:pt>
                <c:pt idx="67">
                  <c:v>Aug-09</c:v>
                </c:pt>
                <c:pt idx="68">
                  <c:v>Sep-09</c:v>
                </c:pt>
                <c:pt idx="69">
                  <c:v>Oct-09</c:v>
                </c:pt>
                <c:pt idx="70">
                  <c:v>Nov-09</c:v>
                </c:pt>
                <c:pt idx="71">
                  <c:v>Dec-09</c:v>
                </c:pt>
                <c:pt idx="72">
                  <c:v>Jan-10</c:v>
                </c:pt>
                <c:pt idx="73">
                  <c:v>Feb-10</c:v>
                </c:pt>
                <c:pt idx="74">
                  <c:v>Mar-10</c:v>
                </c:pt>
                <c:pt idx="75">
                  <c:v>Apr-10</c:v>
                </c:pt>
                <c:pt idx="76">
                  <c:v>May-10</c:v>
                </c:pt>
                <c:pt idx="77">
                  <c:v>Jun-10</c:v>
                </c:pt>
                <c:pt idx="78">
                  <c:v>Jul-10</c:v>
                </c:pt>
                <c:pt idx="79">
                  <c:v>Aug-10</c:v>
                </c:pt>
                <c:pt idx="80">
                  <c:v>Sep-10</c:v>
                </c:pt>
                <c:pt idx="81">
                  <c:v>Oct-10</c:v>
                </c:pt>
                <c:pt idx="82">
                  <c:v>Nov-10</c:v>
                </c:pt>
                <c:pt idx="83">
                  <c:v>Dec-10</c:v>
                </c:pt>
                <c:pt idx="84">
                  <c:v>Jan-11</c:v>
                </c:pt>
                <c:pt idx="85">
                  <c:v>Feb-11</c:v>
                </c:pt>
                <c:pt idx="86">
                  <c:v>Mar-11</c:v>
                </c:pt>
                <c:pt idx="87">
                  <c:v>Apr-11</c:v>
                </c:pt>
                <c:pt idx="88">
                  <c:v>May-11</c:v>
                </c:pt>
                <c:pt idx="89">
                  <c:v>Jun-11</c:v>
                </c:pt>
                <c:pt idx="90">
                  <c:v>Jul-11</c:v>
                </c:pt>
                <c:pt idx="91">
                  <c:v>Aug-11</c:v>
                </c:pt>
                <c:pt idx="92">
                  <c:v>Sep-11</c:v>
                </c:pt>
                <c:pt idx="93">
                  <c:v>Oct-11</c:v>
                </c:pt>
                <c:pt idx="94">
                  <c:v>Nov-11</c:v>
                </c:pt>
                <c:pt idx="95">
                  <c:v>Dec-11</c:v>
                </c:pt>
                <c:pt idx="96">
                  <c:v>Jan-12</c:v>
                </c:pt>
                <c:pt idx="97">
                  <c:v>Feb-12</c:v>
                </c:pt>
                <c:pt idx="98">
                  <c:v>Mar-12</c:v>
                </c:pt>
                <c:pt idx="99">
                  <c:v>Apr-12</c:v>
                </c:pt>
                <c:pt idx="100">
                  <c:v>May-12</c:v>
                </c:pt>
                <c:pt idx="101">
                  <c:v>Jun-12</c:v>
                </c:pt>
                <c:pt idx="102">
                  <c:v>Jul-12</c:v>
                </c:pt>
                <c:pt idx="103">
                  <c:v>Aug-12</c:v>
                </c:pt>
                <c:pt idx="104">
                  <c:v>Sep-12</c:v>
                </c:pt>
                <c:pt idx="105">
                  <c:v>Oct-12</c:v>
                </c:pt>
                <c:pt idx="106">
                  <c:v>Nov-12</c:v>
                </c:pt>
                <c:pt idx="107">
                  <c:v>Dec-12</c:v>
                </c:pt>
                <c:pt idx="108">
                  <c:v>Jan-13</c:v>
                </c:pt>
                <c:pt idx="109">
                  <c:v>Feb-13</c:v>
                </c:pt>
                <c:pt idx="110">
                  <c:v>Mar-13</c:v>
                </c:pt>
                <c:pt idx="111">
                  <c:v>Apr-13</c:v>
                </c:pt>
                <c:pt idx="112">
                  <c:v>May-13</c:v>
                </c:pt>
                <c:pt idx="113">
                  <c:v>Jun-13</c:v>
                </c:pt>
                <c:pt idx="114">
                  <c:v>Jul-13</c:v>
                </c:pt>
                <c:pt idx="115">
                  <c:v>Aug-13</c:v>
                </c:pt>
                <c:pt idx="116">
                  <c:v>Sep-13</c:v>
                </c:pt>
                <c:pt idx="117">
                  <c:v>Oct-13</c:v>
                </c:pt>
                <c:pt idx="118">
                  <c:v>Nov-13</c:v>
                </c:pt>
                <c:pt idx="119">
                  <c:v>Dec-13</c:v>
                </c:pt>
                <c:pt idx="120">
                  <c:v>Jan-14</c:v>
                </c:pt>
                <c:pt idx="121">
                  <c:v>Feb-14</c:v>
                </c:pt>
                <c:pt idx="122">
                  <c:v>Mar-14</c:v>
                </c:pt>
                <c:pt idx="123">
                  <c:v>Apr-14</c:v>
                </c:pt>
                <c:pt idx="124">
                  <c:v>May-14</c:v>
                </c:pt>
                <c:pt idx="125">
                  <c:v>Jun-14</c:v>
                </c:pt>
                <c:pt idx="126">
                  <c:v>Jul-14</c:v>
                </c:pt>
                <c:pt idx="127">
                  <c:v>Aug-14</c:v>
                </c:pt>
                <c:pt idx="128">
                  <c:v>Sep-14</c:v>
                </c:pt>
                <c:pt idx="129">
                  <c:v>Oct-14</c:v>
                </c:pt>
                <c:pt idx="130">
                  <c:v>Nov-14</c:v>
                </c:pt>
                <c:pt idx="131">
                  <c:v>Dec-14</c:v>
                </c:pt>
                <c:pt idx="132">
                  <c:v>Jan-15</c:v>
                </c:pt>
                <c:pt idx="133">
                  <c:v>Feb-15</c:v>
                </c:pt>
                <c:pt idx="134">
                  <c:v>Mar-15</c:v>
                </c:pt>
                <c:pt idx="135">
                  <c:v>Apr-15</c:v>
                </c:pt>
                <c:pt idx="136">
                  <c:v>May-15</c:v>
                </c:pt>
                <c:pt idx="137">
                  <c:v>Jun-15</c:v>
                </c:pt>
                <c:pt idx="138">
                  <c:v>Jul-15</c:v>
                </c:pt>
                <c:pt idx="139">
                  <c:v>Aug-15</c:v>
                </c:pt>
                <c:pt idx="140">
                  <c:v>Sep-15</c:v>
                </c:pt>
                <c:pt idx="141">
                  <c:v>Oct-15</c:v>
                </c:pt>
                <c:pt idx="142">
                  <c:v>Nov-15</c:v>
                </c:pt>
                <c:pt idx="143">
                  <c:v>Dec-15</c:v>
                </c:pt>
                <c:pt idx="144">
                  <c:v>Jan-16</c:v>
                </c:pt>
                <c:pt idx="145">
                  <c:v>Feb-16</c:v>
                </c:pt>
                <c:pt idx="146">
                  <c:v>Mar-16</c:v>
                </c:pt>
                <c:pt idx="147">
                  <c:v>Apr-16</c:v>
                </c:pt>
                <c:pt idx="148">
                  <c:v>May-16</c:v>
                </c:pt>
                <c:pt idx="149">
                  <c:v>Jun-16</c:v>
                </c:pt>
                <c:pt idx="150">
                  <c:v>Jul-16</c:v>
                </c:pt>
                <c:pt idx="151">
                  <c:v>Aug-16</c:v>
                </c:pt>
                <c:pt idx="152">
                  <c:v>Sep-16</c:v>
                </c:pt>
                <c:pt idx="153">
                  <c:v>Oct-16</c:v>
                </c:pt>
                <c:pt idx="154">
                  <c:v>Nov-16</c:v>
                </c:pt>
                <c:pt idx="155">
                  <c:v>Dec-16</c:v>
                </c:pt>
                <c:pt idx="156">
                  <c:v>Jan-17</c:v>
                </c:pt>
                <c:pt idx="157">
                  <c:v>Feb-17</c:v>
                </c:pt>
                <c:pt idx="158">
                  <c:v>Mar-17</c:v>
                </c:pt>
                <c:pt idx="159">
                  <c:v>Apr-17</c:v>
                </c:pt>
                <c:pt idx="160">
                  <c:v>May-17</c:v>
                </c:pt>
                <c:pt idx="161">
                  <c:v>Jun-17</c:v>
                </c:pt>
                <c:pt idx="162">
                  <c:v>Jul-17</c:v>
                </c:pt>
                <c:pt idx="163">
                  <c:v>Aug-17</c:v>
                </c:pt>
                <c:pt idx="164">
                  <c:v>Sep-17</c:v>
                </c:pt>
                <c:pt idx="165">
                  <c:v>Oct-17</c:v>
                </c:pt>
                <c:pt idx="166">
                  <c:v>Nov-17</c:v>
                </c:pt>
                <c:pt idx="167">
                  <c:v>Dec-17</c:v>
                </c:pt>
                <c:pt idx="168">
                  <c:v>Jan-18</c:v>
                </c:pt>
                <c:pt idx="169">
                  <c:v>Feb-18</c:v>
                </c:pt>
                <c:pt idx="170">
                  <c:v>Mar-18</c:v>
                </c:pt>
                <c:pt idx="171">
                  <c:v>Apr-18</c:v>
                </c:pt>
                <c:pt idx="172">
                  <c:v>May-18</c:v>
                </c:pt>
                <c:pt idx="173">
                  <c:v>Jun-18</c:v>
                </c:pt>
                <c:pt idx="174">
                  <c:v>Jul-18</c:v>
                </c:pt>
                <c:pt idx="175">
                  <c:v>Aug-18</c:v>
                </c:pt>
                <c:pt idx="176">
                  <c:v>Sep-18</c:v>
                </c:pt>
                <c:pt idx="177">
                  <c:v>Oct-18</c:v>
                </c:pt>
                <c:pt idx="178">
                  <c:v>Nov-18</c:v>
                </c:pt>
                <c:pt idx="179">
                  <c:v>Dec-18</c:v>
                </c:pt>
                <c:pt idx="180">
                  <c:v>Jan-19</c:v>
                </c:pt>
                <c:pt idx="181">
                  <c:v>Feb-19</c:v>
                </c:pt>
                <c:pt idx="182">
                  <c:v>Mar-19</c:v>
                </c:pt>
                <c:pt idx="183">
                  <c:v>Apr-19</c:v>
                </c:pt>
                <c:pt idx="184">
                  <c:v>May-19</c:v>
                </c:pt>
                <c:pt idx="185">
                  <c:v>Jun-19</c:v>
                </c:pt>
                <c:pt idx="186">
                  <c:v>Jul-19</c:v>
                </c:pt>
                <c:pt idx="187">
                  <c:v>Aug-19</c:v>
                </c:pt>
                <c:pt idx="188">
                  <c:v>Sep-19</c:v>
                </c:pt>
                <c:pt idx="189">
                  <c:v>Oct-19</c:v>
                </c:pt>
                <c:pt idx="190">
                  <c:v>Nov-19</c:v>
                </c:pt>
                <c:pt idx="191">
                  <c:v>Dec-19</c:v>
                </c:pt>
                <c:pt idx="192">
                  <c:v>Jan-20</c:v>
                </c:pt>
                <c:pt idx="193">
                  <c:v>Feb-20</c:v>
                </c:pt>
                <c:pt idx="194">
                  <c:v>Mar-20</c:v>
                </c:pt>
                <c:pt idx="195">
                  <c:v>Apr-20</c:v>
                </c:pt>
                <c:pt idx="196">
                  <c:v>May-20</c:v>
                </c:pt>
                <c:pt idx="197">
                  <c:v>Jun-20</c:v>
                </c:pt>
                <c:pt idx="198">
                  <c:v>Jul-20</c:v>
                </c:pt>
                <c:pt idx="199">
                  <c:v>Aug-20</c:v>
                </c:pt>
                <c:pt idx="200">
                  <c:v>Sep-20</c:v>
                </c:pt>
                <c:pt idx="201">
                  <c:v>Oct-20</c:v>
                </c:pt>
                <c:pt idx="202">
                  <c:v>Nov-20</c:v>
                </c:pt>
                <c:pt idx="203">
                  <c:v>Dec-20</c:v>
                </c:pt>
                <c:pt idx="204">
                  <c:v>Jan-21</c:v>
                </c:pt>
                <c:pt idx="205">
                  <c:v>Feb-21</c:v>
                </c:pt>
                <c:pt idx="206">
                  <c:v>Mar-21</c:v>
                </c:pt>
                <c:pt idx="207">
                  <c:v>Apr-21</c:v>
                </c:pt>
                <c:pt idx="208">
                  <c:v>May-21</c:v>
                </c:pt>
                <c:pt idx="209">
                  <c:v>Jun-21</c:v>
                </c:pt>
                <c:pt idx="210">
                  <c:v>Jul-21</c:v>
                </c:pt>
                <c:pt idx="211">
                  <c:v>Aug-21</c:v>
                </c:pt>
                <c:pt idx="212">
                  <c:v>Sep-21</c:v>
                </c:pt>
                <c:pt idx="213">
                  <c:v>Oct-21</c:v>
                </c:pt>
                <c:pt idx="214">
                  <c:v>Nov-21</c:v>
                </c:pt>
                <c:pt idx="215">
                  <c:v>Dec-21</c:v>
                </c:pt>
                <c:pt idx="216">
                  <c:v>Jan-22</c:v>
                </c:pt>
                <c:pt idx="217">
                  <c:v>Feb-22</c:v>
                </c:pt>
                <c:pt idx="218">
                  <c:v>Mar-22</c:v>
                </c:pt>
                <c:pt idx="219">
                  <c:v>Apr-22</c:v>
                </c:pt>
                <c:pt idx="220">
                  <c:v>May-22</c:v>
                </c:pt>
                <c:pt idx="221">
                  <c:v>Jun-22</c:v>
                </c:pt>
                <c:pt idx="222">
                  <c:v>Jul-22</c:v>
                </c:pt>
                <c:pt idx="223">
                  <c:v>Aug-22</c:v>
                </c:pt>
                <c:pt idx="224">
                  <c:v>Sep-22</c:v>
                </c:pt>
                <c:pt idx="225">
                  <c:v>Oct-22</c:v>
                </c:pt>
                <c:pt idx="226">
                  <c:v>Nov-22</c:v>
                </c:pt>
                <c:pt idx="227">
                  <c:v>Dec-22</c:v>
                </c:pt>
                <c:pt idx="228">
                  <c:v>Jan-23</c:v>
                </c:pt>
                <c:pt idx="229">
                  <c:v>Feb-23</c:v>
                </c:pt>
                <c:pt idx="230">
                  <c:v>Mar-23</c:v>
                </c:pt>
                <c:pt idx="231">
                  <c:v>Apr-23</c:v>
                </c:pt>
                <c:pt idx="232">
                  <c:v>May-23</c:v>
                </c:pt>
                <c:pt idx="233">
                  <c:v>Jun-23</c:v>
                </c:pt>
                <c:pt idx="234">
                  <c:v>Jul-23</c:v>
                </c:pt>
                <c:pt idx="235">
                  <c:v>Aug-23</c:v>
                </c:pt>
                <c:pt idx="236">
                  <c:v>Sep-23</c:v>
                </c:pt>
                <c:pt idx="237">
                  <c:v>Oct-23</c:v>
                </c:pt>
                <c:pt idx="238">
                  <c:v>Nov-23</c:v>
                </c:pt>
                <c:pt idx="239">
                  <c:v>Dec-23</c:v>
                </c:pt>
                <c:pt idx="240">
                  <c:v>Jan-24</c:v>
                </c:pt>
                <c:pt idx="241">
                  <c:v>Feb-24</c:v>
                </c:pt>
                <c:pt idx="242">
                  <c:v>Mar-24</c:v>
                </c:pt>
                <c:pt idx="243">
                  <c:v>Apr-24</c:v>
                </c:pt>
                <c:pt idx="244">
                  <c:v>May-24</c:v>
                </c:pt>
                <c:pt idx="245">
                  <c:v>Jun-24</c:v>
                </c:pt>
                <c:pt idx="246">
                  <c:v>Jul-24</c:v>
                </c:pt>
                <c:pt idx="247">
                  <c:v>Aug-24</c:v>
                </c:pt>
                <c:pt idx="248">
                  <c:v>Sep-24</c:v>
                </c:pt>
                <c:pt idx="249">
                  <c:v>Oct-24</c:v>
                </c:pt>
                <c:pt idx="250">
                  <c:v>Nov-24</c:v>
                </c:pt>
                <c:pt idx="251">
                  <c:v>Dec-24</c:v>
                </c:pt>
                <c:pt idx="252">
                  <c:v>Jan-25</c:v>
                </c:pt>
                <c:pt idx="253">
                  <c:v>Feb-25</c:v>
                </c:pt>
                <c:pt idx="254">
                  <c:v>Mar-25</c:v>
                </c:pt>
                <c:pt idx="255">
                  <c:v>Apr-25</c:v>
                </c:pt>
                <c:pt idx="256">
                  <c:v>May-25</c:v>
                </c:pt>
                <c:pt idx="257">
                  <c:v>Jun-25</c:v>
                </c:pt>
                <c:pt idx="258">
                  <c:v>Jul-25</c:v>
                </c:pt>
                <c:pt idx="259">
                  <c:v>Aug-25</c:v>
                </c:pt>
                <c:pt idx="260">
                  <c:v>Sep-25</c:v>
                </c:pt>
                <c:pt idx="261">
                  <c:v>Oct-25</c:v>
                </c:pt>
                <c:pt idx="262">
                  <c:v>Nov-25</c:v>
                </c:pt>
                <c:pt idx="263">
                  <c:v>Dec-25</c:v>
                </c:pt>
                <c:pt idx="264">
                  <c:v>Jan-26</c:v>
                </c:pt>
                <c:pt idx="265">
                  <c:v>Feb-26</c:v>
                </c:pt>
                <c:pt idx="266">
                  <c:v>Mar-26</c:v>
                </c:pt>
                <c:pt idx="267">
                  <c:v>Apr-26</c:v>
                </c:pt>
                <c:pt idx="268">
                  <c:v>May-26</c:v>
                </c:pt>
              </c:strCache>
            </c:strRef>
          </c:cat>
          <c:val>
            <c:numRef>
              <c:f>'Sub-Index Analysis'!$N$7:$N$275</c:f>
              <c:numCache>
                <c:formatCode>0.0</c:formatCode>
                <c:ptCount val="269"/>
                <c:pt idx="0">
                  <c:v>97.4278006328807</c:v>
                </c:pt>
                <c:pt idx="1">
                  <c:v>97.8587784791874</c:v>
                </c:pt>
                <c:pt idx="2">
                  <c:v>99.3663380829987</c:v>
                </c:pt>
                <c:pt idx="3">
                  <c:v>98.1841802012394</c:v>
                </c:pt>
                <c:pt idx="4">
                  <c:v>98.0305977284055</c:v>
                </c:pt>
                <c:pt idx="5">
                  <c:v>99.9841646536952</c:v>
                </c:pt>
                <c:pt idx="6">
                  <c:v>99.9142861418304</c:v>
                </c:pt>
                <c:pt idx="7">
                  <c:v>99.9955815337399</c:v>
                </c:pt>
                <c:pt idx="8">
                  <c:v>101.153477684052</c:v>
                </c:pt>
                <c:pt idx="9">
                  <c:v>101.413116224507</c:v>
                </c:pt>
                <c:pt idx="10">
                  <c:v>102.652068939803</c:v>
                </c:pt>
                <c:pt idx="11">
                  <c:v>104.118907712125</c:v>
                </c:pt>
                <c:pt idx="12">
                  <c:v>104.821438471541</c:v>
                </c:pt>
                <c:pt idx="13">
                  <c:v>105.55731709537</c:v>
                </c:pt>
                <c:pt idx="14">
                  <c:v>107.475914448948</c:v>
                </c:pt>
                <c:pt idx="15">
                  <c:v>107.681313860828</c:v>
                </c:pt>
                <c:pt idx="16">
                  <c:v>108.554463458377</c:v>
                </c:pt>
                <c:pt idx="17">
                  <c:v>109.15180658583</c:v>
                </c:pt>
                <c:pt idx="18">
                  <c:v>109.060217153396</c:v>
                </c:pt>
                <c:pt idx="19">
                  <c:v>110.104339038031</c:v>
                </c:pt>
                <c:pt idx="20">
                  <c:v>110.739794550672</c:v>
                </c:pt>
                <c:pt idx="21">
                  <c:v>110.155256713204</c:v>
                </c:pt>
                <c:pt idx="22">
                  <c:v>112.643936101086</c:v>
                </c:pt>
                <c:pt idx="23">
                  <c:v>114.232110057969</c:v>
                </c:pt>
                <c:pt idx="24">
                  <c:v>114.216395446393</c:v>
                </c:pt>
                <c:pt idx="25">
                  <c:v>115.013831830393</c:v>
                </c:pt>
                <c:pt idx="26">
                  <c:v>116.332212155318</c:v>
                </c:pt>
                <c:pt idx="27">
                  <c:v>115.46276808743</c:v>
                </c:pt>
                <c:pt idx="28">
                  <c:v>117.246432532502</c:v>
                </c:pt>
                <c:pt idx="29">
                  <c:v>117.835647390043</c:v>
                </c:pt>
                <c:pt idx="30">
                  <c:v>118.359743127262</c:v>
                </c:pt>
                <c:pt idx="31">
                  <c:v>119.989249609056</c:v>
                </c:pt>
                <c:pt idx="32">
                  <c:v>119.683847703742</c:v>
                </c:pt>
                <c:pt idx="33">
                  <c:v>120.943250466765</c:v>
                </c:pt>
                <c:pt idx="34">
                  <c:v>122.564233347393</c:v>
                </c:pt>
                <c:pt idx="35">
                  <c:v>123.184683227008</c:v>
                </c:pt>
                <c:pt idx="36">
                  <c:v>125.150453425098</c:v>
                </c:pt>
                <c:pt idx="37">
                  <c:v>125.669156548678</c:v>
                </c:pt>
                <c:pt idx="38">
                  <c:v>127.58041744342</c:v>
                </c:pt>
                <c:pt idx="39">
                  <c:v>125.957324947175</c:v>
                </c:pt>
                <c:pt idx="40">
                  <c:v>128.255293651338</c:v>
                </c:pt>
                <c:pt idx="41">
                  <c:v>128.761589870813</c:v>
                </c:pt>
                <c:pt idx="42">
                  <c:v>129.363656875128</c:v>
                </c:pt>
                <c:pt idx="43">
                  <c:v>130.752409413039</c:v>
                </c:pt>
                <c:pt idx="44">
                  <c:v>129.180619046639</c:v>
                </c:pt>
                <c:pt idx="45">
                  <c:v>132.685581920295</c:v>
                </c:pt>
                <c:pt idx="46">
                  <c:v>133.290559396548</c:v>
                </c:pt>
                <c:pt idx="47">
                  <c:v>132.323957042042</c:v>
                </c:pt>
                <c:pt idx="48">
                  <c:v>135.299146523854</c:v>
                </c:pt>
                <c:pt idx="49">
                  <c:v>136.617964628832</c:v>
                </c:pt>
                <c:pt idx="50">
                  <c:v>132.60142387398</c:v>
                </c:pt>
                <c:pt idx="51">
                  <c:v>138.661895251158</c:v>
                </c:pt>
                <c:pt idx="52">
                  <c:v>137.129641144155</c:v>
                </c:pt>
                <c:pt idx="53">
                  <c:v>134.490638950285</c:v>
                </c:pt>
                <c:pt idx="54">
                  <c:v>137.972264382651</c:v>
                </c:pt>
                <c:pt idx="55">
                  <c:v>135.982342217956</c:v>
                </c:pt>
                <c:pt idx="56">
                  <c:v>137.354876487886</c:v>
                </c:pt>
                <c:pt idx="57">
                  <c:v>136.631163065426</c:v>
                </c:pt>
                <c:pt idx="58">
                  <c:v>132.413621283949</c:v>
                </c:pt>
                <c:pt idx="59">
                  <c:v>132.939350965075</c:v>
                </c:pt>
                <c:pt idx="60">
                  <c:v>131.847544091756</c:v>
                </c:pt>
                <c:pt idx="61">
                  <c:v>132.194557279753</c:v>
                </c:pt>
                <c:pt idx="62">
                  <c:v>131.825027240839</c:v>
                </c:pt>
                <c:pt idx="63">
                  <c:v>132.24264853744</c:v>
                </c:pt>
                <c:pt idx="64">
                  <c:v>130.826731266768</c:v>
                </c:pt>
                <c:pt idx="65">
                  <c:v>133.154891317961</c:v>
                </c:pt>
                <c:pt idx="66">
                  <c:v>133.2347584952</c:v>
                </c:pt>
                <c:pt idx="67">
                  <c:v>132.954615309505</c:v>
                </c:pt>
                <c:pt idx="68">
                  <c:v>135.963979812946</c:v>
                </c:pt>
                <c:pt idx="69">
                  <c:v>135.814975098891</c:v>
                </c:pt>
                <c:pt idx="70">
                  <c:v>135.996470037816</c:v>
                </c:pt>
                <c:pt idx="71">
                  <c:v>137.216548765625</c:v>
                </c:pt>
                <c:pt idx="72">
                  <c:v>137.643969981755</c:v>
                </c:pt>
                <c:pt idx="73">
                  <c:v>138.79346639908</c:v>
                </c:pt>
                <c:pt idx="74">
                  <c:v>140.863135582912</c:v>
                </c:pt>
                <c:pt idx="75">
                  <c:v>141.420582417617</c:v>
                </c:pt>
                <c:pt idx="76">
                  <c:v>141.274930976545</c:v>
                </c:pt>
                <c:pt idx="77">
                  <c:v>143.149299431204</c:v>
                </c:pt>
                <c:pt idx="78">
                  <c:v>142.63036424858</c:v>
                </c:pt>
                <c:pt idx="79">
                  <c:v>143.536870641985</c:v>
                </c:pt>
                <c:pt idx="80">
                  <c:v>144.201437104287</c:v>
                </c:pt>
                <c:pt idx="81">
                  <c:v>142.981087326406</c:v>
                </c:pt>
                <c:pt idx="82">
                  <c:v>147.029751580591</c:v>
                </c:pt>
                <c:pt idx="83">
                  <c:v>147.001094752049</c:v>
                </c:pt>
                <c:pt idx="84">
                  <c:v>147.975950764701</c:v>
                </c:pt>
                <c:pt idx="85">
                  <c:v>147.654484108579</c:v>
                </c:pt>
                <c:pt idx="86">
                  <c:v>149.666901551105</c:v>
                </c:pt>
                <c:pt idx="87">
                  <c:v>149.919933115888</c:v>
                </c:pt>
                <c:pt idx="88">
                  <c:v>152.068287856914</c:v>
                </c:pt>
                <c:pt idx="89">
                  <c:v>152.635256087455</c:v>
                </c:pt>
                <c:pt idx="90">
                  <c:v>150.327421461679</c:v>
                </c:pt>
                <c:pt idx="91">
                  <c:v>153.29017808241</c:v>
                </c:pt>
                <c:pt idx="92">
                  <c:v>154.143980546219</c:v>
                </c:pt>
                <c:pt idx="93">
                  <c:v>152.37674318509</c:v>
                </c:pt>
                <c:pt idx="94">
                  <c:v>153.379464133086</c:v>
                </c:pt>
                <c:pt idx="95">
                  <c:v>153.694190620691</c:v>
                </c:pt>
                <c:pt idx="96">
                  <c:v>153.288508800382</c:v>
                </c:pt>
                <c:pt idx="97">
                  <c:v>152.296170493213</c:v>
                </c:pt>
                <c:pt idx="98">
                  <c:v>153.534043689268</c:v>
                </c:pt>
                <c:pt idx="99">
                  <c:v>150.049613032732</c:v>
                </c:pt>
                <c:pt idx="100">
                  <c:v>152.527207931861</c:v>
                </c:pt>
                <c:pt idx="101">
                  <c:v>152.072851722281</c:v>
                </c:pt>
                <c:pt idx="102">
                  <c:v>153.482683471085</c:v>
                </c:pt>
                <c:pt idx="103">
                  <c:v>154.359727057149</c:v>
                </c:pt>
                <c:pt idx="104">
                  <c:v>151.202298672942</c:v>
                </c:pt>
                <c:pt idx="105">
                  <c:v>154.94606893254</c:v>
                </c:pt>
                <c:pt idx="106">
                  <c:v>155.1628696898</c:v>
                </c:pt>
                <c:pt idx="107">
                  <c:v>155.281444416824</c:v>
                </c:pt>
                <c:pt idx="108">
                  <c:v>154.874097396848</c:v>
                </c:pt>
                <c:pt idx="109">
                  <c:v>153.827239748187</c:v>
                </c:pt>
                <c:pt idx="110">
                  <c:v>154.682375062363</c:v>
                </c:pt>
                <c:pt idx="111">
                  <c:v>157.936142772507</c:v>
                </c:pt>
                <c:pt idx="112">
                  <c:v>157.509567484096</c:v>
                </c:pt>
                <c:pt idx="113">
                  <c:v>155.555081970421</c:v>
                </c:pt>
                <c:pt idx="114">
                  <c:v>157.246684594808</c:v>
                </c:pt>
                <c:pt idx="115">
                  <c:v>156.93461907285</c:v>
                </c:pt>
                <c:pt idx="116">
                  <c:v>156.7713115495</c:v>
                </c:pt>
                <c:pt idx="117">
                  <c:v>157.021495021447</c:v>
                </c:pt>
                <c:pt idx="118">
                  <c:v>155.040477079299</c:v>
                </c:pt>
                <c:pt idx="119">
                  <c:v>155.72662036459</c:v>
                </c:pt>
                <c:pt idx="120">
                  <c:v>156.534432701419</c:v>
                </c:pt>
                <c:pt idx="121">
                  <c:v>154.600111277603</c:v>
                </c:pt>
                <c:pt idx="122">
                  <c:v>150.880846608449</c:v>
                </c:pt>
                <c:pt idx="123">
                  <c:v>154.221529494266</c:v>
                </c:pt>
                <c:pt idx="124">
                  <c:v>154.030128481266</c:v>
                </c:pt>
                <c:pt idx="125">
                  <c:v>153.564022932278</c:v>
                </c:pt>
                <c:pt idx="126">
                  <c:v>154.124887368604</c:v>
                </c:pt>
                <c:pt idx="127">
                  <c:v>152.44195895126</c:v>
                </c:pt>
                <c:pt idx="128">
                  <c:v>155.626112959771</c:v>
                </c:pt>
                <c:pt idx="129">
                  <c:v>155.934755908965</c:v>
                </c:pt>
                <c:pt idx="130">
                  <c:v>153.405722519301</c:v>
                </c:pt>
                <c:pt idx="131">
                  <c:v>155.652632241695</c:v>
                </c:pt>
                <c:pt idx="132">
                  <c:v>154.424836605877</c:v>
                </c:pt>
                <c:pt idx="133">
                  <c:v>156.593003874014</c:v>
                </c:pt>
                <c:pt idx="134">
                  <c:v>156.607842308503</c:v>
                </c:pt>
                <c:pt idx="135">
                  <c:v>157.791792459297</c:v>
                </c:pt>
                <c:pt idx="136">
                  <c:v>155.930201410361</c:v>
                </c:pt>
                <c:pt idx="137">
                  <c:v>160.747867683345</c:v>
                </c:pt>
                <c:pt idx="138">
                  <c:v>160.763735577838</c:v>
                </c:pt>
                <c:pt idx="139">
                  <c:v>159.141770873788</c:v>
                </c:pt>
                <c:pt idx="140">
                  <c:v>160.832884169058</c:v>
                </c:pt>
                <c:pt idx="141">
                  <c:v>159.469777111762</c:v>
                </c:pt>
                <c:pt idx="142">
                  <c:v>158.928059621531</c:v>
                </c:pt>
                <c:pt idx="143">
                  <c:v>157.471630034473</c:v>
                </c:pt>
                <c:pt idx="144">
                  <c:v>155.310749772941</c:v>
                </c:pt>
                <c:pt idx="145">
                  <c:v>157.744268892437</c:v>
                </c:pt>
                <c:pt idx="146">
                  <c:v>160.454373973142</c:v>
                </c:pt>
                <c:pt idx="147">
                  <c:v>161.812409967205</c:v>
                </c:pt>
                <c:pt idx="148">
                  <c:v>159.658807393282</c:v>
                </c:pt>
                <c:pt idx="149">
                  <c:v>159.011962414094</c:v>
                </c:pt>
                <c:pt idx="150">
                  <c:v>157.264402309133</c:v>
                </c:pt>
                <c:pt idx="151">
                  <c:v>159.328180677415</c:v>
                </c:pt>
                <c:pt idx="152">
                  <c:v>159.511724679589</c:v>
                </c:pt>
                <c:pt idx="153">
                  <c:v>156.949216482064</c:v>
                </c:pt>
                <c:pt idx="154">
                  <c:v>159.760661524301</c:v>
                </c:pt>
                <c:pt idx="155">
                  <c:v>159.538945119082</c:v>
                </c:pt>
                <c:pt idx="156">
                  <c:v>157.852154866495</c:v>
                </c:pt>
                <c:pt idx="157">
                  <c:v>157.770377546612</c:v>
                </c:pt>
                <c:pt idx="158">
                  <c:v>163.098397099649</c:v>
                </c:pt>
                <c:pt idx="159">
                  <c:v>162.186124333992</c:v>
                </c:pt>
                <c:pt idx="160">
                  <c:v>164.617762874846</c:v>
                </c:pt>
                <c:pt idx="161">
                  <c:v>164.648654896329</c:v>
                </c:pt>
                <c:pt idx="162">
                  <c:v>163.573783621003</c:v>
                </c:pt>
                <c:pt idx="163">
                  <c:v>164.039669351334</c:v>
                </c:pt>
                <c:pt idx="164">
                  <c:v>163.335001389662</c:v>
                </c:pt>
                <c:pt idx="165">
                  <c:v>163.913890874348</c:v>
                </c:pt>
                <c:pt idx="166">
                  <c:v>166.233686358214</c:v>
                </c:pt>
                <c:pt idx="167">
                  <c:v>162.300809893452</c:v>
                </c:pt>
                <c:pt idx="168">
                  <c:v>163.784396600151</c:v>
                </c:pt>
                <c:pt idx="169">
                  <c:v>163.541191384975</c:v>
                </c:pt>
                <c:pt idx="170">
                  <c:v>165.821292564212</c:v>
                </c:pt>
                <c:pt idx="171">
                  <c:v>167.296495133704</c:v>
                </c:pt>
                <c:pt idx="172">
                  <c:v>166.711352100086</c:v>
                </c:pt>
                <c:pt idx="173">
                  <c:v>162.203216317566</c:v>
                </c:pt>
                <c:pt idx="174">
                  <c:v>162.323501078305</c:v>
                </c:pt>
                <c:pt idx="175">
                  <c:v>162.700244949046</c:v>
                </c:pt>
                <c:pt idx="176">
                  <c:v>157.531232418041</c:v>
                </c:pt>
                <c:pt idx="177">
                  <c:v>158.841838705737</c:v>
                </c:pt>
                <c:pt idx="178">
                  <c:v>157.220163218492</c:v>
                </c:pt>
                <c:pt idx="179">
                  <c:v>155.29796403305</c:v>
                </c:pt>
                <c:pt idx="180">
                  <c:v>156.052358209404</c:v>
                </c:pt>
                <c:pt idx="181">
                  <c:v>156.531391790883</c:v>
                </c:pt>
                <c:pt idx="182">
                  <c:v>155.782455975228</c:v>
                </c:pt>
                <c:pt idx="183">
                  <c:v>161.000047140379</c:v>
                </c:pt>
                <c:pt idx="184">
                  <c:v>161.22209455297</c:v>
                </c:pt>
                <c:pt idx="185">
                  <c:v>157.127165150929</c:v>
                </c:pt>
                <c:pt idx="186">
                  <c:v>160.445791101294</c:v>
                </c:pt>
                <c:pt idx="187">
                  <c:v>157.004533700609</c:v>
                </c:pt>
                <c:pt idx="188">
                  <c:v>154.809613582098</c:v>
                </c:pt>
                <c:pt idx="189">
                  <c:v>157.033423926745</c:v>
                </c:pt>
                <c:pt idx="190">
                  <c:v>154.448103245389</c:v>
                </c:pt>
                <c:pt idx="191">
                  <c:v>154.843145481926</c:v>
                </c:pt>
                <c:pt idx="192">
                  <c:v>155.152316668802</c:v>
                </c:pt>
                <c:pt idx="193">
                  <c:v>153.991684995407</c:v>
                </c:pt>
                <c:pt idx="194">
                  <c:v>140.848548942501</c:v>
                </c:pt>
                <c:pt idx="195">
                  <c:v>119.990512510818</c:v>
                </c:pt>
                <c:pt idx="196">
                  <c:v>126.900791951495</c:v>
                </c:pt>
                <c:pt idx="197">
                  <c:v>132.961749683477</c:v>
                </c:pt>
                <c:pt idx="198">
                  <c:v>135.211641786355</c:v>
                </c:pt>
                <c:pt idx="199">
                  <c:v>135.76581077144</c:v>
                </c:pt>
                <c:pt idx="200">
                  <c:v>139.606338555889</c:v>
                </c:pt>
                <c:pt idx="201">
                  <c:v>142.338252466869</c:v>
                </c:pt>
                <c:pt idx="202">
                  <c:v>142.599738481274</c:v>
                </c:pt>
                <c:pt idx="203">
                  <c:v>146.200129925877</c:v>
                </c:pt>
                <c:pt idx="204">
                  <c:v>147.510306628159</c:v>
                </c:pt>
                <c:pt idx="205">
                  <c:v>147.084021520218</c:v>
                </c:pt>
                <c:pt idx="206">
                  <c:v>151.197533781225</c:v>
                </c:pt>
                <c:pt idx="207">
                  <c:v>154.659898080892</c:v>
                </c:pt>
                <c:pt idx="208">
                  <c:v>150.067515120217</c:v>
                </c:pt>
                <c:pt idx="209">
                  <c:v>152.045690624749</c:v>
                </c:pt>
                <c:pt idx="210">
                  <c:v>151.459568299434</c:v>
                </c:pt>
                <c:pt idx="211">
                  <c:v>152.874361719367</c:v>
                </c:pt>
                <c:pt idx="212">
                  <c:v>155.080566192581</c:v>
                </c:pt>
                <c:pt idx="213">
                  <c:v>152.709797494847</c:v>
                </c:pt>
                <c:pt idx="214">
                  <c:v>156.33426873934</c:v>
                </c:pt>
                <c:pt idx="215">
                  <c:v>158.872390400232</c:v>
                </c:pt>
                <c:pt idx="216">
                  <c:v>156.681591548421</c:v>
                </c:pt>
                <c:pt idx="217">
                  <c:v>158.461591025309</c:v>
                </c:pt>
                <c:pt idx="218">
                  <c:v>161.115202089612</c:v>
                </c:pt>
                <c:pt idx="219">
                  <c:v>165.760295852984</c:v>
                </c:pt>
                <c:pt idx="220">
                  <c:v>164.765928128734</c:v>
                </c:pt>
                <c:pt idx="221">
                  <c:v>166.175973184044</c:v>
                </c:pt>
                <c:pt idx="222">
                  <c:v>162.173063475353</c:v>
                </c:pt>
                <c:pt idx="223">
                  <c:v>162.595565868477</c:v>
                </c:pt>
                <c:pt idx="224">
                  <c:v>162.169072209826</c:v>
                </c:pt>
                <c:pt idx="225">
                  <c:v>159.375010687025</c:v>
                </c:pt>
                <c:pt idx="226">
                  <c:v>160.860442017909</c:v>
                </c:pt>
                <c:pt idx="227">
                  <c:v>160.617914106576</c:v>
                </c:pt>
                <c:pt idx="228">
                  <c:v>161.196969521319</c:v>
                </c:pt>
                <c:pt idx="229">
                  <c:v>159.850678966666</c:v>
                </c:pt>
                <c:pt idx="230">
                  <c:v>164.985902891068</c:v>
                </c:pt>
                <c:pt idx="231">
                  <c:v>166.549225329289</c:v>
                </c:pt>
                <c:pt idx="232">
                  <c:v>166.049980408189</c:v>
                </c:pt>
                <c:pt idx="233">
                  <c:v>166.564095625344</c:v>
                </c:pt>
                <c:pt idx="234">
                  <c:v>163.284014078458</c:v>
                </c:pt>
                <c:pt idx="235">
                  <c:v>165.210625470605</c:v>
                </c:pt>
                <c:pt idx="236">
                  <c:v>163.643871503998</c:v>
                </c:pt>
                <c:pt idx="237">
                  <c:v>161.929105758544</c:v>
                </c:pt>
                <c:pt idx="238">
                  <c:v>161.231006414596</c:v>
                </c:pt>
                <c:pt idx="239">
                  <c:v>156.321723941782</c:v>
                </c:pt>
                <c:pt idx="240">
                  <c:v>156.540892714568</c:v>
                </c:pt>
                <c:pt idx="241">
                  <c:v>156.876910976959</c:v>
                </c:pt>
                <c:pt idx="242">
                  <c:v>156.042378693566</c:v>
                </c:pt>
                <c:pt idx="243">
                  <c:v>160.567750109375</c:v>
                </c:pt>
                <c:pt idx="244">
                  <c:v>161.48782850227</c:v>
                </c:pt>
                <c:pt idx="245">
                  <c:v>157.639675539243</c:v>
                </c:pt>
                <c:pt idx="246">
                  <c:v>162.22022219469</c:v>
                </c:pt>
                <c:pt idx="247">
                  <c:v>161.381921004468</c:v>
                </c:pt>
                <c:pt idx="248">
                  <c:v>160.02260152354</c:v>
                </c:pt>
                <c:pt idx="249">
                  <c:v>163.223726715062</c:v>
                </c:pt>
                <c:pt idx="250">
                  <c:v>164.110074093296</c:v>
                </c:pt>
                <c:pt idx="251">
                  <c:v>164.974699199695</c:v>
                </c:pt>
                <c:pt idx="252">
                  <c:v>166.497352965443</c:v>
                </c:pt>
                <c:pt idx="253">
                  <c:v>166.752731864867</c:v>
                </c:pt>
                <c:pt idx="254">
                  <c:v>163.59676564425</c:v>
                </c:pt>
                <c:pt idx="255">
                  <c:v>166.73529921407</c:v>
                </c:pt>
                <c:pt idx="256">
                  <c:v>166.616922080789</c:v>
                </c:pt>
                <c:pt idx="257">
                  <c:v>165.923934480277</c:v>
                </c:pt>
                <c:pt idx="258">
                  <c:v>166.541735608922</c:v>
                </c:pt>
                <c:pt idx="259">
                  <c:v>165.609643596274</c:v>
                </c:pt>
                <c:pt idx="260">
                  <c:v>168.511182211951</c:v>
                </c:pt>
                <c:pt idx="261">
                  <c:v>168.989963193893</c:v>
                </c:pt>
                <c:pt idx="262">
                  <c:v>165.117068559913</c:v>
                </c:pt>
                <c:pt idx="263">
                  <c:v>168.393780716533</c:v>
                </c:pt>
                <c:pt idx="264">
                  <c:v>167.991428134378</c:v>
                </c:pt>
                <c:pt idx="265">
                  <c:v>166.130159258652</c:v>
                </c:pt>
                <c:pt idx="266">
                  <c:v>169.429399147482</c:v>
                </c:pt>
                <c:pt idx="267">
                  <c:v>167.421591800834</c:v>
                </c:pt>
                <c:pt idx="268">
                  <c:v>165.209614312207</c:v>
                </c:pt>
              </c:numCache>
            </c:numRef>
          </c:val>
          <c:smooth val="0"/>
        </c:ser>
        <c:hiLowLines>
          <c:spPr>
            <a:ln w="0">
              <a:noFill/>
            </a:ln>
          </c:spPr>
        </c:hiLowLines>
        <c:marker val="0"/>
        <c:axId val="51307391"/>
        <c:axId val="26747061"/>
      </c:lineChart>
      <c:catAx>
        <c:axId val="51307391"/>
        <c:scaling>
          <c:orientation val="minMax"/>
        </c:scaling>
        <c:delete val="0"/>
        <c:axPos val="b"/>
        <c:numFmt formatCode="mmm\-yy" sourceLinked="1"/>
        <c:majorTickMark val="none"/>
        <c:minorTickMark val="none"/>
        <c:tickLblPos val="nextTo"/>
        <c:spPr>
          <a:ln w="6480">
            <a:solidFill>
              <a:srgbClr val="8b8b8b"/>
            </a:solidFill>
            <a:round/>
          </a:ln>
        </c:spPr>
        <c:txPr>
          <a:bodyPr/>
          <a:lstStyle/>
          <a:p>
            <a:pPr>
              <a:defRPr b="0" sz="1000" spc="-1" strike="noStrike">
                <a:solidFill>
                  <a:srgbClr val="000000"/>
                </a:solidFill>
                <a:latin typeface="Calibri"/>
              </a:defRPr>
            </a:pPr>
          </a:p>
        </c:txPr>
        <c:crossAx val="26747061"/>
        <c:crosses val="autoZero"/>
        <c:auto val="1"/>
        <c:lblAlgn val="ctr"/>
        <c:lblOffset val="100"/>
        <c:noMultiLvlLbl val="0"/>
      </c:catAx>
      <c:valAx>
        <c:axId val="26747061"/>
        <c:scaling>
          <c:orientation val="minMax"/>
        </c:scaling>
        <c:delete val="0"/>
        <c:axPos val="l"/>
        <c:majorGridlines>
          <c:spPr>
            <a:ln w="6480">
              <a:solidFill>
                <a:srgbClr val="8b8b8b"/>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Index</a:t>
                </a:r>
              </a:p>
            </c:rich>
          </c:tx>
          <c:overlay val="0"/>
          <c:spPr>
            <a:noFill/>
            <a:ln w="0">
              <a:noFill/>
            </a:ln>
          </c:spPr>
        </c:title>
        <c:numFmt formatCode="0.0" sourceLinked="1"/>
        <c:majorTickMark val="none"/>
        <c:minorTickMark val="none"/>
        <c:tickLblPos val="nextTo"/>
        <c:spPr>
          <a:ln w="6480">
            <a:solidFill>
              <a:srgbClr val="8b8b8b"/>
            </a:solidFill>
            <a:round/>
          </a:ln>
        </c:spPr>
        <c:txPr>
          <a:bodyPr/>
          <a:lstStyle/>
          <a:p>
            <a:pPr>
              <a:defRPr b="0" sz="1000" spc="-1" strike="noStrike">
                <a:solidFill>
                  <a:srgbClr val="000000"/>
                </a:solidFill>
                <a:latin typeface="Calibri"/>
              </a:defRPr>
            </a:pPr>
          </a:p>
        </c:txPr>
        <c:crossAx val="51307391"/>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Annual growth: EMAE and contributions (pp)</a:t>
            </a:r>
          </a:p>
        </c:rich>
      </c:tx>
      <c:overlay val="0"/>
      <c:spPr>
        <a:noFill/>
        <a:ln w="0">
          <a:noFill/>
        </a:ln>
      </c:spPr>
    </c:title>
    <c:autoTitleDeleted val="0"/>
    <c:plotArea>
      <c:barChart>
        <c:barDir val="col"/>
        <c:grouping val="stacked"/>
        <c:varyColors val="0"/>
        <c:ser>
          <c:idx val="0"/>
          <c:order val="0"/>
          <c:tx>
            <c:strRef>
              <c:f>Forecast!J298</c:f>
              <c:strCache>
                <c:ptCount val="1"/>
                <c:pt idx="0">
                  <c:v>Primary contrib (pp)</c:v>
                </c:pt>
              </c:strCache>
            </c:strRef>
          </c:tx>
          <c:spPr>
            <a:solidFill>
              <a:srgbClr val="5b9bd5"/>
            </a:solidFill>
            <a:ln w="6480">
              <a:solidFill>
                <a:srgbClr val="ffffff"/>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Forecast!$A$300:$A$307</c:f>
              <c:strCache>
                <c:ptCount val="8"/>
                <c:pt idx="0">
                  <c:v>2020</c:v>
                </c:pt>
                <c:pt idx="1">
                  <c:v>2021</c:v>
                </c:pt>
                <c:pt idx="2">
                  <c:v>2022</c:v>
                </c:pt>
                <c:pt idx="3">
                  <c:v>2023</c:v>
                </c:pt>
                <c:pt idx="4">
                  <c:v>2024</c:v>
                </c:pt>
                <c:pt idx="5">
                  <c:v>2025</c:v>
                </c:pt>
                <c:pt idx="6">
                  <c:v>2026</c:v>
                </c:pt>
                <c:pt idx="7">
                  <c:v>2027</c:v>
                </c:pt>
              </c:strCache>
            </c:strRef>
          </c:cat>
          <c:val>
            <c:numRef>
              <c:f>Forecast!$J$299:$J$307</c:f>
              <c:numCache>
                <c:formatCode>0.0;\(0.0\);\-</c:formatCode>
                <c:ptCount val="9"/>
                <c:pt idx="1">
                  <c:v>-0.429015180678442</c:v>
                </c:pt>
                <c:pt idx="2">
                  <c:v>0.186298942922826</c:v>
                </c:pt>
                <c:pt idx="3">
                  <c:v>-0.382163617528918</c:v>
                </c:pt>
                <c:pt idx="4">
                  <c:v>-1.11584842773291</c:v>
                </c:pt>
                <c:pt idx="5">
                  <c:v>1.12081884832611</c:v>
                </c:pt>
                <c:pt idx="6">
                  <c:v>0.451585661325997</c:v>
                </c:pt>
                <c:pt idx="7">
                  <c:v>0.865598021373825</c:v>
                </c:pt>
                <c:pt idx="8">
                  <c:v>0.222185632621591</c:v>
                </c:pt>
              </c:numCache>
            </c:numRef>
          </c:val>
        </c:ser>
        <c:ser>
          <c:idx val="1"/>
          <c:order val="1"/>
          <c:tx>
            <c:strRef>
              <c:f>Forecast!K298</c:f>
              <c:strCache>
                <c:ptCount val="1"/>
                <c:pt idx="0">
                  <c:v>Industrial contrib (pp)</c:v>
                </c:pt>
              </c:strCache>
            </c:strRef>
          </c:tx>
          <c:spPr>
            <a:solidFill>
              <a:srgbClr val="ed7d31"/>
            </a:solidFill>
            <a:ln w="6480">
              <a:solidFill>
                <a:srgbClr val="ffffff"/>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Forecast!$A$300:$A$307</c:f>
              <c:strCache>
                <c:ptCount val="8"/>
                <c:pt idx="0">
                  <c:v>2020</c:v>
                </c:pt>
                <c:pt idx="1">
                  <c:v>2021</c:v>
                </c:pt>
                <c:pt idx="2">
                  <c:v>2022</c:v>
                </c:pt>
                <c:pt idx="3">
                  <c:v>2023</c:v>
                </c:pt>
                <c:pt idx="4">
                  <c:v>2024</c:v>
                </c:pt>
                <c:pt idx="5">
                  <c:v>2025</c:v>
                </c:pt>
                <c:pt idx="6">
                  <c:v>2026</c:v>
                </c:pt>
                <c:pt idx="7">
                  <c:v>2027</c:v>
                </c:pt>
              </c:strCache>
            </c:strRef>
          </c:cat>
          <c:val>
            <c:numRef>
              <c:f>Forecast!$K$299:$K$307</c:f>
              <c:numCache>
                <c:formatCode>0.0;\(0.0\);\-</c:formatCode>
                <c:ptCount val="9"/>
                <c:pt idx="1">
                  <c:v>-2.55960702660467</c:v>
                </c:pt>
                <c:pt idx="2">
                  <c:v>3.96284953852949</c:v>
                </c:pt>
                <c:pt idx="3">
                  <c:v>1.30199564933776</c:v>
                </c:pt>
                <c:pt idx="4">
                  <c:v>-0.0838758898201327</c:v>
                </c:pt>
                <c:pt idx="5">
                  <c:v>-2.19026242173174</c:v>
                </c:pt>
                <c:pt idx="6">
                  <c:v>0.529485832544613</c:v>
                </c:pt>
                <c:pt idx="7">
                  <c:v>-0.0102105891657126</c:v>
                </c:pt>
                <c:pt idx="8">
                  <c:v>0.366079513321954</c:v>
                </c:pt>
              </c:numCache>
            </c:numRef>
          </c:val>
        </c:ser>
        <c:ser>
          <c:idx val="2"/>
          <c:order val="2"/>
          <c:tx>
            <c:strRef>
              <c:f>Forecast!L298</c:f>
              <c:strCache>
                <c:ptCount val="1"/>
                <c:pt idx="0">
                  <c:v>Services contrib (pp)</c:v>
                </c:pt>
              </c:strCache>
            </c:strRef>
          </c:tx>
          <c:spPr>
            <a:solidFill>
              <a:srgbClr val="a5a5a5"/>
            </a:solidFill>
            <a:ln w="6480">
              <a:solidFill>
                <a:srgbClr val="ffffff"/>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Forecast!$A$300:$A$307</c:f>
              <c:strCache>
                <c:ptCount val="8"/>
                <c:pt idx="0">
                  <c:v>2020</c:v>
                </c:pt>
                <c:pt idx="1">
                  <c:v>2021</c:v>
                </c:pt>
                <c:pt idx="2">
                  <c:v>2022</c:v>
                </c:pt>
                <c:pt idx="3">
                  <c:v>2023</c:v>
                </c:pt>
                <c:pt idx="4">
                  <c:v>2024</c:v>
                </c:pt>
                <c:pt idx="5">
                  <c:v>2025</c:v>
                </c:pt>
                <c:pt idx="6">
                  <c:v>2026</c:v>
                </c:pt>
                <c:pt idx="7">
                  <c:v>2027</c:v>
                </c:pt>
              </c:strCache>
            </c:strRef>
          </c:cat>
          <c:val>
            <c:numRef>
              <c:f>Forecast!$L$299:$L$307</c:f>
              <c:numCache>
                <c:formatCode>0.0;\(0.0\);\-</c:formatCode>
                <c:ptCount val="9"/>
                <c:pt idx="1">
                  <c:v>-8.01112560985984</c:v>
                </c:pt>
                <c:pt idx="2">
                  <c:v>6.63686731325068</c:v>
                </c:pt>
                <c:pt idx="3">
                  <c:v>4.19447408391307</c:v>
                </c:pt>
                <c:pt idx="4">
                  <c:v>0.578299911186763</c:v>
                </c:pt>
                <c:pt idx="5">
                  <c:v>-1.14925013531023</c:v>
                </c:pt>
                <c:pt idx="6">
                  <c:v>2.74852295978502</c:v>
                </c:pt>
                <c:pt idx="7">
                  <c:v>0.0115266231656788</c:v>
                </c:pt>
                <c:pt idx="8">
                  <c:v>1.53358915532168</c:v>
                </c:pt>
              </c:numCache>
            </c:numRef>
          </c:val>
        </c:ser>
        <c:gapWidth val="150"/>
        <c:overlap val="100"/>
        <c:axId val="80404767"/>
        <c:axId val="88637965"/>
      </c:barChart>
      <c:catAx>
        <c:axId val="80404767"/>
        <c:scaling>
          <c:orientation val="minMax"/>
        </c:scaling>
        <c:delete val="0"/>
        <c:axPos val="b"/>
        <c:numFmt formatCode="General" sourceLinked="1"/>
        <c:majorTickMark val="none"/>
        <c:minorTickMark val="none"/>
        <c:tickLblPos val="nextTo"/>
        <c:spPr>
          <a:ln w="6480">
            <a:solidFill>
              <a:srgbClr val="8b8b8b"/>
            </a:solidFill>
            <a:round/>
          </a:ln>
        </c:spPr>
        <c:txPr>
          <a:bodyPr/>
          <a:lstStyle/>
          <a:p>
            <a:pPr>
              <a:defRPr b="0" sz="1000" spc="-1" strike="noStrike">
                <a:solidFill>
                  <a:srgbClr val="000000"/>
                </a:solidFill>
                <a:latin typeface="Calibri"/>
              </a:defRPr>
            </a:pPr>
          </a:p>
        </c:txPr>
        <c:crossAx val="88637965"/>
        <c:crosses val="autoZero"/>
        <c:auto val="1"/>
        <c:lblAlgn val="ctr"/>
        <c:lblOffset val="100"/>
        <c:noMultiLvlLbl val="0"/>
      </c:catAx>
      <c:valAx>
        <c:axId val="88637965"/>
        <c:scaling>
          <c:orientation val="minMax"/>
        </c:scaling>
        <c:delete val="0"/>
        <c:axPos val="l"/>
        <c:majorGridlines>
          <c:spPr>
            <a:ln w="6480">
              <a:solidFill>
                <a:srgbClr val="8b8b8b"/>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a:t>
                </a:r>
              </a:p>
            </c:rich>
          </c:tx>
          <c:overlay val="0"/>
          <c:spPr>
            <a:noFill/>
            <a:ln w="0">
              <a:noFill/>
            </a:ln>
          </c:spPr>
        </c:title>
        <c:numFmt formatCode="0.0;\(0.0\);\-" sourceLinked="1"/>
        <c:majorTickMark val="none"/>
        <c:minorTickMark val="none"/>
        <c:tickLblPos val="nextTo"/>
        <c:spPr>
          <a:ln w="6480">
            <a:solidFill>
              <a:srgbClr val="8b8b8b"/>
            </a:solidFill>
            <a:round/>
          </a:ln>
        </c:spPr>
        <c:txPr>
          <a:bodyPr/>
          <a:lstStyle/>
          <a:p>
            <a:pPr>
              <a:defRPr b="0" sz="1000" spc="-1" strike="noStrike">
                <a:solidFill>
                  <a:srgbClr val="000000"/>
                </a:solidFill>
                <a:latin typeface="Calibri"/>
              </a:defRPr>
            </a:pPr>
          </a:p>
        </c:txPr>
        <c:crossAx val="80404767"/>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9</xdr:col>
      <xdr:colOff>0</xdr:colOff>
      <xdr:row>2</xdr:row>
      <xdr:rowOff>160920</xdr:rowOff>
    </xdr:from>
    <xdr:to>
      <xdr:col>19</xdr:col>
      <xdr:colOff>4320</xdr:colOff>
      <xdr:row>18</xdr:row>
      <xdr:rowOff>60120</xdr:rowOff>
    </xdr:to>
    <xdr:graphicFrame>
      <xdr:nvGraphicFramePr>
        <xdr:cNvPr id="0" name="Chart 1"/>
        <xdr:cNvGraphicFramePr/>
      </xdr:nvGraphicFramePr>
      <xdr:xfrm>
        <a:off x="8505720" y="571680"/>
        <a:ext cx="6119640" cy="305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0</xdr:colOff>
      <xdr:row>22</xdr:row>
      <xdr:rowOff>48240</xdr:rowOff>
    </xdr:from>
    <xdr:to>
      <xdr:col>19</xdr:col>
      <xdr:colOff>4320</xdr:colOff>
      <xdr:row>38</xdr:row>
      <xdr:rowOff>60120</xdr:rowOff>
    </xdr:to>
    <xdr:graphicFrame>
      <xdr:nvGraphicFramePr>
        <xdr:cNvPr id="1" name="Chart 2"/>
        <xdr:cNvGraphicFramePr/>
      </xdr:nvGraphicFramePr>
      <xdr:xfrm>
        <a:off x="8505720" y="4381560"/>
        <a:ext cx="6119640" cy="305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0.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S27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F15" activeCellId="0" sqref="F15"/>
    </sheetView>
  </sheetViews>
  <sheetFormatPr defaultColWidth="8.6796875" defaultRowHeight="15" zeroHeight="false" outlineLevelRow="0" outlineLevelCol="0"/>
  <cols>
    <col collapsed="false" customWidth="true" hidden="false" outlineLevel="0" max="19" min="4" style="0" width="9.57"/>
  </cols>
  <sheetData>
    <row r="1" customFormat="false" ht="15" hidden="false" customHeight="false" outlineLevel="0" collapsed="false">
      <c r="D1" s="0" t="s">
        <v>0</v>
      </c>
      <c r="E1" s="0" t="s">
        <v>1</v>
      </c>
      <c r="F1" s="0" t="s">
        <v>2</v>
      </c>
      <c r="G1" s="0" t="s">
        <v>3</v>
      </c>
      <c r="H1" s="0" t="s">
        <v>4</v>
      </c>
      <c r="I1" s="0" t="s">
        <v>5</v>
      </c>
      <c r="J1" s="0" t="s">
        <v>6</v>
      </c>
      <c r="K1" s="0" t="s">
        <v>7</v>
      </c>
      <c r="L1" s="0" t="s">
        <v>8</v>
      </c>
      <c r="M1" s="0" t="s">
        <v>9</v>
      </c>
      <c r="N1" s="0" t="s">
        <v>10</v>
      </c>
      <c r="O1" s="0" t="s">
        <v>11</v>
      </c>
      <c r="P1" s="0" t="s">
        <v>12</v>
      </c>
      <c r="Q1" s="0" t="s">
        <v>13</v>
      </c>
      <c r="R1" s="0" t="s">
        <v>14</v>
      </c>
      <c r="S1" s="0" t="s">
        <v>15</v>
      </c>
    </row>
    <row r="2" customFormat="false" ht="15" hidden="false" customHeight="false" outlineLevel="0" collapsed="false">
      <c r="B2" s="1" t="s">
        <v>16</v>
      </c>
      <c r="C2" s="1" t="s">
        <v>17</v>
      </c>
      <c r="D2" s="1" t="s">
        <v>18</v>
      </c>
      <c r="E2" s="1" t="s">
        <v>19</v>
      </c>
      <c r="F2" s="1" t="s">
        <v>20</v>
      </c>
      <c r="G2" s="1" t="s">
        <v>21</v>
      </c>
      <c r="H2" s="1" t="s">
        <v>22</v>
      </c>
      <c r="I2" s="1" t="s">
        <v>23</v>
      </c>
      <c r="J2" s="1" t="s">
        <v>24</v>
      </c>
      <c r="K2" s="1" t="s">
        <v>25</v>
      </c>
      <c r="L2" s="1" t="s">
        <v>26</v>
      </c>
      <c r="M2" s="1" t="s">
        <v>27</v>
      </c>
      <c r="N2" s="1" t="s">
        <v>28</v>
      </c>
      <c r="O2" s="1" t="s">
        <v>29</v>
      </c>
      <c r="P2" s="1" t="s">
        <v>30</v>
      </c>
      <c r="Q2" s="1" t="s">
        <v>31</v>
      </c>
      <c r="R2" s="1" t="s">
        <v>32</v>
      </c>
      <c r="S2" s="1" t="s">
        <v>33</v>
      </c>
    </row>
    <row r="3" customFormat="false" ht="15" hidden="false" customHeight="false" outlineLevel="0" collapsed="false">
      <c r="B3" s="0" t="s">
        <v>34</v>
      </c>
      <c r="D3" s="0" t="s">
        <v>35</v>
      </c>
      <c r="E3" s="0" t="s">
        <v>36</v>
      </c>
      <c r="F3" s="0" t="s">
        <v>37</v>
      </c>
      <c r="G3" s="0" t="s">
        <v>38</v>
      </c>
      <c r="H3" s="0" t="s">
        <v>39</v>
      </c>
      <c r="I3" s="0" t="s">
        <v>40</v>
      </c>
      <c r="J3" s="0" t="s">
        <v>41</v>
      </c>
      <c r="K3" s="0" t="s">
        <v>42</v>
      </c>
      <c r="L3" s="0" t="s">
        <v>43</v>
      </c>
      <c r="M3" s="0" t="s">
        <v>44</v>
      </c>
      <c r="N3" s="0" t="s">
        <v>45</v>
      </c>
      <c r="O3" s="0" t="s">
        <v>46</v>
      </c>
      <c r="P3" s="0" t="s">
        <v>47</v>
      </c>
      <c r="Q3" s="0" t="s">
        <v>48</v>
      </c>
      <c r="R3" s="0" t="s">
        <v>49</v>
      </c>
      <c r="S3" s="0" t="s">
        <v>50</v>
      </c>
    </row>
    <row r="4" customFormat="false" ht="15" hidden="false" customHeight="false" outlineLevel="0" collapsed="false">
      <c r="B4" s="0" t="s">
        <v>51</v>
      </c>
      <c r="D4" s="0" t="s">
        <v>52</v>
      </c>
      <c r="E4" s="0" t="s">
        <v>52</v>
      </c>
      <c r="F4" s="0" t="s">
        <v>52</v>
      </c>
      <c r="G4" s="0" t="s">
        <v>52</v>
      </c>
      <c r="H4" s="0" t="s">
        <v>52</v>
      </c>
      <c r="I4" s="0" t="s">
        <v>52</v>
      </c>
      <c r="J4" s="0" t="s">
        <v>52</v>
      </c>
      <c r="K4" s="0" t="s">
        <v>52</v>
      </c>
      <c r="L4" s="0" t="s">
        <v>52</v>
      </c>
      <c r="M4" s="0" t="s">
        <v>52</v>
      </c>
      <c r="N4" s="0" t="s">
        <v>52</v>
      </c>
      <c r="O4" s="0" t="s">
        <v>52</v>
      </c>
      <c r="P4" s="0" t="s">
        <v>52</v>
      </c>
      <c r="Q4" s="0" t="s">
        <v>52</v>
      </c>
      <c r="R4" s="0" t="s">
        <v>52</v>
      </c>
      <c r="S4" s="0" t="s">
        <v>52</v>
      </c>
    </row>
    <row r="5" customFormat="false" ht="15" hidden="false" customHeight="false" outlineLevel="0" collapsed="false">
      <c r="B5" s="0" t="s">
        <v>53</v>
      </c>
      <c r="D5" s="0" t="s">
        <v>54</v>
      </c>
      <c r="E5" s="0" t="s">
        <v>54</v>
      </c>
      <c r="F5" s="0" t="s">
        <v>54</v>
      </c>
      <c r="G5" s="0" t="s">
        <v>54</v>
      </c>
      <c r="H5" s="0" t="s">
        <v>54</v>
      </c>
      <c r="I5" s="0" t="s">
        <v>54</v>
      </c>
      <c r="J5" s="0" t="s">
        <v>54</v>
      </c>
      <c r="K5" s="0" t="s">
        <v>54</v>
      </c>
      <c r="L5" s="0" t="s">
        <v>54</v>
      </c>
      <c r="M5" s="0" t="s">
        <v>54</v>
      </c>
      <c r="N5" s="0" t="s">
        <v>54</v>
      </c>
      <c r="O5" s="0" t="s">
        <v>54</v>
      </c>
      <c r="P5" s="0" t="s">
        <v>54</v>
      </c>
      <c r="Q5" s="0" t="s">
        <v>54</v>
      </c>
      <c r="R5" s="0" t="s">
        <v>54</v>
      </c>
      <c r="S5" s="0" t="s">
        <v>54</v>
      </c>
    </row>
    <row r="6" customFormat="false" ht="15" hidden="false" customHeight="false" outlineLevel="0" collapsed="false">
      <c r="B6" s="0" t="s">
        <v>55</v>
      </c>
      <c r="D6" s="0" t="s">
        <v>56</v>
      </c>
      <c r="E6" s="0" t="s">
        <v>56</v>
      </c>
      <c r="F6" s="0" t="s">
        <v>56</v>
      </c>
      <c r="G6" s="0" t="s">
        <v>56</v>
      </c>
      <c r="H6" s="0" t="s">
        <v>56</v>
      </c>
      <c r="I6" s="0" t="s">
        <v>56</v>
      </c>
      <c r="J6" s="0" t="s">
        <v>56</v>
      </c>
      <c r="K6" s="0" t="s">
        <v>56</v>
      </c>
      <c r="L6" s="0" t="s">
        <v>56</v>
      </c>
      <c r="M6" s="0" t="s">
        <v>56</v>
      </c>
      <c r="N6" s="0" t="s">
        <v>56</v>
      </c>
      <c r="O6" s="0" t="s">
        <v>56</v>
      </c>
      <c r="P6" s="0" t="s">
        <v>56</v>
      </c>
      <c r="Q6" s="0" t="s">
        <v>56</v>
      </c>
      <c r="R6" s="0" t="s">
        <v>56</v>
      </c>
      <c r="S6" s="0" t="s">
        <v>56</v>
      </c>
    </row>
    <row r="7" customFormat="false" ht="15" hidden="false" customHeight="false" outlineLevel="0" collapsed="false">
      <c r="B7" s="0" t="s">
        <v>57</v>
      </c>
      <c r="D7" s="0" t="s">
        <v>58</v>
      </c>
      <c r="E7" s="0" t="s">
        <v>58</v>
      </c>
      <c r="F7" s="0" t="s">
        <v>58</v>
      </c>
      <c r="G7" s="0" t="s">
        <v>58</v>
      </c>
      <c r="H7" s="0" t="s">
        <v>58</v>
      </c>
      <c r="I7" s="0" t="s">
        <v>58</v>
      </c>
      <c r="J7" s="0" t="s">
        <v>58</v>
      </c>
      <c r="K7" s="0" t="s">
        <v>58</v>
      </c>
      <c r="L7" s="0" t="s">
        <v>58</v>
      </c>
      <c r="M7" s="0" t="s">
        <v>58</v>
      </c>
      <c r="N7" s="0" t="s">
        <v>58</v>
      </c>
      <c r="O7" s="0" t="s">
        <v>58</v>
      </c>
      <c r="P7" s="0" t="s">
        <v>58</v>
      </c>
      <c r="Q7" s="0" t="s">
        <v>58</v>
      </c>
      <c r="R7" s="0" t="s">
        <v>58</v>
      </c>
      <c r="S7" s="0" t="s">
        <v>58</v>
      </c>
    </row>
    <row r="8" customFormat="false" ht="15" hidden="false" customHeight="false" outlineLevel="0" collapsed="false">
      <c r="B8" s="0" t="s">
        <v>59</v>
      </c>
      <c r="C8" s="2" t="n">
        <v>38017</v>
      </c>
      <c r="D8" s="3" t="n">
        <v>98.33957</v>
      </c>
      <c r="E8" s="3" t="n">
        <v>65.99535</v>
      </c>
      <c r="F8" s="3" t="n">
        <v>42.54787</v>
      </c>
      <c r="G8" s="3" t="n">
        <v>100.7045</v>
      </c>
      <c r="H8" s="3" t="n">
        <v>91.45461</v>
      </c>
      <c r="I8" s="3" t="n">
        <v>99.91798</v>
      </c>
      <c r="J8" s="3" t="n">
        <v>95.93805</v>
      </c>
      <c r="K8" s="3" t="n">
        <v>92.06534</v>
      </c>
      <c r="L8" s="3" t="n">
        <v>108.41168</v>
      </c>
      <c r="M8" s="3" t="n">
        <v>95.50673</v>
      </c>
      <c r="N8" s="3" t="n">
        <v>103.89026</v>
      </c>
      <c r="O8" s="3" t="n">
        <v>91.41838</v>
      </c>
      <c r="P8" s="3" t="n">
        <v>97.26127</v>
      </c>
      <c r="Q8" s="3" t="n">
        <v>95.6277</v>
      </c>
      <c r="R8" s="3" t="n">
        <v>94.19839</v>
      </c>
      <c r="S8" s="3" t="n">
        <v>97.00618</v>
      </c>
    </row>
    <row r="9" customFormat="false" ht="15" hidden="false" customHeight="false" outlineLevel="0" collapsed="false">
      <c r="B9" s="0" t="s">
        <v>60</v>
      </c>
      <c r="C9" s="2" t="n">
        <v>38046</v>
      </c>
      <c r="D9" s="3" t="n">
        <v>98.07072</v>
      </c>
      <c r="E9" s="3" t="n">
        <v>64.9266</v>
      </c>
      <c r="F9" s="3" t="n">
        <v>62.44077</v>
      </c>
      <c r="G9" s="3" t="n">
        <v>95.41419</v>
      </c>
      <c r="H9" s="3" t="n">
        <v>89.42485</v>
      </c>
      <c r="I9" s="3" t="n">
        <v>92.89344</v>
      </c>
      <c r="J9" s="3" t="n">
        <v>98.85339</v>
      </c>
      <c r="K9" s="3" t="n">
        <v>91.46472</v>
      </c>
      <c r="L9" s="3" t="n">
        <v>103.44826</v>
      </c>
      <c r="M9" s="3" t="n">
        <v>90.73641</v>
      </c>
      <c r="N9" s="3" t="n">
        <v>96.48146</v>
      </c>
      <c r="O9" s="3" t="n">
        <v>94.04698</v>
      </c>
      <c r="P9" s="3" t="n">
        <v>97.88228</v>
      </c>
      <c r="Q9" s="3" t="n">
        <v>96.08425</v>
      </c>
      <c r="R9" s="3" t="n">
        <v>90.31346</v>
      </c>
      <c r="S9" s="3" t="n">
        <v>96.83613</v>
      </c>
    </row>
    <row r="10" customFormat="false" ht="15" hidden="false" customHeight="false" outlineLevel="0" collapsed="false">
      <c r="B10" s="0" t="s">
        <v>61</v>
      </c>
      <c r="C10" s="2" t="n">
        <v>38077</v>
      </c>
      <c r="D10" s="3" t="n">
        <v>97.66795</v>
      </c>
      <c r="E10" s="3" t="n">
        <v>110.66656</v>
      </c>
      <c r="F10" s="3" t="n">
        <v>174.08465</v>
      </c>
      <c r="G10" s="3" t="n">
        <v>100.25104</v>
      </c>
      <c r="H10" s="3" t="n">
        <v>101.42643</v>
      </c>
      <c r="I10" s="3" t="n">
        <v>103.77021</v>
      </c>
      <c r="J10" s="3" t="n">
        <v>103.12453</v>
      </c>
      <c r="K10" s="3" t="n">
        <v>109.12778</v>
      </c>
      <c r="L10" s="3" t="n">
        <v>101.06184</v>
      </c>
      <c r="M10" s="3" t="n">
        <v>97.17581</v>
      </c>
      <c r="N10" s="3" t="n">
        <v>98.30457</v>
      </c>
      <c r="O10" s="3" t="n">
        <v>99.64872</v>
      </c>
      <c r="P10" s="3" t="n">
        <v>97.71846</v>
      </c>
      <c r="Q10" s="3" t="n">
        <v>96.3803</v>
      </c>
      <c r="R10" s="3" t="n">
        <v>98.08149</v>
      </c>
      <c r="S10" s="3" t="n">
        <v>96.15504</v>
      </c>
    </row>
    <row r="11" customFormat="false" ht="15" hidden="false" customHeight="false" outlineLevel="0" collapsed="false">
      <c r="B11" s="0" t="s">
        <v>62</v>
      </c>
      <c r="C11" s="2" t="n">
        <v>38107</v>
      </c>
      <c r="D11" s="3" t="n">
        <v>95.23678</v>
      </c>
      <c r="E11" s="3" t="n">
        <v>150.06592</v>
      </c>
      <c r="F11" s="3" t="n">
        <v>153.87764</v>
      </c>
      <c r="G11" s="3" t="n">
        <v>96.69755</v>
      </c>
      <c r="H11" s="3" t="n">
        <v>98.43731</v>
      </c>
      <c r="I11" s="3" t="n">
        <v>97.00985</v>
      </c>
      <c r="J11" s="3" t="n">
        <v>95.81549</v>
      </c>
      <c r="K11" s="3" t="n">
        <v>99.42014</v>
      </c>
      <c r="L11" s="3" t="n">
        <v>93.243</v>
      </c>
      <c r="M11" s="3" t="n">
        <v>99.70693</v>
      </c>
      <c r="N11" s="3" t="n">
        <v>95.3159</v>
      </c>
      <c r="O11" s="3" t="n">
        <v>97.60226</v>
      </c>
      <c r="P11" s="3" t="n">
        <v>98.40554</v>
      </c>
      <c r="Q11" s="3" t="n">
        <v>97.71187</v>
      </c>
      <c r="R11" s="3" t="n">
        <v>102.18435</v>
      </c>
      <c r="S11" s="3" t="n">
        <v>98.08314</v>
      </c>
    </row>
    <row r="12" customFormat="false" ht="15" hidden="false" customHeight="false" outlineLevel="0" collapsed="false">
      <c r="B12" s="0" t="s">
        <v>63</v>
      </c>
      <c r="C12" s="2" t="n">
        <v>38138</v>
      </c>
      <c r="D12" s="3" t="n">
        <v>96.95127</v>
      </c>
      <c r="E12" s="3" t="n">
        <v>209.38808</v>
      </c>
      <c r="F12" s="3" t="n">
        <v>132.35766</v>
      </c>
      <c r="G12" s="3" t="n">
        <v>104.10053</v>
      </c>
      <c r="H12" s="3" t="n">
        <v>100.35314</v>
      </c>
      <c r="I12" s="3" t="n">
        <v>102.47183</v>
      </c>
      <c r="J12" s="3" t="n">
        <v>97.99457</v>
      </c>
      <c r="K12" s="3" t="n">
        <v>100.53274</v>
      </c>
      <c r="L12" s="3" t="n">
        <v>90.98526</v>
      </c>
      <c r="M12" s="3" t="n">
        <v>105.55244</v>
      </c>
      <c r="N12" s="3" t="n">
        <v>97.00467</v>
      </c>
      <c r="O12" s="3" t="n">
        <v>99.80349</v>
      </c>
      <c r="P12" s="3" t="n">
        <v>99.20852</v>
      </c>
      <c r="Q12" s="3" t="n">
        <v>99.13689</v>
      </c>
      <c r="R12" s="3" t="n">
        <v>102.76126</v>
      </c>
      <c r="S12" s="3" t="n">
        <v>98.05435</v>
      </c>
    </row>
    <row r="13" customFormat="false" ht="15" hidden="false" customHeight="false" outlineLevel="0" collapsed="false">
      <c r="B13" s="0" t="s">
        <v>64</v>
      </c>
      <c r="C13" s="2" t="n">
        <v>38168</v>
      </c>
      <c r="D13" s="3" t="n">
        <v>98.68356</v>
      </c>
      <c r="E13" s="3" t="n">
        <v>144.66132</v>
      </c>
      <c r="F13" s="3" t="n">
        <v>158.95986</v>
      </c>
      <c r="G13" s="3" t="n">
        <v>100.67785</v>
      </c>
      <c r="H13" s="3" t="n">
        <v>100.66693</v>
      </c>
      <c r="I13" s="3" t="n">
        <v>101.91112</v>
      </c>
      <c r="J13" s="3" t="n">
        <v>99.15678</v>
      </c>
      <c r="K13" s="3" t="n">
        <v>104.34202</v>
      </c>
      <c r="L13" s="3" t="n">
        <v>90.55608</v>
      </c>
      <c r="M13" s="3" t="n">
        <v>101.67565</v>
      </c>
      <c r="N13" s="3" t="n">
        <v>97.31215</v>
      </c>
      <c r="O13" s="3" t="n">
        <v>101.71298</v>
      </c>
      <c r="P13" s="3" t="n">
        <v>100.4454</v>
      </c>
      <c r="Q13" s="3" t="n">
        <v>102.20951</v>
      </c>
      <c r="R13" s="3" t="n">
        <v>104.26446</v>
      </c>
      <c r="S13" s="3" t="n">
        <v>99.76658</v>
      </c>
    </row>
    <row r="14" customFormat="false" ht="15" hidden="false" customHeight="false" outlineLevel="0" collapsed="false">
      <c r="B14" s="0" t="s">
        <v>65</v>
      </c>
      <c r="C14" s="2" t="n">
        <v>38199</v>
      </c>
      <c r="D14" s="3" t="n">
        <v>100.8411</v>
      </c>
      <c r="E14" s="3" t="n">
        <v>94.86246</v>
      </c>
      <c r="F14" s="3" t="n">
        <v>77.40334</v>
      </c>
      <c r="G14" s="3" t="n">
        <v>100.80174</v>
      </c>
      <c r="H14" s="3" t="n">
        <v>102.50853</v>
      </c>
      <c r="I14" s="3" t="n">
        <v>105.41654</v>
      </c>
      <c r="J14" s="3" t="n">
        <v>98.906</v>
      </c>
      <c r="K14" s="3" t="n">
        <v>100.82722</v>
      </c>
      <c r="L14" s="3" t="n">
        <v>99.05112</v>
      </c>
      <c r="M14" s="3" t="n">
        <v>99.8302</v>
      </c>
      <c r="N14" s="3" t="n">
        <v>99.01951</v>
      </c>
      <c r="O14" s="3" t="n">
        <v>100.85959</v>
      </c>
      <c r="P14" s="3" t="n">
        <v>100.16519</v>
      </c>
      <c r="Q14" s="3" t="n">
        <v>100.50009</v>
      </c>
      <c r="R14" s="3" t="n">
        <v>101.84397</v>
      </c>
      <c r="S14" s="3" t="n">
        <v>108.7301</v>
      </c>
    </row>
    <row r="15" customFormat="false" ht="15" hidden="false" customHeight="false" outlineLevel="0" collapsed="false">
      <c r="B15" s="0" t="s">
        <v>66</v>
      </c>
      <c r="C15" s="2" t="n">
        <v>38230</v>
      </c>
      <c r="D15" s="3" t="n">
        <v>102.17769</v>
      </c>
      <c r="E15" s="3" t="n">
        <v>64.86116</v>
      </c>
      <c r="F15" s="3" t="n">
        <v>99.29888</v>
      </c>
      <c r="G15" s="3" t="n">
        <v>102.27351</v>
      </c>
      <c r="H15" s="3" t="n">
        <v>101.01094</v>
      </c>
      <c r="I15" s="3" t="n">
        <v>103.97781</v>
      </c>
      <c r="J15" s="3" t="n">
        <v>102.03281</v>
      </c>
      <c r="K15" s="3" t="n">
        <v>99.55237</v>
      </c>
      <c r="L15" s="3" t="n">
        <v>98.1705</v>
      </c>
      <c r="M15" s="3" t="n">
        <v>99.2237</v>
      </c>
      <c r="N15" s="3" t="n">
        <v>101.18031</v>
      </c>
      <c r="O15" s="3" t="n">
        <v>101.57448</v>
      </c>
      <c r="P15" s="3" t="n">
        <v>100.67623</v>
      </c>
      <c r="Q15" s="3" t="n">
        <v>101.39315</v>
      </c>
      <c r="R15" s="3" t="n">
        <v>104.49316</v>
      </c>
      <c r="S15" s="3" t="n">
        <v>100.45682</v>
      </c>
    </row>
    <row r="16" customFormat="false" ht="15" hidden="false" customHeight="false" outlineLevel="0" collapsed="false">
      <c r="B16" s="0" t="s">
        <v>67</v>
      </c>
      <c r="C16" s="2" t="n">
        <v>38260</v>
      </c>
      <c r="D16" s="3" t="n">
        <v>102.35036</v>
      </c>
      <c r="E16" s="3" t="n">
        <v>60.7499</v>
      </c>
      <c r="F16" s="3" t="n">
        <v>68.15818</v>
      </c>
      <c r="G16" s="3" t="n">
        <v>100.58408</v>
      </c>
      <c r="H16" s="3" t="n">
        <v>102.56272</v>
      </c>
      <c r="I16" s="3" t="n">
        <v>97.65632</v>
      </c>
      <c r="J16" s="3" t="n">
        <v>106.81513</v>
      </c>
      <c r="K16" s="3" t="n">
        <v>99.96032</v>
      </c>
      <c r="L16" s="3" t="n">
        <v>100.05105</v>
      </c>
      <c r="M16" s="3" t="n">
        <v>98.89115</v>
      </c>
      <c r="N16" s="3" t="n">
        <v>100.80853</v>
      </c>
      <c r="O16" s="3" t="n">
        <v>103.00434</v>
      </c>
      <c r="P16" s="3" t="n">
        <v>101.52659</v>
      </c>
      <c r="Q16" s="3" t="n">
        <v>101.80328</v>
      </c>
      <c r="R16" s="3" t="n">
        <v>104.69994</v>
      </c>
      <c r="S16" s="3" t="n">
        <v>99.92452</v>
      </c>
    </row>
    <row r="17" customFormat="false" ht="15" hidden="false" customHeight="false" outlineLevel="0" collapsed="false">
      <c r="B17" s="0" t="s">
        <v>68</v>
      </c>
      <c r="C17" s="2" t="n">
        <v>38291</v>
      </c>
      <c r="D17" s="3" t="n">
        <v>103.12368</v>
      </c>
      <c r="E17" s="3" t="n">
        <v>62.66926</v>
      </c>
      <c r="F17" s="3" t="n">
        <v>84.44642</v>
      </c>
      <c r="G17" s="3" t="n">
        <v>101.39273</v>
      </c>
      <c r="H17" s="3" t="n">
        <v>105.90569</v>
      </c>
      <c r="I17" s="3" t="n">
        <v>96.18753</v>
      </c>
      <c r="J17" s="3" t="n">
        <v>97.84211</v>
      </c>
      <c r="K17" s="3" t="n">
        <v>101.16296</v>
      </c>
      <c r="L17" s="3" t="n">
        <v>102.93943</v>
      </c>
      <c r="M17" s="3" t="n">
        <v>101.57252</v>
      </c>
      <c r="N17" s="3" t="n">
        <v>102.0793</v>
      </c>
      <c r="O17" s="3" t="n">
        <v>100.69115</v>
      </c>
      <c r="P17" s="3" t="n">
        <v>101.68981</v>
      </c>
      <c r="Q17" s="3" t="n">
        <v>102.21213</v>
      </c>
      <c r="R17" s="3" t="n">
        <v>100.22067</v>
      </c>
      <c r="S17" s="3" t="n">
        <v>101.16164</v>
      </c>
    </row>
    <row r="18" customFormat="false" ht="15" hidden="false" customHeight="false" outlineLevel="0" collapsed="false">
      <c r="B18" s="0" t="s">
        <v>69</v>
      </c>
      <c r="C18" s="2" t="n">
        <v>38321</v>
      </c>
      <c r="D18" s="3" t="n">
        <v>103.57877</v>
      </c>
      <c r="E18" s="3" t="n">
        <v>78.41525</v>
      </c>
      <c r="F18" s="3" t="n">
        <v>70.43561</v>
      </c>
      <c r="G18" s="3" t="n">
        <v>96.38347</v>
      </c>
      <c r="H18" s="3" t="n">
        <v>104.37511</v>
      </c>
      <c r="I18" s="3" t="n">
        <v>95.06963</v>
      </c>
      <c r="J18" s="3" t="n">
        <v>101.65557</v>
      </c>
      <c r="K18" s="3" t="n">
        <v>102.41598</v>
      </c>
      <c r="L18" s="3" t="n">
        <v>106.49311</v>
      </c>
      <c r="M18" s="3" t="n">
        <v>104.54272</v>
      </c>
      <c r="N18" s="3" t="n">
        <v>102.96217</v>
      </c>
      <c r="O18" s="3" t="n">
        <v>103.28028</v>
      </c>
      <c r="P18" s="3" t="n">
        <v>102.03612</v>
      </c>
      <c r="Q18" s="3" t="n">
        <v>102.50137</v>
      </c>
      <c r="R18" s="3" t="n">
        <v>99.69656</v>
      </c>
      <c r="S18" s="3" t="n">
        <v>100.02634</v>
      </c>
    </row>
    <row r="19" customFormat="false" ht="15" hidden="false" customHeight="false" outlineLevel="0" collapsed="false">
      <c r="B19" s="0" t="s">
        <v>70</v>
      </c>
      <c r="C19" s="2" t="n">
        <v>38352</v>
      </c>
      <c r="D19" s="3" t="n">
        <v>102.97856</v>
      </c>
      <c r="E19" s="3" t="n">
        <v>92.73814</v>
      </c>
      <c r="F19" s="3" t="n">
        <v>75.98912</v>
      </c>
      <c r="G19" s="3" t="n">
        <v>100.71881</v>
      </c>
      <c r="H19" s="3" t="n">
        <v>101.87374</v>
      </c>
      <c r="I19" s="3" t="n">
        <v>103.71775</v>
      </c>
      <c r="J19" s="3" t="n">
        <v>101.86557</v>
      </c>
      <c r="K19" s="3" t="n">
        <v>99.12842</v>
      </c>
      <c r="L19" s="3" t="n">
        <v>105.58867</v>
      </c>
      <c r="M19" s="3" t="n">
        <v>105.58575</v>
      </c>
      <c r="N19" s="3" t="n">
        <v>105.64116</v>
      </c>
      <c r="O19" s="3" t="n">
        <v>106.35733</v>
      </c>
      <c r="P19" s="3" t="n">
        <v>102.9846</v>
      </c>
      <c r="Q19" s="3" t="n">
        <v>104.43946</v>
      </c>
      <c r="R19" s="3" t="n">
        <v>97.24229</v>
      </c>
      <c r="S19" s="3" t="n">
        <v>103.79916</v>
      </c>
    </row>
    <row r="20" customFormat="false" ht="15" hidden="false" customHeight="false" outlineLevel="0" collapsed="false">
      <c r="B20" s="0" t="s">
        <v>71</v>
      </c>
      <c r="C20" s="2" t="n">
        <v>38383</v>
      </c>
      <c r="D20" s="3" t="n">
        <v>105.74978</v>
      </c>
      <c r="E20" s="3" t="n">
        <v>65.69547</v>
      </c>
      <c r="F20" s="3" t="n">
        <v>35.83964</v>
      </c>
      <c r="G20" s="3" t="n">
        <v>101.19731</v>
      </c>
      <c r="H20" s="3" t="n">
        <v>97.29837</v>
      </c>
      <c r="I20" s="3" t="n">
        <v>109.06422</v>
      </c>
      <c r="J20" s="3" t="n">
        <v>105.31705</v>
      </c>
      <c r="K20" s="3" t="n">
        <v>99.65137</v>
      </c>
      <c r="L20" s="3" t="n">
        <v>118.47379</v>
      </c>
      <c r="M20" s="3" t="n">
        <v>107.25698</v>
      </c>
      <c r="N20" s="3" t="n">
        <v>105.08495</v>
      </c>
      <c r="O20" s="3" t="n">
        <v>95.9073</v>
      </c>
      <c r="P20" s="3" t="n">
        <v>102.39479</v>
      </c>
      <c r="Q20" s="3" t="n">
        <v>101.47357</v>
      </c>
      <c r="R20" s="3" t="n">
        <v>103.77332</v>
      </c>
      <c r="S20" s="3" t="n">
        <v>106.67906</v>
      </c>
    </row>
    <row r="21" customFormat="false" ht="15" hidden="false" customHeight="false" outlineLevel="0" collapsed="false">
      <c r="B21" s="0" t="s">
        <v>72</v>
      </c>
      <c r="C21" s="2" t="n">
        <v>38411</v>
      </c>
      <c r="D21" s="3" t="n">
        <v>106.05741</v>
      </c>
      <c r="E21" s="3" t="n">
        <v>69.20975</v>
      </c>
      <c r="F21" s="3" t="n">
        <v>88.96043</v>
      </c>
      <c r="G21" s="3" t="n">
        <v>93.22341</v>
      </c>
      <c r="H21" s="3" t="n">
        <v>94.70785</v>
      </c>
      <c r="I21" s="3" t="n">
        <v>99.19242</v>
      </c>
      <c r="J21" s="3" t="n">
        <v>109.01469</v>
      </c>
      <c r="K21" s="3" t="n">
        <v>99.73582</v>
      </c>
      <c r="L21" s="3" t="n">
        <v>112.70657</v>
      </c>
      <c r="M21" s="3" t="n">
        <v>102.01017</v>
      </c>
      <c r="N21" s="3" t="n">
        <v>102.10314</v>
      </c>
      <c r="O21" s="3" t="n">
        <v>98.55163</v>
      </c>
      <c r="P21" s="3" t="n">
        <v>102.94994</v>
      </c>
      <c r="Q21" s="3" t="n">
        <v>102.04402</v>
      </c>
      <c r="R21" s="3" t="n">
        <v>99.89043</v>
      </c>
      <c r="S21" s="3" t="n">
        <v>105.45618</v>
      </c>
    </row>
    <row r="22" customFormat="false" ht="15" hidden="false" customHeight="false" outlineLevel="0" collapsed="false">
      <c r="B22" s="0" t="s">
        <v>73</v>
      </c>
      <c r="C22" s="2" t="n">
        <v>38442</v>
      </c>
      <c r="D22" s="3" t="n">
        <v>106.85062</v>
      </c>
      <c r="E22" s="3" t="n">
        <v>138.56358</v>
      </c>
      <c r="F22" s="3" t="n">
        <v>146.68698</v>
      </c>
      <c r="G22" s="3" t="n">
        <v>101.59125</v>
      </c>
      <c r="H22" s="3" t="n">
        <v>107.56974</v>
      </c>
      <c r="I22" s="3" t="n">
        <v>107.90898</v>
      </c>
      <c r="J22" s="3" t="n">
        <v>114.23107</v>
      </c>
      <c r="K22" s="3" t="n">
        <v>118.32505</v>
      </c>
      <c r="L22" s="3" t="n">
        <v>110.76757</v>
      </c>
      <c r="M22" s="3" t="n">
        <v>111.18571</v>
      </c>
      <c r="N22" s="3" t="n">
        <v>106.16691</v>
      </c>
      <c r="O22" s="3" t="n">
        <v>102.97959</v>
      </c>
      <c r="P22" s="3" t="n">
        <v>103.54588</v>
      </c>
      <c r="Q22" s="3" t="n">
        <v>103.9057</v>
      </c>
      <c r="R22" s="3" t="n">
        <v>110.52482</v>
      </c>
      <c r="S22" s="3" t="n">
        <v>104.69418</v>
      </c>
    </row>
    <row r="23" customFormat="false" ht="15" hidden="false" customHeight="false" outlineLevel="0" collapsed="false">
      <c r="B23" s="0" t="s">
        <v>74</v>
      </c>
      <c r="C23" s="2" t="n">
        <v>38472</v>
      </c>
      <c r="D23" s="3" t="n">
        <v>107.96569</v>
      </c>
      <c r="E23" s="3" t="n">
        <v>208.89982</v>
      </c>
      <c r="F23" s="3" t="n">
        <v>122.48874</v>
      </c>
      <c r="G23" s="3" t="n">
        <v>99.12524</v>
      </c>
      <c r="H23" s="3" t="n">
        <v>107.55166</v>
      </c>
      <c r="I23" s="3" t="n">
        <v>103.21117</v>
      </c>
      <c r="J23" s="3" t="n">
        <v>108.78738</v>
      </c>
      <c r="K23" s="3" t="n">
        <v>112.52418</v>
      </c>
      <c r="L23" s="3" t="n">
        <v>102.6943</v>
      </c>
      <c r="M23" s="3" t="n">
        <v>115.22445</v>
      </c>
      <c r="N23" s="3" t="n">
        <v>106.63906</v>
      </c>
      <c r="O23" s="3" t="n">
        <v>103.97996</v>
      </c>
      <c r="P23" s="3" t="n">
        <v>103.45545</v>
      </c>
      <c r="Q23" s="3" t="n">
        <v>103.64102</v>
      </c>
      <c r="R23" s="3" t="n">
        <v>109.49178</v>
      </c>
      <c r="S23" s="3" t="n">
        <v>106.03204</v>
      </c>
    </row>
    <row r="24" customFormat="false" ht="15" hidden="false" customHeight="false" outlineLevel="0" collapsed="false">
      <c r="B24" s="0" t="s">
        <v>75</v>
      </c>
      <c r="C24" s="2" t="n">
        <v>38503</v>
      </c>
      <c r="D24" s="3" t="n">
        <v>109.10032</v>
      </c>
      <c r="E24" s="3" t="n">
        <v>294.8644</v>
      </c>
      <c r="F24" s="3" t="n">
        <v>193.25425</v>
      </c>
      <c r="G24" s="3" t="n">
        <v>104.30551</v>
      </c>
      <c r="H24" s="3" t="n">
        <v>109.43599</v>
      </c>
      <c r="I24" s="3" t="n">
        <v>108.03871</v>
      </c>
      <c r="J24" s="3" t="n">
        <v>111.05513</v>
      </c>
      <c r="K24" s="3" t="n">
        <v>115.05014</v>
      </c>
      <c r="L24" s="3" t="n">
        <v>99.6698</v>
      </c>
      <c r="M24" s="3" t="n">
        <v>124.37399</v>
      </c>
      <c r="N24" s="3" t="n">
        <v>109.78718</v>
      </c>
      <c r="O24" s="3" t="n">
        <v>105.89732</v>
      </c>
      <c r="P24" s="3" t="n">
        <v>104.50985</v>
      </c>
      <c r="Q24" s="3" t="n">
        <v>105.17824</v>
      </c>
      <c r="R24" s="3" t="n">
        <v>111.68503</v>
      </c>
      <c r="S24" s="3" t="n">
        <v>107.59593</v>
      </c>
    </row>
    <row r="25" customFormat="false" ht="15" hidden="false" customHeight="false" outlineLevel="0" collapsed="false">
      <c r="B25" s="0" t="s">
        <v>76</v>
      </c>
      <c r="C25" s="2" t="n">
        <v>38533</v>
      </c>
      <c r="D25" s="3" t="n">
        <v>108.58363</v>
      </c>
      <c r="E25" s="3" t="n">
        <v>197.55381</v>
      </c>
      <c r="F25" s="3" t="n">
        <v>110.95701</v>
      </c>
      <c r="G25" s="3" t="n">
        <v>99.49475</v>
      </c>
      <c r="H25" s="3" t="n">
        <v>107.96514</v>
      </c>
      <c r="I25" s="3" t="n">
        <v>106.26375</v>
      </c>
      <c r="J25" s="3" t="n">
        <v>111.98183</v>
      </c>
      <c r="K25" s="3" t="n">
        <v>112.99622</v>
      </c>
      <c r="L25" s="3" t="n">
        <v>100.19355</v>
      </c>
      <c r="M25" s="3" t="n">
        <v>118.47904</v>
      </c>
      <c r="N25" s="3" t="n">
        <v>110.43084</v>
      </c>
      <c r="O25" s="3" t="n">
        <v>107.1167</v>
      </c>
      <c r="P25" s="3" t="n">
        <v>106.00525</v>
      </c>
      <c r="Q25" s="3" t="n">
        <v>108.16451</v>
      </c>
      <c r="R25" s="3" t="n">
        <v>117.95139</v>
      </c>
      <c r="S25" s="3" t="n">
        <v>110.5618</v>
      </c>
    </row>
    <row r="26" customFormat="false" ht="15" hidden="false" customHeight="false" outlineLevel="0" collapsed="false">
      <c r="B26" s="0" t="s">
        <v>77</v>
      </c>
      <c r="C26" s="2" t="n">
        <v>38564</v>
      </c>
      <c r="D26" s="3" t="n">
        <v>109.13426</v>
      </c>
      <c r="E26" s="3" t="n">
        <v>98.41303</v>
      </c>
      <c r="F26" s="3" t="n">
        <v>74.54625</v>
      </c>
      <c r="G26" s="3" t="n">
        <v>104.12866</v>
      </c>
      <c r="H26" s="3" t="n">
        <v>108.63271</v>
      </c>
      <c r="I26" s="3" t="n">
        <v>112.65387</v>
      </c>
      <c r="J26" s="3" t="n">
        <v>108.84565</v>
      </c>
      <c r="K26" s="3" t="n">
        <v>109.85625</v>
      </c>
      <c r="L26" s="3" t="n">
        <v>113.50016</v>
      </c>
      <c r="M26" s="3" t="n">
        <v>116.43926</v>
      </c>
      <c r="N26" s="3" t="n">
        <v>112.53992</v>
      </c>
      <c r="O26" s="3" t="n">
        <v>104.60415</v>
      </c>
      <c r="P26" s="3" t="n">
        <v>104.98282</v>
      </c>
      <c r="Q26" s="3" t="n">
        <v>106.39712</v>
      </c>
      <c r="R26" s="3" t="n">
        <v>111.83937</v>
      </c>
      <c r="S26" s="3" t="n">
        <v>122.5637</v>
      </c>
    </row>
    <row r="27" customFormat="false" ht="15" hidden="false" customHeight="false" outlineLevel="0" collapsed="false">
      <c r="B27" s="0" t="s">
        <v>78</v>
      </c>
      <c r="C27" s="2" t="n">
        <v>38595</v>
      </c>
      <c r="D27" s="3" t="n">
        <v>109.37691</v>
      </c>
      <c r="E27" s="3" t="n">
        <v>63.85266</v>
      </c>
      <c r="F27" s="3" t="n">
        <v>56.44058</v>
      </c>
      <c r="G27" s="3" t="n">
        <v>102.77977</v>
      </c>
      <c r="H27" s="3" t="n">
        <v>109.72189</v>
      </c>
      <c r="I27" s="3" t="n">
        <v>111.99118</v>
      </c>
      <c r="J27" s="3" t="n">
        <v>113.68084</v>
      </c>
      <c r="K27" s="3" t="n">
        <v>111.87007</v>
      </c>
      <c r="L27" s="3" t="n">
        <v>114.8998</v>
      </c>
      <c r="M27" s="3" t="n">
        <v>115.39256</v>
      </c>
      <c r="N27" s="3" t="n">
        <v>110.38335</v>
      </c>
      <c r="O27" s="3" t="n">
        <v>107.84918</v>
      </c>
      <c r="P27" s="3" t="n">
        <v>105.45171</v>
      </c>
      <c r="Q27" s="3" t="n">
        <v>106.77496</v>
      </c>
      <c r="R27" s="3" t="n">
        <v>115.49028</v>
      </c>
      <c r="S27" s="3" t="n">
        <v>112.01173</v>
      </c>
    </row>
    <row r="28" customFormat="false" ht="15" hidden="false" customHeight="false" outlineLevel="0" collapsed="false">
      <c r="B28" s="0" t="s">
        <v>79</v>
      </c>
      <c r="C28" s="2" t="n">
        <v>38625</v>
      </c>
      <c r="D28" s="3" t="n">
        <v>109.26148</v>
      </c>
      <c r="E28" s="3" t="n">
        <v>59.38842</v>
      </c>
      <c r="F28" s="3" t="n">
        <v>41.20736</v>
      </c>
      <c r="G28" s="3" t="n">
        <v>98.04109</v>
      </c>
      <c r="H28" s="3" t="n">
        <v>108.68922</v>
      </c>
      <c r="I28" s="3" t="n">
        <v>105.81064</v>
      </c>
      <c r="J28" s="3" t="n">
        <v>117.97642</v>
      </c>
      <c r="K28" s="3" t="n">
        <v>111.40217</v>
      </c>
      <c r="L28" s="3" t="n">
        <v>117.74852</v>
      </c>
      <c r="M28" s="3" t="n">
        <v>114.58516</v>
      </c>
      <c r="N28" s="3" t="n">
        <v>110.35222</v>
      </c>
      <c r="O28" s="3" t="n">
        <v>109.22298</v>
      </c>
      <c r="P28" s="3" t="n">
        <v>106.24349</v>
      </c>
      <c r="Q28" s="3" t="n">
        <v>107.7223</v>
      </c>
      <c r="R28" s="3" t="n">
        <v>114.05532</v>
      </c>
      <c r="S28" s="3" t="n">
        <v>110.60942</v>
      </c>
    </row>
    <row r="29" customFormat="false" ht="15" hidden="false" customHeight="false" outlineLevel="0" collapsed="false">
      <c r="B29" s="0" t="s">
        <v>80</v>
      </c>
      <c r="C29" s="2" t="n">
        <v>38656</v>
      </c>
      <c r="D29" s="3" t="n">
        <v>109.94966</v>
      </c>
      <c r="E29" s="3" t="n">
        <v>60.65839</v>
      </c>
      <c r="F29" s="3" t="n">
        <v>61.35736</v>
      </c>
      <c r="G29" s="3" t="n">
        <v>96.29388</v>
      </c>
      <c r="H29" s="3" t="n">
        <v>114.31417</v>
      </c>
      <c r="I29" s="3" t="n">
        <v>98.78331</v>
      </c>
      <c r="J29" s="3" t="n">
        <v>113.89162</v>
      </c>
      <c r="K29" s="3" t="n">
        <v>109.47016</v>
      </c>
      <c r="L29" s="3" t="n">
        <v>117.43116</v>
      </c>
      <c r="M29" s="3" t="n">
        <v>116.54991</v>
      </c>
      <c r="N29" s="3" t="n">
        <v>110.89907</v>
      </c>
      <c r="O29" s="3" t="n">
        <v>107.44326</v>
      </c>
      <c r="P29" s="3" t="n">
        <v>106.86253</v>
      </c>
      <c r="Q29" s="3" t="n">
        <v>108.08092</v>
      </c>
      <c r="R29" s="3" t="n">
        <v>109.39494</v>
      </c>
      <c r="S29" s="3" t="n">
        <v>112.49781</v>
      </c>
    </row>
    <row r="30" customFormat="false" ht="15" hidden="false" customHeight="false" outlineLevel="0" collapsed="false">
      <c r="B30" s="0" t="s">
        <v>81</v>
      </c>
      <c r="C30" s="2" t="n">
        <v>38686</v>
      </c>
      <c r="D30" s="3" t="n">
        <v>111.16807</v>
      </c>
      <c r="E30" s="3" t="n">
        <v>79.32336</v>
      </c>
      <c r="F30" s="3" t="n">
        <v>67.77853</v>
      </c>
      <c r="G30" s="3" t="n">
        <v>97.36115</v>
      </c>
      <c r="H30" s="3" t="n">
        <v>113.20834</v>
      </c>
      <c r="I30" s="3" t="n">
        <v>104.51267</v>
      </c>
      <c r="J30" s="3" t="n">
        <v>117.74808</v>
      </c>
      <c r="K30" s="3" t="n">
        <v>115.19793</v>
      </c>
      <c r="L30" s="3" t="n">
        <v>119.79389</v>
      </c>
      <c r="M30" s="3" t="n">
        <v>117.49112</v>
      </c>
      <c r="N30" s="3" t="n">
        <v>114.05774</v>
      </c>
      <c r="O30" s="3" t="n">
        <v>109.87131</v>
      </c>
      <c r="P30" s="3" t="n">
        <v>107.924</v>
      </c>
      <c r="Q30" s="3" t="n">
        <v>109.36644</v>
      </c>
      <c r="R30" s="3" t="n">
        <v>109.21923</v>
      </c>
      <c r="S30" s="3" t="n">
        <v>112.20742</v>
      </c>
    </row>
    <row r="31" customFormat="false" ht="15" hidden="false" customHeight="false" outlineLevel="0" collapsed="false">
      <c r="B31" s="0" t="s">
        <v>82</v>
      </c>
      <c r="C31" s="2" t="n">
        <v>38717</v>
      </c>
      <c r="D31" s="3" t="n">
        <v>113.02209</v>
      </c>
      <c r="E31" s="3" t="n">
        <v>100.75216</v>
      </c>
      <c r="F31" s="3" t="n">
        <v>108.24704</v>
      </c>
      <c r="G31" s="3" t="n">
        <v>98.73507</v>
      </c>
      <c r="H31" s="3" t="n">
        <v>109.98285</v>
      </c>
      <c r="I31" s="3" t="n">
        <v>105.97126</v>
      </c>
      <c r="J31" s="3" t="n">
        <v>117.1022</v>
      </c>
      <c r="K31" s="3" t="n">
        <v>108.93114</v>
      </c>
      <c r="L31" s="3" t="n">
        <v>117.44461</v>
      </c>
      <c r="M31" s="3" t="n">
        <v>120.37943</v>
      </c>
      <c r="N31" s="3" t="n">
        <v>119.60863</v>
      </c>
      <c r="O31" s="3" t="n">
        <v>114.80661</v>
      </c>
      <c r="P31" s="3" t="n">
        <v>109.46518</v>
      </c>
      <c r="Q31" s="3" t="n">
        <v>111.02766</v>
      </c>
      <c r="R31" s="3" t="n">
        <v>106.1791</v>
      </c>
      <c r="S31" s="3" t="n">
        <v>116.75269</v>
      </c>
    </row>
    <row r="32" customFormat="false" ht="15" hidden="false" customHeight="false" outlineLevel="0" collapsed="false">
      <c r="B32" s="0" t="s">
        <v>83</v>
      </c>
      <c r="C32" s="2" t="n">
        <v>38748</v>
      </c>
      <c r="D32" s="3" t="n">
        <v>113.8318</v>
      </c>
      <c r="E32" s="3" t="n">
        <v>69.22548</v>
      </c>
      <c r="F32" s="3" t="n">
        <v>44.49589</v>
      </c>
      <c r="G32" s="3" t="n">
        <v>104.02548</v>
      </c>
      <c r="H32" s="3" t="n">
        <v>104.8674</v>
      </c>
      <c r="I32" s="3" t="n">
        <v>110.89814</v>
      </c>
      <c r="J32" s="3" t="n">
        <v>122.05354</v>
      </c>
      <c r="K32" s="3" t="n">
        <v>110.07995</v>
      </c>
      <c r="L32" s="3" t="n">
        <v>132.76065</v>
      </c>
      <c r="M32" s="3" t="n">
        <v>120.53438</v>
      </c>
      <c r="N32" s="3" t="n">
        <v>121.18752</v>
      </c>
      <c r="O32" s="3" t="n">
        <v>103.1197</v>
      </c>
      <c r="P32" s="3" t="n">
        <v>106.0654</v>
      </c>
      <c r="Q32" s="3" t="n">
        <v>105.61424</v>
      </c>
      <c r="R32" s="3" t="n">
        <v>107.20997</v>
      </c>
      <c r="S32" s="3" t="n">
        <v>119.76304</v>
      </c>
    </row>
    <row r="33" customFormat="false" ht="15" hidden="false" customHeight="false" outlineLevel="0" collapsed="false">
      <c r="B33" s="0" t="s">
        <v>84</v>
      </c>
      <c r="C33" s="2" t="n">
        <v>38776</v>
      </c>
      <c r="D33" s="3" t="n">
        <v>114.74988</v>
      </c>
      <c r="E33" s="3" t="n">
        <v>66.79994</v>
      </c>
      <c r="F33" s="3" t="n">
        <v>152.81713</v>
      </c>
      <c r="G33" s="3" t="n">
        <v>94.47668</v>
      </c>
      <c r="H33" s="3" t="n">
        <v>102.7688</v>
      </c>
      <c r="I33" s="3" t="n">
        <v>105.97879</v>
      </c>
      <c r="J33" s="3" t="n">
        <v>123.93133</v>
      </c>
      <c r="K33" s="3" t="n">
        <v>110.13885</v>
      </c>
      <c r="L33" s="3" t="n">
        <v>127.92916</v>
      </c>
      <c r="M33" s="3" t="n">
        <v>116.16327</v>
      </c>
      <c r="N33" s="3" t="n">
        <v>115.14634</v>
      </c>
      <c r="O33" s="3" t="n">
        <v>105.62499</v>
      </c>
      <c r="P33" s="3" t="n">
        <v>106.55129</v>
      </c>
      <c r="Q33" s="3" t="n">
        <v>105.8765</v>
      </c>
      <c r="R33" s="3" t="n">
        <v>103.17926</v>
      </c>
      <c r="S33" s="3" t="n">
        <v>114.79023</v>
      </c>
    </row>
    <row r="34" customFormat="false" ht="15" hidden="false" customHeight="false" outlineLevel="0" collapsed="false">
      <c r="B34" s="0" t="s">
        <v>85</v>
      </c>
      <c r="C34" s="2" t="n">
        <v>38807</v>
      </c>
      <c r="D34" s="3" t="n">
        <v>114.30687</v>
      </c>
      <c r="E34" s="3" t="n">
        <v>126.90149</v>
      </c>
      <c r="F34" s="3" t="n">
        <v>238.1848</v>
      </c>
      <c r="G34" s="3" t="n">
        <v>106.30049</v>
      </c>
      <c r="H34" s="3" t="n">
        <v>118.41693</v>
      </c>
      <c r="I34" s="3" t="n">
        <v>107.80847</v>
      </c>
      <c r="J34" s="3" t="n">
        <v>128.27956</v>
      </c>
      <c r="K34" s="3" t="n">
        <v>130.60249</v>
      </c>
      <c r="L34" s="3" t="n">
        <v>126.3465</v>
      </c>
      <c r="M34" s="3" t="n">
        <v>125.89131</v>
      </c>
      <c r="N34" s="3" t="n">
        <v>118.87873</v>
      </c>
      <c r="O34" s="3" t="n">
        <v>110.92707</v>
      </c>
      <c r="P34" s="3" t="n">
        <v>106.51618</v>
      </c>
      <c r="Q34" s="3" t="n">
        <v>106.48492</v>
      </c>
      <c r="R34" s="3" t="n">
        <v>110.66655</v>
      </c>
      <c r="S34" s="3" t="n">
        <v>115.67678</v>
      </c>
    </row>
    <row r="35" customFormat="false" ht="15" hidden="false" customHeight="false" outlineLevel="0" collapsed="false">
      <c r="B35" s="0" t="s">
        <v>86</v>
      </c>
      <c r="C35" s="2" t="n">
        <v>38837</v>
      </c>
      <c r="D35" s="3" t="n">
        <v>115.84398</v>
      </c>
      <c r="E35" s="3" t="n">
        <v>190.89326</v>
      </c>
      <c r="F35" s="3" t="n">
        <v>212.95588</v>
      </c>
      <c r="G35" s="3" t="n">
        <v>104.06233</v>
      </c>
      <c r="H35" s="3" t="n">
        <v>116.27656</v>
      </c>
      <c r="I35" s="3" t="n">
        <v>103.30812</v>
      </c>
      <c r="J35" s="3" t="n">
        <v>121.06324</v>
      </c>
      <c r="K35" s="3" t="n">
        <v>119.69961</v>
      </c>
      <c r="L35" s="3" t="n">
        <v>119.95938</v>
      </c>
      <c r="M35" s="3" t="n">
        <v>128.24261</v>
      </c>
      <c r="N35" s="3" t="n">
        <v>116.67163</v>
      </c>
      <c r="O35" s="3" t="n">
        <v>109.55963</v>
      </c>
      <c r="P35" s="3" t="n">
        <v>106.16647</v>
      </c>
      <c r="Q35" s="3" t="n">
        <v>106.48941</v>
      </c>
      <c r="R35" s="3" t="n">
        <v>113.79317</v>
      </c>
      <c r="S35" s="3" t="n">
        <v>124.47529</v>
      </c>
    </row>
    <row r="36" customFormat="false" ht="15" hidden="false" customHeight="false" outlineLevel="0" collapsed="false">
      <c r="B36" s="0" t="s">
        <v>87</v>
      </c>
      <c r="C36" s="2" t="n">
        <v>38868</v>
      </c>
      <c r="D36" s="3" t="n">
        <v>115.09969</v>
      </c>
      <c r="E36" s="3" t="n">
        <v>279.84558</v>
      </c>
      <c r="F36" s="3" t="n">
        <v>264.9245</v>
      </c>
      <c r="G36" s="3" t="n">
        <v>109.14778</v>
      </c>
      <c r="H36" s="3" t="n">
        <v>118.86465</v>
      </c>
      <c r="I36" s="3" t="n">
        <v>113.8303</v>
      </c>
      <c r="J36" s="3" t="n">
        <v>123.63453</v>
      </c>
      <c r="K36" s="3" t="n">
        <v>125.38776</v>
      </c>
      <c r="L36" s="3" t="n">
        <v>114.01019</v>
      </c>
      <c r="M36" s="3" t="n">
        <v>137.11278</v>
      </c>
      <c r="N36" s="3" t="n">
        <v>120.7504</v>
      </c>
      <c r="O36" s="3" t="n">
        <v>112.86654</v>
      </c>
      <c r="P36" s="3" t="n">
        <v>108.2407</v>
      </c>
      <c r="Q36" s="3" t="n">
        <v>109.95545</v>
      </c>
      <c r="R36" s="3" t="n">
        <v>115.61973</v>
      </c>
      <c r="S36" s="3" t="n">
        <v>121.67594</v>
      </c>
    </row>
    <row r="37" customFormat="false" ht="15" hidden="false" customHeight="false" outlineLevel="0" collapsed="false">
      <c r="B37" s="0" t="s">
        <v>88</v>
      </c>
      <c r="C37" s="2" t="n">
        <v>38898</v>
      </c>
      <c r="D37" s="3" t="n">
        <v>116.25305</v>
      </c>
      <c r="E37" s="3" t="n">
        <v>188.65737</v>
      </c>
      <c r="F37" s="3" t="n">
        <v>183.923</v>
      </c>
      <c r="G37" s="3" t="n">
        <v>106.2955</v>
      </c>
      <c r="H37" s="3" t="n">
        <v>117.28655</v>
      </c>
      <c r="I37" s="3" t="n">
        <v>116.36177</v>
      </c>
      <c r="J37" s="3" t="n">
        <v>123.04388</v>
      </c>
      <c r="K37" s="3" t="n">
        <v>124.08964</v>
      </c>
      <c r="L37" s="3" t="n">
        <v>113.57676</v>
      </c>
      <c r="M37" s="3" t="n">
        <v>131.55583</v>
      </c>
      <c r="N37" s="3" t="n">
        <v>124.12378</v>
      </c>
      <c r="O37" s="3" t="n">
        <v>114.64182</v>
      </c>
      <c r="P37" s="3" t="n">
        <v>109.73537</v>
      </c>
      <c r="Q37" s="3" t="n">
        <v>113.13564</v>
      </c>
      <c r="R37" s="3" t="n">
        <v>119.51322</v>
      </c>
      <c r="S37" s="3" t="n">
        <v>118.53055</v>
      </c>
    </row>
    <row r="38" customFormat="false" ht="15" hidden="false" customHeight="false" outlineLevel="0" collapsed="false">
      <c r="B38" s="0" t="s">
        <v>89</v>
      </c>
      <c r="C38" s="2" t="n">
        <v>38929</v>
      </c>
      <c r="D38" s="3" t="n">
        <v>118.14538</v>
      </c>
      <c r="E38" s="3" t="n">
        <v>103.80806</v>
      </c>
      <c r="F38" s="3" t="n">
        <v>153.09808</v>
      </c>
      <c r="G38" s="3" t="n">
        <v>109.34349</v>
      </c>
      <c r="H38" s="3" t="n">
        <v>119.78074</v>
      </c>
      <c r="I38" s="3" t="n">
        <v>118.15558</v>
      </c>
      <c r="J38" s="3" t="n">
        <v>126.5983</v>
      </c>
      <c r="K38" s="3" t="n">
        <v>121.81954</v>
      </c>
      <c r="L38" s="3" t="n">
        <v>126.24678</v>
      </c>
      <c r="M38" s="3" t="n">
        <v>129.90728</v>
      </c>
      <c r="N38" s="3" t="n">
        <v>123.79528</v>
      </c>
      <c r="O38" s="3" t="n">
        <v>113.98021</v>
      </c>
      <c r="P38" s="3" t="n">
        <v>108.9722</v>
      </c>
      <c r="Q38" s="3" t="n">
        <v>110.93059</v>
      </c>
      <c r="R38" s="3" t="n">
        <v>113.40797</v>
      </c>
      <c r="S38" s="3" t="n">
        <v>134.382</v>
      </c>
    </row>
    <row r="39" customFormat="false" ht="15" hidden="false" customHeight="false" outlineLevel="0" collapsed="false">
      <c r="B39" s="0" t="s">
        <v>90</v>
      </c>
      <c r="C39" s="2" t="n">
        <v>38960</v>
      </c>
      <c r="D39" s="3" t="n">
        <v>118.75377</v>
      </c>
      <c r="E39" s="3" t="n">
        <v>71.25445</v>
      </c>
      <c r="F39" s="3" t="n">
        <v>162.44218</v>
      </c>
      <c r="G39" s="3" t="n">
        <v>107.52377</v>
      </c>
      <c r="H39" s="3" t="n">
        <v>120.7444</v>
      </c>
      <c r="I39" s="3" t="n">
        <v>119.41584</v>
      </c>
      <c r="J39" s="3" t="n">
        <v>128.15127</v>
      </c>
      <c r="K39" s="3" t="n">
        <v>125.43098</v>
      </c>
      <c r="L39" s="3" t="n">
        <v>126.72358</v>
      </c>
      <c r="M39" s="3" t="n">
        <v>130.90287</v>
      </c>
      <c r="N39" s="3" t="n">
        <v>126.5975</v>
      </c>
      <c r="O39" s="3" t="n">
        <v>113.75739</v>
      </c>
      <c r="P39" s="3" t="n">
        <v>109.83618</v>
      </c>
      <c r="Q39" s="3" t="n">
        <v>111.71014</v>
      </c>
      <c r="R39" s="3" t="n">
        <v>118.97512</v>
      </c>
      <c r="S39" s="3" t="n">
        <v>125.08217</v>
      </c>
    </row>
    <row r="40" customFormat="false" ht="15" hidden="false" customHeight="false" outlineLevel="0" collapsed="false">
      <c r="B40" s="0" t="s">
        <v>91</v>
      </c>
      <c r="C40" s="2" t="n">
        <v>38990</v>
      </c>
      <c r="D40" s="3" t="n">
        <v>119.80935</v>
      </c>
      <c r="E40" s="3" t="n">
        <v>66.92232</v>
      </c>
      <c r="F40" s="3" t="n">
        <v>102.82189</v>
      </c>
      <c r="G40" s="3" t="n">
        <v>107.01663</v>
      </c>
      <c r="H40" s="3" t="n">
        <v>119.71065</v>
      </c>
      <c r="I40" s="3" t="n">
        <v>109.77899</v>
      </c>
      <c r="J40" s="3" t="n">
        <v>131.87538</v>
      </c>
      <c r="K40" s="3" t="n">
        <v>123.16277</v>
      </c>
      <c r="L40" s="3" t="n">
        <v>126.64825</v>
      </c>
      <c r="M40" s="3" t="n">
        <v>130.17492</v>
      </c>
      <c r="N40" s="3" t="n">
        <v>125.77791</v>
      </c>
      <c r="O40" s="3" t="n">
        <v>114.54727</v>
      </c>
      <c r="P40" s="3" t="n">
        <v>111.02796</v>
      </c>
      <c r="Q40" s="3" t="n">
        <v>113.17142</v>
      </c>
      <c r="R40" s="3" t="n">
        <v>116.19524</v>
      </c>
      <c r="S40" s="3" t="n">
        <v>119.39897</v>
      </c>
    </row>
    <row r="41" customFormat="false" ht="15" hidden="false" customHeight="false" outlineLevel="0" collapsed="false">
      <c r="B41" s="0" t="s">
        <v>92</v>
      </c>
      <c r="C41" s="2" t="n">
        <v>39021</v>
      </c>
      <c r="D41" s="3" t="n">
        <v>120.53007</v>
      </c>
      <c r="E41" s="3" t="n">
        <v>62.94514</v>
      </c>
      <c r="F41" s="3" t="n">
        <v>110.57112</v>
      </c>
      <c r="G41" s="3" t="n">
        <v>109.48228</v>
      </c>
      <c r="H41" s="3" t="n">
        <v>124.11589</v>
      </c>
      <c r="I41" s="3" t="n">
        <v>112.62058</v>
      </c>
      <c r="J41" s="3" t="n">
        <v>127.96111</v>
      </c>
      <c r="K41" s="3" t="n">
        <v>124.44133</v>
      </c>
      <c r="L41" s="3" t="n">
        <v>128.57783</v>
      </c>
      <c r="M41" s="3" t="n">
        <v>132.2248</v>
      </c>
      <c r="N41" s="3" t="n">
        <v>130.18145</v>
      </c>
      <c r="O41" s="3" t="n">
        <v>115.52887</v>
      </c>
      <c r="P41" s="3" t="n">
        <v>110.56395</v>
      </c>
      <c r="Q41" s="3" t="n">
        <v>113.35877</v>
      </c>
      <c r="R41" s="3" t="n">
        <v>111.84535</v>
      </c>
      <c r="S41" s="3" t="n">
        <v>119.82165</v>
      </c>
    </row>
    <row r="42" customFormat="false" ht="15" hidden="false" customHeight="false" outlineLevel="0" collapsed="false">
      <c r="B42" s="0" t="s">
        <v>93</v>
      </c>
      <c r="C42" s="2" t="n">
        <v>39051</v>
      </c>
      <c r="D42" s="3" t="n">
        <v>120.65319</v>
      </c>
      <c r="E42" s="3" t="n">
        <v>80.07303</v>
      </c>
      <c r="F42" s="3" t="n">
        <v>63.65408</v>
      </c>
      <c r="G42" s="3" t="n">
        <v>98.22967</v>
      </c>
      <c r="H42" s="3" t="n">
        <v>123.80693</v>
      </c>
      <c r="I42" s="3" t="n">
        <v>110.51193</v>
      </c>
      <c r="J42" s="3" t="n">
        <v>131.10739</v>
      </c>
      <c r="K42" s="3" t="n">
        <v>129.73407</v>
      </c>
      <c r="L42" s="3" t="n">
        <v>130.71585</v>
      </c>
      <c r="M42" s="3" t="n">
        <v>134.1227</v>
      </c>
      <c r="N42" s="3" t="n">
        <v>132.01832</v>
      </c>
      <c r="O42" s="3" t="n">
        <v>117.10427</v>
      </c>
      <c r="P42" s="3" t="n">
        <v>110.86949</v>
      </c>
      <c r="Q42" s="3" t="n">
        <v>113.81305</v>
      </c>
      <c r="R42" s="3" t="n">
        <v>111.26478</v>
      </c>
      <c r="S42" s="3" t="n">
        <v>120.52661</v>
      </c>
    </row>
    <row r="43" customFormat="false" ht="15" hidden="false" customHeight="false" outlineLevel="0" collapsed="false">
      <c r="B43" s="0" t="s">
        <v>94</v>
      </c>
      <c r="C43" s="2" t="n">
        <v>39082</v>
      </c>
      <c r="D43" s="3" t="n">
        <v>123.35638</v>
      </c>
      <c r="E43" s="3" t="n">
        <v>97.56012</v>
      </c>
      <c r="F43" s="3" t="n">
        <v>82.96293</v>
      </c>
      <c r="G43" s="3" t="n">
        <v>104.99298</v>
      </c>
      <c r="H43" s="3" t="n">
        <v>119.74175</v>
      </c>
      <c r="I43" s="3" t="n">
        <v>119.22396</v>
      </c>
      <c r="J43" s="3" t="n">
        <v>128.95722</v>
      </c>
      <c r="K43" s="3" t="n">
        <v>118.90352</v>
      </c>
      <c r="L43" s="3" t="n">
        <v>131.13682</v>
      </c>
      <c r="M43" s="3" t="n">
        <v>135.4701</v>
      </c>
      <c r="N43" s="3" t="n">
        <v>136.39178</v>
      </c>
      <c r="O43" s="3" t="n">
        <v>120.9172</v>
      </c>
      <c r="P43" s="3" t="n">
        <v>112.09775</v>
      </c>
      <c r="Q43" s="3" t="n">
        <v>115.03008</v>
      </c>
      <c r="R43" s="3" t="n">
        <v>109.26235</v>
      </c>
      <c r="S43" s="3" t="n">
        <v>123.11579</v>
      </c>
    </row>
    <row r="44" customFormat="false" ht="15" hidden="false" customHeight="false" outlineLevel="0" collapsed="false">
      <c r="B44" s="0" t="s">
        <v>95</v>
      </c>
      <c r="C44" s="2" t="n">
        <v>39113</v>
      </c>
      <c r="D44" s="3" t="n">
        <v>122.08744</v>
      </c>
      <c r="E44" s="3" t="n">
        <v>69.90778</v>
      </c>
      <c r="F44" s="3" t="n">
        <v>50.88753</v>
      </c>
      <c r="G44" s="3" t="n">
        <v>102.20541</v>
      </c>
      <c r="H44" s="3" t="n">
        <v>109.93223</v>
      </c>
      <c r="I44" s="3" t="n">
        <v>116.55531</v>
      </c>
      <c r="J44" s="3" t="n">
        <v>135.75124</v>
      </c>
      <c r="K44" s="3" t="n">
        <v>122.23919</v>
      </c>
      <c r="L44" s="3" t="n">
        <v>148.90692</v>
      </c>
      <c r="M44" s="3" t="n">
        <v>136.6066</v>
      </c>
      <c r="N44" s="3" t="n">
        <v>140.95887</v>
      </c>
      <c r="O44" s="3" t="n">
        <v>109.43889</v>
      </c>
      <c r="P44" s="3" t="n">
        <v>111.9041</v>
      </c>
      <c r="Q44" s="3" t="n">
        <v>112.18968</v>
      </c>
      <c r="R44" s="3" t="n">
        <v>114.39913</v>
      </c>
      <c r="S44" s="3" t="n">
        <v>130.8774</v>
      </c>
    </row>
    <row r="45" customFormat="false" ht="15" hidden="false" customHeight="false" outlineLevel="0" collapsed="false">
      <c r="B45" s="0" t="s">
        <v>96</v>
      </c>
      <c r="C45" s="2" t="n">
        <v>39141</v>
      </c>
      <c r="D45" s="3" t="n">
        <v>124.63366</v>
      </c>
      <c r="E45" s="3" t="n">
        <v>69.77521</v>
      </c>
      <c r="F45" s="3" t="n">
        <v>72.00833</v>
      </c>
      <c r="G45" s="3" t="n">
        <v>94.44749</v>
      </c>
      <c r="H45" s="3" t="n">
        <v>109.69852</v>
      </c>
      <c r="I45" s="3" t="n">
        <v>110.69664</v>
      </c>
      <c r="J45" s="3" t="n">
        <v>138.79714</v>
      </c>
      <c r="K45" s="3" t="n">
        <v>120.4579</v>
      </c>
      <c r="L45" s="3" t="n">
        <v>145.14226</v>
      </c>
      <c r="M45" s="3" t="n">
        <v>130.76191</v>
      </c>
      <c r="N45" s="3" t="n">
        <v>134.14479</v>
      </c>
      <c r="O45" s="3" t="n">
        <v>111.08668</v>
      </c>
      <c r="P45" s="3" t="n">
        <v>112.5604</v>
      </c>
      <c r="Q45" s="3" t="n">
        <v>112.72932</v>
      </c>
      <c r="R45" s="3" t="n">
        <v>109.76856</v>
      </c>
      <c r="S45" s="3" t="n">
        <v>128.38996</v>
      </c>
    </row>
    <row r="46" customFormat="false" ht="15" hidden="false" customHeight="false" outlineLevel="0" collapsed="false">
      <c r="B46" s="0" t="s">
        <v>97</v>
      </c>
      <c r="C46" s="2" t="n">
        <v>39172</v>
      </c>
      <c r="D46" s="3" t="n">
        <v>126.43758</v>
      </c>
      <c r="E46" s="3" t="n">
        <v>135.07051</v>
      </c>
      <c r="F46" s="3" t="n">
        <v>247.66896</v>
      </c>
      <c r="G46" s="3" t="n">
        <v>104.5811</v>
      </c>
      <c r="H46" s="3" t="n">
        <v>126.8827</v>
      </c>
      <c r="I46" s="3" t="n">
        <v>114.42696</v>
      </c>
      <c r="J46" s="3" t="n">
        <v>142.99604</v>
      </c>
      <c r="K46" s="3" t="n">
        <v>143.63859</v>
      </c>
      <c r="L46" s="3" t="n">
        <v>141.3796</v>
      </c>
      <c r="M46" s="3" t="n">
        <v>142.6367</v>
      </c>
      <c r="N46" s="3" t="n">
        <v>139.42221</v>
      </c>
      <c r="O46" s="3" t="n">
        <v>117.47126</v>
      </c>
      <c r="P46" s="3" t="n">
        <v>112.68684</v>
      </c>
      <c r="Q46" s="3" t="n">
        <v>113.43395</v>
      </c>
      <c r="R46" s="3" t="n">
        <v>118.64032</v>
      </c>
      <c r="S46" s="3" t="n">
        <v>129.10292</v>
      </c>
    </row>
    <row r="47" customFormat="false" ht="15" hidden="false" customHeight="false" outlineLevel="0" collapsed="false">
      <c r="B47" s="0" t="s">
        <v>98</v>
      </c>
      <c r="C47" s="2" t="n">
        <v>39202</v>
      </c>
      <c r="D47" s="3" t="n">
        <v>125.43197</v>
      </c>
      <c r="E47" s="3" t="n">
        <v>221.84991</v>
      </c>
      <c r="F47" s="3" t="n">
        <v>255.28242</v>
      </c>
      <c r="G47" s="3" t="n">
        <v>103.14937</v>
      </c>
      <c r="H47" s="3" t="n">
        <v>124.85819</v>
      </c>
      <c r="I47" s="3" t="n">
        <v>110.87351</v>
      </c>
      <c r="J47" s="3" t="n">
        <v>133.47483</v>
      </c>
      <c r="K47" s="3" t="n">
        <v>133.59185</v>
      </c>
      <c r="L47" s="3" t="n">
        <v>134.17227</v>
      </c>
      <c r="M47" s="3" t="n">
        <v>145.60313</v>
      </c>
      <c r="N47" s="3" t="n">
        <v>136.65726</v>
      </c>
      <c r="O47" s="3" t="n">
        <v>114.59945</v>
      </c>
      <c r="P47" s="3" t="n">
        <v>112.16895</v>
      </c>
      <c r="Q47" s="3" t="n">
        <v>112.80429</v>
      </c>
      <c r="R47" s="3" t="n">
        <v>121.85408</v>
      </c>
      <c r="S47" s="3" t="n">
        <v>124.68581</v>
      </c>
    </row>
    <row r="48" customFormat="false" ht="15" hidden="false" customHeight="false" outlineLevel="0" collapsed="false">
      <c r="B48" s="0" t="s">
        <v>99</v>
      </c>
      <c r="C48" s="2" t="n">
        <v>39233</v>
      </c>
      <c r="D48" s="3" t="n">
        <v>127.21823</v>
      </c>
      <c r="E48" s="3" t="n">
        <v>329.80886</v>
      </c>
      <c r="F48" s="3" t="n">
        <v>253.63222</v>
      </c>
      <c r="G48" s="3" t="n">
        <v>106.49724</v>
      </c>
      <c r="H48" s="3" t="n">
        <v>128.45394</v>
      </c>
      <c r="I48" s="3" t="n">
        <v>120.48274</v>
      </c>
      <c r="J48" s="3" t="n">
        <v>137.02396</v>
      </c>
      <c r="K48" s="3" t="n">
        <v>137.27301</v>
      </c>
      <c r="L48" s="3" t="n">
        <v>126.81859</v>
      </c>
      <c r="M48" s="3" t="n">
        <v>156.85605</v>
      </c>
      <c r="N48" s="3" t="n">
        <v>141.0553</v>
      </c>
      <c r="O48" s="3" t="n">
        <v>119.7159</v>
      </c>
      <c r="P48" s="3" t="n">
        <v>115.21381</v>
      </c>
      <c r="Q48" s="3" t="n">
        <v>117.16466</v>
      </c>
      <c r="R48" s="3" t="n">
        <v>124.18883</v>
      </c>
      <c r="S48" s="3" t="n">
        <v>130.8014</v>
      </c>
    </row>
    <row r="49" customFormat="false" ht="15" hidden="false" customHeight="false" outlineLevel="0" collapsed="false">
      <c r="B49" s="0" t="s">
        <v>100</v>
      </c>
      <c r="C49" s="2" t="n">
        <v>39263</v>
      </c>
      <c r="D49" s="3" t="n">
        <v>128.4754</v>
      </c>
      <c r="E49" s="3" t="n">
        <v>219.70145</v>
      </c>
      <c r="F49" s="3" t="n">
        <v>180.29199</v>
      </c>
      <c r="G49" s="3" t="n">
        <v>102.77532</v>
      </c>
      <c r="H49" s="3" t="n">
        <v>123.61382</v>
      </c>
      <c r="I49" s="3" t="n">
        <v>118.91859</v>
      </c>
      <c r="J49" s="3" t="n">
        <v>135.98659</v>
      </c>
      <c r="K49" s="3" t="n">
        <v>136.94505</v>
      </c>
      <c r="L49" s="3" t="n">
        <v>124.51905</v>
      </c>
      <c r="M49" s="3" t="n">
        <v>150.37635</v>
      </c>
      <c r="N49" s="3" t="n">
        <v>143.65223</v>
      </c>
      <c r="O49" s="3" t="n">
        <v>121.31784</v>
      </c>
      <c r="P49" s="3" t="n">
        <v>116.44294</v>
      </c>
      <c r="Q49" s="3" t="n">
        <v>119.71262</v>
      </c>
      <c r="R49" s="3" t="n">
        <v>128.16288</v>
      </c>
      <c r="S49" s="3" t="n">
        <v>131.71204</v>
      </c>
    </row>
    <row r="50" customFormat="false" ht="15" hidden="false" customHeight="false" outlineLevel="0" collapsed="false">
      <c r="B50" s="0" t="s">
        <v>101</v>
      </c>
      <c r="C50" s="2" t="n">
        <v>39294</v>
      </c>
      <c r="D50" s="3" t="n">
        <v>127.73554</v>
      </c>
      <c r="E50" s="3" t="n">
        <v>109.57606</v>
      </c>
      <c r="F50" s="3" t="n">
        <v>158.41213</v>
      </c>
      <c r="G50" s="3" t="n">
        <v>101.30076</v>
      </c>
      <c r="H50" s="3" t="n">
        <v>123.18963</v>
      </c>
      <c r="I50" s="3" t="n">
        <v>117.67898</v>
      </c>
      <c r="J50" s="3" t="n">
        <v>142.82249</v>
      </c>
      <c r="K50" s="3" t="n">
        <v>135.91223</v>
      </c>
      <c r="L50" s="3" t="n">
        <v>138.49153</v>
      </c>
      <c r="M50" s="3" t="n">
        <v>147.58889</v>
      </c>
      <c r="N50" s="3" t="n">
        <v>142.17835</v>
      </c>
      <c r="O50" s="3" t="n">
        <v>120.39366</v>
      </c>
      <c r="P50" s="3" t="n">
        <v>115.08763</v>
      </c>
      <c r="Q50" s="3" t="n">
        <v>117.83415</v>
      </c>
      <c r="R50" s="3" t="n">
        <v>120.01477</v>
      </c>
      <c r="S50" s="3" t="n">
        <v>147.53146</v>
      </c>
    </row>
    <row r="51" customFormat="false" ht="15" hidden="false" customHeight="false" outlineLevel="0" collapsed="false">
      <c r="B51" s="0" t="s">
        <v>102</v>
      </c>
      <c r="C51" s="2" t="n">
        <v>39325</v>
      </c>
      <c r="D51" s="3" t="n">
        <v>128.75588</v>
      </c>
      <c r="E51" s="3" t="n">
        <v>70.40975</v>
      </c>
      <c r="F51" s="3" t="n">
        <v>105.27367</v>
      </c>
      <c r="G51" s="3" t="n">
        <v>105.42477</v>
      </c>
      <c r="H51" s="3" t="n">
        <v>128.42225</v>
      </c>
      <c r="I51" s="3" t="n">
        <v>118.00216</v>
      </c>
      <c r="J51" s="3" t="n">
        <v>144.03195</v>
      </c>
      <c r="K51" s="3" t="n">
        <v>140.28456</v>
      </c>
      <c r="L51" s="3" t="n">
        <v>135.97773</v>
      </c>
      <c r="M51" s="3" t="n">
        <v>146.79564</v>
      </c>
      <c r="N51" s="3" t="n">
        <v>145.02093</v>
      </c>
      <c r="O51" s="3" t="n">
        <v>122.01944</v>
      </c>
      <c r="P51" s="3" t="n">
        <v>115.32336</v>
      </c>
      <c r="Q51" s="3" t="n">
        <v>118.03771</v>
      </c>
      <c r="R51" s="3" t="n">
        <v>125.22863</v>
      </c>
      <c r="S51" s="3" t="n">
        <v>137.95009</v>
      </c>
    </row>
    <row r="52" customFormat="false" ht="15" hidden="false" customHeight="false" outlineLevel="0" collapsed="false">
      <c r="B52" s="0" t="s">
        <v>103</v>
      </c>
      <c r="C52" s="2" t="n">
        <v>39355</v>
      </c>
      <c r="D52" s="3" t="n">
        <v>129.61435</v>
      </c>
      <c r="E52" s="3" t="n">
        <v>64.36351</v>
      </c>
      <c r="F52" s="3" t="n">
        <v>80.56722</v>
      </c>
      <c r="G52" s="3" t="n">
        <v>103.24314</v>
      </c>
      <c r="H52" s="3" t="n">
        <v>131.08455</v>
      </c>
      <c r="I52" s="3" t="n">
        <v>112.13813</v>
      </c>
      <c r="J52" s="3" t="n">
        <v>144.6334</v>
      </c>
      <c r="K52" s="3" t="n">
        <v>137.95224</v>
      </c>
      <c r="L52" s="3" t="n">
        <v>137.36398</v>
      </c>
      <c r="M52" s="3" t="n">
        <v>143.87713</v>
      </c>
      <c r="N52" s="3" t="n">
        <v>139.88084</v>
      </c>
      <c r="O52" s="3" t="n">
        <v>121.01716</v>
      </c>
      <c r="P52" s="3" t="n">
        <v>115.49902</v>
      </c>
      <c r="Q52" s="3" t="n">
        <v>118.03153</v>
      </c>
      <c r="R52" s="3" t="n">
        <v>121.5479</v>
      </c>
      <c r="S52" s="3" t="n">
        <v>129.39774</v>
      </c>
    </row>
    <row r="53" customFormat="false" ht="15" hidden="false" customHeight="false" outlineLevel="0" collapsed="false">
      <c r="B53" s="0" t="s">
        <v>104</v>
      </c>
      <c r="C53" s="2" t="n">
        <v>39386</v>
      </c>
      <c r="D53" s="3" t="n">
        <v>131.23956</v>
      </c>
      <c r="E53" s="3" t="n">
        <v>66.72752</v>
      </c>
      <c r="F53" s="3" t="n">
        <v>67.2137</v>
      </c>
      <c r="G53" s="3" t="n">
        <v>104.56883</v>
      </c>
      <c r="H53" s="3" t="n">
        <v>138.76001</v>
      </c>
      <c r="I53" s="3" t="n">
        <v>111.84105</v>
      </c>
      <c r="J53" s="3" t="n">
        <v>142.74653</v>
      </c>
      <c r="K53" s="3" t="n">
        <v>145.73802</v>
      </c>
      <c r="L53" s="3" t="n">
        <v>141.39326</v>
      </c>
      <c r="M53" s="3" t="n">
        <v>149.04246</v>
      </c>
      <c r="N53" s="3" t="n">
        <v>143.96145</v>
      </c>
      <c r="O53" s="3" t="n">
        <v>123.77768</v>
      </c>
      <c r="P53" s="3" t="n">
        <v>115.86999</v>
      </c>
      <c r="Q53" s="3" t="n">
        <v>118.21041</v>
      </c>
      <c r="R53" s="3" t="n">
        <v>118.93247</v>
      </c>
      <c r="S53" s="3" t="n">
        <v>127.4445</v>
      </c>
    </row>
    <row r="54" customFormat="false" ht="15" hidden="false" customHeight="false" outlineLevel="0" collapsed="false">
      <c r="B54" s="0" t="s">
        <v>105</v>
      </c>
      <c r="C54" s="2" t="n">
        <v>39416</v>
      </c>
      <c r="D54" s="3" t="n">
        <v>132.63358</v>
      </c>
      <c r="E54" s="3" t="n">
        <v>83.9648</v>
      </c>
      <c r="F54" s="3" t="n">
        <v>53.16506</v>
      </c>
      <c r="G54" s="3" t="n">
        <v>97.3397</v>
      </c>
      <c r="H54" s="3" t="n">
        <v>136.61399</v>
      </c>
      <c r="I54" s="3" t="n">
        <v>110.52503</v>
      </c>
      <c r="J54" s="3" t="n">
        <v>143.21543</v>
      </c>
      <c r="K54" s="3" t="n">
        <v>146.75402</v>
      </c>
      <c r="L54" s="3" t="n">
        <v>144.96855</v>
      </c>
      <c r="M54" s="3" t="n">
        <v>148.87285</v>
      </c>
      <c r="N54" s="3" t="n">
        <v>144.28543</v>
      </c>
      <c r="O54" s="3" t="n">
        <v>124.35614</v>
      </c>
      <c r="P54" s="3" t="n">
        <v>118.35075</v>
      </c>
      <c r="Q54" s="3" t="n">
        <v>121.13843</v>
      </c>
      <c r="R54" s="3" t="n">
        <v>118.95044</v>
      </c>
      <c r="S54" s="3" t="n">
        <v>127.5005</v>
      </c>
    </row>
    <row r="55" customFormat="false" ht="15" hidden="false" customHeight="false" outlineLevel="0" collapsed="false">
      <c r="B55" s="0" t="s">
        <v>106</v>
      </c>
      <c r="C55" s="2" t="n">
        <v>39447</v>
      </c>
      <c r="D55" s="3" t="n">
        <v>134.19822</v>
      </c>
      <c r="E55" s="3" t="n">
        <v>95.8848</v>
      </c>
      <c r="F55" s="3" t="n">
        <v>68.6152</v>
      </c>
      <c r="G55" s="3" t="n">
        <v>104.53256</v>
      </c>
      <c r="H55" s="3" t="n">
        <v>130.82771</v>
      </c>
      <c r="I55" s="3" t="n">
        <v>120.25047</v>
      </c>
      <c r="J55" s="3" t="n">
        <v>138.39451</v>
      </c>
      <c r="K55" s="3" t="n">
        <v>133.34146</v>
      </c>
      <c r="L55" s="3" t="n">
        <v>145.04545</v>
      </c>
      <c r="M55" s="3" t="n">
        <v>150.37318</v>
      </c>
      <c r="N55" s="3" t="n">
        <v>148.16453</v>
      </c>
      <c r="O55" s="3" t="n">
        <v>123.24751</v>
      </c>
      <c r="P55" s="3" t="n">
        <v>119.02683</v>
      </c>
      <c r="Q55" s="3" t="n">
        <v>120.67058</v>
      </c>
      <c r="R55" s="3" t="n">
        <v>116.21405</v>
      </c>
      <c r="S55" s="3" t="n">
        <v>129.11812</v>
      </c>
    </row>
    <row r="56" customFormat="false" ht="15" hidden="false" customHeight="false" outlineLevel="0" collapsed="false">
      <c r="B56" s="0" t="s">
        <v>107</v>
      </c>
      <c r="C56" s="2" t="n">
        <v>39478</v>
      </c>
      <c r="D56" s="3" t="n">
        <v>135.1947</v>
      </c>
      <c r="E56" s="3" t="n">
        <v>66.47802</v>
      </c>
      <c r="F56" s="3" t="n">
        <v>34.1555</v>
      </c>
      <c r="G56" s="3" t="n">
        <v>101.51196</v>
      </c>
      <c r="H56" s="3" t="n">
        <v>121.8446</v>
      </c>
      <c r="I56" s="3" t="n">
        <v>125.75605</v>
      </c>
      <c r="J56" s="3" t="n">
        <v>147.91517</v>
      </c>
      <c r="K56" s="3" t="n">
        <v>137.41853</v>
      </c>
      <c r="L56" s="3" t="n">
        <v>156.68158</v>
      </c>
      <c r="M56" s="3" t="n">
        <v>152.23999</v>
      </c>
      <c r="N56" s="3" t="n">
        <v>153.10122</v>
      </c>
      <c r="O56" s="3" t="n">
        <v>118.0455</v>
      </c>
      <c r="P56" s="3" t="n">
        <v>113.80871</v>
      </c>
      <c r="Q56" s="3" t="n">
        <v>112.82231</v>
      </c>
      <c r="R56" s="3" t="n">
        <v>122.65756</v>
      </c>
      <c r="S56" s="3" t="n">
        <v>135.59705</v>
      </c>
    </row>
    <row r="57" customFormat="false" ht="15" hidden="false" customHeight="false" outlineLevel="0" collapsed="false">
      <c r="B57" s="0" t="s">
        <v>108</v>
      </c>
      <c r="C57" s="2" t="n">
        <v>39507</v>
      </c>
      <c r="D57" s="3" t="n">
        <v>133.42689</v>
      </c>
      <c r="E57" s="3" t="n">
        <v>68.6845</v>
      </c>
      <c r="F57" s="3" t="n">
        <v>58.97301</v>
      </c>
      <c r="G57" s="3" t="n">
        <v>97.65461</v>
      </c>
      <c r="H57" s="3" t="n">
        <v>119.05996</v>
      </c>
      <c r="I57" s="3" t="n">
        <v>119.2242</v>
      </c>
      <c r="J57" s="3" t="n">
        <v>150.62739</v>
      </c>
      <c r="K57" s="3" t="n">
        <v>134.8747</v>
      </c>
      <c r="L57" s="3" t="n">
        <v>150.98107</v>
      </c>
      <c r="M57" s="3" t="n">
        <v>146.23769</v>
      </c>
      <c r="N57" s="3" t="n">
        <v>146.66367</v>
      </c>
      <c r="O57" s="3" t="n">
        <v>121.34103</v>
      </c>
      <c r="P57" s="3" t="n">
        <v>117.07542</v>
      </c>
      <c r="Q57" s="3" t="n">
        <v>116.67436</v>
      </c>
      <c r="R57" s="3" t="n">
        <v>115.68528</v>
      </c>
      <c r="S57" s="3" t="n">
        <v>134.30506</v>
      </c>
    </row>
    <row r="58" customFormat="false" ht="15" hidden="false" customHeight="false" outlineLevel="0" collapsed="false">
      <c r="B58" s="0" t="s">
        <v>109</v>
      </c>
      <c r="C58" s="2" t="n">
        <v>39538</v>
      </c>
      <c r="D58" s="3" t="n">
        <v>133.38365</v>
      </c>
      <c r="E58" s="3" t="n">
        <v>134.99408</v>
      </c>
      <c r="F58" s="3" t="n">
        <v>157.05404</v>
      </c>
      <c r="G58" s="3" t="n">
        <v>104.39753</v>
      </c>
      <c r="H58" s="3" t="n">
        <v>129.66358</v>
      </c>
      <c r="I58" s="3" t="n">
        <v>120.24886</v>
      </c>
      <c r="J58" s="3" t="n">
        <v>151.29946</v>
      </c>
      <c r="K58" s="3" t="n">
        <v>148.09038</v>
      </c>
      <c r="L58" s="3" t="n">
        <v>146.14583</v>
      </c>
      <c r="M58" s="3" t="n">
        <v>150.31607</v>
      </c>
      <c r="N58" s="3" t="n">
        <v>144.80846</v>
      </c>
      <c r="O58" s="3" t="n">
        <v>121.38912</v>
      </c>
      <c r="P58" s="3" t="n">
        <v>117.22839</v>
      </c>
      <c r="Q58" s="3" t="n">
        <v>116.9817</v>
      </c>
      <c r="R58" s="3" t="n">
        <v>124.81951</v>
      </c>
      <c r="S58" s="3" t="n">
        <v>134.57425</v>
      </c>
    </row>
    <row r="59" customFormat="false" ht="15" hidden="false" customHeight="false" outlineLevel="0" collapsed="false">
      <c r="B59" s="0" t="s">
        <v>110</v>
      </c>
      <c r="C59" s="2" t="n">
        <v>39568</v>
      </c>
      <c r="D59" s="3" t="n">
        <v>135.74808</v>
      </c>
      <c r="E59" s="3" t="n">
        <v>220.23862</v>
      </c>
      <c r="F59" s="3" t="n">
        <v>239.91334</v>
      </c>
      <c r="G59" s="3" t="n">
        <v>100.5856</v>
      </c>
      <c r="H59" s="3" t="n">
        <v>137.3136</v>
      </c>
      <c r="I59" s="3" t="n">
        <v>114.97871</v>
      </c>
      <c r="J59" s="3" t="n">
        <v>148.68453</v>
      </c>
      <c r="K59" s="3" t="n">
        <v>156.59721</v>
      </c>
      <c r="L59" s="3" t="n">
        <v>136.05825</v>
      </c>
      <c r="M59" s="3" t="n">
        <v>158.74103</v>
      </c>
      <c r="N59" s="3" t="n">
        <v>149.61238</v>
      </c>
      <c r="O59" s="3" t="n">
        <v>125.82177</v>
      </c>
      <c r="P59" s="3" t="n">
        <v>118.02643</v>
      </c>
      <c r="Q59" s="3" t="n">
        <v>119.25466</v>
      </c>
      <c r="R59" s="3" t="n">
        <v>131.24948</v>
      </c>
      <c r="S59" s="3" t="n">
        <v>136.27307</v>
      </c>
    </row>
    <row r="60" customFormat="false" ht="15" hidden="false" customHeight="false" outlineLevel="0" collapsed="false">
      <c r="B60" s="0" t="s">
        <v>111</v>
      </c>
      <c r="C60" s="2" t="n">
        <v>39599</v>
      </c>
      <c r="D60" s="3" t="n">
        <v>134.857</v>
      </c>
      <c r="E60" s="3" t="n">
        <v>321.72079</v>
      </c>
      <c r="F60" s="3" t="n">
        <v>276.52825</v>
      </c>
      <c r="G60" s="3" t="n">
        <v>90.95123</v>
      </c>
      <c r="H60" s="3" t="n">
        <v>137.48693</v>
      </c>
      <c r="I60" s="3" t="n">
        <v>118.2811</v>
      </c>
      <c r="J60" s="3" t="n">
        <v>149.09926</v>
      </c>
      <c r="K60" s="3" t="n">
        <v>153.45632</v>
      </c>
      <c r="L60" s="3" t="n">
        <v>131.38468</v>
      </c>
      <c r="M60" s="3" t="n">
        <v>165.88869</v>
      </c>
      <c r="N60" s="3" t="n">
        <v>151.21577</v>
      </c>
      <c r="O60" s="3" t="n">
        <v>127.59402</v>
      </c>
      <c r="P60" s="3" t="n">
        <v>119.15231</v>
      </c>
      <c r="Q60" s="3" t="n">
        <v>120.97955</v>
      </c>
      <c r="R60" s="3" t="n">
        <v>133.85055</v>
      </c>
      <c r="S60" s="3" t="n">
        <v>139.58975</v>
      </c>
    </row>
    <row r="61" customFormat="false" ht="15" hidden="false" customHeight="false" outlineLevel="0" collapsed="false">
      <c r="B61" s="0" t="s">
        <v>112</v>
      </c>
      <c r="C61" s="2" t="n">
        <v>39629</v>
      </c>
      <c r="D61" s="3" t="n">
        <v>133.38336</v>
      </c>
      <c r="E61" s="3" t="n">
        <v>211.85741</v>
      </c>
      <c r="F61" s="3" t="n">
        <v>225.78967</v>
      </c>
      <c r="G61" s="3" t="n">
        <v>98.07133</v>
      </c>
      <c r="H61" s="3" t="n">
        <v>128.33319</v>
      </c>
      <c r="I61" s="3" t="n">
        <v>128.4128</v>
      </c>
      <c r="J61" s="3" t="n">
        <v>147.06546</v>
      </c>
      <c r="K61" s="3" t="n">
        <v>142.70971</v>
      </c>
      <c r="L61" s="3" t="n">
        <v>125.2245</v>
      </c>
      <c r="M61" s="3" t="n">
        <v>154.64867</v>
      </c>
      <c r="N61" s="3" t="n">
        <v>150.23475</v>
      </c>
      <c r="O61" s="3" t="n">
        <v>127.53844</v>
      </c>
      <c r="P61" s="3" t="n">
        <v>121.38057</v>
      </c>
      <c r="Q61" s="3" t="n">
        <v>124.62259</v>
      </c>
      <c r="R61" s="3" t="n">
        <v>135.6315</v>
      </c>
      <c r="S61" s="3" t="n">
        <v>141.66703</v>
      </c>
    </row>
    <row r="62" customFormat="false" ht="15" hidden="false" customHeight="false" outlineLevel="0" collapsed="false">
      <c r="B62" s="0" t="s">
        <v>113</v>
      </c>
      <c r="C62" s="2" t="n">
        <v>39660</v>
      </c>
      <c r="D62" s="3" t="n">
        <v>135.2707</v>
      </c>
      <c r="E62" s="3" t="n">
        <v>110.97879</v>
      </c>
      <c r="F62" s="3" t="n">
        <v>172.39082</v>
      </c>
      <c r="G62" s="3" t="n">
        <v>103.67887</v>
      </c>
      <c r="H62" s="3" t="n">
        <v>136.75464</v>
      </c>
      <c r="I62" s="3" t="n">
        <v>123.69675</v>
      </c>
      <c r="J62" s="3" t="n">
        <v>152.13607</v>
      </c>
      <c r="K62" s="3" t="n">
        <v>152.20251</v>
      </c>
      <c r="L62" s="3" t="n">
        <v>138.95826</v>
      </c>
      <c r="M62" s="3" t="n">
        <v>157.12993</v>
      </c>
      <c r="N62" s="3" t="n">
        <v>146.85224</v>
      </c>
      <c r="O62" s="3" t="n">
        <v>128.84794</v>
      </c>
      <c r="P62" s="3" t="n">
        <v>120.7667</v>
      </c>
      <c r="Q62" s="3" t="n">
        <v>123.588</v>
      </c>
      <c r="R62" s="3" t="n">
        <v>129.98158</v>
      </c>
      <c r="S62" s="3" t="n">
        <v>150.49598</v>
      </c>
    </row>
    <row r="63" customFormat="false" ht="15" hidden="false" customHeight="false" outlineLevel="0" collapsed="false">
      <c r="B63" s="0" t="s">
        <v>114</v>
      </c>
      <c r="C63" s="2" t="n">
        <v>39691</v>
      </c>
      <c r="D63" s="3" t="n">
        <v>135.69375</v>
      </c>
      <c r="E63" s="3" t="n">
        <v>70.81372</v>
      </c>
      <c r="F63" s="3" t="n">
        <v>176.42805</v>
      </c>
      <c r="G63" s="3" t="n">
        <v>104.76908</v>
      </c>
      <c r="H63" s="3" t="n">
        <v>134.09634</v>
      </c>
      <c r="I63" s="3" t="n">
        <v>126.32093</v>
      </c>
      <c r="J63" s="3" t="n">
        <v>149.61283</v>
      </c>
      <c r="K63" s="3" t="n">
        <v>142.84046</v>
      </c>
      <c r="L63" s="3" t="n">
        <v>139.44352</v>
      </c>
      <c r="M63" s="3" t="n">
        <v>154.04953</v>
      </c>
      <c r="N63" s="3" t="n">
        <v>155.14314</v>
      </c>
      <c r="O63" s="3" t="n">
        <v>126.00455</v>
      </c>
      <c r="P63" s="3" t="n">
        <v>121.26434</v>
      </c>
      <c r="Q63" s="3" t="n">
        <v>124.28776</v>
      </c>
      <c r="R63" s="3" t="n">
        <v>133.08794</v>
      </c>
      <c r="S63" s="3" t="n">
        <v>143.81542</v>
      </c>
    </row>
    <row r="64" customFormat="false" ht="15" hidden="false" customHeight="false" outlineLevel="0" collapsed="false">
      <c r="B64" s="0" t="s">
        <v>115</v>
      </c>
      <c r="C64" s="2" t="n">
        <v>39721</v>
      </c>
      <c r="D64" s="3" t="n">
        <v>135.91022</v>
      </c>
      <c r="E64" s="3" t="n">
        <v>67.16126</v>
      </c>
      <c r="F64" s="3" t="n">
        <v>86.88275</v>
      </c>
      <c r="G64" s="3" t="n">
        <v>102.46918</v>
      </c>
      <c r="H64" s="3" t="n">
        <v>140.77953</v>
      </c>
      <c r="I64" s="3" t="n">
        <v>120.10366</v>
      </c>
      <c r="J64" s="3" t="n">
        <v>149.98842</v>
      </c>
      <c r="K64" s="3" t="n">
        <v>148.4033</v>
      </c>
      <c r="L64" s="3" t="n">
        <v>138.45378</v>
      </c>
      <c r="M64" s="3" t="n">
        <v>153.65089</v>
      </c>
      <c r="N64" s="3" t="n">
        <v>150.67969</v>
      </c>
      <c r="O64" s="3" t="n">
        <v>127.33159</v>
      </c>
      <c r="P64" s="3" t="n">
        <v>121.77432</v>
      </c>
      <c r="Q64" s="3" t="n">
        <v>124.79368</v>
      </c>
      <c r="R64" s="3" t="n">
        <v>131.10744</v>
      </c>
      <c r="S64" s="3" t="n">
        <v>135.83322</v>
      </c>
    </row>
    <row r="65" customFormat="false" ht="15" hidden="false" customHeight="false" outlineLevel="0" collapsed="false">
      <c r="B65" s="0" t="s">
        <v>116</v>
      </c>
      <c r="C65" s="2" t="n">
        <v>39752</v>
      </c>
      <c r="D65" s="3" t="n">
        <v>132.51585</v>
      </c>
      <c r="E65" s="3" t="n">
        <v>66.49249</v>
      </c>
      <c r="F65" s="3" t="n">
        <v>107.59852</v>
      </c>
      <c r="G65" s="3" t="n">
        <v>104.91981</v>
      </c>
      <c r="H65" s="3" t="n">
        <v>137.17683</v>
      </c>
      <c r="I65" s="3" t="n">
        <v>112.85634</v>
      </c>
      <c r="J65" s="3" t="n">
        <v>138.28099</v>
      </c>
      <c r="K65" s="3" t="n">
        <v>144.93943</v>
      </c>
      <c r="L65" s="3" t="n">
        <v>137.85613</v>
      </c>
      <c r="M65" s="3" t="n">
        <v>153.61917</v>
      </c>
      <c r="N65" s="3" t="n">
        <v>157.18486</v>
      </c>
      <c r="O65" s="3" t="n">
        <v>127.93237</v>
      </c>
      <c r="P65" s="3" t="n">
        <v>121.05672</v>
      </c>
      <c r="Q65" s="3" t="n">
        <v>124.76943</v>
      </c>
      <c r="R65" s="3" t="n">
        <v>125.55961</v>
      </c>
      <c r="S65" s="3" t="n">
        <v>136.54055</v>
      </c>
    </row>
    <row r="66" customFormat="false" ht="15" hidden="false" customHeight="false" outlineLevel="0" collapsed="false">
      <c r="B66" s="0" t="s">
        <v>117</v>
      </c>
      <c r="C66" s="2" t="n">
        <v>39782</v>
      </c>
      <c r="D66" s="3" t="n">
        <v>130.32737</v>
      </c>
      <c r="E66" s="3" t="n">
        <v>80.22294</v>
      </c>
      <c r="F66" s="3" t="n">
        <v>62.39521</v>
      </c>
      <c r="G66" s="3" t="n">
        <v>102.721</v>
      </c>
      <c r="H66" s="3" t="n">
        <v>126.10218</v>
      </c>
      <c r="I66" s="3" t="n">
        <v>118.13284</v>
      </c>
      <c r="J66" s="3" t="n">
        <v>136.19411</v>
      </c>
      <c r="K66" s="3" t="n">
        <v>133.01685</v>
      </c>
      <c r="L66" s="3" t="n">
        <v>136.73028</v>
      </c>
      <c r="M66" s="3" t="n">
        <v>148.66963</v>
      </c>
      <c r="N66" s="3" t="n">
        <v>149.27482</v>
      </c>
      <c r="O66" s="3" t="n">
        <v>126.43614</v>
      </c>
      <c r="P66" s="3" t="n">
        <v>121.86256</v>
      </c>
      <c r="Q66" s="3" t="n">
        <v>125.22744</v>
      </c>
      <c r="R66" s="3" t="n">
        <v>126.03622</v>
      </c>
      <c r="S66" s="3" t="n">
        <v>131.02576</v>
      </c>
    </row>
    <row r="67" customFormat="false" ht="15" hidden="false" customHeight="false" outlineLevel="0" collapsed="false">
      <c r="B67" s="0" t="s">
        <v>118</v>
      </c>
      <c r="C67" s="2" t="n">
        <v>39813</v>
      </c>
      <c r="D67" s="3" t="n">
        <v>125.16881</v>
      </c>
      <c r="E67" s="3" t="n">
        <v>79.39646</v>
      </c>
      <c r="F67" s="3" t="n">
        <v>79.54291</v>
      </c>
      <c r="G67" s="3" t="n">
        <v>104.38528</v>
      </c>
      <c r="H67" s="3" t="n">
        <v>118.48942</v>
      </c>
      <c r="I67" s="3" t="n">
        <v>121.37018</v>
      </c>
      <c r="J67" s="3" t="n">
        <v>129.50512</v>
      </c>
      <c r="K67" s="3" t="n">
        <v>126.03383</v>
      </c>
      <c r="L67" s="3" t="n">
        <v>134.54159</v>
      </c>
      <c r="M67" s="3" t="n">
        <v>149.33868</v>
      </c>
      <c r="N67" s="3" t="n">
        <v>150.46493</v>
      </c>
      <c r="O67" s="3" t="n">
        <v>128.64941</v>
      </c>
      <c r="P67" s="3" t="n">
        <v>123.61003</v>
      </c>
      <c r="Q67" s="3" t="n">
        <v>126.63382</v>
      </c>
      <c r="R67" s="3" t="n">
        <v>122.04311</v>
      </c>
      <c r="S67" s="3" t="n">
        <v>134.15255</v>
      </c>
    </row>
    <row r="68" customFormat="false" ht="15" hidden="false" customHeight="false" outlineLevel="0" collapsed="false">
      <c r="B68" s="0" t="s">
        <v>119</v>
      </c>
      <c r="C68" s="2" t="n">
        <v>39844</v>
      </c>
      <c r="D68" s="3" t="n">
        <v>124.2895</v>
      </c>
      <c r="E68" s="3" t="n">
        <v>58.55011</v>
      </c>
      <c r="F68" s="3" t="n">
        <v>34.84538</v>
      </c>
      <c r="G68" s="3" t="n">
        <v>104.92022</v>
      </c>
      <c r="H68" s="3" t="n">
        <v>105.19123</v>
      </c>
      <c r="I68" s="3" t="n">
        <v>124.30868</v>
      </c>
      <c r="J68" s="3" t="n">
        <v>125.99261</v>
      </c>
      <c r="K68" s="3" t="n">
        <v>120.26612</v>
      </c>
      <c r="L68" s="3" t="n">
        <v>146.41677</v>
      </c>
      <c r="M68" s="3" t="n">
        <v>146.82269</v>
      </c>
      <c r="N68" s="3" t="n">
        <v>152.42089</v>
      </c>
      <c r="O68" s="3" t="n">
        <v>116.23294</v>
      </c>
      <c r="P68" s="3" t="n">
        <v>118.98874</v>
      </c>
      <c r="Q68" s="3" t="n">
        <v>121.22617</v>
      </c>
      <c r="R68" s="3" t="n">
        <v>131.75328</v>
      </c>
      <c r="S68" s="3" t="n">
        <v>136.33252</v>
      </c>
    </row>
    <row r="69" customFormat="false" ht="15" hidden="false" customHeight="false" outlineLevel="0" collapsed="false">
      <c r="B69" s="0" t="s">
        <v>120</v>
      </c>
      <c r="C69" s="2" t="n">
        <v>39872</v>
      </c>
      <c r="D69" s="3" t="n">
        <v>126.22969</v>
      </c>
      <c r="E69" s="3" t="n">
        <v>62.70701</v>
      </c>
      <c r="F69" s="3" t="n">
        <v>53.18348</v>
      </c>
      <c r="G69" s="3" t="n">
        <v>97.66844</v>
      </c>
      <c r="H69" s="3" t="n">
        <v>103.25427</v>
      </c>
      <c r="I69" s="3" t="n">
        <v>113.49132</v>
      </c>
      <c r="J69" s="3" t="n">
        <v>126.56238</v>
      </c>
      <c r="K69" s="3" t="n">
        <v>117.65104</v>
      </c>
      <c r="L69" s="3" t="n">
        <v>140.20528</v>
      </c>
      <c r="M69" s="3" t="n">
        <v>142.49545</v>
      </c>
      <c r="N69" s="3" t="n">
        <v>145.76916</v>
      </c>
      <c r="O69" s="3" t="n">
        <v>117.40609</v>
      </c>
      <c r="P69" s="3" t="n">
        <v>120.88068</v>
      </c>
      <c r="Q69" s="3" t="n">
        <v>121.27729</v>
      </c>
      <c r="R69" s="3" t="n">
        <v>123.41542</v>
      </c>
      <c r="S69" s="3" t="n">
        <v>134.24128</v>
      </c>
    </row>
    <row r="70" customFormat="false" ht="15" hidden="false" customHeight="false" outlineLevel="0" collapsed="false">
      <c r="B70" s="0" t="s">
        <v>121</v>
      </c>
      <c r="C70" s="2" t="n">
        <v>39903</v>
      </c>
      <c r="D70" s="3" t="n">
        <v>123.45784</v>
      </c>
      <c r="E70" s="3" t="n">
        <v>107.09319</v>
      </c>
      <c r="F70" s="3" t="n">
        <v>130.07123</v>
      </c>
      <c r="G70" s="3" t="n">
        <v>107.0721</v>
      </c>
      <c r="H70" s="3" t="n">
        <v>117.24068</v>
      </c>
      <c r="I70" s="3" t="n">
        <v>123.53953</v>
      </c>
      <c r="J70" s="3" t="n">
        <v>127.48666</v>
      </c>
      <c r="K70" s="3" t="n">
        <v>137.40331</v>
      </c>
      <c r="L70" s="3" t="n">
        <v>133.27104</v>
      </c>
      <c r="M70" s="3" t="n">
        <v>150.89527</v>
      </c>
      <c r="N70" s="3" t="n">
        <v>149.99451</v>
      </c>
      <c r="O70" s="3" t="n">
        <v>121.145</v>
      </c>
      <c r="P70" s="3" t="n">
        <v>121.17669</v>
      </c>
      <c r="Q70" s="3" t="n">
        <v>121.67568</v>
      </c>
      <c r="R70" s="3" t="n">
        <v>133.27848</v>
      </c>
      <c r="S70" s="3" t="n">
        <v>131.09912</v>
      </c>
    </row>
    <row r="71" customFormat="false" ht="15" hidden="false" customHeight="false" outlineLevel="0" collapsed="false">
      <c r="B71" s="0" t="s">
        <v>122</v>
      </c>
      <c r="C71" s="2" t="n">
        <v>39933</v>
      </c>
      <c r="D71" s="3" t="n">
        <v>121.77051</v>
      </c>
      <c r="E71" s="3" t="n">
        <v>131.07232</v>
      </c>
      <c r="F71" s="3" t="n">
        <v>154.14665</v>
      </c>
      <c r="G71" s="3" t="n">
        <v>102.09554</v>
      </c>
      <c r="H71" s="3" t="n">
        <v>119.35513</v>
      </c>
      <c r="I71" s="3" t="n">
        <v>115.48844</v>
      </c>
      <c r="J71" s="3" t="n">
        <v>122.06602</v>
      </c>
      <c r="K71" s="3" t="n">
        <v>129.50056</v>
      </c>
      <c r="L71" s="3" t="n">
        <v>133.07241</v>
      </c>
      <c r="M71" s="3" t="n">
        <v>154.77599</v>
      </c>
      <c r="N71" s="3" t="n">
        <v>149.27282</v>
      </c>
      <c r="O71" s="3" t="n">
        <v>120.43156</v>
      </c>
      <c r="P71" s="3" t="n">
        <v>119.10548</v>
      </c>
      <c r="Q71" s="3" t="n">
        <v>120.83437</v>
      </c>
      <c r="R71" s="3" t="n">
        <v>140.98607</v>
      </c>
      <c r="S71" s="3" t="n">
        <v>136.44365</v>
      </c>
    </row>
    <row r="72" customFormat="false" ht="15" hidden="false" customHeight="false" outlineLevel="0" collapsed="false">
      <c r="B72" s="0" t="s">
        <v>123</v>
      </c>
      <c r="C72" s="2" t="n">
        <v>39964</v>
      </c>
      <c r="D72" s="3" t="n">
        <v>121.10578</v>
      </c>
      <c r="E72" s="3" t="n">
        <v>187.01353</v>
      </c>
      <c r="F72" s="3" t="n">
        <v>179.42068</v>
      </c>
      <c r="G72" s="3" t="n">
        <v>104.00745</v>
      </c>
      <c r="H72" s="3" t="n">
        <v>120.74205</v>
      </c>
      <c r="I72" s="3" t="n">
        <v>121.93546</v>
      </c>
      <c r="J72" s="3" t="n">
        <v>121.64189</v>
      </c>
      <c r="K72" s="3" t="n">
        <v>128.6443</v>
      </c>
      <c r="L72" s="3" t="n">
        <v>129.25188</v>
      </c>
      <c r="M72" s="3" t="n">
        <v>159.66237</v>
      </c>
      <c r="N72" s="3" t="n">
        <v>149.0496</v>
      </c>
      <c r="O72" s="3" t="n">
        <v>121.13459</v>
      </c>
      <c r="P72" s="3" t="n">
        <v>121.00533</v>
      </c>
      <c r="Q72" s="3" t="n">
        <v>123.14612</v>
      </c>
      <c r="R72" s="3" t="n">
        <v>143.87056</v>
      </c>
      <c r="S72" s="3" t="n">
        <v>137.48234</v>
      </c>
    </row>
    <row r="73" customFormat="false" ht="15" hidden="false" customHeight="false" outlineLevel="0" collapsed="false">
      <c r="B73" s="0" t="s">
        <v>124</v>
      </c>
      <c r="C73" s="2" t="n">
        <v>39994</v>
      </c>
      <c r="D73" s="3" t="n">
        <v>122.54345</v>
      </c>
      <c r="E73" s="3" t="n">
        <v>129.43471</v>
      </c>
      <c r="F73" s="3" t="n">
        <v>125.08378</v>
      </c>
      <c r="G73" s="3" t="n">
        <v>100.34862</v>
      </c>
      <c r="H73" s="3" t="n">
        <v>120.03731</v>
      </c>
      <c r="I73" s="3" t="n">
        <v>129.85826</v>
      </c>
      <c r="J73" s="3" t="n">
        <v>121.74694</v>
      </c>
      <c r="K73" s="3" t="n">
        <v>132.88544</v>
      </c>
      <c r="L73" s="3" t="n">
        <v>126.9389</v>
      </c>
      <c r="M73" s="3" t="n">
        <v>156.78493</v>
      </c>
      <c r="N73" s="3" t="n">
        <v>153.87433</v>
      </c>
      <c r="O73" s="3" t="n">
        <v>123.94397</v>
      </c>
      <c r="P73" s="3" t="n">
        <v>122.67577</v>
      </c>
      <c r="Q73" s="3" t="n">
        <v>126.24965</v>
      </c>
      <c r="R73" s="3" t="n">
        <v>144.13332</v>
      </c>
      <c r="S73" s="3" t="n">
        <v>137.62645</v>
      </c>
    </row>
    <row r="74" customFormat="false" ht="15" hidden="false" customHeight="false" outlineLevel="0" collapsed="false">
      <c r="B74" s="0" t="s">
        <v>125</v>
      </c>
      <c r="C74" s="2" t="n">
        <v>40025</v>
      </c>
      <c r="D74" s="3" t="n">
        <v>124.75464</v>
      </c>
      <c r="E74" s="3" t="n">
        <v>89.27759</v>
      </c>
      <c r="F74" s="3" t="n">
        <v>96.40436</v>
      </c>
      <c r="G74" s="3" t="n">
        <v>103.15891</v>
      </c>
      <c r="H74" s="3" t="n">
        <v>124.92474</v>
      </c>
      <c r="I74" s="3" t="n">
        <v>130.82581</v>
      </c>
      <c r="J74" s="3" t="n">
        <v>133.13331</v>
      </c>
      <c r="K74" s="3" t="n">
        <v>135.41131</v>
      </c>
      <c r="L74" s="3" t="n">
        <v>128.20027</v>
      </c>
      <c r="M74" s="3" t="n">
        <v>152.93957</v>
      </c>
      <c r="N74" s="3" t="n">
        <v>148.30136</v>
      </c>
      <c r="O74" s="3" t="n">
        <v>121.54044</v>
      </c>
      <c r="P74" s="3" t="n">
        <v>125.27834</v>
      </c>
      <c r="Q74" s="3" t="n">
        <v>128.0803</v>
      </c>
      <c r="R74" s="3" t="n">
        <v>139.58517</v>
      </c>
      <c r="S74" s="3" t="n">
        <v>142.76372</v>
      </c>
    </row>
    <row r="75" customFormat="false" ht="15" hidden="false" customHeight="false" outlineLevel="0" collapsed="false">
      <c r="B75" s="0" t="s">
        <v>126</v>
      </c>
      <c r="C75" s="2" t="n">
        <v>40056</v>
      </c>
      <c r="D75" s="3" t="n">
        <v>126.7923</v>
      </c>
      <c r="E75" s="3" t="n">
        <v>64.71539</v>
      </c>
      <c r="F75" s="3" t="n">
        <v>148.11397</v>
      </c>
      <c r="G75" s="3" t="n">
        <v>93.87471</v>
      </c>
      <c r="H75" s="3" t="n">
        <v>125.41001</v>
      </c>
      <c r="I75" s="3" t="n">
        <v>120.69719</v>
      </c>
      <c r="J75" s="3" t="n">
        <v>132.86596</v>
      </c>
      <c r="K75" s="3" t="n">
        <v>132.06273</v>
      </c>
      <c r="L75" s="3" t="n">
        <v>129.63058</v>
      </c>
      <c r="M75" s="3" t="n">
        <v>151.22961</v>
      </c>
      <c r="N75" s="3" t="n">
        <v>150.27918</v>
      </c>
      <c r="O75" s="3" t="n">
        <v>122.72013</v>
      </c>
      <c r="P75" s="3" t="n">
        <v>125.5244</v>
      </c>
      <c r="Q75" s="3" t="n">
        <v>128.54416</v>
      </c>
      <c r="R75" s="3" t="n">
        <v>142.92644</v>
      </c>
      <c r="S75" s="3" t="n">
        <v>142.72815</v>
      </c>
    </row>
    <row r="76" customFormat="false" ht="15" hidden="false" customHeight="false" outlineLevel="0" collapsed="false">
      <c r="B76" s="0" t="s">
        <v>127</v>
      </c>
      <c r="C76" s="2" t="n">
        <v>40086</v>
      </c>
      <c r="D76" s="3" t="n">
        <v>128.17867</v>
      </c>
      <c r="E76" s="3" t="n">
        <v>63.0563</v>
      </c>
      <c r="F76" s="3" t="n">
        <v>148.60768</v>
      </c>
      <c r="G76" s="3" t="n">
        <v>100.19597</v>
      </c>
      <c r="H76" s="3" t="n">
        <v>126.60793</v>
      </c>
      <c r="I76" s="3" t="n">
        <v>116.35778</v>
      </c>
      <c r="J76" s="3" t="n">
        <v>133.30444</v>
      </c>
      <c r="K76" s="3" t="n">
        <v>138.35082</v>
      </c>
      <c r="L76" s="3" t="n">
        <v>133.84814</v>
      </c>
      <c r="M76" s="3" t="n">
        <v>151.80212</v>
      </c>
      <c r="N76" s="3" t="n">
        <v>153.103</v>
      </c>
      <c r="O76" s="3" t="n">
        <v>123.72933</v>
      </c>
      <c r="P76" s="3" t="n">
        <v>126.95438</v>
      </c>
      <c r="Q76" s="3" t="n">
        <v>130.4684</v>
      </c>
      <c r="R76" s="3" t="n">
        <v>140.68605</v>
      </c>
      <c r="S76" s="3" t="n">
        <v>141.19617</v>
      </c>
    </row>
    <row r="77" customFormat="false" ht="15" hidden="false" customHeight="false" outlineLevel="0" collapsed="false">
      <c r="B77" s="0" t="s">
        <v>128</v>
      </c>
      <c r="C77" s="2" t="n">
        <v>40117</v>
      </c>
      <c r="D77" s="3" t="n">
        <v>129.20725</v>
      </c>
      <c r="E77" s="3" t="n">
        <v>62.25635</v>
      </c>
      <c r="F77" s="3" t="n">
        <v>116.24535</v>
      </c>
      <c r="G77" s="3" t="n">
        <v>104.92291</v>
      </c>
      <c r="H77" s="3" t="n">
        <v>133.75188</v>
      </c>
      <c r="I77" s="3" t="n">
        <v>115.25899</v>
      </c>
      <c r="J77" s="3" t="n">
        <v>131.41324</v>
      </c>
      <c r="K77" s="3" t="n">
        <v>139.52278</v>
      </c>
      <c r="L77" s="3" t="n">
        <v>142.42034</v>
      </c>
      <c r="M77" s="3" t="n">
        <v>154.80998</v>
      </c>
      <c r="N77" s="3" t="n">
        <v>149.42292</v>
      </c>
      <c r="O77" s="3" t="n">
        <v>123.44279</v>
      </c>
      <c r="P77" s="3" t="n">
        <v>126.32223</v>
      </c>
      <c r="Q77" s="3" t="n">
        <v>130.17821</v>
      </c>
      <c r="R77" s="3" t="n">
        <v>134.16398</v>
      </c>
      <c r="S77" s="3" t="n">
        <v>138.5284</v>
      </c>
    </row>
    <row r="78" customFormat="false" ht="15" hidden="false" customHeight="false" outlineLevel="0" collapsed="false">
      <c r="B78" s="0" t="s">
        <v>129</v>
      </c>
      <c r="C78" s="2" t="n">
        <v>40147</v>
      </c>
      <c r="D78" s="3" t="n">
        <v>129.72978</v>
      </c>
      <c r="E78" s="3" t="n">
        <v>76.30145</v>
      </c>
      <c r="F78" s="3" t="n">
        <v>80.85368</v>
      </c>
      <c r="G78" s="3" t="n">
        <v>98.98985</v>
      </c>
      <c r="H78" s="3" t="n">
        <v>130.62056</v>
      </c>
      <c r="I78" s="3" t="n">
        <v>114.36469</v>
      </c>
      <c r="J78" s="3" t="n">
        <v>131.43286</v>
      </c>
      <c r="K78" s="3" t="n">
        <v>138.41927</v>
      </c>
      <c r="L78" s="3" t="n">
        <v>142.59641</v>
      </c>
      <c r="M78" s="3" t="n">
        <v>154.37512</v>
      </c>
      <c r="N78" s="3" t="n">
        <v>149.46153</v>
      </c>
      <c r="O78" s="3" t="n">
        <v>124.60679</v>
      </c>
      <c r="P78" s="3" t="n">
        <v>127.26532</v>
      </c>
      <c r="Q78" s="3" t="n">
        <v>131.00839</v>
      </c>
      <c r="R78" s="3" t="n">
        <v>134.51406</v>
      </c>
      <c r="S78" s="3" t="n">
        <v>138.42491</v>
      </c>
    </row>
    <row r="79" customFormat="false" ht="15" hidden="false" customHeight="false" outlineLevel="0" collapsed="false">
      <c r="B79" s="0" t="s">
        <v>130</v>
      </c>
      <c r="C79" s="2" t="n">
        <v>40178</v>
      </c>
      <c r="D79" s="3" t="n">
        <v>128.07244</v>
      </c>
      <c r="E79" s="3" t="n">
        <v>72.4782</v>
      </c>
      <c r="F79" s="3" t="n">
        <v>76.17508</v>
      </c>
      <c r="G79" s="3" t="n">
        <v>101.89216</v>
      </c>
      <c r="H79" s="3" t="n">
        <v>126.19625</v>
      </c>
      <c r="I79" s="3" t="n">
        <v>115.6474</v>
      </c>
      <c r="J79" s="3" t="n">
        <v>127.36768</v>
      </c>
      <c r="K79" s="3" t="n">
        <v>131.56071</v>
      </c>
      <c r="L79" s="3" t="n">
        <v>142.05162</v>
      </c>
      <c r="M79" s="3" t="n">
        <v>155.65149</v>
      </c>
      <c r="N79" s="3" t="n">
        <v>151.39096</v>
      </c>
      <c r="O79" s="3" t="n">
        <v>128.82137</v>
      </c>
      <c r="P79" s="3" t="n">
        <v>128.59687</v>
      </c>
      <c r="Q79" s="3" t="n">
        <v>132.21059</v>
      </c>
      <c r="R79" s="3" t="n">
        <v>130.05422</v>
      </c>
      <c r="S79" s="3" t="n">
        <v>140.84804</v>
      </c>
    </row>
    <row r="80" customFormat="false" ht="15" hidden="false" customHeight="false" outlineLevel="0" collapsed="false">
      <c r="B80" s="0" t="s">
        <v>131</v>
      </c>
      <c r="C80" s="2" t="n">
        <v>40209</v>
      </c>
      <c r="D80" s="3" t="n">
        <v>131.72001</v>
      </c>
      <c r="E80" s="3" t="n">
        <v>56.01883</v>
      </c>
      <c r="F80" s="3" t="n">
        <v>21.87595</v>
      </c>
      <c r="G80" s="3" t="n">
        <v>103.62415</v>
      </c>
      <c r="H80" s="3" t="n">
        <v>115.15503</v>
      </c>
      <c r="I80" s="3" t="n">
        <v>124.13139</v>
      </c>
      <c r="J80" s="3" t="n">
        <v>133.22835</v>
      </c>
      <c r="K80" s="3" t="n">
        <v>126.1397</v>
      </c>
      <c r="L80" s="3" t="n">
        <v>156.74286</v>
      </c>
      <c r="M80" s="3" t="n">
        <v>156.11257</v>
      </c>
      <c r="N80" s="3" t="n">
        <v>148.76434</v>
      </c>
      <c r="O80" s="3" t="n">
        <v>120.26391</v>
      </c>
      <c r="P80" s="3" t="n">
        <v>126.62219</v>
      </c>
      <c r="Q80" s="3" t="n">
        <v>127.5877</v>
      </c>
      <c r="R80" s="3" t="n">
        <v>136.42044</v>
      </c>
      <c r="S80" s="3" t="n">
        <v>145.74326</v>
      </c>
    </row>
    <row r="81" customFormat="false" ht="15" hidden="false" customHeight="false" outlineLevel="0" collapsed="false">
      <c r="B81" s="0" t="s">
        <v>132</v>
      </c>
      <c r="C81" s="2" t="n">
        <v>40237</v>
      </c>
      <c r="D81" s="3" t="n">
        <v>133.12326</v>
      </c>
      <c r="E81" s="3" t="n">
        <v>64.67635</v>
      </c>
      <c r="F81" s="3" t="n">
        <v>57.00376</v>
      </c>
      <c r="G81" s="3" t="n">
        <v>98.59075</v>
      </c>
      <c r="H81" s="3" t="n">
        <v>111.43871</v>
      </c>
      <c r="I81" s="3" t="n">
        <v>114.99657</v>
      </c>
      <c r="J81" s="3" t="n">
        <v>135.49078</v>
      </c>
      <c r="K81" s="3" t="n">
        <v>125.50303</v>
      </c>
      <c r="L81" s="3" t="n">
        <v>150.24617</v>
      </c>
      <c r="M81" s="3" t="n">
        <v>150.3208</v>
      </c>
      <c r="N81" s="3" t="n">
        <v>143.88753</v>
      </c>
      <c r="O81" s="3" t="n">
        <v>122.31814</v>
      </c>
      <c r="P81" s="3" t="n">
        <v>127.29933</v>
      </c>
      <c r="Q81" s="3" t="n">
        <v>128.30565</v>
      </c>
      <c r="R81" s="3" t="n">
        <v>129.68857</v>
      </c>
      <c r="S81" s="3" t="n">
        <v>142.91728</v>
      </c>
    </row>
    <row r="82" customFormat="false" ht="15" hidden="false" customHeight="false" outlineLevel="0" collapsed="false">
      <c r="B82" s="0" t="s">
        <v>133</v>
      </c>
      <c r="C82" s="2" t="n">
        <v>40268</v>
      </c>
      <c r="D82" s="3" t="n">
        <v>133.97039</v>
      </c>
      <c r="E82" s="3" t="n">
        <v>132.68326</v>
      </c>
      <c r="F82" s="3" t="n">
        <v>107.62323</v>
      </c>
      <c r="G82" s="3" t="n">
        <v>106.71996</v>
      </c>
      <c r="H82" s="3" t="n">
        <v>132.32417</v>
      </c>
      <c r="I82" s="3" t="n">
        <v>125.0452</v>
      </c>
      <c r="J82" s="3" t="n">
        <v>138.56826</v>
      </c>
      <c r="K82" s="3" t="n">
        <v>152.80121</v>
      </c>
      <c r="L82" s="3" t="n">
        <v>144.99973</v>
      </c>
      <c r="M82" s="3" t="n">
        <v>162.37765</v>
      </c>
      <c r="N82" s="3" t="n">
        <v>151.16545</v>
      </c>
      <c r="O82" s="3" t="n">
        <v>126.8045</v>
      </c>
      <c r="P82" s="3" t="n">
        <v>126.92718</v>
      </c>
      <c r="Q82" s="3" t="n">
        <v>128.85141</v>
      </c>
      <c r="R82" s="3" t="n">
        <v>139.74239</v>
      </c>
      <c r="S82" s="3" t="n">
        <v>140.34197</v>
      </c>
    </row>
    <row r="83" customFormat="false" ht="15" hidden="false" customHeight="false" outlineLevel="0" collapsed="false">
      <c r="B83" s="0" t="s">
        <v>134</v>
      </c>
      <c r="C83" s="2" t="n">
        <v>40298</v>
      </c>
      <c r="D83" s="3" t="n">
        <v>136.86532</v>
      </c>
      <c r="E83" s="3" t="n">
        <v>232.44862</v>
      </c>
      <c r="F83" s="3" t="n">
        <v>92.05784</v>
      </c>
      <c r="G83" s="3" t="n">
        <v>103.74503</v>
      </c>
      <c r="H83" s="3" t="n">
        <v>132.98049</v>
      </c>
      <c r="I83" s="3" t="n">
        <v>114.698</v>
      </c>
      <c r="J83" s="3" t="n">
        <v>139.77889</v>
      </c>
      <c r="K83" s="3" t="n">
        <v>145.21374</v>
      </c>
      <c r="L83" s="3" t="n">
        <v>141.98045</v>
      </c>
      <c r="M83" s="3" t="n">
        <v>169.65268</v>
      </c>
      <c r="N83" s="3" t="n">
        <v>149.26112</v>
      </c>
      <c r="O83" s="3" t="n">
        <v>126.39803</v>
      </c>
      <c r="P83" s="3" t="n">
        <v>126.60834</v>
      </c>
      <c r="Q83" s="3" t="n">
        <v>129.32946</v>
      </c>
      <c r="R83" s="3" t="n">
        <v>147.10104</v>
      </c>
      <c r="S83" s="3" t="n">
        <v>141.50041</v>
      </c>
    </row>
    <row r="84" customFormat="false" ht="15" hidden="false" customHeight="false" outlineLevel="0" collapsed="false">
      <c r="B84" s="0" t="s">
        <v>135</v>
      </c>
      <c r="C84" s="2" t="n">
        <v>40329</v>
      </c>
      <c r="D84" s="3" t="n">
        <v>139.19129</v>
      </c>
      <c r="E84" s="3" t="n">
        <v>351.01806</v>
      </c>
      <c r="F84" s="3" t="n">
        <v>165.26494</v>
      </c>
      <c r="G84" s="3" t="n">
        <v>105.99494</v>
      </c>
      <c r="H84" s="3" t="n">
        <v>135.83994</v>
      </c>
      <c r="I84" s="3" t="n">
        <v>122.22695</v>
      </c>
      <c r="J84" s="3" t="n">
        <v>139.17218</v>
      </c>
      <c r="K84" s="3" t="n">
        <v>147.20022</v>
      </c>
      <c r="L84" s="3" t="n">
        <v>138.3492</v>
      </c>
      <c r="M84" s="3" t="n">
        <v>181.20534</v>
      </c>
      <c r="N84" s="3" t="n">
        <v>151.0788</v>
      </c>
      <c r="O84" s="3" t="n">
        <v>126.85021</v>
      </c>
      <c r="P84" s="3" t="n">
        <v>127.45071</v>
      </c>
      <c r="Q84" s="3" t="n">
        <v>130.67897</v>
      </c>
      <c r="R84" s="3" t="n">
        <v>149.53182</v>
      </c>
      <c r="S84" s="3" t="n">
        <v>144.55629</v>
      </c>
    </row>
    <row r="85" customFormat="false" ht="15" hidden="false" customHeight="false" outlineLevel="0" collapsed="false">
      <c r="B85" s="0" t="s">
        <v>136</v>
      </c>
      <c r="C85" s="2" t="n">
        <v>40359</v>
      </c>
      <c r="D85" s="3" t="n">
        <v>140.56871</v>
      </c>
      <c r="E85" s="3" t="n">
        <v>231.31112</v>
      </c>
      <c r="F85" s="3" t="n">
        <v>165.13657</v>
      </c>
      <c r="G85" s="3" t="n">
        <v>105.32556</v>
      </c>
      <c r="H85" s="3" t="n">
        <v>134.92884</v>
      </c>
      <c r="I85" s="3" t="n">
        <v>123.262</v>
      </c>
      <c r="J85" s="3" t="n">
        <v>139.20843</v>
      </c>
      <c r="K85" s="3" t="n">
        <v>151.04527</v>
      </c>
      <c r="L85" s="3" t="n">
        <v>136.31664</v>
      </c>
      <c r="M85" s="3" t="n">
        <v>174.17172</v>
      </c>
      <c r="N85" s="3" t="n">
        <v>157.59376</v>
      </c>
      <c r="O85" s="3" t="n">
        <v>129.77639</v>
      </c>
      <c r="P85" s="3" t="n">
        <v>129.14916</v>
      </c>
      <c r="Q85" s="3" t="n">
        <v>133.62993</v>
      </c>
      <c r="R85" s="3" t="n">
        <v>153.62914</v>
      </c>
      <c r="S85" s="3" t="n">
        <v>144.7401</v>
      </c>
    </row>
    <row r="86" customFormat="false" ht="15" hidden="false" customHeight="false" outlineLevel="0" collapsed="false">
      <c r="B86" s="0" t="s">
        <v>137</v>
      </c>
      <c r="C86" s="2" t="n">
        <v>40390</v>
      </c>
      <c r="D86" s="3" t="n">
        <v>139.39691</v>
      </c>
      <c r="E86" s="3" t="n">
        <v>108.79993</v>
      </c>
      <c r="F86" s="3" t="n">
        <v>182.14913</v>
      </c>
      <c r="G86" s="3" t="n">
        <v>107.074</v>
      </c>
      <c r="H86" s="3" t="n">
        <v>137.56758</v>
      </c>
      <c r="I86" s="3" t="n">
        <v>130.71289</v>
      </c>
      <c r="J86" s="3" t="n">
        <v>143.70378</v>
      </c>
      <c r="K86" s="3" t="n">
        <v>150.81996</v>
      </c>
      <c r="L86" s="3" t="n">
        <v>151.32398</v>
      </c>
      <c r="M86" s="3" t="n">
        <v>168.8645</v>
      </c>
      <c r="N86" s="3" t="n">
        <v>146.25228</v>
      </c>
      <c r="O86" s="3" t="n">
        <v>128.12131</v>
      </c>
      <c r="P86" s="3" t="n">
        <v>127.37046</v>
      </c>
      <c r="Q86" s="3" t="n">
        <v>131.46611</v>
      </c>
      <c r="R86" s="3" t="n">
        <v>147.80475</v>
      </c>
      <c r="S86" s="3" t="n">
        <v>161.30601</v>
      </c>
    </row>
    <row r="87" customFormat="false" ht="15" hidden="false" customHeight="false" outlineLevel="0" collapsed="false">
      <c r="B87" s="0" t="s">
        <v>138</v>
      </c>
      <c r="C87" s="2" t="n">
        <v>40421</v>
      </c>
      <c r="D87" s="3" t="n">
        <v>140.00233</v>
      </c>
      <c r="E87" s="3" t="n">
        <v>65.88319</v>
      </c>
      <c r="F87" s="3" t="n">
        <v>164.52301</v>
      </c>
      <c r="G87" s="3" t="n">
        <v>106.96708</v>
      </c>
      <c r="H87" s="3" t="n">
        <v>141.99986</v>
      </c>
      <c r="I87" s="3" t="n">
        <v>127.94687</v>
      </c>
      <c r="J87" s="3" t="n">
        <v>146.3669</v>
      </c>
      <c r="K87" s="3" t="n">
        <v>155.6929</v>
      </c>
      <c r="L87" s="3" t="n">
        <v>148.02375</v>
      </c>
      <c r="M87" s="3" t="n">
        <v>167.60949</v>
      </c>
      <c r="N87" s="3" t="n">
        <v>151.1991</v>
      </c>
      <c r="O87" s="3" t="n">
        <v>129.64634</v>
      </c>
      <c r="P87" s="3" t="n">
        <v>127.51645</v>
      </c>
      <c r="Q87" s="3" t="n">
        <v>131.62517</v>
      </c>
      <c r="R87" s="3" t="n">
        <v>146.72869</v>
      </c>
      <c r="S87" s="3" t="n">
        <v>148.33672</v>
      </c>
    </row>
    <row r="88" customFormat="false" ht="15" hidden="false" customHeight="false" outlineLevel="0" collapsed="false">
      <c r="B88" s="0" t="s">
        <v>139</v>
      </c>
      <c r="C88" s="2" t="n">
        <v>40451</v>
      </c>
      <c r="D88" s="3" t="n">
        <v>139.38548</v>
      </c>
      <c r="E88" s="3" t="n">
        <v>62.24432</v>
      </c>
      <c r="F88" s="3" t="n">
        <v>181.35571</v>
      </c>
      <c r="G88" s="3" t="n">
        <v>103.22263</v>
      </c>
      <c r="H88" s="3" t="n">
        <v>141.63377</v>
      </c>
      <c r="I88" s="3" t="n">
        <v>118.09139</v>
      </c>
      <c r="J88" s="3" t="n">
        <v>148.74256</v>
      </c>
      <c r="K88" s="3" t="n">
        <v>156.71794</v>
      </c>
      <c r="L88" s="3" t="n">
        <v>150.41602</v>
      </c>
      <c r="M88" s="3" t="n">
        <v>165.70629</v>
      </c>
      <c r="N88" s="3" t="n">
        <v>150.7847</v>
      </c>
      <c r="O88" s="3" t="n">
        <v>131.04464</v>
      </c>
      <c r="P88" s="3" t="n">
        <v>127.88455</v>
      </c>
      <c r="Q88" s="3" t="n">
        <v>131.7563</v>
      </c>
      <c r="R88" s="3" t="n">
        <v>144.55641</v>
      </c>
      <c r="S88" s="3" t="n">
        <v>143.76256</v>
      </c>
    </row>
    <row r="89" customFormat="false" ht="15" hidden="false" customHeight="false" outlineLevel="0" collapsed="false">
      <c r="B89" s="0" t="s">
        <v>140</v>
      </c>
      <c r="C89" s="2" t="n">
        <v>40482</v>
      </c>
      <c r="D89" s="3" t="n">
        <v>140.18864</v>
      </c>
      <c r="E89" s="3" t="n">
        <v>66.21698</v>
      </c>
      <c r="F89" s="3" t="n">
        <v>93.29197</v>
      </c>
      <c r="G89" s="3" t="n">
        <v>103.2743</v>
      </c>
      <c r="H89" s="3" t="n">
        <v>145.56468</v>
      </c>
      <c r="I89" s="3" t="n">
        <v>118.44288</v>
      </c>
      <c r="J89" s="3" t="n">
        <v>138.73948</v>
      </c>
      <c r="K89" s="3" t="n">
        <v>155.40844</v>
      </c>
      <c r="L89" s="3" t="n">
        <v>154.1943</v>
      </c>
      <c r="M89" s="3" t="n">
        <v>166.71581</v>
      </c>
      <c r="N89" s="3" t="n">
        <v>149.23945</v>
      </c>
      <c r="O89" s="3" t="n">
        <v>129.69302</v>
      </c>
      <c r="P89" s="3" t="n">
        <v>128.24643</v>
      </c>
      <c r="Q89" s="3" t="n">
        <v>131.51535</v>
      </c>
      <c r="R89" s="3" t="n">
        <v>139.20061</v>
      </c>
      <c r="S89" s="3" t="n">
        <v>142.70687</v>
      </c>
    </row>
    <row r="90" customFormat="false" ht="15" hidden="false" customHeight="false" outlineLevel="0" collapsed="false">
      <c r="B90" s="0" t="s">
        <v>141</v>
      </c>
      <c r="C90" s="2" t="n">
        <v>40512</v>
      </c>
      <c r="D90" s="3" t="n">
        <v>142.24157</v>
      </c>
      <c r="E90" s="3" t="n">
        <v>85.84106</v>
      </c>
      <c r="F90" s="3" t="n">
        <v>72.75389</v>
      </c>
      <c r="G90" s="3" t="n">
        <v>101.50728</v>
      </c>
      <c r="H90" s="3" t="n">
        <v>145.08496</v>
      </c>
      <c r="I90" s="3" t="n">
        <v>117.00008</v>
      </c>
      <c r="J90" s="3" t="n">
        <v>142.07103</v>
      </c>
      <c r="K90" s="3" t="n">
        <v>164.91353</v>
      </c>
      <c r="L90" s="3" t="n">
        <v>155.94638</v>
      </c>
      <c r="M90" s="3" t="n">
        <v>166.71256</v>
      </c>
      <c r="N90" s="3" t="n">
        <v>154.38004</v>
      </c>
      <c r="O90" s="3" t="n">
        <v>133.55824</v>
      </c>
      <c r="P90" s="3" t="n">
        <v>129.23933</v>
      </c>
      <c r="Q90" s="3" t="n">
        <v>132.37731</v>
      </c>
      <c r="R90" s="3" t="n">
        <v>139.65627</v>
      </c>
      <c r="S90" s="3" t="n">
        <v>145.39445</v>
      </c>
    </row>
    <row r="91" customFormat="false" ht="15" hidden="false" customHeight="false" outlineLevel="0" collapsed="false">
      <c r="B91" s="0" t="s">
        <v>142</v>
      </c>
      <c r="C91" s="2" t="n">
        <v>40543</v>
      </c>
      <c r="D91" s="3" t="n">
        <v>141.97979</v>
      </c>
      <c r="E91" s="3" t="n">
        <v>101.36221</v>
      </c>
      <c r="F91" s="3" t="n">
        <v>76.78538</v>
      </c>
      <c r="G91" s="3" t="n">
        <v>92.28962</v>
      </c>
      <c r="H91" s="3" t="n">
        <v>137.34264</v>
      </c>
      <c r="I91" s="3" t="n">
        <v>130.3302</v>
      </c>
      <c r="J91" s="3" t="n">
        <v>140.02872</v>
      </c>
      <c r="K91" s="3" t="n">
        <v>150.69449</v>
      </c>
      <c r="L91" s="3" t="n">
        <v>153.34018</v>
      </c>
      <c r="M91" s="3" t="n">
        <v>165.72048</v>
      </c>
      <c r="N91" s="3" t="n">
        <v>157.7885</v>
      </c>
      <c r="O91" s="3" t="n">
        <v>137.15282</v>
      </c>
      <c r="P91" s="3" t="n">
        <v>130.69773</v>
      </c>
      <c r="Q91" s="3" t="n">
        <v>133.86809</v>
      </c>
      <c r="R91" s="3" t="n">
        <v>135.51101</v>
      </c>
      <c r="S91" s="3" t="n">
        <v>145.54055</v>
      </c>
    </row>
    <row r="92" customFormat="false" ht="15" hidden="false" customHeight="false" outlineLevel="0" collapsed="false">
      <c r="B92" s="0" t="s">
        <v>143</v>
      </c>
      <c r="C92" s="2" t="n">
        <v>40574</v>
      </c>
      <c r="D92" s="3" t="n">
        <v>145.85115</v>
      </c>
      <c r="E92" s="3" t="n">
        <v>70.92886</v>
      </c>
      <c r="F92" s="3" t="n">
        <v>40.39553</v>
      </c>
      <c r="G92" s="3" t="n">
        <v>99.42726</v>
      </c>
      <c r="H92" s="3" t="n">
        <v>127.12641</v>
      </c>
      <c r="I92" s="3" t="n">
        <v>132.59669</v>
      </c>
      <c r="J92" s="3" t="n">
        <v>149.2881</v>
      </c>
      <c r="K92" s="3" t="n">
        <v>145.58576</v>
      </c>
      <c r="L92" s="3" t="n">
        <v>165.19937</v>
      </c>
      <c r="M92" s="3" t="n">
        <v>169.18512</v>
      </c>
      <c r="N92" s="3" t="n">
        <v>159.24717</v>
      </c>
      <c r="O92" s="3" t="n">
        <v>124.09558</v>
      </c>
      <c r="P92" s="3" t="n">
        <v>129.38689</v>
      </c>
      <c r="Q92" s="3" t="n">
        <v>130.14565</v>
      </c>
      <c r="R92" s="3" t="n">
        <v>145.39633</v>
      </c>
      <c r="S92" s="3" t="n">
        <v>153.06368</v>
      </c>
    </row>
    <row r="93" customFormat="false" ht="15" hidden="false" customHeight="false" outlineLevel="0" collapsed="false">
      <c r="B93" s="0" t="s">
        <v>144</v>
      </c>
      <c r="C93" s="2" t="n">
        <v>40602</v>
      </c>
      <c r="D93" s="3" t="n">
        <v>143.85332</v>
      </c>
      <c r="E93" s="3" t="n">
        <v>71.39902</v>
      </c>
      <c r="F93" s="3" t="n">
        <v>71.0993</v>
      </c>
      <c r="G93" s="3" t="n">
        <v>93.89886</v>
      </c>
      <c r="H93" s="3" t="n">
        <v>124.19082</v>
      </c>
      <c r="I93" s="3" t="n">
        <v>120.89072</v>
      </c>
      <c r="J93" s="3" t="n">
        <v>151.77651</v>
      </c>
      <c r="K93" s="3" t="n">
        <v>141.15349</v>
      </c>
      <c r="L93" s="3" t="n">
        <v>154.85384</v>
      </c>
      <c r="M93" s="3" t="n">
        <v>161.65064</v>
      </c>
      <c r="N93" s="3" t="n">
        <v>155.94532</v>
      </c>
      <c r="O93" s="3" t="n">
        <v>125.52429</v>
      </c>
      <c r="P93" s="3" t="n">
        <v>129.99665</v>
      </c>
      <c r="Q93" s="3" t="n">
        <v>131.05419</v>
      </c>
      <c r="R93" s="3" t="n">
        <v>138.11169</v>
      </c>
      <c r="S93" s="3" t="n">
        <v>148.382</v>
      </c>
    </row>
    <row r="94" customFormat="false" ht="15" hidden="false" customHeight="false" outlineLevel="0" collapsed="false">
      <c r="B94" s="0" t="s">
        <v>145</v>
      </c>
      <c r="C94" s="2" t="n">
        <v>40633</v>
      </c>
      <c r="D94" s="3" t="n">
        <v>144.86151</v>
      </c>
      <c r="E94" s="3" t="n">
        <v>139.76586</v>
      </c>
      <c r="F94" s="3" t="n">
        <v>126.00072</v>
      </c>
      <c r="G94" s="3" t="n">
        <v>101.56634</v>
      </c>
      <c r="H94" s="3" t="n">
        <v>145.23558</v>
      </c>
      <c r="I94" s="3" t="n">
        <v>129.82139</v>
      </c>
      <c r="J94" s="3" t="n">
        <v>154.68058</v>
      </c>
      <c r="K94" s="3" t="n">
        <v>171.3862</v>
      </c>
      <c r="L94" s="3" t="n">
        <v>154.09497</v>
      </c>
      <c r="M94" s="3" t="n">
        <v>174.30562</v>
      </c>
      <c r="N94" s="3" t="n">
        <v>160.17654</v>
      </c>
      <c r="O94" s="3" t="n">
        <v>128.88547</v>
      </c>
      <c r="P94" s="3" t="n">
        <v>129.80722</v>
      </c>
      <c r="Q94" s="3" t="n">
        <v>131.47875</v>
      </c>
      <c r="R94" s="3" t="n">
        <v>149.4864</v>
      </c>
      <c r="S94" s="3" t="n">
        <v>147.4497</v>
      </c>
    </row>
    <row r="95" customFormat="false" ht="15" hidden="false" customHeight="false" outlineLevel="0" collapsed="false">
      <c r="B95" s="0" t="s">
        <v>146</v>
      </c>
      <c r="C95" s="2" t="n">
        <v>40663</v>
      </c>
      <c r="D95" s="3" t="n">
        <v>144.92865</v>
      </c>
      <c r="E95" s="3" t="n">
        <v>215.24184</v>
      </c>
      <c r="F95" s="3" t="n">
        <v>121.91762</v>
      </c>
      <c r="G95" s="3" t="n">
        <v>87.86934</v>
      </c>
      <c r="H95" s="3" t="n">
        <v>143.28057</v>
      </c>
      <c r="I95" s="3" t="n">
        <v>117.95473</v>
      </c>
      <c r="J95" s="3" t="n">
        <v>150.13307</v>
      </c>
      <c r="K95" s="3" t="n">
        <v>160.97847</v>
      </c>
      <c r="L95" s="3" t="n">
        <v>151.79461</v>
      </c>
      <c r="M95" s="3" t="n">
        <v>178.42109</v>
      </c>
      <c r="N95" s="3" t="n">
        <v>158.8779</v>
      </c>
      <c r="O95" s="3" t="n">
        <v>131.05874</v>
      </c>
      <c r="P95" s="3" t="n">
        <v>129.59293</v>
      </c>
      <c r="Q95" s="3" t="n">
        <v>131.72734</v>
      </c>
      <c r="R95" s="3" t="n">
        <v>157.27862</v>
      </c>
      <c r="S95" s="3" t="n">
        <v>152.2508</v>
      </c>
    </row>
    <row r="96" customFormat="false" ht="15" hidden="false" customHeight="false" outlineLevel="0" collapsed="false">
      <c r="B96" s="0" t="s">
        <v>147</v>
      </c>
      <c r="C96" s="2" t="n">
        <v>40694</v>
      </c>
      <c r="D96" s="3" t="n">
        <v>147.18633</v>
      </c>
      <c r="E96" s="3" t="n">
        <v>315.76257</v>
      </c>
      <c r="F96" s="3" t="n">
        <v>114.15721</v>
      </c>
      <c r="G96" s="3" t="n">
        <v>93.55247</v>
      </c>
      <c r="H96" s="3" t="n">
        <v>151.49661</v>
      </c>
      <c r="I96" s="3" t="n">
        <v>127.52698</v>
      </c>
      <c r="J96" s="3" t="n">
        <v>152.92878</v>
      </c>
      <c r="K96" s="3" t="n">
        <v>169.6156</v>
      </c>
      <c r="L96" s="3" t="n">
        <v>148.61006</v>
      </c>
      <c r="M96" s="3" t="n">
        <v>188.96939</v>
      </c>
      <c r="N96" s="3" t="n">
        <v>163.8461</v>
      </c>
      <c r="O96" s="3" t="n">
        <v>134.50754</v>
      </c>
      <c r="P96" s="3" t="n">
        <v>130.15823</v>
      </c>
      <c r="Q96" s="3" t="n">
        <v>132.84018</v>
      </c>
      <c r="R96" s="3" t="n">
        <v>160.4641</v>
      </c>
      <c r="S96" s="3" t="n">
        <v>155.78237</v>
      </c>
    </row>
    <row r="97" customFormat="false" ht="15" hidden="false" customHeight="false" outlineLevel="0" collapsed="false">
      <c r="B97" s="0" t="s">
        <v>148</v>
      </c>
      <c r="C97" s="2" t="n">
        <v>40724</v>
      </c>
      <c r="D97" s="3" t="n">
        <v>146.80269</v>
      </c>
      <c r="E97" s="3" t="n">
        <v>211.20463</v>
      </c>
      <c r="F97" s="3" t="n">
        <v>194.08656</v>
      </c>
      <c r="G97" s="3" t="n">
        <v>91.96131</v>
      </c>
      <c r="H97" s="3" t="n">
        <v>149.38833</v>
      </c>
      <c r="I97" s="3" t="n">
        <v>130.40271</v>
      </c>
      <c r="J97" s="3" t="n">
        <v>152.46658</v>
      </c>
      <c r="K97" s="3" t="n">
        <v>170.76069</v>
      </c>
      <c r="L97" s="3" t="n">
        <v>146.26104</v>
      </c>
      <c r="M97" s="3" t="n">
        <v>181.18654</v>
      </c>
      <c r="N97" s="3" t="n">
        <v>169.00437</v>
      </c>
      <c r="O97" s="3" t="n">
        <v>137.96069</v>
      </c>
      <c r="P97" s="3" t="n">
        <v>132.25716</v>
      </c>
      <c r="Q97" s="3" t="n">
        <v>136.16715</v>
      </c>
      <c r="R97" s="3" t="n">
        <v>164.40586</v>
      </c>
      <c r="S97" s="3" t="n">
        <v>153.15998</v>
      </c>
    </row>
    <row r="98" customFormat="false" ht="15" hidden="false" customHeight="false" outlineLevel="0" collapsed="false">
      <c r="B98" s="0" t="s">
        <v>149</v>
      </c>
      <c r="C98" s="2" t="n">
        <v>40755</v>
      </c>
      <c r="D98" s="3" t="n">
        <v>147.15673</v>
      </c>
      <c r="E98" s="3" t="n">
        <v>106.38926</v>
      </c>
      <c r="F98" s="3" t="n">
        <v>153.69373</v>
      </c>
      <c r="G98" s="3" t="n">
        <v>97.54148</v>
      </c>
      <c r="H98" s="3" t="n">
        <v>147.86586</v>
      </c>
      <c r="I98" s="3" t="n">
        <v>135.54123</v>
      </c>
      <c r="J98" s="3" t="n">
        <v>158.44671</v>
      </c>
      <c r="K98" s="3" t="n">
        <v>163.91119</v>
      </c>
      <c r="L98" s="3" t="n">
        <v>158.88001</v>
      </c>
      <c r="M98" s="3" t="n">
        <v>175.85309</v>
      </c>
      <c r="N98" s="3" t="n">
        <v>162.79401</v>
      </c>
      <c r="O98" s="3" t="n">
        <v>135.07032</v>
      </c>
      <c r="P98" s="3" t="n">
        <v>132.72764</v>
      </c>
      <c r="Q98" s="3" t="n">
        <v>136.05697</v>
      </c>
      <c r="R98" s="3" t="n">
        <v>152.49343</v>
      </c>
      <c r="S98" s="3" t="n">
        <v>163.19632</v>
      </c>
    </row>
    <row r="99" customFormat="false" ht="15" hidden="false" customHeight="false" outlineLevel="0" collapsed="false">
      <c r="B99" s="0" t="s">
        <v>150</v>
      </c>
      <c r="C99" s="2" t="n">
        <v>40786</v>
      </c>
      <c r="D99" s="3" t="n">
        <v>146.95911</v>
      </c>
      <c r="E99" s="3" t="n">
        <v>69.22022</v>
      </c>
      <c r="F99" s="3" t="n">
        <v>177.63676</v>
      </c>
      <c r="G99" s="3" t="n">
        <v>101.44357</v>
      </c>
      <c r="H99" s="3" t="n">
        <v>150.55717</v>
      </c>
      <c r="I99" s="3" t="n">
        <v>133.79461</v>
      </c>
      <c r="J99" s="3" t="n">
        <v>160.28789</v>
      </c>
      <c r="K99" s="3" t="n">
        <v>173.68302</v>
      </c>
      <c r="L99" s="3" t="n">
        <v>154.73039</v>
      </c>
      <c r="M99" s="3" t="n">
        <v>176.63432</v>
      </c>
      <c r="N99" s="3" t="n">
        <v>172.17561</v>
      </c>
      <c r="O99" s="3" t="n">
        <v>136.40615</v>
      </c>
      <c r="P99" s="3" t="n">
        <v>133.41082</v>
      </c>
      <c r="Q99" s="3" t="n">
        <v>136.96963</v>
      </c>
      <c r="R99" s="3" t="n">
        <v>152.69666</v>
      </c>
      <c r="S99" s="3" t="n">
        <v>150.24747</v>
      </c>
    </row>
    <row r="100" customFormat="false" ht="15" hidden="false" customHeight="false" outlineLevel="0" collapsed="false">
      <c r="B100" s="0" t="s">
        <v>151</v>
      </c>
      <c r="C100" s="2" t="n">
        <v>40816</v>
      </c>
      <c r="D100" s="3" t="n">
        <v>148.26517</v>
      </c>
      <c r="E100" s="3" t="n">
        <v>66.00842</v>
      </c>
      <c r="F100" s="3" t="n">
        <v>151.42661</v>
      </c>
      <c r="G100" s="3" t="n">
        <v>99.13591</v>
      </c>
      <c r="H100" s="3" t="n">
        <v>152.97576</v>
      </c>
      <c r="I100" s="3" t="n">
        <v>120.01467</v>
      </c>
      <c r="J100" s="3" t="n">
        <v>162.60856</v>
      </c>
      <c r="K100" s="3" t="n">
        <v>176.84087</v>
      </c>
      <c r="L100" s="3" t="n">
        <v>159.17346</v>
      </c>
      <c r="M100" s="3" t="n">
        <v>175.71469</v>
      </c>
      <c r="N100" s="3" t="n">
        <v>172.49301</v>
      </c>
      <c r="O100" s="3" t="n">
        <v>136.73572</v>
      </c>
      <c r="P100" s="3" t="n">
        <v>133.88011</v>
      </c>
      <c r="Q100" s="3" t="n">
        <v>137.49466</v>
      </c>
      <c r="R100" s="3" t="n">
        <v>150.34476</v>
      </c>
      <c r="S100" s="3" t="n">
        <v>143.61343</v>
      </c>
    </row>
    <row r="101" customFormat="false" ht="15" hidden="false" customHeight="false" outlineLevel="0" collapsed="false">
      <c r="B101" s="0" t="s">
        <v>152</v>
      </c>
      <c r="C101" s="2" t="n">
        <v>40847</v>
      </c>
      <c r="D101" s="3" t="n">
        <v>147.29114</v>
      </c>
      <c r="E101" s="3" t="n">
        <v>68.28615</v>
      </c>
      <c r="F101" s="3" t="n">
        <v>149.531</v>
      </c>
      <c r="G101" s="3" t="n">
        <v>101.71533</v>
      </c>
      <c r="H101" s="3" t="n">
        <v>153.79986</v>
      </c>
      <c r="I101" s="3" t="n">
        <v>123.28808</v>
      </c>
      <c r="J101" s="3" t="n">
        <v>151.59301</v>
      </c>
      <c r="K101" s="3" t="n">
        <v>171.63206</v>
      </c>
      <c r="L101" s="3" t="n">
        <v>159.75297</v>
      </c>
      <c r="M101" s="3" t="n">
        <v>174.63023</v>
      </c>
      <c r="N101" s="3" t="n">
        <v>170.6511</v>
      </c>
      <c r="O101" s="3" t="n">
        <v>137.45861</v>
      </c>
      <c r="P101" s="3" t="n">
        <v>133.3206</v>
      </c>
      <c r="Q101" s="3" t="n">
        <v>137.39858</v>
      </c>
      <c r="R101" s="3" t="n">
        <v>144.47982</v>
      </c>
      <c r="S101" s="3" t="n">
        <v>150.50646</v>
      </c>
    </row>
    <row r="102" customFormat="false" ht="15" hidden="false" customHeight="false" outlineLevel="0" collapsed="false">
      <c r="B102" s="0" t="s">
        <v>153</v>
      </c>
      <c r="C102" s="2" t="n">
        <v>40877</v>
      </c>
      <c r="D102" s="3" t="n">
        <v>147.21589</v>
      </c>
      <c r="E102" s="3" t="n">
        <v>85.99847</v>
      </c>
      <c r="F102" s="3" t="n">
        <v>82.57444</v>
      </c>
      <c r="G102" s="3" t="n">
        <v>99.08576</v>
      </c>
      <c r="H102" s="3" t="n">
        <v>148.42963</v>
      </c>
      <c r="I102" s="3" t="n">
        <v>128.06261</v>
      </c>
      <c r="J102" s="3" t="n">
        <v>153.60136</v>
      </c>
      <c r="K102" s="3" t="n">
        <v>169.79583</v>
      </c>
      <c r="L102" s="3" t="n">
        <v>160.92754</v>
      </c>
      <c r="M102" s="3" t="n">
        <v>173.08575</v>
      </c>
      <c r="N102" s="3" t="n">
        <v>170.0105</v>
      </c>
      <c r="O102" s="3" t="n">
        <v>140.41086</v>
      </c>
      <c r="P102" s="3" t="n">
        <v>133.76672</v>
      </c>
      <c r="Q102" s="3" t="n">
        <v>137.77691</v>
      </c>
      <c r="R102" s="3" t="n">
        <v>144.44427</v>
      </c>
      <c r="S102" s="3" t="n">
        <v>148.70641</v>
      </c>
    </row>
    <row r="103" customFormat="false" ht="15" hidden="false" customHeight="false" outlineLevel="0" collapsed="false">
      <c r="B103" s="0" t="s">
        <v>154</v>
      </c>
      <c r="C103" s="2" t="n">
        <v>40908</v>
      </c>
      <c r="D103" s="3" t="n">
        <v>147.84559</v>
      </c>
      <c r="E103" s="3" t="n">
        <v>96.55958</v>
      </c>
      <c r="F103" s="3" t="n">
        <v>69.33141</v>
      </c>
      <c r="G103" s="3" t="n">
        <v>98.94223</v>
      </c>
      <c r="H103" s="3" t="n">
        <v>141.08911</v>
      </c>
      <c r="I103" s="3" t="n">
        <v>136.5431</v>
      </c>
      <c r="J103" s="3" t="n">
        <v>148.1399</v>
      </c>
      <c r="K103" s="3" t="n">
        <v>157.19392</v>
      </c>
      <c r="L103" s="3" t="n">
        <v>157.90878</v>
      </c>
      <c r="M103" s="3" t="n">
        <v>173.19981</v>
      </c>
      <c r="N103" s="3" t="n">
        <v>174.22053</v>
      </c>
      <c r="O103" s="3" t="n">
        <v>142.11489</v>
      </c>
      <c r="P103" s="3" t="n">
        <v>135.51472</v>
      </c>
      <c r="Q103" s="3" t="n">
        <v>139.46737</v>
      </c>
      <c r="R103" s="3" t="n">
        <v>140.31347</v>
      </c>
      <c r="S103" s="3" t="n">
        <v>150.02929</v>
      </c>
    </row>
    <row r="104" customFormat="false" ht="15" hidden="false" customHeight="false" outlineLevel="0" collapsed="false">
      <c r="B104" s="0" t="s">
        <v>155</v>
      </c>
      <c r="C104" s="2" t="n">
        <v>40939</v>
      </c>
      <c r="D104" s="3" t="n">
        <v>147.73334</v>
      </c>
      <c r="E104" s="3" t="n">
        <v>70.39899</v>
      </c>
      <c r="F104" s="3" t="n">
        <v>39.72061</v>
      </c>
      <c r="G104" s="3" t="n">
        <v>94.55614</v>
      </c>
      <c r="H104" s="3" t="n">
        <v>124.61343</v>
      </c>
      <c r="I104" s="3" t="n">
        <v>144.08935</v>
      </c>
      <c r="J104" s="3" t="n">
        <v>153.10461</v>
      </c>
      <c r="K104" s="3" t="n">
        <v>148.06072</v>
      </c>
      <c r="L104" s="3" t="n">
        <v>167.86684</v>
      </c>
      <c r="M104" s="3" t="n">
        <v>172.66479</v>
      </c>
      <c r="N104" s="3" t="n">
        <v>172.896</v>
      </c>
      <c r="O104" s="3" t="n">
        <v>128.01528</v>
      </c>
      <c r="P104" s="3" t="n">
        <v>133.9588</v>
      </c>
      <c r="Q104" s="3" t="n">
        <v>134.93086</v>
      </c>
      <c r="R104" s="3" t="n">
        <v>155.9109</v>
      </c>
      <c r="S104" s="3" t="n">
        <v>150.96007</v>
      </c>
    </row>
    <row r="105" customFormat="false" ht="15" hidden="false" customHeight="false" outlineLevel="0" collapsed="false">
      <c r="B105" s="0" t="s">
        <v>156</v>
      </c>
      <c r="C105" s="2" t="n">
        <v>40968</v>
      </c>
      <c r="D105" s="3" t="n">
        <v>144.71961</v>
      </c>
      <c r="E105" s="3" t="n">
        <v>68.38754</v>
      </c>
      <c r="F105" s="3" t="n">
        <v>79.54644</v>
      </c>
      <c r="G105" s="3" t="n">
        <v>91.82365</v>
      </c>
      <c r="H105" s="3" t="n">
        <v>123.60877</v>
      </c>
      <c r="I105" s="3" t="n">
        <v>131.63209</v>
      </c>
      <c r="J105" s="3" t="n">
        <v>152.77454</v>
      </c>
      <c r="K105" s="3" t="n">
        <v>142.0686</v>
      </c>
      <c r="L105" s="3" t="n">
        <v>160.03862</v>
      </c>
      <c r="M105" s="3" t="n">
        <v>166.11119</v>
      </c>
      <c r="N105" s="3" t="n">
        <v>167.48554</v>
      </c>
      <c r="O105" s="3" t="n">
        <v>127.89019</v>
      </c>
      <c r="P105" s="3" t="n">
        <v>134.70405</v>
      </c>
      <c r="Q105" s="3" t="n">
        <v>135.87786</v>
      </c>
      <c r="R105" s="3" t="n">
        <v>147.82345</v>
      </c>
      <c r="S105" s="3" t="n">
        <v>152.57746</v>
      </c>
    </row>
    <row r="106" customFormat="false" ht="15" hidden="false" customHeight="false" outlineLevel="0" collapsed="false">
      <c r="B106" s="0" t="s">
        <v>157</v>
      </c>
      <c r="C106" s="2" t="n">
        <v>40999</v>
      </c>
      <c r="D106" s="3" t="n">
        <v>145.37392</v>
      </c>
      <c r="E106" s="3" t="n">
        <v>124.36091</v>
      </c>
      <c r="F106" s="3" t="n">
        <v>148.77202</v>
      </c>
      <c r="G106" s="3" t="n">
        <v>99.00597</v>
      </c>
      <c r="H106" s="3" t="n">
        <v>145.85052</v>
      </c>
      <c r="I106" s="3" t="n">
        <v>134.94136</v>
      </c>
      <c r="J106" s="3" t="n">
        <v>155.52464</v>
      </c>
      <c r="K106" s="3" t="n">
        <v>168.58441</v>
      </c>
      <c r="L106" s="3" t="n">
        <v>157.3692</v>
      </c>
      <c r="M106" s="3" t="n">
        <v>175.49859</v>
      </c>
      <c r="N106" s="3" t="n">
        <v>176.61776</v>
      </c>
      <c r="O106" s="3" t="n">
        <v>133.56874</v>
      </c>
      <c r="P106" s="3" t="n">
        <v>135.03709</v>
      </c>
      <c r="Q106" s="3" t="n">
        <v>136.87101</v>
      </c>
      <c r="R106" s="3" t="n">
        <v>160.57418</v>
      </c>
      <c r="S106" s="3" t="n">
        <v>147.94738</v>
      </c>
    </row>
    <row r="107" customFormat="false" ht="15" hidden="false" customHeight="false" outlineLevel="0" collapsed="false">
      <c r="B107" s="0" t="s">
        <v>158</v>
      </c>
      <c r="C107" s="2" t="n">
        <v>41029</v>
      </c>
      <c r="D107" s="3" t="n">
        <v>141.92738</v>
      </c>
      <c r="E107" s="3" t="n">
        <v>166.14674</v>
      </c>
      <c r="F107" s="3" t="n">
        <v>117.44106</v>
      </c>
      <c r="G107" s="3" t="n">
        <v>95.2231</v>
      </c>
      <c r="H107" s="3" t="n">
        <v>138.24663</v>
      </c>
      <c r="I107" s="3" t="n">
        <v>127.49513</v>
      </c>
      <c r="J107" s="3" t="n">
        <v>149.2555</v>
      </c>
      <c r="K107" s="3" t="n">
        <v>150.704</v>
      </c>
      <c r="L107" s="3" t="n">
        <v>154.87357</v>
      </c>
      <c r="M107" s="3" t="n">
        <v>176.90228</v>
      </c>
      <c r="N107" s="3" t="n">
        <v>169.92641</v>
      </c>
      <c r="O107" s="3" t="n">
        <v>130.39097</v>
      </c>
      <c r="P107" s="3" t="n">
        <v>134.06795</v>
      </c>
      <c r="Q107" s="3" t="n">
        <v>136.57267</v>
      </c>
      <c r="R107" s="3" t="n">
        <v>165.33209</v>
      </c>
      <c r="S107" s="3" t="n">
        <v>152.33466</v>
      </c>
    </row>
    <row r="108" customFormat="false" ht="15" hidden="false" customHeight="false" outlineLevel="0" collapsed="false">
      <c r="B108" s="0" t="s">
        <v>159</v>
      </c>
      <c r="C108" s="2" t="n">
        <v>41060</v>
      </c>
      <c r="D108" s="3" t="n">
        <v>140.27489</v>
      </c>
      <c r="E108" s="3" t="n">
        <v>239.34957</v>
      </c>
      <c r="F108" s="3" t="n">
        <v>128.07405</v>
      </c>
      <c r="G108" s="3" t="n">
        <v>98.72975</v>
      </c>
      <c r="H108" s="3" t="n">
        <v>141.96639</v>
      </c>
      <c r="I108" s="3" t="n">
        <v>131.40796</v>
      </c>
      <c r="J108" s="3" t="n">
        <v>150.01095</v>
      </c>
      <c r="K108" s="3" t="n">
        <v>160.46781</v>
      </c>
      <c r="L108" s="3" t="n">
        <v>148.6399</v>
      </c>
      <c r="M108" s="3" t="n">
        <v>187.46116</v>
      </c>
      <c r="N108" s="3" t="n">
        <v>174.75161</v>
      </c>
      <c r="O108" s="3" t="n">
        <v>135.3668</v>
      </c>
      <c r="P108" s="3" t="n">
        <v>134.75318</v>
      </c>
      <c r="Q108" s="3" t="n">
        <v>138.02758</v>
      </c>
      <c r="R108" s="3" t="n">
        <v>168.05173</v>
      </c>
      <c r="S108" s="3" t="n">
        <v>153.55025</v>
      </c>
    </row>
    <row r="109" customFormat="false" ht="15" hidden="false" customHeight="false" outlineLevel="0" collapsed="false">
      <c r="B109" s="0" t="s">
        <v>160</v>
      </c>
      <c r="C109" s="2" t="n">
        <v>41090</v>
      </c>
      <c r="D109" s="3" t="n">
        <v>140.78102</v>
      </c>
      <c r="E109" s="3" t="n">
        <v>162.02064</v>
      </c>
      <c r="F109" s="3" t="n">
        <v>108.7479</v>
      </c>
      <c r="G109" s="3" t="n">
        <v>94.07845</v>
      </c>
      <c r="H109" s="3" t="n">
        <v>138.10691</v>
      </c>
      <c r="I109" s="3" t="n">
        <v>135.04233</v>
      </c>
      <c r="J109" s="3" t="n">
        <v>147.78203</v>
      </c>
      <c r="K109" s="3" t="n">
        <v>158.87011</v>
      </c>
      <c r="L109" s="3" t="n">
        <v>147.7724</v>
      </c>
      <c r="M109" s="3" t="n">
        <v>180.9523</v>
      </c>
      <c r="N109" s="3" t="n">
        <v>176.63907</v>
      </c>
      <c r="O109" s="3" t="n">
        <v>135.96357</v>
      </c>
      <c r="P109" s="3" t="n">
        <v>136.67643</v>
      </c>
      <c r="Q109" s="3" t="n">
        <v>141.33411</v>
      </c>
      <c r="R109" s="3" t="n">
        <v>172.65623</v>
      </c>
      <c r="S109" s="3" t="n">
        <v>155.85037</v>
      </c>
    </row>
    <row r="110" customFormat="false" ht="15" hidden="false" customHeight="false" outlineLevel="0" collapsed="false">
      <c r="B110" s="0" t="s">
        <v>161</v>
      </c>
      <c r="C110" s="2" t="n">
        <v>41121</v>
      </c>
      <c r="D110" s="3" t="n">
        <v>144.76788</v>
      </c>
      <c r="E110" s="3" t="n">
        <v>101.7206</v>
      </c>
      <c r="F110" s="3" t="n">
        <v>150.82884</v>
      </c>
      <c r="G110" s="3" t="n">
        <v>98.31248</v>
      </c>
      <c r="H110" s="3" t="n">
        <v>144.1783</v>
      </c>
      <c r="I110" s="3" t="n">
        <v>142.59172</v>
      </c>
      <c r="J110" s="3" t="n">
        <v>151.94171</v>
      </c>
      <c r="K110" s="3" t="n">
        <v>164.00638</v>
      </c>
      <c r="L110" s="3" t="n">
        <v>163.6282</v>
      </c>
      <c r="M110" s="3" t="n">
        <v>181.74382</v>
      </c>
      <c r="N110" s="3" t="n">
        <v>176.65561</v>
      </c>
      <c r="O110" s="3" t="n">
        <v>131.61866</v>
      </c>
      <c r="P110" s="3" t="n">
        <v>136.14055</v>
      </c>
      <c r="Q110" s="3" t="n">
        <v>139.8603</v>
      </c>
      <c r="R110" s="3" t="n">
        <v>158.996</v>
      </c>
      <c r="S110" s="3" t="n">
        <v>170.86657</v>
      </c>
    </row>
    <row r="111" customFormat="false" ht="15" hidden="false" customHeight="false" outlineLevel="0" collapsed="false">
      <c r="B111" s="0" t="s">
        <v>162</v>
      </c>
      <c r="C111" s="2" t="n">
        <v>41152</v>
      </c>
      <c r="D111" s="3" t="n">
        <v>145.04736</v>
      </c>
      <c r="E111" s="3" t="n">
        <v>73.19557</v>
      </c>
      <c r="F111" s="3" t="n">
        <v>177.71456</v>
      </c>
      <c r="G111" s="3" t="n">
        <v>98.2519</v>
      </c>
      <c r="H111" s="3" t="n">
        <v>144.35547</v>
      </c>
      <c r="I111" s="3" t="n">
        <v>138.21356</v>
      </c>
      <c r="J111" s="3" t="n">
        <v>151.17411</v>
      </c>
      <c r="K111" s="3" t="n">
        <v>167.15565</v>
      </c>
      <c r="L111" s="3" t="n">
        <v>157.29851</v>
      </c>
      <c r="M111" s="3" t="n">
        <v>177.49792</v>
      </c>
      <c r="N111" s="3" t="n">
        <v>184.82344</v>
      </c>
      <c r="O111" s="3" t="n">
        <v>135.79918</v>
      </c>
      <c r="P111" s="3" t="n">
        <v>136.19315</v>
      </c>
      <c r="Q111" s="3" t="n">
        <v>140.37036</v>
      </c>
      <c r="R111" s="3" t="n">
        <v>159.46624</v>
      </c>
      <c r="S111" s="3" t="n">
        <v>154.99102</v>
      </c>
    </row>
    <row r="112" customFormat="false" ht="15" hidden="false" customHeight="false" outlineLevel="0" collapsed="false">
      <c r="B112" s="0" t="s">
        <v>163</v>
      </c>
      <c r="C112" s="2" t="n">
        <v>41182</v>
      </c>
      <c r="D112" s="3" t="n">
        <v>146.2317</v>
      </c>
      <c r="E112" s="3" t="n">
        <v>70.83069</v>
      </c>
      <c r="F112" s="3" t="n">
        <v>182.74665</v>
      </c>
      <c r="G112" s="3" t="n">
        <v>97.07239</v>
      </c>
      <c r="H112" s="3" t="n">
        <v>143.52223</v>
      </c>
      <c r="I112" s="3" t="n">
        <v>124.89932</v>
      </c>
      <c r="J112" s="3" t="n">
        <v>149.81668</v>
      </c>
      <c r="K112" s="3" t="n">
        <v>161.02366</v>
      </c>
      <c r="L112" s="3" t="n">
        <v>158.56908</v>
      </c>
      <c r="M112" s="3" t="n">
        <v>172.07588</v>
      </c>
      <c r="N112" s="3" t="n">
        <v>178.83275</v>
      </c>
      <c r="O112" s="3" t="n">
        <v>132.05057</v>
      </c>
      <c r="P112" s="3" t="n">
        <v>136.29805</v>
      </c>
      <c r="Q112" s="3" t="n">
        <v>140.40028</v>
      </c>
      <c r="R112" s="3" t="n">
        <v>156.57795</v>
      </c>
      <c r="S112" s="3" t="n">
        <v>149.62785</v>
      </c>
    </row>
    <row r="113" customFormat="false" ht="15" hidden="false" customHeight="false" outlineLevel="0" collapsed="false">
      <c r="B113" s="0" t="s">
        <v>164</v>
      </c>
      <c r="C113" s="2" t="n">
        <v>41213</v>
      </c>
      <c r="D113" s="3" t="n">
        <v>147.08919</v>
      </c>
      <c r="E113" s="3" t="n">
        <v>71.87308</v>
      </c>
      <c r="F113" s="3" t="n">
        <v>147.77375</v>
      </c>
      <c r="G113" s="3" t="n">
        <v>97.10624</v>
      </c>
      <c r="H113" s="3" t="n">
        <v>151.92463</v>
      </c>
      <c r="I113" s="3" t="n">
        <v>127.11721</v>
      </c>
      <c r="J113" s="3" t="n">
        <v>148.11871</v>
      </c>
      <c r="K113" s="3" t="n">
        <v>171.39768</v>
      </c>
      <c r="L113" s="3" t="n">
        <v>160.60567</v>
      </c>
      <c r="M113" s="3" t="n">
        <v>175.89154</v>
      </c>
      <c r="N113" s="3" t="n">
        <v>184.48417</v>
      </c>
      <c r="O113" s="3" t="n">
        <v>134.91154</v>
      </c>
      <c r="P113" s="3" t="n">
        <v>137.27476</v>
      </c>
      <c r="Q113" s="3" t="n">
        <v>142.1415</v>
      </c>
      <c r="R113" s="3" t="n">
        <v>153.03485</v>
      </c>
      <c r="S113" s="3" t="n">
        <v>156.11007</v>
      </c>
    </row>
    <row r="114" customFormat="false" ht="15" hidden="false" customHeight="false" outlineLevel="0" collapsed="false">
      <c r="B114" s="0" t="s">
        <v>165</v>
      </c>
      <c r="C114" s="2" t="n">
        <v>41243</v>
      </c>
      <c r="D114" s="3" t="n">
        <v>146.95144</v>
      </c>
      <c r="E114" s="3" t="n">
        <v>84.9092</v>
      </c>
      <c r="F114" s="3" t="n">
        <v>110.38975</v>
      </c>
      <c r="G114" s="3" t="n">
        <v>92.07596</v>
      </c>
      <c r="H114" s="3" t="n">
        <v>147.09261</v>
      </c>
      <c r="I114" s="3" t="n">
        <v>132.37062</v>
      </c>
      <c r="J114" s="3" t="n">
        <v>148.60584</v>
      </c>
      <c r="K114" s="3" t="n">
        <v>168.86188</v>
      </c>
      <c r="L114" s="3" t="n">
        <v>162.09531</v>
      </c>
      <c r="M114" s="3" t="n">
        <v>175.32986</v>
      </c>
      <c r="N114" s="3" t="n">
        <v>183.3603</v>
      </c>
      <c r="O114" s="3" t="n">
        <v>135.81751</v>
      </c>
      <c r="P114" s="3" t="n">
        <v>137.50099</v>
      </c>
      <c r="Q114" s="3" t="n">
        <v>142.21987</v>
      </c>
      <c r="R114" s="3" t="n">
        <v>152.78098</v>
      </c>
      <c r="S114" s="3" t="n">
        <v>152.95969</v>
      </c>
    </row>
    <row r="115" customFormat="false" ht="15" hidden="false" customHeight="false" outlineLevel="0" collapsed="false">
      <c r="B115" s="0" t="s">
        <v>166</v>
      </c>
      <c r="C115" s="2" t="n">
        <v>41274</v>
      </c>
      <c r="D115" s="3" t="n">
        <v>149.27282</v>
      </c>
      <c r="E115" s="3" t="n">
        <v>81.0775</v>
      </c>
      <c r="F115" s="3" t="n">
        <v>68.67316</v>
      </c>
      <c r="G115" s="3" t="n">
        <v>95.82766</v>
      </c>
      <c r="H115" s="3" t="n">
        <v>141.41091</v>
      </c>
      <c r="I115" s="3" t="n">
        <v>138.29487</v>
      </c>
      <c r="J115" s="3" t="n">
        <v>142.88948</v>
      </c>
      <c r="K115" s="3" t="n">
        <v>156.60558</v>
      </c>
      <c r="L115" s="3" t="n">
        <v>159.18892</v>
      </c>
      <c r="M115" s="3" t="n">
        <v>173.27875</v>
      </c>
      <c r="N115" s="3" t="n">
        <v>189.10029</v>
      </c>
      <c r="O115" s="3" t="n">
        <v>139.27411</v>
      </c>
      <c r="P115" s="3" t="n">
        <v>138.87441</v>
      </c>
      <c r="Q115" s="3" t="n">
        <v>143.66175</v>
      </c>
      <c r="R115" s="3" t="n">
        <v>147.87978</v>
      </c>
      <c r="S115" s="3" t="n">
        <v>150.52457</v>
      </c>
    </row>
    <row r="116" customFormat="false" ht="15" hidden="false" customHeight="false" outlineLevel="0" collapsed="false">
      <c r="B116" s="0" t="s">
        <v>167</v>
      </c>
      <c r="C116" s="2" t="n">
        <v>41305</v>
      </c>
      <c r="D116" s="3" t="n">
        <v>145.88006</v>
      </c>
      <c r="E116" s="3" t="n">
        <v>64.01654</v>
      </c>
      <c r="F116" s="3" t="n">
        <v>45.05152</v>
      </c>
      <c r="G116" s="3" t="n">
        <v>92.30055</v>
      </c>
      <c r="H116" s="3" t="n">
        <v>124.30704</v>
      </c>
      <c r="I116" s="3" t="n">
        <v>140.30803</v>
      </c>
      <c r="J116" s="3" t="n">
        <v>148.74701</v>
      </c>
      <c r="K116" s="3" t="n">
        <v>147.57996</v>
      </c>
      <c r="L116" s="3" t="n">
        <v>166.20642</v>
      </c>
      <c r="M116" s="3" t="n">
        <v>172.08614</v>
      </c>
      <c r="N116" s="3" t="n">
        <v>183.48864</v>
      </c>
      <c r="O116" s="3" t="n">
        <v>127.79543</v>
      </c>
      <c r="P116" s="3" t="n">
        <v>137.01684</v>
      </c>
      <c r="Q116" s="3" t="n">
        <v>139.07299</v>
      </c>
      <c r="R116" s="3" t="n">
        <v>160.36179</v>
      </c>
      <c r="S116" s="3" t="n">
        <v>149.72143</v>
      </c>
    </row>
    <row r="117" customFormat="false" ht="15" hidden="false" customHeight="false" outlineLevel="0" collapsed="false">
      <c r="B117" s="0" t="s">
        <v>168</v>
      </c>
      <c r="C117" s="2" t="n">
        <v>41333</v>
      </c>
      <c r="D117" s="3" t="n">
        <v>148.73547</v>
      </c>
      <c r="E117" s="3" t="n">
        <v>72.8336</v>
      </c>
      <c r="F117" s="3" t="n">
        <v>114.13595</v>
      </c>
      <c r="G117" s="3" t="n">
        <v>85.57672</v>
      </c>
      <c r="H117" s="3" t="n">
        <v>119.40568</v>
      </c>
      <c r="I117" s="3" t="n">
        <v>125.70012</v>
      </c>
      <c r="J117" s="3" t="n">
        <v>149.4253</v>
      </c>
      <c r="K117" s="3" t="n">
        <v>144.64684</v>
      </c>
      <c r="L117" s="3" t="n">
        <v>158.25836</v>
      </c>
      <c r="M117" s="3" t="n">
        <v>163.74742</v>
      </c>
      <c r="N117" s="3" t="n">
        <v>174.99097</v>
      </c>
      <c r="O117" s="3" t="n">
        <v>127.45826</v>
      </c>
      <c r="P117" s="3" t="n">
        <v>139.44034</v>
      </c>
      <c r="Q117" s="3" t="n">
        <v>140.16949</v>
      </c>
      <c r="R117" s="3" t="n">
        <v>151.93064</v>
      </c>
      <c r="S117" s="3" t="n">
        <v>146.90601</v>
      </c>
    </row>
    <row r="118" customFormat="false" ht="15" hidden="false" customHeight="false" outlineLevel="0" collapsed="false">
      <c r="B118" s="0" t="s">
        <v>169</v>
      </c>
      <c r="C118" s="2" t="n">
        <v>41364</v>
      </c>
      <c r="D118" s="3" t="n">
        <v>148.7589</v>
      </c>
      <c r="E118" s="3" t="n">
        <v>139.91965</v>
      </c>
      <c r="F118" s="3" t="n">
        <v>108.06571</v>
      </c>
      <c r="G118" s="3" t="n">
        <v>93.2448</v>
      </c>
      <c r="H118" s="3" t="n">
        <v>141.63371</v>
      </c>
      <c r="I118" s="3" t="n">
        <v>129.33448</v>
      </c>
      <c r="J118" s="3" t="n">
        <v>152.14943</v>
      </c>
      <c r="K118" s="3" t="n">
        <v>172.80932</v>
      </c>
      <c r="L118" s="3" t="n">
        <v>157.80482</v>
      </c>
      <c r="M118" s="3" t="n">
        <v>179.03862</v>
      </c>
      <c r="N118" s="3" t="n">
        <v>180.398</v>
      </c>
      <c r="O118" s="3" t="n">
        <v>131.92657</v>
      </c>
      <c r="P118" s="3" t="n">
        <v>137.28871</v>
      </c>
      <c r="Q118" s="3" t="n">
        <v>140.73422</v>
      </c>
      <c r="R118" s="3" t="n">
        <v>165.27341</v>
      </c>
      <c r="S118" s="3" t="n">
        <v>145.01583</v>
      </c>
    </row>
    <row r="119" customFormat="false" ht="15" hidden="false" customHeight="false" outlineLevel="0" collapsed="false">
      <c r="B119" s="0" t="s">
        <v>170</v>
      </c>
      <c r="C119" s="2" t="n">
        <v>41394</v>
      </c>
      <c r="D119" s="3" t="n">
        <v>148.5213</v>
      </c>
      <c r="E119" s="3" t="n">
        <v>201.95961</v>
      </c>
      <c r="F119" s="3" t="n">
        <v>163.98785</v>
      </c>
      <c r="G119" s="3" t="n">
        <v>90.70289</v>
      </c>
      <c r="H119" s="3" t="n">
        <v>144.71435</v>
      </c>
      <c r="I119" s="3" t="n">
        <v>127.77919</v>
      </c>
      <c r="J119" s="3" t="n">
        <v>151.78832</v>
      </c>
      <c r="K119" s="3" t="n">
        <v>171.38482</v>
      </c>
      <c r="L119" s="3" t="n">
        <v>153.84353</v>
      </c>
      <c r="M119" s="3" t="n">
        <v>184.47056</v>
      </c>
      <c r="N119" s="3" t="n">
        <v>180.23204</v>
      </c>
      <c r="O119" s="3" t="n">
        <v>132.78466</v>
      </c>
      <c r="P119" s="3" t="n">
        <v>137.3457</v>
      </c>
      <c r="Q119" s="3" t="n">
        <v>140.90725</v>
      </c>
      <c r="R119" s="3" t="n">
        <v>170.09972</v>
      </c>
      <c r="S119" s="3" t="n">
        <v>147.44709</v>
      </c>
    </row>
    <row r="120" customFormat="false" ht="15" hidden="false" customHeight="false" outlineLevel="0" collapsed="false">
      <c r="B120" s="0" t="s">
        <v>171</v>
      </c>
      <c r="C120" s="2" t="n">
        <v>41425</v>
      </c>
      <c r="D120" s="3" t="n">
        <v>148.39639</v>
      </c>
      <c r="E120" s="3" t="n">
        <v>298.08466</v>
      </c>
      <c r="F120" s="3" t="n">
        <v>135.59648</v>
      </c>
      <c r="G120" s="3" t="n">
        <v>94.56617</v>
      </c>
      <c r="H120" s="3" t="n">
        <v>148.70217</v>
      </c>
      <c r="I120" s="3" t="n">
        <v>133.38545</v>
      </c>
      <c r="J120" s="3" t="n">
        <v>152.10602</v>
      </c>
      <c r="K120" s="3" t="n">
        <v>170.58287</v>
      </c>
      <c r="L120" s="3" t="n">
        <v>150.93621</v>
      </c>
      <c r="M120" s="3" t="n">
        <v>195.90061</v>
      </c>
      <c r="N120" s="3" t="n">
        <v>179.79658</v>
      </c>
      <c r="O120" s="3" t="n">
        <v>137.01036</v>
      </c>
      <c r="P120" s="3" t="n">
        <v>138.13926</v>
      </c>
      <c r="Q120" s="3" t="n">
        <v>141.96892</v>
      </c>
      <c r="R120" s="3" t="n">
        <v>172.89123</v>
      </c>
      <c r="S120" s="3" t="n">
        <v>149.93357</v>
      </c>
    </row>
    <row r="121" customFormat="false" ht="15" hidden="false" customHeight="false" outlineLevel="0" collapsed="false">
      <c r="B121" s="0" t="s">
        <v>172</v>
      </c>
      <c r="C121" s="2" t="n">
        <v>41455</v>
      </c>
      <c r="D121" s="3" t="n">
        <v>149.13535</v>
      </c>
      <c r="E121" s="3" t="n">
        <v>198.27731</v>
      </c>
      <c r="F121" s="3" t="n">
        <v>222.65124</v>
      </c>
      <c r="G121" s="3" t="n">
        <v>91.44981</v>
      </c>
      <c r="H121" s="3" t="n">
        <v>142.226</v>
      </c>
      <c r="I121" s="3" t="n">
        <v>134.22317</v>
      </c>
      <c r="J121" s="3" t="n">
        <v>149.13473</v>
      </c>
      <c r="K121" s="3" t="n">
        <v>164.40773</v>
      </c>
      <c r="L121" s="3" t="n">
        <v>150.98088</v>
      </c>
      <c r="M121" s="3" t="n">
        <v>187.2047</v>
      </c>
      <c r="N121" s="3" t="n">
        <v>188.29473</v>
      </c>
      <c r="O121" s="3" t="n">
        <v>135.50999</v>
      </c>
      <c r="P121" s="3" t="n">
        <v>140.1434</v>
      </c>
      <c r="Q121" s="3" t="n">
        <v>145.01769</v>
      </c>
      <c r="R121" s="3" t="n">
        <v>177.53397</v>
      </c>
      <c r="S121" s="3" t="n">
        <v>156.75519</v>
      </c>
    </row>
    <row r="122" customFormat="false" ht="15" hidden="false" customHeight="false" outlineLevel="0" collapsed="false">
      <c r="B122" s="0" t="s">
        <v>173</v>
      </c>
      <c r="C122" s="2" t="n">
        <v>41486</v>
      </c>
      <c r="D122" s="3" t="n">
        <v>148.12424</v>
      </c>
      <c r="E122" s="3" t="n">
        <v>107.06873</v>
      </c>
      <c r="F122" s="3" t="n">
        <v>227.79104</v>
      </c>
      <c r="G122" s="3" t="n">
        <v>94.43409</v>
      </c>
      <c r="H122" s="3" t="n">
        <v>144.33135</v>
      </c>
      <c r="I122" s="3" t="n">
        <v>142.67832</v>
      </c>
      <c r="J122" s="3" t="n">
        <v>152.84802</v>
      </c>
      <c r="K122" s="3" t="n">
        <v>168.33613</v>
      </c>
      <c r="L122" s="3" t="n">
        <v>164.82826</v>
      </c>
      <c r="M122" s="3" t="n">
        <v>184.8173</v>
      </c>
      <c r="N122" s="3" t="n">
        <v>182.5615</v>
      </c>
      <c r="O122" s="3" t="n">
        <v>135.72395</v>
      </c>
      <c r="P122" s="3" t="n">
        <v>139.48025</v>
      </c>
      <c r="Q122" s="3" t="n">
        <v>144.62762</v>
      </c>
      <c r="R122" s="3" t="n">
        <v>163.62395</v>
      </c>
      <c r="S122" s="3" t="n">
        <v>169.20021</v>
      </c>
    </row>
    <row r="123" customFormat="false" ht="15" hidden="false" customHeight="false" outlineLevel="0" collapsed="false">
      <c r="B123" s="0" t="s">
        <v>174</v>
      </c>
      <c r="C123" s="2" t="n">
        <v>41517</v>
      </c>
      <c r="D123" s="3" t="n">
        <v>150.15944</v>
      </c>
      <c r="E123" s="3" t="n">
        <v>69.62321</v>
      </c>
      <c r="F123" s="3" t="n">
        <v>182.3356</v>
      </c>
      <c r="G123" s="3" t="n">
        <v>94.07015</v>
      </c>
      <c r="H123" s="3" t="n">
        <v>149.40408</v>
      </c>
      <c r="I123" s="3" t="n">
        <v>141.88136</v>
      </c>
      <c r="J123" s="3" t="n">
        <v>153.29248</v>
      </c>
      <c r="K123" s="3" t="n">
        <v>168.52065</v>
      </c>
      <c r="L123" s="3" t="n">
        <v>159.63658</v>
      </c>
      <c r="M123" s="3" t="n">
        <v>183.28528</v>
      </c>
      <c r="N123" s="3" t="n">
        <v>187.54636</v>
      </c>
      <c r="O123" s="3" t="n">
        <v>135.1689</v>
      </c>
      <c r="P123" s="3" t="n">
        <v>140.40575</v>
      </c>
      <c r="Q123" s="3" t="n">
        <v>144.91081</v>
      </c>
      <c r="R123" s="3" t="n">
        <v>164.00319</v>
      </c>
      <c r="S123" s="3" t="n">
        <v>155.58555</v>
      </c>
    </row>
    <row r="124" customFormat="false" ht="15" hidden="false" customHeight="false" outlineLevel="0" collapsed="false">
      <c r="B124" s="0" t="s">
        <v>175</v>
      </c>
      <c r="C124" s="2" t="n">
        <v>41547</v>
      </c>
      <c r="D124" s="3" t="n">
        <v>150.20497</v>
      </c>
      <c r="E124" s="3" t="n">
        <v>66.90422</v>
      </c>
      <c r="F124" s="3" t="n">
        <v>188.4037</v>
      </c>
      <c r="G124" s="3" t="n">
        <v>91.3944</v>
      </c>
      <c r="H124" s="3" t="n">
        <v>150.7687</v>
      </c>
      <c r="I124" s="3" t="n">
        <v>132.11389</v>
      </c>
      <c r="J124" s="3" t="n">
        <v>154.21254</v>
      </c>
      <c r="K124" s="3" t="n">
        <v>168.56068</v>
      </c>
      <c r="L124" s="3" t="n">
        <v>160.52192</v>
      </c>
      <c r="M124" s="3" t="n">
        <v>179.19399</v>
      </c>
      <c r="N124" s="3" t="n">
        <v>185.36681</v>
      </c>
      <c r="O124" s="3" t="n">
        <v>134.80578</v>
      </c>
      <c r="P124" s="3" t="n">
        <v>140.41736</v>
      </c>
      <c r="Q124" s="3" t="n">
        <v>145.6021</v>
      </c>
      <c r="R124" s="3" t="n">
        <v>161.29531</v>
      </c>
      <c r="S124" s="3" t="n">
        <v>151.53877</v>
      </c>
    </row>
    <row r="125" customFormat="false" ht="15" hidden="false" customHeight="false" outlineLevel="0" collapsed="false">
      <c r="B125" s="0" t="s">
        <v>176</v>
      </c>
      <c r="C125" s="2" t="n">
        <v>41578</v>
      </c>
      <c r="D125" s="3" t="n">
        <v>148.86711</v>
      </c>
      <c r="E125" s="3" t="n">
        <v>70.46848</v>
      </c>
      <c r="F125" s="3" t="n">
        <v>192.98719</v>
      </c>
      <c r="G125" s="3" t="n">
        <v>94.36121</v>
      </c>
      <c r="H125" s="3" t="n">
        <v>154.92088</v>
      </c>
      <c r="I125" s="3" t="n">
        <v>129.8679</v>
      </c>
      <c r="J125" s="3" t="n">
        <v>148.11977</v>
      </c>
      <c r="K125" s="3" t="n">
        <v>173.0328</v>
      </c>
      <c r="L125" s="3" t="n">
        <v>159.44171</v>
      </c>
      <c r="M125" s="3" t="n">
        <v>180.32795</v>
      </c>
      <c r="N125" s="3" t="n">
        <v>185.20012</v>
      </c>
      <c r="O125" s="3" t="n">
        <v>136.90409</v>
      </c>
      <c r="P125" s="3" t="n">
        <v>140.59216</v>
      </c>
      <c r="Q125" s="3" t="n">
        <v>144.81343</v>
      </c>
      <c r="R125" s="3" t="n">
        <v>156.02658</v>
      </c>
      <c r="S125" s="3" t="n">
        <v>150.39114</v>
      </c>
    </row>
    <row r="126" customFormat="false" ht="15" hidden="false" customHeight="false" outlineLevel="0" collapsed="false">
      <c r="B126" s="0" t="s">
        <v>177</v>
      </c>
      <c r="C126" s="2" t="n">
        <v>41608</v>
      </c>
      <c r="D126" s="3" t="n">
        <v>148.05058</v>
      </c>
      <c r="E126" s="3" t="n">
        <v>84.42743</v>
      </c>
      <c r="F126" s="3" t="n">
        <v>136.24481</v>
      </c>
      <c r="G126" s="3" t="n">
        <v>90.58056</v>
      </c>
      <c r="H126" s="3" t="n">
        <v>148.07416</v>
      </c>
      <c r="I126" s="3" t="n">
        <v>127.94281</v>
      </c>
      <c r="J126" s="3" t="n">
        <v>146.14262</v>
      </c>
      <c r="K126" s="3" t="n">
        <v>164.60201</v>
      </c>
      <c r="L126" s="3" t="n">
        <v>159.60895</v>
      </c>
      <c r="M126" s="3" t="n">
        <v>179.69937</v>
      </c>
      <c r="N126" s="3" t="n">
        <v>179.12552</v>
      </c>
      <c r="O126" s="3" t="n">
        <v>137.07334</v>
      </c>
      <c r="P126" s="3" t="n">
        <v>141.29174</v>
      </c>
      <c r="Q126" s="3" t="n">
        <v>145.42686</v>
      </c>
      <c r="R126" s="3" t="n">
        <v>156.00125</v>
      </c>
      <c r="S126" s="3" t="n">
        <v>152.29452</v>
      </c>
    </row>
    <row r="127" customFormat="false" ht="15" hidden="false" customHeight="false" outlineLevel="0" collapsed="false">
      <c r="B127" s="0" t="s">
        <v>178</v>
      </c>
      <c r="C127" s="2" t="n">
        <v>41639</v>
      </c>
      <c r="D127" s="3" t="n">
        <v>147.19351</v>
      </c>
      <c r="E127" s="3" t="n">
        <v>85.37363</v>
      </c>
      <c r="F127" s="3" t="n">
        <v>77.53448</v>
      </c>
      <c r="G127" s="3" t="n">
        <v>92.75465</v>
      </c>
      <c r="H127" s="3" t="n">
        <v>141.72137</v>
      </c>
      <c r="I127" s="3" t="n">
        <v>150.66439</v>
      </c>
      <c r="J127" s="3" t="n">
        <v>141.14148</v>
      </c>
      <c r="K127" s="3" t="n">
        <v>151.19216</v>
      </c>
      <c r="L127" s="3" t="n">
        <v>156.16627</v>
      </c>
      <c r="M127" s="3" t="n">
        <v>175.5694</v>
      </c>
      <c r="N127" s="3" t="n">
        <v>189.09005</v>
      </c>
      <c r="O127" s="3" t="n">
        <v>140.24237</v>
      </c>
      <c r="P127" s="3" t="n">
        <v>143.00481</v>
      </c>
      <c r="Q127" s="3" t="n">
        <v>146.94424</v>
      </c>
      <c r="R127" s="3" t="n">
        <v>151.07567</v>
      </c>
      <c r="S127" s="3" t="n">
        <v>147.79991</v>
      </c>
    </row>
    <row r="128" customFormat="false" ht="15" hidden="false" customHeight="false" outlineLevel="0" collapsed="false">
      <c r="B128" s="0" t="s">
        <v>179</v>
      </c>
      <c r="C128" s="2" t="n">
        <v>41670</v>
      </c>
      <c r="D128" s="3" t="n">
        <v>145.47985</v>
      </c>
      <c r="E128" s="3" t="n">
        <v>65.04464</v>
      </c>
      <c r="F128" s="3" t="n">
        <v>48.97758</v>
      </c>
      <c r="G128" s="3" t="n">
        <v>93.14055</v>
      </c>
      <c r="H128" s="3" t="n">
        <v>124.42123</v>
      </c>
      <c r="I128" s="3" t="n">
        <v>150.3936</v>
      </c>
      <c r="J128" s="3" t="n">
        <v>150.31106</v>
      </c>
      <c r="K128" s="3" t="n">
        <v>144.57425</v>
      </c>
      <c r="L128" s="3" t="n">
        <v>165.59933</v>
      </c>
      <c r="M128" s="3" t="n">
        <v>175.08587</v>
      </c>
      <c r="N128" s="3" t="n">
        <v>192.57367</v>
      </c>
      <c r="O128" s="3" t="n">
        <v>128.03954</v>
      </c>
      <c r="P128" s="3" t="n">
        <v>141.90488</v>
      </c>
      <c r="Q128" s="3" t="n">
        <v>141.99554</v>
      </c>
      <c r="R128" s="3" t="n">
        <v>163.56661</v>
      </c>
      <c r="S128" s="3" t="n">
        <v>152.72895</v>
      </c>
    </row>
    <row r="129" customFormat="false" ht="15" hidden="false" customHeight="false" outlineLevel="0" collapsed="false">
      <c r="B129" s="0" t="s">
        <v>180</v>
      </c>
      <c r="C129" s="2" t="n">
        <v>41698</v>
      </c>
      <c r="D129" s="3" t="n">
        <v>146.61923</v>
      </c>
      <c r="E129" s="3" t="n">
        <v>68.93624</v>
      </c>
      <c r="F129" s="3" t="n">
        <v>81.6624</v>
      </c>
      <c r="G129" s="3" t="n">
        <v>86.83486</v>
      </c>
      <c r="H129" s="3" t="n">
        <v>119.71693</v>
      </c>
      <c r="I129" s="3" t="n">
        <v>126.21042</v>
      </c>
      <c r="J129" s="3" t="n">
        <v>149.41958</v>
      </c>
      <c r="K129" s="3" t="n">
        <v>140.88047</v>
      </c>
      <c r="L129" s="3" t="n">
        <v>155.42402</v>
      </c>
      <c r="M129" s="3" t="n">
        <v>169.38497</v>
      </c>
      <c r="N129" s="3" t="n">
        <v>178.74248</v>
      </c>
      <c r="O129" s="3" t="n">
        <v>128.57733</v>
      </c>
      <c r="P129" s="3" t="n">
        <v>141.87969</v>
      </c>
      <c r="Q129" s="3" t="n">
        <v>143.45823</v>
      </c>
      <c r="R129" s="3" t="n">
        <v>154.37805</v>
      </c>
      <c r="S129" s="3" t="n">
        <v>145.319</v>
      </c>
    </row>
    <row r="130" customFormat="false" ht="15" hidden="false" customHeight="false" outlineLevel="0" collapsed="false">
      <c r="B130" s="0" t="s">
        <v>181</v>
      </c>
      <c r="C130" s="2" t="n">
        <v>41729</v>
      </c>
      <c r="D130" s="3" t="n">
        <v>145.49059</v>
      </c>
      <c r="E130" s="3" t="n">
        <v>131.15245</v>
      </c>
      <c r="F130" s="3" t="n">
        <v>162.95872</v>
      </c>
      <c r="G130" s="3" t="n">
        <v>95.77756</v>
      </c>
      <c r="H130" s="3" t="n">
        <v>135.33332</v>
      </c>
      <c r="I130" s="3" t="n">
        <v>131.20138</v>
      </c>
      <c r="J130" s="3" t="n">
        <v>150.87083</v>
      </c>
      <c r="K130" s="3" t="n">
        <v>156.72036</v>
      </c>
      <c r="L130" s="3" t="n">
        <v>149.65065</v>
      </c>
      <c r="M130" s="3" t="n">
        <v>177.5451</v>
      </c>
      <c r="N130" s="3" t="n">
        <v>176.77347</v>
      </c>
      <c r="O130" s="3" t="n">
        <v>129.11694</v>
      </c>
      <c r="P130" s="3" t="n">
        <v>142.23493</v>
      </c>
      <c r="Q130" s="3" t="n">
        <v>143.4686</v>
      </c>
      <c r="R130" s="3" t="n">
        <v>167.54336</v>
      </c>
      <c r="S130" s="3" t="n">
        <v>147.02644</v>
      </c>
    </row>
    <row r="131" customFormat="false" ht="15" hidden="false" customHeight="false" outlineLevel="0" collapsed="false">
      <c r="B131" s="0" t="s">
        <v>182</v>
      </c>
      <c r="C131" s="2" t="n">
        <v>41759</v>
      </c>
      <c r="D131" s="3" t="n">
        <v>144.97986</v>
      </c>
      <c r="E131" s="3" t="n">
        <v>213.79143</v>
      </c>
      <c r="F131" s="3" t="n">
        <v>136.30193</v>
      </c>
      <c r="G131" s="3" t="n">
        <v>89.81293</v>
      </c>
      <c r="H131" s="3" t="n">
        <v>135.74717</v>
      </c>
      <c r="I131" s="3" t="n">
        <v>128.63807</v>
      </c>
      <c r="J131" s="3" t="n">
        <v>146.55653</v>
      </c>
      <c r="K131" s="3" t="n">
        <v>152.72327</v>
      </c>
      <c r="L131" s="3" t="n">
        <v>147.87648</v>
      </c>
      <c r="M131" s="3" t="n">
        <v>185.29112</v>
      </c>
      <c r="N131" s="3" t="n">
        <v>176.1351</v>
      </c>
      <c r="O131" s="3" t="n">
        <v>130.9785</v>
      </c>
      <c r="P131" s="3" t="n">
        <v>141.78196</v>
      </c>
      <c r="Q131" s="3" t="n">
        <v>144.81472</v>
      </c>
      <c r="R131" s="3" t="n">
        <v>172.87314</v>
      </c>
      <c r="S131" s="3" t="n">
        <v>147.38252</v>
      </c>
    </row>
    <row r="132" customFormat="false" ht="15" hidden="false" customHeight="false" outlineLevel="0" collapsed="false">
      <c r="B132" s="0" t="s">
        <v>183</v>
      </c>
      <c r="C132" s="2" t="n">
        <v>41790</v>
      </c>
      <c r="D132" s="3" t="n">
        <v>145.33265</v>
      </c>
      <c r="E132" s="3" t="n">
        <v>323.80118</v>
      </c>
      <c r="F132" s="3" t="n">
        <v>178.23074</v>
      </c>
      <c r="G132" s="3" t="n">
        <v>98.17706</v>
      </c>
      <c r="H132" s="3" t="n">
        <v>140.41674</v>
      </c>
      <c r="I132" s="3" t="n">
        <v>139.17577</v>
      </c>
      <c r="J132" s="3" t="n">
        <v>148.22066</v>
      </c>
      <c r="K132" s="3" t="n">
        <v>155.54353</v>
      </c>
      <c r="L132" s="3" t="n">
        <v>145.30107</v>
      </c>
      <c r="M132" s="3" t="n">
        <v>196.4469</v>
      </c>
      <c r="N132" s="3" t="n">
        <v>175.95751</v>
      </c>
      <c r="O132" s="3" t="n">
        <v>134.04586</v>
      </c>
      <c r="P132" s="3" t="n">
        <v>142.67839</v>
      </c>
      <c r="Q132" s="3" t="n">
        <v>146.35088</v>
      </c>
      <c r="R132" s="3" t="n">
        <v>175.4388</v>
      </c>
      <c r="S132" s="3" t="n">
        <v>146.52891</v>
      </c>
    </row>
    <row r="133" customFormat="false" ht="15" hidden="false" customHeight="false" outlineLevel="0" collapsed="false">
      <c r="B133" s="0" t="s">
        <v>184</v>
      </c>
      <c r="C133" s="2" t="n">
        <v>41820</v>
      </c>
      <c r="D133" s="3" t="n">
        <v>144.60801</v>
      </c>
      <c r="E133" s="3" t="n">
        <v>214.7675</v>
      </c>
      <c r="F133" s="3" t="n">
        <v>225.12554</v>
      </c>
      <c r="G133" s="3" t="n">
        <v>92.83794</v>
      </c>
      <c r="H133" s="3" t="n">
        <v>136.40998</v>
      </c>
      <c r="I133" s="3" t="n">
        <v>142.77485</v>
      </c>
      <c r="J133" s="3" t="n">
        <v>148.25887</v>
      </c>
      <c r="K133" s="3" t="n">
        <v>151.95325</v>
      </c>
      <c r="L133" s="3" t="n">
        <v>143.3913</v>
      </c>
      <c r="M133" s="3" t="n">
        <v>189.89842</v>
      </c>
      <c r="N133" s="3" t="n">
        <v>179.49677</v>
      </c>
      <c r="O133" s="3" t="n">
        <v>138.3845</v>
      </c>
      <c r="P133" s="3" t="n">
        <v>144.04199</v>
      </c>
      <c r="Q133" s="3" t="n">
        <v>148.75725</v>
      </c>
      <c r="R133" s="3" t="n">
        <v>180.33093</v>
      </c>
      <c r="S133" s="3" t="n">
        <v>146.28943</v>
      </c>
    </row>
    <row r="134" customFormat="false" ht="15" hidden="false" customHeight="false" outlineLevel="0" collapsed="false">
      <c r="B134" s="0" t="s">
        <v>185</v>
      </c>
      <c r="C134" s="2" t="n">
        <v>41851</v>
      </c>
      <c r="D134" s="3" t="n">
        <v>144.0137</v>
      </c>
      <c r="E134" s="3" t="n">
        <v>110.42702</v>
      </c>
      <c r="F134" s="3" t="n">
        <v>178.25213</v>
      </c>
      <c r="G134" s="3" t="n">
        <v>95.09453</v>
      </c>
      <c r="H134" s="3" t="n">
        <v>137.35662</v>
      </c>
      <c r="I134" s="3" t="n">
        <v>147.39284</v>
      </c>
      <c r="J134" s="3" t="n">
        <v>147.02293</v>
      </c>
      <c r="K134" s="3" t="n">
        <v>154.33892</v>
      </c>
      <c r="L134" s="3" t="n">
        <v>160.55895</v>
      </c>
      <c r="M134" s="3" t="n">
        <v>185.10099</v>
      </c>
      <c r="N134" s="3" t="n">
        <v>176.44734</v>
      </c>
      <c r="O134" s="3" t="n">
        <v>135.40927</v>
      </c>
      <c r="P134" s="3" t="n">
        <v>144.08888</v>
      </c>
      <c r="Q134" s="3" t="n">
        <v>148.3051</v>
      </c>
      <c r="R134" s="3" t="n">
        <v>166.20768</v>
      </c>
      <c r="S134" s="3" t="n">
        <v>157.32305</v>
      </c>
    </row>
    <row r="135" customFormat="false" ht="15" hidden="false" customHeight="false" outlineLevel="0" collapsed="false">
      <c r="B135" s="0" t="s">
        <v>186</v>
      </c>
      <c r="C135" s="2" t="n">
        <v>41882</v>
      </c>
      <c r="D135" s="3" t="n">
        <v>143.6319</v>
      </c>
      <c r="E135" s="3" t="n">
        <v>68.65547</v>
      </c>
      <c r="F135" s="3" t="n">
        <v>174.45472</v>
      </c>
      <c r="G135" s="3" t="n">
        <v>94.06236</v>
      </c>
      <c r="H135" s="3" t="n">
        <v>136.83446</v>
      </c>
      <c r="I135" s="3" t="n">
        <v>137.10759</v>
      </c>
      <c r="J135" s="3" t="n">
        <v>147.20545</v>
      </c>
      <c r="K135" s="3" t="n">
        <v>151.75616</v>
      </c>
      <c r="L135" s="3" t="n">
        <v>158.32587</v>
      </c>
      <c r="M135" s="3" t="n">
        <v>180.85649</v>
      </c>
      <c r="N135" s="3" t="n">
        <v>176.68498</v>
      </c>
      <c r="O135" s="3" t="n">
        <v>133.8988</v>
      </c>
      <c r="P135" s="3" t="n">
        <v>144.70397</v>
      </c>
      <c r="Q135" s="3" t="n">
        <v>149.00328</v>
      </c>
      <c r="R135" s="3" t="n">
        <v>166.72754</v>
      </c>
      <c r="S135" s="3" t="n">
        <v>151.49399</v>
      </c>
    </row>
    <row r="136" customFormat="false" ht="15" hidden="false" customHeight="false" outlineLevel="0" collapsed="false">
      <c r="B136" s="0" t="s">
        <v>187</v>
      </c>
      <c r="C136" s="2" t="n">
        <v>41912</v>
      </c>
      <c r="D136" s="3" t="n">
        <v>143.52595</v>
      </c>
      <c r="E136" s="3" t="n">
        <v>67.11586</v>
      </c>
      <c r="F136" s="3" t="n">
        <v>195.68597</v>
      </c>
      <c r="G136" s="3" t="n">
        <v>93.37174</v>
      </c>
      <c r="H136" s="3" t="n">
        <v>139.49073</v>
      </c>
      <c r="I136" s="3" t="n">
        <v>129.72985</v>
      </c>
      <c r="J136" s="3" t="n">
        <v>149.5263</v>
      </c>
      <c r="K136" s="3" t="n">
        <v>158.82884</v>
      </c>
      <c r="L136" s="3" t="n">
        <v>158.22141</v>
      </c>
      <c r="M136" s="3" t="n">
        <v>179.62754</v>
      </c>
      <c r="N136" s="3" t="n">
        <v>178.34358</v>
      </c>
      <c r="O136" s="3" t="n">
        <v>135.38853</v>
      </c>
      <c r="P136" s="3" t="n">
        <v>144.90596</v>
      </c>
      <c r="Q136" s="3" t="n">
        <v>149.67228</v>
      </c>
      <c r="R136" s="3" t="n">
        <v>163.60507</v>
      </c>
      <c r="S136" s="3" t="n">
        <v>148.44811</v>
      </c>
    </row>
    <row r="137" customFormat="false" ht="15" hidden="false" customHeight="false" outlineLevel="0" collapsed="false">
      <c r="B137" s="0" t="s">
        <v>188</v>
      </c>
      <c r="C137" s="2" t="n">
        <v>41943</v>
      </c>
      <c r="D137" s="3" t="n">
        <v>143.84982</v>
      </c>
      <c r="E137" s="3" t="n">
        <v>69.33397</v>
      </c>
      <c r="F137" s="3" t="n">
        <v>215.35072</v>
      </c>
      <c r="G137" s="3" t="n">
        <v>96.08091</v>
      </c>
      <c r="H137" s="3" t="n">
        <v>144.75621</v>
      </c>
      <c r="I137" s="3" t="n">
        <v>138.68257</v>
      </c>
      <c r="J137" s="3" t="n">
        <v>142.4348</v>
      </c>
      <c r="K137" s="3" t="n">
        <v>161.61061</v>
      </c>
      <c r="L137" s="3" t="n">
        <v>164.51976</v>
      </c>
      <c r="M137" s="3" t="n">
        <v>182.37153</v>
      </c>
      <c r="N137" s="3" t="n">
        <v>178.64062</v>
      </c>
      <c r="O137" s="3" t="n">
        <v>135.77662</v>
      </c>
      <c r="P137" s="3" t="n">
        <v>145.13484</v>
      </c>
      <c r="Q137" s="3" t="n">
        <v>150.75033</v>
      </c>
      <c r="R137" s="3" t="n">
        <v>159.7515</v>
      </c>
      <c r="S137" s="3" t="n">
        <v>148.69215</v>
      </c>
    </row>
    <row r="138" customFormat="false" ht="15" hidden="false" customHeight="false" outlineLevel="0" collapsed="false">
      <c r="B138" s="0" t="s">
        <v>189</v>
      </c>
      <c r="C138" s="2" t="n">
        <v>41973</v>
      </c>
      <c r="D138" s="3" t="n">
        <v>144.81113</v>
      </c>
      <c r="E138" s="3" t="n">
        <v>83.92548</v>
      </c>
      <c r="F138" s="3" t="n">
        <v>143.79164</v>
      </c>
      <c r="G138" s="3" t="n">
        <v>92.73521</v>
      </c>
      <c r="H138" s="3" t="n">
        <v>139.42893</v>
      </c>
      <c r="I138" s="3" t="n">
        <v>133.889</v>
      </c>
      <c r="J138" s="3" t="n">
        <v>143.01018</v>
      </c>
      <c r="K138" s="3" t="n">
        <v>154.51078</v>
      </c>
      <c r="L138" s="3" t="n">
        <v>163.9895</v>
      </c>
      <c r="M138" s="3" t="n">
        <v>180.47837</v>
      </c>
      <c r="N138" s="3" t="n">
        <v>169.83906</v>
      </c>
      <c r="O138" s="3" t="n">
        <v>135.2379</v>
      </c>
      <c r="P138" s="3" t="n">
        <v>145.86878</v>
      </c>
      <c r="Q138" s="3" t="n">
        <v>150.8282</v>
      </c>
      <c r="R138" s="3" t="n">
        <v>159.61457</v>
      </c>
      <c r="S138" s="3" t="n">
        <v>148.75351</v>
      </c>
    </row>
    <row r="139" customFormat="false" ht="15" hidden="false" customHeight="false" outlineLevel="0" collapsed="false">
      <c r="B139" s="0" t="s">
        <v>190</v>
      </c>
      <c r="C139" s="2" t="n">
        <v>42004</v>
      </c>
      <c r="D139" s="3" t="n">
        <v>144.90914</v>
      </c>
      <c r="E139" s="3" t="n">
        <v>88.52395</v>
      </c>
      <c r="F139" s="3" t="n">
        <v>76.39107</v>
      </c>
      <c r="G139" s="3" t="n">
        <v>94.77314</v>
      </c>
      <c r="H139" s="3" t="n">
        <v>133.86233</v>
      </c>
      <c r="I139" s="3" t="n">
        <v>142.45562</v>
      </c>
      <c r="J139" s="3" t="n">
        <v>139.96445</v>
      </c>
      <c r="K139" s="3" t="n">
        <v>147.59685</v>
      </c>
      <c r="L139" s="3" t="n">
        <v>162.91977</v>
      </c>
      <c r="M139" s="3" t="n">
        <v>179.91374</v>
      </c>
      <c r="N139" s="3" t="n">
        <v>176.14249</v>
      </c>
      <c r="O139" s="3" t="n">
        <v>139.32975</v>
      </c>
      <c r="P139" s="3" t="n">
        <v>147.22099</v>
      </c>
      <c r="Q139" s="3" t="n">
        <v>150.85455</v>
      </c>
      <c r="R139" s="3" t="n">
        <v>153.61824</v>
      </c>
      <c r="S139" s="3" t="n">
        <v>147.50164</v>
      </c>
    </row>
    <row r="140" customFormat="false" ht="15" hidden="false" customHeight="false" outlineLevel="0" collapsed="false">
      <c r="B140" s="0" t="s">
        <v>191</v>
      </c>
      <c r="C140" s="2" t="n">
        <v>42035</v>
      </c>
      <c r="D140" s="3" t="n">
        <v>144.24479</v>
      </c>
      <c r="E140" s="3" t="n">
        <v>61.32174</v>
      </c>
      <c r="F140" s="3" t="n">
        <v>49.07539</v>
      </c>
      <c r="G140" s="3" t="n">
        <v>95.14667</v>
      </c>
      <c r="H140" s="3" t="n">
        <v>118.27274</v>
      </c>
      <c r="I140" s="3" t="n">
        <v>149.12423</v>
      </c>
      <c r="J140" s="3" t="n">
        <v>146.68971</v>
      </c>
      <c r="K140" s="3" t="n">
        <v>133.04973</v>
      </c>
      <c r="L140" s="3" t="n">
        <v>171.67831</v>
      </c>
      <c r="M140" s="3" t="n">
        <v>178.84369</v>
      </c>
      <c r="N140" s="3" t="n">
        <v>176.13005</v>
      </c>
      <c r="O140" s="3" t="n">
        <v>128.37764</v>
      </c>
      <c r="P140" s="3" t="n">
        <v>146.2058</v>
      </c>
      <c r="Q140" s="3" t="n">
        <v>146.547</v>
      </c>
      <c r="R140" s="3" t="n">
        <v>167.45128</v>
      </c>
      <c r="S140" s="3" t="n">
        <v>150.79205</v>
      </c>
    </row>
    <row r="141" customFormat="false" ht="15" hidden="false" customHeight="false" outlineLevel="0" collapsed="false">
      <c r="B141" s="0" t="s">
        <v>192</v>
      </c>
      <c r="C141" s="2" t="n">
        <v>42063</v>
      </c>
      <c r="D141" s="3" t="n">
        <v>148.08726</v>
      </c>
      <c r="E141" s="3" t="n">
        <v>70.3475</v>
      </c>
      <c r="F141" s="3" t="n">
        <v>82.3402</v>
      </c>
      <c r="G141" s="3" t="n">
        <v>88.28847</v>
      </c>
      <c r="H141" s="3" t="n">
        <v>116.83817</v>
      </c>
      <c r="I141" s="3" t="n">
        <v>137.09953</v>
      </c>
      <c r="J141" s="3" t="n">
        <v>147.78299</v>
      </c>
      <c r="K141" s="3" t="n">
        <v>142.45277</v>
      </c>
      <c r="L141" s="3" t="n">
        <v>160.53796</v>
      </c>
      <c r="M141" s="3" t="n">
        <v>173.50928</v>
      </c>
      <c r="N141" s="3" t="n">
        <v>172.36309</v>
      </c>
      <c r="O141" s="3" t="n">
        <v>129.19152</v>
      </c>
      <c r="P141" s="3" t="n">
        <v>146.36717</v>
      </c>
      <c r="Q141" s="3" t="n">
        <v>146.3085</v>
      </c>
      <c r="R141" s="3" t="n">
        <v>158.48934</v>
      </c>
      <c r="S141" s="3" t="n">
        <v>148.71964</v>
      </c>
    </row>
    <row r="142" customFormat="false" ht="15" hidden="false" customHeight="false" outlineLevel="0" collapsed="false">
      <c r="B142" s="0" t="s">
        <v>193</v>
      </c>
      <c r="C142" s="2" t="n">
        <v>42094</v>
      </c>
      <c r="D142" s="3" t="n">
        <v>147.60559</v>
      </c>
      <c r="E142" s="3" t="n">
        <v>144.42821</v>
      </c>
      <c r="F142" s="3" t="n">
        <v>141.821</v>
      </c>
      <c r="G142" s="3" t="n">
        <v>97.37516</v>
      </c>
      <c r="H142" s="3" t="n">
        <v>134.92722</v>
      </c>
      <c r="I142" s="3" t="n">
        <v>151.53933</v>
      </c>
      <c r="J142" s="3" t="n">
        <v>151.92016</v>
      </c>
      <c r="K142" s="3" t="n">
        <v>170.02513</v>
      </c>
      <c r="L142" s="3" t="n">
        <v>150.91734</v>
      </c>
      <c r="M142" s="3" t="n">
        <v>182.99955</v>
      </c>
      <c r="N142" s="3" t="n">
        <v>176.96224</v>
      </c>
      <c r="O142" s="3" t="n">
        <v>133.17429</v>
      </c>
      <c r="P142" s="3" t="n">
        <v>147.87619</v>
      </c>
      <c r="Q142" s="3" t="n">
        <v>147.26943</v>
      </c>
      <c r="R142" s="3" t="n">
        <v>172.15743</v>
      </c>
      <c r="S142" s="3" t="n">
        <v>141.31158</v>
      </c>
    </row>
    <row r="143" customFormat="false" ht="15" hidden="false" customHeight="false" outlineLevel="0" collapsed="false">
      <c r="B143" s="0" t="s">
        <v>194</v>
      </c>
      <c r="C143" s="2" t="n">
        <v>42124</v>
      </c>
      <c r="D143" s="3" t="n">
        <v>149.56613</v>
      </c>
      <c r="E143" s="3" t="n">
        <v>240.91709</v>
      </c>
      <c r="F143" s="3" t="n">
        <v>146.55911</v>
      </c>
      <c r="G143" s="3" t="n">
        <v>93.84316</v>
      </c>
      <c r="H143" s="3" t="n">
        <v>137.38139</v>
      </c>
      <c r="I143" s="3" t="n">
        <v>132.0475</v>
      </c>
      <c r="J143" s="3" t="n">
        <v>151.98459</v>
      </c>
      <c r="K143" s="3" t="n">
        <v>153.79013</v>
      </c>
      <c r="L143" s="3" t="n">
        <v>147.6387</v>
      </c>
      <c r="M143" s="3" t="n">
        <v>190.61183</v>
      </c>
      <c r="N143" s="3" t="n">
        <v>176.30672</v>
      </c>
      <c r="O143" s="3" t="n">
        <v>135.51871</v>
      </c>
      <c r="P143" s="3" t="n">
        <v>146.98245</v>
      </c>
      <c r="Q143" s="3" t="n">
        <v>150.08923</v>
      </c>
      <c r="R143" s="3" t="n">
        <v>177.4422</v>
      </c>
      <c r="S143" s="3" t="n">
        <v>150.77404</v>
      </c>
    </row>
    <row r="144" customFormat="false" ht="15" hidden="false" customHeight="false" outlineLevel="0" collapsed="false">
      <c r="B144" s="0" t="s">
        <v>195</v>
      </c>
      <c r="C144" s="2" t="n">
        <v>42155</v>
      </c>
      <c r="D144" s="3" t="n">
        <v>149.8329</v>
      </c>
      <c r="E144" s="3" t="n">
        <v>365.65897</v>
      </c>
      <c r="F144" s="3" t="n">
        <v>182.75032</v>
      </c>
      <c r="G144" s="3" t="n">
        <v>100.67852</v>
      </c>
      <c r="H144" s="3" t="n">
        <v>139.36106</v>
      </c>
      <c r="I144" s="3" t="n">
        <v>143.78231</v>
      </c>
      <c r="J144" s="3" t="n">
        <v>153.40956</v>
      </c>
      <c r="K144" s="3" t="n">
        <v>156.77043</v>
      </c>
      <c r="L144" s="3" t="n">
        <v>144.46635</v>
      </c>
      <c r="M144" s="3" t="n">
        <v>198.27997</v>
      </c>
      <c r="N144" s="3" t="n">
        <v>172.79118</v>
      </c>
      <c r="O144" s="3" t="n">
        <v>136.51663</v>
      </c>
      <c r="P144" s="3" t="n">
        <v>147.44946</v>
      </c>
      <c r="Q144" s="3" t="n">
        <v>152.06763</v>
      </c>
      <c r="R144" s="3" t="n">
        <v>180.63345</v>
      </c>
      <c r="S144" s="3" t="n">
        <v>144.10843</v>
      </c>
    </row>
    <row r="145" customFormat="false" ht="15" hidden="false" customHeight="false" outlineLevel="0" collapsed="false">
      <c r="B145" s="0" t="s">
        <v>196</v>
      </c>
      <c r="C145" s="2" t="n">
        <v>42185</v>
      </c>
      <c r="D145" s="3" t="n">
        <v>150.65951</v>
      </c>
      <c r="E145" s="3" t="n">
        <v>244.31854</v>
      </c>
      <c r="F145" s="3" t="n">
        <v>171.30789</v>
      </c>
      <c r="G145" s="3" t="n">
        <v>94.46008</v>
      </c>
      <c r="H145" s="3" t="n">
        <v>143.47164</v>
      </c>
      <c r="I145" s="3" t="n">
        <v>145.09812</v>
      </c>
      <c r="J145" s="3" t="n">
        <v>155.64654</v>
      </c>
      <c r="K145" s="3" t="n">
        <v>171.1046</v>
      </c>
      <c r="L145" s="3" t="n">
        <v>145.33011</v>
      </c>
      <c r="M145" s="3" t="n">
        <v>195.40465</v>
      </c>
      <c r="N145" s="3" t="n">
        <v>184.87961</v>
      </c>
      <c r="O145" s="3" t="n">
        <v>139.2314</v>
      </c>
      <c r="P145" s="3" t="n">
        <v>149.41821</v>
      </c>
      <c r="Q145" s="3" t="n">
        <v>154.23239</v>
      </c>
      <c r="R145" s="3" t="n">
        <v>186.13448</v>
      </c>
      <c r="S145" s="3" t="n">
        <v>151.50738</v>
      </c>
    </row>
    <row r="146" customFormat="false" ht="15" hidden="false" customHeight="false" outlineLevel="0" collapsed="false">
      <c r="B146" s="0" t="s">
        <v>197</v>
      </c>
      <c r="C146" s="2" t="n">
        <v>42216</v>
      </c>
      <c r="D146" s="3" t="n">
        <v>150.53913</v>
      </c>
      <c r="E146" s="3" t="n">
        <v>115.60814</v>
      </c>
      <c r="F146" s="3" t="n">
        <v>195.73492</v>
      </c>
      <c r="G146" s="3" t="n">
        <v>98.48089</v>
      </c>
      <c r="H146" s="3" t="n">
        <v>141.8834</v>
      </c>
      <c r="I146" s="3" t="n">
        <v>150.96215</v>
      </c>
      <c r="J146" s="3" t="n">
        <v>158.10424</v>
      </c>
      <c r="K146" s="3" t="n">
        <v>162.76093</v>
      </c>
      <c r="L146" s="3" t="n">
        <v>163.4317</v>
      </c>
      <c r="M146" s="3" t="n">
        <v>193.05419</v>
      </c>
      <c r="N146" s="3" t="n">
        <v>182.82424</v>
      </c>
      <c r="O146" s="3" t="n">
        <v>141.3413</v>
      </c>
      <c r="P146" s="3" t="n">
        <v>149.86413</v>
      </c>
      <c r="Q146" s="3" t="n">
        <v>153.67299</v>
      </c>
      <c r="R146" s="3" t="n">
        <v>171.17108</v>
      </c>
      <c r="S146" s="3" t="n">
        <v>170.5902</v>
      </c>
    </row>
    <row r="147" customFormat="false" ht="15" hidden="false" customHeight="false" outlineLevel="0" collapsed="false">
      <c r="B147" s="0" t="s">
        <v>198</v>
      </c>
      <c r="C147" s="2" t="n">
        <v>42247</v>
      </c>
      <c r="D147" s="3" t="n">
        <v>150.34522</v>
      </c>
      <c r="E147" s="3" t="n">
        <v>68.81775</v>
      </c>
      <c r="F147" s="3" t="n">
        <v>213.41732</v>
      </c>
      <c r="G147" s="3" t="n">
        <v>96.67542</v>
      </c>
      <c r="H147" s="3" t="n">
        <v>143.65164</v>
      </c>
      <c r="I147" s="3" t="n">
        <v>146.61681</v>
      </c>
      <c r="J147" s="3" t="n">
        <v>156.44718</v>
      </c>
      <c r="K147" s="3" t="n">
        <v>164.54508</v>
      </c>
      <c r="L147" s="3" t="n">
        <v>159.29244</v>
      </c>
      <c r="M147" s="3" t="n">
        <v>189.46948</v>
      </c>
      <c r="N147" s="3" t="n">
        <v>182.61054</v>
      </c>
      <c r="O147" s="3" t="n">
        <v>135.64399</v>
      </c>
      <c r="P147" s="3" t="n">
        <v>150.79371</v>
      </c>
      <c r="Q147" s="3" t="n">
        <v>155.1661</v>
      </c>
      <c r="R147" s="3" t="n">
        <v>171.84142</v>
      </c>
      <c r="S147" s="3" t="n">
        <v>152.01403</v>
      </c>
    </row>
    <row r="148" customFormat="false" ht="15" hidden="false" customHeight="false" outlineLevel="0" collapsed="false">
      <c r="B148" s="0" t="s">
        <v>199</v>
      </c>
      <c r="C148" s="2" t="n">
        <v>42277</v>
      </c>
      <c r="D148" s="3" t="n">
        <v>149.00537</v>
      </c>
      <c r="E148" s="3" t="n">
        <v>64.55009</v>
      </c>
      <c r="F148" s="3" t="n">
        <v>209.04555</v>
      </c>
      <c r="G148" s="3" t="n">
        <v>94.30159</v>
      </c>
      <c r="H148" s="3" t="n">
        <v>140.46466</v>
      </c>
      <c r="I148" s="3" t="n">
        <v>139.84063</v>
      </c>
      <c r="J148" s="3" t="n">
        <v>157.31001</v>
      </c>
      <c r="K148" s="3" t="n">
        <v>163.30995</v>
      </c>
      <c r="L148" s="3" t="n">
        <v>159.69379</v>
      </c>
      <c r="M148" s="3" t="n">
        <v>188.92931</v>
      </c>
      <c r="N148" s="3" t="n">
        <v>181.79409</v>
      </c>
      <c r="O148" s="3" t="n">
        <v>137.68988</v>
      </c>
      <c r="P148" s="3" t="n">
        <v>150.36437</v>
      </c>
      <c r="Q148" s="3" t="n">
        <v>155.7524</v>
      </c>
      <c r="R148" s="3" t="n">
        <v>169.07424</v>
      </c>
      <c r="S148" s="3" t="n">
        <v>143.96083</v>
      </c>
    </row>
    <row r="149" customFormat="false" ht="15" hidden="false" customHeight="false" outlineLevel="0" collapsed="false">
      <c r="B149" s="0" t="s">
        <v>200</v>
      </c>
      <c r="C149" s="2" t="n">
        <v>42308</v>
      </c>
      <c r="D149" s="3" t="n">
        <v>149.30047</v>
      </c>
      <c r="E149" s="3" t="n">
        <v>69.96092</v>
      </c>
      <c r="F149" s="3" t="n">
        <v>211.30575</v>
      </c>
      <c r="G149" s="3" t="n">
        <v>96.17985</v>
      </c>
      <c r="H149" s="3" t="n">
        <v>145.63068</v>
      </c>
      <c r="I149" s="3" t="n">
        <v>141.22232</v>
      </c>
      <c r="J149" s="3" t="n">
        <v>150.13553</v>
      </c>
      <c r="K149" s="3" t="n">
        <v>165.73757</v>
      </c>
      <c r="L149" s="3" t="n">
        <v>166.55672</v>
      </c>
      <c r="M149" s="3" t="n">
        <v>188.30949</v>
      </c>
      <c r="N149" s="3" t="n">
        <v>185.03426</v>
      </c>
      <c r="O149" s="3" t="n">
        <v>137.88815</v>
      </c>
      <c r="P149" s="3" t="n">
        <v>151.13445</v>
      </c>
      <c r="Q149" s="3" t="n">
        <v>156.10138</v>
      </c>
      <c r="R149" s="3" t="n">
        <v>164.45163</v>
      </c>
      <c r="S149" s="3" t="n">
        <v>148.00782</v>
      </c>
    </row>
    <row r="150" customFormat="false" ht="15" hidden="false" customHeight="false" outlineLevel="0" collapsed="false">
      <c r="B150" s="0" t="s">
        <v>201</v>
      </c>
      <c r="C150" s="2" t="n">
        <v>42338</v>
      </c>
      <c r="D150" s="3" t="n">
        <v>148.58071</v>
      </c>
      <c r="E150" s="3" t="n">
        <v>86.5655</v>
      </c>
      <c r="F150" s="3" t="n">
        <v>168.75427</v>
      </c>
      <c r="G150" s="3" t="n">
        <v>92.56422</v>
      </c>
      <c r="H150" s="3" t="n">
        <v>141.44752</v>
      </c>
      <c r="I150" s="3" t="n">
        <v>133.47496</v>
      </c>
      <c r="J150" s="3" t="n">
        <v>147.61785</v>
      </c>
      <c r="K150" s="3" t="n">
        <v>166.60493</v>
      </c>
      <c r="L150" s="3" t="n">
        <v>166.9606</v>
      </c>
      <c r="M150" s="3" t="n">
        <v>185.17534</v>
      </c>
      <c r="N150" s="3" t="n">
        <v>183.6219</v>
      </c>
      <c r="O150" s="3" t="n">
        <v>138.0781</v>
      </c>
      <c r="P150" s="3" t="n">
        <v>151.95932</v>
      </c>
      <c r="Q150" s="3" t="n">
        <v>156.63413</v>
      </c>
      <c r="R150" s="3" t="n">
        <v>164.56945</v>
      </c>
      <c r="S150" s="3" t="n">
        <v>146.29186</v>
      </c>
    </row>
    <row r="151" customFormat="false" ht="15" hidden="false" customHeight="false" outlineLevel="0" collapsed="false">
      <c r="B151" s="0" t="s">
        <v>202</v>
      </c>
      <c r="C151" s="2" t="n">
        <v>42369</v>
      </c>
      <c r="D151" s="3" t="n">
        <v>146.93186</v>
      </c>
      <c r="E151" s="3" t="n">
        <v>89.89063</v>
      </c>
      <c r="F151" s="3" t="n">
        <v>90.78422</v>
      </c>
      <c r="G151" s="3" t="n">
        <v>93.20289</v>
      </c>
      <c r="H151" s="3" t="n">
        <v>132.88156</v>
      </c>
      <c r="I151" s="3" t="n">
        <v>149.73802</v>
      </c>
      <c r="J151" s="3" t="n">
        <v>138.77761</v>
      </c>
      <c r="K151" s="3" t="n">
        <v>145.74958</v>
      </c>
      <c r="L151" s="3" t="n">
        <v>165.21035</v>
      </c>
      <c r="M151" s="3" t="n">
        <v>183.59593</v>
      </c>
      <c r="N151" s="3" t="n">
        <v>187.59344</v>
      </c>
      <c r="O151" s="3" t="n">
        <v>140.55859</v>
      </c>
      <c r="P151" s="3" t="n">
        <v>152.82938</v>
      </c>
      <c r="Q151" s="3" t="n">
        <v>156.699</v>
      </c>
      <c r="R151" s="3" t="n">
        <v>158.20706</v>
      </c>
      <c r="S151" s="3" t="n">
        <v>146.61442</v>
      </c>
    </row>
    <row r="152" customFormat="false" ht="15" hidden="false" customHeight="false" outlineLevel="0" collapsed="false">
      <c r="B152" s="0" t="s">
        <v>203</v>
      </c>
      <c r="C152" s="2" t="n">
        <v>42400</v>
      </c>
      <c r="D152" s="3" t="n">
        <v>147.90289</v>
      </c>
      <c r="E152" s="3" t="n">
        <v>64.6171</v>
      </c>
      <c r="F152" s="3" t="n">
        <v>60.06861</v>
      </c>
      <c r="G152" s="3" t="n">
        <v>90.90368</v>
      </c>
      <c r="H152" s="3" t="n">
        <v>113.98247</v>
      </c>
      <c r="I152" s="3" t="n">
        <v>154.00913</v>
      </c>
      <c r="J152" s="3" t="n">
        <v>141.66154</v>
      </c>
      <c r="K152" s="3" t="n">
        <v>130.55949</v>
      </c>
      <c r="L152" s="3" t="n">
        <v>169.91865</v>
      </c>
      <c r="M152" s="3" t="n">
        <v>189.17877</v>
      </c>
      <c r="N152" s="3" t="n">
        <v>179.47112</v>
      </c>
      <c r="O152" s="3" t="n">
        <v>129.42128</v>
      </c>
      <c r="P152" s="3" t="n">
        <v>152.24783</v>
      </c>
      <c r="Q152" s="3" t="n">
        <v>151.78063</v>
      </c>
      <c r="R152" s="3" t="n">
        <v>172.13267</v>
      </c>
      <c r="S152" s="3" t="n">
        <v>144.69726</v>
      </c>
    </row>
    <row r="153" customFormat="false" ht="15" hidden="false" customHeight="false" outlineLevel="0" collapsed="false">
      <c r="B153" s="0" t="s">
        <v>204</v>
      </c>
      <c r="C153" s="2" t="n">
        <v>42429</v>
      </c>
      <c r="D153" s="3" t="n">
        <v>146.87869</v>
      </c>
      <c r="E153" s="3" t="n">
        <v>70.07331</v>
      </c>
      <c r="F153" s="3" t="n">
        <v>105.73887</v>
      </c>
      <c r="G153" s="3" t="n">
        <v>86.8864</v>
      </c>
      <c r="H153" s="3" t="n">
        <v>114.21741</v>
      </c>
      <c r="I153" s="3" t="n">
        <v>146.78197</v>
      </c>
      <c r="J153" s="3" t="n">
        <v>138.962</v>
      </c>
      <c r="K153" s="3" t="n">
        <v>140.3212</v>
      </c>
      <c r="L153" s="3" t="n">
        <v>163.66937</v>
      </c>
      <c r="M153" s="3" t="n">
        <v>184.08857</v>
      </c>
      <c r="N153" s="3" t="n">
        <v>172.6756</v>
      </c>
      <c r="O153" s="3" t="n">
        <v>130.50209</v>
      </c>
      <c r="P153" s="3" t="n">
        <v>152.31801</v>
      </c>
      <c r="Q153" s="3" t="n">
        <v>152.32787</v>
      </c>
      <c r="R153" s="3" t="n">
        <v>163.53608</v>
      </c>
      <c r="S153" s="3" t="n">
        <v>148.1795</v>
      </c>
    </row>
    <row r="154" customFormat="false" ht="15" hidden="false" customHeight="false" outlineLevel="0" collapsed="false">
      <c r="B154" s="0" t="s">
        <v>205</v>
      </c>
      <c r="C154" s="2" t="n">
        <v>42460</v>
      </c>
      <c r="D154" s="3" t="n">
        <v>145.96567</v>
      </c>
      <c r="E154" s="3" t="n">
        <v>136.66839</v>
      </c>
      <c r="F154" s="3" t="n">
        <v>128.15048</v>
      </c>
      <c r="G154" s="3" t="n">
        <v>92.7385</v>
      </c>
      <c r="H154" s="3" t="n">
        <v>130.51277</v>
      </c>
      <c r="I154" s="3" t="n">
        <v>140.48973</v>
      </c>
      <c r="J154" s="3" t="n">
        <v>140.6387</v>
      </c>
      <c r="K154" s="3" t="n">
        <v>171.95453</v>
      </c>
      <c r="L154" s="3" t="n">
        <v>156.36326</v>
      </c>
      <c r="M154" s="3" t="n">
        <v>193.88948</v>
      </c>
      <c r="N154" s="3" t="n">
        <v>177.28115</v>
      </c>
      <c r="O154" s="3" t="n">
        <v>134.3402</v>
      </c>
      <c r="P154" s="3" t="n">
        <v>151.76832</v>
      </c>
      <c r="Q154" s="3" t="n">
        <v>153.90878</v>
      </c>
      <c r="R154" s="3" t="n">
        <v>177.17082</v>
      </c>
      <c r="S154" s="3" t="n">
        <v>153.0179</v>
      </c>
    </row>
    <row r="155" customFormat="false" ht="15" hidden="false" customHeight="false" outlineLevel="0" collapsed="false">
      <c r="B155" s="0" t="s">
        <v>206</v>
      </c>
      <c r="C155" s="2" t="n">
        <v>42490</v>
      </c>
      <c r="D155" s="3" t="n">
        <v>144.71514</v>
      </c>
      <c r="E155" s="3" t="n">
        <v>222.24407</v>
      </c>
      <c r="F155" s="3" t="n">
        <v>90.44862</v>
      </c>
      <c r="G155" s="3" t="n">
        <v>90.40262</v>
      </c>
      <c r="H155" s="3" t="n">
        <v>129.69256</v>
      </c>
      <c r="I155" s="3" t="n">
        <v>138.49726</v>
      </c>
      <c r="J155" s="3" t="n">
        <v>126.02676</v>
      </c>
      <c r="K155" s="3" t="n">
        <v>152.6199</v>
      </c>
      <c r="L155" s="3" t="n">
        <v>152.19811</v>
      </c>
      <c r="M155" s="3" t="n">
        <v>193.53071</v>
      </c>
      <c r="N155" s="3" t="n">
        <v>172.46925</v>
      </c>
      <c r="O155" s="3" t="n">
        <v>134.71395</v>
      </c>
      <c r="P155" s="3" t="n">
        <v>152.19752</v>
      </c>
      <c r="Q155" s="3" t="n">
        <v>153.89804</v>
      </c>
      <c r="R155" s="3" t="n">
        <v>182.03205</v>
      </c>
      <c r="S155" s="3" t="n">
        <v>146.4935</v>
      </c>
    </row>
    <row r="156" customFormat="false" ht="15" hidden="false" customHeight="false" outlineLevel="0" collapsed="false">
      <c r="B156" s="0" t="s">
        <v>207</v>
      </c>
      <c r="C156" s="2" t="n">
        <v>42521</v>
      </c>
      <c r="D156" s="3" t="n">
        <v>144.57675</v>
      </c>
      <c r="E156" s="3" t="n">
        <v>329.74534</v>
      </c>
      <c r="F156" s="3" t="n">
        <v>117.25828</v>
      </c>
      <c r="G156" s="3" t="n">
        <v>92.82011</v>
      </c>
      <c r="H156" s="3" t="n">
        <v>132.09436</v>
      </c>
      <c r="I156" s="3" t="n">
        <v>150.85736</v>
      </c>
      <c r="J156" s="3" t="n">
        <v>134.22491</v>
      </c>
      <c r="K156" s="3" t="n">
        <v>153.96296</v>
      </c>
      <c r="L156" s="3" t="n">
        <v>147.62172</v>
      </c>
      <c r="M156" s="3" t="n">
        <v>204.46938</v>
      </c>
      <c r="N156" s="3" t="n">
        <v>169.10639</v>
      </c>
      <c r="O156" s="3" t="n">
        <v>136.42821</v>
      </c>
      <c r="P156" s="3" t="n">
        <v>152.58959</v>
      </c>
      <c r="Q156" s="3" t="n">
        <v>155.13058</v>
      </c>
      <c r="R156" s="3" t="n">
        <v>185.60959</v>
      </c>
      <c r="S156" s="3" t="n">
        <v>149.6957</v>
      </c>
    </row>
    <row r="157" customFormat="false" ht="15" hidden="false" customHeight="false" outlineLevel="0" collapsed="false">
      <c r="B157" s="0" t="s">
        <v>208</v>
      </c>
      <c r="C157" s="2" t="n">
        <v>42551</v>
      </c>
      <c r="D157" s="3" t="n">
        <v>144.37905</v>
      </c>
      <c r="E157" s="3" t="n">
        <v>222.36057</v>
      </c>
      <c r="F157" s="3" t="n">
        <v>213.88095</v>
      </c>
      <c r="G157" s="3" t="n">
        <v>88.15854</v>
      </c>
      <c r="H157" s="3" t="n">
        <v>125.65679</v>
      </c>
      <c r="I157" s="3" t="n">
        <v>148.40332</v>
      </c>
      <c r="J157" s="3" t="n">
        <v>128.5682</v>
      </c>
      <c r="K157" s="3" t="n">
        <v>155.93745</v>
      </c>
      <c r="L157" s="3" t="n">
        <v>148.01296</v>
      </c>
      <c r="M157" s="3" t="n">
        <v>197.77917</v>
      </c>
      <c r="N157" s="3" t="n">
        <v>170.47758</v>
      </c>
      <c r="O157" s="3" t="n">
        <v>138.69536</v>
      </c>
      <c r="P157" s="3" t="n">
        <v>153.54515</v>
      </c>
      <c r="Q157" s="3" t="n">
        <v>157.18239</v>
      </c>
      <c r="R157" s="3" t="n">
        <v>190.66643</v>
      </c>
      <c r="S157" s="3" t="n">
        <v>153.82768</v>
      </c>
    </row>
    <row r="158" customFormat="false" ht="15" hidden="false" customHeight="false" outlineLevel="0" collapsed="false">
      <c r="B158" s="0" t="s">
        <v>209</v>
      </c>
      <c r="C158" s="2" t="n">
        <v>42582</v>
      </c>
      <c r="D158" s="3" t="n">
        <v>144.58279</v>
      </c>
      <c r="E158" s="3" t="n">
        <v>113.21856</v>
      </c>
      <c r="F158" s="3" t="n">
        <v>238.82358</v>
      </c>
      <c r="G158" s="3" t="n">
        <v>91.87078</v>
      </c>
      <c r="H158" s="3" t="n">
        <v>127.05698</v>
      </c>
      <c r="I158" s="3" t="n">
        <v>154.0867</v>
      </c>
      <c r="J158" s="3" t="n">
        <v>128.66698</v>
      </c>
      <c r="K158" s="3" t="n">
        <v>148.72842</v>
      </c>
      <c r="L158" s="3" t="n">
        <v>164.99727</v>
      </c>
      <c r="M158" s="3" t="n">
        <v>194.91487</v>
      </c>
      <c r="N158" s="3" t="n">
        <v>169.51022</v>
      </c>
      <c r="O158" s="3" t="n">
        <v>135.95334</v>
      </c>
      <c r="P158" s="3" t="n">
        <v>153.49023</v>
      </c>
      <c r="Q158" s="3" t="n">
        <v>157.75034</v>
      </c>
      <c r="R158" s="3" t="n">
        <v>175.6213</v>
      </c>
      <c r="S158" s="3" t="n">
        <v>167.85268</v>
      </c>
    </row>
    <row r="159" customFormat="false" ht="15" hidden="false" customHeight="false" outlineLevel="0" collapsed="false">
      <c r="B159" s="0" t="s">
        <v>210</v>
      </c>
      <c r="C159" s="2" t="n">
        <v>42613</v>
      </c>
      <c r="D159" s="3" t="n">
        <v>145.6509</v>
      </c>
      <c r="E159" s="3" t="n">
        <v>70.70499</v>
      </c>
      <c r="F159" s="3" t="n">
        <v>254.31098</v>
      </c>
      <c r="G159" s="3" t="n">
        <v>91.21455</v>
      </c>
      <c r="H159" s="3" t="n">
        <v>132.71595</v>
      </c>
      <c r="I159" s="3" t="n">
        <v>145.65136</v>
      </c>
      <c r="J159" s="3" t="n">
        <v>144.70891</v>
      </c>
      <c r="K159" s="3" t="n">
        <v>157.41711</v>
      </c>
      <c r="L159" s="3" t="n">
        <v>163.4264</v>
      </c>
      <c r="M159" s="3" t="n">
        <v>195.01443</v>
      </c>
      <c r="N159" s="3" t="n">
        <v>177.64275</v>
      </c>
      <c r="O159" s="3" t="n">
        <v>138.10995</v>
      </c>
      <c r="P159" s="3" t="n">
        <v>152.88757</v>
      </c>
      <c r="Q159" s="3" t="n">
        <v>157.70043</v>
      </c>
      <c r="R159" s="3" t="n">
        <v>175.71052</v>
      </c>
      <c r="S159" s="3" t="n">
        <v>148.45537</v>
      </c>
    </row>
    <row r="160" customFormat="false" ht="15" hidden="false" customHeight="false" outlineLevel="0" collapsed="false">
      <c r="B160" s="0" t="s">
        <v>211</v>
      </c>
      <c r="C160" s="2" t="n">
        <v>42643</v>
      </c>
      <c r="D160" s="3" t="n">
        <v>145.0188</v>
      </c>
      <c r="E160" s="3" t="n">
        <v>61.92436</v>
      </c>
      <c r="F160" s="3" t="n">
        <v>199.6753</v>
      </c>
      <c r="G160" s="3" t="n">
        <v>89.94995</v>
      </c>
      <c r="H160" s="3" t="n">
        <v>135.53529</v>
      </c>
      <c r="I160" s="3" t="n">
        <v>140.53137</v>
      </c>
      <c r="J160" s="3" t="n">
        <v>136.90842</v>
      </c>
      <c r="K160" s="3" t="n">
        <v>157.25632</v>
      </c>
      <c r="L160" s="3" t="n">
        <v>160.8173</v>
      </c>
      <c r="M160" s="3" t="n">
        <v>192.08877</v>
      </c>
      <c r="N160" s="3" t="n">
        <v>171.42518</v>
      </c>
      <c r="O160" s="3" t="n">
        <v>136.29745</v>
      </c>
      <c r="P160" s="3" t="n">
        <v>152.85529</v>
      </c>
      <c r="Q160" s="3" t="n">
        <v>158.10155</v>
      </c>
      <c r="R160" s="3" t="n">
        <v>172.67102</v>
      </c>
      <c r="S160" s="3" t="n">
        <v>142.7343</v>
      </c>
    </row>
    <row r="161" customFormat="false" ht="15" hidden="false" customHeight="false" outlineLevel="0" collapsed="false">
      <c r="B161" s="0" t="s">
        <v>212</v>
      </c>
      <c r="C161" s="2" t="n">
        <v>42674</v>
      </c>
      <c r="D161" s="3" t="n">
        <v>145.15354</v>
      </c>
      <c r="E161" s="3" t="n">
        <v>70.83907</v>
      </c>
      <c r="F161" s="3" t="n">
        <v>224.6844</v>
      </c>
      <c r="G161" s="3" t="n">
        <v>89.97368</v>
      </c>
      <c r="H161" s="3" t="n">
        <v>134.50621</v>
      </c>
      <c r="I161" s="3" t="n">
        <v>135.17266</v>
      </c>
      <c r="J161" s="3" t="n">
        <v>127.61692</v>
      </c>
      <c r="K161" s="3" t="n">
        <v>154.72634</v>
      </c>
      <c r="L161" s="3" t="n">
        <v>169.97085</v>
      </c>
      <c r="M161" s="3" t="n">
        <v>192.33397</v>
      </c>
      <c r="N161" s="3" t="n">
        <v>173.77477</v>
      </c>
      <c r="O161" s="3" t="n">
        <v>136.52206</v>
      </c>
      <c r="P161" s="3" t="n">
        <v>153.09147</v>
      </c>
      <c r="Q161" s="3" t="n">
        <v>159.19539</v>
      </c>
      <c r="R161" s="3" t="n">
        <v>168.26511</v>
      </c>
      <c r="S161" s="3" t="n">
        <v>147.42716</v>
      </c>
    </row>
    <row r="162" customFormat="false" ht="15" hidden="false" customHeight="false" outlineLevel="0" collapsed="false">
      <c r="B162" s="0" t="s">
        <v>213</v>
      </c>
      <c r="C162" s="2" t="n">
        <v>42704</v>
      </c>
      <c r="D162" s="3" t="n">
        <v>145.78825</v>
      </c>
      <c r="E162" s="3" t="n">
        <v>86.52813</v>
      </c>
      <c r="F162" s="3" t="n">
        <v>127.59211</v>
      </c>
      <c r="G162" s="3" t="n">
        <v>85.95468</v>
      </c>
      <c r="H162" s="3" t="n">
        <v>138.35935</v>
      </c>
      <c r="I162" s="3" t="n">
        <v>133.68775</v>
      </c>
      <c r="J162" s="3" t="n">
        <v>133.98802</v>
      </c>
      <c r="K162" s="3" t="n">
        <v>164.05023</v>
      </c>
      <c r="L162" s="3" t="n">
        <v>169.92111</v>
      </c>
      <c r="M162" s="3" t="n">
        <v>194.06794</v>
      </c>
      <c r="N162" s="3" t="n">
        <v>174.41735</v>
      </c>
      <c r="O162" s="3" t="n">
        <v>138.50989</v>
      </c>
      <c r="P162" s="3" t="n">
        <v>153.57792</v>
      </c>
      <c r="Q162" s="3" t="n">
        <v>159.62997</v>
      </c>
      <c r="R162" s="3" t="n">
        <v>168.04042</v>
      </c>
      <c r="S162" s="3" t="n">
        <v>145.42771</v>
      </c>
    </row>
    <row r="163" customFormat="false" ht="15" hidden="false" customHeight="false" outlineLevel="0" collapsed="false">
      <c r="B163" s="0" t="s">
        <v>214</v>
      </c>
      <c r="C163" s="2" t="n">
        <v>42735</v>
      </c>
      <c r="D163" s="3" t="n">
        <v>146.95888</v>
      </c>
      <c r="E163" s="3" t="n">
        <v>93.78779</v>
      </c>
      <c r="F163" s="3" t="n">
        <v>99.73233</v>
      </c>
      <c r="G163" s="3" t="n">
        <v>87.7959</v>
      </c>
      <c r="H163" s="3" t="n">
        <v>130.23504</v>
      </c>
      <c r="I163" s="3" t="n">
        <v>149.41175</v>
      </c>
      <c r="J163" s="3" t="n">
        <v>130.57981</v>
      </c>
      <c r="K163" s="3" t="n">
        <v>146.69085</v>
      </c>
      <c r="L163" s="3" t="n">
        <v>171.11609</v>
      </c>
      <c r="M163" s="3" t="n">
        <v>193.27492</v>
      </c>
      <c r="N163" s="3" t="n">
        <v>186.22654</v>
      </c>
      <c r="O163" s="3" t="n">
        <v>141.80901</v>
      </c>
      <c r="P163" s="3" t="n">
        <v>153.87334</v>
      </c>
      <c r="Q163" s="3" t="n">
        <v>159.2215</v>
      </c>
      <c r="R163" s="3" t="n">
        <v>161.12805</v>
      </c>
      <c r="S163" s="3" t="n">
        <v>141.05475</v>
      </c>
    </row>
    <row r="164" customFormat="false" ht="15" hidden="false" customHeight="false" outlineLevel="0" collapsed="false">
      <c r="B164" s="0" t="s">
        <v>215</v>
      </c>
      <c r="C164" s="2" t="n">
        <v>42766</v>
      </c>
      <c r="D164" s="3" t="n">
        <v>147.08627</v>
      </c>
      <c r="E164" s="3" t="n">
        <v>67.32241</v>
      </c>
      <c r="F164" s="3" t="n">
        <v>75.25025</v>
      </c>
      <c r="G164" s="3" t="n">
        <v>87.08259</v>
      </c>
      <c r="H164" s="3" t="n">
        <v>112.79767</v>
      </c>
      <c r="I164" s="3" t="n">
        <v>155.35606</v>
      </c>
      <c r="J164" s="3" t="n">
        <v>141.26252</v>
      </c>
      <c r="K164" s="3" t="n">
        <v>131.44365</v>
      </c>
      <c r="L164" s="3" t="n">
        <v>171.34943</v>
      </c>
      <c r="M164" s="3" t="n">
        <v>195.70876</v>
      </c>
      <c r="N164" s="3" t="n">
        <v>184.34794</v>
      </c>
      <c r="O164" s="3" t="n">
        <v>132.18589</v>
      </c>
      <c r="P164" s="3" t="n">
        <v>153.21984</v>
      </c>
      <c r="Q164" s="3" t="n">
        <v>152.72985</v>
      </c>
      <c r="R164" s="3" t="n">
        <v>176.68815</v>
      </c>
      <c r="S164" s="3" t="n">
        <v>151.2634</v>
      </c>
    </row>
    <row r="165" customFormat="false" ht="15" hidden="false" customHeight="false" outlineLevel="0" collapsed="false">
      <c r="B165" s="0" t="s">
        <v>216</v>
      </c>
      <c r="C165" s="2" t="n">
        <v>42794</v>
      </c>
      <c r="D165" s="3" t="n">
        <v>146.81395</v>
      </c>
      <c r="E165" s="3" t="n">
        <v>75.17856</v>
      </c>
      <c r="F165" s="3" t="n">
        <v>161.93415</v>
      </c>
      <c r="G165" s="3" t="n">
        <v>80.65908</v>
      </c>
      <c r="H165" s="3" t="n">
        <v>106.79709</v>
      </c>
      <c r="I165" s="3" t="n">
        <v>141.39021</v>
      </c>
      <c r="J165" s="3" t="n">
        <v>137.55704</v>
      </c>
      <c r="K165" s="3" t="n">
        <v>137.68927</v>
      </c>
      <c r="L165" s="3" t="n">
        <v>164.04807</v>
      </c>
      <c r="M165" s="3" t="n">
        <v>185.70369</v>
      </c>
      <c r="N165" s="3" t="n">
        <v>174.22235</v>
      </c>
      <c r="O165" s="3" t="n">
        <v>132.00784</v>
      </c>
      <c r="P165" s="3" t="n">
        <v>153.25371</v>
      </c>
      <c r="Q165" s="3" t="n">
        <v>152.81022</v>
      </c>
      <c r="R165" s="3" t="n">
        <v>167.46306</v>
      </c>
      <c r="S165" s="3" t="n">
        <v>149.81754</v>
      </c>
    </row>
    <row r="166" customFormat="false" ht="15" hidden="false" customHeight="false" outlineLevel="0" collapsed="false">
      <c r="B166" s="0" t="s">
        <v>217</v>
      </c>
      <c r="C166" s="2" t="n">
        <v>42825</v>
      </c>
      <c r="D166" s="3" t="n">
        <v>147.64481</v>
      </c>
      <c r="E166" s="3" t="n">
        <v>142.22131</v>
      </c>
      <c r="F166" s="3" t="n">
        <v>149.18477</v>
      </c>
      <c r="G166" s="3" t="n">
        <v>88.77404</v>
      </c>
      <c r="H166" s="3" t="n">
        <v>130.74086</v>
      </c>
      <c r="I166" s="3" t="n">
        <v>145.62795</v>
      </c>
      <c r="J166" s="3" t="n">
        <v>150.99707</v>
      </c>
      <c r="K166" s="3" t="n">
        <v>170.96253</v>
      </c>
      <c r="L166" s="3" t="n">
        <v>158.18217</v>
      </c>
      <c r="M166" s="3" t="n">
        <v>199.7504</v>
      </c>
      <c r="N166" s="3" t="n">
        <v>186.50405</v>
      </c>
      <c r="O166" s="3" t="n">
        <v>137.88921</v>
      </c>
      <c r="P166" s="3" t="n">
        <v>153.69389</v>
      </c>
      <c r="Q166" s="3" t="n">
        <v>154.8596</v>
      </c>
      <c r="R166" s="3" t="n">
        <v>181.50746</v>
      </c>
      <c r="S166" s="3" t="n">
        <v>153.01154</v>
      </c>
    </row>
    <row r="167" customFormat="false" ht="15" hidden="false" customHeight="false" outlineLevel="0" collapsed="false">
      <c r="B167" s="0" t="s">
        <v>218</v>
      </c>
      <c r="C167" s="2" t="n">
        <v>42855</v>
      </c>
      <c r="D167" s="3" t="n">
        <v>147.67329</v>
      </c>
      <c r="E167" s="3" t="n">
        <v>232.02525</v>
      </c>
      <c r="F167" s="3" t="n">
        <v>104.49853</v>
      </c>
      <c r="G167" s="3" t="n">
        <v>81.57833</v>
      </c>
      <c r="H167" s="3" t="n">
        <v>122.7045</v>
      </c>
      <c r="I167" s="3" t="n">
        <v>134.23129</v>
      </c>
      <c r="J167" s="3" t="n">
        <v>135.14306</v>
      </c>
      <c r="K167" s="3" t="n">
        <v>145.39536</v>
      </c>
      <c r="L167" s="3" t="n">
        <v>157.52446</v>
      </c>
      <c r="M167" s="3" t="n">
        <v>198.1622</v>
      </c>
      <c r="N167" s="3" t="n">
        <v>173.98024</v>
      </c>
      <c r="O167" s="3" t="n">
        <v>136.14948</v>
      </c>
      <c r="P167" s="3" t="n">
        <v>153.55993</v>
      </c>
      <c r="Q167" s="3" t="n">
        <v>155.69273</v>
      </c>
      <c r="R167" s="3" t="n">
        <v>185.46076</v>
      </c>
      <c r="S167" s="3" t="n">
        <v>155.11089</v>
      </c>
    </row>
    <row r="168" customFormat="false" ht="15" hidden="false" customHeight="false" outlineLevel="0" collapsed="false">
      <c r="B168" s="0" t="s">
        <v>219</v>
      </c>
      <c r="C168" s="2" t="n">
        <v>42886</v>
      </c>
      <c r="D168" s="3" t="n">
        <v>148.67448</v>
      </c>
      <c r="E168" s="3" t="n">
        <v>330.01881</v>
      </c>
      <c r="F168" s="3" t="n">
        <v>166.2403</v>
      </c>
      <c r="G168" s="3" t="n">
        <v>88.95842</v>
      </c>
      <c r="H168" s="3" t="n">
        <v>133.95856</v>
      </c>
      <c r="I168" s="3" t="n">
        <v>143.55714</v>
      </c>
      <c r="J168" s="3" t="n">
        <v>145.798</v>
      </c>
      <c r="K168" s="3" t="n">
        <v>162.93596</v>
      </c>
      <c r="L168" s="3" t="n">
        <v>152.29356</v>
      </c>
      <c r="M168" s="3" t="n">
        <v>211.9665</v>
      </c>
      <c r="N168" s="3" t="n">
        <v>176.42281</v>
      </c>
      <c r="O168" s="3" t="n">
        <v>139.87955</v>
      </c>
      <c r="P168" s="3" t="n">
        <v>153.86886</v>
      </c>
      <c r="Q168" s="3" t="n">
        <v>157.31922</v>
      </c>
      <c r="R168" s="3" t="n">
        <v>189.00289</v>
      </c>
      <c r="S168" s="3" t="n">
        <v>147.46026</v>
      </c>
    </row>
    <row r="169" customFormat="false" ht="15" hidden="false" customHeight="false" outlineLevel="0" collapsed="false">
      <c r="B169" s="0" t="s">
        <v>220</v>
      </c>
      <c r="C169" s="2" t="n">
        <v>42916</v>
      </c>
      <c r="D169" s="3" t="n">
        <v>150.27199</v>
      </c>
      <c r="E169" s="3" t="n">
        <v>228.10946</v>
      </c>
      <c r="F169" s="3" t="n">
        <v>236.05978</v>
      </c>
      <c r="G169" s="3" t="n">
        <v>83.01668</v>
      </c>
      <c r="H169" s="3" t="n">
        <v>141.51559</v>
      </c>
      <c r="I169" s="3" t="n">
        <v>150.0221</v>
      </c>
      <c r="J169" s="3" t="n">
        <v>145.92874</v>
      </c>
      <c r="K169" s="3" t="n">
        <v>168.77888</v>
      </c>
      <c r="L169" s="3" t="n">
        <v>153.56337</v>
      </c>
      <c r="M169" s="3" t="n">
        <v>204.47714</v>
      </c>
      <c r="N169" s="3" t="n">
        <v>181.23451</v>
      </c>
      <c r="O169" s="3" t="n">
        <v>143.2022</v>
      </c>
      <c r="P169" s="3" t="n">
        <v>154.70499</v>
      </c>
      <c r="Q169" s="3" t="n">
        <v>158.96485</v>
      </c>
      <c r="R169" s="3" t="n">
        <v>194.77257</v>
      </c>
      <c r="S169" s="3" t="n">
        <v>144.64523</v>
      </c>
    </row>
    <row r="170" customFormat="false" ht="15" hidden="false" customHeight="false" outlineLevel="0" collapsed="false">
      <c r="B170" s="0" t="s">
        <v>221</v>
      </c>
      <c r="C170" s="2" t="n">
        <v>42947</v>
      </c>
      <c r="D170" s="3" t="n">
        <v>150.46352</v>
      </c>
      <c r="E170" s="3" t="n">
        <v>111.6631</v>
      </c>
      <c r="F170" s="3" t="n">
        <v>249.09584</v>
      </c>
      <c r="G170" s="3" t="n">
        <v>87.34096</v>
      </c>
      <c r="H170" s="3" t="n">
        <v>134.67139</v>
      </c>
      <c r="I170" s="3" t="n">
        <v>151.38972</v>
      </c>
      <c r="J170" s="3" t="n">
        <v>146.41157</v>
      </c>
      <c r="K170" s="3" t="n">
        <v>158.93794</v>
      </c>
      <c r="L170" s="3" t="n">
        <v>172.97018</v>
      </c>
      <c r="M170" s="3" t="n">
        <v>201.63994</v>
      </c>
      <c r="N170" s="3" t="n">
        <v>181.05193</v>
      </c>
      <c r="O170" s="3" t="n">
        <v>141.32858</v>
      </c>
      <c r="P170" s="3" t="n">
        <v>154.18435</v>
      </c>
      <c r="Q170" s="3" t="n">
        <v>160.56191</v>
      </c>
      <c r="R170" s="3" t="n">
        <v>178.79407</v>
      </c>
      <c r="S170" s="3" t="n">
        <v>170.42407</v>
      </c>
    </row>
    <row r="171" customFormat="false" ht="15" hidden="false" customHeight="false" outlineLevel="0" collapsed="false">
      <c r="B171" s="0" t="s">
        <v>222</v>
      </c>
      <c r="C171" s="2" t="n">
        <v>42978</v>
      </c>
      <c r="D171" s="3" t="n">
        <v>150.39058</v>
      </c>
      <c r="E171" s="3" t="n">
        <v>73.08729</v>
      </c>
      <c r="F171" s="3" t="n">
        <v>256.57599</v>
      </c>
      <c r="G171" s="3" t="n">
        <v>89.09401</v>
      </c>
      <c r="H171" s="3" t="n">
        <v>142.00931</v>
      </c>
      <c r="I171" s="3" t="n">
        <v>145.70447</v>
      </c>
      <c r="J171" s="3" t="n">
        <v>159.34963</v>
      </c>
      <c r="K171" s="3" t="n">
        <v>164.5947</v>
      </c>
      <c r="L171" s="3" t="n">
        <v>168.5349</v>
      </c>
      <c r="M171" s="3" t="n">
        <v>198.10327</v>
      </c>
      <c r="N171" s="3" t="n">
        <v>187.47164</v>
      </c>
      <c r="O171" s="3" t="n">
        <v>142.616</v>
      </c>
      <c r="P171" s="3" t="n">
        <v>153.6205</v>
      </c>
      <c r="Q171" s="3" t="n">
        <v>160.38675</v>
      </c>
      <c r="R171" s="3" t="n">
        <v>178.59932</v>
      </c>
      <c r="S171" s="3" t="n">
        <v>150.98686</v>
      </c>
    </row>
    <row r="172" customFormat="false" ht="15" hidden="false" customHeight="false" outlineLevel="0" collapsed="false">
      <c r="B172" s="0" t="s">
        <v>223</v>
      </c>
      <c r="C172" s="2" t="n">
        <v>43008</v>
      </c>
      <c r="D172" s="3" t="n">
        <v>151.21749</v>
      </c>
      <c r="E172" s="3" t="n">
        <v>64.75276</v>
      </c>
      <c r="F172" s="3" t="n">
        <v>279.35234</v>
      </c>
      <c r="G172" s="3" t="n">
        <v>86.8906</v>
      </c>
      <c r="H172" s="3" t="n">
        <v>138.04374</v>
      </c>
      <c r="I172" s="3" t="n">
        <v>136.68443</v>
      </c>
      <c r="J172" s="3" t="n">
        <v>151.25441</v>
      </c>
      <c r="K172" s="3" t="n">
        <v>158.96446</v>
      </c>
      <c r="L172" s="3" t="n">
        <v>165.9484</v>
      </c>
      <c r="M172" s="3" t="n">
        <v>195.03246</v>
      </c>
      <c r="N172" s="3" t="n">
        <v>183.87088</v>
      </c>
      <c r="O172" s="3" t="n">
        <v>141.22366</v>
      </c>
      <c r="P172" s="3" t="n">
        <v>153.71529</v>
      </c>
      <c r="Q172" s="3" t="n">
        <v>160.91718</v>
      </c>
      <c r="R172" s="3" t="n">
        <v>175.65098</v>
      </c>
      <c r="S172" s="3" t="n">
        <v>151.67426</v>
      </c>
    </row>
    <row r="173" customFormat="false" ht="15" hidden="false" customHeight="false" outlineLevel="0" collapsed="false">
      <c r="B173" s="0" t="s">
        <v>224</v>
      </c>
      <c r="C173" s="2" t="n">
        <v>43039</v>
      </c>
      <c r="D173" s="3" t="n">
        <v>151.71276</v>
      </c>
      <c r="E173" s="3" t="n">
        <v>78.23306</v>
      </c>
      <c r="F173" s="3" t="n">
        <v>233.14663</v>
      </c>
      <c r="G173" s="3" t="n">
        <v>90.98439</v>
      </c>
      <c r="H173" s="3" t="n">
        <v>143.00063</v>
      </c>
      <c r="I173" s="3" t="n">
        <v>135.19939</v>
      </c>
      <c r="J173" s="3" t="n">
        <v>149.59535</v>
      </c>
      <c r="K173" s="3" t="n">
        <v>167.3965</v>
      </c>
      <c r="L173" s="3" t="n">
        <v>174.8884</v>
      </c>
      <c r="M173" s="3" t="n">
        <v>196.66674</v>
      </c>
      <c r="N173" s="3" t="n">
        <v>188.41988</v>
      </c>
      <c r="O173" s="3" t="n">
        <v>143.30766</v>
      </c>
      <c r="P173" s="3" t="n">
        <v>154.34281</v>
      </c>
      <c r="Q173" s="3" t="n">
        <v>160.9097</v>
      </c>
      <c r="R173" s="3" t="n">
        <v>171.223</v>
      </c>
      <c r="S173" s="3" t="n">
        <v>152.73807</v>
      </c>
    </row>
    <row r="174" customFormat="false" ht="15" hidden="false" customHeight="false" outlineLevel="0" collapsed="false">
      <c r="B174" s="0" t="s">
        <v>225</v>
      </c>
      <c r="C174" s="2" t="n">
        <v>43069</v>
      </c>
      <c r="D174" s="3" t="n">
        <v>152.63221</v>
      </c>
      <c r="E174" s="3" t="n">
        <v>89.01564</v>
      </c>
      <c r="F174" s="3" t="n">
        <v>125.65674</v>
      </c>
      <c r="G174" s="3" t="n">
        <v>87.46634</v>
      </c>
      <c r="H174" s="3" t="n">
        <v>145.22419</v>
      </c>
      <c r="I174" s="3" t="n">
        <v>130.47088</v>
      </c>
      <c r="J174" s="3" t="n">
        <v>153.73251</v>
      </c>
      <c r="K174" s="3" t="n">
        <v>178.95233</v>
      </c>
      <c r="L174" s="3" t="n">
        <v>177.30707</v>
      </c>
      <c r="M174" s="3" t="n">
        <v>196.78282</v>
      </c>
      <c r="N174" s="3" t="n">
        <v>188.17634</v>
      </c>
      <c r="O174" s="3" t="n">
        <v>144.16713</v>
      </c>
      <c r="P174" s="3" t="n">
        <v>154.97326</v>
      </c>
      <c r="Q174" s="3" t="n">
        <v>161.54758</v>
      </c>
      <c r="R174" s="3" t="n">
        <v>171.38082</v>
      </c>
      <c r="S174" s="3" t="n">
        <v>148.40726</v>
      </c>
    </row>
    <row r="175" customFormat="false" ht="15" hidden="false" customHeight="false" outlineLevel="0" collapsed="false">
      <c r="B175" s="0" t="s">
        <v>226</v>
      </c>
      <c r="C175" s="2" t="n">
        <v>43100</v>
      </c>
      <c r="D175" s="3" t="n">
        <v>152.24534</v>
      </c>
      <c r="E175" s="3" t="n">
        <v>96.78814</v>
      </c>
      <c r="F175" s="3" t="n">
        <v>89.3467</v>
      </c>
      <c r="G175" s="3" t="n">
        <v>88.673</v>
      </c>
      <c r="H175" s="3" t="n">
        <v>132.85985</v>
      </c>
      <c r="I175" s="3" t="n">
        <v>150.41656</v>
      </c>
      <c r="J175" s="3" t="n">
        <v>143.22141</v>
      </c>
      <c r="K175" s="3" t="n">
        <v>148.59419</v>
      </c>
      <c r="L175" s="3" t="n">
        <v>176.7328</v>
      </c>
      <c r="M175" s="3" t="n">
        <v>192.96771</v>
      </c>
      <c r="N175" s="3" t="n">
        <v>193.79796</v>
      </c>
      <c r="O175" s="3" t="n">
        <v>146.47261</v>
      </c>
      <c r="P175" s="3" t="n">
        <v>155.32294</v>
      </c>
      <c r="Q175" s="3" t="n">
        <v>161.57786</v>
      </c>
      <c r="R175" s="3" t="n">
        <v>164.18546</v>
      </c>
      <c r="S175" s="3" t="n">
        <v>145.03063</v>
      </c>
    </row>
    <row r="176" customFormat="false" ht="15" hidden="false" customHeight="false" outlineLevel="0" collapsed="false">
      <c r="B176" s="0" t="s">
        <v>227</v>
      </c>
      <c r="C176" s="2" t="n">
        <v>43131</v>
      </c>
      <c r="D176" s="3" t="n">
        <v>150.9775</v>
      </c>
      <c r="E176" s="3" t="n">
        <v>68.41059</v>
      </c>
      <c r="F176" s="3" t="n">
        <v>126.0063</v>
      </c>
      <c r="G176" s="3" t="n">
        <v>87.85988</v>
      </c>
      <c r="H176" s="3" t="n">
        <v>116.91612</v>
      </c>
      <c r="I176" s="3" t="n">
        <v>154.80274</v>
      </c>
      <c r="J176" s="3" t="n">
        <v>157.05481</v>
      </c>
      <c r="K176" s="3" t="n">
        <v>142.24539</v>
      </c>
      <c r="L176" s="3" t="n">
        <v>177.33121</v>
      </c>
      <c r="M176" s="3" t="n">
        <v>197.70618</v>
      </c>
      <c r="N176" s="3" t="n">
        <v>195.27435</v>
      </c>
      <c r="O176" s="3" t="n">
        <v>138.25989</v>
      </c>
      <c r="P176" s="3" t="n">
        <v>155.00013</v>
      </c>
      <c r="Q176" s="3" t="n">
        <v>156.22569</v>
      </c>
      <c r="R176" s="3" t="n">
        <v>180.51068</v>
      </c>
      <c r="S176" s="3" t="n">
        <v>158.69211</v>
      </c>
    </row>
    <row r="177" customFormat="false" ht="15" hidden="false" customHeight="false" outlineLevel="0" collapsed="false">
      <c r="B177" s="0" t="s">
        <v>228</v>
      </c>
      <c r="C177" s="2" t="n">
        <v>43159</v>
      </c>
      <c r="D177" s="3" t="n">
        <v>152.19147</v>
      </c>
      <c r="E177" s="3" t="n">
        <v>74.74918</v>
      </c>
      <c r="F177" s="3" t="n">
        <v>161.93114</v>
      </c>
      <c r="G177" s="3" t="n">
        <v>81.76606</v>
      </c>
      <c r="H177" s="3" t="n">
        <v>112.84132</v>
      </c>
      <c r="I177" s="3" t="n">
        <v>144.25399</v>
      </c>
      <c r="J177" s="3" t="n">
        <v>151.26991</v>
      </c>
      <c r="K177" s="3" t="n">
        <v>150.99237</v>
      </c>
      <c r="L177" s="3" t="n">
        <v>169.50668</v>
      </c>
      <c r="M177" s="3" t="n">
        <v>186.50328</v>
      </c>
      <c r="N177" s="3" t="n">
        <v>188.1937</v>
      </c>
      <c r="O177" s="3" t="n">
        <v>137.58284</v>
      </c>
      <c r="P177" s="3" t="n">
        <v>154.6091</v>
      </c>
      <c r="Q177" s="3" t="n">
        <v>156.51499</v>
      </c>
      <c r="R177" s="3" t="n">
        <v>170.62868</v>
      </c>
      <c r="S177" s="3" t="n">
        <v>150.65694</v>
      </c>
    </row>
    <row r="178" customFormat="false" ht="15" hidden="false" customHeight="false" outlineLevel="0" collapsed="false">
      <c r="B178" s="0" t="s">
        <v>229</v>
      </c>
      <c r="C178" s="2" t="n">
        <v>43190</v>
      </c>
      <c r="D178" s="3" t="n">
        <v>151.52876</v>
      </c>
      <c r="E178" s="3" t="n">
        <v>144.65148</v>
      </c>
      <c r="F178" s="3" t="n">
        <v>153.50796</v>
      </c>
      <c r="G178" s="3" t="n">
        <v>89.91285</v>
      </c>
      <c r="H178" s="3" t="n">
        <v>133.27753</v>
      </c>
      <c r="I178" s="3" t="n">
        <v>145.02591</v>
      </c>
      <c r="J178" s="3" t="n">
        <v>158.42384</v>
      </c>
      <c r="K178" s="3" t="n">
        <v>176.13428</v>
      </c>
      <c r="L178" s="3" t="n">
        <v>166.39101</v>
      </c>
      <c r="M178" s="3" t="n">
        <v>199.24147</v>
      </c>
      <c r="N178" s="3" t="n">
        <v>192.1643</v>
      </c>
      <c r="O178" s="3" t="n">
        <v>142.45801</v>
      </c>
      <c r="P178" s="3" t="n">
        <v>154.34972</v>
      </c>
      <c r="Q178" s="3" t="n">
        <v>158.79496</v>
      </c>
      <c r="R178" s="3" t="n">
        <v>185.44044</v>
      </c>
      <c r="S178" s="3" t="n">
        <v>146.38801</v>
      </c>
    </row>
    <row r="179" customFormat="false" ht="15" hidden="false" customHeight="false" outlineLevel="0" collapsed="false">
      <c r="B179" s="0" t="s">
        <v>230</v>
      </c>
      <c r="C179" s="2" t="n">
        <v>43220</v>
      </c>
      <c r="D179" s="3" t="n">
        <v>146.79266</v>
      </c>
      <c r="E179" s="3" t="n">
        <v>163.2854</v>
      </c>
      <c r="F179" s="3" t="n">
        <v>111.09893</v>
      </c>
      <c r="G179" s="3" t="n">
        <v>86.70222</v>
      </c>
      <c r="H179" s="3" t="n">
        <v>126.92521</v>
      </c>
      <c r="I179" s="3" t="n">
        <v>138.29447</v>
      </c>
      <c r="J179" s="3" t="n">
        <v>147.52747</v>
      </c>
      <c r="K179" s="3" t="n">
        <v>154.992</v>
      </c>
      <c r="L179" s="3" t="n">
        <v>159.05711</v>
      </c>
      <c r="M179" s="3" t="n">
        <v>195.48271</v>
      </c>
      <c r="N179" s="3" t="n">
        <v>192.41483</v>
      </c>
      <c r="O179" s="3" t="n">
        <v>143.7758</v>
      </c>
      <c r="P179" s="3" t="n">
        <v>153.66064</v>
      </c>
      <c r="Q179" s="3" t="n">
        <v>159.64526</v>
      </c>
      <c r="R179" s="3" t="n">
        <v>188.89673</v>
      </c>
      <c r="S179" s="3" t="n">
        <v>148.29723</v>
      </c>
    </row>
    <row r="180" customFormat="false" ht="15" hidden="false" customHeight="false" outlineLevel="0" collapsed="false">
      <c r="B180" s="0" t="s">
        <v>231</v>
      </c>
      <c r="C180" s="2" t="n">
        <v>43251</v>
      </c>
      <c r="D180" s="3" t="n">
        <v>144.56309</v>
      </c>
      <c r="E180" s="3" t="n">
        <v>223.68425</v>
      </c>
      <c r="F180" s="3" t="n">
        <v>130.95943</v>
      </c>
      <c r="G180" s="3" t="n">
        <v>91.38781</v>
      </c>
      <c r="H180" s="3" t="n">
        <v>132.89712</v>
      </c>
      <c r="I180" s="3" t="n">
        <v>141.78185</v>
      </c>
      <c r="J180" s="3" t="n">
        <v>153.41723</v>
      </c>
      <c r="K180" s="3" t="n">
        <v>162.75819</v>
      </c>
      <c r="L180" s="3" t="n">
        <v>153.29866</v>
      </c>
      <c r="M180" s="3" t="n">
        <v>200.86209</v>
      </c>
      <c r="N180" s="3" t="n">
        <v>195.46129</v>
      </c>
      <c r="O180" s="3" t="n">
        <v>145.63617</v>
      </c>
      <c r="P180" s="3" t="n">
        <v>153.79909</v>
      </c>
      <c r="Q180" s="3" t="n">
        <v>160.68353</v>
      </c>
      <c r="R180" s="3" t="n">
        <v>192.98335</v>
      </c>
      <c r="S180" s="3" t="n">
        <v>152.6538</v>
      </c>
    </row>
    <row r="181" customFormat="false" ht="15" hidden="false" customHeight="false" outlineLevel="0" collapsed="false">
      <c r="B181" s="0" t="s">
        <v>232</v>
      </c>
      <c r="C181" s="2" t="n">
        <v>43281</v>
      </c>
      <c r="D181" s="3" t="n">
        <v>143.25908</v>
      </c>
      <c r="E181" s="3" t="n">
        <v>149.95152</v>
      </c>
      <c r="F181" s="3" t="n">
        <v>197.33839</v>
      </c>
      <c r="G181" s="3" t="n">
        <v>87.07736</v>
      </c>
      <c r="H181" s="3" t="n">
        <v>130.76432</v>
      </c>
      <c r="I181" s="3" t="n">
        <v>156.65476</v>
      </c>
      <c r="J181" s="3" t="n">
        <v>148.59307</v>
      </c>
      <c r="K181" s="3" t="n">
        <v>155.6626</v>
      </c>
      <c r="L181" s="3" t="n">
        <v>149.72378</v>
      </c>
      <c r="M181" s="3" t="n">
        <v>192.57486</v>
      </c>
      <c r="N181" s="3" t="n">
        <v>190.45935</v>
      </c>
      <c r="O181" s="3" t="n">
        <v>145.56857</v>
      </c>
      <c r="P181" s="3" t="n">
        <v>154.62432</v>
      </c>
      <c r="Q181" s="3" t="n">
        <v>162.1425</v>
      </c>
      <c r="R181" s="3" t="n">
        <v>198.75764</v>
      </c>
      <c r="S181" s="3" t="n">
        <v>153.88697</v>
      </c>
    </row>
    <row r="182" customFormat="false" ht="15" hidden="false" customHeight="false" outlineLevel="0" collapsed="false">
      <c r="B182" s="0" t="s">
        <v>233</v>
      </c>
      <c r="C182" s="2" t="n">
        <v>43312</v>
      </c>
      <c r="D182" s="3" t="n">
        <v>143.57921</v>
      </c>
      <c r="E182" s="3" t="n">
        <v>105.72293</v>
      </c>
      <c r="F182" s="3" t="n">
        <v>265.74333</v>
      </c>
      <c r="G182" s="3" t="n">
        <v>88.86154</v>
      </c>
      <c r="H182" s="3" t="n">
        <v>126.6952</v>
      </c>
      <c r="I182" s="3" t="n">
        <v>155.95631</v>
      </c>
      <c r="J182" s="3" t="n">
        <v>147.46882</v>
      </c>
      <c r="K182" s="3" t="n">
        <v>149.18167</v>
      </c>
      <c r="L182" s="3" t="n">
        <v>167.95225</v>
      </c>
      <c r="M182" s="3" t="n">
        <v>194.02594</v>
      </c>
      <c r="N182" s="3" t="n">
        <v>194.24683</v>
      </c>
      <c r="O182" s="3" t="n">
        <v>142.63268</v>
      </c>
      <c r="P182" s="3" t="n">
        <v>153.93323</v>
      </c>
      <c r="Q182" s="3" t="n">
        <v>162.59416</v>
      </c>
      <c r="R182" s="3" t="n">
        <v>181.29588</v>
      </c>
      <c r="S182" s="3" t="n">
        <v>172.18107</v>
      </c>
    </row>
    <row r="183" customFormat="false" ht="15" hidden="false" customHeight="false" outlineLevel="0" collapsed="false">
      <c r="B183" s="0" t="s">
        <v>234</v>
      </c>
      <c r="C183" s="2" t="n">
        <v>43343</v>
      </c>
      <c r="D183" s="3" t="n">
        <v>146.53723</v>
      </c>
      <c r="E183" s="3" t="n">
        <v>74.54875</v>
      </c>
      <c r="F183" s="3" t="n">
        <v>292.73779</v>
      </c>
      <c r="G183" s="3" t="n">
        <v>87.87099</v>
      </c>
      <c r="H183" s="3" t="n">
        <v>135.05008</v>
      </c>
      <c r="I183" s="3" t="n">
        <v>149.15309</v>
      </c>
      <c r="J183" s="3" t="n">
        <v>159.87046</v>
      </c>
      <c r="K183" s="3" t="n">
        <v>155.4073</v>
      </c>
      <c r="L183" s="3" t="n">
        <v>165.44204</v>
      </c>
      <c r="M183" s="3" t="n">
        <v>191.34899</v>
      </c>
      <c r="N183" s="3" t="n">
        <v>200.02078</v>
      </c>
      <c r="O183" s="3" t="n">
        <v>142.91921</v>
      </c>
      <c r="P183" s="3" t="n">
        <v>153.18917</v>
      </c>
      <c r="Q183" s="3" t="n">
        <v>162.66182</v>
      </c>
      <c r="R183" s="3" t="n">
        <v>180.83177</v>
      </c>
      <c r="S183" s="3" t="n">
        <v>153.66322</v>
      </c>
    </row>
    <row r="184" customFormat="false" ht="15" hidden="false" customHeight="false" outlineLevel="0" collapsed="false">
      <c r="B184" s="0" t="s">
        <v>235</v>
      </c>
      <c r="C184" s="2" t="n">
        <v>43373</v>
      </c>
      <c r="D184" s="3" t="n">
        <v>143.13224</v>
      </c>
      <c r="E184" s="3" t="n">
        <v>65.38672</v>
      </c>
      <c r="F184" s="3" t="n">
        <v>291.20424</v>
      </c>
      <c r="G184" s="3" t="n">
        <v>86.34973</v>
      </c>
      <c r="H184" s="3" t="n">
        <v>122.10302</v>
      </c>
      <c r="I184" s="3" t="n">
        <v>132.40278</v>
      </c>
      <c r="J184" s="3" t="n">
        <v>147.83185</v>
      </c>
      <c r="K184" s="3" t="n">
        <v>139.54575</v>
      </c>
      <c r="L184" s="3" t="n">
        <v>160.66081</v>
      </c>
      <c r="M184" s="3" t="n">
        <v>185.24914</v>
      </c>
      <c r="N184" s="3" t="n">
        <v>187.79692</v>
      </c>
      <c r="O184" s="3" t="n">
        <v>138.21649</v>
      </c>
      <c r="P184" s="3" t="n">
        <v>153.50452</v>
      </c>
      <c r="Q184" s="3" t="n">
        <v>163.1151</v>
      </c>
      <c r="R184" s="3" t="n">
        <v>177.77799</v>
      </c>
      <c r="S184" s="3" t="n">
        <v>145.54728</v>
      </c>
    </row>
    <row r="185" customFormat="false" ht="15" hidden="false" customHeight="false" outlineLevel="0" collapsed="false">
      <c r="B185" s="0" t="s">
        <v>236</v>
      </c>
      <c r="C185" s="2" t="n">
        <v>43404</v>
      </c>
      <c r="D185" s="3" t="n">
        <v>143.59559</v>
      </c>
      <c r="E185" s="3" t="n">
        <v>78.62836</v>
      </c>
      <c r="F185" s="3" t="n">
        <v>304.67513</v>
      </c>
      <c r="G185" s="3" t="n">
        <v>88.61135</v>
      </c>
      <c r="H185" s="3" t="n">
        <v>132.12457</v>
      </c>
      <c r="I185" s="3" t="n">
        <v>133.40592</v>
      </c>
      <c r="J185" s="3" t="n">
        <v>143.65507</v>
      </c>
      <c r="K185" s="3" t="n">
        <v>150.0819</v>
      </c>
      <c r="L185" s="3" t="n">
        <v>170.70567</v>
      </c>
      <c r="M185" s="3" t="n">
        <v>188.98013</v>
      </c>
      <c r="N185" s="3" t="n">
        <v>183.94057</v>
      </c>
      <c r="O185" s="3" t="n">
        <v>141.77821</v>
      </c>
      <c r="P185" s="3" t="n">
        <v>153.94433</v>
      </c>
      <c r="Q185" s="3" t="n">
        <v>163.41778</v>
      </c>
      <c r="R185" s="3" t="n">
        <v>172.81474</v>
      </c>
      <c r="S185" s="3" t="n">
        <v>146.2291</v>
      </c>
    </row>
    <row r="186" customFormat="false" ht="15" hidden="false" customHeight="false" outlineLevel="0" collapsed="false">
      <c r="B186" s="0" t="s">
        <v>237</v>
      </c>
      <c r="C186" s="2" t="n">
        <v>43434</v>
      </c>
      <c r="D186" s="3" t="n">
        <v>141.66615</v>
      </c>
      <c r="E186" s="3" t="n">
        <v>90.21847</v>
      </c>
      <c r="F186" s="3" t="n">
        <v>121.77853</v>
      </c>
      <c r="G186" s="3" t="n">
        <v>84.96184</v>
      </c>
      <c r="H186" s="3" t="n">
        <v>125.61743</v>
      </c>
      <c r="I186" s="3" t="n">
        <v>131.16247</v>
      </c>
      <c r="J186" s="3" t="n">
        <v>138.57519</v>
      </c>
      <c r="K186" s="3" t="n">
        <v>150.94216</v>
      </c>
      <c r="L186" s="3" t="n">
        <v>171.76122</v>
      </c>
      <c r="M186" s="3" t="n">
        <v>185.80367</v>
      </c>
      <c r="N186" s="3" t="n">
        <v>175.22018</v>
      </c>
      <c r="O186" s="3" t="n">
        <v>140.65962</v>
      </c>
      <c r="P186" s="3" t="n">
        <v>154.60988</v>
      </c>
      <c r="Q186" s="3" t="n">
        <v>163.77554</v>
      </c>
      <c r="R186" s="3" t="n">
        <v>172.97874</v>
      </c>
      <c r="S186" s="3" t="n">
        <v>140.53454</v>
      </c>
    </row>
    <row r="187" customFormat="false" ht="15" hidden="false" customHeight="false" outlineLevel="0" collapsed="false">
      <c r="B187" s="0" t="s">
        <v>238</v>
      </c>
      <c r="C187" s="2" t="n">
        <v>43465</v>
      </c>
      <c r="D187" s="3" t="n">
        <v>141.97365</v>
      </c>
      <c r="E187" s="3" t="n">
        <v>101.8814</v>
      </c>
      <c r="F187" s="3" t="n">
        <v>84.6432</v>
      </c>
      <c r="G187" s="3" t="n">
        <v>87.97434</v>
      </c>
      <c r="H187" s="3" t="n">
        <v>112.98595</v>
      </c>
      <c r="I187" s="3" t="n">
        <v>139.27956</v>
      </c>
      <c r="J187" s="3" t="n">
        <v>126.29686</v>
      </c>
      <c r="K187" s="3" t="n">
        <v>130.73588</v>
      </c>
      <c r="L187" s="3" t="n">
        <v>173.11376</v>
      </c>
      <c r="M187" s="3" t="n">
        <v>183.89362</v>
      </c>
      <c r="N187" s="3" t="n">
        <v>186.17235</v>
      </c>
      <c r="O187" s="3" t="n">
        <v>143.02343</v>
      </c>
      <c r="P187" s="3" t="n">
        <v>154.65163</v>
      </c>
      <c r="Q187" s="3" t="n">
        <v>163.4187</v>
      </c>
      <c r="R187" s="3" t="n">
        <v>165.64907</v>
      </c>
      <c r="S187" s="3" t="n">
        <v>136.75055</v>
      </c>
    </row>
    <row r="188" customFormat="false" ht="15" hidden="false" customHeight="false" outlineLevel="0" collapsed="false">
      <c r="B188" s="0" t="s">
        <v>239</v>
      </c>
      <c r="C188" s="2" t="n">
        <v>43496</v>
      </c>
      <c r="D188" s="3" t="n">
        <v>141.39773</v>
      </c>
      <c r="E188" s="3" t="n">
        <v>73.18577</v>
      </c>
      <c r="F188" s="3" t="n">
        <v>151.2033</v>
      </c>
      <c r="G188" s="3" t="n">
        <v>87.5797</v>
      </c>
      <c r="H188" s="3" t="n">
        <v>104.68366</v>
      </c>
      <c r="I188" s="3" t="n">
        <v>145.72741</v>
      </c>
      <c r="J188" s="3" t="n">
        <v>143.04785</v>
      </c>
      <c r="K188" s="3" t="n">
        <v>126.08387</v>
      </c>
      <c r="L188" s="3" t="n">
        <v>174.11362</v>
      </c>
      <c r="M188" s="3" t="n">
        <v>186.72563</v>
      </c>
      <c r="N188" s="3" t="n">
        <v>180.72897</v>
      </c>
      <c r="O188" s="3" t="n">
        <v>135.46439</v>
      </c>
      <c r="P188" s="3" t="n">
        <v>154.00691</v>
      </c>
      <c r="Q188" s="3" t="n">
        <v>157.12761</v>
      </c>
      <c r="R188" s="3" t="n">
        <v>180.22749</v>
      </c>
      <c r="S188" s="3" t="n">
        <v>155.77626</v>
      </c>
    </row>
    <row r="189" customFormat="false" ht="15" hidden="false" customHeight="false" outlineLevel="0" collapsed="false">
      <c r="B189" s="0" t="s">
        <v>240</v>
      </c>
      <c r="C189" s="2" t="n">
        <v>43524</v>
      </c>
      <c r="D189" s="3" t="n">
        <v>143.6589</v>
      </c>
      <c r="E189" s="3" t="n">
        <v>77.27598</v>
      </c>
      <c r="F189" s="3" t="n">
        <v>165.78243</v>
      </c>
      <c r="G189" s="3" t="n">
        <v>81.67893</v>
      </c>
      <c r="H189" s="3" t="n">
        <v>103.94713</v>
      </c>
      <c r="I189" s="3" t="n">
        <v>138.26367</v>
      </c>
      <c r="J189" s="3" t="n">
        <v>147.53475</v>
      </c>
      <c r="K189" s="3" t="n">
        <v>134.55896</v>
      </c>
      <c r="L189" s="3" t="n">
        <v>164.17641</v>
      </c>
      <c r="M189" s="3" t="n">
        <v>179.08159</v>
      </c>
      <c r="N189" s="3" t="n">
        <v>170.32451</v>
      </c>
      <c r="O189" s="3" t="n">
        <v>136.99702</v>
      </c>
      <c r="P189" s="3" t="n">
        <v>154.22836</v>
      </c>
      <c r="Q189" s="3" t="n">
        <v>157.8072</v>
      </c>
      <c r="R189" s="3" t="n">
        <v>171.5027</v>
      </c>
      <c r="S189" s="3" t="n">
        <v>145.9607</v>
      </c>
    </row>
    <row r="190" customFormat="false" ht="15" hidden="false" customHeight="false" outlineLevel="0" collapsed="false">
      <c r="B190" s="0" t="s">
        <v>241</v>
      </c>
      <c r="C190" s="2" t="n">
        <v>43555</v>
      </c>
      <c r="D190" s="3" t="n">
        <v>142.25994</v>
      </c>
      <c r="E190" s="3" t="n">
        <v>160.53001</v>
      </c>
      <c r="F190" s="3" t="n">
        <v>154.73778</v>
      </c>
      <c r="G190" s="3" t="n">
        <v>88.53937</v>
      </c>
      <c r="H190" s="3" t="n">
        <v>114.97591</v>
      </c>
      <c r="I190" s="3" t="n">
        <v>134.77683</v>
      </c>
      <c r="J190" s="3" t="n">
        <v>148.07324</v>
      </c>
      <c r="K190" s="3" t="n">
        <v>148.50865</v>
      </c>
      <c r="L190" s="3" t="n">
        <v>160.53688</v>
      </c>
      <c r="M190" s="3" t="n">
        <v>191.48075</v>
      </c>
      <c r="N190" s="3" t="n">
        <v>171.2368</v>
      </c>
      <c r="O190" s="3" t="n">
        <v>138.13194</v>
      </c>
      <c r="P190" s="3" t="n">
        <v>154.18886</v>
      </c>
      <c r="Q190" s="3" t="n">
        <v>160.27433</v>
      </c>
      <c r="R190" s="3" t="n">
        <v>185.69604</v>
      </c>
      <c r="S190" s="3" t="n">
        <v>143.29843</v>
      </c>
    </row>
    <row r="191" customFormat="false" ht="15" hidden="false" customHeight="false" outlineLevel="0" collapsed="false">
      <c r="B191" s="0" t="s">
        <v>242</v>
      </c>
      <c r="C191" s="2" t="n">
        <v>43585</v>
      </c>
      <c r="D191" s="3" t="n">
        <v>142.60579</v>
      </c>
      <c r="E191" s="3" t="n">
        <v>230.99433</v>
      </c>
      <c r="F191" s="3" t="n">
        <v>153.14331</v>
      </c>
      <c r="G191" s="3" t="n">
        <v>87.08294</v>
      </c>
      <c r="H191" s="3" t="n">
        <v>115.92054</v>
      </c>
      <c r="I191" s="3" t="n">
        <v>129.25099</v>
      </c>
      <c r="J191" s="3" t="n">
        <v>140.97352</v>
      </c>
      <c r="K191" s="3" t="n">
        <v>138.44366</v>
      </c>
      <c r="L191" s="3" t="n">
        <v>156.29459</v>
      </c>
      <c r="M191" s="3" t="n">
        <v>193.79683</v>
      </c>
      <c r="N191" s="3" t="n">
        <v>172.35193</v>
      </c>
      <c r="O191" s="3" t="n">
        <v>140.67958</v>
      </c>
      <c r="P191" s="3" t="n">
        <v>154.404</v>
      </c>
      <c r="Q191" s="3" t="n">
        <v>160.43089</v>
      </c>
      <c r="R191" s="3" t="n">
        <v>188.22824</v>
      </c>
      <c r="S191" s="3" t="n">
        <v>143.32743</v>
      </c>
    </row>
    <row r="192" customFormat="false" ht="15" hidden="false" customHeight="false" outlineLevel="0" collapsed="false">
      <c r="B192" s="0" t="s">
        <v>243</v>
      </c>
      <c r="C192" s="2" t="n">
        <v>43616</v>
      </c>
      <c r="D192" s="3" t="n">
        <v>144.83825</v>
      </c>
      <c r="E192" s="3" t="n">
        <v>341.8236</v>
      </c>
      <c r="F192" s="3" t="n">
        <v>92.20582</v>
      </c>
      <c r="G192" s="3" t="n">
        <v>92.88891</v>
      </c>
      <c r="H192" s="3" t="n">
        <v>124.19559</v>
      </c>
      <c r="I192" s="3" t="n">
        <v>138.45859</v>
      </c>
      <c r="J192" s="3" t="n">
        <v>149.71586</v>
      </c>
      <c r="K192" s="3" t="n">
        <v>147.06336</v>
      </c>
      <c r="L192" s="3" t="n">
        <v>153.38938</v>
      </c>
      <c r="M192" s="3" t="n">
        <v>205.17795</v>
      </c>
      <c r="N192" s="3" t="n">
        <v>165.46068</v>
      </c>
      <c r="O192" s="3" t="n">
        <v>142.78539</v>
      </c>
      <c r="P192" s="3" t="n">
        <v>155.09099</v>
      </c>
      <c r="Q192" s="3" t="n">
        <v>161.79533</v>
      </c>
      <c r="R192" s="3" t="n">
        <v>192.63995</v>
      </c>
      <c r="S192" s="3" t="n">
        <v>147.19863</v>
      </c>
    </row>
    <row r="193" customFormat="false" ht="15" hidden="false" customHeight="false" outlineLevel="0" collapsed="false">
      <c r="B193" s="0" t="s">
        <v>244</v>
      </c>
      <c r="C193" s="2" t="n">
        <v>43646</v>
      </c>
      <c r="D193" s="3" t="n">
        <v>144.03378</v>
      </c>
      <c r="E193" s="3" t="n">
        <v>222.81869</v>
      </c>
      <c r="F193" s="3" t="n">
        <v>180.82637</v>
      </c>
      <c r="G193" s="3" t="n">
        <v>88.55193</v>
      </c>
      <c r="H193" s="3" t="n">
        <v>121.49948</v>
      </c>
      <c r="I193" s="3" t="n">
        <v>137.80276</v>
      </c>
      <c r="J193" s="3" t="n">
        <v>138.21166</v>
      </c>
      <c r="K193" s="3" t="n">
        <v>143.74748</v>
      </c>
      <c r="L193" s="3" t="n">
        <v>152.47086</v>
      </c>
      <c r="M193" s="3" t="n">
        <v>196.71574</v>
      </c>
      <c r="N193" s="3" t="n">
        <v>161.65615</v>
      </c>
      <c r="O193" s="3" t="n">
        <v>142.38268</v>
      </c>
      <c r="P193" s="3" t="n">
        <v>155.843</v>
      </c>
      <c r="Q193" s="3" t="n">
        <v>162.68992</v>
      </c>
      <c r="R193" s="3" t="n">
        <v>198.3554</v>
      </c>
      <c r="S193" s="3" t="n">
        <v>151.12985</v>
      </c>
    </row>
    <row r="194" customFormat="false" ht="15" hidden="false" customHeight="false" outlineLevel="0" collapsed="false">
      <c r="B194" s="0" t="s">
        <v>245</v>
      </c>
      <c r="C194" s="2" t="n">
        <v>43677</v>
      </c>
      <c r="D194" s="3" t="n">
        <v>145.83568</v>
      </c>
      <c r="E194" s="3" t="n">
        <v>126.84835</v>
      </c>
      <c r="F194" s="3" t="n">
        <v>252.48144</v>
      </c>
      <c r="G194" s="3" t="n">
        <v>91.64798</v>
      </c>
      <c r="H194" s="3" t="n">
        <v>124.97872</v>
      </c>
      <c r="I194" s="3" t="n">
        <v>151.38048</v>
      </c>
      <c r="J194" s="3" t="n">
        <v>146.97198</v>
      </c>
      <c r="K194" s="3" t="n">
        <v>144.92403</v>
      </c>
      <c r="L194" s="3" t="n">
        <v>174.45206</v>
      </c>
      <c r="M194" s="3" t="n">
        <v>196.2465</v>
      </c>
      <c r="N194" s="3" t="n">
        <v>167.80249</v>
      </c>
      <c r="O194" s="3" t="n">
        <v>143.10736</v>
      </c>
      <c r="P194" s="3" t="n">
        <v>155.34152</v>
      </c>
      <c r="Q194" s="3" t="n">
        <v>163.99846</v>
      </c>
      <c r="R194" s="3" t="n">
        <v>181.59045</v>
      </c>
      <c r="S194" s="3" t="n">
        <v>169.72023</v>
      </c>
    </row>
    <row r="195" customFormat="false" ht="15" hidden="false" customHeight="false" outlineLevel="0" collapsed="false">
      <c r="B195" s="0" t="s">
        <v>246</v>
      </c>
      <c r="C195" s="2" t="n">
        <v>43708</v>
      </c>
      <c r="D195" s="3" t="n">
        <v>144.79059</v>
      </c>
      <c r="E195" s="3" t="n">
        <v>78.02068</v>
      </c>
      <c r="F195" s="3" t="n">
        <v>290.39046</v>
      </c>
      <c r="G195" s="3" t="n">
        <v>91.40404</v>
      </c>
      <c r="H195" s="3" t="n">
        <v>125.63402</v>
      </c>
      <c r="I195" s="3" t="n">
        <v>142.8576</v>
      </c>
      <c r="J195" s="3" t="n">
        <v>155.8552</v>
      </c>
      <c r="K195" s="3" t="n">
        <v>142.46216</v>
      </c>
      <c r="L195" s="3" t="n">
        <v>167.042</v>
      </c>
      <c r="M195" s="3" t="n">
        <v>190.16927</v>
      </c>
      <c r="N195" s="3" t="n">
        <v>169.27895</v>
      </c>
      <c r="O195" s="3" t="n">
        <v>141.6066</v>
      </c>
      <c r="P195" s="3" t="n">
        <v>155.2895</v>
      </c>
      <c r="Q195" s="3" t="n">
        <v>163.56522</v>
      </c>
      <c r="R195" s="3" t="n">
        <v>181.1996</v>
      </c>
      <c r="S195" s="3" t="n">
        <v>146.84812</v>
      </c>
    </row>
    <row r="196" customFormat="false" ht="15" hidden="false" customHeight="false" outlineLevel="0" collapsed="false">
      <c r="B196" s="0" t="s">
        <v>247</v>
      </c>
      <c r="C196" s="2" t="n">
        <v>43738</v>
      </c>
      <c r="D196" s="3" t="n">
        <v>140.55731</v>
      </c>
      <c r="E196" s="3" t="n">
        <v>70.80071</v>
      </c>
      <c r="F196" s="3" t="n">
        <v>163.40704</v>
      </c>
      <c r="G196" s="3" t="n">
        <v>88.26736</v>
      </c>
      <c r="H196" s="3" t="n">
        <v>115.98559</v>
      </c>
      <c r="I196" s="3" t="n">
        <v>132.25951</v>
      </c>
      <c r="J196" s="3" t="n">
        <v>142.63128</v>
      </c>
      <c r="K196" s="3" t="n">
        <v>132.47229</v>
      </c>
      <c r="L196" s="3" t="n">
        <v>162.67784</v>
      </c>
      <c r="M196" s="3" t="n">
        <v>187.0283</v>
      </c>
      <c r="N196" s="3" t="n">
        <v>159.65747</v>
      </c>
      <c r="O196" s="3" t="n">
        <v>139.90912</v>
      </c>
      <c r="P196" s="3" t="n">
        <v>155.83682</v>
      </c>
      <c r="Q196" s="3" t="n">
        <v>164.33651</v>
      </c>
      <c r="R196" s="3" t="n">
        <v>178.15496</v>
      </c>
      <c r="S196" s="3" t="n">
        <v>141.19439</v>
      </c>
    </row>
    <row r="197" customFormat="false" ht="15" hidden="false" customHeight="false" outlineLevel="0" collapsed="false">
      <c r="B197" s="0" t="s">
        <v>248</v>
      </c>
      <c r="C197" s="2" t="n">
        <v>43769</v>
      </c>
      <c r="D197" s="3" t="n">
        <v>143.79727</v>
      </c>
      <c r="E197" s="3" t="n">
        <v>80.63704</v>
      </c>
      <c r="F197" s="3" t="n">
        <v>220.80363</v>
      </c>
      <c r="G197" s="3" t="n">
        <v>90.8763</v>
      </c>
      <c r="H197" s="3" t="n">
        <v>129.6781</v>
      </c>
      <c r="I197" s="3" t="n">
        <v>136.86507</v>
      </c>
      <c r="J197" s="3" t="n">
        <v>135.88939</v>
      </c>
      <c r="K197" s="3" t="n">
        <v>147.21555</v>
      </c>
      <c r="L197" s="3" t="n">
        <v>172.53862</v>
      </c>
      <c r="M197" s="3" t="n">
        <v>188.75553</v>
      </c>
      <c r="N197" s="3" t="n">
        <v>167.62332</v>
      </c>
      <c r="O197" s="3" t="n">
        <v>141.76211</v>
      </c>
      <c r="P197" s="3" t="n">
        <v>156.85989</v>
      </c>
      <c r="Q197" s="3" t="n">
        <v>163.90945</v>
      </c>
      <c r="R197" s="3" t="n">
        <v>173.06342</v>
      </c>
      <c r="S197" s="3" t="n">
        <v>137.03168</v>
      </c>
    </row>
    <row r="198" customFormat="false" ht="15" hidden="false" customHeight="false" outlineLevel="0" collapsed="false">
      <c r="B198" s="0" t="s">
        <v>249</v>
      </c>
      <c r="C198" s="2" t="n">
        <v>43799</v>
      </c>
      <c r="D198" s="3" t="n">
        <v>140.88369</v>
      </c>
      <c r="E198" s="3" t="n">
        <v>90.99894</v>
      </c>
      <c r="F198" s="3" t="n">
        <v>94.71695</v>
      </c>
      <c r="G198" s="3" t="n">
        <v>86.66775</v>
      </c>
      <c r="H198" s="3" t="n">
        <v>119.71828</v>
      </c>
      <c r="I198" s="3" t="n">
        <v>136.73289</v>
      </c>
      <c r="J198" s="3" t="n">
        <v>133.81929</v>
      </c>
      <c r="K198" s="3" t="n">
        <v>142.89631</v>
      </c>
      <c r="L198" s="3" t="n">
        <v>173.1473</v>
      </c>
      <c r="M198" s="3" t="n">
        <v>185.71228</v>
      </c>
      <c r="N198" s="3" t="n">
        <v>161.07203</v>
      </c>
      <c r="O198" s="3" t="n">
        <v>140.14957</v>
      </c>
      <c r="P198" s="3" t="n">
        <v>156.93828</v>
      </c>
      <c r="Q198" s="3" t="n">
        <v>164.1209</v>
      </c>
      <c r="R198" s="3" t="n">
        <v>172.96872</v>
      </c>
      <c r="S198" s="3" t="n">
        <v>135.56057</v>
      </c>
    </row>
    <row r="199" customFormat="false" ht="15" hidden="false" customHeight="false" outlineLevel="0" collapsed="false">
      <c r="B199" s="0" t="s">
        <v>250</v>
      </c>
      <c r="C199" s="2" t="n">
        <v>43830</v>
      </c>
      <c r="D199" s="3" t="n">
        <v>140.12669</v>
      </c>
      <c r="E199" s="3" t="n">
        <v>100.71375</v>
      </c>
      <c r="F199" s="3" t="n">
        <v>95.73886</v>
      </c>
      <c r="G199" s="3" t="n">
        <v>89.10509</v>
      </c>
      <c r="H199" s="3" t="n">
        <v>114.12789</v>
      </c>
      <c r="I199" s="3" t="n">
        <v>145.08514</v>
      </c>
      <c r="J199" s="3" t="n">
        <v>122.01461</v>
      </c>
      <c r="K199" s="3" t="n">
        <v>131.05068</v>
      </c>
      <c r="L199" s="3" t="n">
        <v>175.41773</v>
      </c>
      <c r="M199" s="3" t="n">
        <v>184.60413</v>
      </c>
      <c r="N199" s="3" t="n">
        <v>168.62707</v>
      </c>
      <c r="O199" s="3" t="n">
        <v>143.71641</v>
      </c>
      <c r="P199" s="3" t="n">
        <v>157.5695</v>
      </c>
      <c r="Q199" s="3" t="n">
        <v>163.81818</v>
      </c>
      <c r="R199" s="3" t="n">
        <v>166.54536</v>
      </c>
      <c r="S199" s="3" t="n">
        <v>131.9573</v>
      </c>
    </row>
    <row r="200" customFormat="false" ht="15" hidden="false" customHeight="false" outlineLevel="0" collapsed="false">
      <c r="B200" s="0" t="s">
        <v>251</v>
      </c>
      <c r="C200" s="2" t="n">
        <v>43861</v>
      </c>
      <c r="D200" s="3" t="n">
        <v>140.93018</v>
      </c>
      <c r="E200" s="3" t="n">
        <v>84.7799</v>
      </c>
      <c r="F200" s="3" t="n">
        <v>101.70896</v>
      </c>
      <c r="G200" s="3" t="n">
        <v>88.02325</v>
      </c>
      <c r="H200" s="3" t="n">
        <v>101.71477</v>
      </c>
      <c r="I200" s="3" t="n">
        <v>151.9216</v>
      </c>
      <c r="J200" s="3" t="n">
        <v>129.90481</v>
      </c>
      <c r="K200" s="3" t="n">
        <v>129.37967</v>
      </c>
      <c r="L200" s="3" t="n">
        <v>176.60007</v>
      </c>
      <c r="M200" s="3" t="n">
        <v>182.93542</v>
      </c>
      <c r="N200" s="3" t="n">
        <v>161.53151</v>
      </c>
      <c r="O200" s="3" t="n">
        <v>137.10218</v>
      </c>
      <c r="P200" s="3" t="n">
        <v>155.78383</v>
      </c>
      <c r="Q200" s="3" t="n">
        <v>157.66668</v>
      </c>
      <c r="R200" s="3" t="n">
        <v>181.05884</v>
      </c>
      <c r="S200" s="3" t="n">
        <v>154.05093</v>
      </c>
    </row>
    <row r="201" customFormat="false" ht="15" hidden="false" customHeight="false" outlineLevel="0" collapsed="false">
      <c r="B201" s="0" t="s">
        <v>252</v>
      </c>
      <c r="C201" s="2" t="n">
        <v>43890</v>
      </c>
      <c r="D201" s="3" t="n">
        <v>139.54976</v>
      </c>
      <c r="E201" s="3" t="n">
        <v>68.52543</v>
      </c>
      <c r="F201" s="3" t="n">
        <v>183.55052</v>
      </c>
      <c r="G201" s="3" t="n">
        <v>85.92847</v>
      </c>
      <c r="H201" s="3" t="n">
        <v>102.30741</v>
      </c>
      <c r="I201" s="3" t="n">
        <v>140.2243</v>
      </c>
      <c r="J201" s="3" t="n">
        <v>125.26752</v>
      </c>
      <c r="K201" s="3" t="n">
        <v>129.57229</v>
      </c>
      <c r="L201" s="3" t="n">
        <v>170.13846</v>
      </c>
      <c r="M201" s="3" t="n">
        <v>177.4565</v>
      </c>
      <c r="N201" s="3" t="n">
        <v>154.45575</v>
      </c>
      <c r="O201" s="3" t="n">
        <v>136.28604</v>
      </c>
      <c r="P201" s="3" t="n">
        <v>156.31203</v>
      </c>
      <c r="Q201" s="3" t="n">
        <v>158.40507</v>
      </c>
      <c r="R201" s="3" t="n">
        <v>172.60279</v>
      </c>
      <c r="S201" s="3" t="n">
        <v>144.73666</v>
      </c>
    </row>
    <row r="202" customFormat="false" ht="15" hidden="false" customHeight="false" outlineLevel="0" collapsed="false">
      <c r="B202" s="0" t="s">
        <v>253</v>
      </c>
      <c r="C202" s="2" t="n">
        <v>43921</v>
      </c>
      <c r="D202" s="3" t="n">
        <v>125.96025</v>
      </c>
      <c r="E202" s="3" t="n">
        <v>138.79893</v>
      </c>
      <c r="F202" s="3" t="n">
        <v>80.91924</v>
      </c>
      <c r="G202" s="3" t="n">
        <v>85.81213</v>
      </c>
      <c r="H202" s="3" t="n">
        <v>98.96455</v>
      </c>
      <c r="I202" s="3" t="n">
        <v>146.29745</v>
      </c>
      <c r="J202" s="3" t="n">
        <v>97.69679</v>
      </c>
      <c r="K202" s="3" t="n">
        <v>126.98197</v>
      </c>
      <c r="L202" s="3" t="n">
        <v>102.43045</v>
      </c>
      <c r="M202" s="3" t="n">
        <v>163.95509</v>
      </c>
      <c r="N202" s="3" t="n">
        <v>171.18756</v>
      </c>
      <c r="O202" s="3" t="n">
        <v>129.57605</v>
      </c>
      <c r="P202" s="3" t="n">
        <v>154.35988</v>
      </c>
      <c r="Q202" s="3" t="n">
        <v>158.28215</v>
      </c>
      <c r="R202" s="3" t="n">
        <v>169.01531</v>
      </c>
      <c r="S202" s="3" t="n">
        <v>116.34932</v>
      </c>
    </row>
    <row r="203" customFormat="false" ht="15" hidden="false" customHeight="false" outlineLevel="0" collapsed="false">
      <c r="B203" s="0" t="s">
        <v>254</v>
      </c>
      <c r="C203" s="2" t="n">
        <v>43951</v>
      </c>
      <c r="D203" s="3" t="n">
        <v>105.99228</v>
      </c>
      <c r="E203" s="3" t="n">
        <v>210.48257</v>
      </c>
      <c r="F203" s="3" t="n">
        <v>128.83597</v>
      </c>
      <c r="G203" s="3" t="n">
        <v>69.76603</v>
      </c>
      <c r="H203" s="3" t="n">
        <v>78.01561</v>
      </c>
      <c r="I203" s="3" t="n">
        <v>119.98719</v>
      </c>
      <c r="J203" s="3" t="n">
        <v>43.88606</v>
      </c>
      <c r="K203" s="3" t="n">
        <v>106.49372</v>
      </c>
      <c r="L203" s="3" t="n">
        <v>24.08034</v>
      </c>
      <c r="M203" s="3" t="n">
        <v>143.87525</v>
      </c>
      <c r="N203" s="3" t="n">
        <v>165.46846</v>
      </c>
      <c r="O203" s="3" t="n">
        <v>116.111</v>
      </c>
      <c r="P203" s="3" t="n">
        <v>135.06847</v>
      </c>
      <c r="Q203" s="3" t="n">
        <v>145.01253</v>
      </c>
      <c r="R203" s="3" t="n">
        <v>125.10485</v>
      </c>
      <c r="S203" s="3" t="n">
        <v>38.30241</v>
      </c>
    </row>
    <row r="204" customFormat="false" ht="15" hidden="false" customHeight="false" outlineLevel="0" collapsed="false">
      <c r="B204" s="0" t="s">
        <v>255</v>
      </c>
      <c r="C204" s="2" t="n">
        <v>43982</v>
      </c>
      <c r="D204" s="3" t="n">
        <v>117.20962</v>
      </c>
      <c r="E204" s="3" t="n">
        <v>294.48952</v>
      </c>
      <c r="F204" s="3" t="n">
        <v>153.34525</v>
      </c>
      <c r="G204" s="3" t="n">
        <v>74.91088</v>
      </c>
      <c r="H204" s="3" t="n">
        <v>93.105</v>
      </c>
      <c r="I204" s="3" t="n">
        <v>132.75669</v>
      </c>
      <c r="J204" s="3" t="n">
        <v>75.02261</v>
      </c>
      <c r="K204" s="3" t="n">
        <v>118.0885</v>
      </c>
      <c r="L204" s="3" t="n">
        <v>42.75424</v>
      </c>
      <c r="M204" s="3" t="n">
        <v>162.27754</v>
      </c>
      <c r="N204" s="3" t="n">
        <v>155.63397</v>
      </c>
      <c r="O204" s="3" t="n">
        <v>122.70226</v>
      </c>
      <c r="P204" s="3" t="n">
        <v>136.45071</v>
      </c>
      <c r="Q204" s="3" t="n">
        <v>149.29121</v>
      </c>
      <c r="R204" s="3" t="n">
        <v>154.79297</v>
      </c>
      <c r="S204" s="3" t="n">
        <v>43.59908</v>
      </c>
    </row>
    <row r="205" customFormat="false" ht="15" hidden="false" customHeight="false" outlineLevel="0" collapsed="false">
      <c r="B205" s="0" t="s">
        <v>256</v>
      </c>
      <c r="C205" s="2" t="n">
        <v>44012</v>
      </c>
      <c r="D205" s="3" t="n">
        <v>124.34497</v>
      </c>
      <c r="E205" s="3" t="n">
        <v>200.89476</v>
      </c>
      <c r="F205" s="3" t="n">
        <v>88.79622</v>
      </c>
      <c r="G205" s="3" t="n">
        <v>75.17548</v>
      </c>
      <c r="H205" s="3" t="n">
        <v>113.41104</v>
      </c>
      <c r="I205" s="3" t="n">
        <v>143.29377</v>
      </c>
      <c r="J205" s="3" t="n">
        <v>95.34061</v>
      </c>
      <c r="K205" s="3" t="n">
        <v>133.52314</v>
      </c>
      <c r="L205" s="3" t="n">
        <v>58.57499</v>
      </c>
      <c r="M205" s="3" t="n">
        <v>158.98517</v>
      </c>
      <c r="N205" s="3" t="n">
        <v>166.86491</v>
      </c>
      <c r="O205" s="3" t="n">
        <v>128.61073</v>
      </c>
      <c r="P205" s="3" t="n">
        <v>137.29755</v>
      </c>
      <c r="Q205" s="3" t="n">
        <v>149.84682</v>
      </c>
      <c r="R205" s="3" t="n">
        <v>163.00889</v>
      </c>
      <c r="S205" s="3" t="n">
        <v>57.94751</v>
      </c>
    </row>
    <row r="206" customFormat="false" ht="15" hidden="false" customHeight="false" outlineLevel="0" collapsed="false">
      <c r="B206" s="0" t="s">
        <v>257</v>
      </c>
      <c r="C206" s="2" t="n">
        <v>44043</v>
      </c>
      <c r="D206" s="3" t="n">
        <v>126.15819</v>
      </c>
      <c r="E206" s="3" t="n">
        <v>117.04971</v>
      </c>
      <c r="F206" s="3" t="n">
        <v>86.84341</v>
      </c>
      <c r="G206" s="3" t="n">
        <v>78.69809</v>
      </c>
      <c r="H206" s="3" t="n">
        <v>114.60883</v>
      </c>
      <c r="I206" s="3" t="n">
        <v>158.8599</v>
      </c>
      <c r="J206" s="3" t="n">
        <v>114.83527</v>
      </c>
      <c r="K206" s="3" t="n">
        <v>136.16197</v>
      </c>
      <c r="L206" s="3" t="n">
        <v>58.85517</v>
      </c>
      <c r="M206" s="3" t="n">
        <v>150.62536</v>
      </c>
      <c r="N206" s="3" t="n">
        <v>166.52923</v>
      </c>
      <c r="O206" s="3" t="n">
        <v>130.24777</v>
      </c>
      <c r="P206" s="3" t="n">
        <v>141.06344</v>
      </c>
      <c r="Q206" s="3" t="n">
        <v>153.45983</v>
      </c>
      <c r="R206" s="3" t="n">
        <v>164.44575</v>
      </c>
      <c r="S206" s="3" t="n">
        <v>62.26578</v>
      </c>
    </row>
    <row r="207" customFormat="false" ht="15" hidden="false" customHeight="false" outlineLevel="0" collapsed="false">
      <c r="B207" s="0" t="s">
        <v>258</v>
      </c>
      <c r="C207" s="2" t="n">
        <v>44074</v>
      </c>
      <c r="D207" s="3" t="n">
        <v>128.84416</v>
      </c>
      <c r="E207" s="3" t="n">
        <v>75.82375</v>
      </c>
      <c r="F207" s="3" t="n">
        <v>264.27941</v>
      </c>
      <c r="G207" s="3" t="n">
        <v>80.99571</v>
      </c>
      <c r="H207" s="3" t="n">
        <v>114.39875</v>
      </c>
      <c r="I207" s="3" t="n">
        <v>144.581</v>
      </c>
      <c r="J207" s="3" t="n">
        <v>117.71328</v>
      </c>
      <c r="K207" s="3" t="n">
        <v>134.44212</v>
      </c>
      <c r="L207" s="3" t="n">
        <v>71.33532</v>
      </c>
      <c r="M207" s="3" t="n">
        <v>149.94997</v>
      </c>
      <c r="N207" s="3" t="n">
        <v>171.17913</v>
      </c>
      <c r="O207" s="3" t="n">
        <v>134.64434</v>
      </c>
      <c r="P207" s="3" t="n">
        <v>140.02553</v>
      </c>
      <c r="Q207" s="3" t="n">
        <v>153.09201</v>
      </c>
      <c r="R207" s="3" t="n">
        <v>162.48296</v>
      </c>
      <c r="S207" s="3" t="n">
        <v>66.92928</v>
      </c>
    </row>
    <row r="208" customFormat="false" ht="15" hidden="false" customHeight="false" outlineLevel="0" collapsed="false">
      <c r="B208" s="0" t="s">
        <v>259</v>
      </c>
      <c r="C208" s="2" t="n">
        <v>44104</v>
      </c>
      <c r="D208" s="3" t="n">
        <v>130.79655</v>
      </c>
      <c r="E208" s="3" t="n">
        <v>73.7871</v>
      </c>
      <c r="F208" s="3" t="n">
        <v>237.46872</v>
      </c>
      <c r="G208" s="3" t="n">
        <v>77.02575</v>
      </c>
      <c r="H208" s="3" t="n">
        <v>119.25292</v>
      </c>
      <c r="I208" s="3" t="n">
        <v>133.95363</v>
      </c>
      <c r="J208" s="3" t="n">
        <v>116.46579</v>
      </c>
      <c r="K208" s="3" t="n">
        <v>141.8424</v>
      </c>
      <c r="L208" s="3" t="n">
        <v>63.82222</v>
      </c>
      <c r="M208" s="3" t="n">
        <v>152.13612</v>
      </c>
      <c r="N208" s="3" t="n">
        <v>167.26529</v>
      </c>
      <c r="O208" s="3" t="n">
        <v>135.8179</v>
      </c>
      <c r="P208" s="3" t="n">
        <v>140.58376</v>
      </c>
      <c r="Q208" s="3" t="n">
        <v>155.10667</v>
      </c>
      <c r="R208" s="3" t="n">
        <v>166.23307</v>
      </c>
      <c r="S208" s="3" t="n">
        <v>69.00351</v>
      </c>
    </row>
    <row r="209" customFormat="false" ht="15" hidden="false" customHeight="false" outlineLevel="0" collapsed="false">
      <c r="B209" s="0" t="s">
        <v>260</v>
      </c>
      <c r="C209" s="2" t="n">
        <v>44135</v>
      </c>
      <c r="D209" s="3" t="n">
        <v>133.39866</v>
      </c>
      <c r="E209" s="3" t="n">
        <v>73.3271</v>
      </c>
      <c r="F209" s="3" t="n">
        <v>162.64909</v>
      </c>
      <c r="G209" s="3" t="n">
        <v>79.67517</v>
      </c>
      <c r="H209" s="3" t="n">
        <v>127.43489</v>
      </c>
      <c r="I209" s="3" t="n">
        <v>132.34636</v>
      </c>
      <c r="J209" s="3" t="n">
        <v>133.11965</v>
      </c>
      <c r="K209" s="3" t="n">
        <v>145.26537</v>
      </c>
      <c r="L209" s="3" t="n">
        <v>75.24109</v>
      </c>
      <c r="M209" s="3" t="n">
        <v>151.68675</v>
      </c>
      <c r="N209" s="3" t="n">
        <v>172.65112</v>
      </c>
      <c r="O209" s="3" t="n">
        <v>137.68023</v>
      </c>
      <c r="P209" s="3" t="n">
        <v>143.15187</v>
      </c>
      <c r="Q209" s="3" t="n">
        <v>156.54106</v>
      </c>
      <c r="R209" s="3" t="n">
        <v>169.6862</v>
      </c>
      <c r="S209" s="3" t="n">
        <v>103.55072</v>
      </c>
    </row>
    <row r="210" customFormat="false" ht="15" hidden="false" customHeight="false" outlineLevel="0" collapsed="false">
      <c r="B210" s="0" t="s">
        <v>261</v>
      </c>
      <c r="C210" s="2" t="n">
        <v>44165</v>
      </c>
      <c r="D210" s="3" t="n">
        <v>134.87132</v>
      </c>
      <c r="E210" s="3" t="n">
        <v>86.96627</v>
      </c>
      <c r="F210" s="3" t="n">
        <v>86.64343</v>
      </c>
      <c r="G210" s="3" t="n">
        <v>76.55309</v>
      </c>
      <c r="H210" s="3" t="n">
        <v>124.64921</v>
      </c>
      <c r="I210" s="3" t="n">
        <v>139.37381</v>
      </c>
      <c r="J210" s="3" t="n">
        <v>137.34945</v>
      </c>
      <c r="K210" s="3" t="n">
        <v>144.4852</v>
      </c>
      <c r="L210" s="3" t="n">
        <v>77.98433</v>
      </c>
      <c r="M210" s="3" t="n">
        <v>153.16144</v>
      </c>
      <c r="N210" s="3" t="n">
        <v>169.18795</v>
      </c>
      <c r="O210" s="3" t="n">
        <v>139.68284</v>
      </c>
      <c r="P210" s="3" t="n">
        <v>143.3086</v>
      </c>
      <c r="Q210" s="3" t="n">
        <v>156.78658</v>
      </c>
      <c r="R210" s="3" t="n">
        <v>169.72033</v>
      </c>
      <c r="S210" s="3" t="n">
        <v>104.87223</v>
      </c>
    </row>
    <row r="211" customFormat="false" ht="15" hidden="false" customHeight="false" outlineLevel="0" collapsed="false">
      <c r="B211" s="0" t="s">
        <v>262</v>
      </c>
      <c r="C211" s="2" t="n">
        <v>44196</v>
      </c>
      <c r="D211" s="3" t="n">
        <v>136.95759</v>
      </c>
      <c r="E211" s="3" t="n">
        <v>112.25613</v>
      </c>
      <c r="F211" s="3" t="n">
        <v>103.05339</v>
      </c>
      <c r="G211" s="3" t="n">
        <v>80.7837</v>
      </c>
      <c r="H211" s="3" t="n">
        <v>118.55058</v>
      </c>
      <c r="I211" s="3" t="n">
        <v>149.97531</v>
      </c>
      <c r="J211" s="3" t="n">
        <v>136.60752</v>
      </c>
      <c r="K211" s="3" t="n">
        <v>144.66512</v>
      </c>
      <c r="L211" s="3" t="n">
        <v>90.32414</v>
      </c>
      <c r="M211" s="3" t="n">
        <v>150.69677</v>
      </c>
      <c r="N211" s="3" t="n">
        <v>175.95488</v>
      </c>
      <c r="O211" s="3" t="n">
        <v>142.27007</v>
      </c>
      <c r="P211" s="3" t="n">
        <v>144.27704</v>
      </c>
      <c r="Q211" s="3" t="n">
        <v>157.87222</v>
      </c>
      <c r="R211" s="3" t="n">
        <v>163.65352</v>
      </c>
      <c r="S211" s="3" t="n">
        <v>111.12735</v>
      </c>
    </row>
    <row r="212" customFormat="false" ht="15" hidden="false" customHeight="false" outlineLevel="0" collapsed="false">
      <c r="B212" s="0" t="s">
        <v>263</v>
      </c>
      <c r="C212" s="2" t="n">
        <v>44227</v>
      </c>
      <c r="D212" s="3" t="n">
        <v>139.84977</v>
      </c>
      <c r="E212" s="3" t="n">
        <v>86.97461</v>
      </c>
      <c r="F212" s="3" t="n">
        <v>126.53624</v>
      </c>
      <c r="G212" s="3" t="n">
        <v>79.52679</v>
      </c>
      <c r="H212" s="3" t="n">
        <v>106.25918</v>
      </c>
      <c r="I212" s="3" t="n">
        <v>151.01555</v>
      </c>
      <c r="J212" s="3" t="n">
        <v>145.53881</v>
      </c>
      <c r="K212" s="3" t="n">
        <v>134.90909</v>
      </c>
      <c r="L212" s="3" t="n">
        <v>111.78201</v>
      </c>
      <c r="M212" s="3" t="n">
        <v>158.01002</v>
      </c>
      <c r="N212" s="3" t="n">
        <v>165.4686</v>
      </c>
      <c r="O212" s="3" t="n">
        <v>138.78796</v>
      </c>
      <c r="P212" s="3" t="n">
        <v>146.72806</v>
      </c>
      <c r="Q212" s="3" t="n">
        <v>152.80923</v>
      </c>
      <c r="R212" s="3" t="n">
        <v>178.06103</v>
      </c>
      <c r="S212" s="3" t="n">
        <v>130.35241</v>
      </c>
    </row>
    <row r="213" customFormat="false" ht="15" hidden="false" customHeight="false" outlineLevel="0" collapsed="false">
      <c r="B213" s="0" t="s">
        <v>264</v>
      </c>
      <c r="C213" s="2" t="n">
        <v>44255</v>
      </c>
      <c r="D213" s="3" t="n">
        <v>138.24268</v>
      </c>
      <c r="E213" s="3" t="n">
        <v>71.78789</v>
      </c>
      <c r="F213" s="3" t="n">
        <v>161.33688</v>
      </c>
      <c r="G213" s="3" t="n">
        <v>75.83021</v>
      </c>
      <c r="H213" s="3" t="n">
        <v>103.4554</v>
      </c>
      <c r="I213" s="3" t="n">
        <v>128.49517</v>
      </c>
      <c r="J213" s="3" t="n">
        <v>141.89826</v>
      </c>
      <c r="K213" s="3" t="n">
        <v>135.85282</v>
      </c>
      <c r="L213" s="3" t="n">
        <v>112.21433</v>
      </c>
      <c r="M213" s="3" t="n">
        <v>153.56412</v>
      </c>
      <c r="N213" s="3" t="n">
        <v>159.70484</v>
      </c>
      <c r="O213" s="3" t="n">
        <v>137.69951</v>
      </c>
      <c r="P213" s="3" t="n">
        <v>147.44829</v>
      </c>
      <c r="Q213" s="3" t="n">
        <v>154.16099</v>
      </c>
      <c r="R213" s="3" t="n">
        <v>170.47971</v>
      </c>
      <c r="S213" s="3" t="n">
        <v>124.83305</v>
      </c>
    </row>
    <row r="214" customFormat="false" ht="15" hidden="false" customHeight="false" outlineLevel="0" collapsed="false">
      <c r="B214" s="0" t="s">
        <v>265</v>
      </c>
      <c r="C214" s="2" t="n">
        <v>44286</v>
      </c>
      <c r="D214" s="3" t="n">
        <v>140.89139</v>
      </c>
      <c r="E214" s="3" t="n">
        <v>147.80017</v>
      </c>
      <c r="F214" s="3" t="n">
        <v>136.11913</v>
      </c>
      <c r="G214" s="3" t="n">
        <v>84.12848</v>
      </c>
      <c r="H214" s="3" t="n">
        <v>129.52373</v>
      </c>
      <c r="I214" s="3" t="n">
        <v>144.92577</v>
      </c>
      <c r="J214" s="3" t="n">
        <v>152.50619</v>
      </c>
      <c r="K214" s="3" t="n">
        <v>155.54688</v>
      </c>
      <c r="L214" s="3" t="n">
        <v>91.89927</v>
      </c>
      <c r="M214" s="3" t="n">
        <v>167.71303</v>
      </c>
      <c r="N214" s="3" t="n">
        <v>179.51205</v>
      </c>
      <c r="O214" s="3" t="n">
        <v>142.57669</v>
      </c>
      <c r="P214" s="3" t="n">
        <v>148.92595</v>
      </c>
      <c r="Q214" s="3" t="n">
        <v>159.41394</v>
      </c>
      <c r="R214" s="3" t="n">
        <v>185.34016</v>
      </c>
      <c r="S214" s="3" t="n">
        <v>123.11019</v>
      </c>
    </row>
    <row r="215" customFormat="false" ht="15" hidden="false" customHeight="false" outlineLevel="0" collapsed="false">
      <c r="B215" s="0" t="s">
        <v>266</v>
      </c>
      <c r="C215" s="2" t="n">
        <v>44316</v>
      </c>
      <c r="D215" s="3" t="n">
        <v>139.31159</v>
      </c>
      <c r="E215" s="3" t="n">
        <v>207.70914</v>
      </c>
      <c r="F215" s="3" t="n">
        <v>133.0623</v>
      </c>
      <c r="G215" s="3" t="n">
        <v>82.53756</v>
      </c>
      <c r="H215" s="3" t="n">
        <v>123.31673</v>
      </c>
      <c r="I215" s="3" t="n">
        <v>134.58537</v>
      </c>
      <c r="J215" s="3" t="n">
        <v>137.98507</v>
      </c>
      <c r="K215" s="3" t="n">
        <v>151.53322</v>
      </c>
      <c r="L215" s="3" t="n">
        <v>98.85791</v>
      </c>
      <c r="M215" s="3" t="n">
        <v>170.32166</v>
      </c>
      <c r="N215" s="3" t="n">
        <v>170.83031</v>
      </c>
      <c r="O215" s="3" t="n">
        <v>143.9323</v>
      </c>
      <c r="P215" s="3" t="n">
        <v>146.30393</v>
      </c>
      <c r="Q215" s="3" t="n">
        <v>156.14509</v>
      </c>
      <c r="R215" s="3" t="n">
        <v>188.17575</v>
      </c>
      <c r="S215" s="3" t="n">
        <v>103.46998</v>
      </c>
    </row>
    <row r="216" customFormat="false" ht="15" hidden="false" customHeight="false" outlineLevel="0" collapsed="false">
      <c r="B216" s="0" t="s">
        <v>267</v>
      </c>
      <c r="C216" s="2" t="n">
        <v>44347</v>
      </c>
      <c r="D216" s="3" t="n">
        <v>138.85916</v>
      </c>
      <c r="E216" s="3" t="n">
        <v>282.04636</v>
      </c>
      <c r="F216" s="3" t="n">
        <v>158.33622</v>
      </c>
      <c r="G216" s="3" t="n">
        <v>90.39575</v>
      </c>
      <c r="H216" s="3" t="n">
        <v>122.08775</v>
      </c>
      <c r="I216" s="3" t="n">
        <v>146.80618</v>
      </c>
      <c r="J216" s="3" t="n">
        <v>124.46014</v>
      </c>
      <c r="K216" s="3" t="n">
        <v>148.73672</v>
      </c>
      <c r="L216" s="3" t="n">
        <v>91.44976</v>
      </c>
      <c r="M216" s="3" t="n">
        <v>175.36823</v>
      </c>
      <c r="N216" s="3" t="n">
        <v>156.55073</v>
      </c>
      <c r="O216" s="3" t="n">
        <v>142.1139</v>
      </c>
      <c r="P216" s="3" t="n">
        <v>147.35017</v>
      </c>
      <c r="Q216" s="3" t="n">
        <v>157.02468</v>
      </c>
      <c r="R216" s="3" t="n">
        <v>193.13552</v>
      </c>
      <c r="S216" s="3" t="n">
        <v>106.08862</v>
      </c>
    </row>
    <row r="217" customFormat="false" ht="15" hidden="false" customHeight="false" outlineLevel="0" collapsed="false">
      <c r="B217" s="0" t="s">
        <v>268</v>
      </c>
      <c r="C217" s="2" t="n">
        <v>44377</v>
      </c>
      <c r="D217" s="3" t="n">
        <v>141.52411</v>
      </c>
      <c r="E217" s="3" t="n">
        <v>192.8671</v>
      </c>
      <c r="F217" s="3" t="n">
        <v>186.58714</v>
      </c>
      <c r="G217" s="3" t="n">
        <v>87.02193</v>
      </c>
      <c r="H217" s="3" t="n">
        <v>133.05255</v>
      </c>
      <c r="I217" s="3" t="n">
        <v>157.88061</v>
      </c>
      <c r="J217" s="3" t="n">
        <v>135.99231</v>
      </c>
      <c r="K217" s="3" t="n">
        <v>155.80002</v>
      </c>
      <c r="L217" s="3" t="n">
        <v>92.64316</v>
      </c>
      <c r="M217" s="3" t="n">
        <v>174.10667</v>
      </c>
      <c r="N217" s="3" t="n">
        <v>163.7005</v>
      </c>
      <c r="O217" s="3" t="n">
        <v>144.73545</v>
      </c>
      <c r="P217" s="3" t="n">
        <v>148.21257</v>
      </c>
      <c r="Q217" s="3" t="n">
        <v>157.9009</v>
      </c>
      <c r="R217" s="3" t="n">
        <v>199.64763</v>
      </c>
      <c r="S217" s="3" t="n">
        <v>113.51035</v>
      </c>
    </row>
    <row r="218" customFormat="false" ht="15" hidden="false" customHeight="false" outlineLevel="0" collapsed="false">
      <c r="B218" s="0" t="s">
        <v>269</v>
      </c>
      <c r="C218" s="2" t="n">
        <v>44408</v>
      </c>
      <c r="D218" s="3" t="n">
        <v>141.37917</v>
      </c>
      <c r="E218" s="3" t="n">
        <v>115.64227</v>
      </c>
      <c r="F218" s="3" t="n">
        <v>286.60974</v>
      </c>
      <c r="G218" s="3" t="n">
        <v>88.70168</v>
      </c>
      <c r="H218" s="3" t="n">
        <v>129.64688</v>
      </c>
      <c r="I218" s="3" t="n">
        <v>163.91217</v>
      </c>
      <c r="J218" s="3" t="n">
        <v>141.52888</v>
      </c>
      <c r="K218" s="3" t="n">
        <v>151.57415</v>
      </c>
      <c r="L218" s="3" t="n">
        <v>104.50099</v>
      </c>
      <c r="M218" s="3" t="n">
        <v>168.78619</v>
      </c>
      <c r="N218" s="3" t="n">
        <v>162.43006</v>
      </c>
      <c r="O218" s="3" t="n">
        <v>143.81996</v>
      </c>
      <c r="P218" s="3" t="n">
        <v>150.71523</v>
      </c>
      <c r="Q218" s="3" t="n">
        <v>158.77895</v>
      </c>
      <c r="R218" s="3" t="n">
        <v>182.2429</v>
      </c>
      <c r="S218" s="3" t="n">
        <v>122.38587</v>
      </c>
    </row>
    <row r="219" customFormat="false" ht="15" hidden="false" customHeight="false" outlineLevel="0" collapsed="false">
      <c r="B219" s="0" t="s">
        <v>270</v>
      </c>
      <c r="C219" s="2" t="n">
        <v>44439</v>
      </c>
      <c r="D219" s="3" t="n">
        <v>143.3159</v>
      </c>
      <c r="E219" s="3" t="n">
        <v>78.58741</v>
      </c>
      <c r="F219" s="3" t="n">
        <v>274.71223</v>
      </c>
      <c r="G219" s="3" t="n">
        <v>90.49718</v>
      </c>
      <c r="H219" s="3" t="n">
        <v>130.63503</v>
      </c>
      <c r="I219" s="3" t="n">
        <v>158.17023</v>
      </c>
      <c r="J219" s="3" t="n">
        <v>150.72616</v>
      </c>
      <c r="K219" s="3" t="n">
        <v>152.69338</v>
      </c>
      <c r="L219" s="3" t="n">
        <v>113.76549</v>
      </c>
      <c r="M219" s="3" t="n">
        <v>170.1475</v>
      </c>
      <c r="N219" s="3" t="n">
        <v>169.16182</v>
      </c>
      <c r="O219" s="3" t="n">
        <v>145.07236</v>
      </c>
      <c r="P219" s="3" t="n">
        <v>150.99928</v>
      </c>
      <c r="Q219" s="3" t="n">
        <v>161.67671</v>
      </c>
      <c r="R219" s="3" t="n">
        <v>182.28225</v>
      </c>
      <c r="S219" s="3" t="n">
        <v>118.54023</v>
      </c>
    </row>
    <row r="220" customFormat="false" ht="15" hidden="false" customHeight="false" outlineLevel="0" collapsed="false">
      <c r="B220" s="0" t="s">
        <v>271</v>
      </c>
      <c r="C220" s="2" t="n">
        <v>44469</v>
      </c>
      <c r="D220" s="3" t="n">
        <v>144.17735</v>
      </c>
      <c r="E220" s="3" t="n">
        <v>74.20091</v>
      </c>
      <c r="F220" s="3" t="n">
        <v>218.1197</v>
      </c>
      <c r="G220" s="3" t="n">
        <v>90.12264</v>
      </c>
      <c r="H220" s="3" t="n">
        <v>131.99133</v>
      </c>
      <c r="I220" s="3" t="n">
        <v>139.62006</v>
      </c>
      <c r="J220" s="3" t="n">
        <v>149.73562</v>
      </c>
      <c r="K220" s="3" t="n">
        <v>154.02085</v>
      </c>
      <c r="L220" s="3" t="n">
        <v>120.34505</v>
      </c>
      <c r="M220" s="3" t="n">
        <v>170.88542</v>
      </c>
      <c r="N220" s="3" t="n">
        <v>165.70502</v>
      </c>
      <c r="O220" s="3" t="n">
        <v>146.38169</v>
      </c>
      <c r="P220" s="3" t="n">
        <v>152.60833</v>
      </c>
      <c r="Q220" s="3" t="n">
        <v>163.4318</v>
      </c>
      <c r="R220" s="3" t="n">
        <v>179.4027</v>
      </c>
      <c r="S220" s="3" t="n">
        <v>115.36469</v>
      </c>
    </row>
    <row r="221" customFormat="false" ht="15" hidden="false" customHeight="false" outlineLevel="0" collapsed="false">
      <c r="B221" s="0" t="s">
        <v>272</v>
      </c>
      <c r="C221" s="2" t="n">
        <v>44500</v>
      </c>
      <c r="D221" s="3" t="n">
        <v>143.35586</v>
      </c>
      <c r="E221" s="3" t="n">
        <v>75.61665</v>
      </c>
      <c r="F221" s="3" t="n">
        <v>119.02745</v>
      </c>
      <c r="G221" s="3" t="n">
        <v>91.93067</v>
      </c>
      <c r="H221" s="3" t="n">
        <v>133.67929</v>
      </c>
      <c r="I221" s="3" t="n">
        <v>129.20956</v>
      </c>
      <c r="J221" s="3" t="n">
        <v>140.81699</v>
      </c>
      <c r="K221" s="3" t="n">
        <v>151.75361</v>
      </c>
      <c r="L221" s="3" t="n">
        <v>113.95622</v>
      </c>
      <c r="M221" s="3" t="n">
        <v>170.94184</v>
      </c>
      <c r="N221" s="3" t="n">
        <v>168.89341</v>
      </c>
      <c r="O221" s="3" t="n">
        <v>146.36247</v>
      </c>
      <c r="P221" s="3" t="n">
        <v>159.81599</v>
      </c>
      <c r="Q221" s="3" t="n">
        <v>164.36542</v>
      </c>
      <c r="R221" s="3" t="n">
        <v>174.05663</v>
      </c>
      <c r="S221" s="3" t="n">
        <v>121.32184</v>
      </c>
    </row>
    <row r="222" customFormat="false" ht="15" hidden="false" customHeight="false" outlineLevel="0" collapsed="false">
      <c r="B222" s="0" t="s">
        <v>273</v>
      </c>
      <c r="C222" s="2" t="n">
        <v>44530</v>
      </c>
      <c r="D222" s="3" t="n">
        <v>145.71357</v>
      </c>
      <c r="E222" s="3" t="n">
        <v>92.51855</v>
      </c>
      <c r="F222" s="3" t="n">
        <v>91.17462</v>
      </c>
      <c r="G222" s="3" t="n">
        <v>90.27129</v>
      </c>
      <c r="H222" s="3" t="n">
        <v>137.74105</v>
      </c>
      <c r="I222" s="3" t="n">
        <v>139.50963</v>
      </c>
      <c r="J222" s="3" t="n">
        <v>144.83113</v>
      </c>
      <c r="K222" s="3" t="n">
        <v>158.63355</v>
      </c>
      <c r="L222" s="3" t="n">
        <v>119.18456</v>
      </c>
      <c r="M222" s="3" t="n">
        <v>174.67178</v>
      </c>
      <c r="N222" s="3" t="n">
        <v>172.13812</v>
      </c>
      <c r="O222" s="3" t="n">
        <v>149.29578</v>
      </c>
      <c r="P222" s="3" t="n">
        <v>160.50722</v>
      </c>
      <c r="Q222" s="3" t="n">
        <v>164.78529</v>
      </c>
      <c r="R222" s="3" t="n">
        <v>174.10594</v>
      </c>
      <c r="S222" s="3" t="n">
        <v>121.30259</v>
      </c>
    </row>
    <row r="223" customFormat="false" ht="15" hidden="false" customHeight="false" outlineLevel="0" collapsed="false">
      <c r="B223" s="0" t="s">
        <v>274</v>
      </c>
      <c r="C223" s="2" t="n">
        <v>44561</v>
      </c>
      <c r="D223" s="3" t="n">
        <v>149.7204</v>
      </c>
      <c r="E223" s="3" t="n">
        <v>129.44161</v>
      </c>
      <c r="F223" s="3" t="n">
        <v>106.38181</v>
      </c>
      <c r="G223" s="3" t="n">
        <v>92.47969</v>
      </c>
      <c r="H223" s="3" t="n">
        <v>131.04457</v>
      </c>
      <c r="I223" s="3" t="n">
        <v>154.85842</v>
      </c>
      <c r="J223" s="3" t="n">
        <v>141.6476</v>
      </c>
      <c r="K223" s="3" t="n">
        <v>155.1093</v>
      </c>
      <c r="L223" s="3" t="n">
        <v>126.55592</v>
      </c>
      <c r="M223" s="3" t="n">
        <v>176.31511</v>
      </c>
      <c r="N223" s="3" t="n">
        <v>174.98367</v>
      </c>
      <c r="O223" s="3" t="n">
        <v>151.17331</v>
      </c>
      <c r="P223" s="3" t="n">
        <v>161.23162</v>
      </c>
      <c r="Q223" s="3" t="n">
        <v>166.44216</v>
      </c>
      <c r="R223" s="3" t="n">
        <v>167.41608</v>
      </c>
      <c r="S223" s="3" t="n">
        <v>126.10372</v>
      </c>
    </row>
    <row r="224" customFormat="false" ht="15" hidden="false" customHeight="false" outlineLevel="0" collapsed="false">
      <c r="B224" s="0" t="s">
        <v>275</v>
      </c>
      <c r="C224" s="2" t="n">
        <v>44592</v>
      </c>
      <c r="D224" s="3" t="n">
        <v>148.52455</v>
      </c>
      <c r="E224" s="3" t="n">
        <v>102.95741</v>
      </c>
      <c r="F224" s="3" t="n">
        <v>111.84315</v>
      </c>
      <c r="G224" s="3" t="n">
        <v>93.53114</v>
      </c>
      <c r="H224" s="3" t="n">
        <v>105.56566</v>
      </c>
      <c r="I224" s="3" t="n">
        <v>164.04626</v>
      </c>
      <c r="J224" s="3" t="n">
        <v>146.29942</v>
      </c>
      <c r="K224" s="3" t="n">
        <v>139.2579</v>
      </c>
      <c r="L224" s="3" t="n">
        <v>167.38156</v>
      </c>
      <c r="M224" s="3" t="n">
        <v>171.1248</v>
      </c>
      <c r="N224" s="3" t="n">
        <v>170.72577</v>
      </c>
      <c r="O224" s="3" t="n">
        <v>144.67354</v>
      </c>
      <c r="P224" s="3" t="n">
        <v>161.34227</v>
      </c>
      <c r="Q224" s="3" t="n">
        <v>160.14279</v>
      </c>
      <c r="R224" s="3" t="n">
        <v>183.27305</v>
      </c>
      <c r="S224" s="3" t="n">
        <v>136.84033</v>
      </c>
    </row>
    <row r="225" customFormat="false" ht="15" hidden="false" customHeight="false" outlineLevel="0" collapsed="false">
      <c r="B225" s="0" t="s">
        <v>276</v>
      </c>
      <c r="C225" s="2" t="n">
        <v>44620</v>
      </c>
      <c r="D225" s="3" t="n">
        <v>150.70923</v>
      </c>
      <c r="E225" s="3" t="n">
        <v>78.75098</v>
      </c>
      <c r="F225" s="3" t="n">
        <v>160.22637</v>
      </c>
      <c r="G225" s="3" t="n">
        <v>84.62401</v>
      </c>
      <c r="H225" s="3" t="n">
        <v>114.3119</v>
      </c>
      <c r="I225" s="3" t="n">
        <v>136.44145</v>
      </c>
      <c r="J225" s="3" t="n">
        <v>150.83267</v>
      </c>
      <c r="K225" s="3" t="n">
        <v>145.31906</v>
      </c>
      <c r="L225" s="3" t="n">
        <v>164.62502</v>
      </c>
      <c r="M225" s="3" t="n">
        <v>172.23433</v>
      </c>
      <c r="N225" s="3" t="n">
        <v>161.67681</v>
      </c>
      <c r="O225" s="3" t="n">
        <v>145.84303</v>
      </c>
      <c r="P225" s="3" t="n">
        <v>161.65787</v>
      </c>
      <c r="Q225" s="3" t="n">
        <v>161.51263</v>
      </c>
      <c r="R225" s="3" t="n">
        <v>174.50096</v>
      </c>
      <c r="S225" s="3" t="n">
        <v>137.22079</v>
      </c>
    </row>
    <row r="226" customFormat="false" ht="15" hidden="false" customHeight="false" outlineLevel="0" collapsed="false">
      <c r="B226" s="0" t="s">
        <v>277</v>
      </c>
      <c r="C226" s="2" t="n">
        <v>44651</v>
      </c>
      <c r="D226" s="3" t="n">
        <v>150.34672</v>
      </c>
      <c r="E226" s="3" t="n">
        <v>150.42269</v>
      </c>
      <c r="F226" s="3" t="n">
        <v>128.99581</v>
      </c>
      <c r="G226" s="3" t="n">
        <v>95.19459</v>
      </c>
      <c r="H226" s="3" t="n">
        <v>134.51083</v>
      </c>
      <c r="I226" s="3" t="n">
        <v>146.016</v>
      </c>
      <c r="J226" s="3" t="n">
        <v>156.33788</v>
      </c>
      <c r="K226" s="3" t="n">
        <v>161.98969</v>
      </c>
      <c r="L226" s="3" t="n">
        <v>130.70449</v>
      </c>
      <c r="M226" s="3" t="n">
        <v>184.85307</v>
      </c>
      <c r="N226" s="3" t="n">
        <v>180.24362</v>
      </c>
      <c r="O226" s="3" t="n">
        <v>148.87343</v>
      </c>
      <c r="P226" s="3" t="n">
        <v>161.47135</v>
      </c>
      <c r="Q226" s="3" t="n">
        <v>165.25614</v>
      </c>
      <c r="R226" s="3" t="n">
        <v>188.4943</v>
      </c>
      <c r="S226" s="3" t="n">
        <v>138.93517</v>
      </c>
    </row>
    <row r="227" customFormat="false" ht="15" hidden="false" customHeight="false" outlineLevel="0" collapsed="false">
      <c r="B227" s="0" t="s">
        <v>278</v>
      </c>
      <c r="C227" s="2" t="n">
        <v>44681</v>
      </c>
      <c r="D227" s="3" t="n">
        <v>152.0977</v>
      </c>
      <c r="E227" s="3" t="n">
        <v>202.9112</v>
      </c>
      <c r="F227" s="3" t="n">
        <v>211.13754</v>
      </c>
      <c r="G227" s="3" t="n">
        <v>95.47598</v>
      </c>
      <c r="H227" s="3" t="n">
        <v>129.12817</v>
      </c>
      <c r="I227" s="3" t="n">
        <v>138.64011</v>
      </c>
      <c r="J227" s="3" t="n">
        <v>151.26623</v>
      </c>
      <c r="K227" s="3" t="n">
        <v>161.64267</v>
      </c>
      <c r="L227" s="3" t="n">
        <v>111.49017</v>
      </c>
      <c r="M227" s="3" t="n">
        <v>189.22275</v>
      </c>
      <c r="N227" s="3" t="n">
        <v>175.58867</v>
      </c>
      <c r="O227" s="3" t="n">
        <v>151.53833</v>
      </c>
      <c r="P227" s="3" t="n">
        <v>160.71627</v>
      </c>
      <c r="Q227" s="3" t="n">
        <v>164.97305</v>
      </c>
      <c r="R227" s="3" t="n">
        <v>191.1269</v>
      </c>
      <c r="S227" s="3" t="n">
        <v>121.05811</v>
      </c>
    </row>
    <row r="228" customFormat="false" ht="15" hidden="false" customHeight="false" outlineLevel="0" collapsed="false">
      <c r="B228" s="0" t="s">
        <v>279</v>
      </c>
      <c r="C228" s="2" t="n">
        <v>44712</v>
      </c>
      <c r="D228" s="3" t="n">
        <v>152.12668</v>
      </c>
      <c r="E228" s="3" t="n">
        <v>272.01309</v>
      </c>
      <c r="F228" s="3" t="n">
        <v>170.11888</v>
      </c>
      <c r="G228" s="3" t="n">
        <v>104.09607</v>
      </c>
      <c r="H228" s="3" t="n">
        <v>135.36645</v>
      </c>
      <c r="I228" s="3" t="n">
        <v>155.96833</v>
      </c>
      <c r="J228" s="3" t="n">
        <v>145.64229</v>
      </c>
      <c r="K228" s="3" t="n">
        <v>166.16402</v>
      </c>
      <c r="L228" s="3" t="n">
        <v>137.14582</v>
      </c>
      <c r="M228" s="3" t="n">
        <v>195.64057</v>
      </c>
      <c r="N228" s="3" t="n">
        <v>159.37032</v>
      </c>
      <c r="O228" s="3" t="n">
        <v>153.24729</v>
      </c>
      <c r="P228" s="3" t="n">
        <v>160.92652</v>
      </c>
      <c r="Q228" s="3" t="n">
        <v>165.95251</v>
      </c>
      <c r="R228" s="3" t="n">
        <v>194.56511</v>
      </c>
      <c r="S228" s="3" t="n">
        <v>119.47279</v>
      </c>
    </row>
    <row r="229" customFormat="false" ht="15" hidden="false" customHeight="false" outlineLevel="0" collapsed="false">
      <c r="B229" s="0" t="s">
        <v>280</v>
      </c>
      <c r="C229" s="2" t="n">
        <v>44742</v>
      </c>
      <c r="D229" s="3" t="n">
        <v>154.30297</v>
      </c>
      <c r="E229" s="3" t="n">
        <v>190.60765</v>
      </c>
      <c r="F229" s="3" t="n">
        <v>200.87453</v>
      </c>
      <c r="G229" s="3" t="n">
        <v>96.64953</v>
      </c>
      <c r="H229" s="3" t="n">
        <v>141.39612</v>
      </c>
      <c r="I229" s="3" t="n">
        <v>166.64152</v>
      </c>
      <c r="J229" s="3" t="n">
        <v>149.85879</v>
      </c>
      <c r="K229" s="3" t="n">
        <v>171.42271</v>
      </c>
      <c r="L229" s="3" t="n">
        <v>163.74717</v>
      </c>
      <c r="M229" s="3" t="n">
        <v>191.15997</v>
      </c>
      <c r="N229" s="3" t="n">
        <v>167.62015</v>
      </c>
      <c r="O229" s="3" t="n">
        <v>153.12018</v>
      </c>
      <c r="P229" s="3" t="n">
        <v>162.51768</v>
      </c>
      <c r="Q229" s="3" t="n">
        <v>167.12105</v>
      </c>
      <c r="R229" s="3" t="n">
        <v>201.13025</v>
      </c>
      <c r="S229" s="3" t="n">
        <v>122.13159</v>
      </c>
    </row>
    <row r="230" customFormat="false" ht="15" hidden="false" customHeight="false" outlineLevel="0" collapsed="false">
      <c r="B230" s="0" t="s">
        <v>281</v>
      </c>
      <c r="C230" s="2" t="n">
        <v>44773</v>
      </c>
      <c r="D230" s="3" t="n">
        <v>152.5582</v>
      </c>
      <c r="E230" s="3" t="n">
        <v>108.37984</v>
      </c>
      <c r="F230" s="3" t="n">
        <v>275.90456</v>
      </c>
      <c r="G230" s="3" t="n">
        <v>99.13923</v>
      </c>
      <c r="H230" s="3" t="n">
        <v>137.47421</v>
      </c>
      <c r="I230" s="3" t="n">
        <v>159.6238</v>
      </c>
      <c r="J230" s="3" t="n">
        <v>151.07353</v>
      </c>
      <c r="K230" s="3" t="n">
        <v>162.09687</v>
      </c>
      <c r="L230" s="3" t="n">
        <v>133.62774</v>
      </c>
      <c r="M230" s="3" t="n">
        <v>185.74071</v>
      </c>
      <c r="N230" s="3" t="n">
        <v>166.62721</v>
      </c>
      <c r="O230" s="3" t="n">
        <v>152.5591</v>
      </c>
      <c r="P230" s="3" t="n">
        <v>162.10501</v>
      </c>
      <c r="Q230" s="3" t="n">
        <v>167.95205</v>
      </c>
      <c r="R230" s="3" t="n">
        <v>184.23103</v>
      </c>
      <c r="S230" s="3" t="n">
        <v>135.86833</v>
      </c>
    </row>
    <row r="231" customFormat="false" ht="15" hidden="false" customHeight="false" outlineLevel="0" collapsed="false">
      <c r="B231" s="0" t="s">
        <v>282</v>
      </c>
      <c r="C231" s="2" t="n">
        <v>44804</v>
      </c>
      <c r="D231" s="3" t="n">
        <v>151.72301</v>
      </c>
      <c r="E231" s="3" t="n">
        <v>76.49887</v>
      </c>
      <c r="F231" s="3" t="n">
        <v>292.38473</v>
      </c>
      <c r="G231" s="3" t="n">
        <v>102.05838</v>
      </c>
      <c r="H231" s="3" t="n">
        <v>141.53561</v>
      </c>
      <c r="I231" s="3" t="n">
        <v>150.54357</v>
      </c>
      <c r="J231" s="3" t="n">
        <v>161.95289</v>
      </c>
      <c r="K231" s="3" t="n">
        <v>166.18252</v>
      </c>
      <c r="L231" s="3" t="n">
        <v>142.75122</v>
      </c>
      <c r="M231" s="3" t="n">
        <v>182.30327</v>
      </c>
      <c r="N231" s="3" t="n">
        <v>168.95485</v>
      </c>
      <c r="O231" s="3" t="n">
        <v>154.6132</v>
      </c>
      <c r="P231" s="3" t="n">
        <v>161.52741</v>
      </c>
      <c r="Q231" s="3" t="n">
        <v>168.484</v>
      </c>
      <c r="R231" s="3" t="n">
        <v>183.56049</v>
      </c>
      <c r="S231" s="3" t="n">
        <v>129.01316</v>
      </c>
    </row>
    <row r="232" customFormat="false" ht="15" hidden="false" customHeight="false" outlineLevel="0" collapsed="false">
      <c r="B232" s="0" t="s">
        <v>283</v>
      </c>
      <c r="C232" s="2" t="n">
        <v>44834</v>
      </c>
      <c r="D232" s="3" t="n">
        <v>150.78775</v>
      </c>
      <c r="E232" s="3" t="n">
        <v>72.54275</v>
      </c>
      <c r="F232" s="3" t="n">
        <v>212.27799</v>
      </c>
      <c r="G232" s="3" t="n">
        <v>98.94219</v>
      </c>
      <c r="H232" s="3" t="n">
        <v>137.27774</v>
      </c>
      <c r="I232" s="3" t="n">
        <v>133.91818</v>
      </c>
      <c r="J232" s="3" t="n">
        <v>159.9898</v>
      </c>
      <c r="K232" s="3" t="n">
        <v>165.58132</v>
      </c>
      <c r="L232" s="3" t="n">
        <v>133.01173</v>
      </c>
      <c r="M232" s="3" t="n">
        <v>180.45654</v>
      </c>
      <c r="N232" s="3" t="n">
        <v>162.68936</v>
      </c>
      <c r="O232" s="3" t="n">
        <v>152.55142</v>
      </c>
      <c r="P232" s="3" t="n">
        <v>162.29061</v>
      </c>
      <c r="Q232" s="3" t="n">
        <v>169.35766</v>
      </c>
      <c r="R232" s="3" t="n">
        <v>180.82351</v>
      </c>
      <c r="S232" s="3" t="n">
        <v>123.6986</v>
      </c>
    </row>
    <row r="233" customFormat="false" ht="15" hidden="false" customHeight="false" outlineLevel="0" collapsed="false">
      <c r="B233" s="0" t="s">
        <v>284</v>
      </c>
      <c r="C233" s="2" t="n">
        <v>44865</v>
      </c>
      <c r="D233" s="3" t="n">
        <v>149.08576</v>
      </c>
      <c r="E233" s="3" t="n">
        <v>64.51382</v>
      </c>
      <c r="F233" s="3" t="n">
        <v>85.89096</v>
      </c>
      <c r="G233" s="3" t="n">
        <v>102.76662</v>
      </c>
      <c r="H233" s="3" t="n">
        <v>138.31197</v>
      </c>
      <c r="I233" s="3" t="n">
        <v>137.18814</v>
      </c>
      <c r="J233" s="3" t="n">
        <v>146.38832</v>
      </c>
      <c r="K233" s="3" t="n">
        <v>158.97715</v>
      </c>
      <c r="L233" s="3" t="n">
        <v>150.02975</v>
      </c>
      <c r="M233" s="3" t="n">
        <v>181.466</v>
      </c>
      <c r="N233" s="3" t="n">
        <v>163.77713</v>
      </c>
      <c r="O233" s="3" t="n">
        <v>151.90729</v>
      </c>
      <c r="P233" s="3" t="n">
        <v>161.92808</v>
      </c>
      <c r="Q233" s="3" t="n">
        <v>168.69911</v>
      </c>
      <c r="R233" s="3" t="n">
        <v>176.02362</v>
      </c>
      <c r="S233" s="3" t="n">
        <v>131.62928</v>
      </c>
    </row>
    <row r="234" customFormat="false" ht="15" hidden="false" customHeight="false" outlineLevel="0" collapsed="false">
      <c r="B234" s="0" t="s">
        <v>285</v>
      </c>
      <c r="C234" s="2" t="n">
        <v>44895</v>
      </c>
      <c r="D234" s="3" t="n">
        <v>148.32757</v>
      </c>
      <c r="E234" s="3" t="n">
        <v>75.33229</v>
      </c>
      <c r="F234" s="3" t="n">
        <v>76.56739</v>
      </c>
      <c r="G234" s="3" t="n">
        <v>97.03481</v>
      </c>
      <c r="H234" s="3" t="n">
        <v>139.74501</v>
      </c>
      <c r="I234" s="3" t="n">
        <v>145.59282</v>
      </c>
      <c r="J234" s="3" t="n">
        <v>149.6945</v>
      </c>
      <c r="K234" s="3" t="n">
        <v>162.78683</v>
      </c>
      <c r="L234" s="3" t="n">
        <v>149.86294</v>
      </c>
      <c r="M234" s="3" t="n">
        <v>179.81132</v>
      </c>
      <c r="N234" s="3" t="n">
        <v>163.57141</v>
      </c>
      <c r="O234" s="3" t="n">
        <v>154.20609</v>
      </c>
      <c r="P234" s="3" t="n">
        <v>162.63197</v>
      </c>
      <c r="Q234" s="3" t="n">
        <v>169.29678</v>
      </c>
      <c r="R234" s="3" t="n">
        <v>175.31423</v>
      </c>
      <c r="S234" s="3" t="n">
        <v>127.21615</v>
      </c>
    </row>
    <row r="235" customFormat="false" ht="15" hidden="false" customHeight="false" outlineLevel="0" collapsed="false">
      <c r="B235" s="0" t="s">
        <v>286</v>
      </c>
      <c r="C235" s="2" t="n">
        <v>44926</v>
      </c>
      <c r="D235" s="3" t="n">
        <v>148.48524</v>
      </c>
      <c r="E235" s="3" t="n">
        <v>92.00101</v>
      </c>
      <c r="F235" s="3" t="n">
        <v>119.21713</v>
      </c>
      <c r="G235" s="3" t="n">
        <v>102.3562</v>
      </c>
      <c r="H235" s="3" t="n">
        <v>129.31124</v>
      </c>
      <c r="I235" s="3" t="n">
        <v>161.24218</v>
      </c>
      <c r="J235" s="3" t="n">
        <v>139.64469</v>
      </c>
      <c r="K235" s="3" t="n">
        <v>153.11303</v>
      </c>
      <c r="L235" s="3" t="n">
        <v>153.27963</v>
      </c>
      <c r="M235" s="3" t="n">
        <v>177.71835</v>
      </c>
      <c r="N235" s="3" t="n">
        <v>170.0736</v>
      </c>
      <c r="O235" s="3" t="n">
        <v>154.53934</v>
      </c>
      <c r="P235" s="3" t="n">
        <v>163.11139</v>
      </c>
      <c r="Q235" s="3" t="n">
        <v>170.39461</v>
      </c>
      <c r="R235" s="3" t="n">
        <v>168.84631</v>
      </c>
      <c r="S235" s="3" t="n">
        <v>128.84334</v>
      </c>
    </row>
    <row r="236" customFormat="false" ht="15" hidden="false" customHeight="false" outlineLevel="0" collapsed="false">
      <c r="B236" s="0" t="s">
        <v>287</v>
      </c>
      <c r="C236" s="2" t="n">
        <v>44957</v>
      </c>
      <c r="D236" s="3" t="n">
        <v>149.95773</v>
      </c>
      <c r="E236" s="3" t="n">
        <v>81.06298</v>
      </c>
      <c r="F236" s="3" t="n">
        <v>183.61502</v>
      </c>
      <c r="G236" s="3" t="n">
        <v>105.01541</v>
      </c>
      <c r="H236" s="3" t="n">
        <v>113.63935</v>
      </c>
      <c r="I236" s="3" t="n">
        <v>166.20584</v>
      </c>
      <c r="J236" s="3" t="n">
        <v>154.63571</v>
      </c>
      <c r="K236" s="3" t="n">
        <v>146.91782</v>
      </c>
      <c r="L236" s="3" t="n">
        <v>180.91639</v>
      </c>
      <c r="M236" s="3" t="n">
        <v>177.37134</v>
      </c>
      <c r="N236" s="3" t="n">
        <v>166.81777</v>
      </c>
      <c r="O236" s="3" t="n">
        <v>149.2467</v>
      </c>
      <c r="P236" s="3" t="n">
        <v>164.2827</v>
      </c>
      <c r="Q236" s="3" t="n">
        <v>164.43783</v>
      </c>
      <c r="R236" s="3" t="n">
        <v>184.83829</v>
      </c>
      <c r="S236" s="3" t="n">
        <v>144.81781</v>
      </c>
    </row>
    <row r="237" customFormat="false" ht="15" hidden="false" customHeight="false" outlineLevel="0" collapsed="false">
      <c r="B237" s="0" t="s">
        <v>288</v>
      </c>
      <c r="C237" s="2" t="n">
        <v>44985</v>
      </c>
      <c r="D237" s="3" t="n">
        <v>150.15642</v>
      </c>
      <c r="E237" s="3" t="n">
        <v>69.23364</v>
      </c>
      <c r="F237" s="3" t="n">
        <v>133.55786</v>
      </c>
      <c r="G237" s="3" t="n">
        <v>94.21404</v>
      </c>
      <c r="H237" s="3" t="n">
        <v>112.32183</v>
      </c>
      <c r="I237" s="3" t="n">
        <v>144.24531</v>
      </c>
      <c r="J237" s="3" t="n">
        <v>151.56113</v>
      </c>
      <c r="K237" s="3" t="n">
        <v>146.74025</v>
      </c>
      <c r="L237" s="3" t="n">
        <v>173.75546</v>
      </c>
      <c r="M237" s="3" t="n">
        <v>172.20294</v>
      </c>
      <c r="N237" s="3" t="n">
        <v>155.30717</v>
      </c>
      <c r="O237" s="3" t="n">
        <v>148.09705</v>
      </c>
      <c r="P237" s="3" t="n">
        <v>164.56277</v>
      </c>
      <c r="Q237" s="3" t="n">
        <v>165.47497</v>
      </c>
      <c r="R237" s="3" t="n">
        <v>175.38434</v>
      </c>
      <c r="S237" s="3" t="n">
        <v>143.26677</v>
      </c>
    </row>
    <row r="238" customFormat="false" ht="15" hidden="false" customHeight="false" outlineLevel="0" collapsed="false">
      <c r="B238" s="0" t="s">
        <v>289</v>
      </c>
      <c r="C238" s="2" t="n">
        <v>45016</v>
      </c>
      <c r="D238" s="3" t="n">
        <v>150.75596</v>
      </c>
      <c r="E238" s="3" t="n">
        <v>123.41989</v>
      </c>
      <c r="F238" s="3" t="n">
        <v>120.36823</v>
      </c>
      <c r="G238" s="3" t="n">
        <v>103.86414</v>
      </c>
      <c r="H238" s="3" t="n">
        <v>139.01778</v>
      </c>
      <c r="I238" s="3" t="n">
        <v>165.04058</v>
      </c>
      <c r="J238" s="3" t="n">
        <v>162.78755</v>
      </c>
      <c r="K238" s="3" t="n">
        <v>169.40589</v>
      </c>
      <c r="L238" s="3" t="n">
        <v>138.63423</v>
      </c>
      <c r="M238" s="3" t="n">
        <v>182.86697</v>
      </c>
      <c r="N238" s="3" t="n">
        <v>176.18128</v>
      </c>
      <c r="O238" s="3" t="n">
        <v>153.0126</v>
      </c>
      <c r="P238" s="3" t="n">
        <v>164.28153</v>
      </c>
      <c r="Q238" s="3" t="n">
        <v>169.77001</v>
      </c>
      <c r="R238" s="3" t="n">
        <v>190.61567</v>
      </c>
      <c r="S238" s="3" t="n">
        <v>142.13725</v>
      </c>
    </row>
    <row r="239" customFormat="false" ht="15" hidden="false" customHeight="false" outlineLevel="0" collapsed="false">
      <c r="B239" s="0" t="s">
        <v>290</v>
      </c>
      <c r="C239" s="2" t="n">
        <v>45046</v>
      </c>
      <c r="D239" s="3" t="n">
        <v>147.35749</v>
      </c>
      <c r="E239" s="3" t="n">
        <v>121.75129</v>
      </c>
      <c r="F239" s="3" t="n">
        <v>68.67101</v>
      </c>
      <c r="G239" s="3" t="n">
        <v>102.05522</v>
      </c>
      <c r="H239" s="3" t="n">
        <v>130.73051</v>
      </c>
      <c r="I239" s="3" t="n">
        <v>132.95555</v>
      </c>
      <c r="J239" s="3" t="n">
        <v>151.91961</v>
      </c>
      <c r="K239" s="3" t="n">
        <v>163.65872</v>
      </c>
      <c r="L239" s="3" t="n">
        <v>110.46472</v>
      </c>
      <c r="M239" s="3" t="n">
        <v>182.99373</v>
      </c>
      <c r="N239" s="3" t="n">
        <v>168.32374</v>
      </c>
      <c r="O239" s="3" t="n">
        <v>153.98887</v>
      </c>
      <c r="P239" s="3" t="n">
        <v>163.77062</v>
      </c>
      <c r="Q239" s="3" t="n">
        <v>169.32159</v>
      </c>
      <c r="R239" s="3" t="n">
        <v>193.87125</v>
      </c>
      <c r="S239" s="3" t="n">
        <v>122.93085</v>
      </c>
    </row>
    <row r="240" customFormat="false" ht="15" hidden="false" customHeight="false" outlineLevel="0" collapsed="false">
      <c r="B240" s="0" t="s">
        <v>291</v>
      </c>
      <c r="C240" s="2" t="n">
        <v>45077</v>
      </c>
      <c r="D240" s="3" t="n">
        <v>145.55273</v>
      </c>
      <c r="E240" s="3" t="n">
        <v>138.55749</v>
      </c>
      <c r="F240" s="3" t="n">
        <v>140.92854</v>
      </c>
      <c r="G240" s="3" t="n">
        <v>110.99519</v>
      </c>
      <c r="H240" s="3" t="n">
        <v>134.75209</v>
      </c>
      <c r="I240" s="3" t="n">
        <v>144.09059</v>
      </c>
      <c r="J240" s="3" t="n">
        <v>146.95227</v>
      </c>
      <c r="K240" s="3" t="n">
        <v>169.74011</v>
      </c>
      <c r="L240" s="3" t="n">
        <v>139.39279</v>
      </c>
      <c r="M240" s="3" t="n">
        <v>189.02027</v>
      </c>
      <c r="N240" s="3" t="n">
        <v>153.91509</v>
      </c>
      <c r="O240" s="3" t="n">
        <v>155.38142</v>
      </c>
      <c r="P240" s="3" t="n">
        <v>164.4003</v>
      </c>
      <c r="Q240" s="3" t="n">
        <v>170.39567</v>
      </c>
      <c r="R240" s="3" t="n">
        <v>197.53184</v>
      </c>
      <c r="S240" s="3" t="n">
        <v>122.61374</v>
      </c>
    </row>
    <row r="241" customFormat="false" ht="15" hidden="false" customHeight="false" outlineLevel="0" collapsed="false">
      <c r="B241" s="0" t="s">
        <v>292</v>
      </c>
      <c r="C241" s="2" t="n">
        <v>45107</v>
      </c>
      <c r="D241" s="3" t="n">
        <v>146.06327</v>
      </c>
      <c r="E241" s="3" t="n">
        <v>106.79641</v>
      </c>
      <c r="F241" s="3" t="n">
        <v>216.62068</v>
      </c>
      <c r="G241" s="3" t="n">
        <v>105.45924</v>
      </c>
      <c r="H241" s="3" t="n">
        <v>134.02299</v>
      </c>
      <c r="I241" s="3" t="n">
        <v>154.23736</v>
      </c>
      <c r="J241" s="3" t="n">
        <v>150.8049</v>
      </c>
      <c r="K241" s="3" t="n">
        <v>173.49492</v>
      </c>
      <c r="L241" s="3" t="n">
        <v>166.57432</v>
      </c>
      <c r="M241" s="3" t="n">
        <v>184.75806</v>
      </c>
      <c r="N241" s="3" t="n">
        <v>160.42637</v>
      </c>
      <c r="O241" s="3" t="n">
        <v>155.69511</v>
      </c>
      <c r="P241" s="3" t="n">
        <v>165.90967</v>
      </c>
      <c r="Q241" s="3" t="n">
        <v>171.6707</v>
      </c>
      <c r="R241" s="3" t="n">
        <v>204.19017</v>
      </c>
      <c r="S241" s="3" t="n">
        <v>124.21373</v>
      </c>
    </row>
    <row r="242" customFormat="false" ht="15" hidden="false" customHeight="false" outlineLevel="0" collapsed="false">
      <c r="B242" s="0" t="s">
        <v>293</v>
      </c>
      <c r="C242" s="2" t="n">
        <v>45138</v>
      </c>
      <c r="D242" s="3" t="n">
        <v>148.72466</v>
      </c>
      <c r="E242" s="3" t="n">
        <v>93.18775</v>
      </c>
      <c r="F242" s="3" t="n">
        <v>332.47809</v>
      </c>
      <c r="G242" s="3" t="n">
        <v>107.05993</v>
      </c>
      <c r="H242" s="3" t="n">
        <v>133.66535</v>
      </c>
      <c r="I242" s="3" t="n">
        <v>158.6855</v>
      </c>
      <c r="J242" s="3" t="n">
        <v>150.32969</v>
      </c>
      <c r="K242" s="3" t="n">
        <v>160.75493</v>
      </c>
      <c r="L242" s="3" t="n">
        <v>144.12734</v>
      </c>
      <c r="M242" s="3" t="n">
        <v>184.32983</v>
      </c>
      <c r="N242" s="3" t="n">
        <v>164.8453</v>
      </c>
      <c r="O242" s="3" t="n">
        <v>152.67629</v>
      </c>
      <c r="P242" s="3" t="n">
        <v>165.79311</v>
      </c>
      <c r="Q242" s="3" t="n">
        <v>171.72048</v>
      </c>
      <c r="R242" s="3" t="n">
        <v>187.04025</v>
      </c>
      <c r="S242" s="3" t="n">
        <v>138.79651</v>
      </c>
    </row>
    <row r="243" customFormat="false" ht="15" hidden="false" customHeight="false" outlineLevel="0" collapsed="false">
      <c r="B243" s="0" t="s">
        <v>294</v>
      </c>
      <c r="C243" s="2" t="n">
        <v>45169</v>
      </c>
      <c r="D243" s="3" t="n">
        <v>150.05695</v>
      </c>
      <c r="E243" s="3" t="n">
        <v>74.21947</v>
      </c>
      <c r="F243" s="3" t="n">
        <v>239.08436</v>
      </c>
      <c r="G243" s="3" t="n">
        <v>109.17266</v>
      </c>
      <c r="H243" s="3" t="n">
        <v>137.53862</v>
      </c>
      <c r="I243" s="3" t="n">
        <v>152.3422</v>
      </c>
      <c r="J243" s="3" t="n">
        <v>165.19688</v>
      </c>
      <c r="K243" s="3" t="n">
        <v>167.96613</v>
      </c>
      <c r="L243" s="3" t="n">
        <v>153.91557</v>
      </c>
      <c r="M243" s="3" t="n">
        <v>183.047</v>
      </c>
      <c r="N243" s="3" t="n">
        <v>167.94419</v>
      </c>
      <c r="O243" s="3" t="n">
        <v>156.72851</v>
      </c>
      <c r="P243" s="3" t="n">
        <v>165.36573</v>
      </c>
      <c r="Q243" s="3" t="n">
        <v>172.3211</v>
      </c>
      <c r="R243" s="3" t="n">
        <v>186.81851</v>
      </c>
      <c r="S243" s="3" t="n">
        <v>130.15914</v>
      </c>
    </row>
    <row r="244" customFormat="false" ht="15" hidden="false" customHeight="false" outlineLevel="0" collapsed="false">
      <c r="B244" s="0" t="s">
        <v>295</v>
      </c>
      <c r="C244" s="2" t="n">
        <v>45199</v>
      </c>
      <c r="D244" s="3" t="n">
        <v>149.69825</v>
      </c>
      <c r="E244" s="3" t="n">
        <v>71.25488</v>
      </c>
      <c r="F244" s="3" t="n">
        <v>232.69905</v>
      </c>
      <c r="G244" s="3" t="n">
        <v>106.82226</v>
      </c>
      <c r="H244" s="3" t="n">
        <v>133.08174</v>
      </c>
      <c r="I244" s="3" t="n">
        <v>144.13535</v>
      </c>
      <c r="J244" s="3" t="n">
        <v>159.92268</v>
      </c>
      <c r="K244" s="3" t="n">
        <v>163.08333</v>
      </c>
      <c r="L244" s="3" t="n">
        <v>145.20637</v>
      </c>
      <c r="M244" s="3" t="n">
        <v>181.23674</v>
      </c>
      <c r="N244" s="3" t="n">
        <v>161.30632</v>
      </c>
      <c r="O244" s="3" t="n">
        <v>154.37048</v>
      </c>
      <c r="P244" s="3" t="n">
        <v>166.45238</v>
      </c>
      <c r="Q244" s="3" t="n">
        <v>172.99517</v>
      </c>
      <c r="R244" s="3" t="n">
        <v>183.75826</v>
      </c>
      <c r="S244" s="3" t="n">
        <v>126.1137</v>
      </c>
    </row>
    <row r="245" customFormat="false" ht="15" hidden="false" customHeight="false" outlineLevel="0" collapsed="false">
      <c r="B245" s="0" t="s">
        <v>296</v>
      </c>
      <c r="C245" s="2" t="n">
        <v>45230</v>
      </c>
      <c r="D245" s="3" t="n">
        <v>148.01321</v>
      </c>
      <c r="E245" s="3" t="n">
        <v>65.22323</v>
      </c>
      <c r="F245" s="3" t="n">
        <v>103.90563</v>
      </c>
      <c r="G245" s="3" t="n">
        <v>109.13832</v>
      </c>
      <c r="H245" s="3" t="n">
        <v>136.52024</v>
      </c>
      <c r="I245" s="3" t="n">
        <v>137.27715</v>
      </c>
      <c r="J245" s="3" t="n">
        <v>150.30676</v>
      </c>
      <c r="K245" s="3" t="n">
        <v>159.75764</v>
      </c>
      <c r="L245" s="3" t="n">
        <v>159.57789</v>
      </c>
      <c r="M245" s="3" t="n">
        <v>179.86447</v>
      </c>
      <c r="N245" s="3" t="n">
        <v>169.96697</v>
      </c>
      <c r="O245" s="3" t="n">
        <v>156.33586</v>
      </c>
      <c r="P245" s="3" t="n">
        <v>166.37927</v>
      </c>
      <c r="Q245" s="3" t="n">
        <v>172.39133</v>
      </c>
      <c r="R245" s="3" t="n">
        <v>179.43726</v>
      </c>
      <c r="S245" s="3" t="n">
        <v>131.55123</v>
      </c>
    </row>
    <row r="246" customFormat="false" ht="15" hidden="false" customHeight="false" outlineLevel="0" collapsed="false">
      <c r="B246" s="0" t="s">
        <v>297</v>
      </c>
      <c r="C246" s="2" t="n">
        <v>45260</v>
      </c>
      <c r="D246" s="3" t="n">
        <v>146.3883</v>
      </c>
      <c r="E246" s="3" t="n">
        <v>78.83278</v>
      </c>
      <c r="F246" s="3" t="n">
        <v>57.04452</v>
      </c>
      <c r="G246" s="3" t="n">
        <v>105.46173</v>
      </c>
      <c r="H246" s="3" t="n">
        <v>132.74506</v>
      </c>
      <c r="I246" s="3" t="n">
        <v>142.68876</v>
      </c>
      <c r="J246" s="3" t="n">
        <v>149.65045</v>
      </c>
      <c r="K246" s="3" t="n">
        <v>158.43066</v>
      </c>
      <c r="L246" s="3" t="n">
        <v>160.2752</v>
      </c>
      <c r="M246" s="3" t="n">
        <v>179.97369</v>
      </c>
      <c r="N246" s="3" t="n">
        <v>159.32385</v>
      </c>
      <c r="O246" s="3" t="n">
        <v>155.99412</v>
      </c>
      <c r="P246" s="3" t="n">
        <v>166.76405</v>
      </c>
      <c r="Q246" s="3" t="n">
        <v>172.74498</v>
      </c>
      <c r="R246" s="3" t="n">
        <v>178.92689</v>
      </c>
      <c r="S246" s="3" t="n">
        <v>127.80815</v>
      </c>
    </row>
    <row r="247" customFormat="false" ht="15" hidden="false" customHeight="false" outlineLevel="0" collapsed="false">
      <c r="B247" s="0" t="s">
        <v>298</v>
      </c>
      <c r="C247" s="2" t="n">
        <v>45291</v>
      </c>
      <c r="D247" s="3" t="n">
        <v>142.86747</v>
      </c>
      <c r="E247" s="3" t="n">
        <v>100.8035</v>
      </c>
      <c r="F247" s="3" t="n">
        <v>132.73829</v>
      </c>
      <c r="G247" s="3" t="n">
        <v>110.4485</v>
      </c>
      <c r="H247" s="3" t="n">
        <v>113.47627</v>
      </c>
      <c r="I247" s="3" t="n">
        <v>141.51866</v>
      </c>
      <c r="J247" s="3" t="n">
        <v>131.35921</v>
      </c>
      <c r="K247" s="3" t="n">
        <v>137.65702</v>
      </c>
      <c r="L247" s="3" t="n">
        <v>166.37261</v>
      </c>
      <c r="M247" s="3" t="n">
        <v>177.00026</v>
      </c>
      <c r="N247" s="3" t="n">
        <v>151.33251</v>
      </c>
      <c r="O247" s="3" t="n">
        <v>154.4447</v>
      </c>
      <c r="P247" s="3" t="n">
        <v>167.45957</v>
      </c>
      <c r="Q247" s="3" t="n">
        <v>173.90159</v>
      </c>
      <c r="R247" s="3" t="n">
        <v>172.14567</v>
      </c>
      <c r="S247" s="3" t="n">
        <v>130.68206</v>
      </c>
    </row>
    <row r="248" customFormat="false" ht="15" hidden="false" customHeight="false" outlineLevel="0" collapsed="false">
      <c r="B248" s="0" t="s">
        <v>299</v>
      </c>
      <c r="C248" s="2" t="n">
        <v>45322</v>
      </c>
      <c r="D248" s="3" t="n">
        <v>143.55367</v>
      </c>
      <c r="E248" s="3" t="n">
        <v>89.3176</v>
      </c>
      <c r="F248" s="3" t="n">
        <v>160.04133</v>
      </c>
      <c r="G248" s="3" t="n">
        <v>112.66127</v>
      </c>
      <c r="H248" s="3" t="n">
        <v>100.69247</v>
      </c>
      <c r="I248" s="3" t="n">
        <v>156.7696</v>
      </c>
      <c r="J248" s="3" t="n">
        <v>130.47335</v>
      </c>
      <c r="K248" s="3" t="n">
        <v>135.85257</v>
      </c>
      <c r="L248" s="3" t="n">
        <v>178.06082</v>
      </c>
      <c r="M248" s="3" t="n">
        <v>177.57446</v>
      </c>
      <c r="N248" s="3" t="n">
        <v>147.90273</v>
      </c>
      <c r="O248" s="3" t="n">
        <v>147.87212</v>
      </c>
      <c r="P248" s="3" t="n">
        <v>165.35108</v>
      </c>
      <c r="Q248" s="3" t="n">
        <v>167.16123</v>
      </c>
      <c r="R248" s="3" t="n">
        <v>188.09599</v>
      </c>
      <c r="S248" s="3" t="n">
        <v>143.57192</v>
      </c>
    </row>
    <row r="249" customFormat="false" ht="15" hidden="false" customHeight="false" outlineLevel="0" collapsed="false">
      <c r="B249" s="0" t="s">
        <v>300</v>
      </c>
      <c r="C249" s="2" t="n">
        <v>45351</v>
      </c>
      <c r="D249" s="3" t="n">
        <v>143.80882</v>
      </c>
      <c r="E249" s="3" t="n">
        <v>70.70108</v>
      </c>
      <c r="F249" s="3" t="n">
        <v>173.23592</v>
      </c>
      <c r="G249" s="3" t="n">
        <v>104.88425</v>
      </c>
      <c r="H249" s="3" t="n">
        <v>102.71494</v>
      </c>
      <c r="I249" s="3" t="n">
        <v>156.2247</v>
      </c>
      <c r="J249" s="3" t="n">
        <v>125.06857</v>
      </c>
      <c r="K249" s="3" t="n">
        <v>139.55205</v>
      </c>
      <c r="L249" s="3" t="n">
        <v>170.76546</v>
      </c>
      <c r="M249" s="3" t="n">
        <v>172.02948</v>
      </c>
      <c r="N249" s="3" t="n">
        <v>137.09162</v>
      </c>
      <c r="O249" s="3" t="n">
        <v>147.46238</v>
      </c>
      <c r="P249" s="3" t="n">
        <v>165.39689</v>
      </c>
      <c r="Q249" s="3" t="n">
        <v>168.49857</v>
      </c>
      <c r="R249" s="3" t="n">
        <v>177.96577</v>
      </c>
      <c r="S249" s="3" t="n">
        <v>140.84039</v>
      </c>
    </row>
    <row r="250" customFormat="false" ht="15" hidden="false" customHeight="false" outlineLevel="0" collapsed="false">
      <c r="B250" s="0" t="s">
        <v>301</v>
      </c>
      <c r="C250" s="2" t="n">
        <v>45382</v>
      </c>
      <c r="D250" s="3" t="n">
        <v>142.11453</v>
      </c>
      <c r="E250" s="3" t="n">
        <v>137.40244</v>
      </c>
      <c r="F250" s="3" t="n">
        <v>122.33165</v>
      </c>
      <c r="G250" s="3" t="n">
        <v>110.6027</v>
      </c>
      <c r="H250" s="3" t="n">
        <v>111.11519</v>
      </c>
      <c r="I250" s="3" t="n">
        <v>152.19809</v>
      </c>
      <c r="J250" s="3" t="n">
        <v>119.40403</v>
      </c>
      <c r="K250" s="3" t="n">
        <v>143.43273</v>
      </c>
      <c r="L250" s="3" t="n">
        <v>136.83592</v>
      </c>
      <c r="M250" s="3" t="n">
        <v>181.50669</v>
      </c>
      <c r="N250" s="3" t="n">
        <v>149.15589</v>
      </c>
      <c r="O250" s="3" t="n">
        <v>147.98959</v>
      </c>
      <c r="P250" s="3" t="n">
        <v>163.55745</v>
      </c>
      <c r="Q250" s="3" t="n">
        <v>171.26999</v>
      </c>
      <c r="R250" s="3" t="n">
        <v>192.0541</v>
      </c>
      <c r="S250" s="3" t="n">
        <v>138.74878</v>
      </c>
    </row>
    <row r="251" customFormat="false" ht="15" hidden="false" customHeight="false" outlineLevel="0" collapsed="false">
      <c r="B251" s="0" t="s">
        <v>302</v>
      </c>
      <c r="C251" s="2" t="n">
        <v>45412</v>
      </c>
      <c r="D251" s="3" t="n">
        <v>141.05612</v>
      </c>
      <c r="E251" s="3" t="n">
        <v>199.8796</v>
      </c>
      <c r="F251" s="3" t="n">
        <v>186.50311</v>
      </c>
      <c r="G251" s="3" t="n">
        <v>110.95347</v>
      </c>
      <c r="H251" s="3" t="n">
        <v>109.81701</v>
      </c>
      <c r="I251" s="3" t="n">
        <v>135.21327</v>
      </c>
      <c r="J251" s="3" t="n">
        <v>114.69801</v>
      </c>
      <c r="K251" s="3" t="n">
        <v>139.25886</v>
      </c>
      <c r="L251" s="3" t="n">
        <v>106.32256</v>
      </c>
      <c r="M251" s="3" t="n">
        <v>185.09565</v>
      </c>
      <c r="N251" s="3" t="n">
        <v>152.44111</v>
      </c>
      <c r="O251" s="3" t="n">
        <v>151.68728</v>
      </c>
      <c r="P251" s="3" t="n">
        <v>162.43498</v>
      </c>
      <c r="Q251" s="3" t="n">
        <v>170.42426</v>
      </c>
      <c r="R251" s="3" t="n">
        <v>195.30634</v>
      </c>
      <c r="S251" s="3" t="n">
        <v>119.50261</v>
      </c>
    </row>
    <row r="252" customFormat="false" ht="15" hidden="false" customHeight="false" outlineLevel="0" collapsed="false">
      <c r="B252" s="0" t="s">
        <v>303</v>
      </c>
      <c r="C252" s="2" t="n">
        <v>45443</v>
      </c>
      <c r="D252" s="3" t="n">
        <v>142.8362</v>
      </c>
      <c r="E252" s="3" t="n">
        <v>271.42801</v>
      </c>
      <c r="F252" s="3" t="n">
        <v>135.47495</v>
      </c>
      <c r="G252" s="3" t="n">
        <v>119.34566</v>
      </c>
      <c r="H252" s="3" t="n">
        <v>114.79933</v>
      </c>
      <c r="I252" s="3" t="n">
        <v>160.89584</v>
      </c>
      <c r="J252" s="3" t="n">
        <v>114.97982</v>
      </c>
      <c r="K252" s="3" t="n">
        <v>147.50109</v>
      </c>
      <c r="L252" s="3" t="n">
        <v>135.43971</v>
      </c>
      <c r="M252" s="3" t="n">
        <v>194.34926</v>
      </c>
      <c r="N252" s="3" t="n">
        <v>140.31112</v>
      </c>
      <c r="O252" s="3" t="n">
        <v>154.19126</v>
      </c>
      <c r="P252" s="3" t="n">
        <v>162.6478</v>
      </c>
      <c r="Q252" s="3" t="n">
        <v>171.08497</v>
      </c>
      <c r="R252" s="3" t="n">
        <v>197.44968</v>
      </c>
      <c r="S252" s="3" t="n">
        <v>116.69763</v>
      </c>
    </row>
    <row r="253" customFormat="false" ht="15" hidden="false" customHeight="false" outlineLevel="0" collapsed="false">
      <c r="B253" s="0" t="s">
        <v>304</v>
      </c>
      <c r="C253" s="2" t="n">
        <v>45473</v>
      </c>
      <c r="D253" s="3" t="n">
        <v>143.71875</v>
      </c>
      <c r="E253" s="3" t="n">
        <v>188.19314</v>
      </c>
      <c r="F253" s="3" t="n">
        <v>294.13948</v>
      </c>
      <c r="G253" s="3" t="n">
        <v>109.35008</v>
      </c>
      <c r="H253" s="3" t="n">
        <v>107.48906</v>
      </c>
      <c r="I253" s="3" t="n">
        <v>148.45274</v>
      </c>
      <c r="J253" s="3" t="n">
        <v>115.71808</v>
      </c>
      <c r="K253" s="3" t="n">
        <v>140.91709</v>
      </c>
      <c r="L253" s="3" t="n">
        <v>163.1842</v>
      </c>
      <c r="M253" s="3" t="n">
        <v>186.33129</v>
      </c>
      <c r="N253" s="3" t="n">
        <v>144.08798</v>
      </c>
      <c r="O253" s="3" t="n">
        <v>153.30085</v>
      </c>
      <c r="P253" s="3" t="n">
        <v>163.43067</v>
      </c>
      <c r="Q253" s="3" t="n">
        <v>172.07201</v>
      </c>
      <c r="R253" s="3" t="n">
        <v>203.44747</v>
      </c>
      <c r="S253" s="3" t="n">
        <v>119.29603</v>
      </c>
    </row>
    <row r="254" customFormat="false" ht="15" hidden="false" customHeight="false" outlineLevel="0" collapsed="false">
      <c r="B254" s="0" t="s">
        <v>305</v>
      </c>
      <c r="C254" s="2" t="n">
        <v>45504</v>
      </c>
      <c r="D254" s="3" t="n">
        <v>147.28294</v>
      </c>
      <c r="E254" s="3" t="n">
        <v>116.84068</v>
      </c>
      <c r="F254" s="3" t="n">
        <v>313.72902</v>
      </c>
      <c r="G254" s="3" t="n">
        <v>113.30323</v>
      </c>
      <c r="H254" s="3" t="n">
        <v>126.19669</v>
      </c>
      <c r="I254" s="3" t="n">
        <v>165.43658</v>
      </c>
      <c r="J254" s="3" t="n">
        <v>130.68303</v>
      </c>
      <c r="K254" s="3" t="n">
        <v>152.86233</v>
      </c>
      <c r="L254" s="3" t="n">
        <v>155.4653</v>
      </c>
      <c r="M254" s="3" t="n">
        <v>186.6772</v>
      </c>
      <c r="N254" s="3" t="n">
        <v>161.08917</v>
      </c>
      <c r="O254" s="3" t="n">
        <v>152.77714</v>
      </c>
      <c r="P254" s="3" t="n">
        <v>163.24529</v>
      </c>
      <c r="Q254" s="3" t="n">
        <v>172.42612</v>
      </c>
      <c r="R254" s="3" t="n">
        <v>186.23471</v>
      </c>
      <c r="S254" s="3" t="n">
        <v>133.56267</v>
      </c>
    </row>
    <row r="255" customFormat="false" ht="15" hidden="false" customHeight="false" outlineLevel="0" collapsed="false">
      <c r="B255" s="0" t="s">
        <v>306</v>
      </c>
      <c r="C255" s="2" t="n">
        <v>45535</v>
      </c>
      <c r="D255" s="3" t="n">
        <v>147.7746</v>
      </c>
      <c r="E255" s="3" t="n">
        <v>78.70945</v>
      </c>
      <c r="F255" s="3" t="n">
        <v>291.83826</v>
      </c>
      <c r="G255" s="3" t="n">
        <v>116.31552</v>
      </c>
      <c r="H255" s="3" t="n">
        <v>128.70143</v>
      </c>
      <c r="I255" s="3" t="n">
        <v>155.23978</v>
      </c>
      <c r="J255" s="3" t="n">
        <v>137.8495</v>
      </c>
      <c r="K255" s="3" t="n">
        <v>156.86315</v>
      </c>
      <c r="L255" s="3" t="n">
        <v>168.19034</v>
      </c>
      <c r="M255" s="3" t="n">
        <v>179.78489</v>
      </c>
      <c r="N255" s="3" t="n">
        <v>162.55892</v>
      </c>
      <c r="O255" s="3" t="n">
        <v>155.33915</v>
      </c>
      <c r="P255" s="3" t="n">
        <v>162.45812</v>
      </c>
      <c r="Q255" s="3" t="n">
        <v>172.67313</v>
      </c>
      <c r="R255" s="3" t="n">
        <v>185.14164</v>
      </c>
      <c r="S255" s="3" t="n">
        <v>125.72634</v>
      </c>
    </row>
    <row r="256" customFormat="false" ht="15" hidden="false" customHeight="false" outlineLevel="0" collapsed="false">
      <c r="B256" s="0" t="s">
        <v>307</v>
      </c>
      <c r="C256" s="2" t="n">
        <v>45565</v>
      </c>
      <c r="D256" s="3" t="n">
        <v>147.82665</v>
      </c>
      <c r="E256" s="3" t="n">
        <v>74.40886</v>
      </c>
      <c r="F256" s="3" t="n">
        <v>188.58836</v>
      </c>
      <c r="G256" s="3" t="n">
        <v>115.83739</v>
      </c>
      <c r="H256" s="3" t="n">
        <v>124.80137</v>
      </c>
      <c r="I256" s="3" t="n">
        <v>137.18347</v>
      </c>
      <c r="J256" s="3" t="n">
        <v>135.53149</v>
      </c>
      <c r="K256" s="3" t="n">
        <v>153.40556</v>
      </c>
      <c r="L256" s="3" t="n">
        <v>155.20941</v>
      </c>
      <c r="M256" s="3" t="n">
        <v>180.89654</v>
      </c>
      <c r="N256" s="3" t="n">
        <v>161.31298</v>
      </c>
      <c r="O256" s="3" t="n">
        <v>153.59847</v>
      </c>
      <c r="P256" s="3" t="n">
        <v>162.95832</v>
      </c>
      <c r="Q256" s="3" t="n">
        <v>173.01344</v>
      </c>
      <c r="R256" s="3" t="n">
        <v>181.92208</v>
      </c>
      <c r="S256" s="3" t="n">
        <v>119.97664</v>
      </c>
    </row>
    <row r="257" customFormat="false" ht="15" hidden="false" customHeight="false" outlineLevel="0" collapsed="false">
      <c r="B257" s="0" t="s">
        <v>308</v>
      </c>
      <c r="C257" s="2" t="n">
        <v>45596</v>
      </c>
      <c r="D257" s="3" t="n">
        <v>149.04702</v>
      </c>
      <c r="E257" s="3" t="n">
        <v>67.85257</v>
      </c>
      <c r="F257" s="3" t="n">
        <v>71.47979</v>
      </c>
      <c r="G257" s="3" t="n">
        <v>118.516</v>
      </c>
      <c r="H257" s="3" t="n">
        <v>134.3371</v>
      </c>
      <c r="I257" s="3" t="n">
        <v>135.75196</v>
      </c>
      <c r="J257" s="3" t="n">
        <v>128.12297</v>
      </c>
      <c r="K257" s="3" t="n">
        <v>159.65922</v>
      </c>
      <c r="L257" s="3" t="n">
        <v>184.5719</v>
      </c>
      <c r="M257" s="3" t="n">
        <v>182.73905</v>
      </c>
      <c r="N257" s="3" t="n">
        <v>170.73354</v>
      </c>
      <c r="O257" s="3" t="n">
        <v>157.24934</v>
      </c>
      <c r="P257" s="3" t="n">
        <v>162.49227</v>
      </c>
      <c r="Q257" s="3" t="n">
        <v>173.23</v>
      </c>
      <c r="R257" s="3" t="n">
        <v>177.24701</v>
      </c>
      <c r="S257" s="3" t="n">
        <v>126.92669</v>
      </c>
    </row>
    <row r="258" customFormat="false" ht="15" hidden="false" customHeight="false" outlineLevel="0" collapsed="false">
      <c r="B258" s="0" t="s">
        <v>309</v>
      </c>
      <c r="C258" s="2" t="n">
        <v>45626</v>
      </c>
      <c r="D258" s="3" t="n">
        <v>150.80206</v>
      </c>
      <c r="E258" s="3" t="n">
        <v>81.03871</v>
      </c>
      <c r="F258" s="3" t="n">
        <v>146.1701</v>
      </c>
      <c r="G258" s="3" t="n">
        <v>113.80154</v>
      </c>
      <c r="H258" s="3" t="n">
        <v>130.81906</v>
      </c>
      <c r="I258" s="3" t="n">
        <v>136.11585</v>
      </c>
      <c r="J258" s="3" t="n">
        <v>127.98405</v>
      </c>
      <c r="K258" s="3" t="n">
        <v>159.38757</v>
      </c>
      <c r="L258" s="3" t="n">
        <v>187.63826</v>
      </c>
      <c r="M258" s="3" t="n">
        <v>182.14016</v>
      </c>
      <c r="N258" s="3" t="n">
        <v>171.43514</v>
      </c>
      <c r="O258" s="3" t="n">
        <v>157.99806</v>
      </c>
      <c r="P258" s="3" t="n">
        <v>162.78026</v>
      </c>
      <c r="Q258" s="3" t="n">
        <v>173.45948</v>
      </c>
      <c r="R258" s="3" t="n">
        <v>176.43464</v>
      </c>
      <c r="S258" s="3" t="n">
        <v>122.04999</v>
      </c>
    </row>
    <row r="259" customFormat="false" ht="15" hidden="false" customHeight="false" outlineLevel="0" collapsed="false">
      <c r="B259" s="0" t="s">
        <v>310</v>
      </c>
      <c r="C259" s="2" t="n">
        <v>45657</v>
      </c>
      <c r="D259" s="3" t="n">
        <v>151.48527</v>
      </c>
      <c r="E259" s="3" t="n">
        <v>110.49334</v>
      </c>
      <c r="F259" s="3" t="n">
        <v>114.48407</v>
      </c>
      <c r="G259" s="3" t="n">
        <v>118.67743</v>
      </c>
      <c r="H259" s="3" t="n">
        <v>122.40586</v>
      </c>
      <c r="I259" s="3" t="n">
        <v>145.81194</v>
      </c>
      <c r="J259" s="3" t="n">
        <v>122.14289</v>
      </c>
      <c r="K259" s="3" t="n">
        <v>150.43204</v>
      </c>
      <c r="L259" s="3" t="n">
        <v>195.25779</v>
      </c>
      <c r="M259" s="3" t="n">
        <v>182.45113</v>
      </c>
      <c r="N259" s="3" t="n">
        <v>176.45674</v>
      </c>
      <c r="O259" s="3" t="n">
        <v>160.98059</v>
      </c>
      <c r="P259" s="3" t="n">
        <v>162.88552</v>
      </c>
      <c r="Q259" s="3" t="n">
        <v>174.40113</v>
      </c>
      <c r="R259" s="3" t="n">
        <v>169.65091</v>
      </c>
      <c r="S259" s="3" t="n">
        <v>126.3338</v>
      </c>
    </row>
    <row r="260" customFormat="false" ht="15" hidden="false" customHeight="false" outlineLevel="0" collapsed="false">
      <c r="B260" s="0" t="s">
        <v>311</v>
      </c>
      <c r="C260" s="2" t="n">
        <v>45688</v>
      </c>
      <c r="D260" s="3" t="n">
        <v>151.93093</v>
      </c>
      <c r="E260" s="3" t="n">
        <v>91.8978</v>
      </c>
      <c r="F260" s="3" t="n">
        <v>156.42193</v>
      </c>
      <c r="G260" s="3" t="n">
        <v>122.43325</v>
      </c>
      <c r="H260" s="3" t="n">
        <v>106.91362</v>
      </c>
      <c r="I260" s="3" t="n">
        <v>166.4439</v>
      </c>
      <c r="J260" s="3" t="n">
        <v>133.80836</v>
      </c>
      <c r="K260" s="3" t="n">
        <v>148.11743</v>
      </c>
      <c r="L260" s="3" t="n">
        <v>195.33013</v>
      </c>
      <c r="M260" s="3" t="n">
        <v>182.59704</v>
      </c>
      <c r="N260" s="3" t="n">
        <v>186.0352</v>
      </c>
      <c r="O260" s="3" t="n">
        <v>153.53202</v>
      </c>
      <c r="P260" s="3" t="n">
        <v>163.00531</v>
      </c>
      <c r="Q260" s="3" t="n">
        <v>167.79089</v>
      </c>
      <c r="R260" s="3" t="n">
        <v>186.92107</v>
      </c>
      <c r="S260" s="3" t="n">
        <v>141.00614</v>
      </c>
    </row>
    <row r="261" customFormat="false" ht="15" hidden="false" customHeight="false" outlineLevel="0" collapsed="false">
      <c r="B261" s="0" t="s">
        <v>312</v>
      </c>
      <c r="C261" s="2" t="n">
        <v>45716</v>
      </c>
      <c r="D261" s="3" t="n">
        <v>153.54265</v>
      </c>
      <c r="E261" s="3" t="n">
        <v>75.11913</v>
      </c>
      <c r="F261" s="3" t="n">
        <v>221.99855</v>
      </c>
      <c r="G261" s="3" t="n">
        <v>110.36479</v>
      </c>
      <c r="H261" s="3" t="n">
        <v>107.90735</v>
      </c>
      <c r="I261" s="3" t="n">
        <v>156.3344</v>
      </c>
      <c r="J261" s="3" t="n">
        <v>130.77048</v>
      </c>
      <c r="K261" s="3" t="n">
        <v>149.10244</v>
      </c>
      <c r="L261" s="3" t="n">
        <v>185.77483</v>
      </c>
      <c r="M261" s="3" t="n">
        <v>177.05279</v>
      </c>
      <c r="N261" s="3" t="n">
        <v>177.64452</v>
      </c>
      <c r="O261" s="3" t="n">
        <v>153.96247</v>
      </c>
      <c r="P261" s="3" t="n">
        <v>163.02173</v>
      </c>
      <c r="Q261" s="3" t="n">
        <v>168.38119</v>
      </c>
      <c r="R261" s="3" t="n">
        <v>176.14436</v>
      </c>
      <c r="S261" s="3" t="n">
        <v>138.32119</v>
      </c>
    </row>
    <row r="262" customFormat="false" ht="15" hidden="false" customHeight="false" outlineLevel="0" collapsed="false">
      <c r="B262" s="0" t="s">
        <v>313</v>
      </c>
      <c r="C262" s="2" t="n">
        <v>45747</v>
      </c>
      <c r="D262" s="3" t="n">
        <v>149.34718</v>
      </c>
      <c r="E262" s="3" t="n">
        <v>147.99111</v>
      </c>
      <c r="F262" s="3" t="n">
        <v>132.39851</v>
      </c>
      <c r="G262" s="3" t="n">
        <v>116.99841</v>
      </c>
      <c r="H262" s="3" t="n">
        <v>115.9449</v>
      </c>
      <c r="I262" s="3" t="n">
        <v>146.21817</v>
      </c>
      <c r="J262" s="3" t="n">
        <v>132.34832</v>
      </c>
      <c r="K262" s="3" t="n">
        <v>153.9534</v>
      </c>
      <c r="L262" s="3" t="n">
        <v>149.83163</v>
      </c>
      <c r="M262" s="3" t="n">
        <v>185.05517</v>
      </c>
      <c r="N262" s="3" t="n">
        <v>192.51948</v>
      </c>
      <c r="O262" s="3" t="n">
        <v>154.69547</v>
      </c>
      <c r="P262" s="3" t="n">
        <v>161.33538</v>
      </c>
      <c r="Q262" s="3" t="n">
        <v>171.96305</v>
      </c>
      <c r="R262" s="3" t="n">
        <v>190.71172</v>
      </c>
      <c r="S262" s="3" t="n">
        <v>138.33567</v>
      </c>
    </row>
    <row r="263" customFormat="false" ht="15" hidden="false" customHeight="false" outlineLevel="0" collapsed="false">
      <c r="B263" s="0" t="s">
        <v>314</v>
      </c>
      <c r="C263" s="2" t="n">
        <v>45777</v>
      </c>
      <c r="D263" s="3" t="n">
        <v>152.3841</v>
      </c>
      <c r="E263" s="3" t="n">
        <v>213.98245</v>
      </c>
      <c r="F263" s="3" t="n">
        <v>151.9525</v>
      </c>
      <c r="G263" s="3" t="n">
        <v>116.1033</v>
      </c>
      <c r="H263" s="3" t="n">
        <v>118.87625</v>
      </c>
      <c r="I263" s="3" t="n">
        <v>129.68897</v>
      </c>
      <c r="J263" s="3" t="n">
        <v>133.19035</v>
      </c>
      <c r="K263" s="3" t="n">
        <v>159.25694</v>
      </c>
      <c r="L263" s="3" t="n">
        <v>124.73051</v>
      </c>
      <c r="M263" s="3" t="n">
        <v>189.50405</v>
      </c>
      <c r="N263" s="3" t="n">
        <v>194.90511</v>
      </c>
      <c r="O263" s="3" t="n">
        <v>160.78694</v>
      </c>
      <c r="P263" s="3" t="n">
        <v>160.7504</v>
      </c>
      <c r="Q263" s="3" t="n">
        <v>171.38377</v>
      </c>
      <c r="R263" s="3" t="n">
        <v>194.56992</v>
      </c>
      <c r="S263" s="3" t="n">
        <v>122.31463</v>
      </c>
    </row>
    <row r="264" customFormat="false" ht="15" hidden="false" customHeight="false" outlineLevel="0" collapsed="false">
      <c r="B264" s="0" t="s">
        <v>315</v>
      </c>
      <c r="C264" s="2" t="n">
        <v>45808</v>
      </c>
      <c r="D264" s="3" t="n">
        <v>152.27052</v>
      </c>
      <c r="E264" s="3" t="n">
        <v>284.59974</v>
      </c>
      <c r="F264" s="3" t="n">
        <v>145.54659</v>
      </c>
      <c r="G264" s="3" t="n">
        <v>125.0154</v>
      </c>
      <c r="H264" s="3" t="n">
        <v>121.16045</v>
      </c>
      <c r="I264" s="3" t="n">
        <v>146.89977</v>
      </c>
      <c r="J264" s="3" t="n">
        <v>122.03719</v>
      </c>
      <c r="K264" s="3" t="n">
        <v>160.85179</v>
      </c>
      <c r="L264" s="3" t="n">
        <v>160.03111</v>
      </c>
      <c r="M264" s="3" t="n">
        <v>196.11605</v>
      </c>
      <c r="N264" s="3" t="n">
        <v>176.4706</v>
      </c>
      <c r="O264" s="3" t="n">
        <v>159.22138</v>
      </c>
      <c r="P264" s="3" t="n">
        <v>160.78839</v>
      </c>
      <c r="Q264" s="3" t="n">
        <v>171.95272</v>
      </c>
      <c r="R264" s="3" t="n">
        <v>196.89113</v>
      </c>
      <c r="S264" s="3" t="n">
        <v>118.21375</v>
      </c>
    </row>
    <row r="265" customFormat="false" ht="15" hidden="false" customHeight="false" outlineLevel="0" collapsed="false">
      <c r="B265" s="0" t="s">
        <v>316</v>
      </c>
      <c r="C265" s="2" t="n">
        <v>45838</v>
      </c>
      <c r="D265" s="3" t="n">
        <v>151.5483</v>
      </c>
      <c r="E265" s="3" t="n">
        <v>197.86316</v>
      </c>
      <c r="F265" s="3" t="n">
        <v>93.55909</v>
      </c>
      <c r="G265" s="3" t="n">
        <v>121.61024</v>
      </c>
      <c r="H265" s="3" t="n">
        <v>116.40672</v>
      </c>
      <c r="I265" s="3" t="n">
        <v>161.83425</v>
      </c>
      <c r="J265" s="3" t="n">
        <v>126.266</v>
      </c>
      <c r="K265" s="3" t="n">
        <v>155.53198</v>
      </c>
      <c r="L265" s="3" t="n">
        <v>190.26872</v>
      </c>
      <c r="M265" s="3" t="n">
        <v>189.15513</v>
      </c>
      <c r="N265" s="3" t="n">
        <v>184.36662</v>
      </c>
      <c r="O265" s="3" t="n">
        <v>160.57825</v>
      </c>
      <c r="P265" s="3" t="n">
        <v>161.87198</v>
      </c>
      <c r="Q265" s="3" t="n">
        <v>173.03168</v>
      </c>
      <c r="R265" s="3" t="n">
        <v>203.46908</v>
      </c>
      <c r="S265" s="3" t="n">
        <v>118.22574</v>
      </c>
    </row>
    <row r="266" customFormat="false" ht="15" hidden="false" customHeight="false" outlineLevel="0" collapsed="false">
      <c r="B266" s="0" t="s">
        <v>317</v>
      </c>
      <c r="C266" s="2" t="n">
        <v>45869</v>
      </c>
      <c r="D266" s="3" t="n">
        <v>151.2933</v>
      </c>
      <c r="E266" s="3" t="n">
        <v>118.87568</v>
      </c>
      <c r="F266" s="3" t="n">
        <v>77.64448</v>
      </c>
      <c r="G266" s="3" t="n">
        <v>128.55062</v>
      </c>
      <c r="H266" s="3" t="n">
        <v>124.85291</v>
      </c>
      <c r="I266" s="3" t="n">
        <v>161.73952</v>
      </c>
      <c r="J266" s="3" t="n">
        <v>131.78647</v>
      </c>
      <c r="K266" s="3" t="n">
        <v>154.3777</v>
      </c>
      <c r="L266" s="3" t="n">
        <v>166.11533</v>
      </c>
      <c r="M266" s="3" t="n">
        <v>188.39963</v>
      </c>
      <c r="N266" s="3" t="n">
        <v>195.83577</v>
      </c>
      <c r="O266" s="3" t="n">
        <v>158.52667</v>
      </c>
      <c r="P266" s="3" t="n">
        <v>161.35363</v>
      </c>
      <c r="Q266" s="3" t="n">
        <v>173.53386</v>
      </c>
      <c r="R266" s="3" t="n">
        <v>185.76846</v>
      </c>
      <c r="S266" s="3" t="n">
        <v>133.16786</v>
      </c>
    </row>
    <row r="267" customFormat="false" ht="15" hidden="false" customHeight="false" outlineLevel="0" collapsed="false">
      <c r="B267" s="0" t="s">
        <v>318</v>
      </c>
      <c r="C267" s="2" t="n">
        <v>45900</v>
      </c>
      <c r="D267" s="3" t="n">
        <v>152.17594</v>
      </c>
      <c r="E267" s="3" t="n">
        <v>78.32148</v>
      </c>
      <c r="F267" s="3" t="n">
        <v>293.14932</v>
      </c>
      <c r="G267" s="3" t="n">
        <v>127.29106</v>
      </c>
      <c r="H267" s="3" t="n">
        <v>122.7249</v>
      </c>
      <c r="I267" s="3" t="n">
        <v>152.52452</v>
      </c>
      <c r="J267" s="3" t="n">
        <v>136.87812</v>
      </c>
      <c r="K267" s="3" t="n">
        <v>152.1343</v>
      </c>
      <c r="L267" s="3" t="n">
        <v>181.92991</v>
      </c>
      <c r="M267" s="3" t="n">
        <v>184.73601</v>
      </c>
      <c r="N267" s="3" t="n">
        <v>203.18518</v>
      </c>
      <c r="O267" s="3" t="n">
        <v>159.06062</v>
      </c>
      <c r="P267" s="3" t="n">
        <v>160.69772</v>
      </c>
      <c r="Q267" s="3" t="n">
        <v>173.4662</v>
      </c>
      <c r="R267" s="3" t="n">
        <v>185.25668</v>
      </c>
      <c r="S267" s="3" t="n">
        <v>125.99029</v>
      </c>
    </row>
    <row r="268" customFormat="false" ht="15" hidden="false" customHeight="false" outlineLevel="0" collapsed="false">
      <c r="B268" s="0" t="s">
        <v>319</v>
      </c>
      <c r="C268" s="2" t="n">
        <v>45930</v>
      </c>
      <c r="D268" s="3" t="n">
        <v>153.27772</v>
      </c>
      <c r="E268" s="3" t="n">
        <v>75.47729</v>
      </c>
      <c r="F268" s="3" t="n">
        <v>288.47377</v>
      </c>
      <c r="G268" s="3" t="n">
        <v>125.16006</v>
      </c>
      <c r="H268" s="3" t="n">
        <v>123.86535</v>
      </c>
      <c r="I268" s="3" t="n">
        <v>138.92235</v>
      </c>
      <c r="J268" s="3" t="n">
        <v>138.82592</v>
      </c>
      <c r="K268" s="3" t="n">
        <v>154.26857</v>
      </c>
      <c r="L268" s="3" t="n">
        <v>166.63317</v>
      </c>
      <c r="M268" s="3" t="n">
        <v>185.91888</v>
      </c>
      <c r="N268" s="3" t="n">
        <v>223.96706</v>
      </c>
      <c r="O268" s="3" t="n">
        <v>161.02441</v>
      </c>
      <c r="P268" s="3" t="n">
        <v>161.1297</v>
      </c>
      <c r="Q268" s="3" t="n">
        <v>174.31189</v>
      </c>
      <c r="R268" s="3" t="n">
        <v>182.45636</v>
      </c>
      <c r="S268" s="3" t="n">
        <v>122.99124</v>
      </c>
    </row>
    <row r="269" customFormat="false" ht="15" hidden="false" customHeight="false" outlineLevel="0" collapsed="false">
      <c r="B269" s="0" t="s">
        <v>320</v>
      </c>
      <c r="C269" s="2" t="n">
        <v>45961</v>
      </c>
      <c r="D269" s="3" t="n">
        <v>153.09073</v>
      </c>
      <c r="E269" s="3" t="n">
        <v>71.70487</v>
      </c>
      <c r="F269" s="3" t="n">
        <v>118.44066</v>
      </c>
      <c r="G269" s="3" t="n">
        <v>128.19369</v>
      </c>
      <c r="H269" s="3" t="n">
        <v>130.3994</v>
      </c>
      <c r="I269" s="3" t="n">
        <v>138.56913</v>
      </c>
      <c r="J269" s="3" t="n">
        <v>132.89503</v>
      </c>
      <c r="K269" s="3" t="n">
        <v>159.91028</v>
      </c>
      <c r="L269" s="3" t="n">
        <v>186.7959</v>
      </c>
      <c r="M269" s="3" t="n">
        <v>187.56747</v>
      </c>
      <c r="N269" s="3" t="n">
        <v>210.79882</v>
      </c>
      <c r="O269" s="3" t="n">
        <v>163.27806</v>
      </c>
      <c r="P269" s="3" t="n">
        <v>160.35064</v>
      </c>
      <c r="Q269" s="3" t="n">
        <v>173.62775</v>
      </c>
      <c r="R269" s="3" t="n">
        <v>177.42493</v>
      </c>
      <c r="S269" s="3" t="n">
        <v>128.8473</v>
      </c>
    </row>
    <row r="270" customFormat="false" ht="15" hidden="false" customHeight="false" outlineLevel="0" collapsed="false">
      <c r="B270" s="0" t="s">
        <v>321</v>
      </c>
      <c r="C270" s="2" t="n">
        <v>45991</v>
      </c>
      <c r="D270" s="3" t="n">
        <v>153.01279</v>
      </c>
      <c r="E270" s="3" t="n">
        <v>90.34239</v>
      </c>
      <c r="F270" s="3" t="n">
        <v>120.43156</v>
      </c>
      <c r="G270" s="3" t="n">
        <v>122.00006</v>
      </c>
      <c r="H270" s="3" t="n">
        <v>120.13922</v>
      </c>
      <c r="I270" s="3" t="n">
        <v>138.38026</v>
      </c>
      <c r="J270" s="3" t="n">
        <v>124.54509</v>
      </c>
      <c r="K270" s="3" t="n">
        <v>149.76239</v>
      </c>
      <c r="L270" s="3" t="n">
        <v>192.70714</v>
      </c>
      <c r="M270" s="3" t="n">
        <v>185.5196</v>
      </c>
      <c r="N270" s="3" t="n">
        <v>196.27645</v>
      </c>
      <c r="O270" s="3" t="n">
        <v>158.77082</v>
      </c>
      <c r="P270" s="3" t="n">
        <v>160.64647</v>
      </c>
      <c r="Q270" s="3" t="n">
        <v>173.64549</v>
      </c>
      <c r="R270" s="3" t="n">
        <v>176.50431</v>
      </c>
      <c r="S270" s="3" t="n">
        <v>123.25285</v>
      </c>
    </row>
    <row r="271" customFormat="false" ht="15" hidden="false" customHeight="false" outlineLevel="0" collapsed="false">
      <c r="B271" s="0" t="s">
        <v>322</v>
      </c>
      <c r="C271" s="2" t="n">
        <v>46022</v>
      </c>
      <c r="D271" s="3" t="n">
        <v>155.94782</v>
      </c>
      <c r="E271" s="3" t="n">
        <v>145.86989</v>
      </c>
      <c r="F271" s="3" t="n">
        <v>136.12065</v>
      </c>
      <c r="G271" s="3" t="n">
        <v>130.30263</v>
      </c>
      <c r="H271" s="3" t="n">
        <v>117.31991</v>
      </c>
      <c r="I271" s="3" t="n">
        <v>159.91056</v>
      </c>
      <c r="J271" s="3" t="n">
        <v>121.94486</v>
      </c>
      <c r="K271" s="3" t="n">
        <v>148.57887</v>
      </c>
      <c r="L271" s="3" t="n">
        <v>199.17894</v>
      </c>
      <c r="M271" s="3" t="n">
        <v>185.80999</v>
      </c>
      <c r="N271" s="3" t="n">
        <v>201.54471</v>
      </c>
      <c r="O271" s="3" t="n">
        <v>163.24456</v>
      </c>
      <c r="P271" s="3" t="n">
        <v>160.74496</v>
      </c>
      <c r="Q271" s="3" t="n">
        <v>174.54234</v>
      </c>
      <c r="R271" s="3" t="n">
        <v>169.71438</v>
      </c>
      <c r="S271" s="3" t="n">
        <v>128.82113</v>
      </c>
    </row>
    <row r="272" customFormat="false" ht="15" hidden="false" customHeight="false" outlineLevel="0" collapsed="false">
      <c r="B272" s="0" t="s">
        <v>323</v>
      </c>
      <c r="C272" s="2" t="n">
        <v>46053</v>
      </c>
      <c r="D272" s="3" t="n">
        <v>156.30087</v>
      </c>
      <c r="E272" s="3" t="n">
        <v>113.60776</v>
      </c>
      <c r="F272" s="3" t="n">
        <v>229.43036</v>
      </c>
      <c r="G272" s="3" t="n">
        <v>135.23614</v>
      </c>
      <c r="H272" s="3" t="n">
        <v>104.3838</v>
      </c>
      <c r="I272" s="3" t="n">
        <v>162.24473</v>
      </c>
      <c r="J272" s="3" t="n">
        <v>133.26792</v>
      </c>
      <c r="K272" s="3" t="n">
        <v>145.9722</v>
      </c>
      <c r="L272" s="3" t="n">
        <v>199.47192</v>
      </c>
      <c r="M272" s="3" t="n">
        <v>187.0154</v>
      </c>
      <c r="N272" s="3" t="n">
        <v>199.07299</v>
      </c>
      <c r="O272" s="3" t="n">
        <v>153.93874</v>
      </c>
      <c r="P272" s="3" t="n">
        <v>160.69766</v>
      </c>
      <c r="Q272" s="3" t="n">
        <v>167.19287</v>
      </c>
      <c r="R272" s="3" t="n">
        <v>187.34944</v>
      </c>
      <c r="S272" s="3" t="n">
        <v>141.38664</v>
      </c>
    </row>
    <row r="273" customFormat="false" ht="15" hidden="false" customHeight="false" outlineLevel="0" collapsed="false">
      <c r="B273" s="0" t="s">
        <v>324</v>
      </c>
      <c r="C273" s="2" t="n">
        <v>46081</v>
      </c>
      <c r="D273" s="3" t="n">
        <v>152.46233</v>
      </c>
      <c r="E273" s="3" t="n">
        <v>80.72005</v>
      </c>
      <c r="F273" s="3" t="n">
        <v>252.64674</v>
      </c>
      <c r="G273" s="3" t="n">
        <v>121.52554</v>
      </c>
      <c r="H273" s="3" t="n">
        <v>98.81732</v>
      </c>
      <c r="I273" s="3" t="n">
        <v>147.2567</v>
      </c>
      <c r="J273" s="3" t="n">
        <v>130.46182</v>
      </c>
      <c r="K273" s="3" t="n">
        <v>143.58076</v>
      </c>
      <c r="L273" s="3" t="n">
        <v>192.45323</v>
      </c>
      <c r="M273" s="3" t="n">
        <v>175.77887</v>
      </c>
      <c r="N273" s="3" t="n">
        <v>188.41334</v>
      </c>
      <c r="O273" s="3" t="n">
        <v>153.63036</v>
      </c>
      <c r="P273" s="3" t="n">
        <v>160.72354</v>
      </c>
      <c r="Q273" s="3" t="n">
        <v>168.93962</v>
      </c>
      <c r="R273" s="3" t="n">
        <v>177.1658</v>
      </c>
      <c r="S273" s="3" t="n">
        <v>139.38568</v>
      </c>
    </row>
    <row r="274" customFormat="false" ht="15" hidden="false" customHeight="false" outlineLevel="0" collapsed="false">
      <c r="B274" s="0" t="s">
        <v>325</v>
      </c>
      <c r="C274" s="2" t="n">
        <v>46112</v>
      </c>
      <c r="D274" s="3" t="n">
        <v>156.73111</v>
      </c>
      <c r="E274" s="3" t="n">
        <v>177.81934</v>
      </c>
      <c r="F274" s="3" t="n">
        <v>168.9989</v>
      </c>
      <c r="G274" s="3" t="n">
        <v>136.17932</v>
      </c>
      <c r="H274" s="3" t="n">
        <v>122.01961</v>
      </c>
      <c r="I274" s="3" t="n">
        <v>154.56624</v>
      </c>
      <c r="J274" s="3" t="n">
        <v>143.26778</v>
      </c>
      <c r="K274" s="3" t="n">
        <v>160.29804</v>
      </c>
      <c r="L274" s="3" t="n">
        <v>153.82614</v>
      </c>
      <c r="M274" s="3" t="n">
        <v>194.36165</v>
      </c>
      <c r="N274" s="3" t="n">
        <v>210.45452</v>
      </c>
      <c r="O274" s="3" t="n">
        <v>158.76596</v>
      </c>
      <c r="P274" s="3" t="n">
        <v>159.23542</v>
      </c>
      <c r="Q274" s="3" t="n">
        <v>172.28693</v>
      </c>
      <c r="R274" s="3" t="n">
        <v>191.85269</v>
      </c>
      <c r="S274" s="3" t="n">
        <v>139.6283</v>
      </c>
    </row>
    <row r="275" customFormat="false" ht="15" hidden="false" customHeight="false" outlineLevel="0" collapsed="false">
      <c r="B275" s="0" t="s">
        <v>326</v>
      </c>
      <c r="C275" s="2" t="n">
        <v>46142</v>
      </c>
      <c r="D275" s="3" t="n">
        <v>154.3364</v>
      </c>
      <c r="E275" s="3" t="n">
        <v>237.41028</v>
      </c>
      <c r="F275" s="3" t="n">
        <v>108.79858</v>
      </c>
      <c r="G275" s="3" t="n">
        <v>136.20196</v>
      </c>
      <c r="H275" s="3" t="n">
        <v>115.68369</v>
      </c>
      <c r="I275" s="3" t="n">
        <v>138.58737</v>
      </c>
      <c r="J275" s="3" t="n">
        <v>130.80788</v>
      </c>
      <c r="K275" s="3" t="n">
        <v>154.1301</v>
      </c>
      <c r="L275" s="3" t="n">
        <v>124.77544</v>
      </c>
      <c r="M275" s="3" t="n">
        <v>193.43204</v>
      </c>
      <c r="N275" s="3" t="n">
        <v>203.63701</v>
      </c>
      <c r="O275" s="3" t="n">
        <v>160.30488</v>
      </c>
      <c r="P275" s="3" t="n">
        <v>158.60905</v>
      </c>
      <c r="Q275" s="3" t="n">
        <v>171.48812</v>
      </c>
      <c r="R275" s="3" t="n">
        <v>195.46874</v>
      </c>
      <c r="S275" s="3" t="n">
        <v>119.92243</v>
      </c>
    </row>
    <row r="276" customFormat="false" ht="15" hidden="false" customHeight="false" outlineLevel="0" collapsed="false">
      <c r="B276" s="0" t="s">
        <v>327</v>
      </c>
      <c r="C276" s="2" t="n">
        <v>46173</v>
      </c>
      <c r="D276" s="3" t="n">
        <v>153.62027</v>
      </c>
      <c r="E276" s="3" t="n">
        <v>297.66329</v>
      </c>
      <c r="F276" s="3" t="n">
        <v>102.84501</v>
      </c>
      <c r="G276" s="3" t="n">
        <v>144.59675</v>
      </c>
      <c r="H276" s="3" t="n">
        <v>114.35306</v>
      </c>
      <c r="I276" s="3" t="n">
        <v>158.63625</v>
      </c>
      <c r="J276" s="3" t="n">
        <v>124.37794</v>
      </c>
      <c r="K276" s="3" t="n">
        <v>153.91377</v>
      </c>
      <c r="L276" s="3" t="n">
        <v>157.15323</v>
      </c>
      <c r="M276" s="3" t="n">
        <v>197.26347</v>
      </c>
      <c r="N276" s="3" t="n">
        <v>179.16448</v>
      </c>
      <c r="O276" s="3" t="n">
        <v>159.78965</v>
      </c>
      <c r="P276" s="3" t="n">
        <v>158.5742</v>
      </c>
      <c r="Q276" s="3" t="n">
        <v>171.81406</v>
      </c>
      <c r="R276" s="3" t="n">
        <v>198.56366</v>
      </c>
      <c r="S276" s="3" t="n">
        <v>116.71788</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22"/>
    <col collapsed="false" customWidth="true" hidden="false" outlineLevel="0" max="3" min="3" style="0" width="20"/>
    <col collapsed="false" customWidth="true" hidden="false" outlineLevel="0" max="4" min="4" style="0" width="22"/>
    <col collapsed="false" customWidth="true" hidden="false" outlineLevel="0" max="5" min="5" style="0" width="20"/>
    <col collapsed="false" customWidth="true" hidden="false" outlineLevel="0" max="6" min="6" style="0" width="22"/>
    <col collapsed="false" customWidth="true" hidden="false" outlineLevel="0" max="7" min="7" style="0" width="20"/>
  </cols>
  <sheetData>
    <row r="1" customFormat="false" ht="17.35" hidden="false" customHeight="false" outlineLevel="0" collapsed="false">
      <c r="A1" s="4" t="s">
        <v>328</v>
      </c>
    </row>
    <row r="2" customFormat="false" ht="15" hidden="false" customHeight="false" outlineLevel="0" collapsed="false">
      <c r="A2" s="5" t="s">
        <v>329</v>
      </c>
    </row>
    <row r="4" customFormat="false" ht="15" hidden="false" customHeight="false" outlineLevel="0" collapsed="false">
      <c r="A4" s="6" t="s">
        <v>330</v>
      </c>
    </row>
    <row r="5" customFormat="false" ht="15" hidden="false" customHeight="false" outlineLevel="0" collapsed="false">
      <c r="A5" s="7" t="s">
        <v>331</v>
      </c>
      <c r="B5" s="7" t="s">
        <v>332</v>
      </c>
      <c r="C5" s="7" t="s">
        <v>333</v>
      </c>
      <c r="D5" s="7" t="s">
        <v>334</v>
      </c>
      <c r="E5" s="7" t="s">
        <v>335</v>
      </c>
      <c r="F5" s="7" t="s">
        <v>336</v>
      </c>
      <c r="G5" s="7" t="s">
        <v>337</v>
      </c>
    </row>
    <row r="6" customFormat="false" ht="15" hidden="false" customHeight="false" outlineLevel="0" collapsed="false">
      <c r="A6" s="8" t="s">
        <v>1</v>
      </c>
      <c r="B6" s="9" t="s">
        <v>338</v>
      </c>
      <c r="C6" s="10" t="n">
        <v>8.2873</v>
      </c>
      <c r="D6" s="10" t="n">
        <v>8.7</v>
      </c>
      <c r="E6" s="11" t="n">
        <f aca="false">C6-D6*100/SUM($D$6:$D$20)</f>
        <v>-0.718911180124223</v>
      </c>
      <c r="F6" s="12" t="n">
        <f aca="false">C6/SUMIF($B$6:$B$20,B6,$C$6:$C$20)</f>
        <v>0.98774746427337</v>
      </c>
      <c r="G6" s="12" t="n">
        <f aca="false">C6/SUM($C$6:$C$20)</f>
        <v>0.0828728342543315</v>
      </c>
    </row>
    <row r="7" customFormat="false" ht="15" hidden="false" customHeight="false" outlineLevel="0" collapsed="false">
      <c r="A7" s="8" t="s">
        <v>2</v>
      </c>
      <c r="B7" s="9" t="s">
        <v>338</v>
      </c>
      <c r="C7" s="10" t="n">
        <v>0.1028</v>
      </c>
      <c r="D7" s="10" t="n">
        <v>0.4</v>
      </c>
      <c r="E7" s="11" t="n">
        <f aca="false">C7-D7*100/SUM($D$6:$D$20)</f>
        <v>-0.31127867494824</v>
      </c>
      <c r="F7" s="12" t="n">
        <f aca="false">C7/SUMIF($B$6:$B$20,B7,$C$6:$C$20)</f>
        <v>0.0122525357266302</v>
      </c>
      <c r="G7" s="12" t="n">
        <f aca="false">C7/SUM($C$6:$C$20)</f>
        <v>0.00102799794400411</v>
      </c>
    </row>
    <row r="8" customFormat="false" ht="15" hidden="false" customHeight="false" outlineLevel="0" collapsed="false">
      <c r="A8" s="8" t="s">
        <v>3</v>
      </c>
      <c r="B8" s="9" t="s">
        <v>339</v>
      </c>
      <c r="C8" s="10" t="n">
        <v>3.175</v>
      </c>
      <c r="D8" s="10" t="n">
        <v>4</v>
      </c>
      <c r="E8" s="11" t="n">
        <f aca="false">C8-D8*100/SUM($D$6:$D$20)</f>
        <v>-0.965786749482402</v>
      </c>
      <c r="F8" s="12" t="n">
        <f aca="false">C8/SUMIF($B$6:$B$20,B8,$C$6:$C$20)</f>
        <v>0.119397709068209</v>
      </c>
      <c r="G8" s="12" t="n">
        <f aca="false">C8/SUM($C$6:$C$20)</f>
        <v>0.031749936500127</v>
      </c>
    </row>
    <row r="9" customFormat="false" ht="15" hidden="false" customHeight="false" outlineLevel="0" collapsed="false">
      <c r="A9" s="8" t="s">
        <v>4</v>
      </c>
      <c r="B9" s="9" t="s">
        <v>339</v>
      </c>
      <c r="C9" s="10" t="n">
        <v>17.8771</v>
      </c>
      <c r="D9" s="10" t="n">
        <v>17.5</v>
      </c>
      <c r="E9" s="11" t="n">
        <f aca="false">C9-D9*100/SUM($D$6:$D$20)</f>
        <v>-0.238842028985509</v>
      </c>
      <c r="F9" s="12" t="n">
        <f aca="false">C9/SUMIF($B$6:$B$20,B9,$C$6:$C$20)</f>
        <v>0.672278672372686</v>
      </c>
      <c r="G9" s="12" t="n">
        <f aca="false">C9/SUM($C$6:$C$20)</f>
        <v>0.178770642458715</v>
      </c>
    </row>
    <row r="10" customFormat="false" ht="15" hidden="false" customHeight="false" outlineLevel="0" collapsed="false">
      <c r="A10" s="8" t="s">
        <v>5</v>
      </c>
      <c r="B10" s="9" t="s">
        <v>340</v>
      </c>
      <c r="C10" s="10" t="n">
        <v>1.8434</v>
      </c>
      <c r="D10" s="10" t="n">
        <v>2</v>
      </c>
      <c r="E10" s="11" t="n">
        <f aca="false">C10-D10*100/SUM($D$6:$D$20)</f>
        <v>-0.226993374741201</v>
      </c>
      <c r="F10" s="12" t="n">
        <f aca="false">C10/SUMIF($B$6:$B$20,B10,$C$6:$C$20)</f>
        <v>0.0283520178165224</v>
      </c>
      <c r="G10" s="12" t="n">
        <f aca="false">C10/SUM($C$6:$C$20)</f>
        <v>0.0184339631320737</v>
      </c>
    </row>
    <row r="11" customFormat="false" ht="15" hidden="false" customHeight="false" outlineLevel="0" collapsed="false">
      <c r="A11" s="8" t="s">
        <v>6</v>
      </c>
      <c r="B11" s="9" t="s">
        <v>339</v>
      </c>
      <c r="C11" s="10" t="n">
        <v>5.5397</v>
      </c>
      <c r="D11" s="10" t="n">
        <v>5.3</v>
      </c>
      <c r="E11" s="11" t="n">
        <f aca="false">C11-D11*100/SUM($D$6:$D$20)</f>
        <v>0.0531575569358171</v>
      </c>
      <c r="F11" s="12" t="n">
        <f aca="false">C11/SUMIF($B$6:$B$20,B11,$C$6:$C$20)</f>
        <v>0.208323618559105</v>
      </c>
      <c r="G11" s="12" t="n">
        <f aca="false">C11/SUM($C$6:$C$20)</f>
        <v>0.0553968892062216</v>
      </c>
    </row>
    <row r="12" customFormat="false" ht="15" hidden="false" customHeight="false" outlineLevel="0" collapsed="false">
      <c r="A12" s="8" t="s">
        <v>7</v>
      </c>
      <c r="B12" s="9" t="s">
        <v>340</v>
      </c>
      <c r="C12" s="10" t="n">
        <v>13.2283</v>
      </c>
      <c r="D12" s="10" t="n">
        <v>12.4</v>
      </c>
      <c r="E12" s="11" t="n">
        <f aca="false">C12-D12*100/SUM($D$6:$D$20)</f>
        <v>0.391861076604554</v>
      </c>
      <c r="F12" s="12" t="n">
        <f aca="false">C12/SUMIF($B$6:$B$20,B12,$C$6:$C$20)</f>
        <v>0.203455027276936</v>
      </c>
      <c r="G12" s="12" t="n">
        <f aca="false">C12/SUM($C$6:$C$20)</f>
        <v>0.132282735434529</v>
      </c>
    </row>
    <row r="13" customFormat="false" ht="15" hidden="false" customHeight="false" outlineLevel="0" collapsed="false">
      <c r="A13" s="8" t="s">
        <v>8</v>
      </c>
      <c r="B13" s="9" t="s">
        <v>340</v>
      </c>
      <c r="C13" s="10" t="n">
        <v>3.0404</v>
      </c>
      <c r="D13" s="10" t="n">
        <v>2.7</v>
      </c>
      <c r="E13" s="11" t="n">
        <f aca="false">C13-D13*100/SUM($D$6:$D$20)</f>
        <v>0.245368944099379</v>
      </c>
      <c r="F13" s="12" t="n">
        <f aca="false">C13/SUMIF($B$6:$B$20,B13,$C$6:$C$20)</f>
        <v>0.0467622192521183</v>
      </c>
      <c r="G13" s="12" t="n">
        <f aca="false">C13/SUM($C$6:$C$20)</f>
        <v>0.0304039391921216</v>
      </c>
    </row>
    <row r="14" customFormat="false" ht="15" hidden="false" customHeight="false" outlineLevel="0" collapsed="false">
      <c r="A14" s="8" t="s">
        <v>9</v>
      </c>
      <c r="B14" s="9" t="s">
        <v>340</v>
      </c>
      <c r="C14" s="10" t="n">
        <v>9.4699</v>
      </c>
      <c r="D14" s="10" t="n">
        <v>8.3</v>
      </c>
      <c r="E14" s="11" t="n">
        <f aca="false">C14-D14*100/SUM($D$6:$D$20)</f>
        <v>0.877767494824015</v>
      </c>
      <c r="F14" s="12" t="n">
        <f aca="false">C14/SUMIF($B$6:$B$20,B14,$C$6:$C$20)</f>
        <v>0.145649763220509</v>
      </c>
      <c r="G14" s="12" t="n">
        <f aca="false">C14/SUM($C$6:$C$20)</f>
        <v>0.0946988106023788</v>
      </c>
    </row>
    <row r="15" customFormat="false" ht="15" hidden="false" customHeight="false" outlineLevel="0" collapsed="false">
      <c r="A15" s="8" t="s">
        <v>10</v>
      </c>
      <c r="B15" s="9" t="s">
        <v>340</v>
      </c>
      <c r="C15" s="10" t="n">
        <v>4.9519</v>
      </c>
      <c r="D15" s="10" t="n">
        <v>4</v>
      </c>
      <c r="E15" s="11" t="n">
        <f aca="false">C15-D15*100/SUM($D$6:$D$20)</f>
        <v>0.811113250517598</v>
      </c>
      <c r="F15" s="12" t="n">
        <f aca="false">C15/SUMIF($B$6:$B$20,B15,$C$6:$C$20)</f>
        <v>0.0761616344936733</v>
      </c>
      <c r="G15" s="12" t="n">
        <f aca="false">C15/SUM($C$6:$C$20)</f>
        <v>0.0495189009621981</v>
      </c>
    </row>
    <row r="16" customFormat="false" ht="15" hidden="false" customHeight="false" outlineLevel="0" collapsed="false">
      <c r="A16" s="8" t="s">
        <v>11</v>
      </c>
      <c r="B16" s="9" t="s">
        <v>340</v>
      </c>
      <c r="C16" s="10" t="n">
        <v>13.2728</v>
      </c>
      <c r="D16" s="10" t="n">
        <v>12.9</v>
      </c>
      <c r="E16" s="11" t="n">
        <f aca="false">C16-D16*100/SUM($D$6:$D$20)</f>
        <v>-0.0812372670807466</v>
      </c>
      <c r="F16" s="12" t="n">
        <f aca="false">C16/SUMIF($B$6:$B$20,B16,$C$6:$C$20)</f>
        <v>0.204139449970239</v>
      </c>
      <c r="G16" s="12" t="n">
        <f aca="false">C16/SUM($C$6:$C$20)</f>
        <v>0.132727734544531</v>
      </c>
    </row>
    <row r="17" customFormat="false" ht="15" hidden="false" customHeight="false" outlineLevel="0" collapsed="false">
      <c r="A17" s="8" t="s">
        <v>12</v>
      </c>
      <c r="B17" s="9" t="s">
        <v>340</v>
      </c>
      <c r="C17" s="10" t="n">
        <v>6.1054</v>
      </c>
      <c r="D17" s="10" t="n">
        <v>6</v>
      </c>
      <c r="E17" s="11" t="n">
        <f aca="false">C17-D17*100/SUM($D$6:$D$20)</f>
        <v>-0.105780124223602</v>
      </c>
      <c r="F17" s="12" t="n">
        <f aca="false">C17/SUMIF($B$6:$B$20,B17,$C$6:$C$20)</f>
        <v>0.0939027935212087</v>
      </c>
      <c r="G17" s="12" t="n">
        <f aca="false">C17/SUM($C$6:$C$20)</f>
        <v>0.0610538778922442</v>
      </c>
    </row>
    <row r="18" customFormat="false" ht="15" hidden="false" customHeight="false" outlineLevel="0" collapsed="false">
      <c r="A18" s="8" t="s">
        <v>13</v>
      </c>
      <c r="B18" s="9" t="s">
        <v>340</v>
      </c>
      <c r="C18" s="10" t="n">
        <v>4.8085</v>
      </c>
      <c r="D18" s="10" t="n">
        <v>4.6</v>
      </c>
      <c r="E18" s="11" t="n">
        <f aca="false">C18-D18*100/SUM($D$6:$D$20)</f>
        <v>0.0465952380952386</v>
      </c>
      <c r="F18" s="12" t="n">
        <f aca="false">C18/SUMIF($B$6:$B$20,B18,$C$6:$C$20)</f>
        <v>0.0739561015898601</v>
      </c>
      <c r="G18" s="12" t="n">
        <f aca="false">C18/SUM($C$6:$C$20)</f>
        <v>0.0480849038301923</v>
      </c>
    </row>
    <row r="19" customFormat="false" ht="15" hidden="false" customHeight="false" outlineLevel="0" collapsed="false">
      <c r="A19" s="8" t="s">
        <v>14</v>
      </c>
      <c r="B19" s="9" t="s">
        <v>340</v>
      </c>
      <c r="C19" s="10" t="n">
        <v>4.7366</v>
      </c>
      <c r="D19" s="10" t="n">
        <v>4.2</v>
      </c>
      <c r="E19" s="11" t="n">
        <f aca="false">C19-D19*100/SUM($D$6:$D$20)</f>
        <v>0.388773913043478</v>
      </c>
      <c r="F19" s="12" t="n">
        <f aca="false">C19/SUMIF($B$6:$B$20,B19,$C$6:$C$20)</f>
        <v>0.0728502590809049</v>
      </c>
      <c r="G19" s="12" t="n">
        <f aca="false">C19/SUM($C$6:$C$20)</f>
        <v>0.0473659052681895</v>
      </c>
    </row>
    <row r="20" customFormat="false" ht="15" hidden="false" customHeight="false" outlineLevel="0" collapsed="false">
      <c r="A20" s="8" t="s">
        <v>15</v>
      </c>
      <c r="B20" s="9" t="s">
        <v>340</v>
      </c>
      <c r="C20" s="10" t="n">
        <v>3.5611</v>
      </c>
      <c r="D20" s="10" t="n">
        <v>3.6</v>
      </c>
      <c r="E20" s="11" t="n">
        <f aca="false">C20-D20*100/SUM($D$6:$D$20)</f>
        <v>-0.165608074534162</v>
      </c>
      <c r="F20" s="12" t="n">
        <f aca="false">C20/SUMIF($B$6:$B$20,B20,$C$6:$C$20)</f>
        <v>0.0547707337780287</v>
      </c>
      <c r="G20" s="12" t="n">
        <f aca="false">C20/SUM($C$6:$C$20)</f>
        <v>0.0356109287781424</v>
      </c>
    </row>
    <row r="21" customFormat="false" ht="15" hidden="false" customHeight="false" outlineLevel="0" collapsed="false">
      <c r="A21" s="13" t="s">
        <v>341</v>
      </c>
      <c r="C21" s="14" t="n">
        <f aca="false">SUM(C6:C20)</f>
        <v>100.0002</v>
      </c>
      <c r="D21" s="14" t="n">
        <f aca="false">SUM(D6:D20)</f>
        <v>96.6</v>
      </c>
      <c r="G21" s="15" t="n">
        <f aca="false">SUM(G6:G20)</f>
        <v>1</v>
      </c>
    </row>
    <row r="23" customFormat="false" ht="15" hidden="false" customHeight="false" outlineLevel="0" collapsed="false">
      <c r="A23" s="6" t="s">
        <v>342</v>
      </c>
    </row>
    <row r="24" customFormat="false" ht="15" hidden="false" customHeight="false" outlineLevel="0" collapsed="false">
      <c r="A24" s="7" t="s">
        <v>332</v>
      </c>
      <c r="B24" s="7" t="s">
        <v>333</v>
      </c>
      <c r="C24" s="7" t="s">
        <v>343</v>
      </c>
    </row>
    <row r="25" customFormat="false" ht="15" hidden="false" customHeight="false" outlineLevel="0" collapsed="false">
      <c r="A25" s="8" t="s">
        <v>338</v>
      </c>
      <c r="B25" s="16" t="n">
        <f aca="false">SUMIF($B$6:$B$20,A25,$C$6:$C$20)</f>
        <v>8.3901</v>
      </c>
      <c r="C25" s="12" t="n">
        <f aca="false">B25/SUM($B$25:$B$27)</f>
        <v>0.0839008321983356</v>
      </c>
    </row>
    <row r="26" customFormat="false" ht="15" hidden="false" customHeight="false" outlineLevel="0" collapsed="false">
      <c r="A26" s="8" t="s">
        <v>339</v>
      </c>
      <c r="B26" s="16" t="n">
        <f aca="false">SUMIF($B$6:$B$20,A26,$C$6:$C$20)</f>
        <v>26.5918</v>
      </c>
      <c r="C26" s="12" t="n">
        <f aca="false">B26/SUM($B$25:$B$27)</f>
        <v>0.265917468165064</v>
      </c>
    </row>
    <row r="27" customFormat="false" ht="15" hidden="false" customHeight="false" outlineLevel="0" collapsed="false">
      <c r="A27" s="8" t="s">
        <v>340</v>
      </c>
      <c r="B27" s="16" t="n">
        <f aca="false">SUMIF($B$6:$B$20,A27,$C$6:$C$20)</f>
        <v>65.0183</v>
      </c>
      <c r="C27" s="12" t="n">
        <f aca="false">B27/SUM($B$25:$B$27)</f>
        <v>0.650181699636601</v>
      </c>
    </row>
    <row r="28" customFormat="false" ht="15" hidden="false" customHeight="false" outlineLevel="0" collapsed="false">
      <c r="A28" s="13" t="s">
        <v>341</v>
      </c>
      <c r="B28" s="14" t="n">
        <f aca="false">SUM(B25:B27)</f>
        <v>100.0002</v>
      </c>
    </row>
    <row r="30" customFormat="false" ht="15" hidden="false" customHeight="false" outlineLevel="0" collapsed="false">
      <c r="A30" s="6" t="s">
        <v>344</v>
      </c>
    </row>
    <row r="31" customFormat="false" ht="15" hidden="false" customHeight="false" outlineLevel="0" collapsed="false">
      <c r="A31" s="5" t="s">
        <v>345</v>
      </c>
    </row>
    <row r="32" customFormat="false" ht="23.85" hidden="false" customHeight="false" outlineLevel="0" collapsed="false">
      <c r="A32" s="7" t="s">
        <v>346</v>
      </c>
      <c r="B32" s="7" t="s">
        <v>347</v>
      </c>
      <c r="C32" s="7" t="s">
        <v>348</v>
      </c>
      <c r="D32" s="7" t="s">
        <v>349</v>
      </c>
      <c r="E32" s="7" t="s">
        <v>350</v>
      </c>
      <c r="F32" s="7" t="s">
        <v>351</v>
      </c>
    </row>
    <row r="33" customFormat="false" ht="15" hidden="false" customHeight="false" outlineLevel="0" collapsed="false">
      <c r="A33" s="8" t="s">
        <v>338</v>
      </c>
      <c r="B33" s="17" t="n">
        <v>0.1</v>
      </c>
      <c r="C33" s="17" t="n">
        <v>0.25</v>
      </c>
      <c r="D33" s="11" t="n">
        <f aca="false">((1+B33/100)^12-1)*100</f>
        <v>1.20662204957915</v>
      </c>
      <c r="E33" s="11" t="n">
        <f aca="false">((1+C33/100)^12-1)*100</f>
        <v>3.04159569135067</v>
      </c>
      <c r="F33" s="18" t="n">
        <v>2.62</v>
      </c>
    </row>
    <row r="34" customFormat="false" ht="15" hidden="false" customHeight="false" outlineLevel="0" collapsed="false">
      <c r="A34" s="8" t="s">
        <v>339</v>
      </c>
      <c r="B34" s="17" t="n">
        <v>0.15</v>
      </c>
      <c r="C34" s="17" t="n">
        <v>0.35</v>
      </c>
      <c r="D34" s="11" t="n">
        <f aca="false">((1+B34/100)^12-1)*100</f>
        <v>1.81492450119629</v>
      </c>
      <c r="E34" s="11" t="n">
        <f aca="false">((1+C34/100)^12-1)*100</f>
        <v>4.28180071986151</v>
      </c>
      <c r="F34" s="18" t="n">
        <v>0</v>
      </c>
    </row>
    <row r="35" customFormat="false" ht="15" hidden="false" customHeight="false" outlineLevel="0" collapsed="false">
      <c r="A35" s="8" t="s">
        <v>340</v>
      </c>
      <c r="B35" s="17" t="n">
        <v>0.15</v>
      </c>
      <c r="C35" s="17" t="n">
        <v>0.3</v>
      </c>
      <c r="D35" s="11" t="n">
        <f aca="false">((1+B35/100)^12-1)*100</f>
        <v>1.81492450119629</v>
      </c>
      <c r="E35" s="11" t="n">
        <f aca="false">((1+C35/100)^12-1)*100</f>
        <v>3.65999802881301</v>
      </c>
      <c r="F35" s="18" t="n">
        <v>0.03</v>
      </c>
    </row>
    <row r="38" customFormat="false" ht="15" hidden="false" customHeight="false" outlineLevel="0" collapsed="false">
      <c r="A38" s="6" t="s">
        <v>352</v>
      </c>
    </row>
    <row r="39" customFormat="false" ht="30" hidden="false" customHeight="true" outlineLevel="0" collapsed="false">
      <c r="A39" s="13" t="s">
        <v>353</v>
      </c>
      <c r="B39" s="19" t="s">
        <v>354</v>
      </c>
      <c r="C39" s="19"/>
      <c r="D39" s="19"/>
      <c r="E39" s="19"/>
      <c r="F39" s="19"/>
      <c r="G39" s="19"/>
    </row>
    <row r="40" customFormat="false" ht="30" hidden="false" customHeight="true" outlineLevel="0" collapsed="false">
      <c r="A40" s="13" t="s">
        <v>355</v>
      </c>
      <c r="B40" s="19" t="s">
        <v>356</v>
      </c>
      <c r="C40" s="19"/>
      <c r="D40" s="19"/>
      <c r="E40" s="19"/>
      <c r="F40" s="19"/>
      <c r="G40" s="19"/>
    </row>
    <row r="41" customFormat="false" ht="13.5" hidden="false" customHeight="true" outlineLevel="0" collapsed="false">
      <c r="A41" s="13" t="s">
        <v>357</v>
      </c>
      <c r="B41" s="19" t="s">
        <v>358</v>
      </c>
      <c r="C41" s="19"/>
      <c r="D41" s="19"/>
      <c r="E41" s="19"/>
      <c r="F41" s="19"/>
      <c r="G41" s="19"/>
    </row>
    <row r="42" customFormat="false" ht="13.5" hidden="false" customHeight="true" outlineLevel="0" collapsed="false">
      <c r="A42" s="13" t="s">
        <v>359</v>
      </c>
      <c r="B42" s="19" t="n">
        <v>0.98958</v>
      </c>
      <c r="C42" s="19"/>
      <c r="D42" s="19"/>
      <c r="E42" s="19"/>
      <c r="F42" s="19"/>
      <c r="G42" s="19"/>
    </row>
    <row r="43" customFormat="false" ht="13.5" hidden="false" customHeight="true" outlineLevel="0" collapsed="false">
      <c r="A43" s="13" t="s">
        <v>360</v>
      </c>
      <c r="B43" s="19" t="n">
        <v>1.469</v>
      </c>
      <c r="C43" s="19"/>
      <c r="D43" s="19"/>
      <c r="E43" s="19"/>
      <c r="F43" s="19"/>
      <c r="G43" s="19"/>
    </row>
    <row r="44" customFormat="false" ht="13.5" hidden="false" customHeight="true" outlineLevel="0" collapsed="false">
      <c r="A44" s="13" t="s">
        <v>361</v>
      </c>
      <c r="B44" s="19" t="n">
        <v>4.301</v>
      </c>
      <c r="C44" s="19"/>
      <c r="D44" s="19"/>
      <c r="E44" s="19"/>
      <c r="F44" s="19"/>
      <c r="G44" s="19"/>
    </row>
    <row r="45" customFormat="false" ht="30" hidden="false" customHeight="true" outlineLevel="0" collapsed="false">
      <c r="A45" s="13" t="s">
        <v>362</v>
      </c>
      <c r="B45" s="19" t="s">
        <v>363</v>
      </c>
      <c r="C45" s="19"/>
      <c r="D45" s="19"/>
      <c r="E45" s="19"/>
      <c r="F45" s="19"/>
      <c r="G45" s="19"/>
    </row>
    <row r="46" customFormat="false" ht="30" hidden="false" customHeight="true" outlineLevel="0" collapsed="false">
      <c r="A46" s="13" t="s">
        <v>364</v>
      </c>
      <c r="B46" s="19" t="s">
        <v>365</v>
      </c>
      <c r="C46" s="19"/>
      <c r="D46" s="19"/>
      <c r="E46" s="19"/>
      <c r="F46" s="19"/>
      <c r="G46" s="19"/>
    </row>
  </sheetData>
  <mergeCells count="8">
    <mergeCell ref="B39:G39"/>
    <mergeCell ref="B40:G40"/>
    <mergeCell ref="B41:G41"/>
    <mergeCell ref="B42:G42"/>
    <mergeCell ref="B43:G43"/>
    <mergeCell ref="B44:G44"/>
    <mergeCell ref="B45:G45"/>
    <mergeCell ref="B46:G4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27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
  </cols>
  <sheetData>
    <row r="1" customFormat="false" ht="17.35" hidden="false" customHeight="false" outlineLevel="0" collapsed="false">
      <c r="A1" s="4" t="s">
        <v>366</v>
      </c>
    </row>
    <row r="2" customFormat="false" ht="15" hidden="false" customHeight="false" outlineLevel="0" collapsed="false">
      <c r="A2" s="5" t="s">
        <v>367</v>
      </c>
    </row>
    <row r="6" customFormat="false" ht="23.85" hidden="false" customHeight="false" outlineLevel="0" collapsed="false">
      <c r="A6" s="7" t="s">
        <v>368</v>
      </c>
      <c r="B6" s="7" t="s">
        <v>1</v>
      </c>
      <c r="C6" s="7" t="s">
        <v>2</v>
      </c>
      <c r="D6" s="7" t="s">
        <v>3</v>
      </c>
      <c r="E6" s="7" t="s">
        <v>4</v>
      </c>
      <c r="F6" s="7" t="s">
        <v>5</v>
      </c>
      <c r="G6" s="7" t="s">
        <v>6</v>
      </c>
      <c r="H6" s="7" t="s">
        <v>7</v>
      </c>
      <c r="I6" s="7" t="s">
        <v>8</v>
      </c>
      <c r="J6" s="7" t="s">
        <v>9</v>
      </c>
      <c r="K6" s="7" t="s">
        <v>10</v>
      </c>
      <c r="L6" s="7" t="s">
        <v>11</v>
      </c>
      <c r="M6" s="7" t="s">
        <v>12</v>
      </c>
      <c r="N6" s="7" t="s">
        <v>13</v>
      </c>
      <c r="O6" s="7" t="s">
        <v>14</v>
      </c>
      <c r="P6" s="7" t="s">
        <v>15</v>
      </c>
    </row>
    <row r="7" customFormat="false" ht="15" hidden="false" customHeight="false" outlineLevel="0" collapsed="false">
      <c r="A7" s="20" t="n">
        <v>38017</v>
      </c>
      <c r="B7" s="21" t="n">
        <v>122.296554315354</v>
      </c>
      <c r="C7" s="21" t="n">
        <v>120.211217139606</v>
      </c>
      <c r="D7" s="21" t="n">
        <v>99.535437698662</v>
      </c>
      <c r="E7" s="21" t="n">
        <v>95.8153495693581</v>
      </c>
      <c r="F7" s="21" t="n">
        <v>97.3081764991744</v>
      </c>
      <c r="G7" s="21" t="n">
        <v>96.5774765744629</v>
      </c>
      <c r="H7" s="21" t="n">
        <v>97.9796255787361</v>
      </c>
      <c r="I7" s="21" t="n">
        <v>95.5796018400575</v>
      </c>
      <c r="J7" s="21" t="n">
        <v>96.3891485047064</v>
      </c>
      <c r="K7" s="21" t="n">
        <v>98.7792963451055</v>
      </c>
      <c r="L7" s="21" t="n">
        <v>96.1826712163384</v>
      </c>
      <c r="M7" s="21" t="n">
        <v>97.5052328096536</v>
      </c>
      <c r="N7" s="21" t="n">
        <v>96.7453395969077</v>
      </c>
      <c r="O7" s="21" t="n">
        <v>97.417585502171</v>
      </c>
      <c r="P7" s="21" t="n">
        <v>95.3556500767965</v>
      </c>
    </row>
    <row r="8" customFormat="false" ht="15" hidden="false" customHeight="false" outlineLevel="0" collapsed="false">
      <c r="A8" s="20" t="n">
        <v>38046</v>
      </c>
      <c r="B8" s="21" t="n">
        <v>115.812358283746</v>
      </c>
      <c r="C8" s="21" t="n">
        <v>87.4458689789402</v>
      </c>
      <c r="D8" s="21" t="n">
        <v>101.417838118522</v>
      </c>
      <c r="E8" s="21" t="n">
        <v>96.9766220396978</v>
      </c>
      <c r="F8" s="21" t="n">
        <v>98.858383765928</v>
      </c>
      <c r="G8" s="21" t="n">
        <v>96.9928261982043</v>
      </c>
      <c r="H8" s="21" t="n">
        <v>98.2076965044708</v>
      </c>
      <c r="I8" s="21" t="n">
        <v>96.4668810665</v>
      </c>
      <c r="J8" s="21" t="n">
        <v>97.0690195477705</v>
      </c>
      <c r="K8" s="21" t="n">
        <v>97.8055683783961</v>
      </c>
      <c r="L8" s="21" t="n">
        <v>96.906771215812</v>
      </c>
      <c r="M8" s="21" t="n">
        <v>97.9634887281444</v>
      </c>
      <c r="N8" s="21" t="n">
        <v>97.3312797876477</v>
      </c>
      <c r="O8" s="21" t="n">
        <v>97.9166592387989</v>
      </c>
      <c r="P8" s="21" t="n">
        <v>98.1267773530746</v>
      </c>
    </row>
    <row r="9" customFormat="false" ht="15" hidden="false" customHeight="false" outlineLevel="0" collapsed="false">
      <c r="A9" s="20" t="n">
        <v>38077</v>
      </c>
      <c r="B9" s="21" t="n">
        <v>100.790596886576</v>
      </c>
      <c r="C9" s="21" t="n">
        <v>108.543857468158</v>
      </c>
      <c r="D9" s="21" t="n">
        <v>99.7547173598232</v>
      </c>
      <c r="E9" s="21" t="n">
        <v>97.5572821063227</v>
      </c>
      <c r="F9" s="21" t="n">
        <v>101.626331701188</v>
      </c>
      <c r="G9" s="21" t="n">
        <v>97.7664382777329</v>
      </c>
      <c r="H9" s="21" t="n">
        <v>99.037170917368</v>
      </c>
      <c r="I9" s="21" t="n">
        <v>96.9959711996352</v>
      </c>
      <c r="J9" s="21" t="n">
        <v>97.1252428970981</v>
      </c>
      <c r="K9" s="21" t="n">
        <v>97.7634147998035</v>
      </c>
      <c r="L9" s="21" t="n">
        <v>98.1822169318567</v>
      </c>
      <c r="M9" s="21" t="n">
        <v>98.1262392061534</v>
      </c>
      <c r="N9" s="21" t="n">
        <v>97.4002523039832</v>
      </c>
      <c r="O9" s="21" t="n">
        <v>98.0220845799455</v>
      </c>
      <c r="P9" s="21" t="n">
        <v>98.5953476420814</v>
      </c>
    </row>
    <row r="10" customFormat="false" ht="15" hidden="false" customHeight="false" outlineLevel="0" collapsed="false">
      <c r="A10" s="20" t="n">
        <v>38107</v>
      </c>
      <c r="B10" s="21" t="n">
        <v>90.2445581616807</v>
      </c>
      <c r="C10" s="21" t="n">
        <v>103.804446559932</v>
      </c>
      <c r="D10" s="21" t="n">
        <v>99.1311703775188</v>
      </c>
      <c r="E10" s="21" t="n">
        <v>97.1773438746813</v>
      </c>
      <c r="F10" s="21" t="n">
        <v>100.56150294193</v>
      </c>
      <c r="G10" s="21" t="n">
        <v>98.0340275524582</v>
      </c>
      <c r="H10" s="21" t="n">
        <v>98.0506470144685</v>
      </c>
      <c r="I10" s="21" t="n">
        <v>97.4883495654582</v>
      </c>
      <c r="J10" s="21" t="n">
        <v>97.5414600385918</v>
      </c>
      <c r="K10" s="21" t="n">
        <v>97.1460047407174</v>
      </c>
      <c r="L10" s="21" t="n">
        <v>97.8612356771575</v>
      </c>
      <c r="M10" s="21" t="n">
        <v>98.9659003403491</v>
      </c>
      <c r="N10" s="21" t="n">
        <v>98.612919961808</v>
      </c>
      <c r="O10" s="21" t="n">
        <v>100.316253925815</v>
      </c>
      <c r="P10" s="21" t="n">
        <v>98.6983104424453</v>
      </c>
    </row>
    <row r="11" customFormat="false" ht="15" hidden="false" customHeight="false" outlineLevel="0" collapsed="false">
      <c r="A11" s="20" t="n">
        <v>38138</v>
      </c>
      <c r="B11" s="21" t="n">
        <v>85.1402390992155</v>
      </c>
      <c r="C11" s="21" t="n">
        <v>78.7513439100356</v>
      </c>
      <c r="D11" s="21" t="n">
        <v>100.260062996167</v>
      </c>
      <c r="E11" s="21" t="n">
        <v>98.2332768119827</v>
      </c>
      <c r="F11" s="21" t="n">
        <v>100.177023195101</v>
      </c>
      <c r="G11" s="21" t="n">
        <v>98.6273223724797</v>
      </c>
      <c r="H11" s="21" t="n">
        <v>97.8427379152801</v>
      </c>
      <c r="I11" s="21" t="n">
        <v>98.9528393277419</v>
      </c>
      <c r="J11" s="21" t="n">
        <v>97.6394714643841</v>
      </c>
      <c r="K11" s="21" t="n">
        <v>97.3360681291482</v>
      </c>
      <c r="L11" s="21" t="n">
        <v>98.4054659205476</v>
      </c>
      <c r="M11" s="21" t="n">
        <v>99.2224601634883</v>
      </c>
      <c r="N11" s="21" t="n">
        <v>99.0228861479097</v>
      </c>
      <c r="O11" s="21" t="n">
        <v>99.5871947950386</v>
      </c>
      <c r="P11" s="21" t="n">
        <v>99.0468113416145</v>
      </c>
    </row>
    <row r="12" customFormat="false" ht="15" hidden="false" customHeight="false" outlineLevel="0" collapsed="false">
      <c r="A12" s="20" t="n">
        <v>38168</v>
      </c>
      <c r="B12" s="21" t="n">
        <v>84.7943340736119</v>
      </c>
      <c r="C12" s="21" t="n">
        <v>103.315338242316</v>
      </c>
      <c r="D12" s="21" t="n">
        <v>100.258244326839</v>
      </c>
      <c r="E12" s="21" t="n">
        <v>99.7654873330769</v>
      </c>
      <c r="F12" s="21" t="n">
        <v>100.1993246146</v>
      </c>
      <c r="G12" s="21" t="n">
        <v>99.7593494624124</v>
      </c>
      <c r="H12" s="21" t="n">
        <v>100.955794108397</v>
      </c>
      <c r="I12" s="21" t="n">
        <v>99.7563640793279</v>
      </c>
      <c r="J12" s="21" t="n">
        <v>99.0149559931088</v>
      </c>
      <c r="K12" s="21" t="n">
        <v>97.8516855645459</v>
      </c>
      <c r="L12" s="21" t="n">
        <v>99.3680399456292</v>
      </c>
      <c r="M12" s="21" t="n">
        <v>99.6108395249484</v>
      </c>
      <c r="N12" s="21" t="n">
        <v>99.690347828753</v>
      </c>
      <c r="O12" s="21" t="n">
        <v>97.1364635926874</v>
      </c>
      <c r="P12" s="21" t="n">
        <v>99.7226919319584</v>
      </c>
    </row>
    <row r="13" customFormat="false" ht="15" hidden="false" customHeight="false" outlineLevel="0" collapsed="false">
      <c r="A13" s="20" t="n">
        <v>38199</v>
      </c>
      <c r="B13" s="21" t="n">
        <v>95.745901271169</v>
      </c>
      <c r="C13" s="21" t="n">
        <v>85.7239788496363</v>
      </c>
      <c r="D13" s="21" t="n">
        <v>98.4684508118257</v>
      </c>
      <c r="E13" s="21" t="n">
        <v>100.612513363116</v>
      </c>
      <c r="F13" s="21" t="n">
        <v>100.060657664918</v>
      </c>
      <c r="G13" s="21" t="n">
        <v>101.219637825189</v>
      </c>
      <c r="H13" s="21" t="n">
        <v>101.014513575479</v>
      </c>
      <c r="I13" s="21" t="n">
        <v>99.6631734038211</v>
      </c>
      <c r="J13" s="21" t="n">
        <v>100.126064384361</v>
      </c>
      <c r="K13" s="21" t="n">
        <v>99.4279882831054</v>
      </c>
      <c r="L13" s="21" t="n">
        <v>100.760383328955</v>
      </c>
      <c r="M13" s="21" t="n">
        <v>100.352596951995</v>
      </c>
      <c r="N13" s="21" t="n">
        <v>100.246662242637</v>
      </c>
      <c r="O13" s="21" t="n">
        <v>100.74605243382</v>
      </c>
      <c r="P13" s="21" t="n">
        <v>99.7096563392398</v>
      </c>
    </row>
    <row r="14" customFormat="false" ht="15" hidden="false" customHeight="false" outlineLevel="0" collapsed="false">
      <c r="A14" s="20" t="n">
        <v>38230</v>
      </c>
      <c r="B14" s="21" t="n">
        <v>96.5688037051651</v>
      </c>
      <c r="C14" s="21" t="n">
        <v>93.8279705760563</v>
      </c>
      <c r="D14" s="21" t="n">
        <v>99.7616134795039</v>
      </c>
      <c r="E14" s="21" t="n">
        <v>100.119160887079</v>
      </c>
      <c r="F14" s="21" t="n">
        <v>99.9626592420791</v>
      </c>
      <c r="G14" s="21" t="n">
        <v>101.922532618858</v>
      </c>
      <c r="H14" s="21" t="n">
        <v>100.192526795606</v>
      </c>
      <c r="I14" s="21" t="n">
        <v>99.6387066988898</v>
      </c>
      <c r="J14" s="21" t="n">
        <v>100.97793338139</v>
      </c>
      <c r="K14" s="21" t="n">
        <v>101.39771968946</v>
      </c>
      <c r="L14" s="21" t="n">
        <v>100.592225549605</v>
      </c>
      <c r="M14" s="21" t="n">
        <v>100.742372371113</v>
      </c>
      <c r="N14" s="21" t="n">
        <v>100.919542753743</v>
      </c>
      <c r="O14" s="21" t="n">
        <v>101.616062961233</v>
      </c>
      <c r="P14" s="21" t="n">
        <v>100.789690022802</v>
      </c>
    </row>
    <row r="15" customFormat="false" ht="15" hidden="false" customHeight="false" outlineLevel="0" collapsed="false">
      <c r="A15" s="20" t="n">
        <v>38260</v>
      </c>
      <c r="B15" s="21" t="n">
        <v>96.4511057712893</v>
      </c>
      <c r="C15" s="21" t="n">
        <v>95.2137539633506</v>
      </c>
      <c r="D15" s="21" t="n">
        <v>100.625677060575</v>
      </c>
      <c r="E15" s="21" t="n">
        <v>101.829065265672</v>
      </c>
      <c r="F15" s="21" t="n">
        <v>100.384280476144</v>
      </c>
      <c r="G15" s="21" t="n">
        <v>103.335321069164</v>
      </c>
      <c r="H15" s="21" t="n">
        <v>101.439596983726</v>
      </c>
      <c r="I15" s="21" t="n">
        <v>100.541203908702</v>
      </c>
      <c r="J15" s="21" t="n">
        <v>102.118456867704</v>
      </c>
      <c r="K15" s="21" t="n">
        <v>102.07089802259</v>
      </c>
      <c r="L15" s="21" t="n">
        <v>101.197666348706</v>
      </c>
      <c r="M15" s="21" t="n">
        <v>101.14971484259</v>
      </c>
      <c r="N15" s="21" t="n">
        <v>101.142451478692</v>
      </c>
      <c r="O15" s="21" t="n">
        <v>103.765115862697</v>
      </c>
      <c r="P15" s="21" t="n">
        <v>102.204011290403</v>
      </c>
    </row>
    <row r="16" customFormat="false" ht="15" hidden="false" customHeight="false" outlineLevel="0" collapsed="false">
      <c r="A16" s="20" t="n">
        <v>38291</v>
      </c>
      <c r="B16" s="21" t="n">
        <v>98.3469109389457</v>
      </c>
      <c r="C16" s="21" t="n">
        <v>101.373448704292</v>
      </c>
      <c r="D16" s="21" t="n">
        <v>100.181090512506</v>
      </c>
      <c r="E16" s="21" t="n">
        <v>101.842065700964</v>
      </c>
      <c r="F16" s="21" t="n">
        <v>101.936679073334</v>
      </c>
      <c r="G16" s="21" t="n">
        <v>101.807577654183</v>
      </c>
      <c r="H16" s="21" t="n">
        <v>102.800946299513</v>
      </c>
      <c r="I16" s="21" t="n">
        <v>102.668989605862</v>
      </c>
      <c r="J16" s="21" t="n">
        <v>103.67006472661</v>
      </c>
      <c r="K16" s="21" t="n">
        <v>102.948498085886</v>
      </c>
      <c r="L16" s="21" t="n">
        <v>101.112106427811</v>
      </c>
      <c r="M16" s="21" t="n">
        <v>101.473786218646</v>
      </c>
      <c r="N16" s="21" t="n">
        <v>101.668340803754</v>
      </c>
      <c r="O16" s="21" t="n">
        <v>102.870055993557</v>
      </c>
      <c r="P16" s="21" t="n">
        <v>102.92480447441</v>
      </c>
    </row>
    <row r="17" customFormat="false" ht="15" hidden="false" customHeight="false" outlineLevel="0" collapsed="false">
      <c r="A17" s="20" t="n">
        <v>38321</v>
      </c>
      <c r="B17" s="21" t="n">
        <v>98.0159365555165</v>
      </c>
      <c r="C17" s="21" t="n">
        <v>97.5216050634616</v>
      </c>
      <c r="D17" s="21" t="n">
        <v>100.311581355827</v>
      </c>
      <c r="E17" s="21" t="n">
        <v>102.260746978205</v>
      </c>
      <c r="F17" s="21" t="n">
        <v>100.068374525207</v>
      </c>
      <c r="G17" s="21" t="n">
        <v>103.103524384297</v>
      </c>
      <c r="H17" s="21" t="n">
        <v>102.438000512428</v>
      </c>
      <c r="I17" s="21" t="n">
        <v>104.338557240437</v>
      </c>
      <c r="J17" s="21" t="n">
        <v>105.711843834834</v>
      </c>
      <c r="K17" s="21" t="n">
        <v>103.175304150591</v>
      </c>
      <c r="L17" s="21" t="n">
        <v>101.853214089561</v>
      </c>
      <c r="M17" s="21" t="n">
        <v>101.638022906009</v>
      </c>
      <c r="N17" s="21" t="n">
        <v>101.781414043513</v>
      </c>
      <c r="O17" s="21" t="n">
        <v>103.046057471745</v>
      </c>
      <c r="P17" s="21" t="n">
        <v>103.243379029381</v>
      </c>
    </row>
    <row r="18" customFormat="false" ht="15" hidden="false" customHeight="false" outlineLevel="0" collapsed="false">
      <c r="A18" s="20" t="n">
        <v>38352</v>
      </c>
      <c r="B18" s="21" t="n">
        <v>96.9176869675146</v>
      </c>
      <c r="C18" s="21" t="n">
        <v>85.2533736259623</v>
      </c>
      <c r="D18" s="21" t="n">
        <v>100.726961543088</v>
      </c>
      <c r="E18" s="21" t="n">
        <v>103.233652103437</v>
      </c>
      <c r="F18" s="21" t="n">
        <v>103.113826698959</v>
      </c>
      <c r="G18" s="21" t="n">
        <v>104.568853240637</v>
      </c>
      <c r="H18" s="21" t="n">
        <v>104.774282177403</v>
      </c>
      <c r="I18" s="21" t="n">
        <v>105.52918202972</v>
      </c>
      <c r="J18" s="21" t="n">
        <v>106.421226370011</v>
      </c>
      <c r="K18" s="21" t="n">
        <v>103.375639042477</v>
      </c>
      <c r="L18" s="21" t="n">
        <v>101.850830470427</v>
      </c>
      <c r="M18" s="21" t="n">
        <v>101.858102755812</v>
      </c>
      <c r="N18" s="21" t="n">
        <v>102.606868366945</v>
      </c>
      <c r="O18" s="21" t="n">
        <v>103.463868554053</v>
      </c>
      <c r="P18" s="21" t="n">
        <v>104.170368639018</v>
      </c>
    </row>
    <row r="19" customFormat="false" ht="15" hidden="false" customHeight="false" outlineLevel="0" collapsed="false">
      <c r="A19" s="20" t="n">
        <v>38383</v>
      </c>
      <c r="B19" s="21" t="n">
        <v>96.1073444431077</v>
      </c>
      <c r="C19" s="21" t="n">
        <v>87.833327092794</v>
      </c>
      <c r="D19" s="21" t="n">
        <v>100.451330542962</v>
      </c>
      <c r="E19" s="21" t="n">
        <v>103.889365624386</v>
      </c>
      <c r="F19" s="21" t="n">
        <v>105.456925551413</v>
      </c>
      <c r="G19" s="21" t="n">
        <v>104.601523464379</v>
      </c>
      <c r="H19" s="21" t="n">
        <v>104.528909945279</v>
      </c>
      <c r="I19" s="21" t="n">
        <v>105.040024473715</v>
      </c>
      <c r="J19" s="21" t="n">
        <v>107.217411325891</v>
      </c>
      <c r="K19" s="21" t="n">
        <v>100.685101398998</v>
      </c>
      <c r="L19" s="21" t="n">
        <v>102.181393923183</v>
      </c>
      <c r="M19" s="21" t="n">
        <v>103.000498386814</v>
      </c>
      <c r="N19" s="21" t="n">
        <v>103.463497244981</v>
      </c>
      <c r="O19" s="21" t="n">
        <v>106.123181432924</v>
      </c>
      <c r="P19" s="21" t="n">
        <v>104.738088984526</v>
      </c>
    </row>
    <row r="20" customFormat="false" ht="15" hidden="false" customHeight="false" outlineLevel="0" collapsed="false">
      <c r="A20" s="20" t="n">
        <v>38411</v>
      </c>
      <c r="B20" s="21" t="n">
        <v>101.377280151022</v>
      </c>
      <c r="C20" s="21" t="n">
        <v>104.245504634253</v>
      </c>
      <c r="D20" s="21" t="n">
        <v>99.9029549502127</v>
      </c>
      <c r="E20" s="21" t="n">
        <v>103.881660151558</v>
      </c>
      <c r="F20" s="21" t="n">
        <v>103.496215718959</v>
      </c>
      <c r="G20" s="21" t="n">
        <v>106.377713303225</v>
      </c>
      <c r="H20" s="21" t="n">
        <v>105.840185023679</v>
      </c>
      <c r="I20" s="21" t="n">
        <v>105.412356392896</v>
      </c>
      <c r="J20" s="21" t="n">
        <v>108.099970719789</v>
      </c>
      <c r="K20" s="21" t="n">
        <v>103.91307930643</v>
      </c>
      <c r="L20" s="21" t="n">
        <v>102.836414037141</v>
      </c>
      <c r="M20" s="21" t="n">
        <v>103.38039787681</v>
      </c>
      <c r="N20" s="21" t="n">
        <v>104.040159707432</v>
      </c>
      <c r="O20" s="21" t="n">
        <v>106.943017464477</v>
      </c>
      <c r="P20" s="21" t="n">
        <v>106.131308294129</v>
      </c>
    </row>
    <row r="21" customFormat="false" ht="15" hidden="false" customHeight="false" outlineLevel="0" collapsed="false">
      <c r="A21" s="20" t="n">
        <v>38442</v>
      </c>
      <c r="B21" s="21" t="n">
        <v>109.025210147515</v>
      </c>
      <c r="C21" s="21" t="n">
        <v>81.1734485990415</v>
      </c>
      <c r="D21" s="21" t="n">
        <v>100.303248604338</v>
      </c>
      <c r="E21" s="21" t="n">
        <v>104.053969688924</v>
      </c>
      <c r="F21" s="21" t="n">
        <v>105.225838617711</v>
      </c>
      <c r="G21" s="21" t="n">
        <v>108.013295044108</v>
      </c>
      <c r="H21" s="21" t="n">
        <v>106.559814923377</v>
      </c>
      <c r="I21" s="21" t="n">
        <v>106.695111393849</v>
      </c>
      <c r="J21" s="21" t="n">
        <v>110.127031781997</v>
      </c>
      <c r="K21" s="21" t="n">
        <v>105.716007166143</v>
      </c>
      <c r="L21" s="21" t="n">
        <v>102.60177275791</v>
      </c>
      <c r="M21" s="21" t="n">
        <v>104.23358312303</v>
      </c>
      <c r="N21" s="21" t="n">
        <v>105.45348501709</v>
      </c>
      <c r="O21" s="21" t="n">
        <v>108.835657577373</v>
      </c>
      <c r="P21" s="21" t="n">
        <v>106.538292534814</v>
      </c>
    </row>
    <row r="22" customFormat="false" ht="15" hidden="false" customHeight="false" outlineLevel="0" collapsed="false">
      <c r="A22" s="20" t="n">
        <v>38472</v>
      </c>
      <c r="B22" s="21" t="n">
        <v>112.253769593473</v>
      </c>
      <c r="C22" s="21" t="n">
        <v>76.2172323333924</v>
      </c>
      <c r="D22" s="21" t="n">
        <v>100.547030768257</v>
      </c>
      <c r="E22" s="21" t="n">
        <v>106.351389809982</v>
      </c>
      <c r="F22" s="21" t="n">
        <v>106.315356907647</v>
      </c>
      <c r="G22" s="21" t="n">
        <v>110.35593599683</v>
      </c>
      <c r="H22" s="21" t="n">
        <v>110.169641928351</v>
      </c>
      <c r="I22" s="21" t="n">
        <v>107.061487106726</v>
      </c>
      <c r="J22" s="21" t="n">
        <v>112.356694637193</v>
      </c>
      <c r="K22" s="21" t="n">
        <v>108.722063953625</v>
      </c>
      <c r="L22" s="21" t="n">
        <v>105.037079133146</v>
      </c>
      <c r="M22" s="21" t="n">
        <v>104.460913496201</v>
      </c>
      <c r="N22" s="21" t="n">
        <v>105.211740170443</v>
      </c>
      <c r="O22" s="21" t="n">
        <v>106.204897526494</v>
      </c>
      <c r="P22" s="21" t="n">
        <v>106.211146435645</v>
      </c>
    </row>
    <row r="23" customFormat="false" ht="15" hidden="false" customHeight="false" outlineLevel="0" collapsed="false">
      <c r="A23" s="20" t="n">
        <v>38503</v>
      </c>
      <c r="B23" s="21" t="n">
        <v>111.329156990613</v>
      </c>
      <c r="C23" s="21" t="n">
        <v>102.518411032431</v>
      </c>
      <c r="D23" s="21" t="n">
        <v>100.134434198978</v>
      </c>
      <c r="E23" s="21" t="n">
        <v>106.763072547541</v>
      </c>
      <c r="F23" s="21" t="n">
        <v>104.901650752875</v>
      </c>
      <c r="G23" s="21" t="n">
        <v>111.387886486455</v>
      </c>
      <c r="H23" s="21" t="n">
        <v>110.920464206971</v>
      </c>
      <c r="I23" s="21" t="n">
        <v>108.689268803052</v>
      </c>
      <c r="J23" s="21" t="n">
        <v>114.609930754129</v>
      </c>
      <c r="K23" s="21" t="n">
        <v>109.959261861539</v>
      </c>
      <c r="L23" s="21" t="n">
        <v>104.89916720647</v>
      </c>
      <c r="M23" s="21" t="n">
        <v>104.539337959335</v>
      </c>
      <c r="N23" s="21" t="n">
        <v>105.18606427008</v>
      </c>
      <c r="O23" s="21" t="n">
        <v>107.123169464572</v>
      </c>
      <c r="P23" s="21" t="n">
        <v>108.017538698122</v>
      </c>
    </row>
    <row r="24" customFormat="false" ht="15" hidden="false" customHeight="false" outlineLevel="0" collapsed="false">
      <c r="A24" s="20" t="n">
        <v>38533</v>
      </c>
      <c r="B24" s="21" t="n">
        <v>110.483945910782</v>
      </c>
      <c r="C24" s="21" t="n">
        <v>74.3046919000182</v>
      </c>
      <c r="D24" s="21" t="n">
        <v>99.0974660098699</v>
      </c>
      <c r="E24" s="21" t="n">
        <v>107.205866331831</v>
      </c>
      <c r="F24" s="21" t="n">
        <v>104.107652520048</v>
      </c>
      <c r="G24" s="21" t="n">
        <v>112.908413567694</v>
      </c>
      <c r="H24" s="21" t="n">
        <v>109.539870597197</v>
      </c>
      <c r="I24" s="21" t="n">
        <v>110.541478835727</v>
      </c>
      <c r="J24" s="21" t="n">
        <v>115.136801155712</v>
      </c>
      <c r="K24" s="21" t="n">
        <v>110.397336719032</v>
      </c>
      <c r="L24" s="21" t="n">
        <v>105.055430624754</v>
      </c>
      <c r="M24" s="21" t="n">
        <v>105.111015332375</v>
      </c>
      <c r="N24" s="21" t="n">
        <v>105.631457133205</v>
      </c>
      <c r="O24" s="21" t="n">
        <v>109.244229247577</v>
      </c>
      <c r="P24" s="21" t="n">
        <v>110.757416554053</v>
      </c>
    </row>
    <row r="25" customFormat="false" ht="15" hidden="false" customHeight="false" outlineLevel="0" collapsed="false">
      <c r="A25" s="20" t="n">
        <v>38564</v>
      </c>
      <c r="B25" s="21" t="n">
        <v>99.467658056641</v>
      </c>
      <c r="C25" s="21" t="n">
        <v>75.7881112654308</v>
      </c>
      <c r="D25" s="21" t="n">
        <v>101.661260589668</v>
      </c>
      <c r="E25" s="21" t="n">
        <v>107.243262576563</v>
      </c>
      <c r="F25" s="21" t="n">
        <v>107.280141591022</v>
      </c>
      <c r="G25" s="21" t="n">
        <v>110.761778982646</v>
      </c>
      <c r="H25" s="21" t="n">
        <v>110.254437234367</v>
      </c>
      <c r="I25" s="21" t="n">
        <v>113.787977889221</v>
      </c>
      <c r="J25" s="21" t="n">
        <v>116.434642882894</v>
      </c>
      <c r="K25" s="21" t="n">
        <v>112.653242398926</v>
      </c>
      <c r="L25" s="21" t="n">
        <v>104.427500612468</v>
      </c>
      <c r="M25" s="21" t="n">
        <v>105.190316486693</v>
      </c>
      <c r="N25" s="21" t="n">
        <v>106.109497057579</v>
      </c>
      <c r="O25" s="21" t="n">
        <v>110.823432280102</v>
      </c>
      <c r="P25" s="21" t="n">
        <v>111.636475328396</v>
      </c>
    </row>
    <row r="26" customFormat="false" ht="15" hidden="false" customHeight="false" outlineLevel="0" collapsed="false">
      <c r="A26" s="20" t="n">
        <v>38595</v>
      </c>
      <c r="B26" s="21" t="n">
        <v>96.1255839538337</v>
      </c>
      <c r="C26" s="21" t="n">
        <v>53.5559862034038</v>
      </c>
      <c r="D26" s="21" t="n">
        <v>100.265198803745</v>
      </c>
      <c r="E26" s="21" t="n">
        <v>108.44496468259</v>
      </c>
      <c r="F26" s="21" t="n">
        <v>107.530127584592</v>
      </c>
      <c r="G26" s="21" t="n">
        <v>113.496128039119</v>
      </c>
      <c r="H26" s="21" t="n">
        <v>111.819425092434</v>
      </c>
      <c r="I26" s="21" t="n">
        <v>116.132107121741</v>
      </c>
      <c r="J26" s="21" t="n">
        <v>116.926684482779</v>
      </c>
      <c r="K26" s="21" t="n">
        <v>110.4964839141</v>
      </c>
      <c r="L26" s="21" t="n">
        <v>106.796078542695</v>
      </c>
      <c r="M26" s="21" t="n">
        <v>105.496296940471</v>
      </c>
      <c r="N26" s="21" t="n">
        <v>106.292794718459</v>
      </c>
      <c r="O26" s="21" t="n">
        <v>112.316702475339</v>
      </c>
      <c r="P26" s="21" t="n">
        <v>111.341440805935</v>
      </c>
    </row>
    <row r="27" customFormat="false" ht="15" hidden="false" customHeight="false" outlineLevel="0" collapsed="false">
      <c r="A27" s="20" t="n">
        <v>38625</v>
      </c>
      <c r="B27" s="21" t="n">
        <v>95.608888382245</v>
      </c>
      <c r="C27" s="21" t="n">
        <v>57.1148231016324</v>
      </c>
      <c r="D27" s="21" t="n">
        <v>98.0492252467517</v>
      </c>
      <c r="E27" s="21" t="n">
        <v>107.836324843186</v>
      </c>
      <c r="F27" s="21" t="n">
        <v>108.828001987152</v>
      </c>
      <c r="G27" s="21" t="n">
        <v>114.835762011891</v>
      </c>
      <c r="H27" s="21" t="n">
        <v>112.860795233889</v>
      </c>
      <c r="I27" s="21" t="n">
        <v>118.196463840386</v>
      </c>
      <c r="J27" s="21" t="n">
        <v>118.065557007095</v>
      </c>
      <c r="K27" s="21" t="n">
        <v>112.164891242857</v>
      </c>
      <c r="L27" s="21" t="n">
        <v>107.682406556781</v>
      </c>
      <c r="M27" s="21" t="n">
        <v>105.854874474106</v>
      </c>
      <c r="N27" s="21" t="n">
        <v>106.927730268794</v>
      </c>
      <c r="O27" s="21" t="n">
        <v>113.104105558033</v>
      </c>
      <c r="P27" s="21" t="n">
        <v>113.327884840876</v>
      </c>
    </row>
    <row r="28" customFormat="false" ht="15" hidden="false" customHeight="false" outlineLevel="0" collapsed="false">
      <c r="A28" s="20" t="n">
        <v>38656</v>
      </c>
      <c r="B28" s="21" t="n">
        <v>97.2267915525645</v>
      </c>
      <c r="C28" s="21" t="n">
        <v>77.7961750971255</v>
      </c>
      <c r="D28" s="21" t="n">
        <v>94.9020774028387</v>
      </c>
      <c r="E28" s="21" t="n">
        <v>109.442469085678</v>
      </c>
      <c r="F28" s="21" t="n">
        <v>104.125279418827</v>
      </c>
      <c r="G28" s="21" t="n">
        <v>117.447410755821</v>
      </c>
      <c r="H28" s="21" t="n">
        <v>110.49445333407</v>
      </c>
      <c r="I28" s="21" t="n">
        <v>117.11555190122</v>
      </c>
      <c r="J28" s="21" t="n">
        <v>118.630508603117</v>
      </c>
      <c r="K28" s="21" t="n">
        <v>111.8114331655</v>
      </c>
      <c r="L28" s="21" t="n">
        <v>107.337104653376</v>
      </c>
      <c r="M28" s="21" t="n">
        <v>106.669483508711</v>
      </c>
      <c r="N28" s="21" t="n">
        <v>107.407906802435</v>
      </c>
      <c r="O28" s="21" t="n">
        <v>112.175163014585</v>
      </c>
      <c r="P28" s="21" t="n">
        <v>115.101945211004</v>
      </c>
    </row>
    <row r="29" customFormat="false" ht="15" hidden="false" customHeight="false" outlineLevel="0" collapsed="false">
      <c r="A29" s="20" t="n">
        <v>38686</v>
      </c>
      <c r="B29" s="21" t="n">
        <v>100.701160378612</v>
      </c>
      <c r="C29" s="21" t="n">
        <v>104.344594588754</v>
      </c>
      <c r="D29" s="21" t="n">
        <v>101.83668002897</v>
      </c>
      <c r="E29" s="21" t="n">
        <v>110.290841079726</v>
      </c>
      <c r="F29" s="21" t="n">
        <v>109.462630852824</v>
      </c>
      <c r="G29" s="21" t="n">
        <v>118.973033215567</v>
      </c>
      <c r="H29" s="21" t="n">
        <v>114.17989157944</v>
      </c>
      <c r="I29" s="21" t="n">
        <v>117.662592823782</v>
      </c>
      <c r="J29" s="21" t="n">
        <v>118.963210000193</v>
      </c>
      <c r="K29" s="21" t="n">
        <v>114.280857611478</v>
      </c>
      <c r="L29" s="21" t="n">
        <v>108.191644698536</v>
      </c>
      <c r="M29" s="21" t="n">
        <v>107.359618583472</v>
      </c>
      <c r="N29" s="21" t="n">
        <v>108.2051908745</v>
      </c>
      <c r="O29" s="21" t="n">
        <v>112.726482191126</v>
      </c>
      <c r="P29" s="21" t="n">
        <v>116.060920159231</v>
      </c>
    </row>
    <row r="30" customFormat="false" ht="15" hidden="false" customHeight="false" outlineLevel="0" collapsed="false">
      <c r="A30" s="20" t="n">
        <v>38717</v>
      </c>
      <c r="B30" s="21" t="n">
        <v>106.634349622448</v>
      </c>
      <c r="C30" s="21" t="n">
        <v>129.832852842825</v>
      </c>
      <c r="D30" s="21" t="n">
        <v>98.6223835864386</v>
      </c>
      <c r="E30" s="21" t="n">
        <v>111.150170749612</v>
      </c>
      <c r="F30" s="21" t="n">
        <v>104.936165216232</v>
      </c>
      <c r="G30" s="21" t="n">
        <v>120.435645185149</v>
      </c>
      <c r="H30" s="21" t="n">
        <v>115.576853462254</v>
      </c>
      <c r="I30" s="21" t="n">
        <v>117.341234618647</v>
      </c>
      <c r="J30" s="21" t="n">
        <v>121.322361735479</v>
      </c>
      <c r="K30" s="21" t="n">
        <v>116.880752006666</v>
      </c>
      <c r="L30" s="21" t="n">
        <v>110.219157869209</v>
      </c>
      <c r="M30" s="21" t="n">
        <v>108.108128061749</v>
      </c>
      <c r="N30" s="21" t="n">
        <v>109.037953477046</v>
      </c>
      <c r="O30" s="21" t="n">
        <v>112.660406121073</v>
      </c>
      <c r="P30" s="21" t="n">
        <v>117.930912758779</v>
      </c>
    </row>
    <row r="31" customFormat="false" ht="15" hidden="false" customHeight="false" outlineLevel="0" collapsed="false">
      <c r="A31" s="20" t="n">
        <v>38748</v>
      </c>
      <c r="B31" s="21" t="n">
        <v>104.230348346128</v>
      </c>
      <c r="C31" s="21" t="n">
        <v>112.502267267249</v>
      </c>
      <c r="D31" s="21" t="n">
        <v>103.4345964614</v>
      </c>
      <c r="E31" s="21" t="n">
        <v>112.778587682351</v>
      </c>
      <c r="F31" s="21" t="n">
        <v>107.304647082233</v>
      </c>
      <c r="G31" s="21" t="n">
        <v>120.914650401637</v>
      </c>
      <c r="H31" s="21" t="n">
        <v>115.671180258508</v>
      </c>
      <c r="I31" s="21" t="n">
        <v>118.740210038208</v>
      </c>
      <c r="J31" s="21" t="n">
        <v>121.242706033435</v>
      </c>
      <c r="K31" s="21" t="n">
        <v>116.778961612064</v>
      </c>
      <c r="L31" s="21" t="n">
        <v>109.521772127801</v>
      </c>
      <c r="M31" s="21" t="n">
        <v>106.915106629006</v>
      </c>
      <c r="N31" s="21" t="n">
        <v>108.008876559726</v>
      </c>
      <c r="O31" s="21" t="n">
        <v>109.71784798438</v>
      </c>
      <c r="P31" s="21" t="n">
        <v>117.497837612677</v>
      </c>
    </row>
    <row r="32" customFormat="false" ht="15" hidden="false" customHeight="false" outlineLevel="0" collapsed="false">
      <c r="A32" s="20" t="n">
        <v>38776</v>
      </c>
      <c r="B32" s="21" t="n">
        <v>100.972816354703</v>
      </c>
      <c r="C32" s="21" t="n">
        <v>179.021338846976</v>
      </c>
      <c r="D32" s="21" t="n">
        <v>101.670334903515</v>
      </c>
      <c r="E32" s="21" t="n">
        <v>113.232109915512</v>
      </c>
      <c r="F32" s="21" t="n">
        <v>109.443028815301</v>
      </c>
      <c r="G32" s="21" t="n">
        <v>121.179347758213</v>
      </c>
      <c r="H32" s="21" t="n">
        <v>117.406413949619</v>
      </c>
      <c r="I32" s="21" t="n">
        <v>119.90893052007</v>
      </c>
      <c r="J32" s="21" t="n">
        <v>123.279663428123</v>
      </c>
      <c r="K32" s="21" t="n">
        <v>117.376219231696</v>
      </c>
      <c r="L32" s="21" t="n">
        <v>110.142538067057</v>
      </c>
      <c r="M32" s="21" t="n">
        <v>107.09921460835</v>
      </c>
      <c r="N32" s="21" t="n">
        <v>108.11014939657</v>
      </c>
      <c r="O32" s="21" t="n">
        <v>110.603822413892</v>
      </c>
      <c r="P32" s="21" t="n">
        <v>116.065298376239</v>
      </c>
    </row>
    <row r="33" customFormat="false" ht="15" hidden="false" customHeight="false" outlineLevel="0" collapsed="false">
      <c r="A33" s="20" t="n">
        <v>38807</v>
      </c>
      <c r="B33" s="21" t="n">
        <v>100.59662595052</v>
      </c>
      <c r="C33" s="21" t="n">
        <v>132.818336223237</v>
      </c>
      <c r="D33" s="21" t="n">
        <v>104.258684955746</v>
      </c>
      <c r="E33" s="21" t="n">
        <v>115.165428588805</v>
      </c>
      <c r="F33" s="21" t="n">
        <v>106.879443854407</v>
      </c>
      <c r="G33" s="21" t="n">
        <v>122.344846021972</v>
      </c>
      <c r="H33" s="21" t="n">
        <v>119.200798434319</v>
      </c>
      <c r="I33" s="21" t="n">
        <v>121.820990687294</v>
      </c>
      <c r="J33" s="21" t="n">
        <v>125.116735083735</v>
      </c>
      <c r="K33" s="21" t="n">
        <v>118.881454729794</v>
      </c>
      <c r="L33" s="21" t="n">
        <v>111.091025303667</v>
      </c>
      <c r="M33" s="21" t="n">
        <v>107.327115765492</v>
      </c>
      <c r="N33" s="21" t="n">
        <v>108.333261192074</v>
      </c>
      <c r="O33" s="21" t="n">
        <v>109.251148306009</v>
      </c>
      <c r="P33" s="21" t="n">
        <v>117.738359295604</v>
      </c>
    </row>
    <row r="34" customFormat="false" ht="15" hidden="false" customHeight="false" outlineLevel="0" collapsed="false">
      <c r="A34" s="20" t="n">
        <v>38837</v>
      </c>
      <c r="B34" s="21" t="n">
        <v>99.1712684571628</v>
      </c>
      <c r="C34" s="21" t="n">
        <v>124.248137180886</v>
      </c>
      <c r="D34" s="21" t="n">
        <v>104.703541323484</v>
      </c>
      <c r="E34" s="21" t="n">
        <v>114.623954802797</v>
      </c>
      <c r="F34" s="21" t="n">
        <v>107.438112288305</v>
      </c>
      <c r="G34" s="21" t="n">
        <v>123.038309571206</v>
      </c>
      <c r="H34" s="21" t="n">
        <v>117.067192236409</v>
      </c>
      <c r="I34" s="21" t="n">
        <v>124.060810430712</v>
      </c>
      <c r="J34" s="21" t="n">
        <v>125.24627673592</v>
      </c>
      <c r="K34" s="21" t="n">
        <v>118.836068824205</v>
      </c>
      <c r="L34" s="21" t="n">
        <v>110.851780562251</v>
      </c>
      <c r="M34" s="21" t="n">
        <v>107.459088715614</v>
      </c>
      <c r="N34" s="21" t="n">
        <v>108.406948198907</v>
      </c>
      <c r="O34" s="21" t="n">
        <v>110.393516107514</v>
      </c>
      <c r="P34" s="21" t="n">
        <v>124.615934354899</v>
      </c>
    </row>
    <row r="35" customFormat="false" ht="15" hidden="false" customHeight="false" outlineLevel="0" collapsed="false">
      <c r="A35" s="20" t="n">
        <v>38868</v>
      </c>
      <c r="B35" s="21" t="n">
        <v>100.459992068675</v>
      </c>
      <c r="C35" s="21" t="n">
        <v>130.195425022474</v>
      </c>
      <c r="D35" s="21" t="n">
        <v>105.744623586847</v>
      </c>
      <c r="E35" s="21" t="n">
        <v>115.608245578073</v>
      </c>
      <c r="F35" s="21" t="n">
        <v>110.901105325397</v>
      </c>
      <c r="G35" s="21" t="n">
        <v>124.230776356298</v>
      </c>
      <c r="H35" s="21" t="n">
        <v>120.608528581616</v>
      </c>
      <c r="I35" s="21" t="n">
        <v>123.946896203915</v>
      </c>
      <c r="J35" s="21" t="n">
        <v>126.463053799706</v>
      </c>
      <c r="K35" s="21" t="n">
        <v>120.739829573878</v>
      </c>
      <c r="L35" s="21" t="n">
        <v>111.682867767873</v>
      </c>
      <c r="M35" s="21" t="n">
        <v>108.15368200719</v>
      </c>
      <c r="N35" s="21" t="n">
        <v>109.844932877741</v>
      </c>
      <c r="O35" s="21" t="n">
        <v>110.651881393281</v>
      </c>
      <c r="P35" s="21" t="n">
        <v>121.469305542264</v>
      </c>
    </row>
    <row r="36" customFormat="false" ht="15" hidden="false" customHeight="false" outlineLevel="0" collapsed="false">
      <c r="A36" s="20" t="n">
        <v>38898</v>
      </c>
      <c r="B36" s="21" t="n">
        <v>100.974049560998</v>
      </c>
      <c r="C36" s="21" t="n">
        <v>123.42987527031</v>
      </c>
      <c r="D36" s="21" t="n">
        <v>106.295451049513</v>
      </c>
      <c r="E36" s="21" t="n">
        <v>117.425376154988</v>
      </c>
      <c r="F36" s="21" t="n">
        <v>112.857895096937</v>
      </c>
      <c r="G36" s="21" t="n">
        <v>124.81195519378</v>
      </c>
      <c r="H36" s="21" t="n">
        <v>121.710833413997</v>
      </c>
      <c r="I36" s="21" t="n">
        <v>125.569091435617</v>
      </c>
      <c r="J36" s="21" t="n">
        <v>128.1817962405</v>
      </c>
      <c r="K36" s="21" t="n">
        <v>123.440090992602</v>
      </c>
      <c r="L36" s="21" t="n">
        <v>112.524193189132</v>
      </c>
      <c r="M36" s="21" t="n">
        <v>108.652331944681</v>
      </c>
      <c r="N36" s="21" t="n">
        <v>110.389225046091</v>
      </c>
      <c r="O36" s="21" t="n">
        <v>110.663498689626</v>
      </c>
      <c r="P36" s="21" t="n">
        <v>118.753478155829</v>
      </c>
    </row>
    <row r="37" customFormat="false" ht="15" hidden="false" customHeight="false" outlineLevel="0" collapsed="false">
      <c r="A37" s="20" t="n">
        <v>38929</v>
      </c>
      <c r="B37" s="21" t="n">
        <v>104.144104930709</v>
      </c>
      <c r="C37" s="21" t="n">
        <v>135.76869070549</v>
      </c>
      <c r="D37" s="21" t="n">
        <v>107.001653464496</v>
      </c>
      <c r="E37" s="21" t="n">
        <v>118.514989804327</v>
      </c>
      <c r="F37" s="21" t="n">
        <v>113.366127912472</v>
      </c>
      <c r="G37" s="21" t="n">
        <v>127.093660642822</v>
      </c>
      <c r="H37" s="21" t="n">
        <v>121.599909846702</v>
      </c>
      <c r="I37" s="21" t="n">
        <v>126.25090871916</v>
      </c>
      <c r="J37" s="21" t="n">
        <v>129.353447393011</v>
      </c>
      <c r="K37" s="21" t="n">
        <v>124.228523490701</v>
      </c>
      <c r="L37" s="21" t="n">
        <v>113.314258162189</v>
      </c>
      <c r="M37" s="21" t="n">
        <v>109.054255998811</v>
      </c>
      <c r="N37" s="21" t="n">
        <v>110.456584902204</v>
      </c>
      <c r="O37" s="21" t="n">
        <v>112.514901432725</v>
      </c>
      <c r="P37" s="21" t="n">
        <v>121.783005765062</v>
      </c>
    </row>
    <row r="38" customFormat="false" ht="15" hidden="false" customHeight="false" outlineLevel="0" collapsed="false">
      <c r="A38" s="20" t="n">
        <v>38960</v>
      </c>
      <c r="B38" s="21" t="n">
        <v>107.601287348082</v>
      </c>
      <c r="C38" s="21" t="n">
        <v>147.118039859431</v>
      </c>
      <c r="D38" s="21" t="n">
        <v>104.906228038382</v>
      </c>
      <c r="E38" s="21" t="n">
        <v>118.671059768224</v>
      </c>
      <c r="F38" s="21" t="n">
        <v>114.581044577841</v>
      </c>
      <c r="G38" s="21" t="n">
        <v>127.266569265932</v>
      </c>
      <c r="H38" s="21" t="n">
        <v>124.435584254574</v>
      </c>
      <c r="I38" s="21" t="n">
        <v>127.62795539448</v>
      </c>
      <c r="J38" s="21" t="n">
        <v>131.881456948977</v>
      </c>
      <c r="K38" s="21" t="n">
        <v>126.081190647898</v>
      </c>
      <c r="L38" s="21" t="n">
        <v>112.787689271979</v>
      </c>
      <c r="M38" s="21" t="n">
        <v>109.729662785439</v>
      </c>
      <c r="N38" s="21" t="n">
        <v>111.089744530245</v>
      </c>
      <c r="O38" s="21" t="n">
        <v>115.70266821119</v>
      </c>
      <c r="P38" s="21" t="n">
        <v>122.647369546942</v>
      </c>
    </row>
    <row r="39" customFormat="false" ht="15" hidden="false" customHeight="false" outlineLevel="0" collapsed="false">
      <c r="A39" s="20" t="n">
        <v>38990</v>
      </c>
      <c r="B39" s="21" t="n">
        <v>108.211177406861</v>
      </c>
      <c r="C39" s="21" t="n">
        <v>137.784281307998</v>
      </c>
      <c r="D39" s="21" t="n">
        <v>106.695904251552</v>
      </c>
      <c r="E39" s="21" t="n">
        <v>117.323850320849</v>
      </c>
      <c r="F39" s="21" t="n">
        <v>112.788052543913</v>
      </c>
      <c r="G39" s="21" t="n">
        <v>128.626688619748</v>
      </c>
      <c r="H39" s="21" t="n">
        <v>123.609883401919</v>
      </c>
      <c r="I39" s="21" t="n">
        <v>127.281102867111</v>
      </c>
      <c r="J39" s="21" t="n">
        <v>133.387186633388</v>
      </c>
      <c r="K39" s="21" t="n">
        <v>128.105545836115</v>
      </c>
      <c r="L39" s="21" t="n">
        <v>113.389069915327</v>
      </c>
      <c r="M39" s="21" t="n">
        <v>110.5524024951</v>
      </c>
      <c r="N39" s="21" t="n">
        <v>112.185040430786</v>
      </c>
      <c r="O39" s="21" t="n">
        <v>115.308311366186</v>
      </c>
      <c r="P39" s="21" t="n">
        <v>122.552993186083</v>
      </c>
    </row>
    <row r="40" customFormat="false" ht="15" hidden="false" customHeight="false" outlineLevel="0" collapsed="false">
      <c r="A40" s="20" t="n">
        <v>39021</v>
      </c>
      <c r="B40" s="21" t="n">
        <v>102.191634157301</v>
      </c>
      <c r="C40" s="21" t="n">
        <v>140.918745566832</v>
      </c>
      <c r="D40" s="21" t="n">
        <v>107.262503597056</v>
      </c>
      <c r="E40" s="21" t="n">
        <v>117.692036789596</v>
      </c>
      <c r="F40" s="21" t="n">
        <v>117.928585896056</v>
      </c>
      <c r="G40" s="21" t="n">
        <v>130.528138530383</v>
      </c>
      <c r="H40" s="21" t="n">
        <v>123.848701062192</v>
      </c>
      <c r="I40" s="21" t="n">
        <v>128.269341923929</v>
      </c>
      <c r="J40" s="21" t="n">
        <v>133.876002579047</v>
      </c>
      <c r="K40" s="21" t="n">
        <v>130.377616981121</v>
      </c>
      <c r="L40" s="21" t="n">
        <v>114.539302142219</v>
      </c>
      <c r="M40" s="21" t="n">
        <v>110.478357170158</v>
      </c>
      <c r="N40" s="21" t="n">
        <v>112.567385875697</v>
      </c>
      <c r="O40" s="21" t="n">
        <v>114.750744577112</v>
      </c>
      <c r="P40" s="21" t="n">
        <v>123.285565750878</v>
      </c>
    </row>
    <row r="41" customFormat="false" ht="15" hidden="false" customHeight="false" outlineLevel="0" collapsed="false">
      <c r="A41" s="20" t="n">
        <v>39051</v>
      </c>
      <c r="B41" s="21" t="n">
        <v>102.579666885744</v>
      </c>
      <c r="C41" s="21" t="n">
        <v>110.191704572927</v>
      </c>
      <c r="D41" s="21" t="n">
        <v>102.80526349026</v>
      </c>
      <c r="E41" s="21" t="n">
        <v>120.024244212414</v>
      </c>
      <c r="F41" s="21" t="n">
        <v>115.242644068575</v>
      </c>
      <c r="G41" s="21" t="n">
        <v>131.998841772588</v>
      </c>
      <c r="H41" s="21" t="n">
        <v>127.903811682048</v>
      </c>
      <c r="I41" s="21" t="n">
        <v>128.928671690788</v>
      </c>
      <c r="J41" s="21" t="n">
        <v>136.093053428514</v>
      </c>
      <c r="K41" s="21" t="n">
        <v>132.498725583475</v>
      </c>
      <c r="L41" s="21" t="n">
        <v>115.180546583277</v>
      </c>
      <c r="M41" s="21" t="n">
        <v>110.257191385397</v>
      </c>
      <c r="N41" s="21" t="n">
        <v>112.308757285145</v>
      </c>
      <c r="O41" s="21" t="n">
        <v>114.891426614782</v>
      </c>
      <c r="P41" s="21" t="n">
        <v>125.186693963588</v>
      </c>
    </row>
    <row r="42" customFormat="false" ht="15" hidden="false" customHeight="false" outlineLevel="0" collapsed="false">
      <c r="A42" s="20" t="n">
        <v>39082</v>
      </c>
      <c r="B42" s="21" t="n">
        <v>105.959969952316</v>
      </c>
      <c r="C42" s="21" t="n">
        <v>108.931702377463</v>
      </c>
      <c r="D42" s="21" t="n">
        <v>104.486605613868</v>
      </c>
      <c r="E42" s="21" t="n">
        <v>120.956263320883</v>
      </c>
      <c r="F42" s="21" t="n">
        <v>117.469001960411</v>
      </c>
      <c r="G42" s="21" t="n">
        <v>133.133783999336</v>
      </c>
      <c r="H42" s="21" t="n">
        <v>126.723324162247</v>
      </c>
      <c r="I42" s="21" t="n">
        <v>130.99451556586</v>
      </c>
      <c r="J42" s="21" t="n">
        <v>136.770979303329</v>
      </c>
      <c r="K42" s="21" t="n">
        <v>133.808007305505</v>
      </c>
      <c r="L42" s="21" t="n">
        <v>116.620576296215</v>
      </c>
      <c r="M42" s="21" t="n">
        <v>110.630141429193</v>
      </c>
      <c r="N42" s="21" t="n">
        <v>112.996808586393</v>
      </c>
      <c r="O42" s="21" t="n">
        <v>116.009227827376</v>
      </c>
      <c r="P42" s="21" t="n">
        <v>125.447386073133</v>
      </c>
    </row>
    <row r="43" customFormat="false" ht="15" hidden="false" customHeight="false" outlineLevel="0" collapsed="false">
      <c r="A43" s="20" t="n">
        <v>39113</v>
      </c>
      <c r="B43" s="21" t="n">
        <v>107.663111601579</v>
      </c>
      <c r="C43" s="21" t="n">
        <v>134.142861839145</v>
      </c>
      <c r="D43" s="21" t="n">
        <v>102.047895453345</v>
      </c>
      <c r="E43" s="21" t="n">
        <v>119.893559707894</v>
      </c>
      <c r="F43" s="21" t="n">
        <v>112.951703410031</v>
      </c>
      <c r="G43" s="21" t="n">
        <v>135.132919529828</v>
      </c>
      <c r="H43" s="21" t="n">
        <v>129.19334773122</v>
      </c>
      <c r="I43" s="21" t="n">
        <v>134.15829435608</v>
      </c>
      <c r="J43" s="21" t="n">
        <v>138.181713073684</v>
      </c>
      <c r="K43" s="21" t="n">
        <v>136.402352602948</v>
      </c>
      <c r="L43" s="21" t="n">
        <v>115.883786703342</v>
      </c>
      <c r="M43" s="21" t="n">
        <v>113.091485177616</v>
      </c>
      <c r="N43" s="21" t="n">
        <v>114.966410665845</v>
      </c>
      <c r="O43" s="21" t="n">
        <v>116.586206700603</v>
      </c>
      <c r="P43" s="21" t="n">
        <v>128.706629881015</v>
      </c>
    </row>
    <row r="44" customFormat="false" ht="15" hidden="false" customHeight="false" outlineLevel="0" collapsed="false">
      <c r="A44" s="20" t="n">
        <v>39141</v>
      </c>
      <c r="B44" s="21" t="n">
        <v>106.375280649496</v>
      </c>
      <c r="C44" s="21" t="n">
        <v>99.439110485344</v>
      </c>
      <c r="D44" s="21" t="n">
        <v>101.37234444528</v>
      </c>
      <c r="E44" s="21" t="n">
        <v>121.98611448404</v>
      </c>
      <c r="F44" s="21" t="n">
        <v>114.166710612085</v>
      </c>
      <c r="G44" s="21" t="n">
        <v>136.512126710089</v>
      </c>
      <c r="H44" s="21" t="n">
        <v>129.631406672216</v>
      </c>
      <c r="I44" s="21" t="n">
        <v>136.106963979103</v>
      </c>
      <c r="J44" s="21" t="n">
        <v>138.834200363512</v>
      </c>
      <c r="K44" s="21" t="n">
        <v>136.880290405676</v>
      </c>
      <c r="L44" s="21" t="n">
        <v>115.713496307459</v>
      </c>
      <c r="M44" s="21" t="n">
        <v>113.151546854845</v>
      </c>
      <c r="N44" s="21" t="n">
        <v>115.178477441278</v>
      </c>
      <c r="O44" s="21" t="n">
        <v>117.781096369983</v>
      </c>
      <c r="P44" s="21" t="n">
        <v>129.626498425746</v>
      </c>
    </row>
    <row r="45" customFormat="false" ht="15" hidden="false" customHeight="false" outlineLevel="0" collapsed="false">
      <c r="A45" s="20" t="n">
        <v>39172</v>
      </c>
      <c r="B45" s="21" t="n">
        <v>107.74045063441</v>
      </c>
      <c r="C45" s="21" t="n">
        <v>142.896310747013</v>
      </c>
      <c r="D45" s="21" t="n">
        <v>102.059012555966</v>
      </c>
      <c r="E45" s="21" t="n">
        <v>124.794875971418</v>
      </c>
      <c r="F45" s="21" t="n">
        <v>114.144891290485</v>
      </c>
      <c r="G45" s="21" t="n">
        <v>138.057644155591</v>
      </c>
      <c r="H45" s="21" t="n">
        <v>133.354587622406</v>
      </c>
      <c r="I45" s="21" t="n">
        <v>136.767829197866</v>
      </c>
      <c r="J45" s="21" t="n">
        <v>142.424982891595</v>
      </c>
      <c r="K45" s="21" t="n">
        <v>139.927517670661</v>
      </c>
      <c r="L45" s="21" t="n">
        <v>118.251140566631</v>
      </c>
      <c r="M45" s="21" t="n">
        <v>113.541226577944</v>
      </c>
      <c r="N45" s="21" t="n">
        <v>115.65190583353</v>
      </c>
      <c r="O45" s="21" t="n">
        <v>117.499498537774</v>
      </c>
      <c r="P45" s="21" t="n">
        <v>131.151925885165</v>
      </c>
    </row>
    <row r="46" customFormat="false" ht="15" hidden="false" customHeight="false" outlineLevel="0" collapsed="false">
      <c r="A46" s="20" t="n">
        <v>39202</v>
      </c>
      <c r="B46" s="21" t="n">
        <v>115.015177996121</v>
      </c>
      <c r="C46" s="21" t="n">
        <v>137.627288627853</v>
      </c>
      <c r="D46" s="21" t="n">
        <v>103.297403199395</v>
      </c>
      <c r="E46" s="21" t="n">
        <v>122.824828000419</v>
      </c>
      <c r="F46" s="21" t="n">
        <v>115.72528295752</v>
      </c>
      <c r="G46" s="21" t="n">
        <v>136.165159649821</v>
      </c>
      <c r="H46" s="21" t="n">
        <v>130.427099065766</v>
      </c>
      <c r="I46" s="21" t="n">
        <v>137.572385051716</v>
      </c>
      <c r="J46" s="21" t="n">
        <v>142.180385945147</v>
      </c>
      <c r="K46" s="21" t="n">
        <v>138.722114055972</v>
      </c>
      <c r="L46" s="21" t="n">
        <v>116.081837002274</v>
      </c>
      <c r="M46" s="21" t="n">
        <v>113.650829233271</v>
      </c>
      <c r="N46" s="21" t="n">
        <v>115.024875694532</v>
      </c>
      <c r="O46" s="21" t="n">
        <v>117.886858710086</v>
      </c>
      <c r="P46" s="21" t="n">
        <v>125.73476718573</v>
      </c>
    </row>
    <row r="47" customFormat="false" ht="15" hidden="false" customHeight="false" outlineLevel="0" collapsed="false">
      <c r="A47" s="20" t="n">
        <v>39233</v>
      </c>
      <c r="B47" s="21" t="n">
        <v>117.269244560707</v>
      </c>
      <c r="C47" s="21" t="n">
        <v>118.61276438138</v>
      </c>
      <c r="D47" s="21" t="n">
        <v>104.285831360434</v>
      </c>
      <c r="E47" s="21" t="n">
        <v>124.752289274063</v>
      </c>
      <c r="F47" s="21" t="n">
        <v>117.961523948785</v>
      </c>
      <c r="G47" s="21" t="n">
        <v>138.340708285277</v>
      </c>
      <c r="H47" s="21" t="n">
        <v>132.742564408325</v>
      </c>
      <c r="I47" s="21" t="n">
        <v>136.661387727857</v>
      </c>
      <c r="J47" s="21" t="n">
        <v>145.136252065468</v>
      </c>
      <c r="K47" s="21" t="n">
        <v>140.912193140746</v>
      </c>
      <c r="L47" s="21" t="n">
        <v>118.526944572046</v>
      </c>
      <c r="M47" s="21" t="n">
        <v>115.176421024216</v>
      </c>
      <c r="N47" s="21" t="n">
        <v>117.112888574166</v>
      </c>
      <c r="O47" s="21" t="n">
        <v>118.406660210892</v>
      </c>
      <c r="P47" s="21" t="n">
        <v>130.129197649246</v>
      </c>
    </row>
    <row r="48" customFormat="false" ht="15" hidden="false" customHeight="false" outlineLevel="0" collapsed="false">
      <c r="A48" s="20" t="n">
        <v>39263</v>
      </c>
      <c r="B48" s="21" t="n">
        <v>116.661533758573</v>
      </c>
      <c r="C48" s="21" t="n">
        <v>118.411920794527</v>
      </c>
      <c r="D48" s="21" t="n">
        <v>103.452285272041</v>
      </c>
      <c r="E48" s="21" t="n">
        <v>124.599890192808</v>
      </c>
      <c r="F48" s="21" t="n">
        <v>113.972368590652</v>
      </c>
      <c r="G48" s="21" t="n">
        <v>138.667546738468</v>
      </c>
      <c r="H48" s="21" t="n">
        <v>135.45807950699</v>
      </c>
      <c r="I48" s="21" t="n">
        <v>137.433564882</v>
      </c>
      <c r="J48" s="21" t="n">
        <v>146.704195643804</v>
      </c>
      <c r="K48" s="21" t="n">
        <v>142.298374821868</v>
      </c>
      <c r="L48" s="21" t="n">
        <v>119.121533437724</v>
      </c>
      <c r="M48" s="21" t="n">
        <v>115.366688627546</v>
      </c>
      <c r="N48" s="21" t="n">
        <v>117.069584633163</v>
      </c>
      <c r="O48" s="21" t="n">
        <v>118.743938321561</v>
      </c>
      <c r="P48" s="21" t="n">
        <v>131.279727140575</v>
      </c>
    </row>
    <row r="49" customFormat="false" ht="15" hidden="false" customHeight="false" outlineLevel="0" collapsed="false">
      <c r="A49" s="20" t="n">
        <v>39294</v>
      </c>
      <c r="B49" s="21" t="n">
        <v>108.306351099698</v>
      </c>
      <c r="C49" s="21" t="n">
        <v>128.272413118756</v>
      </c>
      <c r="D49" s="21" t="n">
        <v>99.8257890480295</v>
      </c>
      <c r="E49" s="21" t="n">
        <v>121.796282523478</v>
      </c>
      <c r="F49" s="21" t="n">
        <v>113.1564054534</v>
      </c>
      <c r="G49" s="21" t="n">
        <v>140.819059155846</v>
      </c>
      <c r="H49" s="21" t="n">
        <v>134.198731647967</v>
      </c>
      <c r="I49" s="21" t="n">
        <v>139.411054958098</v>
      </c>
      <c r="J49" s="21" t="n">
        <v>146.416307580829</v>
      </c>
      <c r="K49" s="21" t="n">
        <v>143.278037196725</v>
      </c>
      <c r="L49" s="21" t="n">
        <v>119.311332326407</v>
      </c>
      <c r="M49" s="21" t="n">
        <v>114.96210563876</v>
      </c>
      <c r="N49" s="21" t="n">
        <v>117.032504815579</v>
      </c>
      <c r="O49" s="21" t="n">
        <v>119.170496845901</v>
      </c>
      <c r="P49" s="21" t="n">
        <v>134.34542679234</v>
      </c>
    </row>
    <row r="50" customFormat="false" ht="15" hidden="false" customHeight="false" outlineLevel="0" collapsed="false">
      <c r="A50" s="20" t="n">
        <v>39325</v>
      </c>
      <c r="B50" s="21" t="n">
        <v>104.967483743582</v>
      </c>
      <c r="C50" s="21" t="n">
        <v>89.3581265848932</v>
      </c>
      <c r="D50" s="21" t="n">
        <v>102.967309120573</v>
      </c>
      <c r="E50" s="21" t="n">
        <v>125.659283016183</v>
      </c>
      <c r="F50" s="21" t="n">
        <v>114.000879888729</v>
      </c>
      <c r="G50" s="21" t="n">
        <v>141.521238061222</v>
      </c>
      <c r="H50" s="21" t="n">
        <v>138.765461000156</v>
      </c>
      <c r="I50" s="21" t="n">
        <v>137.386945064334</v>
      </c>
      <c r="J50" s="21" t="n">
        <v>147.557853969495</v>
      </c>
      <c r="K50" s="21" t="n">
        <v>143.682454820832</v>
      </c>
      <c r="L50" s="21" t="n">
        <v>120.983756922818</v>
      </c>
      <c r="M50" s="21" t="n">
        <v>115.051108809414</v>
      </c>
      <c r="N50" s="21" t="n">
        <v>117.145333347463</v>
      </c>
      <c r="O50" s="21" t="n">
        <v>121.82465579026</v>
      </c>
      <c r="P50" s="21" t="n">
        <v>133.745349416079</v>
      </c>
    </row>
    <row r="51" customFormat="false" ht="15" hidden="false" customHeight="false" outlineLevel="0" collapsed="false">
      <c r="A51" s="20" t="n">
        <v>39355</v>
      </c>
      <c r="B51" s="21" t="n">
        <v>102.39989881048</v>
      </c>
      <c r="C51" s="21" t="n">
        <v>98.4593550337383</v>
      </c>
      <c r="D51" s="21" t="n">
        <v>103.082257485448</v>
      </c>
      <c r="E51" s="21" t="n">
        <v>126.508061745287</v>
      </c>
      <c r="F51" s="21" t="n">
        <v>115.053021792027</v>
      </c>
      <c r="G51" s="21" t="n">
        <v>140.669857425403</v>
      </c>
      <c r="H51" s="21" t="n">
        <v>136.447025281526</v>
      </c>
      <c r="I51" s="21" t="n">
        <v>138.518358095398</v>
      </c>
      <c r="J51" s="21" t="n">
        <v>146.855287204901</v>
      </c>
      <c r="K51" s="21" t="n">
        <v>141.951369489172</v>
      </c>
      <c r="L51" s="21" t="n">
        <v>120.040128218019</v>
      </c>
      <c r="M51" s="21" t="n">
        <v>114.947196734863</v>
      </c>
      <c r="N51" s="21" t="n">
        <v>116.848143126107</v>
      </c>
      <c r="O51" s="21" t="n">
        <v>120.715904373313</v>
      </c>
      <c r="P51" s="21" t="n">
        <v>132.081147463013</v>
      </c>
    </row>
    <row r="52" customFormat="false" ht="15" hidden="false" customHeight="false" outlineLevel="0" collapsed="false">
      <c r="A52" s="20" t="n">
        <v>39386</v>
      </c>
      <c r="B52" s="21" t="n">
        <v>106.169921884642</v>
      </c>
      <c r="C52" s="21" t="n">
        <v>82.0571808733603</v>
      </c>
      <c r="D52" s="21" t="n">
        <v>102.230467216918</v>
      </c>
      <c r="E52" s="21" t="n">
        <v>129.804152898134</v>
      </c>
      <c r="F52" s="21" t="n">
        <v>117.183269271111</v>
      </c>
      <c r="G52" s="21" t="n">
        <v>144.020752541041</v>
      </c>
      <c r="H52" s="21" t="n">
        <v>142.325297245441</v>
      </c>
      <c r="I52" s="21" t="n">
        <v>140.385860064396</v>
      </c>
      <c r="J52" s="21" t="n">
        <v>150.053642748207</v>
      </c>
      <c r="K52" s="21" t="n">
        <v>143.372881383707</v>
      </c>
      <c r="L52" s="21" t="n">
        <v>122.131503540004</v>
      </c>
      <c r="M52" s="21" t="n">
        <v>115.828543022127</v>
      </c>
      <c r="N52" s="21" t="n">
        <v>117.282852535232</v>
      </c>
      <c r="O52" s="21" t="n">
        <v>122.197781979141</v>
      </c>
      <c r="P52" s="21" t="n">
        <v>131.063277417037</v>
      </c>
    </row>
    <row r="53" customFormat="false" ht="15" hidden="false" customHeight="false" outlineLevel="0" collapsed="false">
      <c r="A53" s="20" t="n">
        <v>39416</v>
      </c>
      <c r="B53" s="21" t="n">
        <v>106.365352576106</v>
      </c>
      <c r="C53" s="21" t="n">
        <v>91.5963944119357</v>
      </c>
      <c r="D53" s="21" t="n">
        <v>101.203313588965</v>
      </c>
      <c r="E53" s="21" t="n">
        <v>131.838573909249</v>
      </c>
      <c r="F53" s="21" t="n">
        <v>115.200001538391</v>
      </c>
      <c r="G53" s="21" t="n">
        <v>143.984633042033</v>
      </c>
      <c r="H53" s="21" t="n">
        <v>144.56612194832</v>
      </c>
      <c r="I53" s="21" t="n">
        <v>142.723735820739</v>
      </c>
      <c r="J53" s="21" t="n">
        <v>151.373191304882</v>
      </c>
      <c r="K53" s="21" t="n">
        <v>145.232078723557</v>
      </c>
      <c r="L53" s="21" t="n">
        <v>122.469100935219</v>
      </c>
      <c r="M53" s="21" t="n">
        <v>117.509213737013</v>
      </c>
      <c r="N53" s="21" t="n">
        <v>119.211370977503</v>
      </c>
      <c r="O53" s="21" t="n">
        <v>122.831895016141</v>
      </c>
      <c r="P53" s="21" t="n">
        <v>132.746063007047</v>
      </c>
    </row>
    <row r="54" customFormat="false" ht="15" hidden="false" customHeight="false" outlineLevel="0" collapsed="false">
      <c r="A54" s="20" t="n">
        <v>39447</v>
      </c>
      <c r="B54" s="21" t="n">
        <v>108.788166503442</v>
      </c>
      <c r="C54" s="21" t="n">
        <v>92.3850843829199</v>
      </c>
      <c r="D54" s="21" t="n">
        <v>103.675948558373</v>
      </c>
      <c r="E54" s="21" t="n">
        <v>132.098952566592</v>
      </c>
      <c r="F54" s="21" t="n">
        <v>118.959721066616</v>
      </c>
      <c r="G54" s="21" t="n">
        <v>143.800809154575</v>
      </c>
      <c r="H54" s="21" t="n">
        <v>142.076778896151</v>
      </c>
      <c r="I54" s="21" t="n">
        <v>144.217699355731</v>
      </c>
      <c r="J54" s="21" t="n">
        <v>152.128141268919</v>
      </c>
      <c r="K54" s="21" t="n">
        <v>146.298281277905</v>
      </c>
      <c r="L54" s="21" t="n">
        <v>119.717026821536</v>
      </c>
      <c r="M54" s="21" t="n">
        <v>117.234685080897</v>
      </c>
      <c r="N54" s="21" t="n">
        <v>118.460831402559</v>
      </c>
      <c r="O54" s="21" t="n">
        <v>123.712082835466</v>
      </c>
      <c r="P54" s="21" t="n">
        <v>132.286907730021</v>
      </c>
    </row>
    <row r="55" customFormat="false" ht="15" hidden="false" customHeight="false" outlineLevel="0" collapsed="false">
      <c r="A55" s="20" t="n">
        <v>39478</v>
      </c>
      <c r="B55" s="21" t="n">
        <v>105.076148487739</v>
      </c>
      <c r="C55" s="21" t="n">
        <v>98.8581543138553</v>
      </c>
      <c r="D55" s="21" t="n">
        <v>101.217550424608</v>
      </c>
      <c r="E55" s="21" t="n">
        <v>134.25565594201</v>
      </c>
      <c r="F55" s="21" t="n">
        <v>121.352737904366</v>
      </c>
      <c r="G55" s="21" t="n">
        <v>148.494355462269</v>
      </c>
      <c r="H55" s="21" t="n">
        <v>146.651958141792</v>
      </c>
      <c r="I55" s="21" t="n">
        <v>141.869352843066</v>
      </c>
      <c r="J55" s="21" t="n">
        <v>154.415105965482</v>
      </c>
      <c r="K55" s="21" t="n">
        <v>148.883037508787</v>
      </c>
      <c r="L55" s="21" t="n">
        <v>124.413449871249</v>
      </c>
      <c r="M55" s="21" t="n">
        <v>115.360472031079</v>
      </c>
      <c r="N55" s="21" t="n">
        <v>115.907098982991</v>
      </c>
      <c r="O55" s="21" t="n">
        <v>124.573005427635</v>
      </c>
      <c r="P55" s="21" t="n">
        <v>134.048248400125</v>
      </c>
    </row>
    <row r="56" customFormat="false" ht="15" hidden="false" customHeight="false" outlineLevel="0" collapsed="false">
      <c r="A56" s="20" t="n">
        <v>39507</v>
      </c>
      <c r="B56" s="21" t="n">
        <v>104.583823727873</v>
      </c>
      <c r="C56" s="21" t="n">
        <v>94.7725339536815</v>
      </c>
      <c r="D56" s="21" t="n">
        <v>103.623584113881</v>
      </c>
      <c r="E56" s="21" t="n">
        <v>134.102057200139</v>
      </c>
      <c r="F56" s="21" t="n">
        <v>122.872399717288</v>
      </c>
      <c r="G56" s="21" t="n">
        <v>149.438225988425</v>
      </c>
      <c r="H56" s="21" t="n">
        <v>146.828485908091</v>
      </c>
      <c r="I56" s="21" t="n">
        <v>142.144500495071</v>
      </c>
      <c r="J56" s="21" t="n">
        <v>154.9151698405</v>
      </c>
      <c r="K56" s="21" t="n">
        <v>149.749034458349</v>
      </c>
      <c r="L56" s="21" t="n">
        <v>125.828753250484</v>
      </c>
      <c r="M56" s="21" t="n">
        <v>117.700024922373</v>
      </c>
      <c r="N56" s="21" t="n">
        <v>119.280304094155</v>
      </c>
      <c r="O56" s="21" t="n">
        <v>124.524421966036</v>
      </c>
      <c r="P56" s="21" t="n">
        <v>135.568634670085</v>
      </c>
    </row>
    <row r="57" customFormat="false" ht="15" hidden="false" customHeight="false" outlineLevel="0" collapsed="false">
      <c r="A57" s="20" t="n">
        <v>39538</v>
      </c>
      <c r="B57" s="21" t="n">
        <v>108.202831035754</v>
      </c>
      <c r="C57" s="21" t="n">
        <v>102.369866528813</v>
      </c>
      <c r="D57" s="21" t="n">
        <v>101.466483198705</v>
      </c>
      <c r="E57" s="21" t="n">
        <v>129.471323993947</v>
      </c>
      <c r="F57" s="21" t="n">
        <v>119.279398963977</v>
      </c>
      <c r="G57" s="21" t="n">
        <v>148.184387390007</v>
      </c>
      <c r="H57" s="21" t="n">
        <v>139.887918650153</v>
      </c>
      <c r="I57" s="21" t="n">
        <v>142.63733417293</v>
      </c>
      <c r="J57" s="21" t="n">
        <v>150.930409294575</v>
      </c>
      <c r="K57" s="21" t="n">
        <v>145.716425522669</v>
      </c>
      <c r="L57" s="21" t="n">
        <v>122.611551778722</v>
      </c>
      <c r="M57" s="21" t="n">
        <v>118.166214690844</v>
      </c>
      <c r="N57" s="21" t="n">
        <v>119.554711827881</v>
      </c>
      <c r="O57" s="21" t="n">
        <v>124.085023596406</v>
      </c>
      <c r="P57" s="21" t="n">
        <v>137.050191235674</v>
      </c>
    </row>
    <row r="58" customFormat="false" ht="15" hidden="false" customHeight="false" outlineLevel="0" collapsed="false">
      <c r="A58" s="20" t="n">
        <v>39568</v>
      </c>
      <c r="B58" s="21" t="n">
        <v>115.45737720816</v>
      </c>
      <c r="C58" s="21" t="n">
        <v>136.466471110324</v>
      </c>
      <c r="D58" s="21" t="n">
        <v>100.890000538206</v>
      </c>
      <c r="E58" s="21" t="n">
        <v>135.181589202456</v>
      </c>
      <c r="F58" s="21" t="n">
        <v>120.320499640416</v>
      </c>
      <c r="G58" s="21" t="n">
        <v>151.385204605436</v>
      </c>
      <c r="H58" s="21" t="n">
        <v>152.592966284095</v>
      </c>
      <c r="I58" s="21" t="n">
        <v>139.132739088581</v>
      </c>
      <c r="J58" s="21" t="n">
        <v>154.695131713816</v>
      </c>
      <c r="K58" s="21" t="n">
        <v>151.101650936139</v>
      </c>
      <c r="L58" s="21" t="n">
        <v>127.017656118056</v>
      </c>
      <c r="M58" s="21" t="n">
        <v>119.55498787529</v>
      </c>
      <c r="N58" s="21" t="n">
        <v>121.447411360442</v>
      </c>
      <c r="O58" s="21" t="n">
        <v>126.386047027101</v>
      </c>
      <c r="P58" s="21" t="n">
        <v>137.432574052968</v>
      </c>
    </row>
    <row r="59" customFormat="false" ht="15" hidden="false" customHeight="false" outlineLevel="0" collapsed="false">
      <c r="A59" s="20" t="n">
        <v>39599</v>
      </c>
      <c r="B59" s="21" t="n">
        <v>115.322778694528</v>
      </c>
      <c r="C59" s="21" t="n">
        <v>134.346473175511</v>
      </c>
      <c r="D59" s="21" t="n">
        <v>90.3520836119525</v>
      </c>
      <c r="E59" s="21" t="n">
        <v>133.81631612676</v>
      </c>
      <c r="F59" s="21" t="n">
        <v>117.03921331439</v>
      </c>
      <c r="G59" s="21" t="n">
        <v>150.853406368414</v>
      </c>
      <c r="H59" s="21" t="n">
        <v>149.441518574822</v>
      </c>
      <c r="I59" s="21" t="n">
        <v>140.158971285369</v>
      </c>
      <c r="J59" s="21" t="n">
        <v>154.092592272553</v>
      </c>
      <c r="K59" s="21" t="n">
        <v>151.111337225364</v>
      </c>
      <c r="L59" s="21" t="n">
        <v>126.656750180432</v>
      </c>
      <c r="M59" s="21" t="n">
        <v>119.463935505688</v>
      </c>
      <c r="N59" s="21" t="n">
        <v>121.181387724821</v>
      </c>
      <c r="O59" s="21" t="n">
        <v>127.032223716102</v>
      </c>
      <c r="P59" s="21" t="n">
        <v>138.5488123115</v>
      </c>
    </row>
    <row r="60" customFormat="false" ht="15" hidden="false" customHeight="false" outlineLevel="0" collapsed="false">
      <c r="A60" s="20" t="n">
        <v>39629</v>
      </c>
      <c r="B60" s="21" t="n">
        <v>113.430054709641</v>
      </c>
      <c r="C60" s="21" t="n">
        <v>143.659980437289</v>
      </c>
      <c r="D60" s="21" t="n">
        <v>99.375674260911</v>
      </c>
      <c r="E60" s="21" t="n">
        <v>129.58551620084</v>
      </c>
      <c r="F60" s="21" t="n">
        <v>122.071587174196</v>
      </c>
      <c r="G60" s="21" t="n">
        <v>149.946198546206</v>
      </c>
      <c r="H60" s="21" t="n">
        <v>141.57696585106</v>
      </c>
      <c r="I60" s="21" t="n">
        <v>137.468333429038</v>
      </c>
      <c r="J60" s="21" t="n">
        <v>151.038427079114</v>
      </c>
      <c r="K60" s="21" t="n">
        <v>148.238576278373</v>
      </c>
      <c r="L60" s="21" t="n">
        <v>125.383972202718</v>
      </c>
      <c r="M60" s="21" t="n">
        <v>120.419701420874</v>
      </c>
      <c r="N60" s="21" t="n">
        <v>122.196880291776</v>
      </c>
      <c r="O60" s="21" t="n">
        <v>125.661421572728</v>
      </c>
      <c r="P60" s="21" t="n">
        <v>140.612244357418</v>
      </c>
    </row>
    <row r="61" customFormat="false" ht="15" hidden="false" customHeight="false" outlineLevel="0" collapsed="false">
      <c r="A61" s="20" t="n">
        <v>39660</v>
      </c>
      <c r="B61" s="21" t="n">
        <v>108.02708550916</v>
      </c>
      <c r="C61" s="21" t="n">
        <v>131.633993965092</v>
      </c>
      <c r="D61" s="21" t="n">
        <v>102.255362577592</v>
      </c>
      <c r="E61" s="21" t="n">
        <v>133.672162776155</v>
      </c>
      <c r="F61" s="21" t="n">
        <v>118.342185823266</v>
      </c>
      <c r="G61" s="21" t="n">
        <v>147.822051312902</v>
      </c>
      <c r="H61" s="21" t="n">
        <v>148.211064890831</v>
      </c>
      <c r="I61" s="21" t="n">
        <v>140.597478017598</v>
      </c>
      <c r="J61" s="21" t="n">
        <v>155.495867026098</v>
      </c>
      <c r="K61" s="21" t="n">
        <v>149.3057475753</v>
      </c>
      <c r="L61" s="21" t="n">
        <v>127.599986586126</v>
      </c>
      <c r="M61" s="21" t="n">
        <v>120.417876554036</v>
      </c>
      <c r="N61" s="21" t="n">
        <v>122.490570085963</v>
      </c>
      <c r="O61" s="21" t="n">
        <v>128.762681788588</v>
      </c>
      <c r="P61" s="21" t="n">
        <v>138.466870092092</v>
      </c>
    </row>
    <row r="62" customFormat="false" ht="15" hidden="false" customHeight="false" outlineLevel="0" collapsed="false">
      <c r="A62" s="20" t="n">
        <v>39691</v>
      </c>
      <c r="B62" s="21" t="n">
        <v>104.302286878316</v>
      </c>
      <c r="C62" s="21" t="n">
        <v>132.176149834568</v>
      </c>
      <c r="D62" s="21" t="n">
        <v>102.495884322661</v>
      </c>
      <c r="E62" s="21" t="n">
        <v>130.090424819141</v>
      </c>
      <c r="F62" s="21" t="n">
        <v>122.458147138369</v>
      </c>
      <c r="G62" s="21" t="n">
        <v>145.434983691918</v>
      </c>
      <c r="H62" s="21" t="n">
        <v>141.066946935859</v>
      </c>
      <c r="I62" s="21" t="n">
        <v>141.052329751875</v>
      </c>
      <c r="J62" s="21" t="n">
        <v>154.61216539412</v>
      </c>
      <c r="K62" s="21" t="n">
        <v>153.190691781411</v>
      </c>
      <c r="L62" s="21" t="n">
        <v>125.222887293235</v>
      </c>
      <c r="M62" s="21" t="n">
        <v>120.84009626409</v>
      </c>
      <c r="N62" s="21" t="n">
        <v>123.162880408192</v>
      </c>
      <c r="O62" s="21" t="n">
        <v>129.516208806925</v>
      </c>
      <c r="P62" s="21" t="n">
        <v>139.198380555909</v>
      </c>
    </row>
    <row r="63" customFormat="false" ht="15" hidden="false" customHeight="false" outlineLevel="0" collapsed="false">
      <c r="A63" s="20" t="n">
        <v>39721</v>
      </c>
      <c r="B63" s="21" t="n">
        <v>104.627368886139</v>
      </c>
      <c r="C63" s="21" t="n">
        <v>89.7298111359572</v>
      </c>
      <c r="D63" s="21" t="n">
        <v>102.427380512447</v>
      </c>
      <c r="E63" s="21" t="n">
        <v>133.68253658798</v>
      </c>
      <c r="F63" s="21" t="n">
        <v>123.084225905253</v>
      </c>
      <c r="G63" s="21" t="n">
        <v>144.656301503663</v>
      </c>
      <c r="H63" s="21" t="n">
        <v>144.119431447848</v>
      </c>
      <c r="I63" s="21" t="n">
        <v>139.596190268992</v>
      </c>
      <c r="J63" s="21" t="n">
        <v>155.823557531057</v>
      </c>
      <c r="K63" s="21" t="n">
        <v>151.466708516822</v>
      </c>
      <c r="L63" s="21" t="n">
        <v>126.119529770462</v>
      </c>
      <c r="M63" s="21" t="n">
        <v>121.058378901426</v>
      </c>
      <c r="N63" s="21" t="n">
        <v>123.415753395518</v>
      </c>
      <c r="O63" s="21" t="n">
        <v>130.208963509725</v>
      </c>
      <c r="P63" s="21" t="n">
        <v>137.867801296981</v>
      </c>
    </row>
    <row r="64" customFormat="false" ht="15" hidden="false" customHeight="false" outlineLevel="0" collapsed="false">
      <c r="A64" s="20" t="n">
        <v>39752</v>
      </c>
      <c r="B64" s="21" t="n">
        <v>103.193625067178</v>
      </c>
      <c r="C64" s="21" t="n">
        <v>119.077635553809</v>
      </c>
      <c r="D64" s="21" t="n">
        <v>102.449380619468</v>
      </c>
      <c r="E64" s="21" t="n">
        <v>127.404198583914</v>
      </c>
      <c r="F64" s="21" t="n">
        <v>118.381447332568</v>
      </c>
      <c r="G64" s="21" t="n">
        <v>139.327975675508</v>
      </c>
      <c r="H64" s="21" t="n">
        <v>140.168378494438</v>
      </c>
      <c r="I64" s="21" t="n">
        <v>135.941468344789</v>
      </c>
      <c r="J64" s="21" t="n">
        <v>154.196921575207</v>
      </c>
      <c r="K64" s="21" t="n">
        <v>155.815345878298</v>
      </c>
      <c r="L64" s="21" t="n">
        <v>126.231203193009</v>
      </c>
      <c r="M64" s="21" t="n">
        <v>121.021473177089</v>
      </c>
      <c r="N64" s="21" t="n">
        <v>123.774595785948</v>
      </c>
      <c r="O64" s="21" t="n">
        <v>129.487211989238</v>
      </c>
      <c r="P64" s="21" t="n">
        <v>139.820845373842</v>
      </c>
    </row>
    <row r="65" customFormat="false" ht="15" hidden="false" customHeight="false" outlineLevel="0" collapsed="false">
      <c r="A65" s="20" t="n">
        <v>39782</v>
      </c>
      <c r="B65" s="21" t="n">
        <v>100.031440697655</v>
      </c>
      <c r="C65" s="21" t="n">
        <v>101.000556279731</v>
      </c>
      <c r="D65" s="21" t="n">
        <v>105.310009424676</v>
      </c>
      <c r="E65" s="21" t="n">
        <v>121.701335003015</v>
      </c>
      <c r="F65" s="21" t="n">
        <v>123.199511367253</v>
      </c>
      <c r="G65" s="21" t="n">
        <v>137.108748362086</v>
      </c>
      <c r="H65" s="21" t="n">
        <v>131.095620108367</v>
      </c>
      <c r="I65" s="21" t="n">
        <v>134.347163345574</v>
      </c>
      <c r="J65" s="21" t="n">
        <v>151.392337569768</v>
      </c>
      <c r="K65" s="21" t="n">
        <v>150.195337018968</v>
      </c>
      <c r="L65" s="21" t="n">
        <v>124.50863306159</v>
      </c>
      <c r="M65" s="21" t="n">
        <v>121.078846493193</v>
      </c>
      <c r="N65" s="21" t="n">
        <v>123.488454060821</v>
      </c>
      <c r="O65" s="21" t="n">
        <v>130.463506151499</v>
      </c>
      <c r="P65" s="21" t="n">
        <v>136.06230198433</v>
      </c>
    </row>
    <row r="66" customFormat="false" ht="15" hidden="false" customHeight="false" outlineLevel="0" collapsed="false">
      <c r="A66" s="20" t="n">
        <v>39813</v>
      </c>
      <c r="B66" s="21" t="n">
        <v>93.2826808528274</v>
      </c>
      <c r="C66" s="21" t="n">
        <v>107.782673679372</v>
      </c>
      <c r="D66" s="21" t="n">
        <v>103.920643523186</v>
      </c>
      <c r="E66" s="21" t="n">
        <v>120.146979429346</v>
      </c>
      <c r="F66" s="21" t="n">
        <v>120.499871263951</v>
      </c>
      <c r="G66" s="21" t="n">
        <v>134.972112146209</v>
      </c>
      <c r="H66" s="21" t="n">
        <v>133.4851838185</v>
      </c>
      <c r="I66" s="21" t="n">
        <v>133.655883530717</v>
      </c>
      <c r="J66" s="21" t="n">
        <v>151.767199256373</v>
      </c>
      <c r="K66" s="21" t="n">
        <v>149.277148541871</v>
      </c>
      <c r="L66" s="21" t="n">
        <v>124.655236886461</v>
      </c>
      <c r="M66" s="21" t="n">
        <v>121.742611201871</v>
      </c>
      <c r="N66" s="21" t="n">
        <v>124.314079160681</v>
      </c>
      <c r="O66" s="21" t="n">
        <v>130.726246844647</v>
      </c>
      <c r="P66" s="21" t="n">
        <v>137.358778816787</v>
      </c>
    </row>
    <row r="67" customFormat="false" ht="15" hidden="false" customHeight="false" outlineLevel="0" collapsed="false">
      <c r="A67" s="20" t="n">
        <v>39844</v>
      </c>
      <c r="B67" s="21" t="n">
        <v>94.0885060129589</v>
      </c>
      <c r="C67" s="21" t="n">
        <v>107.710011192655</v>
      </c>
      <c r="D67" s="21" t="n">
        <v>104.389086591504</v>
      </c>
      <c r="E67" s="21" t="n">
        <v>117.463036352548</v>
      </c>
      <c r="F67" s="21" t="n">
        <v>119.608406511025</v>
      </c>
      <c r="G67" s="21" t="n">
        <v>127.651968227354</v>
      </c>
      <c r="H67" s="21" t="n">
        <v>130.236931136853</v>
      </c>
      <c r="I67" s="21" t="n">
        <v>133.421633349389</v>
      </c>
      <c r="J67" s="21" t="n">
        <v>149.72387119929</v>
      </c>
      <c r="K67" s="21" t="n">
        <v>149.956806564227</v>
      </c>
      <c r="L67" s="21" t="n">
        <v>122.349744695509</v>
      </c>
      <c r="M67" s="21" t="n">
        <v>120.492177993086</v>
      </c>
      <c r="N67" s="21" t="n">
        <v>124.229708674604</v>
      </c>
      <c r="O67" s="21" t="n">
        <v>133.469432393278</v>
      </c>
      <c r="P67" s="21" t="n">
        <v>134.975104903818</v>
      </c>
    </row>
    <row r="68" customFormat="false" ht="15" hidden="false" customHeight="false" outlineLevel="0" collapsed="false">
      <c r="A68" s="20" t="n">
        <v>39872</v>
      </c>
      <c r="B68" s="21" t="n">
        <v>94.4584784265961</v>
      </c>
      <c r="C68" s="21" t="n">
        <v>91.8430990976024</v>
      </c>
      <c r="D68" s="21" t="n">
        <v>102.949608715257</v>
      </c>
      <c r="E68" s="21" t="n">
        <v>118.045662116131</v>
      </c>
      <c r="F68" s="21" t="n">
        <v>118.0734710091</v>
      </c>
      <c r="G68" s="21" t="n">
        <v>126.59427766902</v>
      </c>
      <c r="H68" s="21" t="n">
        <v>129.988379747705</v>
      </c>
      <c r="I68" s="21" t="n">
        <v>133.499845332077</v>
      </c>
      <c r="J68" s="21" t="n">
        <v>151.358604331401</v>
      </c>
      <c r="K68" s="21" t="n">
        <v>149.617313579028</v>
      </c>
      <c r="L68" s="21" t="n">
        <v>121.780945360474</v>
      </c>
      <c r="M68" s="21" t="n">
        <v>121.376028509214</v>
      </c>
      <c r="N68" s="21" t="n">
        <v>123.797193335113</v>
      </c>
      <c r="O68" s="21" t="n">
        <v>132.948475101712</v>
      </c>
      <c r="P68" s="21" t="n">
        <v>135.442506024592</v>
      </c>
    </row>
    <row r="69" customFormat="false" ht="15" hidden="false" customHeight="false" outlineLevel="0" collapsed="false">
      <c r="A69" s="20" t="n">
        <v>39903</v>
      </c>
      <c r="B69" s="21" t="n">
        <v>85.2252205986301</v>
      </c>
      <c r="C69" s="21" t="n">
        <v>95.8845441219058</v>
      </c>
      <c r="D69" s="21" t="n">
        <v>103.731272278279</v>
      </c>
      <c r="E69" s="21" t="n">
        <v>117.591960796481</v>
      </c>
      <c r="F69" s="21" t="n">
        <v>121.140735600031</v>
      </c>
      <c r="G69" s="21" t="n">
        <v>125.90898516021</v>
      </c>
      <c r="H69" s="21" t="n">
        <v>130.132602717271</v>
      </c>
      <c r="I69" s="21" t="n">
        <v>131.735813166702</v>
      </c>
      <c r="J69" s="21" t="n">
        <v>151.440423439222</v>
      </c>
      <c r="K69" s="21" t="n">
        <v>150.597210489842</v>
      </c>
      <c r="L69" s="21" t="n">
        <v>122.473654983693</v>
      </c>
      <c r="M69" s="21" t="n">
        <v>121.994541340628</v>
      </c>
      <c r="N69" s="21" t="n">
        <v>124.143829987843</v>
      </c>
      <c r="O69" s="21" t="n">
        <v>132.53211371734</v>
      </c>
      <c r="P69" s="21" t="n">
        <v>134.102196484902</v>
      </c>
    </row>
    <row r="70" customFormat="false" ht="15" hidden="false" customHeight="false" outlineLevel="0" collapsed="false">
      <c r="A70" s="20" t="n">
        <v>39933</v>
      </c>
      <c r="B70" s="21" t="n">
        <v>69.585868658682</v>
      </c>
      <c r="C70" s="21" t="n">
        <v>103.26096640595</v>
      </c>
      <c r="D70" s="21" t="n">
        <v>103.337250683488</v>
      </c>
      <c r="E70" s="21" t="n">
        <v>117.958698906291</v>
      </c>
      <c r="F70" s="21" t="n">
        <v>121.050014545041</v>
      </c>
      <c r="G70" s="21" t="n">
        <v>124.039022391952</v>
      </c>
      <c r="H70" s="21" t="n">
        <v>127.33178064245</v>
      </c>
      <c r="I70" s="21" t="n">
        <v>135.71831552737</v>
      </c>
      <c r="J70" s="21" t="n">
        <v>150.534596471798</v>
      </c>
      <c r="K70" s="21" t="n">
        <v>150.459599388207</v>
      </c>
      <c r="L70" s="21" t="n">
        <v>121.462279290978</v>
      </c>
      <c r="M70" s="21" t="n">
        <v>120.611723296257</v>
      </c>
      <c r="N70" s="21" t="n">
        <v>122.915258152135</v>
      </c>
      <c r="O70" s="21" t="n">
        <v>135.071887865839</v>
      </c>
      <c r="P70" s="21" t="n">
        <v>137.551777617571</v>
      </c>
    </row>
    <row r="71" customFormat="false" ht="15" hidden="false" customHeight="false" outlineLevel="0" collapsed="false">
      <c r="A71" s="20" t="n">
        <v>39964</v>
      </c>
      <c r="B71" s="21" t="n">
        <v>67.8568043112531</v>
      </c>
      <c r="C71" s="21" t="n">
        <v>98.93806044622</v>
      </c>
      <c r="D71" s="21" t="n">
        <v>103.892079245608</v>
      </c>
      <c r="E71" s="21" t="n">
        <v>117.431470121493</v>
      </c>
      <c r="F71" s="21" t="n">
        <v>120.964399577905</v>
      </c>
      <c r="G71" s="21" t="n">
        <v>123.283180819225</v>
      </c>
      <c r="H71" s="21" t="n">
        <v>126.249315874568</v>
      </c>
      <c r="I71" s="21" t="n">
        <v>136.53517451962</v>
      </c>
      <c r="J71" s="21" t="n">
        <v>148.322528483525</v>
      </c>
      <c r="K71" s="21" t="n">
        <v>148.826729451448</v>
      </c>
      <c r="L71" s="21" t="n">
        <v>120.713924335813</v>
      </c>
      <c r="M71" s="21" t="n">
        <v>121.750141164894</v>
      </c>
      <c r="N71" s="21" t="n">
        <v>123.712478221022</v>
      </c>
      <c r="O71" s="21" t="n">
        <v>135.829094380485</v>
      </c>
      <c r="P71" s="21" t="n">
        <v>136.246100013411</v>
      </c>
    </row>
    <row r="72" customFormat="false" ht="15" hidden="false" customHeight="false" outlineLevel="0" collapsed="false">
      <c r="A72" s="20" t="n">
        <v>39994</v>
      </c>
      <c r="B72" s="21" t="n">
        <v>69.9836262589183</v>
      </c>
      <c r="C72" s="21" t="n">
        <v>80.5972549050321</v>
      </c>
      <c r="D72" s="21" t="n">
        <v>102.115306759794</v>
      </c>
      <c r="E72" s="21" t="n">
        <v>119.97488338747</v>
      </c>
      <c r="F72" s="21" t="n">
        <v>123.663142021002</v>
      </c>
      <c r="G72" s="21" t="n">
        <v>124.016121357778</v>
      </c>
      <c r="H72" s="21" t="n">
        <v>130.854636470141</v>
      </c>
      <c r="I72" s="21" t="n">
        <v>137.738937695778</v>
      </c>
      <c r="J72" s="21" t="n">
        <v>152.128594358754</v>
      </c>
      <c r="K72" s="21" t="n">
        <v>150.436323701723</v>
      </c>
      <c r="L72" s="21" t="n">
        <v>121.715009362606</v>
      </c>
      <c r="M72" s="21" t="n">
        <v>122.017268558328</v>
      </c>
      <c r="N72" s="21" t="n">
        <v>124.381307570811</v>
      </c>
      <c r="O72" s="21" t="n">
        <v>133.247248729272</v>
      </c>
      <c r="P72" s="21" t="n">
        <v>136.535759157707</v>
      </c>
    </row>
    <row r="73" customFormat="false" ht="15" hidden="false" customHeight="false" outlineLevel="0" collapsed="false">
      <c r="A73" s="20" t="n">
        <v>40025</v>
      </c>
      <c r="B73" s="21" t="n">
        <v>86.9475951794743</v>
      </c>
      <c r="C73" s="21" t="n">
        <v>73.2634201883947</v>
      </c>
      <c r="D73" s="21" t="n">
        <v>101.682903535481</v>
      </c>
      <c r="E73" s="21" t="n">
        <v>121.487607826317</v>
      </c>
      <c r="F73" s="21" t="n">
        <v>123.472612044606</v>
      </c>
      <c r="G73" s="21" t="n">
        <v>128.663724340226</v>
      </c>
      <c r="H73" s="21" t="n">
        <v>131.945549951792</v>
      </c>
      <c r="I73" s="21" t="n">
        <v>129.982976230608</v>
      </c>
      <c r="J73" s="21" t="n">
        <v>151.486663631049</v>
      </c>
      <c r="K73" s="21" t="n">
        <v>151.199107221222</v>
      </c>
      <c r="L73" s="21" t="n">
        <v>120.906033498878</v>
      </c>
      <c r="M73" s="21" t="n">
        <v>124.87498740139</v>
      </c>
      <c r="N73" s="21" t="n">
        <v>126.915805483282</v>
      </c>
      <c r="O73" s="21" t="n">
        <v>137.972904630046</v>
      </c>
      <c r="P73" s="21" t="n">
        <v>132.617300450712</v>
      </c>
    </row>
    <row r="74" customFormat="false" ht="15" hidden="false" customHeight="false" outlineLevel="0" collapsed="false">
      <c r="A74" s="20" t="n">
        <v>40056</v>
      </c>
      <c r="B74" s="21" t="n">
        <v>95.4964556625816</v>
      </c>
      <c r="C74" s="21" t="n">
        <v>101.79404013161</v>
      </c>
      <c r="D74" s="21" t="n">
        <v>91.8167121671977</v>
      </c>
      <c r="E74" s="21" t="n">
        <v>121.001498489271</v>
      </c>
      <c r="F74" s="21" t="n">
        <v>117.461293305336</v>
      </c>
      <c r="G74" s="21" t="n">
        <v>128.418125495561</v>
      </c>
      <c r="H74" s="21" t="n">
        <v>129.746117711154</v>
      </c>
      <c r="I74" s="21" t="n">
        <v>131.57591554132</v>
      </c>
      <c r="J74" s="21" t="n">
        <v>151.85467077564</v>
      </c>
      <c r="K74" s="21" t="n">
        <v>148.589471968394</v>
      </c>
      <c r="L74" s="21" t="n">
        <v>121.933801080271</v>
      </c>
      <c r="M74" s="21" t="n">
        <v>125.091467944048</v>
      </c>
      <c r="N74" s="21" t="n">
        <v>127.353898905383</v>
      </c>
      <c r="O74" s="21" t="n">
        <v>139.409318477224</v>
      </c>
      <c r="P74" s="21" t="n">
        <v>139.198721083383</v>
      </c>
    </row>
    <row r="75" customFormat="false" ht="15" hidden="false" customHeight="false" outlineLevel="0" collapsed="false">
      <c r="A75" s="20" t="n">
        <v>40086</v>
      </c>
      <c r="B75" s="21" t="n">
        <v>97.6954909629527</v>
      </c>
      <c r="C75" s="21" t="n">
        <v>123.094497137235</v>
      </c>
      <c r="D75" s="21" t="n">
        <v>100.28051811864</v>
      </c>
      <c r="E75" s="21" t="n">
        <v>120.357171582514</v>
      </c>
      <c r="F75" s="21" t="n">
        <v>120.37233720542</v>
      </c>
      <c r="G75" s="21" t="n">
        <v>128.140096128854</v>
      </c>
      <c r="H75" s="21" t="n">
        <v>132.857598538682</v>
      </c>
      <c r="I75" s="21" t="n">
        <v>134.698604847202</v>
      </c>
      <c r="J75" s="21" t="n">
        <v>153.709331419811</v>
      </c>
      <c r="K75" s="21" t="n">
        <v>152.476742542936</v>
      </c>
      <c r="L75" s="21" t="n">
        <v>122.361275440562</v>
      </c>
      <c r="M75" s="21" t="n">
        <v>126.183246567637</v>
      </c>
      <c r="N75" s="21" t="n">
        <v>128.978719482588</v>
      </c>
      <c r="O75" s="21" t="n">
        <v>140.023967783569</v>
      </c>
      <c r="P75" s="21" t="n">
        <v>143.11455994527</v>
      </c>
    </row>
    <row r="76" customFormat="false" ht="15" hidden="false" customHeight="false" outlineLevel="0" collapsed="false">
      <c r="A76" s="20" t="n">
        <v>40117</v>
      </c>
      <c r="B76" s="21" t="n">
        <v>95.2571689829011</v>
      </c>
      <c r="C76" s="21" t="n">
        <v>116.572614393757</v>
      </c>
      <c r="D76" s="21" t="n">
        <v>102.390175607067</v>
      </c>
      <c r="E76" s="21" t="n">
        <v>124.400454346594</v>
      </c>
      <c r="F76" s="21" t="n">
        <v>121.166063621212</v>
      </c>
      <c r="G76" s="21" t="n">
        <v>132.740643819069</v>
      </c>
      <c r="H76" s="21" t="n">
        <v>134.703200090702</v>
      </c>
      <c r="I76" s="21" t="n">
        <v>139.564867884007</v>
      </c>
      <c r="J76" s="21" t="n">
        <v>155.652578975614</v>
      </c>
      <c r="K76" s="21" t="n">
        <v>149.138470102522</v>
      </c>
      <c r="L76" s="21" t="n">
        <v>122.224190023208</v>
      </c>
      <c r="M76" s="21" t="n">
        <v>126.23757004854</v>
      </c>
      <c r="N76" s="21" t="n">
        <v>129.158940739052</v>
      </c>
      <c r="O76" s="21" t="n">
        <v>139.017701879358</v>
      </c>
      <c r="P76" s="21" t="n">
        <v>141.279556040592</v>
      </c>
    </row>
    <row r="77" customFormat="false" ht="15" hidden="false" customHeight="false" outlineLevel="0" collapsed="false">
      <c r="A77" s="20" t="n">
        <v>40147</v>
      </c>
      <c r="B77" s="21" t="n">
        <v>94.2279454000124</v>
      </c>
      <c r="C77" s="21" t="n">
        <v>116.922692855682</v>
      </c>
      <c r="D77" s="21" t="n">
        <v>100.207232059312</v>
      </c>
      <c r="E77" s="21" t="n">
        <v>125.852337326456</v>
      </c>
      <c r="F77" s="21" t="n">
        <v>119.46211006463</v>
      </c>
      <c r="G77" s="21" t="n">
        <v>132.607344243436</v>
      </c>
      <c r="H77" s="21" t="n">
        <v>135.14714395488</v>
      </c>
      <c r="I77" s="21" t="n">
        <v>139.485124727501</v>
      </c>
      <c r="J77" s="21" t="n">
        <v>157.269394991993</v>
      </c>
      <c r="K77" s="21" t="n">
        <v>150.156019111804</v>
      </c>
      <c r="L77" s="21" t="n">
        <v>122.486027489301</v>
      </c>
      <c r="M77" s="21" t="n">
        <v>126.540216023741</v>
      </c>
      <c r="N77" s="21" t="n">
        <v>129.44956062117</v>
      </c>
      <c r="O77" s="21" t="n">
        <v>139.712093254689</v>
      </c>
      <c r="P77" s="21" t="n">
        <v>142.580905076936</v>
      </c>
    </row>
    <row r="78" customFormat="false" ht="15" hidden="false" customHeight="false" outlineLevel="0" collapsed="false">
      <c r="A78" s="20" t="n">
        <v>40178</v>
      </c>
      <c r="B78" s="21" t="n">
        <v>85.9201208945772</v>
      </c>
      <c r="C78" s="21" t="n">
        <v>102.440233393121</v>
      </c>
      <c r="D78" s="21" t="n">
        <v>101.906546382464</v>
      </c>
      <c r="E78" s="21" t="n">
        <v>127.949496922074</v>
      </c>
      <c r="F78" s="21" t="n">
        <v>115.036097182748</v>
      </c>
      <c r="G78" s="21" t="n">
        <v>133.111212840493</v>
      </c>
      <c r="H78" s="21" t="n">
        <v>138.036240324692</v>
      </c>
      <c r="I78" s="21" t="n">
        <v>140.88961625129</v>
      </c>
      <c r="J78" s="21" t="n">
        <v>158.660573725657</v>
      </c>
      <c r="K78" s="21" t="n">
        <v>150.030756686803</v>
      </c>
      <c r="L78" s="21" t="n">
        <v>124.14804184235</v>
      </c>
      <c r="M78" s="21" t="n">
        <v>126.750721360791</v>
      </c>
      <c r="N78" s="21" t="n">
        <v>129.85380209835</v>
      </c>
      <c r="O78" s="21" t="n">
        <v>140.013521017804</v>
      </c>
      <c r="P78" s="21" t="n">
        <v>143.528173433588</v>
      </c>
    </row>
    <row r="79" customFormat="false" ht="15" hidden="false" customHeight="false" outlineLevel="0" collapsed="false">
      <c r="A79" s="20" t="n">
        <v>40209</v>
      </c>
      <c r="B79" s="21" t="n">
        <v>90.6974558573458</v>
      </c>
      <c r="C79" s="21" t="n">
        <v>70.7747887688602</v>
      </c>
      <c r="D79" s="21" t="n">
        <v>103.215811044585</v>
      </c>
      <c r="E79" s="21" t="n">
        <v>128.969254726549</v>
      </c>
      <c r="F79" s="21" t="n">
        <v>118.277722623279</v>
      </c>
      <c r="G79" s="21" t="n">
        <v>134.863326122576</v>
      </c>
      <c r="H79" s="21" t="n">
        <v>137.691816604218</v>
      </c>
      <c r="I79" s="21" t="n">
        <v>143.568017667981</v>
      </c>
      <c r="J79" s="21" t="n">
        <v>159.349658543833</v>
      </c>
      <c r="K79" s="21" t="n">
        <v>147.622581276519</v>
      </c>
      <c r="L79" s="21" t="n">
        <v>126.342530826467</v>
      </c>
      <c r="M79" s="21" t="n">
        <v>127.789309401008</v>
      </c>
      <c r="N79" s="21" t="n">
        <v>130.462699213619</v>
      </c>
      <c r="O79" s="21" t="n">
        <v>138.135637191296</v>
      </c>
      <c r="P79" s="21" t="n">
        <v>144.204671198497</v>
      </c>
    </row>
    <row r="80" customFormat="false" ht="15" hidden="false" customHeight="false" outlineLevel="0" collapsed="false">
      <c r="A80" s="20" t="n">
        <v>40237</v>
      </c>
      <c r="B80" s="21" t="n">
        <v>98.1248432619594</v>
      </c>
      <c r="C80" s="21" t="n">
        <v>94.2650864267229</v>
      </c>
      <c r="D80" s="21" t="n">
        <v>103.541366555154</v>
      </c>
      <c r="E80" s="21" t="n">
        <v>128.205326671134</v>
      </c>
      <c r="F80" s="21" t="n">
        <v>119.308768369791</v>
      </c>
      <c r="G80" s="21" t="n">
        <v>135.701367453305</v>
      </c>
      <c r="H80" s="21" t="n">
        <v>140.263337608289</v>
      </c>
      <c r="I80" s="21" t="n">
        <v>145.002336366589</v>
      </c>
      <c r="J80" s="21" t="n">
        <v>160.029250039833</v>
      </c>
      <c r="K80" s="21" t="n">
        <v>148.130293731789</v>
      </c>
      <c r="L80" s="21" t="n">
        <v>127.010074067921</v>
      </c>
      <c r="M80" s="21" t="n">
        <v>127.64872833238</v>
      </c>
      <c r="N80" s="21" t="n">
        <v>130.683885858571</v>
      </c>
      <c r="O80" s="21" t="n">
        <v>139.387024303433</v>
      </c>
      <c r="P80" s="21" t="n">
        <v>144.261972031</v>
      </c>
    </row>
    <row r="81" customFormat="false" ht="15" hidden="false" customHeight="false" outlineLevel="0" collapsed="false">
      <c r="A81" s="20" t="n">
        <v>40268</v>
      </c>
      <c r="B81" s="21" t="n">
        <v>105.082593122605</v>
      </c>
      <c r="C81" s="21" t="n">
        <v>87.6327533088492</v>
      </c>
      <c r="D81" s="21" t="n">
        <v>103.453496724267</v>
      </c>
      <c r="E81" s="21" t="n">
        <v>131.69830378058</v>
      </c>
      <c r="F81" s="21" t="n">
        <v>121.723689669488</v>
      </c>
      <c r="G81" s="21" t="n">
        <v>136.870300238971</v>
      </c>
      <c r="H81" s="21" t="n">
        <v>144.432612670786</v>
      </c>
      <c r="I81" s="21" t="n">
        <v>144.680519544206</v>
      </c>
      <c r="J81" s="21" t="n">
        <v>162.738053328916</v>
      </c>
      <c r="K81" s="21" t="n">
        <v>151.01904707835</v>
      </c>
      <c r="L81" s="21" t="n">
        <v>128.102235957605</v>
      </c>
      <c r="M81" s="21" t="n">
        <v>127.628747794172</v>
      </c>
      <c r="N81" s="21" t="n">
        <v>131.052746616229</v>
      </c>
      <c r="O81" s="21" t="n">
        <v>138.541591112341</v>
      </c>
      <c r="P81" s="21" t="n">
        <v>144.140844665265</v>
      </c>
    </row>
    <row r="82" customFormat="false" ht="15" hidden="false" customHeight="false" outlineLevel="0" collapsed="false">
      <c r="A82" s="20" t="n">
        <v>40298</v>
      </c>
      <c r="B82" s="21" t="n">
        <v>121.581226315891</v>
      </c>
      <c r="C82" s="21" t="n">
        <v>76.1983066335801</v>
      </c>
      <c r="D82" s="21" t="n">
        <v>106.12847353406</v>
      </c>
      <c r="E82" s="21" t="n">
        <v>132.265445102755</v>
      </c>
      <c r="F82" s="21" t="n">
        <v>120.632036038703</v>
      </c>
      <c r="G82" s="21" t="n">
        <v>141.112182341368</v>
      </c>
      <c r="H82" s="21" t="n">
        <v>144.919509052727</v>
      </c>
      <c r="I82" s="21" t="n">
        <v>145.136865249066</v>
      </c>
      <c r="J82" s="21" t="n">
        <v>165.20445289354</v>
      </c>
      <c r="K82" s="21" t="n">
        <v>150.76587776575</v>
      </c>
      <c r="L82" s="21" t="n">
        <v>127.602235030442</v>
      </c>
      <c r="M82" s="21" t="n">
        <v>128.02674609656</v>
      </c>
      <c r="N82" s="21" t="n">
        <v>131.268529730561</v>
      </c>
      <c r="O82" s="21" t="n">
        <v>140.322677728155</v>
      </c>
      <c r="P82" s="21" t="n">
        <v>142.223428405614</v>
      </c>
    </row>
    <row r="83" customFormat="false" ht="15" hidden="false" customHeight="false" outlineLevel="0" collapsed="false">
      <c r="A83" s="20" t="n">
        <v>40329</v>
      </c>
      <c r="B83" s="21" t="n">
        <v>125.1325121834</v>
      </c>
      <c r="C83" s="21" t="n">
        <v>108.480438355868</v>
      </c>
      <c r="D83" s="21" t="n">
        <v>106.158422488216</v>
      </c>
      <c r="E83" s="21" t="n">
        <v>132.093912812763</v>
      </c>
      <c r="F83" s="21" t="n">
        <v>121.70578670403</v>
      </c>
      <c r="G83" s="21" t="n">
        <v>140.33291848492</v>
      </c>
      <c r="H83" s="21" t="n">
        <v>144.683098453881</v>
      </c>
      <c r="I83" s="21" t="n">
        <v>145.952299913848</v>
      </c>
      <c r="J83" s="21" t="n">
        <v>167.902458162505</v>
      </c>
      <c r="K83" s="21" t="n">
        <v>150.816835255126</v>
      </c>
      <c r="L83" s="21" t="n">
        <v>126.530841836112</v>
      </c>
      <c r="M83" s="21" t="n">
        <v>128.365192679224</v>
      </c>
      <c r="N83" s="21" t="n">
        <v>131.427919510549</v>
      </c>
      <c r="O83" s="21" t="n">
        <v>140.582075637034</v>
      </c>
      <c r="P83" s="21" t="n">
        <v>143.21654040086</v>
      </c>
    </row>
    <row r="84" customFormat="false" ht="15" hidden="false" customHeight="false" outlineLevel="0" collapsed="false">
      <c r="A84" s="20" t="n">
        <v>40359</v>
      </c>
      <c r="B84" s="21" t="n">
        <v>123.33270415871</v>
      </c>
      <c r="C84" s="21" t="n">
        <v>109.639231809859</v>
      </c>
      <c r="D84" s="21" t="n">
        <v>107.411335184826</v>
      </c>
      <c r="E84" s="21" t="n">
        <v>133.934307646957</v>
      </c>
      <c r="F84" s="21" t="n">
        <v>118.995380077724</v>
      </c>
      <c r="G84" s="21" t="n">
        <v>141.19842145264</v>
      </c>
      <c r="H84" s="21" t="n">
        <v>148.084977760046</v>
      </c>
      <c r="I84" s="21" t="n">
        <v>146.969219031979</v>
      </c>
      <c r="J84" s="21" t="n">
        <v>168.286165012081</v>
      </c>
      <c r="K84" s="21" t="n">
        <v>153.501690270092</v>
      </c>
      <c r="L84" s="21" t="n">
        <v>127.37412396225</v>
      </c>
      <c r="M84" s="21" t="n">
        <v>128.456082838844</v>
      </c>
      <c r="N84" s="21" t="n">
        <v>131.713698814743</v>
      </c>
      <c r="O84" s="21" t="n">
        <v>141.416308517158</v>
      </c>
      <c r="P84" s="21" t="n">
        <v>143.849765251561</v>
      </c>
    </row>
    <row r="85" customFormat="false" ht="15" hidden="false" customHeight="false" outlineLevel="0" collapsed="false">
      <c r="A85" s="20" t="n">
        <v>40390</v>
      </c>
      <c r="B85" s="21" t="n">
        <v>107.306454026051</v>
      </c>
      <c r="C85" s="21" t="n">
        <v>129.980524576034</v>
      </c>
      <c r="D85" s="21" t="n">
        <v>105.135267005703</v>
      </c>
      <c r="E85" s="21" t="n">
        <v>133.615180993108</v>
      </c>
      <c r="F85" s="21" t="n">
        <v>122.707835811946</v>
      </c>
      <c r="G85" s="21" t="n">
        <v>139.601909339542</v>
      </c>
      <c r="H85" s="21" t="n">
        <v>147.826613708645</v>
      </c>
      <c r="I85" s="21" t="n">
        <v>151.289551837333</v>
      </c>
      <c r="J85" s="21" t="n">
        <v>167.031510588946</v>
      </c>
      <c r="K85" s="21" t="n">
        <v>149.465684585366</v>
      </c>
      <c r="L85" s="21" t="n">
        <v>128.09806819826</v>
      </c>
      <c r="M85" s="21" t="n">
        <v>127.135441793238</v>
      </c>
      <c r="N85" s="21" t="n">
        <v>130.518492451738</v>
      </c>
      <c r="O85" s="21" t="n">
        <v>145.919281166504</v>
      </c>
      <c r="P85" s="21" t="n">
        <v>149.087373331564</v>
      </c>
    </row>
    <row r="86" customFormat="false" ht="15" hidden="false" customHeight="false" outlineLevel="0" collapsed="false">
      <c r="A86" s="20" t="n">
        <v>40421</v>
      </c>
      <c r="B86" s="21" t="n">
        <v>99.4261296684363</v>
      </c>
      <c r="C86" s="21" t="n">
        <v>106.20481686512</v>
      </c>
      <c r="D86" s="21" t="n">
        <v>104.216641411684</v>
      </c>
      <c r="E86" s="21" t="n">
        <v>136.462674390139</v>
      </c>
      <c r="F86" s="21" t="n">
        <v>124.029681585566</v>
      </c>
      <c r="G86" s="21" t="n">
        <v>141.822059793544</v>
      </c>
      <c r="H86" s="21" t="n">
        <v>151.240202535181</v>
      </c>
      <c r="I86" s="21" t="n">
        <v>149.834155616866</v>
      </c>
      <c r="J86" s="21" t="n">
        <v>167.821295432249</v>
      </c>
      <c r="K86" s="21" t="n">
        <v>149.345857115646</v>
      </c>
      <c r="L86" s="21" t="n">
        <v>128.648859392641</v>
      </c>
      <c r="M86" s="21" t="n">
        <v>127.26519049367</v>
      </c>
      <c r="N86" s="21" t="n">
        <v>130.598187698577</v>
      </c>
      <c r="O86" s="21" t="n">
        <v>143.770272672879</v>
      </c>
      <c r="P86" s="21" t="n">
        <v>146.23973869575</v>
      </c>
    </row>
    <row r="87" customFormat="false" ht="15" hidden="false" customHeight="false" outlineLevel="0" collapsed="false">
      <c r="A87" s="20" t="n">
        <v>40451</v>
      </c>
      <c r="B87" s="21" t="n">
        <v>98.5017230193224</v>
      </c>
      <c r="C87" s="21" t="n">
        <v>128.438042573934</v>
      </c>
      <c r="D87" s="21" t="n">
        <v>102.654665709604</v>
      </c>
      <c r="E87" s="21" t="n">
        <v>135.222526603596</v>
      </c>
      <c r="F87" s="21" t="n">
        <v>123.783326568381</v>
      </c>
      <c r="G87" s="21" t="n">
        <v>143.32664306892</v>
      </c>
      <c r="H87" s="21" t="n">
        <v>150.269234822326</v>
      </c>
      <c r="I87" s="21" t="n">
        <v>150.354322174273</v>
      </c>
      <c r="J87" s="21" t="n">
        <v>167.760034824028</v>
      </c>
      <c r="K87" s="21" t="n">
        <v>149.994845017314</v>
      </c>
      <c r="L87" s="21" t="n">
        <v>129.696154807107</v>
      </c>
      <c r="M87" s="21" t="n">
        <v>127.394106085686</v>
      </c>
      <c r="N87" s="21" t="n">
        <v>130.539262764609</v>
      </c>
      <c r="O87" s="21" t="n">
        <v>144.552976062938</v>
      </c>
      <c r="P87" s="21" t="n">
        <v>146.856474625596</v>
      </c>
    </row>
    <row r="88" customFormat="false" ht="15" hidden="false" customHeight="false" outlineLevel="0" collapsed="false">
      <c r="A88" s="20" t="n">
        <v>40482</v>
      </c>
      <c r="B88" s="21" t="n">
        <v>102.31878429257</v>
      </c>
      <c r="C88" s="21" t="n">
        <v>87.3421990092185</v>
      </c>
      <c r="D88" s="21" t="n">
        <v>100.664761633185</v>
      </c>
      <c r="E88" s="21" t="n">
        <v>135.939973248641</v>
      </c>
      <c r="F88" s="21" t="n">
        <v>124.379010629536</v>
      </c>
      <c r="G88" s="21" t="n">
        <v>141.286909360165</v>
      </c>
      <c r="H88" s="21" t="n">
        <v>150.16119525555</v>
      </c>
      <c r="I88" s="21" t="n">
        <v>150.955936034414</v>
      </c>
      <c r="J88" s="21" t="n">
        <v>168.154932585293</v>
      </c>
      <c r="K88" s="21" t="n">
        <v>149.523827214315</v>
      </c>
      <c r="L88" s="21" t="n">
        <v>128.567992079489</v>
      </c>
      <c r="M88" s="21" t="n">
        <v>128.209377826515</v>
      </c>
      <c r="N88" s="21" t="n">
        <v>130.620500658501</v>
      </c>
      <c r="O88" s="21" t="n">
        <v>144.996858524818</v>
      </c>
      <c r="P88" s="21" t="n">
        <v>144.807282340411</v>
      </c>
    </row>
    <row r="89" customFormat="false" ht="15" hidden="false" customHeight="false" outlineLevel="0" collapsed="false">
      <c r="A89" s="20" t="n">
        <v>40512</v>
      </c>
      <c r="B89" s="21" t="n">
        <v>106.179132904135</v>
      </c>
      <c r="C89" s="21" t="n">
        <v>99.8846735943461</v>
      </c>
      <c r="D89" s="21" t="n">
        <v>101.780343374849</v>
      </c>
      <c r="E89" s="21" t="n">
        <v>139.586189282252</v>
      </c>
      <c r="F89" s="21" t="n">
        <v>121.636971610014</v>
      </c>
      <c r="G89" s="21" t="n">
        <v>143.692379910191</v>
      </c>
      <c r="H89" s="21" t="n">
        <v>159.14041055408</v>
      </c>
      <c r="I89" s="21" t="n">
        <v>152.287458522356</v>
      </c>
      <c r="J89" s="21" t="n">
        <v>169.775979815147</v>
      </c>
      <c r="K89" s="21" t="n">
        <v>154.570350414809</v>
      </c>
      <c r="L89" s="21" t="n">
        <v>130.669897734232</v>
      </c>
      <c r="M89" s="21" t="n">
        <v>128.786405713829</v>
      </c>
      <c r="N89" s="21" t="n">
        <v>131.227504611156</v>
      </c>
      <c r="O89" s="21" t="n">
        <v>145.864206922788</v>
      </c>
      <c r="P89" s="21" t="n">
        <v>148.428371141708</v>
      </c>
    </row>
    <row r="90" customFormat="false" ht="15" hidden="false" customHeight="false" outlineLevel="0" collapsed="false">
      <c r="A90" s="20" t="n">
        <v>40543</v>
      </c>
      <c r="B90" s="21" t="n">
        <v>117.629129720021</v>
      </c>
      <c r="C90" s="21" t="n">
        <v>110.09246099764</v>
      </c>
      <c r="D90" s="21" t="n">
        <v>92.3916817857746</v>
      </c>
      <c r="E90" s="21" t="n">
        <v>139.170117263572</v>
      </c>
      <c r="F90" s="21" t="n">
        <v>127.79794699928</v>
      </c>
      <c r="G90" s="21" t="n">
        <v>146.346819964313</v>
      </c>
      <c r="H90" s="21" t="n">
        <v>157.104900810837</v>
      </c>
      <c r="I90" s="21" t="n">
        <v>152.438412847256</v>
      </c>
      <c r="J90" s="21" t="n">
        <v>169.476736107846</v>
      </c>
      <c r="K90" s="21" t="n">
        <v>155.464171341256</v>
      </c>
      <c r="L90" s="21" t="n">
        <v>131.184036423278</v>
      </c>
      <c r="M90" s="21" t="n">
        <v>129.064836598679</v>
      </c>
      <c r="N90" s="21" t="n">
        <v>131.620664931747</v>
      </c>
      <c r="O90" s="21" t="n">
        <v>146.703955641363</v>
      </c>
      <c r="P90" s="21" t="n">
        <v>147.923690797105</v>
      </c>
    </row>
    <row r="91" customFormat="false" ht="15" hidden="false" customHeight="false" outlineLevel="0" collapsed="false">
      <c r="A91" s="20" t="n">
        <v>40574</v>
      </c>
      <c r="B91" s="21" t="n">
        <v>111.828683982541</v>
      </c>
      <c r="C91" s="21" t="n">
        <v>122.945280796129</v>
      </c>
      <c r="D91" s="21" t="n">
        <v>99.6557382093738</v>
      </c>
      <c r="E91" s="21" t="n">
        <v>142.986081256401</v>
      </c>
      <c r="F91" s="21" t="n">
        <v>125.344145665179</v>
      </c>
      <c r="G91" s="21" t="n">
        <v>150.294042912695</v>
      </c>
      <c r="H91" s="21" t="n">
        <v>159.538989582582</v>
      </c>
      <c r="I91" s="21" t="n">
        <v>153.055897239172</v>
      </c>
      <c r="J91" s="21" t="n">
        <v>172.882528435366</v>
      </c>
      <c r="K91" s="21" t="n">
        <v>158.241633312144</v>
      </c>
      <c r="L91" s="21" t="n">
        <v>130.475645118691</v>
      </c>
      <c r="M91" s="21" t="n">
        <v>130.042546119672</v>
      </c>
      <c r="N91" s="21" t="n">
        <v>132.614284381158</v>
      </c>
      <c r="O91" s="21" t="n">
        <v>146.689511668433</v>
      </c>
      <c r="P91" s="21" t="n">
        <v>151.86179497107</v>
      </c>
    </row>
    <row r="92" customFormat="false" ht="15" hidden="false" customHeight="false" outlineLevel="0" collapsed="false">
      <c r="A92" s="20" t="n">
        <v>40602</v>
      </c>
      <c r="B92" s="21" t="n">
        <v>107.171483302678</v>
      </c>
      <c r="C92" s="21" t="n">
        <v>107.26016195499</v>
      </c>
      <c r="D92" s="21" t="n">
        <v>99.0445576230733</v>
      </c>
      <c r="E92" s="21" t="n">
        <v>143.328818399547</v>
      </c>
      <c r="F92" s="21" t="n">
        <v>125.379853172704</v>
      </c>
      <c r="G92" s="21" t="n">
        <v>151.628557808185</v>
      </c>
      <c r="H92" s="21" t="n">
        <v>159.188970362369</v>
      </c>
      <c r="I92" s="21" t="n">
        <v>151.788561110855</v>
      </c>
      <c r="J92" s="21" t="n">
        <v>172.709072605243</v>
      </c>
      <c r="K92" s="21" t="n">
        <v>160.737852641723</v>
      </c>
      <c r="L92" s="21" t="n">
        <v>131.129086473677</v>
      </c>
      <c r="M92" s="21" t="n">
        <v>129.978835133928</v>
      </c>
      <c r="N92" s="21" t="n">
        <v>133.076371737766</v>
      </c>
      <c r="O92" s="21" t="n">
        <v>147.524783290186</v>
      </c>
      <c r="P92" s="21" t="n">
        <v>150.049793243608</v>
      </c>
    </row>
    <row r="93" customFormat="false" ht="15" hidden="false" customHeight="false" outlineLevel="0" collapsed="false">
      <c r="A93" s="20" t="n">
        <v>40633</v>
      </c>
      <c r="B93" s="21" t="n">
        <v>109.862611243233</v>
      </c>
      <c r="C93" s="21" t="n">
        <v>108.192373847067</v>
      </c>
      <c r="D93" s="21" t="n">
        <v>98.7226530863099</v>
      </c>
      <c r="E93" s="21" t="n">
        <v>143.205259926695</v>
      </c>
      <c r="F93" s="21" t="n">
        <v>127.082662319055</v>
      </c>
      <c r="G93" s="21" t="n">
        <v>152.090878867095</v>
      </c>
      <c r="H93" s="21" t="n">
        <v>161.660321197569</v>
      </c>
      <c r="I93" s="21" t="n">
        <v>154.505801442115</v>
      </c>
      <c r="J93" s="21" t="n">
        <v>174.135280470775</v>
      </c>
      <c r="K93" s="21" t="n">
        <v>159.720379693438</v>
      </c>
      <c r="L93" s="21" t="n">
        <v>130.434783374327</v>
      </c>
      <c r="M93" s="21" t="n">
        <v>130.382602565237</v>
      </c>
      <c r="N93" s="21" t="n">
        <v>133.252842405792</v>
      </c>
      <c r="O93" s="21" t="n">
        <v>147.421959485695</v>
      </c>
      <c r="P93" s="21" t="n">
        <v>151.875460455237</v>
      </c>
    </row>
    <row r="94" customFormat="false" ht="15" hidden="false" customHeight="false" outlineLevel="0" collapsed="false">
      <c r="A94" s="20" t="n">
        <v>40663</v>
      </c>
      <c r="B94" s="21" t="n">
        <v>114.044360754414</v>
      </c>
      <c r="C94" s="21" t="n">
        <v>108.93328976472</v>
      </c>
      <c r="D94" s="21" t="n">
        <v>90.7332987260655</v>
      </c>
      <c r="E94" s="21" t="n">
        <v>143.192329163835</v>
      </c>
      <c r="F94" s="21" t="n">
        <v>124.343257295424</v>
      </c>
      <c r="G94" s="21" t="n">
        <v>151.272030488977</v>
      </c>
      <c r="H94" s="21" t="n">
        <v>162.587950028973</v>
      </c>
      <c r="I94" s="21" t="n">
        <v>155.221892762686</v>
      </c>
      <c r="J94" s="21" t="n">
        <v>174.312506327637</v>
      </c>
      <c r="K94" s="21" t="n">
        <v>161.545486380882</v>
      </c>
      <c r="L94" s="21" t="n">
        <v>132.890267170646</v>
      </c>
      <c r="M94" s="21" t="n">
        <v>130.955857612123</v>
      </c>
      <c r="N94" s="21" t="n">
        <v>133.62088819412</v>
      </c>
      <c r="O94" s="21" t="n">
        <v>149.438919772835</v>
      </c>
      <c r="P94" s="21" t="n">
        <v>153.117198166951</v>
      </c>
    </row>
    <row r="95" customFormat="false" ht="15" hidden="false" customHeight="false" outlineLevel="0" collapsed="false">
      <c r="A95" s="20" t="n">
        <v>40694</v>
      </c>
      <c r="B95" s="21" t="n">
        <v>114.306717693746</v>
      </c>
      <c r="C95" s="21" t="n">
        <v>91.3171690154023</v>
      </c>
      <c r="D95" s="21" t="n">
        <v>93.462834092211</v>
      </c>
      <c r="E95" s="21" t="n">
        <v>146.838205932629</v>
      </c>
      <c r="F95" s="21" t="n">
        <v>127.234445856868</v>
      </c>
      <c r="G95" s="21" t="n">
        <v>153.559547726001</v>
      </c>
      <c r="H95" s="21" t="n">
        <v>166.505112697037</v>
      </c>
      <c r="I95" s="21" t="n">
        <v>156.588078751261</v>
      </c>
      <c r="J95" s="21" t="n">
        <v>174.975392162698</v>
      </c>
      <c r="K95" s="21" t="n">
        <v>164.30211254841</v>
      </c>
      <c r="L95" s="21" t="n">
        <v>133.716280439891</v>
      </c>
      <c r="M95" s="21" t="n">
        <v>131.125044638593</v>
      </c>
      <c r="N95" s="21" t="n">
        <v>133.73567086753</v>
      </c>
      <c r="O95" s="21" t="n">
        <v>150.263578694477</v>
      </c>
      <c r="P95" s="21" t="n">
        <v>154.439948043559</v>
      </c>
    </row>
    <row r="96" customFormat="false" ht="15" hidden="false" customHeight="false" outlineLevel="0" collapsed="false">
      <c r="A96" s="20" t="n">
        <v>40724</v>
      </c>
      <c r="B96" s="21" t="n">
        <v>114.220485579513</v>
      </c>
      <c r="C96" s="21" t="n">
        <v>134.333730017931</v>
      </c>
      <c r="D96" s="21" t="n">
        <v>94.0770443651996</v>
      </c>
      <c r="E96" s="21" t="n">
        <v>147.845870003573</v>
      </c>
      <c r="F96" s="21" t="n">
        <v>127.55907432024</v>
      </c>
      <c r="G96" s="21" t="n">
        <v>154.474623803005</v>
      </c>
      <c r="H96" s="21" t="n">
        <v>167.449458910827</v>
      </c>
      <c r="I96" s="21" t="n">
        <v>156.394037943966</v>
      </c>
      <c r="J96" s="21" t="n">
        <v>174.809601294428</v>
      </c>
      <c r="K96" s="21" t="n">
        <v>165.107866698044</v>
      </c>
      <c r="L96" s="21" t="n">
        <v>135.26828199558</v>
      </c>
      <c r="M96" s="21" t="n">
        <v>131.596178206342</v>
      </c>
      <c r="N96" s="21" t="n">
        <v>134.349123964258</v>
      </c>
      <c r="O96" s="21" t="n">
        <v>150.601722996858</v>
      </c>
      <c r="P96" s="21" t="n">
        <v>151.762035456945</v>
      </c>
    </row>
    <row r="97" customFormat="false" ht="15" hidden="false" customHeight="false" outlineLevel="0" collapsed="false">
      <c r="A97" s="20" t="n">
        <v>40755</v>
      </c>
      <c r="B97" s="21" t="n">
        <v>106.036892358743</v>
      </c>
      <c r="C97" s="21" t="n">
        <v>107.217514282747</v>
      </c>
      <c r="D97" s="21" t="n">
        <v>95.7809149797423</v>
      </c>
      <c r="E97" s="21" t="n">
        <v>144.392074783867</v>
      </c>
      <c r="F97" s="21" t="n">
        <v>127.254036245854</v>
      </c>
      <c r="G97" s="21" t="n">
        <v>154.824829313641</v>
      </c>
      <c r="H97" s="21" t="n">
        <v>161.724087835575</v>
      </c>
      <c r="I97" s="21" t="n">
        <v>156.548029055606</v>
      </c>
      <c r="J97" s="21" t="n">
        <v>173.608695802292</v>
      </c>
      <c r="K97" s="21" t="n">
        <v>165.856186223279</v>
      </c>
      <c r="L97" s="21" t="n">
        <v>135.241764872704</v>
      </c>
      <c r="M97" s="21" t="n">
        <v>132.58217025393</v>
      </c>
      <c r="N97" s="21" t="n">
        <v>135.237210189749</v>
      </c>
      <c r="O97" s="21" t="n">
        <v>150.809942604532</v>
      </c>
      <c r="P97" s="21" t="n">
        <v>149.776545777153</v>
      </c>
    </row>
    <row r="98" customFormat="false" ht="15" hidden="false" customHeight="false" outlineLevel="0" collapsed="false">
      <c r="A98" s="20" t="n">
        <v>40786</v>
      </c>
      <c r="B98" s="21" t="n">
        <v>104.404615010036</v>
      </c>
      <c r="C98" s="21" t="n">
        <v>115.185106091594</v>
      </c>
      <c r="D98" s="21" t="n">
        <v>98.5005699134998</v>
      </c>
      <c r="E98" s="21" t="n">
        <v>144.768511780413</v>
      </c>
      <c r="F98" s="21" t="n">
        <v>129.38180249213</v>
      </c>
      <c r="G98" s="21" t="n">
        <v>156.024648621884</v>
      </c>
      <c r="H98" s="21" t="n">
        <v>167.244239027573</v>
      </c>
      <c r="I98" s="21" t="n">
        <v>156.2045491531</v>
      </c>
      <c r="J98" s="21" t="n">
        <v>176.185376161094</v>
      </c>
      <c r="K98" s="21" t="n">
        <v>169.287837450959</v>
      </c>
      <c r="L98" s="21" t="n">
        <v>134.989662201279</v>
      </c>
      <c r="M98" s="21" t="n">
        <v>133.174433811184</v>
      </c>
      <c r="N98" s="21" t="n">
        <v>135.959287891632</v>
      </c>
      <c r="O98" s="21" t="n">
        <v>150.5650399313</v>
      </c>
      <c r="P98" s="21" t="n">
        <v>149.106909183633</v>
      </c>
    </row>
    <row r="99" customFormat="false" ht="15" hidden="false" customHeight="false" outlineLevel="0" collapsed="false">
      <c r="A99" s="20" t="n">
        <v>40816</v>
      </c>
      <c r="B99" s="21" t="n">
        <v>104.121666191758</v>
      </c>
      <c r="C99" s="21" t="n">
        <v>101.699989737938</v>
      </c>
      <c r="D99" s="21" t="n">
        <v>97.9862949927121</v>
      </c>
      <c r="E99" s="21" t="n">
        <v>146.579831814665</v>
      </c>
      <c r="F99" s="21" t="n">
        <v>127.100337348183</v>
      </c>
      <c r="G99" s="21" t="n">
        <v>157.533748224877</v>
      </c>
      <c r="H99" s="21" t="n">
        <v>170.023068797696</v>
      </c>
      <c r="I99" s="21" t="n">
        <v>158.294284430281</v>
      </c>
      <c r="J99" s="21" t="n">
        <v>178.056993781561</v>
      </c>
      <c r="K99" s="21" t="n">
        <v>171.453362090551</v>
      </c>
      <c r="L99" s="21" t="n">
        <v>135.83181159874</v>
      </c>
      <c r="M99" s="21" t="n">
        <v>133.571552427624</v>
      </c>
      <c r="N99" s="21" t="n">
        <v>136.353574751813</v>
      </c>
      <c r="O99" s="21" t="n">
        <v>151.313301833131</v>
      </c>
      <c r="P99" s="21" t="n">
        <v>147.627565776255</v>
      </c>
    </row>
    <row r="100" customFormat="false" ht="15" hidden="false" customHeight="false" outlineLevel="0" collapsed="false">
      <c r="A100" s="20" t="n">
        <v>40847</v>
      </c>
      <c r="B100" s="21" t="n">
        <v>104.342536969711</v>
      </c>
      <c r="C100" s="21" t="n">
        <v>126.361833559082</v>
      </c>
      <c r="D100" s="21" t="n">
        <v>98.7610876348478</v>
      </c>
      <c r="E100" s="21" t="n">
        <v>143.349931929304</v>
      </c>
      <c r="F100" s="21" t="n">
        <v>129.328493937333</v>
      </c>
      <c r="G100" s="21" t="n">
        <v>154.40249893773</v>
      </c>
      <c r="H100" s="21" t="n">
        <v>164.369410027794</v>
      </c>
      <c r="I100" s="21" t="n">
        <v>156.717293115566</v>
      </c>
      <c r="J100" s="21" t="n">
        <v>176.120791422306</v>
      </c>
      <c r="K100" s="21" t="n">
        <v>170.593533538697</v>
      </c>
      <c r="L100" s="21" t="n">
        <v>135.941791181644</v>
      </c>
      <c r="M100" s="21" t="n">
        <v>133.302701808045</v>
      </c>
      <c r="N100" s="21" t="n">
        <v>136.459193236673</v>
      </c>
      <c r="O100" s="21" t="n">
        <v>151.130762265018</v>
      </c>
      <c r="P100" s="21" t="n">
        <v>151.779891225813</v>
      </c>
    </row>
    <row r="101" customFormat="false" ht="15" hidden="false" customHeight="false" outlineLevel="0" collapsed="false">
      <c r="A101" s="20" t="n">
        <v>40877</v>
      </c>
      <c r="B101" s="21" t="n">
        <v>106.057848345668</v>
      </c>
      <c r="C101" s="21" t="n">
        <v>104.371293488233</v>
      </c>
      <c r="D101" s="21" t="n">
        <v>99.2903177923015</v>
      </c>
      <c r="E101" s="21" t="n">
        <v>142.41297162483</v>
      </c>
      <c r="F101" s="21" t="n">
        <v>132.516924240531</v>
      </c>
      <c r="G101" s="21" t="n">
        <v>155.455027909878</v>
      </c>
      <c r="H101" s="21" t="n">
        <v>163.04244794712</v>
      </c>
      <c r="I101" s="21" t="n">
        <v>157.006901130881</v>
      </c>
      <c r="J101" s="21" t="n">
        <v>175.726463627897</v>
      </c>
      <c r="K101" s="21" t="n">
        <v>170.394934234824</v>
      </c>
      <c r="L101" s="21" t="n">
        <v>137.053870631306</v>
      </c>
      <c r="M101" s="21" t="n">
        <v>133.497781374217</v>
      </c>
      <c r="N101" s="21" t="n">
        <v>136.71803449076</v>
      </c>
      <c r="O101" s="21" t="n">
        <v>151.564904348</v>
      </c>
      <c r="P101" s="21" t="n">
        <v>150.565232114708</v>
      </c>
    </row>
    <row r="102" customFormat="false" ht="15" hidden="false" customHeight="false" outlineLevel="0" collapsed="false">
      <c r="A102" s="20" t="n">
        <v>40908</v>
      </c>
      <c r="B102" s="21" t="n">
        <v>112.056463574801</v>
      </c>
      <c r="C102" s="21" t="n">
        <v>109.184763114973</v>
      </c>
      <c r="D102" s="21" t="n">
        <v>98.469299343303</v>
      </c>
      <c r="E102" s="21" t="n">
        <v>142.002729910901</v>
      </c>
      <c r="F102" s="21" t="n">
        <v>131.438371613503</v>
      </c>
      <c r="G102" s="21" t="n">
        <v>155.10221545079</v>
      </c>
      <c r="H102" s="21" t="n">
        <v>163.48407803309</v>
      </c>
      <c r="I102" s="21" t="n">
        <v>156.962491287669</v>
      </c>
      <c r="J102" s="21" t="n">
        <v>177.226713659987</v>
      </c>
      <c r="K102" s="21" t="n">
        <v>170.517247784913</v>
      </c>
      <c r="L102" s="21" t="n">
        <v>135.703295705897</v>
      </c>
      <c r="M102" s="21" t="n">
        <v>134.050015882946</v>
      </c>
      <c r="N102" s="21" t="n">
        <v>137.262770041833</v>
      </c>
      <c r="O102" s="21" t="n">
        <v>152.413302874208</v>
      </c>
      <c r="P102" s="21" t="n">
        <v>152.289375265207</v>
      </c>
    </row>
    <row r="103" customFormat="false" ht="15" hidden="false" customHeight="false" outlineLevel="0" collapsed="false">
      <c r="A103" s="20" t="n">
        <v>40939</v>
      </c>
      <c r="B103" s="21" t="n">
        <v>109.877722362084</v>
      </c>
      <c r="C103" s="21" t="n">
        <v>115.588891760454</v>
      </c>
      <c r="D103" s="21" t="n">
        <v>95.5534753542143</v>
      </c>
      <c r="E103" s="21" t="n">
        <v>140.349844732059</v>
      </c>
      <c r="F103" s="21" t="n">
        <v>134.498662209477</v>
      </c>
      <c r="G103" s="21" t="n">
        <v>153.395938897004</v>
      </c>
      <c r="H103" s="21" t="n">
        <v>162.119904956617</v>
      </c>
      <c r="I103" s="21" t="n">
        <v>156.868134200214</v>
      </c>
      <c r="J103" s="21" t="n">
        <v>176.744993590065</v>
      </c>
      <c r="K103" s="21" t="n">
        <v>170.996535634361</v>
      </c>
      <c r="L103" s="21" t="n">
        <v>134.437008039525</v>
      </c>
      <c r="M103" s="21" t="n">
        <v>134.405845334328</v>
      </c>
      <c r="N103" s="21" t="n">
        <v>137.518810208974</v>
      </c>
      <c r="O103" s="21" t="n">
        <v>156.439194790744</v>
      </c>
      <c r="P103" s="21" t="n">
        <v>150.500933158084</v>
      </c>
    </row>
    <row r="104" customFormat="false" ht="15" hidden="false" customHeight="false" outlineLevel="0" collapsed="false">
      <c r="A104" s="20" t="n">
        <v>40968</v>
      </c>
      <c r="B104" s="21" t="n">
        <v>102.443904306863</v>
      </c>
      <c r="C104" s="21" t="n">
        <v>112.660908417117</v>
      </c>
      <c r="D104" s="21" t="n">
        <v>97.6393466957169</v>
      </c>
      <c r="E104" s="21" t="n">
        <v>142.841322184702</v>
      </c>
      <c r="F104" s="21" t="n">
        <v>136.526163553191</v>
      </c>
      <c r="G104" s="21" t="n">
        <v>152.403066356927</v>
      </c>
      <c r="H104" s="21" t="n">
        <v>160.404035974645</v>
      </c>
      <c r="I104" s="21" t="n">
        <v>158.230848133998</v>
      </c>
      <c r="J104" s="21" t="n">
        <v>177.856032137007</v>
      </c>
      <c r="K104" s="21" t="n">
        <v>172.800860970187</v>
      </c>
      <c r="L104" s="21" t="n">
        <v>133.937776123238</v>
      </c>
      <c r="M104" s="21" t="n">
        <v>134.477650228224</v>
      </c>
      <c r="N104" s="21" t="n">
        <v>137.80493420209</v>
      </c>
      <c r="O104" s="21" t="n">
        <v>156.898707332585</v>
      </c>
      <c r="P104" s="21" t="n">
        <v>154.744419863013</v>
      </c>
    </row>
    <row r="105" customFormat="false" ht="15" hidden="false" customHeight="false" outlineLevel="0" collapsed="false">
      <c r="A105" s="20" t="n">
        <v>40999</v>
      </c>
      <c r="B105" s="21" t="n">
        <v>97.977749731349</v>
      </c>
      <c r="C105" s="21" t="n">
        <v>131.556047086227</v>
      </c>
      <c r="D105" s="21" t="n">
        <v>96.8624692888956</v>
      </c>
      <c r="E105" s="21" t="n">
        <v>143.649713218839</v>
      </c>
      <c r="F105" s="21" t="n">
        <v>134.259507127413</v>
      </c>
      <c r="G105" s="21" t="n">
        <v>152.489666948555</v>
      </c>
      <c r="H105" s="21" t="n">
        <v>160.240753544302</v>
      </c>
      <c r="I105" s="21" t="n">
        <v>158.457798402338</v>
      </c>
      <c r="J105" s="21" t="n">
        <v>175.865492977486</v>
      </c>
      <c r="K105" s="21" t="n">
        <v>176.743107413671</v>
      </c>
      <c r="L105" s="21" t="n">
        <v>135.557802482748</v>
      </c>
      <c r="M105" s="21" t="n">
        <v>135.53210993481</v>
      </c>
      <c r="N105" s="21" t="n">
        <v>138.518300069203</v>
      </c>
      <c r="O105" s="21" t="n">
        <v>157.35493865862</v>
      </c>
      <c r="P105" s="21" t="n">
        <v>152.581990965906</v>
      </c>
    </row>
    <row r="106" customFormat="false" ht="15" hidden="false" customHeight="false" outlineLevel="0" collapsed="false">
      <c r="A106" s="20" t="n">
        <v>41029</v>
      </c>
      <c r="B106" s="21" t="n">
        <v>88.801945041751</v>
      </c>
      <c r="C106" s="21" t="n">
        <v>107.415365897177</v>
      </c>
      <c r="D106" s="21" t="n">
        <v>98.2437231219838</v>
      </c>
      <c r="E106" s="21" t="n">
        <v>138.379490753162</v>
      </c>
      <c r="F106" s="21" t="n">
        <v>134.314861600885</v>
      </c>
      <c r="G106" s="21" t="n">
        <v>149.834714923267</v>
      </c>
      <c r="H106" s="21" t="n">
        <v>152.50916652719</v>
      </c>
      <c r="I106" s="21" t="n">
        <v>159.109441362825</v>
      </c>
      <c r="J106" s="21" t="n">
        <v>173.412165656385</v>
      </c>
      <c r="K106" s="21" t="n">
        <v>173.557814069142</v>
      </c>
      <c r="L106" s="21" t="n">
        <v>132.645118183842</v>
      </c>
      <c r="M106" s="21" t="n">
        <v>135.303922222507</v>
      </c>
      <c r="N106" s="21" t="n">
        <v>138.346404656092</v>
      </c>
      <c r="O106" s="21" t="n">
        <v>156.856040331746</v>
      </c>
      <c r="P106" s="21" t="n">
        <v>153.968741296585</v>
      </c>
    </row>
    <row r="107" customFormat="false" ht="15" hidden="false" customHeight="false" outlineLevel="0" collapsed="false">
      <c r="A107" s="20" t="n">
        <v>41060</v>
      </c>
      <c r="B107" s="21" t="n">
        <v>87.2250848955368</v>
      </c>
      <c r="C107" s="21" t="n">
        <v>110.942835464184</v>
      </c>
      <c r="D107" s="21" t="n">
        <v>97.5131154664128</v>
      </c>
      <c r="E107" s="21" t="n">
        <v>137.601882780435</v>
      </c>
      <c r="F107" s="21" t="n">
        <v>131.71722667653</v>
      </c>
      <c r="G107" s="21" t="n">
        <v>149.693467184009</v>
      </c>
      <c r="H107" s="21" t="n">
        <v>157.15199818795</v>
      </c>
      <c r="I107" s="21" t="n">
        <v>157.207785396284</v>
      </c>
      <c r="J107" s="21" t="n">
        <v>173.604629975964</v>
      </c>
      <c r="K107" s="21" t="n">
        <v>176.285308674448</v>
      </c>
      <c r="L107" s="21" t="n">
        <v>134.035711662797</v>
      </c>
      <c r="M107" s="21" t="n">
        <v>135.58847246618</v>
      </c>
      <c r="N107" s="21" t="n">
        <v>138.865157488172</v>
      </c>
      <c r="O107" s="21" t="n">
        <v>157.264988521717</v>
      </c>
      <c r="P107" s="21" t="n">
        <v>153.418323563599</v>
      </c>
    </row>
    <row r="108" customFormat="false" ht="15" hidden="false" customHeight="false" outlineLevel="0" collapsed="false">
      <c r="A108" s="20" t="n">
        <v>41090</v>
      </c>
      <c r="B108" s="21" t="n">
        <v>88.2615721242674</v>
      </c>
      <c r="C108" s="21" t="n">
        <v>78.2082798788723</v>
      </c>
      <c r="D108" s="21" t="n">
        <v>95.9438131333086</v>
      </c>
      <c r="E108" s="21" t="n">
        <v>137.495851888156</v>
      </c>
      <c r="F108" s="21" t="n">
        <v>133.166301198873</v>
      </c>
      <c r="G108" s="21" t="n">
        <v>149.02902784283</v>
      </c>
      <c r="H108" s="21" t="n">
        <v>157.217977158785</v>
      </c>
      <c r="I108" s="21" t="n">
        <v>157.85973454105</v>
      </c>
      <c r="J108" s="21" t="n">
        <v>174.705255422382</v>
      </c>
      <c r="K108" s="21" t="n">
        <v>173.885922415523</v>
      </c>
      <c r="L108" s="21" t="n">
        <v>133.270368500156</v>
      </c>
      <c r="M108" s="21" t="n">
        <v>135.928291873679</v>
      </c>
      <c r="N108" s="21" t="n">
        <v>139.381708045409</v>
      </c>
      <c r="O108" s="21" t="n">
        <v>157.870268535147</v>
      </c>
      <c r="P108" s="21" t="n">
        <v>154.222540387636</v>
      </c>
    </row>
    <row r="109" customFormat="false" ht="15" hidden="false" customHeight="false" outlineLevel="0" collapsed="false">
      <c r="A109" s="20" t="n">
        <v>41121</v>
      </c>
      <c r="B109" s="21" t="n">
        <v>100.964711210103</v>
      </c>
      <c r="C109" s="21" t="n">
        <v>103.433658405214</v>
      </c>
      <c r="D109" s="21" t="n">
        <v>96.2940045020174</v>
      </c>
      <c r="E109" s="21" t="n">
        <v>141.055906350312</v>
      </c>
      <c r="F109" s="21" t="n">
        <v>134.1718210689</v>
      </c>
      <c r="G109" s="21" t="n">
        <v>149.366720230719</v>
      </c>
      <c r="H109" s="21" t="n">
        <v>161.123226492013</v>
      </c>
      <c r="I109" s="21" t="n">
        <v>159.006064242488</v>
      </c>
      <c r="J109" s="21" t="n">
        <v>178.305553751197</v>
      </c>
      <c r="K109" s="21" t="n">
        <v>179.070723407218</v>
      </c>
      <c r="L109" s="21" t="n">
        <v>131.578802839159</v>
      </c>
      <c r="M109" s="21" t="n">
        <v>136.121078957771</v>
      </c>
      <c r="N109" s="21" t="n">
        <v>139.139229170579</v>
      </c>
      <c r="O109" s="21" t="n">
        <v>157.729808755139</v>
      </c>
      <c r="P109" s="21" t="n">
        <v>155.871359319997</v>
      </c>
    </row>
    <row r="110" customFormat="false" ht="15" hidden="false" customHeight="false" outlineLevel="0" collapsed="false">
      <c r="A110" s="20" t="n">
        <v>41152</v>
      </c>
      <c r="B110" s="21" t="n">
        <v>109.305026832247</v>
      </c>
      <c r="C110" s="21" t="n">
        <v>120.298042041689</v>
      </c>
      <c r="D110" s="21" t="n">
        <v>95.5973360395845</v>
      </c>
      <c r="E110" s="21" t="n">
        <v>139.073602926642</v>
      </c>
      <c r="F110" s="21" t="n">
        <v>133.641536042779</v>
      </c>
      <c r="G110" s="21" t="n">
        <v>148.129020566816</v>
      </c>
      <c r="H110" s="21" t="n">
        <v>160.864407725903</v>
      </c>
      <c r="I110" s="21" t="n">
        <v>157.62159748874</v>
      </c>
      <c r="J110" s="21" t="n">
        <v>176.490792542539</v>
      </c>
      <c r="K110" s="21" t="n">
        <v>181.193709668294</v>
      </c>
      <c r="L110" s="21" t="n">
        <v>134.284902499581</v>
      </c>
      <c r="M110" s="21" t="n">
        <v>136.03894167439</v>
      </c>
      <c r="N110" s="21" t="n">
        <v>139.440541534406</v>
      </c>
      <c r="O110" s="21" t="n">
        <v>158.043206885321</v>
      </c>
      <c r="P110" s="21" t="n">
        <v>153.623774385842</v>
      </c>
    </row>
    <row r="111" customFormat="false" ht="15" hidden="false" customHeight="false" outlineLevel="0" collapsed="false">
      <c r="A111" s="20" t="n">
        <v>41182</v>
      </c>
      <c r="B111" s="21" t="n">
        <v>110.158263343113</v>
      </c>
      <c r="C111" s="21" t="n">
        <v>124.046452680932</v>
      </c>
      <c r="D111" s="21" t="n">
        <v>96.0032029142254</v>
      </c>
      <c r="E111" s="21" t="n">
        <v>137.424064557519</v>
      </c>
      <c r="F111" s="21" t="n">
        <v>132.143762409898</v>
      </c>
      <c r="G111" s="21" t="n">
        <v>146.093645360874</v>
      </c>
      <c r="H111" s="21" t="n">
        <v>155.549386451838</v>
      </c>
      <c r="I111" s="21" t="n">
        <v>157.058167706731</v>
      </c>
      <c r="J111" s="21" t="n">
        <v>174.541077090259</v>
      </c>
      <c r="K111" s="21" t="n">
        <v>178.070234279755</v>
      </c>
      <c r="L111" s="21" t="n">
        <v>131.569326376289</v>
      </c>
      <c r="M111" s="21" t="n">
        <v>136.262652391172</v>
      </c>
      <c r="N111" s="21" t="n">
        <v>139.372344951816</v>
      </c>
      <c r="O111" s="21" t="n">
        <v>158.334049225568</v>
      </c>
      <c r="P111" s="21" t="n">
        <v>153.24802849815</v>
      </c>
    </row>
    <row r="112" customFormat="false" ht="15" hidden="false" customHeight="false" outlineLevel="0" collapsed="false">
      <c r="A112" s="20" t="n">
        <v>41213</v>
      </c>
      <c r="B112" s="21" t="n">
        <v>108.150598697487</v>
      </c>
      <c r="C112" s="21" t="n">
        <v>114.861395500641</v>
      </c>
      <c r="D112" s="21" t="n">
        <v>94.458753366168</v>
      </c>
      <c r="E112" s="21" t="n">
        <v>140.566781911985</v>
      </c>
      <c r="F112" s="21" t="n">
        <v>132.56926868507</v>
      </c>
      <c r="G112" s="21" t="n">
        <v>150.620129118962</v>
      </c>
      <c r="H112" s="21" t="n">
        <v>162.20894308479</v>
      </c>
      <c r="I112" s="21" t="n">
        <v>157.364439454205</v>
      </c>
      <c r="J112" s="21" t="n">
        <v>176.935539119696</v>
      </c>
      <c r="K112" s="21" t="n">
        <v>182.886450639395</v>
      </c>
      <c r="L112" s="21" t="n">
        <v>133.002014472446</v>
      </c>
      <c r="M112" s="21" t="n">
        <v>137.259333454752</v>
      </c>
      <c r="N112" s="21" t="n">
        <v>140.998791146664</v>
      </c>
      <c r="O112" s="21" t="n">
        <v>160.076805799553</v>
      </c>
      <c r="P112" s="21" t="n">
        <v>156.299253094898</v>
      </c>
    </row>
    <row r="113" customFormat="false" ht="15" hidden="false" customHeight="false" outlineLevel="0" collapsed="false">
      <c r="A113" s="20" t="n">
        <v>41243</v>
      </c>
      <c r="B113" s="21" t="n">
        <v>105.138614406595</v>
      </c>
      <c r="C113" s="21" t="n">
        <v>126.881395330598</v>
      </c>
      <c r="D113" s="21" t="n">
        <v>92.842021992952</v>
      </c>
      <c r="E113" s="21" t="n">
        <v>140.745726855084</v>
      </c>
      <c r="F113" s="21" t="n">
        <v>136.510582687764</v>
      </c>
      <c r="G113" s="21" t="n">
        <v>150.623622641548</v>
      </c>
      <c r="H113" s="21" t="n">
        <v>162.767361082848</v>
      </c>
      <c r="I113" s="21" t="n">
        <v>157.881183231612</v>
      </c>
      <c r="J113" s="21" t="n">
        <v>177.57585509065</v>
      </c>
      <c r="K113" s="21" t="n">
        <v>184.538441184514</v>
      </c>
      <c r="L113" s="21" t="n">
        <v>132.845321643812</v>
      </c>
      <c r="M113" s="21" t="n">
        <v>137.28979330929</v>
      </c>
      <c r="N113" s="21" t="n">
        <v>141.081063249447</v>
      </c>
      <c r="O113" s="21" t="n">
        <v>160.324724714375</v>
      </c>
      <c r="P113" s="21" t="n">
        <v>153.800352377507</v>
      </c>
    </row>
    <row r="114" customFormat="false" ht="15" hidden="false" customHeight="false" outlineLevel="0" collapsed="false">
      <c r="A114" s="20" t="n">
        <v>41274</v>
      </c>
      <c r="B114" s="21" t="n">
        <v>96.9917711138576</v>
      </c>
      <c r="C114" s="21" t="n">
        <v>117.064389364998</v>
      </c>
      <c r="D114" s="21" t="n">
        <v>95.0245686338979</v>
      </c>
      <c r="E114" s="21" t="n">
        <v>141.50401585992</v>
      </c>
      <c r="F114" s="21" t="n">
        <v>131.455321340576</v>
      </c>
      <c r="G114" s="21" t="n">
        <v>149.795666846193</v>
      </c>
      <c r="H114" s="21" t="n">
        <v>162.951452818015</v>
      </c>
      <c r="I114" s="21" t="n">
        <v>157.862749134034</v>
      </c>
      <c r="J114" s="21" t="n">
        <v>177.532711153598</v>
      </c>
      <c r="K114" s="21" t="n">
        <v>184.307745273672</v>
      </c>
      <c r="L114" s="21" t="n">
        <v>133.131251600409</v>
      </c>
      <c r="M114" s="21" t="n">
        <v>137.45227857376</v>
      </c>
      <c r="N114" s="21" t="n">
        <v>141.505888170841</v>
      </c>
      <c r="O114" s="21" t="n">
        <v>160.686781442318</v>
      </c>
      <c r="P114" s="21" t="n">
        <v>152.848604434162</v>
      </c>
    </row>
    <row r="115" customFormat="false" ht="15" hidden="false" customHeight="false" outlineLevel="0" collapsed="false">
      <c r="A115" s="20" t="n">
        <v>41305</v>
      </c>
      <c r="B115" s="21" t="n">
        <v>102.606973672781</v>
      </c>
      <c r="C115" s="21" t="n">
        <v>126.022250521172</v>
      </c>
      <c r="D115" s="21" t="n">
        <v>93.1977915434427</v>
      </c>
      <c r="E115" s="21" t="n">
        <v>140.51331978778</v>
      </c>
      <c r="F115" s="21" t="n">
        <v>130.591096062604</v>
      </c>
      <c r="G115" s="21" t="n">
        <v>148.939926866574</v>
      </c>
      <c r="H115" s="21" t="n">
        <v>162.862289196913</v>
      </c>
      <c r="I115" s="21" t="n">
        <v>156.0624335018</v>
      </c>
      <c r="J115" s="21" t="n">
        <v>176.977704780893</v>
      </c>
      <c r="K115" s="21" t="n">
        <v>180.537558003718</v>
      </c>
      <c r="L115" s="21" t="n">
        <v>134.07224050619</v>
      </c>
      <c r="M115" s="21" t="n">
        <v>137.392988959416</v>
      </c>
      <c r="N115" s="21" t="n">
        <v>141.801169220155</v>
      </c>
      <c r="O115" s="21" t="n">
        <v>160.416470247971</v>
      </c>
      <c r="P115" s="21" t="n">
        <v>149.756624020838</v>
      </c>
    </row>
    <row r="116" customFormat="false" ht="15" hidden="false" customHeight="false" outlineLevel="0" collapsed="false">
      <c r="A116" s="20" t="n">
        <v>41333</v>
      </c>
      <c r="B116" s="21" t="n">
        <v>109.492064374874</v>
      </c>
      <c r="C116" s="21" t="n">
        <v>159.474106463719</v>
      </c>
      <c r="D116" s="21" t="n">
        <v>91.7832656646758</v>
      </c>
      <c r="E116" s="21" t="n">
        <v>138.715100713176</v>
      </c>
      <c r="F116" s="21" t="n">
        <v>131.553817235967</v>
      </c>
      <c r="G116" s="21" t="n">
        <v>149.311957800771</v>
      </c>
      <c r="H116" s="21" t="n">
        <v>162.475448012465</v>
      </c>
      <c r="I116" s="21" t="n">
        <v>157.233676523539</v>
      </c>
      <c r="J116" s="21" t="n">
        <v>175.762279950543</v>
      </c>
      <c r="K116" s="21" t="n">
        <v>180.507400258479</v>
      </c>
      <c r="L116" s="21" t="n">
        <v>133.63845489083</v>
      </c>
      <c r="M116" s="21" t="n">
        <v>139.10813790671</v>
      </c>
      <c r="N116" s="21" t="n">
        <v>142.289444059505</v>
      </c>
      <c r="O116" s="21" t="n">
        <v>160.909269512384</v>
      </c>
      <c r="P116" s="21" t="n">
        <v>149.91367227586</v>
      </c>
    </row>
    <row r="117" customFormat="false" ht="15" hidden="false" customHeight="false" outlineLevel="0" collapsed="false">
      <c r="A117" s="20" t="n">
        <v>41364</v>
      </c>
      <c r="B117" s="21" t="n">
        <v>110.017361498489</v>
      </c>
      <c r="C117" s="21" t="n">
        <v>101.430642810164</v>
      </c>
      <c r="D117" s="21" t="n">
        <v>91.4876545928724</v>
      </c>
      <c r="E117" s="21" t="n">
        <v>140.946688079678</v>
      </c>
      <c r="F117" s="21" t="n">
        <v>129.933416352563</v>
      </c>
      <c r="G117" s="21" t="n">
        <v>149.416342314297</v>
      </c>
      <c r="H117" s="21" t="n">
        <v>164.895641136148</v>
      </c>
      <c r="I117" s="21" t="n">
        <v>160.206818923565</v>
      </c>
      <c r="J117" s="21" t="n">
        <v>180.073866863495</v>
      </c>
      <c r="K117" s="21" t="n">
        <v>181.801441825907</v>
      </c>
      <c r="L117" s="21" t="n">
        <v>134.467895579411</v>
      </c>
      <c r="M117" s="21" t="n">
        <v>137.75512537548</v>
      </c>
      <c r="N117" s="21" t="n">
        <v>142.668712551486</v>
      </c>
      <c r="O117" s="21" t="n">
        <v>161.579835529996</v>
      </c>
      <c r="P117" s="21" t="n">
        <v>150.3094404081</v>
      </c>
    </row>
    <row r="118" customFormat="false" ht="15" hidden="false" customHeight="false" outlineLevel="0" collapsed="false">
      <c r="A118" s="20" t="n">
        <v>41394</v>
      </c>
      <c r="B118" s="21" t="n">
        <v>106.442088789262</v>
      </c>
      <c r="C118" s="21" t="n">
        <v>147.46993828838</v>
      </c>
      <c r="D118" s="21" t="n">
        <v>93.2767597009892</v>
      </c>
      <c r="E118" s="21" t="n">
        <v>144.469970637188</v>
      </c>
      <c r="F118" s="21" t="n">
        <v>134.962948355836</v>
      </c>
      <c r="G118" s="21" t="n">
        <v>152.0518478587</v>
      </c>
      <c r="H118" s="21" t="n">
        <v>172.173620683958</v>
      </c>
      <c r="I118" s="21" t="n">
        <v>159.25534917991</v>
      </c>
      <c r="J118" s="21" t="n">
        <v>180.695472769015</v>
      </c>
      <c r="K118" s="21" t="n">
        <v>184.10565693241</v>
      </c>
      <c r="L118" s="21" t="n">
        <v>134.914119220194</v>
      </c>
      <c r="M118" s="21" t="n">
        <v>138.584678561838</v>
      </c>
      <c r="N118" s="21" t="n">
        <v>142.617719983173</v>
      </c>
      <c r="O118" s="21" t="n">
        <v>161.465575414264</v>
      </c>
      <c r="P118" s="21" t="n">
        <v>149.38670639451</v>
      </c>
    </row>
    <row r="119" customFormat="false" ht="15" hidden="false" customHeight="false" outlineLevel="0" collapsed="false">
      <c r="A119" s="20" t="n">
        <v>41425</v>
      </c>
      <c r="B119" s="21" t="n">
        <v>106.185471487462</v>
      </c>
      <c r="C119" s="21" t="n">
        <v>119.864631144094</v>
      </c>
      <c r="D119" s="21" t="n">
        <v>92.0533243019928</v>
      </c>
      <c r="E119" s="21" t="n">
        <v>143.963342958949</v>
      </c>
      <c r="F119" s="21" t="n">
        <v>133.51073015606</v>
      </c>
      <c r="G119" s="21" t="n">
        <v>151.273855680404</v>
      </c>
      <c r="H119" s="21" t="n">
        <v>167.226667064875</v>
      </c>
      <c r="I119" s="21" t="n">
        <v>160.218804811343</v>
      </c>
      <c r="J119" s="21" t="n">
        <v>181.64510456867</v>
      </c>
      <c r="K119" s="21" t="n">
        <v>182.922868938507</v>
      </c>
      <c r="L119" s="21" t="n">
        <v>135.488640747158</v>
      </c>
      <c r="M119" s="21" t="n">
        <v>139.005062821878</v>
      </c>
      <c r="N119" s="21" t="n">
        <v>142.694535258728</v>
      </c>
      <c r="O119" s="21" t="n">
        <v>161.860247916362</v>
      </c>
      <c r="P119" s="21" t="n">
        <v>151.342361643233</v>
      </c>
    </row>
    <row r="120" customFormat="false" ht="15" hidden="false" customHeight="false" outlineLevel="0" collapsed="false">
      <c r="A120" s="20" t="n">
        <v>41455</v>
      </c>
      <c r="B120" s="21" t="n">
        <v>105.637477687247</v>
      </c>
      <c r="C120" s="21" t="n">
        <v>158.541150356856</v>
      </c>
      <c r="D120" s="21" t="n">
        <v>92.8187064939914</v>
      </c>
      <c r="E120" s="21" t="n">
        <v>141.150024759188</v>
      </c>
      <c r="F120" s="21" t="n">
        <v>132.197204525685</v>
      </c>
      <c r="G120" s="21" t="n">
        <v>149.499749780702</v>
      </c>
      <c r="H120" s="21" t="n">
        <v>162.437871089772</v>
      </c>
      <c r="I120" s="21" t="n">
        <v>161.211899817954</v>
      </c>
      <c r="J120" s="21" t="n">
        <v>180.369250858379</v>
      </c>
      <c r="K120" s="21" t="n">
        <v>185.529045734142</v>
      </c>
      <c r="L120" s="21" t="n">
        <v>132.748927473522</v>
      </c>
      <c r="M120" s="21" t="n">
        <v>139.518001244635</v>
      </c>
      <c r="N120" s="21" t="n">
        <v>143.202644285749</v>
      </c>
      <c r="O120" s="21" t="n">
        <v>162.216634730038</v>
      </c>
      <c r="P120" s="21" t="n">
        <v>154.891345054156</v>
      </c>
    </row>
    <row r="121" customFormat="false" ht="15" hidden="false" customHeight="false" outlineLevel="0" collapsed="false">
      <c r="A121" s="20" t="n">
        <v>41486</v>
      </c>
      <c r="B121" s="21" t="n">
        <v>105.349815139691</v>
      </c>
      <c r="C121" s="21" t="n">
        <v>159.779852127394</v>
      </c>
      <c r="D121" s="21" t="n">
        <v>92.2907210758653</v>
      </c>
      <c r="E121" s="21" t="n">
        <v>141.177934995708</v>
      </c>
      <c r="F121" s="21" t="n">
        <v>134.245712642777</v>
      </c>
      <c r="G121" s="21" t="n">
        <v>150.263496184518</v>
      </c>
      <c r="H121" s="21" t="n">
        <v>164.706610888894</v>
      </c>
      <c r="I121" s="21" t="n">
        <v>159.512534079302</v>
      </c>
      <c r="J121" s="21" t="n">
        <v>180.755889144755</v>
      </c>
      <c r="K121" s="21" t="n">
        <v>183.718196272531</v>
      </c>
      <c r="L121" s="21" t="n">
        <v>134.598164950452</v>
      </c>
      <c r="M121" s="21" t="n">
        <v>139.439357381328</v>
      </c>
      <c r="N121" s="21" t="n">
        <v>143.7860530113</v>
      </c>
      <c r="O121" s="21" t="n">
        <v>162.59504801208</v>
      </c>
      <c r="P121" s="21" t="n">
        <v>153.956339105383</v>
      </c>
    </row>
    <row r="122" customFormat="false" ht="15" hidden="false" customHeight="false" outlineLevel="0" collapsed="false">
      <c r="A122" s="20" t="n">
        <v>41517</v>
      </c>
      <c r="B122" s="21" t="n">
        <v>104.744666282101</v>
      </c>
      <c r="C122" s="21" t="n">
        <v>130.396554662081</v>
      </c>
      <c r="D122" s="21" t="n">
        <v>91.9964015599577</v>
      </c>
      <c r="E122" s="21" t="n">
        <v>143.849579061307</v>
      </c>
      <c r="F122" s="21" t="n">
        <v>137.816705563816</v>
      </c>
      <c r="G122" s="21" t="n">
        <v>150.510246561801</v>
      </c>
      <c r="H122" s="21" t="n">
        <v>163.136171067679</v>
      </c>
      <c r="I122" s="21" t="n">
        <v>159.03255802907</v>
      </c>
      <c r="J122" s="21" t="n">
        <v>182.198419011373</v>
      </c>
      <c r="K122" s="21" t="n">
        <v>184.318699107006</v>
      </c>
      <c r="L122" s="21" t="n">
        <v>134.16406494782</v>
      </c>
      <c r="M122" s="21" t="n">
        <v>140.100889573214</v>
      </c>
      <c r="N122" s="21" t="n">
        <v>143.782570947704</v>
      </c>
      <c r="O122" s="21" t="n">
        <v>162.867456671672</v>
      </c>
      <c r="P122" s="21" t="n">
        <v>153.312350238831</v>
      </c>
    </row>
    <row r="123" customFormat="false" ht="15" hidden="false" customHeight="false" outlineLevel="0" collapsed="false">
      <c r="A123" s="20" t="n">
        <v>41547</v>
      </c>
      <c r="B123" s="21" t="n">
        <v>104.44145172204</v>
      </c>
      <c r="C123" s="21" t="n">
        <v>131.626450024843</v>
      </c>
      <c r="D123" s="21" t="n">
        <v>91.071958204778</v>
      </c>
      <c r="E123" s="21" t="n">
        <v>144.195317910709</v>
      </c>
      <c r="F123" s="21" t="n">
        <v>138.747967792875</v>
      </c>
      <c r="G123" s="21" t="n">
        <v>150.347346761226</v>
      </c>
      <c r="H123" s="21" t="n">
        <v>162.632532459463</v>
      </c>
      <c r="I123" s="21" t="n">
        <v>158.85720249657</v>
      </c>
      <c r="J123" s="21" t="n">
        <v>181.48852362902</v>
      </c>
      <c r="K123" s="21" t="n">
        <v>184.135810889531</v>
      </c>
      <c r="L123" s="21" t="n">
        <v>134.240814573424</v>
      </c>
      <c r="M123" s="21" t="n">
        <v>140.363104726751</v>
      </c>
      <c r="N123" s="21" t="n">
        <v>144.253456161212</v>
      </c>
      <c r="O123" s="21" t="n">
        <v>163.341567544273</v>
      </c>
      <c r="P123" s="21" t="n">
        <v>154.161318551204</v>
      </c>
    </row>
    <row r="124" customFormat="false" ht="15" hidden="false" customHeight="false" outlineLevel="0" collapsed="false">
      <c r="A124" s="20" t="n">
        <v>41578</v>
      </c>
      <c r="B124" s="21" t="n">
        <v>105.747001272157</v>
      </c>
      <c r="C124" s="21" t="n">
        <v>137.811334134345</v>
      </c>
      <c r="D124" s="21" t="n">
        <v>91.9964053245479</v>
      </c>
      <c r="E124" s="21" t="n">
        <v>142.81029859117</v>
      </c>
      <c r="F124" s="21" t="n">
        <v>134.337394224312</v>
      </c>
      <c r="G124" s="21" t="n">
        <v>150.046192529699</v>
      </c>
      <c r="H124" s="21" t="n">
        <v>162.711683409757</v>
      </c>
      <c r="I124" s="21" t="n">
        <v>155.370093478929</v>
      </c>
      <c r="J124" s="21" t="n">
        <v>181.162611580989</v>
      </c>
      <c r="K124" s="21" t="n">
        <v>182.663091187343</v>
      </c>
      <c r="L124" s="21" t="n">
        <v>134.814364162688</v>
      </c>
      <c r="M124" s="21" t="n">
        <v>140.563132501701</v>
      </c>
      <c r="N124" s="21" t="n">
        <v>143.44966371913</v>
      </c>
      <c r="O124" s="21" t="n">
        <v>163.013338566929</v>
      </c>
      <c r="P124" s="21" t="n">
        <v>150.640539733042</v>
      </c>
    </row>
    <row r="125" customFormat="false" ht="15" hidden="false" customHeight="false" outlineLevel="0" collapsed="false">
      <c r="A125" s="20" t="n">
        <v>41608</v>
      </c>
      <c r="B125" s="21" t="n">
        <v>105.492070388813</v>
      </c>
      <c r="C125" s="21" t="n">
        <v>139.485933134157</v>
      </c>
      <c r="D125" s="21" t="n">
        <v>91.917288255531</v>
      </c>
      <c r="E125" s="21" t="n">
        <v>141.519460068616</v>
      </c>
      <c r="F125" s="21" t="n">
        <v>133.394101470895</v>
      </c>
      <c r="G125" s="21" t="n">
        <v>148.238651405368</v>
      </c>
      <c r="H125" s="21" t="n">
        <v>159.323498476912</v>
      </c>
      <c r="I125" s="21" t="n">
        <v>154.930756218145</v>
      </c>
      <c r="J125" s="21" t="n">
        <v>182.075973765828</v>
      </c>
      <c r="K125" s="21" t="n">
        <v>181.278371371097</v>
      </c>
      <c r="L125" s="21" t="n">
        <v>134.645419837953</v>
      </c>
      <c r="M125" s="21" t="n">
        <v>141.05523907058</v>
      </c>
      <c r="N125" s="21" t="n">
        <v>144.098066284222</v>
      </c>
      <c r="O125" s="21" t="n">
        <v>163.417671708066</v>
      </c>
      <c r="P125" s="21" t="n">
        <v>152.892479046517</v>
      </c>
    </row>
    <row r="126" customFormat="false" ht="15" hidden="false" customHeight="false" outlineLevel="0" collapsed="false">
      <c r="A126" s="20" t="n">
        <v>41639</v>
      </c>
      <c r="B126" s="21" t="n">
        <v>105.038386347791</v>
      </c>
      <c r="C126" s="21" t="n">
        <v>134.868956137593</v>
      </c>
      <c r="D126" s="21" t="n">
        <v>92.128791458135</v>
      </c>
      <c r="E126" s="21" t="n">
        <v>141.371073488718</v>
      </c>
      <c r="F126" s="21" t="n">
        <v>142.86208947001</v>
      </c>
      <c r="G126" s="21" t="n">
        <v>148.215393254875</v>
      </c>
      <c r="H126" s="21" t="n">
        <v>157.96577630214</v>
      </c>
      <c r="I126" s="21" t="n">
        <v>153.8812245273</v>
      </c>
      <c r="J126" s="21" t="n">
        <v>180.261149165908</v>
      </c>
      <c r="K126" s="21" t="n">
        <v>184.1764020416</v>
      </c>
      <c r="L126" s="21" t="n">
        <v>134.50807008465</v>
      </c>
      <c r="M126" s="21" t="n">
        <v>141.663883070385</v>
      </c>
      <c r="N126" s="21" t="n">
        <v>144.949182082457</v>
      </c>
      <c r="O126" s="21" t="n">
        <v>164.079814439042</v>
      </c>
      <c r="P126" s="21" t="n">
        <v>150.290118624966</v>
      </c>
    </row>
    <row r="127" customFormat="false" ht="15" hidden="false" customHeight="false" outlineLevel="0" collapsed="false">
      <c r="A127" s="20" t="n">
        <v>41670</v>
      </c>
      <c r="B127" s="21" t="n">
        <v>108.313971788084</v>
      </c>
      <c r="C127" s="21" t="n">
        <v>134.641552596024</v>
      </c>
      <c r="D127" s="21" t="n">
        <v>93.804267943356</v>
      </c>
      <c r="E127" s="21" t="n">
        <v>141.147130720439</v>
      </c>
      <c r="F127" s="21" t="n">
        <v>139.863481641504</v>
      </c>
      <c r="G127" s="21" t="n">
        <v>150.519569142656</v>
      </c>
      <c r="H127" s="21" t="n">
        <v>161.849118388141</v>
      </c>
      <c r="I127" s="21" t="n">
        <v>154.981554496564</v>
      </c>
      <c r="J127" s="21" t="n">
        <v>180.205963507856</v>
      </c>
      <c r="K127" s="21" t="n">
        <v>188.754253450117</v>
      </c>
      <c r="L127" s="21" t="n">
        <v>134.230056167755</v>
      </c>
      <c r="M127" s="21" t="n">
        <v>142.167625891785</v>
      </c>
      <c r="N127" s="21" t="n">
        <v>145.006882785112</v>
      </c>
      <c r="O127" s="21" t="n">
        <v>163.568307321061</v>
      </c>
      <c r="P127" s="21" t="n">
        <v>152.981050994546</v>
      </c>
    </row>
    <row r="128" customFormat="false" ht="15" hidden="false" customHeight="false" outlineLevel="0" collapsed="false">
      <c r="A128" s="20" t="n">
        <v>41698</v>
      </c>
      <c r="B128" s="21" t="n">
        <v>105.716314763294</v>
      </c>
      <c r="C128" s="21" t="n">
        <v>119.768680624995</v>
      </c>
      <c r="D128" s="21" t="n">
        <v>93.284026579628</v>
      </c>
      <c r="E128" s="21" t="n">
        <v>138.961280820524</v>
      </c>
      <c r="F128" s="21" t="n">
        <v>132.164260222353</v>
      </c>
      <c r="G128" s="21" t="n">
        <v>149.573050846891</v>
      </c>
      <c r="H128" s="21" t="n">
        <v>156.522810697944</v>
      </c>
      <c r="I128" s="21" t="n">
        <v>153.893093163705</v>
      </c>
      <c r="J128" s="21" t="n">
        <v>181.006329840567</v>
      </c>
      <c r="K128" s="21" t="n">
        <v>183.821363277289</v>
      </c>
      <c r="L128" s="21" t="n">
        <v>134.473509554209</v>
      </c>
      <c r="M128" s="21" t="n">
        <v>141.829354819751</v>
      </c>
      <c r="N128" s="21" t="n">
        <v>145.986218448213</v>
      </c>
      <c r="O128" s="21" t="n">
        <v>163.482476749892</v>
      </c>
      <c r="P128" s="21" t="n">
        <v>148.412319826146</v>
      </c>
    </row>
    <row r="129" customFormat="false" ht="15" hidden="false" customHeight="false" outlineLevel="0" collapsed="false">
      <c r="A129" s="20" t="n">
        <v>41729</v>
      </c>
      <c r="B129" s="21" t="n">
        <v>103.834906407466</v>
      </c>
      <c r="C129" s="21" t="n">
        <v>156.217787264421</v>
      </c>
      <c r="D129" s="21" t="n">
        <v>94.0099542052308</v>
      </c>
      <c r="E129" s="21" t="n">
        <v>135.713449402128</v>
      </c>
      <c r="F129" s="21" t="n">
        <v>132.183068532097</v>
      </c>
      <c r="G129" s="21" t="n">
        <v>148.373569919529</v>
      </c>
      <c r="H129" s="21" t="n">
        <v>148.657974467129</v>
      </c>
      <c r="I129" s="21" t="n">
        <v>153.367493284852</v>
      </c>
      <c r="J129" s="21" t="n">
        <v>179.055404399083</v>
      </c>
      <c r="K129" s="21" t="n">
        <v>178.47458173455</v>
      </c>
      <c r="L129" s="21" t="n">
        <v>131.85579274858</v>
      </c>
      <c r="M129" s="21" t="n">
        <v>142.605402494662</v>
      </c>
      <c r="N129" s="21" t="n">
        <v>145.730040450869</v>
      </c>
      <c r="O129" s="21" t="n">
        <v>163.741245057023</v>
      </c>
      <c r="P129" s="21" t="n">
        <v>151.605506608157</v>
      </c>
    </row>
    <row r="130" customFormat="false" ht="15" hidden="false" customHeight="false" outlineLevel="0" collapsed="false">
      <c r="A130" s="20" t="n">
        <v>41759</v>
      </c>
      <c r="B130" s="21" t="n">
        <v>108.303101842847</v>
      </c>
      <c r="C130" s="21" t="n">
        <v>134.476763844255</v>
      </c>
      <c r="D130" s="21" t="n">
        <v>91.9242044678846</v>
      </c>
      <c r="E130" s="21" t="n">
        <v>135.397115616154</v>
      </c>
      <c r="F130" s="21" t="n">
        <v>136.280747631729</v>
      </c>
      <c r="G130" s="21" t="n">
        <v>147.829040841545</v>
      </c>
      <c r="H130" s="21" t="n">
        <v>153.348450022534</v>
      </c>
      <c r="I130" s="21" t="n">
        <v>154.524871755503</v>
      </c>
      <c r="J130" s="21" t="n">
        <v>181.548084308387</v>
      </c>
      <c r="K130" s="21" t="n">
        <v>179.461783510579</v>
      </c>
      <c r="L130" s="21" t="n">
        <v>132.780748523258</v>
      </c>
      <c r="M130" s="21" t="n">
        <v>142.896339593438</v>
      </c>
      <c r="N130" s="21" t="n">
        <v>146.392006222367</v>
      </c>
      <c r="O130" s="21" t="n">
        <v>164.346817698944</v>
      </c>
      <c r="P130" s="21" t="n">
        <v>149.254850047923</v>
      </c>
    </row>
    <row r="131" customFormat="false" ht="15" hidden="false" customHeight="false" outlineLevel="0" collapsed="false">
      <c r="A131" s="20" t="n">
        <v>41790</v>
      </c>
      <c r="B131" s="21" t="n">
        <v>109.649617527462</v>
      </c>
      <c r="C131" s="21" t="n">
        <v>155.035820057772</v>
      </c>
      <c r="D131" s="21" t="n">
        <v>94.3832819092443</v>
      </c>
      <c r="E131" s="21" t="n">
        <v>136.197663685589</v>
      </c>
      <c r="F131" s="21" t="n">
        <v>138.156535217489</v>
      </c>
      <c r="G131" s="21" t="n">
        <v>147.147630119886</v>
      </c>
      <c r="H131" s="21" t="n">
        <v>153.181479513197</v>
      </c>
      <c r="I131" s="21" t="n">
        <v>155.57986027304</v>
      </c>
      <c r="J131" s="21" t="n">
        <v>182.62207364364</v>
      </c>
      <c r="K131" s="21" t="n">
        <v>180.024159153165</v>
      </c>
      <c r="L131" s="21" t="n">
        <v>132.93978561374</v>
      </c>
      <c r="M131" s="21" t="n">
        <v>143.445008152282</v>
      </c>
      <c r="N131" s="21" t="n">
        <v>146.840156834804</v>
      </c>
      <c r="O131" s="21" t="n">
        <v>164.45019964719</v>
      </c>
      <c r="P131" s="21" t="n">
        <v>148.995105197803</v>
      </c>
    </row>
    <row r="132" customFormat="false" ht="15" hidden="false" customHeight="false" outlineLevel="0" collapsed="false">
      <c r="A132" s="20" t="n">
        <v>41820</v>
      </c>
      <c r="B132" s="21" t="n">
        <v>108.92582206293</v>
      </c>
      <c r="C132" s="21" t="n">
        <v>158.361202909873</v>
      </c>
      <c r="D132" s="21" t="n">
        <v>93.8405941820807</v>
      </c>
      <c r="E132" s="21" t="n">
        <v>134.989841382668</v>
      </c>
      <c r="F132" s="21" t="n">
        <v>139.951025536138</v>
      </c>
      <c r="G132" s="21" t="n">
        <v>148.062767338889</v>
      </c>
      <c r="H132" s="21" t="n">
        <v>148.931361317029</v>
      </c>
      <c r="I132" s="21" t="n">
        <v>154.256293965921</v>
      </c>
      <c r="J132" s="21" t="n">
        <v>182.613752876324</v>
      </c>
      <c r="K132" s="21" t="n">
        <v>177.43797614593</v>
      </c>
      <c r="L132" s="21" t="n">
        <v>135.197900965904</v>
      </c>
      <c r="M132" s="21" t="n">
        <v>143.505531663582</v>
      </c>
      <c r="N132" s="21" t="n">
        <v>147.064090215185</v>
      </c>
      <c r="O132" s="21" t="n">
        <v>164.799331045384</v>
      </c>
      <c r="P132" s="21" t="n">
        <v>144.938463783778</v>
      </c>
    </row>
    <row r="133" customFormat="false" ht="15" hidden="false" customHeight="false" outlineLevel="0" collapsed="false">
      <c r="A133" s="20" t="n">
        <v>41851</v>
      </c>
      <c r="B133" s="21" t="n">
        <v>107.474067975269</v>
      </c>
      <c r="C133" s="21" t="n">
        <v>125.392057311888</v>
      </c>
      <c r="D133" s="21" t="n">
        <v>92.8037894462146</v>
      </c>
      <c r="E133" s="21" t="n">
        <v>134.434082447971</v>
      </c>
      <c r="F133" s="21" t="n">
        <v>138.453306686357</v>
      </c>
      <c r="G133" s="21" t="n">
        <v>145.232868150223</v>
      </c>
      <c r="H133" s="21" t="n">
        <v>151.361564875256</v>
      </c>
      <c r="I133" s="21" t="n">
        <v>155.526711825985</v>
      </c>
      <c r="J133" s="21" t="n">
        <v>181.063021554011</v>
      </c>
      <c r="K133" s="21" t="n">
        <v>177.118340228878</v>
      </c>
      <c r="L133" s="21" t="n">
        <v>133.531385460146</v>
      </c>
      <c r="M133" s="21" t="n">
        <v>143.995184492508</v>
      </c>
      <c r="N133" s="21" t="n">
        <v>147.415885238666</v>
      </c>
      <c r="O133" s="21" t="n">
        <v>165.240888576281</v>
      </c>
      <c r="P133" s="21" t="n">
        <v>142.697380885333</v>
      </c>
    </row>
    <row r="134" customFormat="false" ht="15" hidden="false" customHeight="false" outlineLevel="0" collapsed="false">
      <c r="A134" s="20" t="n">
        <v>41882</v>
      </c>
      <c r="B134" s="21" t="n">
        <v>105.440013718992</v>
      </c>
      <c r="C134" s="21" t="n">
        <v>125.079959204797</v>
      </c>
      <c r="D134" s="21" t="n">
        <v>92.4399963038807</v>
      </c>
      <c r="E134" s="21" t="n">
        <v>131.746351137688</v>
      </c>
      <c r="F134" s="21" t="n">
        <v>134.465979338248</v>
      </c>
      <c r="G134" s="21" t="n">
        <v>143.560787885155</v>
      </c>
      <c r="H134" s="21" t="n">
        <v>147.524797428293</v>
      </c>
      <c r="I134" s="21" t="n">
        <v>157.07336764958</v>
      </c>
      <c r="J134" s="21" t="n">
        <v>180.243592840281</v>
      </c>
      <c r="K134" s="21" t="n">
        <v>174.363682595103</v>
      </c>
      <c r="L134" s="21" t="n">
        <v>133.232410996647</v>
      </c>
      <c r="M134" s="21" t="n">
        <v>144.407451531325</v>
      </c>
      <c r="N134" s="21" t="n">
        <v>147.76553287911</v>
      </c>
      <c r="O134" s="21" t="n">
        <v>165.612420575301</v>
      </c>
      <c r="P134" s="21" t="n">
        <v>149.008705878623</v>
      </c>
    </row>
    <row r="135" customFormat="false" ht="15" hidden="false" customHeight="false" outlineLevel="0" collapsed="false">
      <c r="A135" s="20" t="n">
        <v>41912</v>
      </c>
      <c r="B135" s="21" t="n">
        <v>108.267978861363</v>
      </c>
      <c r="C135" s="21" t="n">
        <v>138.598405076898</v>
      </c>
      <c r="D135" s="21" t="n">
        <v>93.455960769364</v>
      </c>
      <c r="E135" s="21" t="n">
        <v>133.354936017487</v>
      </c>
      <c r="F135" s="21" t="n">
        <v>135.57476609154</v>
      </c>
      <c r="G135" s="21" t="n">
        <v>145.472106370418</v>
      </c>
      <c r="H135" s="21" t="n">
        <v>152.95435678694</v>
      </c>
      <c r="I135" s="21" t="n">
        <v>156.996484263829</v>
      </c>
      <c r="J135" s="21" t="n">
        <v>181.812674209107</v>
      </c>
      <c r="K135" s="21" t="n">
        <v>177.436276706583</v>
      </c>
      <c r="L135" s="21" t="n">
        <v>134.548332045343</v>
      </c>
      <c r="M135" s="21" t="n">
        <v>144.9523832374</v>
      </c>
      <c r="N135" s="21" t="n">
        <v>148.151397894455</v>
      </c>
      <c r="O135" s="21" t="n">
        <v>165.721784381727</v>
      </c>
      <c r="P135" s="21" t="n">
        <v>150.969689298494</v>
      </c>
    </row>
    <row r="136" customFormat="false" ht="15" hidden="false" customHeight="false" outlineLevel="0" collapsed="false">
      <c r="A136" s="20" t="n">
        <v>41943</v>
      </c>
      <c r="B136" s="21" t="n">
        <v>105.963540067167</v>
      </c>
      <c r="C136" s="21" t="n">
        <v>148.030627981342</v>
      </c>
      <c r="D136" s="21" t="n">
        <v>94.07111973474</v>
      </c>
      <c r="E136" s="21" t="n">
        <v>133.811692652007</v>
      </c>
      <c r="F136" s="21" t="n">
        <v>142.75371676137</v>
      </c>
      <c r="G136" s="21" t="n">
        <v>144.744929577564</v>
      </c>
      <c r="H136" s="21" t="n">
        <v>152.714109868879</v>
      </c>
      <c r="I136" s="21" t="n">
        <v>158.646591193562</v>
      </c>
      <c r="J136" s="21" t="n">
        <v>183.476734520795</v>
      </c>
      <c r="K136" s="21" t="n">
        <v>176.176600459999</v>
      </c>
      <c r="L136" s="21" t="n">
        <v>134.070147569004</v>
      </c>
      <c r="M136" s="21" t="n">
        <v>145.123724976914</v>
      </c>
      <c r="N136" s="21" t="n">
        <v>148.990234691843</v>
      </c>
      <c r="O136" s="21" t="n">
        <v>166.557928551632</v>
      </c>
      <c r="P136" s="21" t="n">
        <v>149.32947078142</v>
      </c>
    </row>
    <row r="137" customFormat="false" ht="15" hidden="false" customHeight="false" outlineLevel="0" collapsed="false">
      <c r="A137" s="20" t="n">
        <v>41973</v>
      </c>
      <c r="B137" s="21" t="n">
        <v>106.635221090031</v>
      </c>
      <c r="C137" s="21" t="n">
        <v>140.412574277815</v>
      </c>
      <c r="D137" s="21" t="n">
        <v>94.4218192928807</v>
      </c>
      <c r="E137" s="21" t="n">
        <v>132.475867956382</v>
      </c>
      <c r="F137" s="21" t="n">
        <v>141.416533354748</v>
      </c>
      <c r="G137" s="21" t="n">
        <v>144.921313939012</v>
      </c>
      <c r="H137" s="21" t="n">
        <v>148.735908415596</v>
      </c>
      <c r="I137" s="21" t="n">
        <v>158.000424880009</v>
      </c>
      <c r="J137" s="21" t="n">
        <v>183.22849787492</v>
      </c>
      <c r="K137" s="21" t="n">
        <v>171.891192236544</v>
      </c>
      <c r="L137" s="21" t="n">
        <v>133.436242569196</v>
      </c>
      <c r="M137" s="21" t="n">
        <v>145.568681679608</v>
      </c>
      <c r="N137" s="21" t="n">
        <v>149.084733012967</v>
      </c>
      <c r="O137" s="21" t="n">
        <v>166.817944417436</v>
      </c>
      <c r="P137" s="21" t="n">
        <v>149.977813334927</v>
      </c>
    </row>
    <row r="138" customFormat="false" ht="15" hidden="false" customHeight="false" outlineLevel="0" collapsed="false">
      <c r="A138" s="20" t="n">
        <v>42004</v>
      </c>
      <c r="B138" s="21" t="n">
        <v>109.696068098284</v>
      </c>
      <c r="C138" s="21" t="n">
        <v>130.043596428846</v>
      </c>
      <c r="D138" s="21" t="n">
        <v>94.4002114939638</v>
      </c>
      <c r="E138" s="21" t="n">
        <v>133.285133601105</v>
      </c>
      <c r="F138" s="21" t="n">
        <v>136.490254037861</v>
      </c>
      <c r="G138" s="21" t="n">
        <v>146.855145611638</v>
      </c>
      <c r="H138" s="21" t="n">
        <v>154.57373758619</v>
      </c>
      <c r="I138" s="21" t="n">
        <v>158.614581142388</v>
      </c>
      <c r="J138" s="21" t="n">
        <v>184.770859408825</v>
      </c>
      <c r="K138" s="21" t="n">
        <v>171.221810671609</v>
      </c>
      <c r="L138" s="21" t="n">
        <v>134.214135174716</v>
      </c>
      <c r="M138" s="21" t="n">
        <v>146.05489884906</v>
      </c>
      <c r="N138" s="21" t="n">
        <v>148.974443317008</v>
      </c>
      <c r="O138" s="21" t="n">
        <v>166.929339179601</v>
      </c>
      <c r="P138" s="21" t="n">
        <v>150.740898936186</v>
      </c>
    </row>
    <row r="139" customFormat="false" ht="15" hidden="false" customHeight="false" outlineLevel="0" collapsed="false">
      <c r="A139" s="20" t="n">
        <v>42035</v>
      </c>
      <c r="B139" s="21" t="n">
        <v>105.26773006746</v>
      </c>
      <c r="C139" s="21" t="n">
        <v>127.642259607742</v>
      </c>
      <c r="D139" s="21" t="n">
        <v>95.4346300568952</v>
      </c>
      <c r="E139" s="21" t="n">
        <v>134.703762622931</v>
      </c>
      <c r="F139" s="21" t="n">
        <v>139.323922270357</v>
      </c>
      <c r="G139" s="21" t="n">
        <v>146.650183450713</v>
      </c>
      <c r="H139" s="21" t="n">
        <v>152.361240930835</v>
      </c>
      <c r="I139" s="21" t="n">
        <v>160.356161468018</v>
      </c>
      <c r="J139" s="21" t="n">
        <v>183.164845752803</v>
      </c>
      <c r="K139" s="21" t="n">
        <v>172.904794735285</v>
      </c>
      <c r="L139" s="21" t="n">
        <v>134.510908968385</v>
      </c>
      <c r="M139" s="21" t="n">
        <v>146.386992662097</v>
      </c>
      <c r="N139" s="21" t="n">
        <v>149.839498154941</v>
      </c>
      <c r="O139" s="21" t="n">
        <v>167.585600813558</v>
      </c>
      <c r="P139" s="21" t="n">
        <v>151.151315172734</v>
      </c>
    </row>
    <row r="140" customFormat="false" ht="15" hidden="false" customHeight="false" outlineLevel="0" collapsed="false">
      <c r="A140" s="20" t="n">
        <v>42063</v>
      </c>
      <c r="B140" s="21" t="n">
        <v>109.064492281238</v>
      </c>
      <c r="C140" s="21" t="n">
        <v>118.304206602665</v>
      </c>
      <c r="D140" s="21" t="n">
        <v>94.6544535148228</v>
      </c>
      <c r="E140" s="21" t="n">
        <v>135.938876789268</v>
      </c>
      <c r="F140" s="21" t="n">
        <v>141.792310749223</v>
      </c>
      <c r="G140" s="21" t="n">
        <v>148.41975181061</v>
      </c>
      <c r="H140" s="21" t="n">
        <v>157.239867420446</v>
      </c>
      <c r="I140" s="21" t="n">
        <v>158.541648870879</v>
      </c>
      <c r="J140" s="21" t="n">
        <v>184.345979786423</v>
      </c>
      <c r="K140" s="21" t="n">
        <v>176.748726334046</v>
      </c>
      <c r="L140" s="21" t="n">
        <v>134.921192475358</v>
      </c>
      <c r="M140" s="21" t="n">
        <v>146.554219355148</v>
      </c>
      <c r="N140" s="21" t="n">
        <v>149.443581067787</v>
      </c>
      <c r="O140" s="21" t="n">
        <v>167.850358431335</v>
      </c>
      <c r="P140" s="21" t="n">
        <v>151.21201007526</v>
      </c>
    </row>
    <row r="141" customFormat="false" ht="15" hidden="false" customHeight="false" outlineLevel="0" collapsed="false">
      <c r="A141" s="20" t="n">
        <v>42094</v>
      </c>
      <c r="B141" s="21" t="n">
        <v>113.968104697144</v>
      </c>
      <c r="C141" s="21" t="n">
        <v>143.156098231862</v>
      </c>
      <c r="D141" s="21" t="n">
        <v>95.4234438150873</v>
      </c>
      <c r="E141" s="21" t="n">
        <v>135.545814140148</v>
      </c>
      <c r="F141" s="21" t="n">
        <v>150.986485512773</v>
      </c>
      <c r="G141" s="21" t="n">
        <v>148.73700996866</v>
      </c>
      <c r="H141" s="21" t="n">
        <v>158.135933846464</v>
      </c>
      <c r="I141" s="21" t="n">
        <v>155.81728903285</v>
      </c>
      <c r="J141" s="21" t="n">
        <v>183.915981884655</v>
      </c>
      <c r="K141" s="21" t="n">
        <v>177.284677847649</v>
      </c>
      <c r="L141" s="21" t="n">
        <v>135.607298338244</v>
      </c>
      <c r="M141" s="21" t="n">
        <v>148.146389258563</v>
      </c>
      <c r="N141" s="21" t="n">
        <v>149.829706735748</v>
      </c>
      <c r="O141" s="21" t="n">
        <v>168.334718474991</v>
      </c>
      <c r="P141" s="21" t="n">
        <v>144.471280124485</v>
      </c>
    </row>
    <row r="142" customFormat="false" ht="15" hidden="false" customHeight="false" outlineLevel="0" collapsed="false">
      <c r="A142" s="20" t="n">
        <v>42124</v>
      </c>
      <c r="B142" s="21" t="n">
        <v>117.035468250694</v>
      </c>
      <c r="C142" s="21" t="n">
        <v>164.170730613112</v>
      </c>
      <c r="D142" s="21" t="n">
        <v>96.0835867180439</v>
      </c>
      <c r="E142" s="21" t="n">
        <v>137.755204954645</v>
      </c>
      <c r="F142" s="21" t="n">
        <v>140.534684759417</v>
      </c>
      <c r="G142" s="21" t="n">
        <v>155.332176685425</v>
      </c>
      <c r="H142" s="21" t="n">
        <v>155.607364443356</v>
      </c>
      <c r="I142" s="21" t="n">
        <v>155.496467285896</v>
      </c>
      <c r="J142" s="21" t="n">
        <v>187.257799593654</v>
      </c>
      <c r="K142" s="21" t="n">
        <v>179.406874554064</v>
      </c>
      <c r="L142" s="21" t="n">
        <v>136.90165975999</v>
      </c>
      <c r="M142" s="21" t="n">
        <v>147.900763430029</v>
      </c>
      <c r="N142" s="21" t="n">
        <v>151.67997621094</v>
      </c>
      <c r="O142" s="21" t="n">
        <v>168.941339406095</v>
      </c>
      <c r="P142" s="21" t="n">
        <v>151.588287334188</v>
      </c>
    </row>
    <row r="143" customFormat="false" ht="15" hidden="false" customHeight="false" outlineLevel="0" collapsed="false">
      <c r="A143" s="20" t="n">
        <v>42155</v>
      </c>
      <c r="B143" s="21" t="n">
        <v>118.98369892545</v>
      </c>
      <c r="C143" s="21" t="n">
        <v>164.892031361361</v>
      </c>
      <c r="D143" s="21" t="n">
        <v>96.6759195122287</v>
      </c>
      <c r="E143" s="21" t="n">
        <v>135.485599530632</v>
      </c>
      <c r="F143" s="21" t="n">
        <v>141.777606292262</v>
      </c>
      <c r="G143" s="21" t="n">
        <v>152.333280916163</v>
      </c>
      <c r="H143" s="21" t="n">
        <v>154.653579736661</v>
      </c>
      <c r="I143" s="21" t="n">
        <v>156.080819213613</v>
      </c>
      <c r="J143" s="21" t="n">
        <v>185.172669567986</v>
      </c>
      <c r="K143" s="21" t="n">
        <v>177.628122321954</v>
      </c>
      <c r="L143" s="21" t="n">
        <v>135.704161086118</v>
      </c>
      <c r="M143" s="21" t="n">
        <v>148.127789093269</v>
      </c>
      <c r="N143" s="21" t="n">
        <v>152.438363813396</v>
      </c>
      <c r="O143" s="21" t="n">
        <v>169.336552783814</v>
      </c>
      <c r="P143" s="21" t="n">
        <v>147.040267499765</v>
      </c>
    </row>
    <row r="144" customFormat="false" ht="15" hidden="false" customHeight="false" outlineLevel="0" collapsed="false">
      <c r="A144" s="20" t="n">
        <v>42185</v>
      </c>
      <c r="B144" s="21" t="n">
        <v>118.699707576235</v>
      </c>
      <c r="C144" s="21" t="n">
        <v>119.80646882738</v>
      </c>
      <c r="D144" s="21" t="n">
        <v>95.8949628798896</v>
      </c>
      <c r="E144" s="21" t="n">
        <v>140.35695171293</v>
      </c>
      <c r="F144" s="21" t="n">
        <v>141.562663654091</v>
      </c>
      <c r="G144" s="21" t="n">
        <v>155.62808423666</v>
      </c>
      <c r="H144" s="21" t="n">
        <v>164.602356177318</v>
      </c>
      <c r="I144" s="21" t="n">
        <v>157.193653285229</v>
      </c>
      <c r="J144" s="21" t="n">
        <v>188.201847928735</v>
      </c>
      <c r="K144" s="21" t="n">
        <v>183.369862141156</v>
      </c>
      <c r="L144" s="21" t="n">
        <v>135.969044457576</v>
      </c>
      <c r="M144" s="21" t="n">
        <v>148.927295954956</v>
      </c>
      <c r="N144" s="21" t="n">
        <v>152.708819472015</v>
      </c>
      <c r="O144" s="21" t="n">
        <v>169.945797424212</v>
      </c>
      <c r="P144" s="21" t="n">
        <v>150.593447735573</v>
      </c>
    </row>
    <row r="145" customFormat="false" ht="15" hidden="false" customHeight="false" outlineLevel="0" collapsed="false">
      <c r="A145" s="20" t="n">
        <v>42216</v>
      </c>
      <c r="B145" s="21" t="n">
        <v>112.905438000691</v>
      </c>
      <c r="C145" s="21" t="n">
        <v>134.476650863945</v>
      </c>
      <c r="D145" s="21" t="n">
        <v>96.1351902349426</v>
      </c>
      <c r="E145" s="21" t="n">
        <v>139.095892526823</v>
      </c>
      <c r="F145" s="21" t="n">
        <v>142.186672329476</v>
      </c>
      <c r="G145" s="21" t="n">
        <v>156.947386314906</v>
      </c>
      <c r="H145" s="21" t="n">
        <v>160.80296659664</v>
      </c>
      <c r="I145" s="21" t="n">
        <v>158.441374784124</v>
      </c>
      <c r="J145" s="21" t="n">
        <v>189.345155892889</v>
      </c>
      <c r="K145" s="21" t="n">
        <v>183.733129516465</v>
      </c>
      <c r="L145" s="21" t="n">
        <v>138.886920334897</v>
      </c>
      <c r="M145" s="21" t="n">
        <v>149.665999463125</v>
      </c>
      <c r="N145" s="21" t="n">
        <v>152.529462015293</v>
      </c>
      <c r="O145" s="21" t="n">
        <v>170.0966834613</v>
      </c>
      <c r="P145" s="21" t="n">
        <v>152.987093193095</v>
      </c>
    </row>
    <row r="146" customFormat="false" ht="15" hidden="false" customHeight="false" outlineLevel="0" collapsed="false">
      <c r="A146" s="20" t="n">
        <v>42247</v>
      </c>
      <c r="B146" s="21" t="n">
        <v>108.583894168885</v>
      </c>
      <c r="C146" s="21" t="n">
        <v>146.612364650397</v>
      </c>
      <c r="D146" s="21" t="n">
        <v>94.8975333067342</v>
      </c>
      <c r="E146" s="21" t="n">
        <v>137.401951624222</v>
      </c>
      <c r="F146" s="21" t="n">
        <v>144.451116714232</v>
      </c>
      <c r="G146" s="21" t="n">
        <v>150.258286206634</v>
      </c>
      <c r="H146" s="21" t="n">
        <v>159.634792869694</v>
      </c>
      <c r="I146" s="21" t="n">
        <v>157.695410226616</v>
      </c>
      <c r="J146" s="21" t="n">
        <v>189.071195032235</v>
      </c>
      <c r="K146" s="21" t="n">
        <v>180.4696552273</v>
      </c>
      <c r="L146" s="21" t="n">
        <v>135.060246305179</v>
      </c>
      <c r="M146" s="21" t="n">
        <v>150.558990240439</v>
      </c>
      <c r="N146" s="21" t="n">
        <v>153.66846060021</v>
      </c>
      <c r="O146" s="21" t="n">
        <v>170.734398588931</v>
      </c>
      <c r="P146" s="21" t="n">
        <v>150.196592311991</v>
      </c>
    </row>
    <row r="147" customFormat="false" ht="15" hidden="false" customHeight="false" outlineLevel="0" collapsed="false">
      <c r="A147" s="20" t="n">
        <v>42277</v>
      </c>
      <c r="B147" s="21" t="n">
        <v>109.733548015885</v>
      </c>
      <c r="C147" s="21" t="n">
        <v>148.730100972272</v>
      </c>
      <c r="D147" s="21" t="n">
        <v>94.3440717304001</v>
      </c>
      <c r="E147" s="21" t="n">
        <v>134.232872585655</v>
      </c>
      <c r="F147" s="21" t="n">
        <v>145.442524886745</v>
      </c>
      <c r="G147" s="21" t="n">
        <v>152.755591494007</v>
      </c>
      <c r="H147" s="21" t="n">
        <v>157.920520356504</v>
      </c>
      <c r="I147" s="21" t="n">
        <v>158.945534248799</v>
      </c>
      <c r="J147" s="21" t="n">
        <v>190.989311357958</v>
      </c>
      <c r="K147" s="21" t="n">
        <v>181.736329653574</v>
      </c>
      <c r="L147" s="21" t="n">
        <v>136.822048354642</v>
      </c>
      <c r="M147" s="21" t="n">
        <v>150.523836458716</v>
      </c>
      <c r="N147" s="21" t="n">
        <v>153.984224572701</v>
      </c>
      <c r="O147" s="21" t="n">
        <v>171.264582140043</v>
      </c>
      <c r="P147" s="21" t="n">
        <v>147.254355280666</v>
      </c>
    </row>
    <row r="148" customFormat="false" ht="15" hidden="false" customHeight="false" outlineLevel="0" collapsed="false">
      <c r="A148" s="20" t="n">
        <v>42308</v>
      </c>
      <c r="B148" s="21" t="n">
        <v>108.568143569153</v>
      </c>
      <c r="C148" s="21" t="n">
        <v>145.212091494437</v>
      </c>
      <c r="D148" s="21" t="n">
        <v>94.0165652581291</v>
      </c>
      <c r="E148" s="21" t="n">
        <v>135.51926921045</v>
      </c>
      <c r="F148" s="21" t="n">
        <v>146.147633920527</v>
      </c>
      <c r="G148" s="21" t="n">
        <v>152.826063165361</v>
      </c>
      <c r="H148" s="21" t="n">
        <v>158.262113553015</v>
      </c>
      <c r="I148" s="21" t="n">
        <v>159.513114101217</v>
      </c>
      <c r="J148" s="21" t="n">
        <v>190.070277619295</v>
      </c>
      <c r="K148" s="21" t="n">
        <v>183.005969955342</v>
      </c>
      <c r="L148" s="21" t="n">
        <v>136.560412965399</v>
      </c>
      <c r="M148" s="21" t="n">
        <v>151.151266993423</v>
      </c>
      <c r="N148" s="21" t="n">
        <v>154.171263378699</v>
      </c>
      <c r="O148" s="21" t="n">
        <v>171.470209403536</v>
      </c>
      <c r="P148" s="21" t="n">
        <v>149.112023197126</v>
      </c>
    </row>
    <row r="149" customFormat="false" ht="15" hidden="false" customHeight="false" outlineLevel="0" collapsed="false">
      <c r="A149" s="20" t="n">
        <v>42338</v>
      </c>
      <c r="B149" s="21" t="n">
        <v>110.42420483527</v>
      </c>
      <c r="C149" s="21" t="n">
        <v>170.101633532432</v>
      </c>
      <c r="D149" s="21" t="n">
        <v>93.9744984873282</v>
      </c>
      <c r="E149" s="21" t="n">
        <v>133.246232486557</v>
      </c>
      <c r="F149" s="21" t="n">
        <v>143.258680469469</v>
      </c>
      <c r="G149" s="21" t="n">
        <v>148.64742675002</v>
      </c>
      <c r="H149" s="21" t="n">
        <v>157.78635826939</v>
      </c>
      <c r="I149" s="21" t="n">
        <v>159.848861533248</v>
      </c>
      <c r="J149" s="21" t="n">
        <v>188.284803501859</v>
      </c>
      <c r="K149" s="21" t="n">
        <v>184.746682348498</v>
      </c>
      <c r="L149" s="21" t="n">
        <v>136.39724787925</v>
      </c>
      <c r="M149" s="21" t="n">
        <v>151.594609597501</v>
      </c>
      <c r="N149" s="21" t="n">
        <v>154.580315162686</v>
      </c>
      <c r="O149" s="21" t="n">
        <v>171.949818629014</v>
      </c>
      <c r="P149" s="21" t="n">
        <v>148.743655230122</v>
      </c>
    </row>
    <row r="150" customFormat="false" ht="15" hidden="false" customHeight="false" outlineLevel="0" collapsed="false">
      <c r="A150" s="20" t="n">
        <v>42369</v>
      </c>
      <c r="B150" s="21" t="n">
        <v>108.194247628351</v>
      </c>
      <c r="C150" s="21" t="n">
        <v>150.247558850854</v>
      </c>
      <c r="D150" s="21" t="n">
        <v>92.9092971948674</v>
      </c>
      <c r="E150" s="21" t="n">
        <v>132.375356554117</v>
      </c>
      <c r="F150" s="21" t="n">
        <v>144.082608231853</v>
      </c>
      <c r="G150" s="21" t="n">
        <v>145.634405845462</v>
      </c>
      <c r="H150" s="21" t="n">
        <v>154.003753957612</v>
      </c>
      <c r="I150" s="21" t="n">
        <v>159.28288187125</v>
      </c>
      <c r="J150" s="21" t="n">
        <v>188.598710195062</v>
      </c>
      <c r="K150" s="21" t="n">
        <v>181.610678396257</v>
      </c>
      <c r="L150" s="21" t="n">
        <v>135.947818563087</v>
      </c>
      <c r="M150" s="21" t="n">
        <v>151.86198754392</v>
      </c>
      <c r="N150" s="21" t="n">
        <v>154.824662693203</v>
      </c>
      <c r="O150" s="21" t="n">
        <v>172.276580952108</v>
      </c>
      <c r="P150" s="21" t="n">
        <v>151.267634309881</v>
      </c>
    </row>
    <row r="151" customFormat="false" ht="15" hidden="false" customHeight="false" outlineLevel="0" collapsed="false">
      <c r="A151" s="20" t="n">
        <v>42400</v>
      </c>
      <c r="B151" s="21" t="n">
        <v>108.216917045431</v>
      </c>
      <c r="C151" s="21" t="n">
        <v>135.963047206025</v>
      </c>
      <c r="D151" s="21" t="n">
        <v>91.298852816423</v>
      </c>
      <c r="E151" s="21" t="n">
        <v>130.24760013277</v>
      </c>
      <c r="F151" s="21" t="n">
        <v>143.968922135388</v>
      </c>
      <c r="G151" s="21" t="n">
        <v>140.781517422787</v>
      </c>
      <c r="H151" s="21" t="n">
        <v>151.426236282917</v>
      </c>
      <c r="I151" s="21" t="n">
        <v>159.382868569543</v>
      </c>
      <c r="J151" s="21" t="n">
        <v>191.828757032257</v>
      </c>
      <c r="K151" s="21" t="n">
        <v>176.076712843328</v>
      </c>
      <c r="L151" s="21" t="n">
        <v>135.421352520761</v>
      </c>
      <c r="M151" s="21" t="n">
        <v>152.296303562825</v>
      </c>
      <c r="N151" s="21" t="n">
        <v>155.411546972265</v>
      </c>
      <c r="O151" s="21" t="n">
        <v>172.146819410026</v>
      </c>
      <c r="P151" s="21" t="n">
        <v>144.923421152794</v>
      </c>
    </row>
    <row r="152" customFormat="false" ht="15" hidden="false" customHeight="false" outlineLevel="0" collapsed="false">
      <c r="A152" s="20" t="n">
        <v>42429</v>
      </c>
      <c r="B152" s="21" t="n">
        <v>106.402942882012</v>
      </c>
      <c r="C152" s="21" t="n">
        <v>137.959190687249</v>
      </c>
      <c r="D152" s="21" t="n">
        <v>92.8875741074098</v>
      </c>
      <c r="E152" s="21" t="n">
        <v>133.123591419845</v>
      </c>
      <c r="F152" s="21" t="n">
        <v>149.269673474866</v>
      </c>
      <c r="G152" s="21" t="n">
        <v>139.917042812208</v>
      </c>
      <c r="H152" s="21" t="n">
        <v>154.025734396692</v>
      </c>
      <c r="I152" s="21" t="n">
        <v>161.4084850143</v>
      </c>
      <c r="J152" s="21" t="n">
        <v>194.074504522835</v>
      </c>
      <c r="K152" s="21" t="n">
        <v>176.800564123068</v>
      </c>
      <c r="L152" s="21" t="n">
        <v>136.098131565659</v>
      </c>
      <c r="M152" s="21" t="n">
        <v>152.60762656016</v>
      </c>
      <c r="N152" s="21" t="n">
        <v>155.932724286886</v>
      </c>
      <c r="O152" s="21" t="n">
        <v>172.930635337645</v>
      </c>
      <c r="P152" s="21" t="n">
        <v>149.817240758179</v>
      </c>
    </row>
    <row r="153" customFormat="false" ht="15" hidden="false" customHeight="false" outlineLevel="0" collapsed="false">
      <c r="A153" s="20" t="n">
        <v>42460</v>
      </c>
      <c r="B153" s="21" t="n">
        <v>106.544295169024</v>
      </c>
      <c r="C153" s="21" t="n">
        <v>133.322954273065</v>
      </c>
      <c r="D153" s="21" t="n">
        <v>90.8104682282129</v>
      </c>
      <c r="E153" s="21" t="n">
        <v>130.30428199007</v>
      </c>
      <c r="F153" s="21" t="n">
        <v>140.292714403144</v>
      </c>
      <c r="G153" s="21" t="n">
        <v>136.520002949004</v>
      </c>
      <c r="H153" s="21" t="n">
        <v>156.951652660424</v>
      </c>
      <c r="I153" s="21" t="n">
        <v>161.220588885414</v>
      </c>
      <c r="J153" s="21" t="n">
        <v>193.187634784988</v>
      </c>
      <c r="K153" s="21" t="n">
        <v>176.160689699618</v>
      </c>
      <c r="L153" s="21" t="n">
        <v>136.081267695094</v>
      </c>
      <c r="M153" s="21" t="n">
        <v>152.00174027638</v>
      </c>
      <c r="N153" s="21" t="n">
        <v>156.357542666806</v>
      </c>
      <c r="O153" s="21" t="n">
        <v>173.018432741607</v>
      </c>
      <c r="P153" s="21" t="n">
        <v>154.31920308022</v>
      </c>
    </row>
    <row r="154" customFormat="false" ht="15" hidden="false" customHeight="false" outlineLevel="0" collapsed="false">
      <c r="A154" s="20" t="n">
        <v>42490</v>
      </c>
      <c r="B154" s="21" t="n">
        <v>110.203683424881</v>
      </c>
      <c r="C154" s="21" t="n">
        <v>121.020661082166</v>
      </c>
      <c r="D154" s="21" t="n">
        <v>92.6162106876866</v>
      </c>
      <c r="E154" s="21" t="n">
        <v>131.414431559585</v>
      </c>
      <c r="F154" s="21" t="n">
        <v>147.019931430219</v>
      </c>
      <c r="G154" s="21" t="n">
        <v>131.254506279417</v>
      </c>
      <c r="H154" s="21" t="n">
        <v>155.931755297088</v>
      </c>
      <c r="I154" s="21" t="n">
        <v>160.36901805263</v>
      </c>
      <c r="J154" s="21" t="n">
        <v>191.258246844833</v>
      </c>
      <c r="K154" s="21" t="n">
        <v>175.772833173391</v>
      </c>
      <c r="L154" s="21" t="n">
        <v>135.890245334794</v>
      </c>
      <c r="M154" s="21" t="n">
        <v>152.880571252226</v>
      </c>
      <c r="N154" s="21" t="n">
        <v>155.54345301836</v>
      </c>
      <c r="O154" s="21" t="n">
        <v>173.491590002661</v>
      </c>
      <c r="P154" s="21" t="n">
        <v>147.031742724348</v>
      </c>
    </row>
    <row r="155" customFormat="false" ht="15" hidden="false" customHeight="false" outlineLevel="0" collapsed="false">
      <c r="A155" s="20" t="n">
        <v>42521</v>
      </c>
      <c r="B155" s="21" t="n">
        <v>111.764743101744</v>
      </c>
      <c r="C155" s="21" t="n">
        <v>118.29737032013</v>
      </c>
      <c r="D155" s="21" t="n">
        <v>89.4564570661571</v>
      </c>
      <c r="E155" s="21" t="n">
        <v>128.598550899974</v>
      </c>
      <c r="F155" s="21" t="n">
        <v>148.622123075786</v>
      </c>
      <c r="G155" s="21" t="n">
        <v>133.355945926354</v>
      </c>
      <c r="H155" s="21" t="n">
        <v>150.899906958249</v>
      </c>
      <c r="I155" s="21" t="n">
        <v>160.293683328601</v>
      </c>
      <c r="J155" s="21" t="n">
        <v>192.166902018884</v>
      </c>
      <c r="K155" s="21" t="n">
        <v>173.378343183601</v>
      </c>
      <c r="L155" s="21" t="n">
        <v>135.548269825767</v>
      </c>
      <c r="M155" s="21" t="n">
        <v>153.071434667899</v>
      </c>
      <c r="N155" s="21" t="n">
        <v>155.565343330666</v>
      </c>
      <c r="O155" s="21" t="n">
        <v>173.93247912809</v>
      </c>
      <c r="P155" s="21" t="n">
        <v>151.960510251829</v>
      </c>
    </row>
    <row r="156" customFormat="false" ht="15" hidden="false" customHeight="false" outlineLevel="0" collapsed="false">
      <c r="A156" s="20" t="n">
        <v>42551</v>
      </c>
      <c r="B156" s="21" t="n">
        <v>111.844141255088</v>
      </c>
      <c r="C156" s="21" t="n">
        <v>153.293040129435</v>
      </c>
      <c r="D156" s="21" t="n">
        <v>89.8998770281813</v>
      </c>
      <c r="E156" s="21" t="n">
        <v>122.539156179999</v>
      </c>
      <c r="F156" s="21" t="n">
        <v>143.233404999192</v>
      </c>
      <c r="G156" s="21" t="n">
        <v>129.461961146675</v>
      </c>
      <c r="H156" s="21" t="n">
        <v>149.297808248646</v>
      </c>
      <c r="I156" s="21" t="n">
        <v>160.995106067963</v>
      </c>
      <c r="J156" s="21" t="n">
        <v>191.996583878205</v>
      </c>
      <c r="K156" s="21" t="n">
        <v>170.862382248048</v>
      </c>
      <c r="L156" s="21" t="n">
        <v>135.376154679494</v>
      </c>
      <c r="M156" s="21" t="n">
        <v>153.033866524639</v>
      </c>
      <c r="N156" s="21" t="n">
        <v>155.940830237115</v>
      </c>
      <c r="O156" s="21" t="n">
        <v>173.920768253315</v>
      </c>
      <c r="P156" s="21" t="n">
        <v>153.369087988471</v>
      </c>
    </row>
    <row r="157" customFormat="false" ht="15" hidden="false" customHeight="false" outlineLevel="0" collapsed="false">
      <c r="A157" s="20" t="n">
        <v>42582</v>
      </c>
      <c r="B157" s="21" t="n">
        <v>110.805443184254</v>
      </c>
      <c r="C157" s="21" t="n">
        <v>157.809657555339</v>
      </c>
      <c r="D157" s="21" t="n">
        <v>89.9296129849955</v>
      </c>
      <c r="E157" s="21" t="n">
        <v>125.171174019677</v>
      </c>
      <c r="F157" s="21" t="n">
        <v>144.77295397123</v>
      </c>
      <c r="G157" s="21" t="n">
        <v>129.052689966502</v>
      </c>
      <c r="H157" s="21" t="n">
        <v>148.479427876293</v>
      </c>
      <c r="I157" s="21" t="n">
        <v>160.383680700214</v>
      </c>
      <c r="J157" s="21" t="n">
        <v>191.929834192228</v>
      </c>
      <c r="K157" s="21" t="n">
        <v>170.775448062865</v>
      </c>
      <c r="L157" s="21" t="n">
        <v>134.247619136009</v>
      </c>
      <c r="M157" s="21" t="n">
        <v>153.257769367465</v>
      </c>
      <c r="N157" s="21" t="n">
        <v>156.36898268472</v>
      </c>
      <c r="O157" s="21" t="n">
        <v>174.557893604331</v>
      </c>
      <c r="P157" s="21" t="n">
        <v>149.324613280146</v>
      </c>
    </row>
    <row r="158" customFormat="false" ht="15" hidden="false" customHeight="false" outlineLevel="0" collapsed="false">
      <c r="A158" s="20" t="n">
        <v>42613</v>
      </c>
      <c r="B158" s="21" t="n">
        <v>109.703902020251</v>
      </c>
      <c r="C158" s="21" t="n">
        <v>162.93606281016</v>
      </c>
      <c r="D158" s="21" t="n">
        <v>89.4347361440132</v>
      </c>
      <c r="E158" s="21" t="n">
        <v>125.891159966257</v>
      </c>
      <c r="F158" s="21" t="n">
        <v>143.406801346053</v>
      </c>
      <c r="G158" s="21" t="n">
        <v>136.0648779907</v>
      </c>
      <c r="H158" s="21" t="n">
        <v>152.11626894707</v>
      </c>
      <c r="I158" s="21" t="n">
        <v>161.720173034596</v>
      </c>
      <c r="J158" s="21" t="n">
        <v>194.685127507595</v>
      </c>
      <c r="K158" s="21" t="n">
        <v>174.42312339249</v>
      </c>
      <c r="L158" s="21" t="n">
        <v>136.957703884839</v>
      </c>
      <c r="M158" s="21" t="n">
        <v>152.974456863353</v>
      </c>
      <c r="N158" s="21" t="n">
        <v>156.180986508699</v>
      </c>
      <c r="O158" s="21" t="n">
        <v>174.808184371482</v>
      </c>
      <c r="P158" s="21" t="n">
        <v>147.611304961815</v>
      </c>
    </row>
    <row r="159" customFormat="false" ht="15" hidden="false" customHeight="false" outlineLevel="0" collapsed="false">
      <c r="A159" s="20" t="n">
        <v>42643</v>
      </c>
      <c r="B159" s="21" t="n">
        <v>106.767831299338</v>
      </c>
      <c r="C159" s="21" t="n">
        <v>137.578105400989</v>
      </c>
      <c r="D159" s="21" t="n">
        <v>89.7315904808162</v>
      </c>
      <c r="E159" s="21" t="n">
        <v>129.986877741419</v>
      </c>
      <c r="F159" s="21" t="n">
        <v>146.475436372139</v>
      </c>
      <c r="G159" s="21" t="n">
        <v>133.473168313347</v>
      </c>
      <c r="H159" s="21" t="n">
        <v>154.512047711793</v>
      </c>
      <c r="I159" s="21" t="n">
        <v>161.080678754751</v>
      </c>
      <c r="J159" s="21" t="n">
        <v>194.609551571592</v>
      </c>
      <c r="K159" s="21" t="n">
        <v>172.350220515619</v>
      </c>
      <c r="L159" s="21" t="n">
        <v>136.118580590314</v>
      </c>
      <c r="M159" s="21" t="n">
        <v>153.162413630799</v>
      </c>
      <c r="N159" s="21" t="n">
        <v>156.297865621459</v>
      </c>
      <c r="O159" s="21" t="n">
        <v>175.080885179523</v>
      </c>
      <c r="P159" s="21" t="n">
        <v>146.581727557542</v>
      </c>
    </row>
    <row r="160" customFormat="false" ht="15" hidden="false" customHeight="false" outlineLevel="0" collapsed="false">
      <c r="A160" s="20" t="n">
        <v>42674</v>
      </c>
      <c r="B160" s="21" t="n">
        <v>107.595970474143</v>
      </c>
      <c r="C160" s="21" t="n">
        <v>152.417314815321</v>
      </c>
      <c r="D160" s="21" t="n">
        <v>87.738379199113</v>
      </c>
      <c r="E160" s="21" t="n">
        <v>125.473938446568</v>
      </c>
      <c r="F160" s="21" t="n">
        <v>141.623888825851</v>
      </c>
      <c r="G160" s="21" t="n">
        <v>130.32270272408</v>
      </c>
      <c r="H160" s="21" t="n">
        <v>149.094679352975</v>
      </c>
      <c r="I160" s="21" t="n">
        <v>162.168431249957</v>
      </c>
      <c r="J160" s="21" t="n">
        <v>194.160352089327</v>
      </c>
      <c r="K160" s="21" t="n">
        <v>172.830342469999</v>
      </c>
      <c r="L160" s="21" t="n">
        <v>135.578241690024</v>
      </c>
      <c r="M160" s="21" t="n">
        <v>153.119913157171</v>
      </c>
      <c r="N160" s="21" t="n">
        <v>157.057623088226</v>
      </c>
      <c r="O160" s="21" t="n">
        <v>175.489205379787</v>
      </c>
      <c r="P160" s="21" t="n">
        <v>148.519548821949</v>
      </c>
    </row>
    <row r="161" customFormat="false" ht="15" hidden="false" customHeight="false" outlineLevel="0" collapsed="false">
      <c r="A161" s="20" t="n">
        <v>42704</v>
      </c>
      <c r="B161" s="21" t="n">
        <v>109.457751200594</v>
      </c>
      <c r="C161" s="21" t="n">
        <v>145.672824602426</v>
      </c>
      <c r="D161" s="21" t="n">
        <v>87.1674985337184</v>
      </c>
      <c r="E161" s="21" t="n">
        <v>129.177484657601</v>
      </c>
      <c r="F161" s="21" t="n">
        <v>144.34805130385</v>
      </c>
      <c r="G161" s="21" t="n">
        <v>134.896505416932</v>
      </c>
      <c r="H161" s="21" t="n">
        <v>153.086300936944</v>
      </c>
      <c r="I161" s="21" t="n">
        <v>161.827724965953</v>
      </c>
      <c r="J161" s="21" t="n">
        <v>196.815305011419</v>
      </c>
      <c r="K161" s="21" t="n">
        <v>175.604910393151</v>
      </c>
      <c r="L161" s="21" t="n">
        <v>137.051928179195</v>
      </c>
      <c r="M161" s="21" t="n">
        <v>153.163339400149</v>
      </c>
      <c r="N161" s="21" t="n">
        <v>157.29581305053</v>
      </c>
      <c r="O161" s="21" t="n">
        <v>175.552064533224</v>
      </c>
      <c r="P161" s="21" t="n">
        <v>149.236114751261</v>
      </c>
    </row>
    <row r="162" customFormat="false" ht="15" hidden="false" customHeight="false" outlineLevel="0" collapsed="false">
      <c r="A162" s="20" t="n">
        <v>42735</v>
      </c>
      <c r="B162" s="21" t="n">
        <v>109.658857978322</v>
      </c>
      <c r="C162" s="21" t="n">
        <v>169.680922183423</v>
      </c>
      <c r="D162" s="21" t="n">
        <v>87.3009681608051</v>
      </c>
      <c r="E162" s="21" t="n">
        <v>130.132867501489</v>
      </c>
      <c r="F162" s="21" t="n">
        <v>144.739593133196</v>
      </c>
      <c r="G162" s="21" t="n">
        <v>137.888945585613</v>
      </c>
      <c r="H162" s="21" t="n">
        <v>155.913381137194</v>
      </c>
      <c r="I162" s="21" t="n">
        <v>163.354458049456</v>
      </c>
      <c r="J162" s="21" t="n">
        <v>197.991116556043</v>
      </c>
      <c r="K162" s="21" t="n">
        <v>179.716938502324</v>
      </c>
      <c r="L162" s="21" t="n">
        <v>137.685482402639</v>
      </c>
      <c r="M162" s="21" t="n">
        <v>153.122181031139</v>
      </c>
      <c r="N162" s="21" t="n">
        <v>157.2917062603</v>
      </c>
      <c r="O162" s="21" t="n">
        <v>175.747565795579</v>
      </c>
      <c r="P162" s="21" t="n">
        <v>147.412384098607</v>
      </c>
    </row>
    <row r="163" customFormat="false" ht="15" hidden="false" customHeight="false" outlineLevel="0" collapsed="false">
      <c r="A163" s="20" t="n">
        <v>42766</v>
      </c>
      <c r="B163" s="21" t="n">
        <v>109.90824530039</v>
      </c>
      <c r="C163" s="21" t="n">
        <v>140.849342871733</v>
      </c>
      <c r="D163" s="21" t="n">
        <v>87.3429495285363</v>
      </c>
      <c r="E163" s="21" t="n">
        <v>128.795051142552</v>
      </c>
      <c r="F163" s="21" t="n">
        <v>145.287911273413</v>
      </c>
      <c r="G163" s="21" t="n">
        <v>139.759394833689</v>
      </c>
      <c r="H163" s="21" t="n">
        <v>152.223701780514</v>
      </c>
      <c r="I163" s="21" t="n">
        <v>161.611044941445</v>
      </c>
      <c r="J163" s="21" t="n">
        <v>197.176102284743</v>
      </c>
      <c r="K163" s="21" t="n">
        <v>180.553134999353</v>
      </c>
      <c r="L163" s="21" t="n">
        <v>137.755346204654</v>
      </c>
      <c r="M163" s="21" t="n">
        <v>153.248157134202</v>
      </c>
      <c r="N163" s="21" t="n">
        <v>156.643083908038</v>
      </c>
      <c r="O163" s="21" t="n">
        <v>176.53337274805</v>
      </c>
      <c r="P163" s="21" t="n">
        <v>149.551275533131</v>
      </c>
    </row>
    <row r="164" customFormat="false" ht="15" hidden="false" customHeight="false" outlineLevel="0" collapsed="false">
      <c r="A164" s="20" t="n">
        <v>42794</v>
      </c>
      <c r="B164" s="21" t="n">
        <v>111.595974296091</v>
      </c>
      <c r="C164" s="21" t="n">
        <v>184.277321592978</v>
      </c>
      <c r="D164" s="21" t="n">
        <v>86.4117942542569</v>
      </c>
      <c r="E164" s="21" t="n">
        <v>125.256285657828</v>
      </c>
      <c r="F164" s="21" t="n">
        <v>142.305331618631</v>
      </c>
      <c r="G164" s="21" t="n">
        <v>138.58658350323</v>
      </c>
      <c r="H164" s="21" t="n">
        <v>150.162670882945</v>
      </c>
      <c r="I164" s="21" t="n">
        <v>162.461686948938</v>
      </c>
      <c r="J164" s="21" t="n">
        <v>195.827425903759</v>
      </c>
      <c r="K164" s="21" t="n">
        <v>178.578504900749</v>
      </c>
      <c r="L164" s="21" t="n">
        <v>137.407552800019</v>
      </c>
      <c r="M164" s="21" t="n">
        <v>153.448114500795</v>
      </c>
      <c r="N164" s="21" t="n">
        <v>156.725469346772</v>
      </c>
      <c r="O164" s="21" t="n">
        <v>176.770392895778</v>
      </c>
      <c r="P164" s="21" t="n">
        <v>151.102929422082</v>
      </c>
    </row>
    <row r="165" customFormat="false" ht="15" hidden="false" customHeight="false" outlineLevel="0" collapsed="false">
      <c r="A165" s="20" t="n">
        <v>42825</v>
      </c>
      <c r="B165" s="21" t="n">
        <v>108.46483009938</v>
      </c>
      <c r="C165" s="21" t="n">
        <v>161.614968813226</v>
      </c>
      <c r="D165" s="21" t="n">
        <v>87.02650158733</v>
      </c>
      <c r="E165" s="21" t="n">
        <v>130.42262089605</v>
      </c>
      <c r="F165" s="21" t="n">
        <v>145.260381732845</v>
      </c>
      <c r="G165" s="21" t="n">
        <v>145.341107688842</v>
      </c>
      <c r="H165" s="21" t="n">
        <v>155.25911887852</v>
      </c>
      <c r="I165" s="21" t="n">
        <v>162.587439496883</v>
      </c>
      <c r="J165" s="21" t="n">
        <v>197.740311242539</v>
      </c>
      <c r="K165" s="21" t="n">
        <v>184.458991247773</v>
      </c>
      <c r="L165" s="21" t="n">
        <v>139.051692383355</v>
      </c>
      <c r="M165" s="21" t="n">
        <v>153.885191554669</v>
      </c>
      <c r="N165" s="21" t="n">
        <v>157.104689921855</v>
      </c>
      <c r="O165" s="21" t="n">
        <v>176.910032151197</v>
      </c>
      <c r="P165" s="21" t="n">
        <v>154.40693414705</v>
      </c>
    </row>
    <row r="166" customFormat="false" ht="15" hidden="false" customHeight="false" outlineLevel="0" collapsed="false">
      <c r="A166" s="20" t="n">
        <v>42855</v>
      </c>
      <c r="B166" s="21" t="n">
        <v>119.39800074207</v>
      </c>
      <c r="C166" s="21" t="n">
        <v>148.321007465737</v>
      </c>
      <c r="D166" s="21" t="n">
        <v>83.7594621633665</v>
      </c>
      <c r="E166" s="21" t="n">
        <v>125.833084566341</v>
      </c>
      <c r="F166" s="21" t="n">
        <v>142.1934449506</v>
      </c>
      <c r="G166" s="21" t="n">
        <v>141.288504163665</v>
      </c>
      <c r="H166" s="21" t="n">
        <v>149.557843008922</v>
      </c>
      <c r="I166" s="21" t="n">
        <v>165.808873586782</v>
      </c>
      <c r="J166" s="21" t="n">
        <v>196.508512221254</v>
      </c>
      <c r="K166" s="21" t="n">
        <v>177.056806395449</v>
      </c>
      <c r="L166" s="21" t="n">
        <v>137.058426813931</v>
      </c>
      <c r="M166" s="21" t="n">
        <v>154.076874134575</v>
      </c>
      <c r="N166" s="21" t="n">
        <v>157.361298532029</v>
      </c>
      <c r="O166" s="21" t="n">
        <v>177.04704608248</v>
      </c>
      <c r="P166" s="21" t="n">
        <v>155.830290163875</v>
      </c>
    </row>
    <row r="167" customFormat="false" ht="15" hidden="false" customHeight="false" outlineLevel="0" collapsed="false">
      <c r="A167" s="20" t="n">
        <v>42886</v>
      </c>
      <c r="B167" s="21" t="n">
        <v>118.426723641301</v>
      </c>
      <c r="C167" s="21" t="n">
        <v>190.580088318757</v>
      </c>
      <c r="D167" s="21" t="n">
        <v>85.8101682726526</v>
      </c>
      <c r="E167" s="21" t="n">
        <v>130.158380426026</v>
      </c>
      <c r="F167" s="21" t="n">
        <v>142.53275596585</v>
      </c>
      <c r="G167" s="21" t="n">
        <v>144.32446353191</v>
      </c>
      <c r="H167" s="21" t="n">
        <v>157.777644355696</v>
      </c>
      <c r="I167" s="21" t="n">
        <v>165.592227921662</v>
      </c>
      <c r="J167" s="21" t="n">
        <v>199.78272906362</v>
      </c>
      <c r="K167" s="21" t="n">
        <v>180.082162733428</v>
      </c>
      <c r="L167" s="21" t="n">
        <v>138.583725268125</v>
      </c>
      <c r="M167" s="21" t="n">
        <v>154.185981316192</v>
      </c>
      <c r="N167" s="21" t="n">
        <v>157.768069674264</v>
      </c>
      <c r="O167" s="21" t="n">
        <v>177.11527939196</v>
      </c>
      <c r="P167" s="21" t="n">
        <v>149.236398547021</v>
      </c>
    </row>
    <row r="168" customFormat="false" ht="15" hidden="false" customHeight="false" outlineLevel="0" collapsed="false">
      <c r="A168" s="20" t="n">
        <v>42916</v>
      </c>
      <c r="B168" s="21" t="n">
        <v>121.336344528608</v>
      </c>
      <c r="C168" s="21" t="n">
        <v>178.18836693356</v>
      </c>
      <c r="D168" s="21" t="n">
        <v>84.7427787628914</v>
      </c>
      <c r="E168" s="21" t="n">
        <v>136.617279492626</v>
      </c>
      <c r="F168" s="21" t="n">
        <v>143.979746619466</v>
      </c>
      <c r="G168" s="21" t="n">
        <v>147.900570039979</v>
      </c>
      <c r="H168" s="21" t="n">
        <v>161.361229523534</v>
      </c>
      <c r="I168" s="21" t="n">
        <v>167.576694751417</v>
      </c>
      <c r="J168" s="21" t="n">
        <v>199.695091851875</v>
      </c>
      <c r="K168" s="21" t="n">
        <v>183.093506113142</v>
      </c>
      <c r="L168" s="21" t="n">
        <v>140.137117120771</v>
      </c>
      <c r="M168" s="21" t="n">
        <v>154.176073799971</v>
      </c>
      <c r="N168" s="21" t="n">
        <v>157.951141370938</v>
      </c>
      <c r="O168" s="21" t="n">
        <v>177.529535622345</v>
      </c>
      <c r="P168" s="21" t="n">
        <v>144.775116334199</v>
      </c>
    </row>
    <row r="169" customFormat="false" ht="15" hidden="false" customHeight="false" outlineLevel="0" collapsed="false">
      <c r="A169" s="20" t="n">
        <v>42947</v>
      </c>
      <c r="B169" s="21" t="n">
        <v>109.793747818129</v>
      </c>
      <c r="C169" s="21" t="n">
        <v>160.415446732516</v>
      </c>
      <c r="D169" s="21" t="n">
        <v>85.6645329413089</v>
      </c>
      <c r="E169" s="21" t="n">
        <v>132.198562650968</v>
      </c>
      <c r="F169" s="21" t="n">
        <v>141.614527580865</v>
      </c>
      <c r="G169" s="21" t="n">
        <v>147.04200384433</v>
      </c>
      <c r="H169" s="21" t="n">
        <v>158.592822967243</v>
      </c>
      <c r="I169" s="21" t="n">
        <v>168.080613278063</v>
      </c>
      <c r="J169" s="21" t="n">
        <v>198.526850991708</v>
      </c>
      <c r="K169" s="21" t="n">
        <v>181.846035192393</v>
      </c>
      <c r="L169" s="21" t="n">
        <v>139.97610121209</v>
      </c>
      <c r="M169" s="21" t="n">
        <v>154.14237037574</v>
      </c>
      <c r="N169" s="21" t="n">
        <v>158.91304619194</v>
      </c>
      <c r="O169" s="21" t="n">
        <v>177.922283772159</v>
      </c>
      <c r="P169" s="21" t="n">
        <v>150.393451414394</v>
      </c>
    </row>
    <row r="170" customFormat="false" ht="15" hidden="false" customHeight="false" outlineLevel="0" collapsed="false">
      <c r="A170" s="20" t="n">
        <v>42978</v>
      </c>
      <c r="B170" s="21" t="n">
        <v>111.572272055032</v>
      </c>
      <c r="C170" s="21" t="n">
        <v>157.568910059046</v>
      </c>
      <c r="D170" s="21" t="n">
        <v>87.2602011803316</v>
      </c>
      <c r="E170" s="21" t="n">
        <v>133.294277005898</v>
      </c>
      <c r="F170" s="21" t="n">
        <v>142.511577314112</v>
      </c>
      <c r="G170" s="21" t="n">
        <v>148.126717321426</v>
      </c>
      <c r="H170" s="21" t="n">
        <v>159.084471396424</v>
      </c>
      <c r="I170" s="21" t="n">
        <v>167.551544448726</v>
      </c>
      <c r="J170" s="21" t="n">
        <v>197.948096425396</v>
      </c>
      <c r="K170" s="21" t="n">
        <v>182.816082949633</v>
      </c>
      <c r="L170" s="21" t="n">
        <v>141.30681519118</v>
      </c>
      <c r="M170" s="21" t="n">
        <v>154.095383289475</v>
      </c>
      <c r="N170" s="21" t="n">
        <v>158.877006098667</v>
      </c>
      <c r="O170" s="21" t="n">
        <v>178.114808662383</v>
      </c>
      <c r="P170" s="21" t="n">
        <v>150.734247174462</v>
      </c>
    </row>
    <row r="171" customFormat="false" ht="15" hidden="false" customHeight="false" outlineLevel="0" collapsed="false">
      <c r="A171" s="20" t="n">
        <v>43008</v>
      </c>
      <c r="B171" s="21" t="n">
        <v>111.22053577709</v>
      </c>
      <c r="C171" s="21" t="n">
        <v>190.541178547283</v>
      </c>
      <c r="D171" s="21" t="n">
        <v>86.9858586780254</v>
      </c>
      <c r="E171" s="21" t="n">
        <v>134.462629441232</v>
      </c>
      <c r="F171" s="21" t="n">
        <v>143.286789424558</v>
      </c>
      <c r="G171" s="21" t="n">
        <v>148.663608247021</v>
      </c>
      <c r="H171" s="21" t="n">
        <v>160.592183563228</v>
      </c>
      <c r="I171" s="21" t="n">
        <v>167.912484333567</v>
      </c>
      <c r="J171" s="21" t="n">
        <v>198.308603801734</v>
      </c>
      <c r="K171" s="21" t="n">
        <v>185.635008600019</v>
      </c>
      <c r="L171" s="21" t="n">
        <v>141.966462480446</v>
      </c>
      <c r="M171" s="21" t="n">
        <v>154.201221765041</v>
      </c>
      <c r="N171" s="21" t="n">
        <v>159.097158638068</v>
      </c>
      <c r="O171" s="21" t="n">
        <v>178.369968364665</v>
      </c>
      <c r="P171" s="21" t="n">
        <v>155.652902244958</v>
      </c>
    </row>
    <row r="172" customFormat="false" ht="15" hidden="false" customHeight="false" outlineLevel="0" collapsed="false">
      <c r="A172" s="20" t="n">
        <v>43039</v>
      </c>
      <c r="B172" s="21" t="n">
        <v>114.888409780338</v>
      </c>
      <c r="C172" s="21" t="n">
        <v>156.942257172867</v>
      </c>
      <c r="D172" s="21" t="n">
        <v>88.5341163614666</v>
      </c>
      <c r="E172" s="21" t="n">
        <v>132.600643955342</v>
      </c>
      <c r="F172" s="21" t="n">
        <v>142.396333809706</v>
      </c>
      <c r="G172" s="21" t="n">
        <v>151.586317990301</v>
      </c>
      <c r="H172" s="21" t="n">
        <v>161.21314739399</v>
      </c>
      <c r="I172" s="21" t="n">
        <v>167.059640851699</v>
      </c>
      <c r="J172" s="21" t="n">
        <v>198.177155543222</v>
      </c>
      <c r="K172" s="21" t="n">
        <v>187.490093177674</v>
      </c>
      <c r="L172" s="21" t="n">
        <v>142.237055381765</v>
      </c>
      <c r="M172" s="21" t="n">
        <v>154.34548584049</v>
      </c>
      <c r="N172" s="21" t="n">
        <v>158.957321162518</v>
      </c>
      <c r="O172" s="21" t="n">
        <v>178.581669928052</v>
      </c>
      <c r="P172" s="21" t="n">
        <v>154.005089276433</v>
      </c>
    </row>
    <row r="173" customFormat="false" ht="15" hidden="false" customHeight="false" outlineLevel="0" collapsed="false">
      <c r="A173" s="20" t="n">
        <v>43069</v>
      </c>
      <c r="B173" s="21" t="n">
        <v>111.2675492997</v>
      </c>
      <c r="C173" s="21" t="n">
        <v>163.370503770544</v>
      </c>
      <c r="D173" s="21" t="n">
        <v>88.5636151252112</v>
      </c>
      <c r="E173" s="21" t="n">
        <v>135.581508249254</v>
      </c>
      <c r="F173" s="21" t="n">
        <v>140.609727445541</v>
      </c>
      <c r="G173" s="21" t="n">
        <v>154.473658661841</v>
      </c>
      <c r="H173" s="21" t="n">
        <v>166.080865247846</v>
      </c>
      <c r="I173" s="21" t="n">
        <v>168.584712647768</v>
      </c>
      <c r="J173" s="21" t="n">
        <v>198.959625451414</v>
      </c>
      <c r="K173" s="21" t="n">
        <v>190.17032044578</v>
      </c>
      <c r="L173" s="21" t="n">
        <v>142.702861344912</v>
      </c>
      <c r="M173" s="21" t="n">
        <v>154.436503968155</v>
      </c>
      <c r="N173" s="21" t="n">
        <v>159.180430562434</v>
      </c>
      <c r="O173" s="21" t="n">
        <v>178.872666241683</v>
      </c>
      <c r="P173" s="21" t="n">
        <v>152.667965823859</v>
      </c>
    </row>
    <row r="174" customFormat="false" ht="15" hidden="false" customHeight="false" outlineLevel="0" collapsed="false">
      <c r="A174" s="20" t="n">
        <v>43100</v>
      </c>
      <c r="B174" s="21" t="n">
        <v>109.946647502752</v>
      </c>
      <c r="C174" s="21" t="n">
        <v>158.050479384528</v>
      </c>
      <c r="D174" s="21" t="n">
        <v>87.9169178385711</v>
      </c>
      <c r="E174" s="21" t="n">
        <v>133.381870869108</v>
      </c>
      <c r="F174" s="21" t="n">
        <v>145.689552401411</v>
      </c>
      <c r="G174" s="21" t="n">
        <v>151.988585139009</v>
      </c>
      <c r="H174" s="21" t="n">
        <v>158.646160944165</v>
      </c>
      <c r="I174" s="21" t="n">
        <v>167.040754742596</v>
      </c>
      <c r="J174" s="21" t="n">
        <v>196.951896887006</v>
      </c>
      <c r="K174" s="21" t="n">
        <v>187.320623990527</v>
      </c>
      <c r="L174" s="21" t="n">
        <v>142.262686367456</v>
      </c>
      <c r="M174" s="21" t="n">
        <v>154.181972133262</v>
      </c>
      <c r="N174" s="21" t="n">
        <v>159.571538619871</v>
      </c>
      <c r="O174" s="21" t="n">
        <v>178.606127517415</v>
      </c>
      <c r="P174" s="21" t="n">
        <v>151.707015823378</v>
      </c>
    </row>
    <row r="175" customFormat="false" ht="15" hidden="false" customHeight="false" outlineLevel="0" collapsed="false">
      <c r="A175" s="20" t="n">
        <v>43131</v>
      </c>
      <c r="B175" s="21" t="n">
        <v>106.171072757037</v>
      </c>
      <c r="C175" s="21" t="n">
        <v>190.988128072652</v>
      </c>
      <c r="D175" s="21" t="n">
        <v>87.6549488339816</v>
      </c>
      <c r="E175" s="21" t="n">
        <v>132.419668021641</v>
      </c>
      <c r="F175" s="21" t="n">
        <v>144.521747445856</v>
      </c>
      <c r="G175" s="21" t="n">
        <v>154.199693773963</v>
      </c>
      <c r="H175" s="21" t="n">
        <v>160.708209327045</v>
      </c>
      <c r="I175" s="21" t="n">
        <v>164.506433103677</v>
      </c>
      <c r="J175" s="21" t="n">
        <v>197.936505786026</v>
      </c>
      <c r="K175" s="21" t="n">
        <v>191.636981420887</v>
      </c>
      <c r="L175" s="21" t="n">
        <v>142.956436295453</v>
      </c>
      <c r="M175" s="21" t="n">
        <v>154.722739664038</v>
      </c>
      <c r="N175" s="21" t="n">
        <v>160.10441266057</v>
      </c>
      <c r="O175" s="21" t="n">
        <v>179.616479259811</v>
      </c>
      <c r="P175" s="21" t="n">
        <v>153.294417650037</v>
      </c>
    </row>
    <row r="176" customFormat="false" ht="15" hidden="false" customHeight="false" outlineLevel="0" collapsed="false">
      <c r="A176" s="20" t="n">
        <v>43159</v>
      </c>
      <c r="B176" s="21" t="n">
        <v>110.324574753632</v>
      </c>
      <c r="C176" s="21" t="n">
        <v>162.923244179781</v>
      </c>
      <c r="D176" s="21" t="n">
        <v>87.2634196013423</v>
      </c>
      <c r="E176" s="21" t="n">
        <v>130.674273865628</v>
      </c>
      <c r="F176" s="21" t="n">
        <v>144.613989783115</v>
      </c>
      <c r="G176" s="21" t="n">
        <v>150.9489384005</v>
      </c>
      <c r="H176" s="21" t="n">
        <v>161.41848645209</v>
      </c>
      <c r="I176" s="21" t="n">
        <v>164.750146823739</v>
      </c>
      <c r="J176" s="21" t="n">
        <v>195.988316513447</v>
      </c>
      <c r="K176" s="21" t="n">
        <v>193.629112877288</v>
      </c>
      <c r="L176" s="21" t="n">
        <v>142.341213381181</v>
      </c>
      <c r="M176" s="21" t="n">
        <v>154.441615696014</v>
      </c>
      <c r="N176" s="21" t="n">
        <v>160.116681510565</v>
      </c>
      <c r="O176" s="21" t="n">
        <v>179.421321666853</v>
      </c>
      <c r="P176" s="21" t="n">
        <v>151.546502359841</v>
      </c>
    </row>
    <row r="177" customFormat="false" ht="15" hidden="false" customHeight="false" outlineLevel="0" collapsed="false">
      <c r="A177" s="20" t="n">
        <v>43190</v>
      </c>
      <c r="B177" s="21" t="n">
        <v>108.813748353881</v>
      </c>
      <c r="C177" s="21" t="n">
        <v>175.022040112499</v>
      </c>
      <c r="D177" s="21" t="n">
        <v>88.1248805410879</v>
      </c>
      <c r="E177" s="21" t="n">
        <v>134.573295052934</v>
      </c>
      <c r="F177" s="21" t="n">
        <v>145.000860128141</v>
      </c>
      <c r="G177" s="21" t="n">
        <v>154.288464482106</v>
      </c>
      <c r="H177" s="21" t="n">
        <v>162.841928673926</v>
      </c>
      <c r="I177" s="21" t="n">
        <v>168.489269613144</v>
      </c>
      <c r="J177" s="21" t="n">
        <v>197.191243640091</v>
      </c>
      <c r="K177" s="21" t="n">
        <v>190.355279082567</v>
      </c>
      <c r="L177" s="21" t="n">
        <v>143.943641411719</v>
      </c>
      <c r="M177" s="21" t="n">
        <v>154.384065813771</v>
      </c>
      <c r="N177" s="21" t="n">
        <v>160.377286231043</v>
      </c>
      <c r="O177" s="21" t="n">
        <v>180.602796947228</v>
      </c>
      <c r="P177" s="21" t="n">
        <v>146.622898502405</v>
      </c>
    </row>
    <row r="178" customFormat="false" ht="15" hidden="false" customHeight="false" outlineLevel="0" collapsed="false">
      <c r="A178" s="20" t="n">
        <v>43220</v>
      </c>
      <c r="B178" s="21" t="n">
        <v>88.5806222710516</v>
      </c>
      <c r="C178" s="21" t="n">
        <v>151.2438477686</v>
      </c>
      <c r="D178" s="21" t="n">
        <v>89.2325835069813</v>
      </c>
      <c r="E178" s="21" t="n">
        <v>131.190349112314</v>
      </c>
      <c r="F178" s="21" t="n">
        <v>147.452610437963</v>
      </c>
      <c r="G178" s="21" t="n">
        <v>154.796899794214</v>
      </c>
      <c r="H178" s="21" t="n">
        <v>159.599402457514</v>
      </c>
      <c r="I178" s="21" t="n">
        <v>169.725052227975</v>
      </c>
      <c r="J178" s="21" t="n">
        <v>194.051215565097</v>
      </c>
      <c r="K178" s="21" t="n">
        <v>194.298430888801</v>
      </c>
      <c r="L178" s="21" t="n">
        <v>144.98956779404</v>
      </c>
      <c r="M178" s="21" t="n">
        <v>154.495467654367</v>
      </c>
      <c r="N178" s="21" t="n">
        <v>161.512235328984</v>
      </c>
      <c r="O178" s="21" t="n">
        <v>181.147387207445</v>
      </c>
      <c r="P178" s="21" t="n">
        <v>152.094739037531</v>
      </c>
    </row>
    <row r="179" customFormat="false" ht="15" hidden="false" customHeight="false" outlineLevel="0" collapsed="false">
      <c r="A179" s="20" t="n">
        <v>43251</v>
      </c>
      <c r="B179" s="21" t="n">
        <v>85.5669232921786</v>
      </c>
      <c r="C179" s="21" t="n">
        <v>162.578983149973</v>
      </c>
      <c r="D179" s="21" t="n">
        <v>88.6641194685686</v>
      </c>
      <c r="E179" s="21" t="n">
        <v>129.643025291218</v>
      </c>
      <c r="F179" s="21" t="n">
        <v>142.653390183502</v>
      </c>
      <c r="G179" s="21" t="n">
        <v>153.212843725807</v>
      </c>
      <c r="H179" s="21" t="n">
        <v>157.729035984993</v>
      </c>
      <c r="I179" s="21" t="n">
        <v>167.928648508238</v>
      </c>
      <c r="J179" s="21" t="n">
        <v>190.559647160718</v>
      </c>
      <c r="K179" s="21" t="n">
        <v>199.004996453173</v>
      </c>
      <c r="L179" s="21" t="n">
        <v>144.249733718635</v>
      </c>
      <c r="M179" s="21" t="n">
        <v>154.350868797804</v>
      </c>
      <c r="N179" s="21" t="n">
        <v>161.310926490002</v>
      </c>
      <c r="O179" s="21" t="n">
        <v>181.519242232681</v>
      </c>
      <c r="P179" s="21" t="n">
        <v>154.864698095105</v>
      </c>
    </row>
    <row r="180" customFormat="false" ht="15" hidden="false" customHeight="false" outlineLevel="0" collapsed="false">
      <c r="A180" s="20" t="n">
        <v>43281</v>
      </c>
      <c r="B180" s="21" t="n">
        <v>85.3374406137446</v>
      </c>
      <c r="C180" s="21" t="n">
        <v>167.108355568179</v>
      </c>
      <c r="D180" s="21" t="n">
        <v>88.7225507210111</v>
      </c>
      <c r="E180" s="21" t="n">
        <v>126.312626950363</v>
      </c>
      <c r="F180" s="21" t="n">
        <v>150.245926108729</v>
      </c>
      <c r="G180" s="21" t="n">
        <v>152.670711858524</v>
      </c>
      <c r="H180" s="21" t="n">
        <v>150.592103865835</v>
      </c>
      <c r="I180" s="21" t="n">
        <v>165.991236588871</v>
      </c>
      <c r="J180" s="21" t="n">
        <v>189.271818953732</v>
      </c>
      <c r="K180" s="21" t="n">
        <v>193.265108677621</v>
      </c>
      <c r="L180" s="21" t="n">
        <v>143.140018039469</v>
      </c>
      <c r="M180" s="21" t="n">
        <v>154.285539920826</v>
      </c>
      <c r="N180" s="21" t="n">
        <v>161.711299428685</v>
      </c>
      <c r="O180" s="21" t="n">
        <v>181.60976421176</v>
      </c>
      <c r="P180" s="21" t="n">
        <v>154.973637199171</v>
      </c>
    </row>
    <row r="181" customFormat="false" ht="15" hidden="false" customHeight="false" outlineLevel="0" collapsed="false">
      <c r="A181" s="20" t="n">
        <v>43312</v>
      </c>
      <c r="B181" s="21" t="n">
        <v>103.060858847056</v>
      </c>
      <c r="C181" s="21" t="n">
        <v>182.296917268323</v>
      </c>
      <c r="D181" s="21" t="n">
        <v>87.3539464963381</v>
      </c>
      <c r="E181" s="21" t="n">
        <v>123.546569961365</v>
      </c>
      <c r="F181" s="21" t="n">
        <v>143.95288766041</v>
      </c>
      <c r="G181" s="21" t="n">
        <v>146.880202798991</v>
      </c>
      <c r="H181" s="21" t="n">
        <v>148.258529082589</v>
      </c>
      <c r="I181" s="21" t="n">
        <v>166.458354665599</v>
      </c>
      <c r="J181" s="21" t="n">
        <v>191.559916735067</v>
      </c>
      <c r="K181" s="21" t="n">
        <v>193.988967914861</v>
      </c>
      <c r="L181" s="21" t="n">
        <v>141.958974179763</v>
      </c>
      <c r="M181" s="21" t="n">
        <v>154.166578310612</v>
      </c>
      <c r="N181" s="21" t="n">
        <v>161.207868155853</v>
      </c>
      <c r="O181" s="21" t="n">
        <v>180.68367437937</v>
      </c>
      <c r="P181" s="21" t="n">
        <v>154.153470364029</v>
      </c>
    </row>
    <row r="182" customFormat="false" ht="15" hidden="false" customHeight="false" outlineLevel="0" collapsed="false">
      <c r="A182" s="20" t="n">
        <v>43343</v>
      </c>
      <c r="B182" s="21" t="n">
        <v>111.028243662029</v>
      </c>
      <c r="C182" s="21" t="n">
        <v>169.600658196304</v>
      </c>
      <c r="D182" s="21" t="n">
        <v>86.0142802930679</v>
      </c>
      <c r="E182" s="21" t="n">
        <v>126.420844390682</v>
      </c>
      <c r="F182" s="21" t="n">
        <v>144.989890686683</v>
      </c>
      <c r="G182" s="21" t="n">
        <v>147.670787724669</v>
      </c>
      <c r="H182" s="21" t="n">
        <v>150.944237739581</v>
      </c>
      <c r="I182" s="21" t="n">
        <v>165.223510223676</v>
      </c>
      <c r="J182" s="21" t="n">
        <v>191.700087834223</v>
      </c>
      <c r="K182" s="21" t="n">
        <v>193.709257969695</v>
      </c>
      <c r="L182" s="21" t="n">
        <v>141.573760156796</v>
      </c>
      <c r="M182" s="21" t="n">
        <v>154.080305018488</v>
      </c>
      <c r="N182" s="21" t="n">
        <v>161.468994824571</v>
      </c>
      <c r="O182" s="21" t="n">
        <v>180.883167218847</v>
      </c>
      <c r="P182" s="21" t="n">
        <v>154.065218547963</v>
      </c>
    </row>
    <row r="183" customFormat="false" ht="15" hidden="false" customHeight="false" outlineLevel="0" collapsed="false">
      <c r="A183" s="20" t="n">
        <v>43373</v>
      </c>
      <c r="B183" s="21" t="n">
        <v>108.588058111712</v>
      </c>
      <c r="C183" s="21" t="n">
        <v>197.021947057152</v>
      </c>
      <c r="D183" s="21" t="n">
        <v>86.8055325934305</v>
      </c>
      <c r="E183" s="21" t="n">
        <v>120.007454898355</v>
      </c>
      <c r="F183" s="21" t="n">
        <v>139.672405238913</v>
      </c>
      <c r="G183" s="21" t="n">
        <v>145.53261020616</v>
      </c>
      <c r="H183" s="21" t="n">
        <v>142.752689428212</v>
      </c>
      <c r="I183" s="21" t="n">
        <v>165.138672478665</v>
      </c>
      <c r="J183" s="21" t="n">
        <v>188.40689633026</v>
      </c>
      <c r="K183" s="21" t="n">
        <v>189.637919654233</v>
      </c>
      <c r="L183" s="21" t="n">
        <v>139.287683592429</v>
      </c>
      <c r="M183" s="21" t="n">
        <v>154.128761604791</v>
      </c>
      <c r="N183" s="21" t="n">
        <v>161.340559894663</v>
      </c>
      <c r="O183" s="21" t="n">
        <v>180.381067345962</v>
      </c>
      <c r="P183" s="21" t="n">
        <v>150.771589936415</v>
      </c>
    </row>
    <row r="184" customFormat="false" ht="15" hidden="false" customHeight="false" outlineLevel="0" collapsed="false">
      <c r="A184" s="20" t="n">
        <v>43404</v>
      </c>
      <c r="B184" s="21" t="n">
        <v>113.020719419291</v>
      </c>
      <c r="C184" s="21" t="n">
        <v>202.981106044379</v>
      </c>
      <c r="D184" s="21" t="n">
        <v>86.3749904075309</v>
      </c>
      <c r="E184" s="21" t="n">
        <v>120.991315831522</v>
      </c>
      <c r="F184" s="21" t="n">
        <v>140.365150604633</v>
      </c>
      <c r="G184" s="21" t="n">
        <v>144.031595903711</v>
      </c>
      <c r="H184" s="21" t="n">
        <v>143.689882914628</v>
      </c>
      <c r="I184" s="21" t="n">
        <v>163.043349121853</v>
      </c>
      <c r="J184" s="21" t="n">
        <v>189.808071884985</v>
      </c>
      <c r="K184" s="21" t="n">
        <v>182.745130050124</v>
      </c>
      <c r="L184" s="21" t="n">
        <v>140.446797925755</v>
      </c>
      <c r="M184" s="21" t="n">
        <v>153.766096347057</v>
      </c>
      <c r="N184" s="21" t="n">
        <v>161.411037350333</v>
      </c>
      <c r="O184" s="21" t="n">
        <v>179.924967382634</v>
      </c>
      <c r="P184" s="21" t="n">
        <v>147.070537912179</v>
      </c>
    </row>
    <row r="185" customFormat="false" ht="15" hidden="false" customHeight="false" outlineLevel="0" collapsed="false">
      <c r="A185" s="20" t="n">
        <v>43434</v>
      </c>
      <c r="B185" s="21" t="n">
        <v>112.86789037601</v>
      </c>
      <c r="C185" s="21" t="n">
        <v>176.067968692346</v>
      </c>
      <c r="D185" s="21" t="n">
        <v>86.263370113902</v>
      </c>
      <c r="E185" s="21" t="n">
        <v>118.039511136893</v>
      </c>
      <c r="F185" s="21" t="n">
        <v>138.97934810578</v>
      </c>
      <c r="G185" s="21" t="n">
        <v>139.225615133383</v>
      </c>
      <c r="H185" s="21" t="n">
        <v>141.687090861694</v>
      </c>
      <c r="I185" s="21" t="n">
        <v>164.533390075017</v>
      </c>
      <c r="J185" s="21" t="n">
        <v>187.471472644122</v>
      </c>
      <c r="K185" s="21" t="n">
        <v>178.34391551253</v>
      </c>
      <c r="L185" s="21" t="n">
        <v>139.283263295712</v>
      </c>
      <c r="M185" s="21" t="n">
        <v>154.009432300753</v>
      </c>
      <c r="N185" s="21" t="n">
        <v>161.312892765</v>
      </c>
      <c r="O185" s="21" t="n">
        <v>180.096016940581</v>
      </c>
      <c r="P185" s="21" t="n">
        <v>143.732036481967</v>
      </c>
    </row>
    <row r="186" customFormat="false" ht="15" hidden="false" customHeight="false" outlineLevel="0" collapsed="false">
      <c r="A186" s="20" t="n">
        <v>43465</v>
      </c>
      <c r="B186" s="21" t="n">
        <v>113.551495240771</v>
      </c>
      <c r="C186" s="21" t="n">
        <v>149.456994905822</v>
      </c>
      <c r="D186" s="21" t="n">
        <v>87.011872054027</v>
      </c>
      <c r="E186" s="21" t="n">
        <v>113.911089713712</v>
      </c>
      <c r="F186" s="21" t="n">
        <v>135.284182113934</v>
      </c>
      <c r="G186" s="21" t="n">
        <v>133.895500732659</v>
      </c>
      <c r="H186" s="21" t="n">
        <v>137.89310346205</v>
      </c>
      <c r="I186" s="21" t="n">
        <v>161.715871385602</v>
      </c>
      <c r="J186" s="21" t="n">
        <v>187.268262590054</v>
      </c>
      <c r="K186" s="21" t="n">
        <v>180.058010983109</v>
      </c>
      <c r="L186" s="21" t="n">
        <v>138.783217564846</v>
      </c>
      <c r="M186" s="21" t="n">
        <v>153.155705562089</v>
      </c>
      <c r="N186" s="21" t="n">
        <v>161.22600479068</v>
      </c>
      <c r="O186" s="21" t="n">
        <v>179.231754556904</v>
      </c>
      <c r="P186" s="21" t="n">
        <v>140.962365956342</v>
      </c>
    </row>
    <row r="187" customFormat="false" ht="15" hidden="false" customHeight="false" outlineLevel="0" collapsed="false">
      <c r="A187" s="20" t="n">
        <v>43496</v>
      </c>
      <c r="B187" s="21" t="n">
        <v>109.346067462945</v>
      </c>
      <c r="C187" s="21" t="n">
        <v>199.90280339845</v>
      </c>
      <c r="D187" s="21" t="n">
        <v>86.9498050718357</v>
      </c>
      <c r="E187" s="21" t="n">
        <v>117.759276160616</v>
      </c>
      <c r="F187" s="21" t="n">
        <v>136.264415785535</v>
      </c>
      <c r="G187" s="21" t="n">
        <v>139.593079215909</v>
      </c>
      <c r="H187" s="21" t="n">
        <v>138.692365009586</v>
      </c>
      <c r="I187" s="21" t="n">
        <v>155.016485485583</v>
      </c>
      <c r="J187" s="21" t="n">
        <v>186.733926033972</v>
      </c>
      <c r="K187" s="21" t="n">
        <v>178.851271160248</v>
      </c>
      <c r="L187" s="21" t="n">
        <v>138.780332943157</v>
      </c>
      <c r="M187" s="21" t="n">
        <v>153.367268476507</v>
      </c>
      <c r="N187" s="21" t="n">
        <v>160.756471882562</v>
      </c>
      <c r="O187" s="21" t="n">
        <v>178.757053551519</v>
      </c>
      <c r="P187" s="21" t="n">
        <v>145.810558642211</v>
      </c>
    </row>
    <row r="188" customFormat="false" ht="15" hidden="false" customHeight="false" outlineLevel="0" collapsed="false">
      <c r="A188" s="20" t="n">
        <v>43524</v>
      </c>
      <c r="B188" s="21" t="n">
        <v>117.85340558862</v>
      </c>
      <c r="C188" s="21" t="n">
        <v>156.207761314242</v>
      </c>
      <c r="D188" s="21" t="n">
        <v>86.8025909275166</v>
      </c>
      <c r="E188" s="21" t="n">
        <v>118.920128363845</v>
      </c>
      <c r="F188" s="21" t="n">
        <v>140.112246246385</v>
      </c>
      <c r="G188" s="21" t="n">
        <v>145.327494613699</v>
      </c>
      <c r="H188" s="21" t="n">
        <v>141.853416094825</v>
      </c>
      <c r="I188" s="21" t="n">
        <v>153.331303750472</v>
      </c>
      <c r="J188" s="21" t="n">
        <v>187.782866420358</v>
      </c>
      <c r="K188" s="21" t="n">
        <v>176.386824645734</v>
      </c>
      <c r="L188" s="21" t="n">
        <v>140.732319510128</v>
      </c>
      <c r="M188" s="21" t="n">
        <v>153.615374718782</v>
      </c>
      <c r="N188" s="21" t="n">
        <v>160.90868493238</v>
      </c>
      <c r="O188" s="21" t="n">
        <v>179.692266123903</v>
      </c>
      <c r="P188" s="21" t="n">
        <v>145.322982110332</v>
      </c>
    </row>
    <row r="189" customFormat="false" ht="15" hidden="false" customHeight="false" outlineLevel="0" collapsed="false">
      <c r="A189" s="20" t="n">
        <v>43555</v>
      </c>
      <c r="B189" s="21" t="n">
        <v>121.911335546368</v>
      </c>
      <c r="C189" s="21" t="n">
        <v>186.135003785455</v>
      </c>
      <c r="D189" s="21" t="n">
        <v>86.7777870184632</v>
      </c>
      <c r="E189" s="21" t="n">
        <v>117.432745046078</v>
      </c>
      <c r="F189" s="21" t="n">
        <v>134.106385154217</v>
      </c>
      <c r="G189" s="21" t="n">
        <v>145.683977605793</v>
      </c>
      <c r="H189" s="21" t="n">
        <v>141.001079545849</v>
      </c>
      <c r="I189" s="21" t="n">
        <v>161.629231847734</v>
      </c>
      <c r="J189" s="21" t="n">
        <v>190.021756674524</v>
      </c>
      <c r="K189" s="21" t="n">
        <v>168.220409401932</v>
      </c>
      <c r="L189" s="21" t="n">
        <v>139.894281592279</v>
      </c>
      <c r="M189" s="21" t="n">
        <v>153.76641850195</v>
      </c>
      <c r="N189" s="21" t="n">
        <v>160.945750093416</v>
      </c>
      <c r="O189" s="21" t="n">
        <v>180.935254350069</v>
      </c>
      <c r="P189" s="21" t="n">
        <v>140.469810178851</v>
      </c>
    </row>
    <row r="190" customFormat="false" ht="15" hidden="false" customHeight="false" outlineLevel="0" collapsed="false">
      <c r="A190" s="20" t="n">
        <v>43585</v>
      </c>
      <c r="B190" s="21" t="n">
        <v>126.129950787431</v>
      </c>
      <c r="C190" s="21" t="n">
        <v>185.362457813957</v>
      </c>
      <c r="D190" s="21" t="n">
        <v>89.8812086816511</v>
      </c>
      <c r="E190" s="21" t="n">
        <v>120.174705845059</v>
      </c>
      <c r="F190" s="21" t="n">
        <v>139.741967880496</v>
      </c>
      <c r="G190" s="21" t="n">
        <v>147.925291928139</v>
      </c>
      <c r="H190" s="21" t="n">
        <v>142.410055441526</v>
      </c>
      <c r="I190" s="21" t="n">
        <v>169.068182537925</v>
      </c>
      <c r="J190" s="21" t="n">
        <v>191.646837564966</v>
      </c>
      <c r="K190" s="21" t="n">
        <v>171.979259291755</v>
      </c>
      <c r="L190" s="21" t="n">
        <v>142.219600826333</v>
      </c>
      <c r="M190" s="21" t="n">
        <v>155.702615279867</v>
      </c>
      <c r="N190" s="21" t="n">
        <v>162.584039994037</v>
      </c>
      <c r="O190" s="21" t="n">
        <v>181.455107634662</v>
      </c>
      <c r="P190" s="21" t="n">
        <v>150.863012895673</v>
      </c>
    </row>
    <row r="191" customFormat="false" ht="15" hidden="false" customHeight="false" outlineLevel="0" collapsed="false">
      <c r="A191" s="20" t="n">
        <v>43616</v>
      </c>
      <c r="B191" s="21" t="n">
        <v>131.686388789739</v>
      </c>
      <c r="C191" s="21" t="n">
        <v>112.851754061349</v>
      </c>
      <c r="D191" s="21" t="n">
        <v>90.3457859340169</v>
      </c>
      <c r="E191" s="21" t="n">
        <v>122.490607699129</v>
      </c>
      <c r="F191" s="21" t="n">
        <v>140.25371319634</v>
      </c>
      <c r="G191" s="21" t="n">
        <v>152.982217576695</v>
      </c>
      <c r="H191" s="21" t="n">
        <v>144.356005041723</v>
      </c>
      <c r="I191" s="21" t="n">
        <v>170.394532442093</v>
      </c>
      <c r="J191" s="21" t="n">
        <v>195.135384493042</v>
      </c>
      <c r="K191" s="21" t="n">
        <v>170.174736177729</v>
      </c>
      <c r="L191" s="21" t="n">
        <v>142.131050269338</v>
      </c>
      <c r="M191" s="21" t="n">
        <v>156.119098443886</v>
      </c>
      <c r="N191" s="21" t="n">
        <v>162.688259765527</v>
      </c>
      <c r="O191" s="21" t="n">
        <v>182.020473704319</v>
      </c>
      <c r="P191" s="21" t="n">
        <v>152.15571691467</v>
      </c>
    </row>
    <row r="192" customFormat="false" ht="15" hidden="false" customHeight="false" outlineLevel="0" collapsed="false">
      <c r="A192" s="20" t="n">
        <v>43646</v>
      </c>
      <c r="B192" s="21" t="n">
        <v>128.059875326141</v>
      </c>
      <c r="C192" s="21" t="n">
        <v>170.023694367327</v>
      </c>
      <c r="D192" s="21" t="n">
        <v>90.0374223343959</v>
      </c>
      <c r="E192" s="21" t="n">
        <v>116.886926320996</v>
      </c>
      <c r="F192" s="21" t="n">
        <v>132.95464569629</v>
      </c>
      <c r="G192" s="21" t="n">
        <v>144.351360388016</v>
      </c>
      <c r="H192" s="21" t="n">
        <v>139.699350094704</v>
      </c>
      <c r="I192" s="21" t="n">
        <v>172.330169873947</v>
      </c>
      <c r="J192" s="21" t="n">
        <v>193.014558672808</v>
      </c>
      <c r="K192" s="21" t="n">
        <v>164.333887031771</v>
      </c>
      <c r="L192" s="21" t="n">
        <v>141.025305908059</v>
      </c>
      <c r="M192" s="21" t="n">
        <v>155.7973275048</v>
      </c>
      <c r="N192" s="21" t="n">
        <v>163.02418991976</v>
      </c>
      <c r="O192" s="21" t="n">
        <v>181.801792465313</v>
      </c>
      <c r="P192" s="21" t="n">
        <v>154.29338875758</v>
      </c>
    </row>
    <row r="193" customFormat="false" ht="15" hidden="false" customHeight="false" outlineLevel="0" collapsed="false">
      <c r="A193" s="20" t="n">
        <v>43677</v>
      </c>
      <c r="B193" s="21" t="n">
        <v>123.413223807393</v>
      </c>
      <c r="C193" s="21" t="n">
        <v>183.676972513375</v>
      </c>
      <c r="D193" s="21" t="n">
        <v>90.1970666429797</v>
      </c>
      <c r="E193" s="21" t="n">
        <v>120.640615085269</v>
      </c>
      <c r="F193" s="21" t="n">
        <v>137.900029345543</v>
      </c>
      <c r="G193" s="21" t="n">
        <v>144.816840963067</v>
      </c>
      <c r="H193" s="21" t="n">
        <v>142.725847255626</v>
      </c>
      <c r="I193" s="21" t="n">
        <v>177.417270730365</v>
      </c>
      <c r="J193" s="21" t="n">
        <v>194.551279441128</v>
      </c>
      <c r="K193" s="21" t="n">
        <v>167.547048412027</v>
      </c>
      <c r="L193" s="21" t="n">
        <v>142.867109506502</v>
      </c>
      <c r="M193" s="21" t="n">
        <v>155.920309206842</v>
      </c>
      <c r="N193" s="21" t="n">
        <v>163.166048097537</v>
      </c>
      <c r="O193" s="21" t="n">
        <v>181.233619737088</v>
      </c>
      <c r="P193" s="21" t="n">
        <v>156.138150597483</v>
      </c>
    </row>
    <row r="194" customFormat="false" ht="15" hidden="false" customHeight="false" outlineLevel="0" collapsed="false">
      <c r="A194" s="20" t="n">
        <v>43708</v>
      </c>
      <c r="B194" s="21" t="n">
        <v>117.078929752784</v>
      </c>
      <c r="C194" s="21" t="n">
        <v>160.242881772967</v>
      </c>
      <c r="D194" s="21" t="n">
        <v>89.2514517394189</v>
      </c>
      <c r="E194" s="21" t="n">
        <v>118.480886758265</v>
      </c>
      <c r="F194" s="21" t="n">
        <v>138.034419721024</v>
      </c>
      <c r="G194" s="21" t="n">
        <v>144.629271904727</v>
      </c>
      <c r="H194" s="21" t="n">
        <v>139.686378582198</v>
      </c>
      <c r="I194" s="21" t="n">
        <v>167.690481948552</v>
      </c>
      <c r="J194" s="21" t="n">
        <v>191.435225513058</v>
      </c>
      <c r="K194" s="21" t="n">
        <v>164.432475591653</v>
      </c>
      <c r="L194" s="21" t="n">
        <v>140.673407338764</v>
      </c>
      <c r="M194" s="21" t="n">
        <v>156.67129141696</v>
      </c>
      <c r="N194" s="21" t="n">
        <v>162.695058915099</v>
      </c>
      <c r="O194" s="21" t="n">
        <v>181.702179733221</v>
      </c>
      <c r="P194" s="21" t="n">
        <v>148.469846552527</v>
      </c>
    </row>
    <row r="195" customFormat="false" ht="15" hidden="false" customHeight="false" outlineLevel="0" collapsed="false">
      <c r="A195" s="20" t="n">
        <v>43738</v>
      </c>
      <c r="B195" s="21" t="n">
        <v>115.672272113516</v>
      </c>
      <c r="C195" s="21" t="n">
        <v>113.919724781049</v>
      </c>
      <c r="D195" s="21" t="n">
        <v>88.8976367967909</v>
      </c>
      <c r="E195" s="21" t="n">
        <v>114.064514167468</v>
      </c>
      <c r="F195" s="21" t="n">
        <v>139.635533929271</v>
      </c>
      <c r="G195" s="21" t="n">
        <v>139.745106623544</v>
      </c>
      <c r="H195" s="21" t="n">
        <v>134.968802690326</v>
      </c>
      <c r="I195" s="21" t="n">
        <v>168.634390932274</v>
      </c>
      <c r="J195" s="21" t="n">
        <v>189.799688059052</v>
      </c>
      <c r="K195" s="21" t="n">
        <v>161.429586552135</v>
      </c>
      <c r="L195" s="21" t="n">
        <v>140.455611179119</v>
      </c>
      <c r="M195" s="21" t="n">
        <v>156.81760007081</v>
      </c>
      <c r="N195" s="21" t="n">
        <v>162.572249173229</v>
      </c>
      <c r="O195" s="21" t="n">
        <v>180.553503345888</v>
      </c>
      <c r="P195" s="21" t="n">
        <v>148.0940311143</v>
      </c>
    </row>
    <row r="196" customFormat="false" ht="15" hidden="false" customHeight="false" outlineLevel="0" collapsed="false">
      <c r="A196" s="20" t="n">
        <v>43769</v>
      </c>
      <c r="B196" s="21" t="n">
        <v>118.40759930587</v>
      </c>
      <c r="C196" s="21" t="n">
        <v>162.47190338338</v>
      </c>
      <c r="D196" s="21" t="n">
        <v>88.7450859740162</v>
      </c>
      <c r="E196" s="21" t="n">
        <v>118.043915929378</v>
      </c>
      <c r="F196" s="21" t="n">
        <v>144.371257804819</v>
      </c>
      <c r="G196" s="21" t="n">
        <v>134.721392911099</v>
      </c>
      <c r="H196" s="21" t="n">
        <v>140.613194700049</v>
      </c>
      <c r="I196" s="21" t="n">
        <v>166.656019596472</v>
      </c>
      <c r="J196" s="21" t="n">
        <v>189.813726568601</v>
      </c>
      <c r="K196" s="21" t="n">
        <v>165.430386558338</v>
      </c>
      <c r="L196" s="21" t="n">
        <v>140.19357955379</v>
      </c>
      <c r="M196" s="21" t="n">
        <v>156.355125153122</v>
      </c>
      <c r="N196" s="21" t="n">
        <v>161.852072366297</v>
      </c>
      <c r="O196" s="21" t="n">
        <v>179.896100877412</v>
      </c>
      <c r="P196" s="21" t="n">
        <v>137.171238051343</v>
      </c>
    </row>
    <row r="197" customFormat="false" ht="15" hidden="false" customHeight="false" outlineLevel="0" collapsed="false">
      <c r="A197" s="20" t="n">
        <v>43799</v>
      </c>
      <c r="B197" s="21" t="n">
        <v>115.672571597523</v>
      </c>
      <c r="C197" s="21" t="n">
        <v>145.428163648356</v>
      </c>
      <c r="D197" s="21" t="n">
        <v>88.0356423242019</v>
      </c>
      <c r="E197" s="21" t="n">
        <v>112.839270832668</v>
      </c>
      <c r="F197" s="21" t="n">
        <v>142.538250438855</v>
      </c>
      <c r="G197" s="21" t="n">
        <v>133.023228976087</v>
      </c>
      <c r="H197" s="21" t="n">
        <v>135.944284143656</v>
      </c>
      <c r="I197" s="21" t="n">
        <v>168.624181110344</v>
      </c>
      <c r="J197" s="21" t="n">
        <v>187.189248550464</v>
      </c>
      <c r="K197" s="21" t="n">
        <v>162.868201787991</v>
      </c>
      <c r="L197" s="21" t="n">
        <v>138.411982717876</v>
      </c>
      <c r="M197" s="21" t="n">
        <v>156.158297183642</v>
      </c>
      <c r="N197" s="21" t="n">
        <v>161.645485598095</v>
      </c>
      <c r="O197" s="21" t="n">
        <v>179.755027418902</v>
      </c>
      <c r="P197" s="21" t="n">
        <v>136.750162331976</v>
      </c>
    </row>
    <row r="198" customFormat="false" ht="15" hidden="false" customHeight="false" outlineLevel="0" collapsed="false">
      <c r="A198" s="20" t="n">
        <v>43830</v>
      </c>
      <c r="B198" s="21" t="n">
        <v>108.660467185485</v>
      </c>
      <c r="C198" s="21" t="n">
        <v>157.15432900625</v>
      </c>
      <c r="D198" s="21" t="n">
        <v>88.0797449912078</v>
      </c>
      <c r="E198" s="21" t="n">
        <v>114.322399969197</v>
      </c>
      <c r="F198" s="21" t="n">
        <v>140.188518466151</v>
      </c>
      <c r="G198" s="21" t="n">
        <v>127.618839582409</v>
      </c>
      <c r="H198" s="21" t="n">
        <v>135.183978526664</v>
      </c>
      <c r="I198" s="21" t="n">
        <v>163.612326497089</v>
      </c>
      <c r="J198" s="21" t="n">
        <v>187.373225052718</v>
      </c>
      <c r="K198" s="21" t="n">
        <v>162.946624919338</v>
      </c>
      <c r="L198" s="21" t="n">
        <v>139.113438009618</v>
      </c>
      <c r="M198" s="21" t="n">
        <v>155.389054138019</v>
      </c>
      <c r="N198" s="21" t="n">
        <v>161.335107757154</v>
      </c>
      <c r="O198" s="21" t="n">
        <v>179.23079175567</v>
      </c>
      <c r="P198" s="21" t="n">
        <v>132.179535423152</v>
      </c>
    </row>
    <row r="199" customFormat="false" ht="15" hidden="false" customHeight="false" outlineLevel="0" collapsed="false">
      <c r="A199" s="20" t="n">
        <v>43861</v>
      </c>
      <c r="B199" s="21" t="n">
        <v>117.653470704068</v>
      </c>
      <c r="C199" s="21" t="n">
        <v>129.790744085545</v>
      </c>
      <c r="D199" s="21" t="n">
        <v>87.1405515875211</v>
      </c>
      <c r="E199" s="21" t="n">
        <v>114.784446322603</v>
      </c>
      <c r="F199" s="21" t="n">
        <v>141.76497051946</v>
      </c>
      <c r="G199" s="21" t="n">
        <v>125.957697509518</v>
      </c>
      <c r="H199" s="21" t="n">
        <v>139.495276590409</v>
      </c>
      <c r="I199" s="21" t="n">
        <v>148.066487786094</v>
      </c>
      <c r="J199" s="21" t="n">
        <v>183.171914167987</v>
      </c>
      <c r="K199" s="21" t="n">
        <v>161.59658811292</v>
      </c>
      <c r="L199" s="21" t="n">
        <v>139.324955149112</v>
      </c>
      <c r="M199" s="21" t="n">
        <v>154.527489445474</v>
      </c>
      <c r="N199" s="21" t="n">
        <v>160.872105781269</v>
      </c>
      <c r="O199" s="21" t="n">
        <v>178.91952151178</v>
      </c>
      <c r="P199" s="21" t="n">
        <v>140.450553392782</v>
      </c>
    </row>
    <row r="200" customFormat="false" ht="15" hidden="false" customHeight="false" outlineLevel="0" collapsed="false">
      <c r="A200" s="20" t="n">
        <v>43890</v>
      </c>
      <c r="B200" s="21" t="n">
        <v>107.302363969345</v>
      </c>
      <c r="C200" s="21" t="n">
        <v>165.323474870007</v>
      </c>
      <c r="D200" s="21" t="n">
        <v>91.1225818726017</v>
      </c>
      <c r="E200" s="21" t="n">
        <v>115.552051313424</v>
      </c>
      <c r="F200" s="21" t="n">
        <v>145.202433341959</v>
      </c>
      <c r="G200" s="21" t="n">
        <v>122.211771398106</v>
      </c>
      <c r="H200" s="21" t="n">
        <v>135.815628300163</v>
      </c>
      <c r="I200" s="21" t="n">
        <v>148.866655567003</v>
      </c>
      <c r="J200" s="21" t="n">
        <v>184.910907723865</v>
      </c>
      <c r="K200" s="21" t="n">
        <v>161.37093558555</v>
      </c>
      <c r="L200" s="21" t="n">
        <v>139.260321352276</v>
      </c>
      <c r="M200" s="21" t="n">
        <v>155.103752454618</v>
      </c>
      <c r="N200" s="21" t="n">
        <v>160.845575256474</v>
      </c>
      <c r="O200" s="21" t="n">
        <v>180.17112870768</v>
      </c>
      <c r="P200" s="21" t="n">
        <v>141.594468115831</v>
      </c>
    </row>
    <row r="201" customFormat="false" ht="15" hidden="false" customHeight="false" outlineLevel="0" collapsed="false">
      <c r="A201" s="20" t="n">
        <v>43921</v>
      </c>
      <c r="B201" s="21" t="n">
        <v>107.590210439979</v>
      </c>
      <c r="C201" s="21" t="n">
        <v>104.130679934663</v>
      </c>
      <c r="D201" s="21" t="n">
        <v>84.0483195760777</v>
      </c>
      <c r="E201" s="21" t="n">
        <v>101.256011240287</v>
      </c>
      <c r="F201" s="21" t="n">
        <v>145.2016742067</v>
      </c>
      <c r="G201" s="21" t="n">
        <v>96.9905606157404</v>
      </c>
      <c r="H201" s="21" t="n">
        <v>123.520455685061</v>
      </c>
      <c r="I201" s="21" t="n">
        <v>102.693993929249</v>
      </c>
      <c r="J201" s="21" t="n">
        <v>162.807657491391</v>
      </c>
      <c r="K201" s="21" t="n">
        <v>165.420872542488</v>
      </c>
      <c r="L201" s="21" t="n">
        <v>131.399725347638</v>
      </c>
      <c r="M201" s="21" t="n">
        <v>153.479938042879</v>
      </c>
      <c r="N201" s="21" t="n">
        <v>157.909150523269</v>
      </c>
      <c r="O201" s="21" t="n">
        <v>164.79792000586</v>
      </c>
      <c r="P201" s="21" t="n">
        <v>109.457872537935</v>
      </c>
    </row>
    <row r="202" customFormat="false" ht="15" hidden="false" customHeight="false" outlineLevel="0" collapsed="false">
      <c r="A202" s="20" t="n">
        <v>43951</v>
      </c>
      <c r="B202" s="21" t="n">
        <v>116.114203120753</v>
      </c>
      <c r="C202" s="21" t="n">
        <v>139.932440936138</v>
      </c>
      <c r="D202" s="21" t="n">
        <v>72.0701407835786</v>
      </c>
      <c r="E202" s="21" t="n">
        <v>80.9596608813419</v>
      </c>
      <c r="F202" s="21" t="n">
        <v>131.465077751038</v>
      </c>
      <c r="G202" s="21" t="n">
        <v>46.187676245529</v>
      </c>
      <c r="H202" s="21" t="n">
        <v>109.038606345186</v>
      </c>
      <c r="I202" s="21" t="n">
        <v>26.6706301797889</v>
      </c>
      <c r="J202" s="21" t="n">
        <v>141.516458080485</v>
      </c>
      <c r="K202" s="21" t="n">
        <v>163.361494545383</v>
      </c>
      <c r="L202" s="21" t="n">
        <v>117.73657620917</v>
      </c>
      <c r="M202" s="21" t="n">
        <v>136.702924402827</v>
      </c>
      <c r="N202" s="21" t="n">
        <v>147.189055499689</v>
      </c>
      <c r="O202" s="21" t="n">
        <v>121.102077828933</v>
      </c>
      <c r="P202" s="21" t="n">
        <v>41.4486170262765</v>
      </c>
    </row>
    <row r="203" customFormat="false" ht="15" hidden="false" customHeight="false" outlineLevel="0" collapsed="false">
      <c r="A203" s="20" t="n">
        <v>43982</v>
      </c>
      <c r="B203" s="21" t="n">
        <v>115.790855659123</v>
      </c>
      <c r="C203" s="21" t="n">
        <v>166.416932770045</v>
      </c>
      <c r="D203" s="21" t="n">
        <v>72.99019778825</v>
      </c>
      <c r="E203" s="21" t="n">
        <v>93.3282060573264</v>
      </c>
      <c r="F203" s="21" t="n">
        <v>134.215638604285</v>
      </c>
      <c r="G203" s="21" t="n">
        <v>79.354023128886</v>
      </c>
      <c r="H203" s="21" t="n">
        <v>118.011787341362</v>
      </c>
      <c r="I203" s="21" t="n">
        <v>47.8769772246649</v>
      </c>
      <c r="J203" s="21" t="n">
        <v>155.004404998763</v>
      </c>
      <c r="K203" s="21" t="n">
        <v>162.521804932525</v>
      </c>
      <c r="L203" s="21" t="n">
        <v>122.886437787066</v>
      </c>
      <c r="M203" s="21" t="n">
        <v>137.892535506739</v>
      </c>
      <c r="N203" s="21" t="n">
        <v>150.424644310599</v>
      </c>
      <c r="O203" s="21" t="n">
        <v>146.912945862816</v>
      </c>
      <c r="P203" s="21" t="n">
        <v>46.2828619801664</v>
      </c>
    </row>
    <row r="204" customFormat="false" ht="15" hidden="false" customHeight="false" outlineLevel="0" collapsed="false">
      <c r="A204" s="20" t="n">
        <v>44012</v>
      </c>
      <c r="B204" s="21" t="n">
        <v>116.586761088242</v>
      </c>
      <c r="C204" s="21" t="n">
        <v>88.7559682664528</v>
      </c>
      <c r="D204" s="21" t="n">
        <v>76.3997691103486</v>
      </c>
      <c r="E204" s="21" t="n">
        <v>108.732196500432</v>
      </c>
      <c r="F204" s="21" t="n">
        <v>136.87980356819</v>
      </c>
      <c r="G204" s="21" t="n">
        <v>100.568589414397</v>
      </c>
      <c r="H204" s="21" t="n">
        <v>129.756874668167</v>
      </c>
      <c r="I204" s="21" t="n">
        <v>66.7092176697347</v>
      </c>
      <c r="J204" s="21" t="n">
        <v>155.564033933354</v>
      </c>
      <c r="K204" s="21" t="n">
        <v>168.853939497392</v>
      </c>
      <c r="L204" s="21" t="n">
        <v>128.134875176165</v>
      </c>
      <c r="M204" s="21" t="n">
        <v>137.489251655287</v>
      </c>
      <c r="N204" s="21" t="n">
        <v>150.801615837421</v>
      </c>
      <c r="O204" s="21" t="n">
        <v>149.822921162439</v>
      </c>
      <c r="P204" s="21" t="n">
        <v>60.448379571734</v>
      </c>
    </row>
    <row r="205" customFormat="false" ht="15" hidden="false" customHeight="false" outlineLevel="0" collapsed="false">
      <c r="A205" s="20" t="n">
        <v>44043</v>
      </c>
      <c r="B205" s="21" t="n">
        <v>114.708097006456</v>
      </c>
      <c r="C205" s="21" t="n">
        <v>66.051200795694</v>
      </c>
      <c r="D205" s="21" t="n">
        <v>77.6849696368024</v>
      </c>
      <c r="E205" s="21" t="n">
        <v>110.311739282406</v>
      </c>
      <c r="F205" s="21" t="n">
        <v>143.500698265489</v>
      </c>
      <c r="G205" s="21" t="n">
        <v>112.529095130148</v>
      </c>
      <c r="H205" s="21" t="n">
        <v>133.875479300962</v>
      </c>
      <c r="I205" s="21" t="n">
        <v>62.2996973063384</v>
      </c>
      <c r="J205" s="21" t="n">
        <v>150.407594515462</v>
      </c>
      <c r="K205" s="21" t="n">
        <v>167.073137534127</v>
      </c>
      <c r="L205" s="21" t="n">
        <v>130.672447659122</v>
      </c>
      <c r="M205" s="21" t="n">
        <v>141.699184229072</v>
      </c>
      <c r="N205" s="21" t="n">
        <v>153.282382573104</v>
      </c>
      <c r="O205" s="21" t="n">
        <v>164.117336972811</v>
      </c>
      <c r="P205" s="21" t="n">
        <v>59.4986423326514</v>
      </c>
    </row>
    <row r="206" customFormat="false" ht="15" hidden="false" customHeight="false" outlineLevel="0" collapsed="false">
      <c r="A206" s="20" t="n">
        <v>44074</v>
      </c>
      <c r="B206" s="21" t="n">
        <v>113.286983383805</v>
      </c>
      <c r="C206" s="21" t="n">
        <v>141.275573940215</v>
      </c>
      <c r="D206" s="21" t="n">
        <v>78.7587851770366</v>
      </c>
      <c r="E206" s="21" t="n">
        <v>108.696011294857</v>
      </c>
      <c r="F206" s="21" t="n">
        <v>139.353131116203</v>
      </c>
      <c r="G206" s="21" t="n">
        <v>109.650417269759</v>
      </c>
      <c r="H206" s="21" t="n">
        <v>132.207524001234</v>
      </c>
      <c r="I206" s="21" t="n">
        <v>71.6485421454435</v>
      </c>
      <c r="J206" s="21" t="n">
        <v>151.405602577397</v>
      </c>
      <c r="K206" s="21" t="n">
        <v>167.223279217844</v>
      </c>
      <c r="L206" s="21" t="n">
        <v>133.607123468972</v>
      </c>
      <c r="M206" s="21" t="n">
        <v>141.55425802027</v>
      </c>
      <c r="N206" s="21" t="n">
        <v>152.487271225693</v>
      </c>
      <c r="O206" s="21" t="n">
        <v>162.998622636477</v>
      </c>
      <c r="P206" s="21" t="n">
        <v>68.1166791494385</v>
      </c>
    </row>
    <row r="207" customFormat="false" ht="15" hidden="false" customHeight="false" outlineLevel="0" collapsed="false">
      <c r="A207" s="20" t="n">
        <v>44104</v>
      </c>
      <c r="B207" s="21" t="n">
        <v>117.545022787563</v>
      </c>
      <c r="C207" s="21" t="n">
        <v>162.569311252436</v>
      </c>
      <c r="D207" s="21" t="n">
        <v>77.307958991968</v>
      </c>
      <c r="E207" s="21" t="n">
        <v>115.306639741125</v>
      </c>
      <c r="F207" s="21" t="n">
        <v>141.931767445739</v>
      </c>
      <c r="G207" s="21" t="n">
        <v>112.63568305764</v>
      </c>
      <c r="H207" s="21" t="n">
        <v>140.851436199211</v>
      </c>
      <c r="I207" s="21" t="n">
        <v>66.4597572429293</v>
      </c>
      <c r="J207" s="21" t="n">
        <v>153.7527056555</v>
      </c>
      <c r="K207" s="21" t="n">
        <v>169.213781218279</v>
      </c>
      <c r="L207" s="21" t="n">
        <v>135.405866467473</v>
      </c>
      <c r="M207" s="21" t="n">
        <v>141.636716658016</v>
      </c>
      <c r="N207" s="21" t="n">
        <v>153.377102209681</v>
      </c>
      <c r="O207" s="21" t="n">
        <v>167.978437791568</v>
      </c>
      <c r="P207" s="21" t="n">
        <v>73.3156823252915</v>
      </c>
    </row>
    <row r="208" customFormat="false" ht="15" hidden="false" customHeight="false" outlineLevel="0" collapsed="false">
      <c r="A208" s="20" t="n">
        <v>44135</v>
      </c>
      <c r="B208" s="21" t="n">
        <v>112.215098594231</v>
      </c>
      <c r="C208" s="21" t="n">
        <v>148.773777487153</v>
      </c>
      <c r="D208" s="21" t="n">
        <v>77.8498503869691</v>
      </c>
      <c r="E208" s="21" t="n">
        <v>116.876881690673</v>
      </c>
      <c r="F208" s="21" t="n">
        <v>141.766847313595</v>
      </c>
      <c r="G208" s="21" t="n">
        <v>132.376307479544</v>
      </c>
      <c r="H208" s="21" t="n">
        <v>140.290975776149</v>
      </c>
      <c r="I208" s="21" t="n">
        <v>73.6531284019773</v>
      </c>
      <c r="J208" s="21" t="n">
        <v>152.993858640264</v>
      </c>
      <c r="K208" s="21" t="n">
        <v>170.599883671164</v>
      </c>
      <c r="L208" s="21" t="n">
        <v>136.339810337543</v>
      </c>
      <c r="M208" s="21" t="n">
        <v>142.514244793162</v>
      </c>
      <c r="N208" s="21" t="n">
        <v>154.450939800232</v>
      </c>
      <c r="O208" s="21" t="n">
        <v>176.285449028476</v>
      </c>
      <c r="P208" s="21" t="n">
        <v>102.64130964588</v>
      </c>
    </row>
    <row r="209" customFormat="false" ht="15" hidden="false" customHeight="false" outlineLevel="0" collapsed="false">
      <c r="A209" s="20" t="n">
        <v>44165</v>
      </c>
      <c r="B209" s="21" t="n">
        <v>112.712492350342</v>
      </c>
      <c r="C209" s="21" t="n">
        <v>140.153688510543</v>
      </c>
      <c r="D209" s="21" t="n">
        <v>78.1039687190978</v>
      </c>
      <c r="E209" s="21" t="n">
        <v>117.584762890944</v>
      </c>
      <c r="F209" s="21" t="n">
        <v>144.099182735972</v>
      </c>
      <c r="G209" s="21" t="n">
        <v>136.273097616382</v>
      </c>
      <c r="H209" s="21" t="n">
        <v>139.648257656667</v>
      </c>
      <c r="I209" s="21" t="n">
        <v>77.4216444306252</v>
      </c>
      <c r="J209" s="21" t="n">
        <v>154.561081506552</v>
      </c>
      <c r="K209" s="21" t="n">
        <v>169.830473903391</v>
      </c>
      <c r="L209" s="21" t="n">
        <v>137.76568864851</v>
      </c>
      <c r="M209" s="21" t="n">
        <v>142.623279321369</v>
      </c>
      <c r="N209" s="21" t="n">
        <v>154.612340048888</v>
      </c>
      <c r="O209" s="21" t="n">
        <v>176.444921166864</v>
      </c>
      <c r="P209" s="21" t="n">
        <v>104.874741886409</v>
      </c>
    </row>
    <row r="210" customFormat="false" ht="15" hidden="false" customHeight="false" outlineLevel="0" collapsed="false">
      <c r="A210" s="20" t="n">
        <v>44196</v>
      </c>
      <c r="B210" s="21" t="n">
        <v>116.12107379788</v>
      </c>
      <c r="C210" s="21" t="n">
        <v>151.847810467942</v>
      </c>
      <c r="D210" s="21" t="n">
        <v>80.0021886064332</v>
      </c>
      <c r="E210" s="21" t="n">
        <v>118.872788884304</v>
      </c>
      <c r="F210" s="21" t="n">
        <v>143.685441701826</v>
      </c>
      <c r="G210" s="21" t="n">
        <v>142.488530210642</v>
      </c>
      <c r="H210" s="21" t="n">
        <v>147.1002759139</v>
      </c>
      <c r="I210" s="21" t="n">
        <v>85.1524156784473</v>
      </c>
      <c r="J210" s="21" t="n">
        <v>153.418483560409</v>
      </c>
      <c r="K210" s="21" t="n">
        <v>169.682655404038</v>
      </c>
      <c r="L210" s="21" t="n">
        <v>138.366474354915</v>
      </c>
      <c r="M210" s="21" t="n">
        <v>142.592845320116</v>
      </c>
      <c r="N210" s="21" t="n">
        <v>155.374082467754</v>
      </c>
      <c r="O210" s="21" t="n">
        <v>176.299587415952</v>
      </c>
      <c r="P210" s="21" t="n">
        <v>109.428265898463</v>
      </c>
    </row>
    <row r="211" customFormat="false" ht="15" hidden="false" customHeight="false" outlineLevel="0" collapsed="false">
      <c r="A211" s="20" t="n">
        <v>44227</v>
      </c>
      <c r="B211" s="21" t="n">
        <v>112.07242866689</v>
      </c>
      <c r="C211" s="21" t="n">
        <v>156.843836697413</v>
      </c>
      <c r="D211" s="21" t="n">
        <v>78.9859845756005</v>
      </c>
      <c r="E211" s="21" t="n">
        <v>122.052927093804</v>
      </c>
      <c r="F211" s="21" t="n">
        <v>140.246172397886</v>
      </c>
      <c r="G211" s="21" t="n">
        <v>141.668878984273</v>
      </c>
      <c r="H211" s="21" t="n">
        <v>146.116352704683</v>
      </c>
      <c r="I211" s="21" t="n">
        <v>90.2854256975915</v>
      </c>
      <c r="J211" s="21" t="n">
        <v>159.643567048425</v>
      </c>
      <c r="K211" s="21" t="n">
        <v>165.979585894792</v>
      </c>
      <c r="L211" s="21" t="n">
        <v>141.019885880157</v>
      </c>
      <c r="M211" s="21" t="n">
        <v>145.295572631221</v>
      </c>
      <c r="N211" s="21" t="n">
        <v>156.065392432187</v>
      </c>
      <c r="O211" s="21" t="n">
        <v>176.520067412472</v>
      </c>
      <c r="P211" s="21" t="n">
        <v>117.145486909471</v>
      </c>
    </row>
    <row r="212" customFormat="false" ht="15" hidden="false" customHeight="false" outlineLevel="0" collapsed="false">
      <c r="A212" s="20" t="n">
        <v>44255</v>
      </c>
      <c r="B212" s="21" t="n">
        <v>110.709240161933</v>
      </c>
      <c r="C212" s="21" t="n">
        <v>152.822223034991</v>
      </c>
      <c r="D212" s="21" t="n">
        <v>81.3885591945678</v>
      </c>
      <c r="E212" s="21" t="n">
        <v>118.325648561622</v>
      </c>
      <c r="F212" s="21" t="n">
        <v>136.570430145982</v>
      </c>
      <c r="G212" s="21" t="n">
        <v>139.031772679465</v>
      </c>
      <c r="H212" s="21" t="n">
        <v>144.719425250649</v>
      </c>
      <c r="I212" s="21" t="n">
        <v>94.5144315759954</v>
      </c>
      <c r="J212" s="21" t="n">
        <v>160.177600028077</v>
      </c>
      <c r="K212" s="21" t="n">
        <v>167.78953370912</v>
      </c>
      <c r="L212" s="21" t="n">
        <v>140.912869401216</v>
      </c>
      <c r="M212" s="21" t="n">
        <v>146.13992811711</v>
      </c>
      <c r="N212" s="21" t="n">
        <v>156.65468678591</v>
      </c>
      <c r="O212" s="21" t="n">
        <v>178.272608224505</v>
      </c>
      <c r="P212" s="21" t="n">
        <v>120.40850610359</v>
      </c>
    </row>
    <row r="213" customFormat="false" ht="15" hidden="false" customHeight="false" outlineLevel="0" collapsed="false">
      <c r="A213" s="20" t="n">
        <v>44286</v>
      </c>
      <c r="B213" s="21" t="n">
        <v>114.648434097781</v>
      </c>
      <c r="C213" s="21" t="n">
        <v>174.676577456321</v>
      </c>
      <c r="D213" s="21" t="n">
        <v>82.8120822762664</v>
      </c>
      <c r="E213" s="21" t="n">
        <v>129.274660782857</v>
      </c>
      <c r="F213" s="21" t="n">
        <v>142.882376073812</v>
      </c>
      <c r="G213" s="21" t="n">
        <v>148.392863784714</v>
      </c>
      <c r="H213" s="21" t="n">
        <v>151.700466284199</v>
      </c>
      <c r="I213" s="21" t="n">
        <v>94.1577209207117</v>
      </c>
      <c r="J213" s="21" t="n">
        <v>165.616103222991</v>
      </c>
      <c r="K213" s="21" t="n">
        <v>170.343710987914</v>
      </c>
      <c r="L213" s="21" t="n">
        <v>143.969530142169</v>
      </c>
      <c r="M213" s="21" t="n">
        <v>147.919942711926</v>
      </c>
      <c r="N213" s="21" t="n">
        <v>158.619042207523</v>
      </c>
      <c r="O213" s="21" t="n">
        <v>180.561206771316</v>
      </c>
      <c r="P213" s="21" t="n">
        <v>113.164365510103</v>
      </c>
    </row>
    <row r="214" customFormat="false" ht="15" hidden="false" customHeight="false" outlineLevel="0" collapsed="false">
      <c r="A214" s="20" t="n">
        <v>44316</v>
      </c>
      <c r="B214" s="21" t="n">
        <v>118.145594110846</v>
      </c>
      <c r="C214" s="21" t="n">
        <v>147.79014091294</v>
      </c>
      <c r="D214" s="21" t="n">
        <v>84.7049513563955</v>
      </c>
      <c r="E214" s="21" t="n">
        <v>126.828435067514</v>
      </c>
      <c r="F214" s="21" t="n">
        <v>147.696375555118</v>
      </c>
      <c r="G214" s="21" t="n">
        <v>143.48102303948</v>
      </c>
      <c r="H214" s="21" t="n">
        <v>152.826474628899</v>
      </c>
      <c r="I214" s="21" t="n">
        <v>110.113356297085</v>
      </c>
      <c r="J214" s="21" t="n">
        <v>166.393094680727</v>
      </c>
      <c r="K214" s="21" t="n">
        <v>167.408865422604</v>
      </c>
      <c r="L214" s="21" t="n">
        <v>145.029323115183</v>
      </c>
      <c r="M214" s="21" t="n">
        <v>147.963960811778</v>
      </c>
      <c r="N214" s="21" t="n">
        <v>158.129558629611</v>
      </c>
      <c r="O214" s="21" t="n">
        <v>181.676904345257</v>
      </c>
      <c r="P214" s="21" t="n">
        <v>112.805837663358</v>
      </c>
    </row>
    <row r="215" customFormat="false" ht="15" hidden="false" customHeight="false" outlineLevel="0" collapsed="false">
      <c r="A215" s="20" t="n">
        <v>44347</v>
      </c>
      <c r="B215" s="21" t="n">
        <v>117.359074845255</v>
      </c>
      <c r="C215" s="21" t="n">
        <v>159.461514861696</v>
      </c>
      <c r="D215" s="21" t="n">
        <v>86.7397078973956</v>
      </c>
      <c r="E215" s="21" t="n">
        <v>122.51947987517</v>
      </c>
      <c r="F215" s="21" t="n">
        <v>147.004123259666</v>
      </c>
      <c r="G215" s="21" t="n">
        <v>133.657303146832</v>
      </c>
      <c r="H215" s="21" t="n">
        <v>148.048648501191</v>
      </c>
      <c r="I215" s="21" t="n">
        <v>101.572443482221</v>
      </c>
      <c r="J215" s="21" t="n">
        <v>166.85365896179</v>
      </c>
      <c r="K215" s="21" t="n">
        <v>165.78030295534</v>
      </c>
      <c r="L215" s="21" t="n">
        <v>142.410363230084</v>
      </c>
      <c r="M215" s="21" t="n">
        <v>148.927241035634</v>
      </c>
      <c r="N215" s="21" t="n">
        <v>158.130239874869</v>
      </c>
      <c r="O215" s="21" t="n">
        <v>182.808687041884</v>
      </c>
      <c r="P215" s="21" t="n">
        <v>114.660139049644</v>
      </c>
    </row>
    <row r="216" customFormat="false" ht="15" hidden="false" customHeight="false" outlineLevel="0" collapsed="false">
      <c r="A216" s="20" t="n">
        <v>44377</v>
      </c>
      <c r="B216" s="21" t="n">
        <v>116.088611654782</v>
      </c>
      <c r="C216" s="21" t="n">
        <v>168.65874774387</v>
      </c>
      <c r="D216" s="21" t="n">
        <v>87.8656272845272</v>
      </c>
      <c r="E216" s="21" t="n">
        <v>126.826223297941</v>
      </c>
      <c r="F216" s="21" t="n">
        <v>148.649118645464</v>
      </c>
      <c r="G216" s="21" t="n">
        <v>142.644038507599</v>
      </c>
      <c r="H216" s="21" t="n">
        <v>149.592732084512</v>
      </c>
      <c r="I216" s="21" t="n">
        <v>102.914044635636</v>
      </c>
      <c r="J216" s="21" t="n">
        <v>169.293597880802</v>
      </c>
      <c r="K216" s="21" t="n">
        <v>165.856884116748</v>
      </c>
      <c r="L216" s="21" t="n">
        <v>144.235139766166</v>
      </c>
      <c r="M216" s="21" t="n">
        <v>148.392073720782</v>
      </c>
      <c r="N216" s="21" t="n">
        <v>158.747066042704</v>
      </c>
      <c r="O216" s="21" t="n">
        <v>182.935927737969</v>
      </c>
      <c r="P216" s="21" t="n">
        <v>119.683908364128</v>
      </c>
    </row>
    <row r="217" customFormat="false" ht="15" hidden="false" customHeight="false" outlineLevel="0" collapsed="false">
      <c r="A217" s="20" t="n">
        <v>44408</v>
      </c>
      <c r="B217" s="21" t="n">
        <v>114.865453634272</v>
      </c>
      <c r="C217" s="21" t="n">
        <v>188.232148297364</v>
      </c>
      <c r="D217" s="21" t="n">
        <v>87.6702801564148</v>
      </c>
      <c r="E217" s="21" t="n">
        <v>124.962223164952</v>
      </c>
      <c r="F217" s="21" t="n">
        <v>148.606745636762</v>
      </c>
      <c r="G217" s="21" t="n">
        <v>140.407251941805</v>
      </c>
      <c r="H217" s="21" t="n">
        <v>149.485125510883</v>
      </c>
      <c r="I217" s="21" t="n">
        <v>112.198392602441</v>
      </c>
      <c r="J217" s="21" t="n">
        <v>168.636170463609</v>
      </c>
      <c r="K217" s="21" t="n">
        <v>163.783131621992</v>
      </c>
      <c r="L217" s="21" t="n">
        <v>144.517288243824</v>
      </c>
      <c r="M217" s="21" t="n">
        <v>151.36506949033</v>
      </c>
      <c r="N217" s="21" t="n">
        <v>158.70886893296</v>
      </c>
      <c r="O217" s="21" t="n">
        <v>181.759952381808</v>
      </c>
      <c r="P217" s="21" t="n">
        <v>118.375479439313</v>
      </c>
    </row>
    <row r="218" customFormat="false" ht="15" hidden="false" customHeight="false" outlineLevel="0" collapsed="false">
      <c r="A218" s="20" t="n">
        <v>44439</v>
      </c>
      <c r="B218" s="21" t="n">
        <v>115.546203151271</v>
      </c>
      <c r="C218" s="21" t="n">
        <v>149.924359370452</v>
      </c>
      <c r="D218" s="21" t="n">
        <v>88.0082836836156</v>
      </c>
      <c r="E218" s="21" t="n">
        <v>124.351627467521</v>
      </c>
      <c r="F218" s="21" t="n">
        <v>152.154157980988</v>
      </c>
      <c r="G218" s="21" t="n">
        <v>140.961591178842</v>
      </c>
      <c r="H218" s="21" t="n">
        <v>149.598342468528</v>
      </c>
      <c r="I218" s="21" t="n">
        <v>114.515674933631</v>
      </c>
      <c r="J218" s="21" t="n">
        <v>171.57413248378</v>
      </c>
      <c r="K218" s="21" t="n">
        <v>165.990404297416</v>
      </c>
      <c r="L218" s="21" t="n">
        <v>143.853107186198</v>
      </c>
      <c r="M218" s="21" t="n">
        <v>152.650368803019</v>
      </c>
      <c r="N218" s="21" t="n">
        <v>160.90600061773</v>
      </c>
      <c r="O218" s="21" t="n">
        <v>182.588005185463</v>
      </c>
      <c r="P218" s="21" t="n">
        <v>120.542460619487</v>
      </c>
    </row>
    <row r="219" customFormat="false" ht="15" hidden="false" customHeight="false" outlineLevel="0" collapsed="false">
      <c r="A219" s="20" t="n">
        <v>44469</v>
      </c>
      <c r="B219" s="21" t="n">
        <v>114.418768962332</v>
      </c>
      <c r="C219" s="21" t="n">
        <v>150.377180240405</v>
      </c>
      <c r="D219" s="21" t="n">
        <v>90.3169846948702</v>
      </c>
      <c r="E219" s="21" t="n">
        <v>126.667649371558</v>
      </c>
      <c r="F219" s="21" t="n">
        <v>148.531370843013</v>
      </c>
      <c r="G219" s="21" t="n">
        <v>143.041041254683</v>
      </c>
      <c r="H219" s="21" t="n">
        <v>150.797180364665</v>
      </c>
      <c r="I219" s="21" t="n">
        <v>124.776255369085</v>
      </c>
      <c r="J219" s="21" t="n">
        <v>172.562682410557</v>
      </c>
      <c r="K219" s="21" t="n">
        <v>167.476064896871</v>
      </c>
      <c r="L219" s="21" t="n">
        <v>145.602463314884</v>
      </c>
      <c r="M219" s="21" t="n">
        <v>153.697085640259</v>
      </c>
      <c r="N219" s="21" t="n">
        <v>161.579396175669</v>
      </c>
      <c r="O219" s="21" t="n">
        <v>181.58457630781</v>
      </c>
      <c r="P219" s="21" t="n">
        <v>122.137833911415</v>
      </c>
    </row>
    <row r="220" customFormat="false" ht="15" hidden="false" customHeight="false" outlineLevel="0" collapsed="false">
      <c r="A220" s="20" t="n">
        <v>44500</v>
      </c>
      <c r="B220" s="21" t="n">
        <v>118.177104944312</v>
      </c>
      <c r="C220" s="21" t="n">
        <v>141.264270284141</v>
      </c>
      <c r="D220" s="21" t="n">
        <v>90.0661237553101</v>
      </c>
      <c r="E220" s="21" t="n">
        <v>124.294019147748</v>
      </c>
      <c r="F220" s="21" t="n">
        <v>141.015225593544</v>
      </c>
      <c r="G220" s="21" t="n">
        <v>140.806647658015</v>
      </c>
      <c r="H220" s="21" t="n">
        <v>148.965222019394</v>
      </c>
      <c r="I220" s="21" t="n">
        <v>113.179771213295</v>
      </c>
      <c r="J220" s="21" t="n">
        <v>172.974544406961</v>
      </c>
      <c r="K220" s="21" t="n">
        <v>166.476627324518</v>
      </c>
      <c r="L220" s="21" t="n">
        <v>145.304978841</v>
      </c>
      <c r="M220" s="21" t="n">
        <v>159.162571104298</v>
      </c>
      <c r="N220" s="21" t="n">
        <v>162.409161121999</v>
      </c>
      <c r="O220" s="21" t="n">
        <v>181.240790631631</v>
      </c>
      <c r="P220" s="21" t="n">
        <v>120.170974567627</v>
      </c>
    </row>
    <row r="221" customFormat="false" ht="15" hidden="false" customHeight="false" outlineLevel="0" collapsed="false">
      <c r="A221" s="20" t="n">
        <v>44530</v>
      </c>
      <c r="B221" s="21" t="n">
        <v>120.406501727762</v>
      </c>
      <c r="C221" s="21" t="n">
        <v>163.867631096618</v>
      </c>
      <c r="D221" s="21" t="n">
        <v>92.4270318673704</v>
      </c>
      <c r="E221" s="21" t="n">
        <v>129.178628392254</v>
      </c>
      <c r="F221" s="21" t="n">
        <v>144.849244404447</v>
      </c>
      <c r="G221" s="21" t="n">
        <v>143.22449858149</v>
      </c>
      <c r="H221" s="21" t="n">
        <v>154.134204849968</v>
      </c>
      <c r="I221" s="21" t="n">
        <v>118.729115724823</v>
      </c>
      <c r="J221" s="21" t="n">
        <v>176.314872408033</v>
      </c>
      <c r="K221" s="21" t="n">
        <v>170.955385568895</v>
      </c>
      <c r="L221" s="21" t="n">
        <v>147.064028067034</v>
      </c>
      <c r="M221" s="21" t="n">
        <v>159.673182419123</v>
      </c>
      <c r="N221" s="21" t="n">
        <v>162.850900747622</v>
      </c>
      <c r="O221" s="21" t="n">
        <v>181.613933438877</v>
      </c>
      <c r="P221" s="21" t="n">
        <v>121.90848656708</v>
      </c>
    </row>
    <row r="222" customFormat="false" ht="15" hidden="false" customHeight="false" outlineLevel="0" collapsed="false">
      <c r="A222" s="20" t="n">
        <v>44561</v>
      </c>
      <c r="B222" s="21" t="n">
        <v>129.522983711871</v>
      </c>
      <c r="C222" s="21" t="n">
        <v>145.019254354364</v>
      </c>
      <c r="D222" s="21" t="n">
        <v>91.840565743212</v>
      </c>
      <c r="E222" s="21" t="n">
        <v>131.837081800556</v>
      </c>
      <c r="F222" s="21" t="n">
        <v>148.869571251423</v>
      </c>
      <c r="G222" s="21" t="n">
        <v>147.984923494988</v>
      </c>
      <c r="H222" s="21" t="n">
        <v>158.525707079752</v>
      </c>
      <c r="I222" s="21" t="n">
        <v>120.714910011094</v>
      </c>
      <c r="J222" s="21" t="n">
        <v>179.479977774941</v>
      </c>
      <c r="K222" s="21" t="n">
        <v>169.756051231564</v>
      </c>
      <c r="L222" s="21" t="n">
        <v>147.903166178537</v>
      </c>
      <c r="M222" s="21" t="n">
        <v>159.465221899255</v>
      </c>
      <c r="N222" s="21" t="n">
        <v>163.856684431125</v>
      </c>
      <c r="O222" s="21" t="n">
        <v>181.199233710277</v>
      </c>
      <c r="P222" s="21" t="n">
        <v>124.162165812542</v>
      </c>
    </row>
    <row r="223" customFormat="false" ht="15" hidden="false" customHeight="false" outlineLevel="0" collapsed="false">
      <c r="A223" s="20" t="n">
        <v>44592</v>
      </c>
      <c r="B223" s="21" t="n">
        <v>124.020420033423</v>
      </c>
      <c r="C223" s="21" t="n">
        <v>133.845382675272</v>
      </c>
      <c r="D223" s="21" t="n">
        <v>92.5973749982837</v>
      </c>
      <c r="E223" s="21" t="n">
        <v>123.422378660178</v>
      </c>
      <c r="F223" s="21" t="n">
        <v>151.257179654632</v>
      </c>
      <c r="G223" s="21" t="n">
        <v>144.273514607928</v>
      </c>
      <c r="H223" s="21" t="n">
        <v>152.13501388088</v>
      </c>
      <c r="I223" s="21" t="n">
        <v>134.210695398338</v>
      </c>
      <c r="J223" s="21" t="n">
        <v>174.674910108962</v>
      </c>
      <c r="K223" s="21" t="n">
        <v>171.101535379428</v>
      </c>
      <c r="L223" s="21" t="n">
        <v>147.671488477214</v>
      </c>
      <c r="M223" s="21" t="n">
        <v>159.875378124043</v>
      </c>
      <c r="N223" s="21" t="n">
        <v>163.891406609448</v>
      </c>
      <c r="O223" s="21" t="n">
        <v>182.081139848391</v>
      </c>
      <c r="P223" s="21" t="n">
        <v>123.052526908147</v>
      </c>
    </row>
    <row r="224" customFormat="false" ht="15" hidden="false" customHeight="false" outlineLevel="0" collapsed="false">
      <c r="A224" s="20" t="n">
        <v>44620</v>
      </c>
      <c r="B224" s="21" t="n">
        <v>117.53436909109</v>
      </c>
      <c r="C224" s="21" t="n">
        <v>157.469011938758</v>
      </c>
      <c r="D224" s="21" t="n">
        <v>91.6437225708754</v>
      </c>
      <c r="E224" s="21" t="n">
        <v>131.458766682632</v>
      </c>
      <c r="F224" s="21" t="n">
        <v>144.451967033087</v>
      </c>
      <c r="G224" s="21" t="n">
        <v>149.942785705956</v>
      </c>
      <c r="H224" s="21" t="n">
        <v>156.266508628536</v>
      </c>
      <c r="I224" s="21" t="n">
        <v>137.530465250638</v>
      </c>
      <c r="J224" s="21" t="n">
        <v>180.182899073607</v>
      </c>
      <c r="K224" s="21" t="n">
        <v>170.818912294248</v>
      </c>
      <c r="L224" s="21" t="n">
        <v>149.767631888379</v>
      </c>
      <c r="M224" s="21" t="n">
        <v>160.39406837742</v>
      </c>
      <c r="N224" s="21" t="n">
        <v>164.454501108591</v>
      </c>
      <c r="O224" s="21" t="n">
        <v>182.782148636652</v>
      </c>
      <c r="P224" s="21" t="n">
        <v>131.361079968241</v>
      </c>
    </row>
    <row r="225" customFormat="false" ht="15" hidden="false" customHeight="false" outlineLevel="0" collapsed="false">
      <c r="A225" s="20" t="n">
        <v>44651</v>
      </c>
      <c r="B225" s="21" t="n">
        <v>116.373312412415</v>
      </c>
      <c r="C225" s="21" t="n">
        <v>164.691617220701</v>
      </c>
      <c r="D225" s="21" t="n">
        <v>94.3266705436349</v>
      </c>
      <c r="E225" s="21" t="n">
        <v>132.625368706388</v>
      </c>
      <c r="F225" s="21" t="n">
        <v>142.610429676321</v>
      </c>
      <c r="G225" s="21" t="n">
        <v>151.62879199309</v>
      </c>
      <c r="H225" s="21" t="n">
        <v>158.404430201555</v>
      </c>
      <c r="I225" s="21" t="n">
        <v>137.273087095428</v>
      </c>
      <c r="J225" s="21" t="n">
        <v>182.399951050211</v>
      </c>
      <c r="K225" s="21" t="n">
        <v>170.887549495655</v>
      </c>
      <c r="L225" s="21" t="n">
        <v>150.311504276951</v>
      </c>
      <c r="M225" s="21" t="n">
        <v>160.859414305524</v>
      </c>
      <c r="N225" s="21" t="n">
        <v>164.700468622684</v>
      </c>
      <c r="O225" s="21" t="n">
        <v>183.276097463898</v>
      </c>
      <c r="P225" s="21" t="n">
        <v>126.936259613116</v>
      </c>
    </row>
    <row r="226" customFormat="false" ht="15" hidden="false" customHeight="false" outlineLevel="0" collapsed="false">
      <c r="A226" s="20" t="n">
        <v>44681</v>
      </c>
      <c r="B226" s="21" t="n">
        <v>121.082835394944</v>
      </c>
      <c r="C226" s="21" t="n">
        <v>235.707019044812</v>
      </c>
      <c r="D226" s="21" t="n">
        <v>97.1996965522405</v>
      </c>
      <c r="E226" s="21" t="n">
        <v>132.391258751194</v>
      </c>
      <c r="F226" s="21" t="n">
        <v>152.068346049665</v>
      </c>
      <c r="G226" s="21" t="n">
        <v>155.891863653169</v>
      </c>
      <c r="H226" s="21" t="n">
        <v>162.072278925852</v>
      </c>
      <c r="I226" s="21" t="n">
        <v>126.996189196026</v>
      </c>
      <c r="J226" s="21" t="n">
        <v>184.572608877419</v>
      </c>
      <c r="K226" s="21" t="n">
        <v>171.523574070386</v>
      </c>
      <c r="L226" s="21" t="n">
        <v>151.88802989197</v>
      </c>
      <c r="M226" s="21" t="n">
        <v>162.333193342416</v>
      </c>
      <c r="N226" s="21" t="n">
        <v>166.481300342646</v>
      </c>
      <c r="O226" s="21" t="n">
        <v>183.631773584857</v>
      </c>
      <c r="P226" s="21" t="n">
        <v>131.008298843486</v>
      </c>
    </row>
    <row r="227" customFormat="false" ht="15" hidden="false" customHeight="false" outlineLevel="0" collapsed="false">
      <c r="A227" s="20" t="n">
        <v>44712</v>
      </c>
      <c r="B227" s="21" t="n">
        <v>121.59554622659</v>
      </c>
      <c r="C227" s="21" t="n">
        <v>166.701036708189</v>
      </c>
      <c r="D227" s="21" t="n">
        <v>98.5939965349437</v>
      </c>
      <c r="E227" s="21" t="n">
        <v>134.992354335679</v>
      </c>
      <c r="F227" s="21" t="n">
        <v>154.045463006468</v>
      </c>
      <c r="G227" s="21" t="n">
        <v>156.182795574351</v>
      </c>
      <c r="H227" s="21" t="n">
        <v>163.389592468564</v>
      </c>
      <c r="I227" s="21" t="n">
        <v>150.377808302785</v>
      </c>
      <c r="J227" s="21" t="n">
        <v>185.516879111974</v>
      </c>
      <c r="K227" s="21" t="n">
        <v>169.827992036277</v>
      </c>
      <c r="L227" s="21" t="n">
        <v>152.726163146999</v>
      </c>
      <c r="M227" s="21" t="n">
        <v>162.405336718059</v>
      </c>
      <c r="N227" s="21" t="n">
        <v>166.716729747578</v>
      </c>
      <c r="O227" s="21" t="n">
        <v>183.611694697779</v>
      </c>
      <c r="P227" s="21" t="n">
        <v>129.755378088071</v>
      </c>
    </row>
    <row r="228" customFormat="false" ht="15" hidden="false" customHeight="false" outlineLevel="0" collapsed="false">
      <c r="A228" s="20" t="n">
        <v>44742</v>
      </c>
      <c r="B228" s="21" t="n">
        <v>120.59649606832</v>
      </c>
      <c r="C228" s="21" t="n">
        <v>158.339851912925</v>
      </c>
      <c r="D228" s="21" t="n">
        <v>97.5380066677734</v>
      </c>
      <c r="E228" s="21" t="n">
        <v>136.346985565775</v>
      </c>
      <c r="F228" s="21" t="n">
        <v>156.147347360183</v>
      </c>
      <c r="G228" s="21" t="n">
        <v>155.533372107782</v>
      </c>
      <c r="H228" s="21" t="n">
        <v>164.085000103065</v>
      </c>
      <c r="I228" s="21" t="n">
        <v>173.690338945505</v>
      </c>
      <c r="J228" s="21" t="n">
        <v>185.598395204746</v>
      </c>
      <c r="K228" s="21" t="n">
        <v>170.359625715101</v>
      </c>
      <c r="L228" s="21" t="n">
        <v>152.231962059387</v>
      </c>
      <c r="M228" s="21" t="n">
        <v>162.524502907167</v>
      </c>
      <c r="N228" s="21" t="n">
        <v>167.328078838565</v>
      </c>
      <c r="O228" s="21" t="n">
        <v>183.770077486857</v>
      </c>
      <c r="P228" s="21" t="n">
        <v>129.567488843266</v>
      </c>
    </row>
    <row r="229" customFormat="false" ht="15" hidden="false" customHeight="false" outlineLevel="0" collapsed="false">
      <c r="A229" s="20" t="n">
        <v>44773</v>
      </c>
      <c r="B229" s="21" t="n">
        <v>107.82572836983</v>
      </c>
      <c r="C229" s="21" t="n">
        <v>159.511229546549</v>
      </c>
      <c r="D229" s="21" t="n">
        <v>98.3004425280904</v>
      </c>
      <c r="E229" s="21" t="n">
        <v>132.070746788936</v>
      </c>
      <c r="F229" s="21" t="n">
        <v>146.0058616079</v>
      </c>
      <c r="G229" s="21" t="n">
        <v>150.319402311071</v>
      </c>
      <c r="H229" s="21" t="n">
        <v>159.95029595981</v>
      </c>
      <c r="I229" s="21" t="n">
        <v>144.194929537416</v>
      </c>
      <c r="J229" s="21" t="n">
        <v>184.478925874409</v>
      </c>
      <c r="K229" s="21" t="n">
        <v>166.709205725628</v>
      </c>
      <c r="L229" s="21" t="n">
        <v>153.214864199799</v>
      </c>
      <c r="M229" s="21" t="n">
        <v>162.491053796238</v>
      </c>
      <c r="N229" s="21" t="n">
        <v>167.57959232216</v>
      </c>
      <c r="O229" s="21" t="n">
        <v>183.577550663968</v>
      </c>
      <c r="P229" s="21" t="n">
        <v>131.032754196258</v>
      </c>
    </row>
    <row r="230" customFormat="false" ht="15" hidden="false" customHeight="false" outlineLevel="0" collapsed="false">
      <c r="A230" s="20" t="n">
        <v>44804</v>
      </c>
      <c r="B230" s="21" t="n">
        <v>108.631633064359</v>
      </c>
      <c r="C230" s="21" t="n">
        <v>165.195969024373</v>
      </c>
      <c r="D230" s="21" t="n">
        <v>99.4558127488731</v>
      </c>
      <c r="E230" s="21" t="n">
        <v>133.337829241542</v>
      </c>
      <c r="F230" s="21" t="n">
        <v>145.615613900147</v>
      </c>
      <c r="G230" s="21" t="n">
        <v>150.585728603164</v>
      </c>
      <c r="H230" s="21" t="n">
        <v>160.777239220509</v>
      </c>
      <c r="I230" s="21" t="n">
        <v>143.410875500035</v>
      </c>
      <c r="J230" s="21" t="n">
        <v>183.474692463279</v>
      </c>
      <c r="K230" s="21" t="n">
        <v>165.402801297297</v>
      </c>
      <c r="L230" s="21" t="n">
        <v>152.800464400748</v>
      </c>
      <c r="M230" s="21" t="n">
        <v>162.818200882333</v>
      </c>
      <c r="N230" s="21" t="n">
        <v>167.488188364931</v>
      </c>
      <c r="O230" s="21" t="n">
        <v>183.629807167769</v>
      </c>
      <c r="P230" s="21" t="n">
        <v>130.590676448433</v>
      </c>
    </row>
    <row r="231" customFormat="false" ht="15" hidden="false" customHeight="false" outlineLevel="0" collapsed="false">
      <c r="A231" s="20" t="n">
        <v>44834</v>
      </c>
      <c r="B231" s="21" t="n">
        <v>107.008694144761</v>
      </c>
      <c r="C231" s="21" t="n">
        <v>149.884107123112</v>
      </c>
      <c r="D231" s="21" t="n">
        <v>99.2130027350416</v>
      </c>
      <c r="E231" s="21" t="n">
        <v>131.111079062219</v>
      </c>
      <c r="F231" s="21" t="n">
        <v>143.762661877079</v>
      </c>
      <c r="G231" s="21" t="n">
        <v>150.954943687025</v>
      </c>
      <c r="H231" s="21" t="n">
        <v>160.796232313175</v>
      </c>
      <c r="I231" s="21" t="n">
        <v>139.198660896979</v>
      </c>
      <c r="J231" s="21" t="n">
        <v>182.264429632042</v>
      </c>
      <c r="K231" s="21" t="n">
        <v>163.970482944285</v>
      </c>
      <c r="L231" s="21" t="n">
        <v>151.974422481079</v>
      </c>
      <c r="M231" s="21" t="n">
        <v>162.894055700075</v>
      </c>
      <c r="N231" s="21" t="n">
        <v>167.541788053351</v>
      </c>
      <c r="O231" s="21" t="n">
        <v>183.344264738658</v>
      </c>
      <c r="P231" s="21" t="n">
        <v>130.370261220162</v>
      </c>
    </row>
    <row r="232" customFormat="false" ht="15" hidden="false" customHeight="false" outlineLevel="0" collapsed="false">
      <c r="A232" s="20" t="n">
        <v>44865</v>
      </c>
      <c r="B232" s="21" t="n">
        <v>101.379198956412</v>
      </c>
      <c r="C232" s="21" t="n">
        <v>130.342067054617</v>
      </c>
      <c r="D232" s="21" t="n">
        <v>100.835570270691</v>
      </c>
      <c r="E232" s="21" t="n">
        <v>128.775408534241</v>
      </c>
      <c r="F232" s="21" t="n">
        <v>150.784040365246</v>
      </c>
      <c r="G232" s="21" t="n">
        <v>146.701764658877</v>
      </c>
      <c r="H232" s="21" t="n">
        <v>156.901201148833</v>
      </c>
      <c r="I232" s="21" t="n">
        <v>146.938619103336</v>
      </c>
      <c r="J232" s="21" t="n">
        <v>183.455264509301</v>
      </c>
      <c r="K232" s="21" t="n">
        <v>161.031059263921</v>
      </c>
      <c r="L232" s="21" t="n">
        <v>150.89366307606</v>
      </c>
      <c r="M232" s="21" t="n">
        <v>161.629724487641</v>
      </c>
      <c r="N232" s="21" t="n">
        <v>167.141348494705</v>
      </c>
      <c r="O232" s="21" t="n">
        <v>183.558514163882</v>
      </c>
      <c r="P232" s="21" t="n">
        <v>130.43233469114</v>
      </c>
    </row>
    <row r="233" customFormat="false" ht="15" hidden="false" customHeight="false" outlineLevel="0" collapsed="false">
      <c r="A233" s="20" t="n">
        <v>44895</v>
      </c>
      <c r="B233" s="21" t="n">
        <v>98.4798406130702</v>
      </c>
      <c r="C233" s="21" t="n">
        <v>143.614911591796</v>
      </c>
      <c r="D233" s="21" t="n">
        <v>99.8505025433635</v>
      </c>
      <c r="E233" s="21" t="n">
        <v>130.594820410722</v>
      </c>
      <c r="F233" s="21" t="n">
        <v>152.249335534409</v>
      </c>
      <c r="G233" s="21" t="n">
        <v>148.448908256101</v>
      </c>
      <c r="H233" s="21" t="n">
        <v>158.673847699699</v>
      </c>
      <c r="I233" s="21" t="n">
        <v>146.754193383264</v>
      </c>
      <c r="J233" s="21" t="n">
        <v>181.768683445538</v>
      </c>
      <c r="K233" s="21" t="n">
        <v>162.219703058098</v>
      </c>
      <c r="L233" s="21" t="n">
        <v>152.04298936314</v>
      </c>
      <c r="M233" s="21" t="n">
        <v>162.014893186962</v>
      </c>
      <c r="N233" s="21" t="n">
        <v>167.737681430906</v>
      </c>
      <c r="O233" s="21" t="n">
        <v>183.389570351138</v>
      </c>
      <c r="P233" s="21" t="n">
        <v>129.34388381358</v>
      </c>
    </row>
    <row r="234" customFormat="false" ht="15" hidden="false" customHeight="false" outlineLevel="0" collapsed="false">
      <c r="A234" s="20" t="n">
        <v>44926</v>
      </c>
      <c r="B234" s="21" t="n">
        <v>92.0829256635476</v>
      </c>
      <c r="C234" s="21" t="n">
        <v>155.226613878361</v>
      </c>
      <c r="D234" s="21" t="n">
        <v>101.577249411327</v>
      </c>
      <c r="E234" s="21" t="n">
        <v>131.473303262177</v>
      </c>
      <c r="F234" s="21" t="n">
        <v>156.92716594813</v>
      </c>
      <c r="G234" s="21" t="n">
        <v>147.533983826023</v>
      </c>
      <c r="H234" s="21" t="n">
        <v>159.375157567923</v>
      </c>
      <c r="I234" s="21" t="n">
        <v>144.741279346683</v>
      </c>
      <c r="J234" s="21" t="n">
        <v>181.369108015536</v>
      </c>
      <c r="K234" s="21" t="n">
        <v>166.491714760401</v>
      </c>
      <c r="L234" s="21" t="n">
        <v>152.035148004563</v>
      </c>
      <c r="M234" s="21" t="n">
        <v>161.959153871643</v>
      </c>
      <c r="N234" s="21" t="n">
        <v>168.005646310115</v>
      </c>
      <c r="O234" s="21" t="n">
        <v>183.595294238282</v>
      </c>
      <c r="P234" s="21" t="n">
        <v>128.242534414316</v>
      </c>
    </row>
    <row r="235" customFormat="false" ht="15" hidden="false" customHeight="false" outlineLevel="0" collapsed="false">
      <c r="A235" s="20" t="n">
        <v>44957</v>
      </c>
      <c r="B235" s="21" t="n">
        <v>95.4672851232145</v>
      </c>
      <c r="C235" s="21" t="n">
        <v>197.112774826614</v>
      </c>
      <c r="D235" s="21" t="n">
        <v>103.207220372788</v>
      </c>
      <c r="E235" s="21" t="n">
        <v>133.162982195348</v>
      </c>
      <c r="F235" s="21" t="n">
        <v>152.246199166541</v>
      </c>
      <c r="G235" s="21" t="n">
        <v>153.808106106622</v>
      </c>
      <c r="H235" s="21" t="n">
        <v>160.849134938691</v>
      </c>
      <c r="I235" s="21" t="n">
        <v>148.611589476523</v>
      </c>
      <c r="J235" s="21" t="n">
        <v>181.614347744781</v>
      </c>
      <c r="K235" s="21" t="n">
        <v>166.145261954369</v>
      </c>
      <c r="L235" s="21" t="n">
        <v>153.078532428383</v>
      </c>
      <c r="M235" s="21" t="n">
        <v>163.242326474</v>
      </c>
      <c r="N235" s="21" t="n">
        <v>168.670423474498</v>
      </c>
      <c r="O235" s="21" t="n">
        <v>184.017648505029</v>
      </c>
      <c r="P235" s="21" t="n">
        <v>130.620893129261</v>
      </c>
    </row>
    <row r="236" customFormat="false" ht="15" hidden="false" customHeight="false" outlineLevel="0" collapsed="false">
      <c r="A236" s="20" t="n">
        <v>44985</v>
      </c>
      <c r="B236" s="21" t="n">
        <v>100.397226337358</v>
      </c>
      <c r="C236" s="21" t="n">
        <v>129.025802893652</v>
      </c>
      <c r="D236" s="21" t="n">
        <v>102.196785084121</v>
      </c>
      <c r="E236" s="21" t="n">
        <v>129.719569585189</v>
      </c>
      <c r="F236" s="21" t="n">
        <v>148.085261732603</v>
      </c>
      <c r="G236" s="21" t="n">
        <v>152.881536205221</v>
      </c>
      <c r="H236" s="21" t="n">
        <v>158.206844648309</v>
      </c>
      <c r="I236" s="21" t="n">
        <v>149.415669254716</v>
      </c>
      <c r="J236" s="21" t="n">
        <v>180.828578418895</v>
      </c>
      <c r="K236" s="21" t="n">
        <v>163.976869279054</v>
      </c>
      <c r="L236" s="21" t="n">
        <v>152.55780515741</v>
      </c>
      <c r="M236" s="21" t="n">
        <v>163.61367684023</v>
      </c>
      <c r="N236" s="21" t="n">
        <v>168.888161657443</v>
      </c>
      <c r="O236" s="21" t="n">
        <v>184.203934658933</v>
      </c>
      <c r="P236" s="21" t="n">
        <v>136.931669355247</v>
      </c>
    </row>
    <row r="237" customFormat="false" ht="15" hidden="false" customHeight="false" outlineLevel="0" collapsed="false">
      <c r="A237" s="20" t="n">
        <v>45016</v>
      </c>
      <c r="B237" s="21" t="n">
        <v>94.3370739222816</v>
      </c>
      <c r="C237" s="21" t="n">
        <v>147.238193068282</v>
      </c>
      <c r="D237" s="21" t="n">
        <v>103.866150801891</v>
      </c>
      <c r="E237" s="21" t="n">
        <v>137.151167984764</v>
      </c>
      <c r="F237" s="21" t="n">
        <v>159.659835757811</v>
      </c>
      <c r="G237" s="21" t="n">
        <v>158.109250499519</v>
      </c>
      <c r="H237" s="21" t="n">
        <v>166.038868951229</v>
      </c>
      <c r="I237" s="21" t="n">
        <v>150.801589176672</v>
      </c>
      <c r="J237" s="21" t="n">
        <v>180.902009040922</v>
      </c>
      <c r="K237" s="21" t="n">
        <v>168.432823060287</v>
      </c>
      <c r="L237" s="21" t="n">
        <v>154.740922036362</v>
      </c>
      <c r="M237" s="21" t="n">
        <v>164.259101742757</v>
      </c>
      <c r="N237" s="21" t="n">
        <v>169.609701524809</v>
      </c>
      <c r="O237" s="21" t="n">
        <v>185.071156243074</v>
      </c>
      <c r="P237" s="21" t="n">
        <v>130.822867819495</v>
      </c>
    </row>
    <row r="238" customFormat="false" ht="15" hidden="false" customHeight="false" outlineLevel="0" collapsed="false">
      <c r="A238" s="20" t="n">
        <v>45046</v>
      </c>
      <c r="B238" s="21" t="n">
        <v>74.4361318494263</v>
      </c>
      <c r="C238" s="21" t="n">
        <v>81.8447966854529</v>
      </c>
      <c r="D238" s="21" t="n">
        <v>103.606679517347</v>
      </c>
      <c r="E238" s="21" t="n">
        <v>133.464972485603</v>
      </c>
      <c r="F238" s="21" t="n">
        <v>146.876159436927</v>
      </c>
      <c r="G238" s="21" t="n">
        <v>155.341558411826</v>
      </c>
      <c r="H238" s="21" t="n">
        <v>163.364269582311</v>
      </c>
      <c r="I238" s="21" t="n">
        <v>127.489098027979</v>
      </c>
      <c r="J238" s="21" t="n">
        <v>178.94623553235</v>
      </c>
      <c r="K238" s="21" t="n">
        <v>164.469630221746</v>
      </c>
      <c r="L238" s="21" t="n">
        <v>153.438056713525</v>
      </c>
      <c r="M238" s="21" t="n">
        <v>165.057671660981</v>
      </c>
      <c r="N238" s="21" t="n">
        <v>170.316525224614</v>
      </c>
      <c r="O238" s="21" t="n">
        <v>185.326949603662</v>
      </c>
      <c r="P238" s="21" t="n">
        <v>131.433342861572</v>
      </c>
    </row>
    <row r="239" customFormat="false" ht="15" hidden="false" customHeight="false" outlineLevel="0" collapsed="false">
      <c r="A239" s="20" t="n">
        <v>45077</v>
      </c>
      <c r="B239" s="21" t="n">
        <v>64.5909863478249</v>
      </c>
      <c r="C239" s="21" t="n">
        <v>146.095273586291</v>
      </c>
      <c r="D239" s="21" t="n">
        <v>104.614639662846</v>
      </c>
      <c r="E239" s="21" t="n">
        <v>133.362764215581</v>
      </c>
      <c r="F239" s="21" t="n">
        <v>142.01179191679</v>
      </c>
      <c r="G239" s="21" t="n">
        <v>156.676596394771</v>
      </c>
      <c r="H239" s="21" t="n">
        <v>164.687709400261</v>
      </c>
      <c r="I239" s="21" t="n">
        <v>152.728879041009</v>
      </c>
      <c r="J239" s="21" t="n">
        <v>178.753261193859</v>
      </c>
      <c r="K239" s="21" t="n">
        <v>165.022049647548</v>
      </c>
      <c r="L239" s="21" t="n">
        <v>154.18647162374</v>
      </c>
      <c r="M239" s="21" t="n">
        <v>165.489501027654</v>
      </c>
      <c r="N239" s="21" t="n">
        <v>170.769987953106</v>
      </c>
      <c r="O239" s="21" t="n">
        <v>185.816335077636</v>
      </c>
      <c r="P239" s="21" t="n">
        <v>132.698211149827</v>
      </c>
    </row>
    <row r="240" customFormat="false" ht="15" hidden="false" customHeight="false" outlineLevel="0" collapsed="false">
      <c r="A240" s="20" t="n">
        <v>45107</v>
      </c>
      <c r="B240" s="21" t="n">
        <v>70.0235939091279</v>
      </c>
      <c r="C240" s="21" t="n">
        <v>161.74355358422</v>
      </c>
      <c r="D240" s="21" t="n">
        <v>106.352254533055</v>
      </c>
      <c r="E240" s="21" t="n">
        <v>132.661222244985</v>
      </c>
      <c r="F240" s="21" t="n">
        <v>146.143993355805</v>
      </c>
      <c r="G240" s="21" t="n">
        <v>155.963864959389</v>
      </c>
      <c r="H240" s="21" t="n">
        <v>167.399964993909</v>
      </c>
      <c r="I240" s="21" t="n">
        <v>170.402474390906</v>
      </c>
      <c r="J240" s="21" t="n">
        <v>179.904765069732</v>
      </c>
      <c r="K240" s="21" t="n">
        <v>165.278359789767</v>
      </c>
      <c r="L240" s="21" t="n">
        <v>154.436442157753</v>
      </c>
      <c r="M240" s="21" t="n">
        <v>165.714921465139</v>
      </c>
      <c r="N240" s="21" t="n">
        <v>171.182353581558</v>
      </c>
      <c r="O240" s="21" t="n">
        <v>186.084360135786</v>
      </c>
      <c r="P240" s="21" t="n">
        <v>131.708041132087</v>
      </c>
    </row>
    <row r="241" customFormat="false" ht="15" hidden="false" customHeight="false" outlineLevel="0" collapsed="false">
      <c r="A241" s="20" t="n">
        <v>45138</v>
      </c>
      <c r="B241" s="21" t="n">
        <v>91.9734076797592</v>
      </c>
      <c r="C241" s="21" t="n">
        <v>186.541543397811</v>
      </c>
      <c r="D241" s="21" t="n">
        <v>105.913046630211</v>
      </c>
      <c r="E241" s="21" t="n">
        <v>127.704367324355</v>
      </c>
      <c r="F241" s="21" t="n">
        <v>145.936862827787</v>
      </c>
      <c r="G241" s="21" t="n">
        <v>149.670475902265</v>
      </c>
      <c r="H241" s="21" t="n">
        <v>158.622722534842</v>
      </c>
      <c r="I241" s="21" t="n">
        <v>153.566982219048</v>
      </c>
      <c r="J241" s="21" t="n">
        <v>181.833276321711</v>
      </c>
      <c r="K241" s="21" t="n">
        <v>163.412145112686</v>
      </c>
      <c r="L241" s="21" t="n">
        <v>153.2709971874</v>
      </c>
      <c r="M241" s="21" t="n">
        <v>165.93988965203</v>
      </c>
      <c r="N241" s="21" t="n">
        <v>170.978929696718</v>
      </c>
      <c r="O241" s="21" t="n">
        <v>186.361908974117</v>
      </c>
      <c r="P241" s="21" t="n">
        <v>132.324471019609</v>
      </c>
    </row>
    <row r="242" customFormat="false" ht="15" hidden="false" customHeight="false" outlineLevel="0" collapsed="false">
      <c r="A242" s="20" t="n">
        <v>45169</v>
      </c>
      <c r="B242" s="21" t="n">
        <v>103.849475735593</v>
      </c>
      <c r="C242" s="21" t="n">
        <v>137.656615540153</v>
      </c>
      <c r="D242" s="21" t="n">
        <v>106.774867995237</v>
      </c>
      <c r="E242" s="21" t="n">
        <v>128.761539248423</v>
      </c>
      <c r="F242" s="21" t="n">
        <v>147.564177148872</v>
      </c>
      <c r="G242" s="21" t="n">
        <v>152.789255367249</v>
      </c>
      <c r="H242" s="21" t="n">
        <v>161.761631926503</v>
      </c>
      <c r="I242" s="21" t="n">
        <v>153.209197591099</v>
      </c>
      <c r="J242" s="21" t="n">
        <v>183.906860663986</v>
      </c>
      <c r="K242" s="21" t="n">
        <v>163.34798021868</v>
      </c>
      <c r="L242" s="21" t="n">
        <v>154.929946195397</v>
      </c>
      <c r="M242" s="21" t="n">
        <v>166.206878873595</v>
      </c>
      <c r="N242" s="21" t="n">
        <v>171.176073325169</v>
      </c>
      <c r="O242" s="21" t="n">
        <v>186.798622474686</v>
      </c>
      <c r="P242" s="21" t="n">
        <v>131.342258730676</v>
      </c>
    </row>
    <row r="243" customFormat="false" ht="15" hidden="false" customHeight="false" outlineLevel="0" collapsed="false">
      <c r="A243" s="20" t="n">
        <v>45199</v>
      </c>
      <c r="B243" s="21" t="n">
        <v>102.851078386767</v>
      </c>
      <c r="C243" s="21" t="n">
        <v>165.926937174794</v>
      </c>
      <c r="D243" s="21" t="n">
        <v>107.173778277155</v>
      </c>
      <c r="E243" s="21" t="n">
        <v>127.101433671402</v>
      </c>
      <c r="F243" s="21" t="n">
        <v>154.145163753994</v>
      </c>
      <c r="G243" s="21" t="n">
        <v>149.590047576912</v>
      </c>
      <c r="H243" s="21" t="n">
        <v>159.117672090045</v>
      </c>
      <c r="I243" s="21" t="n">
        <v>152.754160085392</v>
      </c>
      <c r="J243" s="21" t="n">
        <v>182.869718949312</v>
      </c>
      <c r="K243" s="21" t="n">
        <v>160.550712372146</v>
      </c>
      <c r="L243" s="21" t="n">
        <v>154.036730924287</v>
      </c>
      <c r="M243" s="21" t="n">
        <v>166.536900731982</v>
      </c>
      <c r="N243" s="21" t="n">
        <v>171.280881358164</v>
      </c>
      <c r="O243" s="21" t="n">
        <v>186.816843937481</v>
      </c>
      <c r="P243" s="21" t="n">
        <v>132.037109730346</v>
      </c>
    </row>
    <row r="244" customFormat="false" ht="15" hidden="false" customHeight="false" outlineLevel="0" collapsed="false">
      <c r="A244" s="20" t="n">
        <v>45230</v>
      </c>
      <c r="B244" s="21" t="n">
        <v>102.327994562185</v>
      </c>
      <c r="C244" s="21" t="n">
        <v>174.129942922511</v>
      </c>
      <c r="D244" s="21" t="n">
        <v>107.474213879094</v>
      </c>
      <c r="E244" s="21" t="n">
        <v>125.409437176655</v>
      </c>
      <c r="F244" s="21" t="n">
        <v>149.990750987464</v>
      </c>
      <c r="G244" s="21" t="n">
        <v>149.03551355266</v>
      </c>
      <c r="H244" s="21" t="n">
        <v>156.179516175216</v>
      </c>
      <c r="I244" s="21" t="n">
        <v>152.957880512927</v>
      </c>
      <c r="J244" s="21" t="n">
        <v>181.30380464042</v>
      </c>
      <c r="K244" s="21" t="n">
        <v>164.491490163714</v>
      </c>
      <c r="L244" s="21" t="n">
        <v>154.539321530661</v>
      </c>
      <c r="M244" s="21" t="n">
        <v>166.291951710576</v>
      </c>
      <c r="N244" s="21" t="n">
        <v>171.125410411251</v>
      </c>
      <c r="O244" s="21" t="n">
        <v>187.314259003327</v>
      </c>
      <c r="P244" s="21" t="n">
        <v>130.940726104263</v>
      </c>
    </row>
    <row r="245" customFormat="false" ht="15" hidden="false" customHeight="false" outlineLevel="0" collapsed="false">
      <c r="A245" s="20" t="n">
        <v>45260</v>
      </c>
      <c r="B245" s="21" t="n">
        <v>103.815422215346</v>
      </c>
      <c r="C245" s="21" t="n">
        <v>105.621261837416</v>
      </c>
      <c r="D245" s="21" t="n">
        <v>108.923321138237</v>
      </c>
      <c r="E245" s="21" t="n">
        <v>123.772333559766</v>
      </c>
      <c r="F245" s="21" t="n">
        <v>150.645423879874</v>
      </c>
      <c r="G245" s="21" t="n">
        <v>148.580604356053</v>
      </c>
      <c r="H245" s="21" t="n">
        <v>154.558476926792</v>
      </c>
      <c r="I245" s="21" t="n">
        <v>152.525075286839</v>
      </c>
      <c r="J245" s="21" t="n">
        <v>181.866793594379</v>
      </c>
      <c r="K245" s="21" t="n">
        <v>157.563062433324</v>
      </c>
      <c r="L245" s="21" t="n">
        <v>153.94932958505</v>
      </c>
      <c r="M245" s="21" t="n">
        <v>166.173880776574</v>
      </c>
      <c r="N245" s="21" t="n">
        <v>171.31801050679</v>
      </c>
      <c r="O245" s="21" t="n">
        <v>187.493200130386</v>
      </c>
      <c r="P245" s="21" t="n">
        <v>131.331395211531</v>
      </c>
    </row>
    <row r="246" customFormat="false" ht="15" hidden="false" customHeight="false" outlineLevel="0" collapsed="false">
      <c r="A246" s="20" t="n">
        <v>45291</v>
      </c>
      <c r="B246" s="21" t="n">
        <v>100.696651860194</v>
      </c>
      <c r="C246" s="21" t="n">
        <v>171.044830853625</v>
      </c>
      <c r="D246" s="21" t="n">
        <v>109.478367528392</v>
      </c>
      <c r="E246" s="21" t="n">
        <v>115.395528142263</v>
      </c>
      <c r="F246" s="21" t="n">
        <v>140.166633140686</v>
      </c>
      <c r="G246" s="21" t="n">
        <v>139.027199658701</v>
      </c>
      <c r="H246" s="21" t="n">
        <v>144.741422830784</v>
      </c>
      <c r="I246" s="21" t="n">
        <v>153.151973126507</v>
      </c>
      <c r="J246" s="21" t="n">
        <v>180.268761685369</v>
      </c>
      <c r="K246" s="21" t="n">
        <v>149.869841831612</v>
      </c>
      <c r="L246" s="21" t="n">
        <v>151.784567186599</v>
      </c>
      <c r="M246" s="21" t="n">
        <v>166.306968037455</v>
      </c>
      <c r="N246" s="21" t="n">
        <v>171.544033525806</v>
      </c>
      <c r="O246" s="21" t="n">
        <v>187.538946809319</v>
      </c>
      <c r="P246" s="21" t="n">
        <v>130.720052088334</v>
      </c>
    </row>
    <row r="247" customFormat="false" ht="15" hidden="false" customHeight="false" outlineLevel="0" collapsed="false">
      <c r="A247" s="20" t="n">
        <v>45322</v>
      </c>
      <c r="B247" s="21" t="n">
        <v>105.824841170242</v>
      </c>
      <c r="C247" s="21" t="n">
        <v>162.485209685792</v>
      </c>
      <c r="D247" s="21" t="n">
        <v>109.655331921124</v>
      </c>
      <c r="E247" s="21" t="n">
        <v>116.731994011491</v>
      </c>
      <c r="F247" s="21" t="n">
        <v>143.79999289063</v>
      </c>
      <c r="G247" s="21" t="n">
        <v>130.181606713716</v>
      </c>
      <c r="H247" s="21" t="n">
        <v>146.819829093799</v>
      </c>
      <c r="I247" s="21" t="n">
        <v>150.89401047475</v>
      </c>
      <c r="J247" s="21" t="n">
        <v>181.305216201287</v>
      </c>
      <c r="K247" s="21" t="n">
        <v>147.430866136861</v>
      </c>
      <c r="L247" s="21" t="n">
        <v>152.085713997722</v>
      </c>
      <c r="M247" s="21" t="n">
        <v>164.670542324782</v>
      </c>
      <c r="N247" s="21" t="n">
        <v>171.60467815776</v>
      </c>
      <c r="O247" s="21" t="n">
        <v>186.883586398332</v>
      </c>
      <c r="P247" s="21" t="n">
        <v>129.719911238083</v>
      </c>
    </row>
    <row r="248" customFormat="false" ht="15" hidden="false" customHeight="false" outlineLevel="0" collapsed="false">
      <c r="A248" s="20" t="n">
        <v>45351</v>
      </c>
      <c r="B248" s="21" t="n">
        <v>105.380028443853</v>
      </c>
      <c r="C248" s="21" t="n">
        <v>146.817349974139</v>
      </c>
      <c r="D248" s="21" t="n">
        <v>112.977021525976</v>
      </c>
      <c r="E248" s="21" t="n">
        <v>117.858266401781</v>
      </c>
      <c r="F248" s="21" t="n">
        <v>154.996152092221</v>
      </c>
      <c r="G248" s="21" t="n">
        <v>127.24431058401</v>
      </c>
      <c r="H248" s="21" t="n">
        <v>148.693368902315</v>
      </c>
      <c r="I248" s="21" t="n">
        <v>151.721473290371</v>
      </c>
      <c r="J248" s="21" t="n">
        <v>181.244653137041</v>
      </c>
      <c r="K248" s="21" t="n">
        <v>144.786755833211</v>
      </c>
      <c r="L248" s="21" t="n">
        <v>152.067499531753</v>
      </c>
      <c r="M248" s="21" t="n">
        <v>164.632872474041</v>
      </c>
      <c r="N248" s="21" t="n">
        <v>171.970463221721</v>
      </c>
      <c r="O248" s="21" t="n">
        <v>186.836270657153</v>
      </c>
      <c r="P248" s="21" t="n">
        <v>134.392106105798</v>
      </c>
    </row>
    <row r="249" customFormat="false" ht="15" hidden="false" customHeight="false" outlineLevel="0" collapsed="false">
      <c r="A249" s="20" t="n">
        <v>45382</v>
      </c>
      <c r="B249" s="21" t="n">
        <v>105.821770785541</v>
      </c>
      <c r="C249" s="21" t="n">
        <v>143.784252024252</v>
      </c>
      <c r="D249" s="21" t="n">
        <v>110.935588965273</v>
      </c>
      <c r="E249" s="21" t="n">
        <v>111.507135932659</v>
      </c>
      <c r="F249" s="21" t="n">
        <v>148.120817536917</v>
      </c>
      <c r="G249" s="21" t="n">
        <v>117.509384158708</v>
      </c>
      <c r="H249" s="21" t="n">
        <v>141.867916220986</v>
      </c>
      <c r="I249" s="21" t="n">
        <v>153.027280769283</v>
      </c>
      <c r="J249" s="21" t="n">
        <v>180.2104735893</v>
      </c>
      <c r="K249" s="21" t="n">
        <v>145.050142984901</v>
      </c>
      <c r="L249" s="21" t="n">
        <v>150.443497700864</v>
      </c>
      <c r="M249" s="21" t="n">
        <v>164.067615158661</v>
      </c>
      <c r="N249" s="21" t="n">
        <v>171.39976747088</v>
      </c>
      <c r="O249" s="21" t="n">
        <v>186.339472222569</v>
      </c>
      <c r="P249" s="21" t="n">
        <v>127.816106728586</v>
      </c>
    </row>
    <row r="250" customFormat="false" ht="15" hidden="false" customHeight="false" outlineLevel="0" collapsed="false">
      <c r="A250" s="20" t="n">
        <v>45412</v>
      </c>
      <c r="B250" s="21" t="n">
        <v>117.664901952689</v>
      </c>
      <c r="C250" s="21" t="n">
        <v>209.241759552794</v>
      </c>
      <c r="D250" s="21" t="n">
        <v>112.540251008406</v>
      </c>
      <c r="E250" s="21" t="n">
        <v>112.444813919476</v>
      </c>
      <c r="F250" s="21" t="n">
        <v>150.175632953869</v>
      </c>
      <c r="G250" s="21" t="n">
        <v>117.475888704938</v>
      </c>
      <c r="H250" s="21" t="n">
        <v>139.605924499728</v>
      </c>
      <c r="I250" s="21" t="n">
        <v>124.601199068768</v>
      </c>
      <c r="J250" s="21" t="n">
        <v>181.438221186608</v>
      </c>
      <c r="K250" s="21" t="n">
        <v>150.156306479295</v>
      </c>
      <c r="L250" s="21" t="n">
        <v>151.196895483603</v>
      </c>
      <c r="M250" s="21" t="n">
        <v>163.710437064313</v>
      </c>
      <c r="N250" s="21" t="n">
        <v>171.332622918264</v>
      </c>
      <c r="O250" s="21" t="n">
        <v>186.256403473751</v>
      </c>
      <c r="P250" s="21" t="n">
        <v>126.836822060748</v>
      </c>
    </row>
    <row r="251" customFormat="false" ht="15" hidden="false" customHeight="false" outlineLevel="0" collapsed="false">
      <c r="A251" s="20" t="n">
        <v>45443</v>
      </c>
      <c r="B251" s="21" t="n">
        <v>121.947307308647</v>
      </c>
      <c r="C251" s="21" t="n">
        <v>150.729433723449</v>
      </c>
      <c r="D251" s="21" t="n">
        <v>113.006783857696</v>
      </c>
      <c r="E251" s="21" t="n">
        <v>113.997399756796</v>
      </c>
      <c r="F251" s="21" t="n">
        <v>156.780068832252</v>
      </c>
      <c r="G251" s="21" t="n">
        <v>122.747152832726</v>
      </c>
      <c r="H251" s="21" t="n">
        <v>143.239841474421</v>
      </c>
      <c r="I251" s="21" t="n">
        <v>150.243460277935</v>
      </c>
      <c r="J251" s="21" t="n">
        <v>183.870921666278</v>
      </c>
      <c r="K251" s="21" t="n">
        <v>151.667085841734</v>
      </c>
      <c r="L251" s="21" t="n">
        <v>153.035604421776</v>
      </c>
      <c r="M251" s="21" t="n">
        <v>163.606701703015</v>
      </c>
      <c r="N251" s="21" t="n">
        <v>171.401721615447</v>
      </c>
      <c r="O251" s="21" t="n">
        <v>185.689534333708</v>
      </c>
      <c r="P251" s="21" t="n">
        <v>126.385537485794</v>
      </c>
    </row>
    <row r="252" customFormat="false" ht="15" hidden="false" customHeight="false" outlineLevel="0" collapsed="false">
      <c r="A252" s="20" t="n">
        <v>45473</v>
      </c>
      <c r="B252" s="21" t="n">
        <v>119.179270215305</v>
      </c>
      <c r="C252" s="21" t="n">
        <v>247.223584517356</v>
      </c>
      <c r="D252" s="21" t="n">
        <v>110.967951360416</v>
      </c>
      <c r="E252" s="21" t="n">
        <v>109.579198649347</v>
      </c>
      <c r="F252" s="21" t="n">
        <v>141.613534678824</v>
      </c>
      <c r="G252" s="21" t="n">
        <v>120.083775516772</v>
      </c>
      <c r="H252" s="21" t="n">
        <v>138.753999814122</v>
      </c>
      <c r="I252" s="21" t="n">
        <v>164.092397659</v>
      </c>
      <c r="J252" s="21" t="n">
        <v>182.282760690903</v>
      </c>
      <c r="K252" s="21" t="n">
        <v>149.789662681686</v>
      </c>
      <c r="L252" s="21" t="n">
        <v>151.93679905026</v>
      </c>
      <c r="M252" s="21" t="n">
        <v>163.152503442477</v>
      </c>
      <c r="N252" s="21" t="n">
        <v>171.377915185714</v>
      </c>
      <c r="O252" s="21" t="n">
        <v>185.54085718309</v>
      </c>
      <c r="P252" s="21" t="n">
        <v>127.249689926501</v>
      </c>
    </row>
    <row r="253" customFormat="false" ht="15" hidden="false" customHeight="false" outlineLevel="0" collapsed="false">
      <c r="A253" s="20" t="n">
        <v>45504</v>
      </c>
      <c r="B253" s="21" t="n">
        <v>115.056172520292</v>
      </c>
      <c r="C253" s="21" t="n">
        <v>217.783667352997</v>
      </c>
      <c r="D253" s="21" t="n">
        <v>111.651090857663</v>
      </c>
      <c r="E253" s="21" t="n">
        <v>119.471702852494</v>
      </c>
      <c r="F253" s="21" t="n">
        <v>152.171105486747</v>
      </c>
      <c r="G253" s="21" t="n">
        <v>128.384746622514</v>
      </c>
      <c r="H253" s="21" t="n">
        <v>150.38267594169</v>
      </c>
      <c r="I253" s="21" t="n">
        <v>164.348392390828</v>
      </c>
      <c r="J253" s="21" t="n">
        <v>183.705375647476</v>
      </c>
      <c r="K253" s="21" t="n">
        <v>158.13230688995</v>
      </c>
      <c r="L253" s="21" t="n">
        <v>153.234596564882</v>
      </c>
      <c r="M253" s="21" t="n">
        <v>163.169487820274</v>
      </c>
      <c r="N253" s="21" t="n">
        <v>171.449802828942</v>
      </c>
      <c r="O253" s="21" t="n">
        <v>185.663824252898</v>
      </c>
      <c r="P253" s="21" t="n">
        <v>127.150881302131</v>
      </c>
    </row>
    <row r="254" customFormat="false" ht="15" hidden="false" customHeight="false" outlineLevel="0" collapsed="false">
      <c r="A254" s="20" t="n">
        <v>45535</v>
      </c>
      <c r="B254" s="21" t="n">
        <v>112.844043068328</v>
      </c>
      <c r="C254" s="21" t="n">
        <v>166.344021682356</v>
      </c>
      <c r="D254" s="21" t="n">
        <v>113.995868225281</v>
      </c>
      <c r="E254" s="21" t="n">
        <v>120.522188268679</v>
      </c>
      <c r="F254" s="21" t="n">
        <v>151.002077391763</v>
      </c>
      <c r="G254" s="21" t="n">
        <v>127.475714792201</v>
      </c>
      <c r="H254" s="21" t="n">
        <v>152.031144393088</v>
      </c>
      <c r="I254" s="21" t="n">
        <v>164.933480975477</v>
      </c>
      <c r="J254" s="21" t="n">
        <v>181.296530521366</v>
      </c>
      <c r="K254" s="21" t="n">
        <v>157.171344579938</v>
      </c>
      <c r="L254" s="21" t="n">
        <v>153.825609526978</v>
      </c>
      <c r="M254" s="21" t="n">
        <v>162.933155086194</v>
      </c>
      <c r="N254" s="21" t="n">
        <v>171.532883879738</v>
      </c>
      <c r="O254" s="21" t="n">
        <v>185.254083226559</v>
      </c>
      <c r="P254" s="21" t="n">
        <v>126.917842057834</v>
      </c>
    </row>
    <row r="255" customFormat="false" ht="15" hidden="false" customHeight="false" outlineLevel="0" collapsed="false">
      <c r="A255" s="20" t="n">
        <v>45565</v>
      </c>
      <c r="B255" s="21" t="n">
        <v>110.707742956057</v>
      </c>
      <c r="C255" s="21" t="n">
        <v>132.485481073663</v>
      </c>
      <c r="D255" s="21" t="n">
        <v>116.139793309685</v>
      </c>
      <c r="E255" s="21" t="n">
        <v>118.719329206199</v>
      </c>
      <c r="F255" s="21" t="n">
        <v>147.125473818974</v>
      </c>
      <c r="G255" s="21" t="n">
        <v>126.37225166418</v>
      </c>
      <c r="H255" s="21" t="n">
        <v>150.21461442868</v>
      </c>
      <c r="I255" s="21" t="n">
        <v>164.370385747996</v>
      </c>
      <c r="J255" s="21" t="n">
        <v>182.41155067948</v>
      </c>
      <c r="K255" s="21" t="n">
        <v>157.716535064546</v>
      </c>
      <c r="L255" s="21" t="n">
        <v>152.99190743041</v>
      </c>
      <c r="M255" s="21" t="n">
        <v>162.706665557842</v>
      </c>
      <c r="N255" s="21" t="n">
        <v>171.329796374948</v>
      </c>
      <c r="O255" s="21" t="n">
        <v>185.010144214511</v>
      </c>
      <c r="P255" s="21" t="n">
        <v>125.453287530162</v>
      </c>
    </row>
    <row r="256" customFormat="false" ht="15" hidden="false" customHeight="false" outlineLevel="0" collapsed="false">
      <c r="A256" s="20" t="n">
        <v>45596</v>
      </c>
      <c r="B256" s="21" t="n">
        <v>110.321451060912</v>
      </c>
      <c r="C256" s="21" t="n">
        <v>123.981143526569</v>
      </c>
      <c r="D256" s="21" t="n">
        <v>116.855418967165</v>
      </c>
      <c r="E256" s="21" t="n">
        <v>121.586159271892</v>
      </c>
      <c r="F256" s="21" t="n">
        <v>147.425541038472</v>
      </c>
      <c r="G256" s="21" t="n">
        <v>126.406292293243</v>
      </c>
      <c r="H256" s="21" t="n">
        <v>153.87677313329</v>
      </c>
      <c r="I256" s="21" t="n">
        <v>172.74937862812</v>
      </c>
      <c r="J256" s="21" t="n">
        <v>183.583122353048</v>
      </c>
      <c r="K256" s="21" t="n">
        <v>163.191913287163</v>
      </c>
      <c r="L256" s="21" t="n">
        <v>154.543228341062</v>
      </c>
      <c r="M256" s="21" t="n">
        <v>162.597670063928</v>
      </c>
      <c r="N256" s="21" t="n">
        <v>171.983587093115</v>
      </c>
      <c r="O256" s="21" t="n">
        <v>185.048385532587</v>
      </c>
      <c r="P256" s="21" t="n">
        <v>126.155548876193</v>
      </c>
    </row>
    <row r="257" customFormat="false" ht="15" hidden="false" customHeight="false" outlineLevel="0" collapsed="false">
      <c r="A257" s="20" t="n">
        <v>45626</v>
      </c>
      <c r="B257" s="21" t="n">
        <v>109.734495792352</v>
      </c>
      <c r="C257" s="21" t="n">
        <v>227.53361490355</v>
      </c>
      <c r="D257" s="21" t="n">
        <v>118.164266951032</v>
      </c>
      <c r="E257" s="21" t="n">
        <v>123.094138428613</v>
      </c>
      <c r="F257" s="21" t="n">
        <v>145.576257753649</v>
      </c>
      <c r="G257" s="21" t="n">
        <v>129.126709815935</v>
      </c>
      <c r="H257" s="21" t="n">
        <v>156.93708592641</v>
      </c>
      <c r="I257" s="21" t="n">
        <v>174.057672767998</v>
      </c>
      <c r="J257" s="21" t="n">
        <v>184.18199025667</v>
      </c>
      <c r="K257" s="21" t="n">
        <v>170.074404683481</v>
      </c>
      <c r="L257" s="21" t="n">
        <v>156.48386098778</v>
      </c>
      <c r="M257" s="21" t="n">
        <v>162.408133546967</v>
      </c>
      <c r="N257" s="21" t="n">
        <v>172.039062281502</v>
      </c>
      <c r="O257" s="21" t="n">
        <v>185.033785590992</v>
      </c>
      <c r="P257" s="21" t="n">
        <v>125.981713930238</v>
      </c>
    </row>
    <row r="258" customFormat="false" ht="15" hidden="false" customHeight="false" outlineLevel="0" collapsed="false">
      <c r="A258" s="20" t="n">
        <v>45657</v>
      </c>
      <c r="B258" s="21" t="n">
        <v>107.512472348015</v>
      </c>
      <c r="C258" s="21" t="n">
        <v>145.501002815876</v>
      </c>
      <c r="D258" s="21" t="n">
        <v>117.497604536132</v>
      </c>
      <c r="E258" s="21" t="n">
        <v>123.524628434845</v>
      </c>
      <c r="F258" s="21" t="n">
        <v>143.601454489924</v>
      </c>
      <c r="G258" s="21" t="n">
        <v>130.052849834906</v>
      </c>
      <c r="H258" s="21" t="n">
        <v>157.275186333891</v>
      </c>
      <c r="I258" s="21" t="n">
        <v>175.083572692634</v>
      </c>
      <c r="J258" s="21" t="n">
        <v>185.356432639917</v>
      </c>
      <c r="K258" s="21" t="n">
        <v>175.506455835814</v>
      </c>
      <c r="L258" s="21" t="n">
        <v>157.62613676149</v>
      </c>
      <c r="M258" s="21" t="n">
        <v>162.130073688019</v>
      </c>
      <c r="N258" s="21" t="n">
        <v>172.092825348871</v>
      </c>
      <c r="O258" s="21" t="n">
        <v>185.044291854648</v>
      </c>
      <c r="P258" s="21" t="n">
        <v>126.220889867931</v>
      </c>
    </row>
    <row r="259" customFormat="false" ht="15" hidden="false" customHeight="false" outlineLevel="0" collapsed="false">
      <c r="A259" s="20" t="n">
        <v>45688</v>
      </c>
      <c r="B259" s="21" t="n">
        <v>108.746105974556</v>
      </c>
      <c r="C259" s="21" t="n">
        <v>151.412967161628</v>
      </c>
      <c r="D259" s="21" t="n">
        <v>118.516490489789</v>
      </c>
      <c r="E259" s="21" t="n">
        <v>121.940046258599</v>
      </c>
      <c r="F259" s="21" t="n">
        <v>152.425754463959</v>
      </c>
      <c r="G259" s="21" t="n">
        <v>132.506051683749</v>
      </c>
      <c r="H259" s="21" t="n">
        <v>157.431285100811</v>
      </c>
      <c r="I259" s="21" t="n">
        <v>170.017170068167</v>
      </c>
      <c r="J259" s="21" t="n">
        <v>185.074124063014</v>
      </c>
      <c r="K259" s="21" t="n">
        <v>185.370829190844</v>
      </c>
      <c r="L259" s="21" t="n">
        <v>158.107847456242</v>
      </c>
      <c r="M259" s="21" t="n">
        <v>162.422696553118</v>
      </c>
      <c r="N259" s="21" t="n">
        <v>172.390296407325</v>
      </c>
      <c r="O259" s="21" t="n">
        <v>185.40371004753</v>
      </c>
      <c r="P259" s="21" t="n">
        <v>127.177784224664</v>
      </c>
    </row>
    <row r="260" customFormat="false" ht="15" hidden="false" customHeight="false" outlineLevel="0" collapsed="false">
      <c r="A260" s="20" t="n">
        <v>45716</v>
      </c>
      <c r="B260" s="21" t="n">
        <v>114.852298514644</v>
      </c>
      <c r="C260" s="21" t="n">
        <v>160.430823208814</v>
      </c>
      <c r="D260" s="21" t="n">
        <v>118.808020439323</v>
      </c>
      <c r="E260" s="21" t="n">
        <v>124.180172727424</v>
      </c>
      <c r="F260" s="21" t="n">
        <v>153.61235169459</v>
      </c>
      <c r="G260" s="21" t="n">
        <v>132.629851363991</v>
      </c>
      <c r="H260" s="21" t="n">
        <v>157.801727926987</v>
      </c>
      <c r="I260" s="21" t="n">
        <v>169.550983441932</v>
      </c>
      <c r="J260" s="21" t="n">
        <v>187.176800214858</v>
      </c>
      <c r="K260" s="21" t="n">
        <v>186.9488480139</v>
      </c>
      <c r="L260" s="21" t="n">
        <v>158.956218083414</v>
      </c>
      <c r="M260" s="21" t="n">
        <v>162.247746914821</v>
      </c>
      <c r="N260" s="21" t="n">
        <v>171.848008446283</v>
      </c>
      <c r="O260" s="21" t="n">
        <v>184.874964554366</v>
      </c>
      <c r="P260" s="21" t="n">
        <v>131.791161299009</v>
      </c>
    </row>
    <row r="261" customFormat="false" ht="15" hidden="false" customHeight="false" outlineLevel="0" collapsed="false">
      <c r="A261" s="20" t="n">
        <v>45747</v>
      </c>
      <c r="B261" s="21" t="n">
        <v>112.517132736536</v>
      </c>
      <c r="C261" s="21" t="n">
        <v>142.979057663802</v>
      </c>
      <c r="D261" s="21" t="n">
        <v>117.087392222304</v>
      </c>
      <c r="E261" s="21" t="n">
        <v>116.080475186378</v>
      </c>
      <c r="F261" s="21" t="n">
        <v>143.32910819615</v>
      </c>
      <c r="G261" s="21" t="n">
        <v>128.481210154305</v>
      </c>
      <c r="H261" s="21" t="n">
        <v>151.598853831224</v>
      </c>
      <c r="I261" s="21" t="n">
        <v>171.487687753138</v>
      </c>
      <c r="J261" s="21" t="n">
        <v>183.161777847506</v>
      </c>
      <c r="K261" s="21" t="n">
        <v>188.425275036476</v>
      </c>
      <c r="L261" s="21" t="n">
        <v>157.209334291192</v>
      </c>
      <c r="M261" s="21" t="n">
        <v>161.920679046317</v>
      </c>
      <c r="N261" s="21" t="n">
        <v>172.09492381338</v>
      </c>
      <c r="O261" s="21" t="n">
        <v>184.924511011751</v>
      </c>
      <c r="P261" s="21" t="n">
        <v>127.22664271043</v>
      </c>
    </row>
    <row r="262" customFormat="false" ht="15" hidden="false" customHeight="false" outlineLevel="0" collapsed="false">
      <c r="A262" s="20" t="n">
        <v>45777</v>
      </c>
      <c r="B262" s="21" t="n">
        <v>120.790227495292</v>
      </c>
      <c r="C262" s="21" t="n">
        <v>178.224942113678</v>
      </c>
      <c r="D262" s="21" t="n">
        <v>117.472130245871</v>
      </c>
      <c r="E262" s="21" t="n">
        <v>120.934238796578</v>
      </c>
      <c r="F262" s="21" t="n">
        <v>144.376123526732</v>
      </c>
      <c r="G262" s="21" t="n">
        <v>135.139302232591</v>
      </c>
      <c r="H262" s="21" t="n">
        <v>158.490276981665</v>
      </c>
      <c r="I262" s="21" t="n">
        <v>146.257078046454</v>
      </c>
      <c r="J262" s="21" t="n">
        <v>185.804845953474</v>
      </c>
      <c r="K262" s="21" t="n">
        <v>194.405991163718</v>
      </c>
      <c r="L262" s="21" t="n">
        <v>160.095161263667</v>
      </c>
      <c r="M262" s="21" t="n">
        <v>161.901457889161</v>
      </c>
      <c r="N262" s="21" t="n">
        <v>172.291578187177</v>
      </c>
      <c r="O262" s="21" t="n">
        <v>185.214020480849</v>
      </c>
      <c r="P262" s="21" t="n">
        <v>129.553214199753</v>
      </c>
    </row>
    <row r="263" customFormat="false" ht="15" hidden="false" customHeight="false" outlineLevel="0" collapsed="false">
      <c r="A263" s="20" t="n">
        <v>45808</v>
      </c>
      <c r="B263" s="21" t="n">
        <v>124.214854164066</v>
      </c>
      <c r="C263" s="21" t="n">
        <v>176.695152155001</v>
      </c>
      <c r="D263" s="21" t="n">
        <v>118.75406476905</v>
      </c>
      <c r="E263" s="21" t="n">
        <v>121.028022541312</v>
      </c>
      <c r="F263" s="21" t="n">
        <v>143.099620359505</v>
      </c>
      <c r="G263" s="21" t="n">
        <v>130.545112516165</v>
      </c>
      <c r="H263" s="21" t="n">
        <v>156.839086680709</v>
      </c>
      <c r="I263" s="21" t="n">
        <v>179.43037419203</v>
      </c>
      <c r="J263" s="21" t="n">
        <v>186.427023446362</v>
      </c>
      <c r="K263" s="21" t="n">
        <v>192.977333507078</v>
      </c>
      <c r="L263" s="21" t="n">
        <v>158.759906694275</v>
      </c>
      <c r="M263" s="21" t="n">
        <v>161.673513561332</v>
      </c>
      <c r="N263" s="21" t="n">
        <v>172.365876806149</v>
      </c>
      <c r="O263" s="21" t="n">
        <v>184.871659157296</v>
      </c>
      <c r="P263" s="21" t="n">
        <v>128.333459486451</v>
      </c>
    </row>
    <row r="264" customFormat="false" ht="15" hidden="false" customHeight="false" outlineLevel="0" collapsed="false">
      <c r="A264" s="20" t="n">
        <v>45838</v>
      </c>
      <c r="B264" s="21" t="n">
        <v>121.41795839578</v>
      </c>
      <c r="C264" s="21" t="n">
        <v>92.5163477730071</v>
      </c>
      <c r="D264" s="21" t="n">
        <v>123.662858895455</v>
      </c>
      <c r="E264" s="21" t="n">
        <v>120.758823517829</v>
      </c>
      <c r="F264" s="21" t="n">
        <v>154.144251846625</v>
      </c>
      <c r="G264" s="21" t="n">
        <v>131.816898905557</v>
      </c>
      <c r="H264" s="21" t="n">
        <v>155.506290003549</v>
      </c>
      <c r="I264" s="21" t="n">
        <v>190.928740228705</v>
      </c>
      <c r="J264" s="21" t="n">
        <v>185.728789538943</v>
      </c>
      <c r="K264" s="21" t="n">
        <v>192.635944012024</v>
      </c>
      <c r="L264" s="21" t="n">
        <v>159.082114064826</v>
      </c>
      <c r="M264" s="21" t="n">
        <v>161.565709768048</v>
      </c>
      <c r="N264" s="21" t="n">
        <v>172.345813670645</v>
      </c>
      <c r="O264" s="21" t="n">
        <v>185.669649492551</v>
      </c>
      <c r="P264" s="21" t="n">
        <v>126.576574193042</v>
      </c>
    </row>
    <row r="265" customFormat="false" ht="15" hidden="false" customHeight="false" outlineLevel="0" collapsed="false">
      <c r="A265" s="20" t="n">
        <v>45869</v>
      </c>
      <c r="B265" s="21" t="n">
        <v>117.601435550962</v>
      </c>
      <c r="C265" s="21" t="n">
        <v>66.9186986379332</v>
      </c>
      <c r="D265" s="21" t="n">
        <v>125.956960766021</v>
      </c>
      <c r="E265" s="21" t="n">
        <v>118.035537262987</v>
      </c>
      <c r="F265" s="21" t="n">
        <v>148.548083044673</v>
      </c>
      <c r="G265" s="21" t="n">
        <v>129.205978825883</v>
      </c>
      <c r="H265" s="21" t="n">
        <v>152.278322295051</v>
      </c>
      <c r="I265" s="21" t="n">
        <v>174.273543030662</v>
      </c>
      <c r="J265" s="21" t="n">
        <v>185.642597568603</v>
      </c>
      <c r="K265" s="21" t="n">
        <v>191.754862787702</v>
      </c>
      <c r="L265" s="21" t="n">
        <v>158.948554475413</v>
      </c>
      <c r="M265" s="21" t="n">
        <v>161.235903016292</v>
      </c>
      <c r="N265" s="21" t="n">
        <v>172.483762544358</v>
      </c>
      <c r="O265" s="21" t="n">
        <v>185.384344773825</v>
      </c>
      <c r="P265" s="21" t="n">
        <v>126.951034198465</v>
      </c>
    </row>
    <row r="266" customFormat="false" ht="15" hidden="false" customHeight="false" outlineLevel="0" collapsed="false">
      <c r="A266" s="20" t="n">
        <v>45900</v>
      </c>
      <c r="B266" s="21" t="n">
        <v>115.852828035928</v>
      </c>
      <c r="C266" s="21" t="n">
        <v>164.767778790484</v>
      </c>
      <c r="D266" s="21" t="n">
        <v>124.962465906233</v>
      </c>
      <c r="E266" s="21" t="n">
        <v>115.832974338654</v>
      </c>
      <c r="F266" s="21" t="n">
        <v>148.264722004812</v>
      </c>
      <c r="G266" s="21" t="n">
        <v>127.664438005162</v>
      </c>
      <c r="H266" s="21" t="n">
        <v>149.334544840535</v>
      </c>
      <c r="I266" s="21" t="n">
        <v>176.221089362056</v>
      </c>
      <c r="J266" s="21" t="n">
        <v>186.746221949827</v>
      </c>
      <c r="K266" s="21" t="n">
        <v>195.526085464702</v>
      </c>
      <c r="L266" s="21" t="n">
        <v>157.997855291872</v>
      </c>
      <c r="M266" s="21" t="n">
        <v>161.088780564364</v>
      </c>
      <c r="N266" s="21" t="n">
        <v>172.323770837561</v>
      </c>
      <c r="O266" s="21" t="n">
        <v>185.499449974646</v>
      </c>
      <c r="P266" s="21" t="n">
        <v>127.247622435304</v>
      </c>
    </row>
    <row r="267" customFormat="false" ht="15" hidden="false" customHeight="false" outlineLevel="0" collapsed="false">
      <c r="A267" s="20" t="n">
        <v>45930</v>
      </c>
      <c r="B267" s="21" t="n">
        <v>116.617651593472</v>
      </c>
      <c r="C267" s="21" t="n">
        <v>192.652197812614</v>
      </c>
      <c r="D267" s="21" t="n">
        <v>125.46521746549</v>
      </c>
      <c r="E267" s="21" t="n">
        <v>117.761183535171</v>
      </c>
      <c r="F267" s="21" t="n">
        <v>148.888743244458</v>
      </c>
      <c r="G267" s="21" t="n">
        <v>129.830913773403</v>
      </c>
      <c r="H267" s="21" t="n">
        <v>152.003453256393</v>
      </c>
      <c r="I267" s="21" t="n">
        <v>175.968190066022</v>
      </c>
      <c r="J267" s="21" t="n">
        <v>187.320165541765</v>
      </c>
      <c r="K267" s="21" t="n">
        <v>215.045588125629</v>
      </c>
      <c r="L267" s="21" t="n">
        <v>159.955336203336</v>
      </c>
      <c r="M267" s="21" t="n">
        <v>160.838090562187</v>
      </c>
      <c r="N267" s="21" t="n">
        <v>172.546331001756</v>
      </c>
      <c r="O267" s="21" t="n">
        <v>185.620744702987</v>
      </c>
      <c r="P267" s="21" t="n">
        <v>128.31268784026</v>
      </c>
    </row>
    <row r="268" customFormat="false" ht="15" hidden="false" customHeight="false" outlineLevel="0" collapsed="false">
      <c r="A268" s="20" t="n">
        <v>45961</v>
      </c>
      <c r="B268" s="21" t="n">
        <v>120.056499319429</v>
      </c>
      <c r="C268" s="21" t="n">
        <v>196.229731116642</v>
      </c>
      <c r="D268" s="21" t="n">
        <v>126.734989680259</v>
      </c>
      <c r="E268" s="21" t="n">
        <v>117.282660701968</v>
      </c>
      <c r="F268" s="21" t="n">
        <v>150.113178119615</v>
      </c>
      <c r="G268" s="21" t="n">
        <v>130.962107292164</v>
      </c>
      <c r="H268" s="21" t="n">
        <v>153.018336995001</v>
      </c>
      <c r="I268" s="21" t="n">
        <v>173.688801661659</v>
      </c>
      <c r="J268" s="21" t="n">
        <v>188.040375009674</v>
      </c>
      <c r="K268" s="21" t="n">
        <v>199.181058160339</v>
      </c>
      <c r="L268" s="21" t="n">
        <v>159.738110580937</v>
      </c>
      <c r="M268" s="21" t="n">
        <v>160.486684992908</v>
      </c>
      <c r="N268" s="21" t="n">
        <v>172.261945607385</v>
      </c>
      <c r="O268" s="21" t="n">
        <v>185.367065931789</v>
      </c>
      <c r="P268" s="21" t="n">
        <v>127.958026835253</v>
      </c>
    </row>
    <row r="269" customFormat="false" ht="15" hidden="false" customHeight="false" outlineLevel="0" collapsed="false">
      <c r="A269" s="20" t="n">
        <v>45991</v>
      </c>
      <c r="B269" s="21" t="n">
        <v>124.588064160918</v>
      </c>
      <c r="C269" s="21" t="n">
        <v>164.151890290937</v>
      </c>
      <c r="D269" s="21" t="n">
        <v>127.338752030298</v>
      </c>
      <c r="E269" s="21" t="n">
        <v>114.205732919867</v>
      </c>
      <c r="F269" s="21" t="n">
        <v>149.546550252061</v>
      </c>
      <c r="G269" s="21" t="n">
        <v>127.606888103934</v>
      </c>
      <c r="H269" s="21" t="n">
        <v>148.864307525253</v>
      </c>
      <c r="I269" s="21" t="n">
        <v>176.438142206615</v>
      </c>
      <c r="J269" s="21" t="n">
        <v>187.593269831002</v>
      </c>
      <c r="K269" s="21" t="n">
        <v>194.858946403238</v>
      </c>
      <c r="L269" s="21" t="n">
        <v>157.717405878711</v>
      </c>
      <c r="M269" s="21" t="n">
        <v>160.313992822081</v>
      </c>
      <c r="N269" s="21" t="n">
        <v>172.153814949775</v>
      </c>
      <c r="O269" s="21" t="n">
        <v>185.276056726579</v>
      </c>
      <c r="P269" s="21" t="n">
        <v>127.490741453374</v>
      </c>
    </row>
    <row r="270" customFormat="false" ht="15" hidden="false" customHeight="false" outlineLevel="0" collapsed="false">
      <c r="A270" s="20" t="n">
        <v>46022</v>
      </c>
      <c r="B270" s="21" t="n">
        <v>136.624338027305</v>
      </c>
      <c r="C270" s="21" t="n">
        <v>170.774398173486</v>
      </c>
      <c r="D270" s="21" t="n">
        <v>129.177967555546</v>
      </c>
      <c r="E270" s="21" t="n">
        <v>117.411919566499</v>
      </c>
      <c r="F270" s="21" t="n">
        <v>155.876748077074</v>
      </c>
      <c r="G270" s="21" t="n">
        <v>130.233982098348</v>
      </c>
      <c r="H270" s="21" t="n">
        <v>153.868574292467</v>
      </c>
      <c r="I270" s="21" t="n">
        <v>176.539608330705</v>
      </c>
      <c r="J270" s="21" t="n">
        <v>188.241809984752</v>
      </c>
      <c r="K270" s="21" t="n">
        <v>200.803298341548</v>
      </c>
      <c r="L270" s="21" t="n">
        <v>159.368865752174</v>
      </c>
      <c r="M270" s="21" t="n">
        <v>160.101371468547</v>
      </c>
      <c r="N270" s="21" t="n">
        <v>172.209041587492</v>
      </c>
      <c r="O270" s="21" t="n">
        <v>185.330026174429</v>
      </c>
      <c r="P270" s="21" t="n">
        <v>128.308471775817</v>
      </c>
    </row>
    <row r="271" customFormat="false" ht="15" hidden="false" customHeight="false" outlineLevel="0" collapsed="false">
      <c r="A271" s="20" t="n">
        <v>46053</v>
      </c>
      <c r="B271" s="21" t="n">
        <v>127.290763798784</v>
      </c>
      <c r="C271" s="21" t="n">
        <v>223.741873089631</v>
      </c>
      <c r="D271" s="21" t="n">
        <v>130.975180836995</v>
      </c>
      <c r="E271" s="21" t="n">
        <v>118.474521463446</v>
      </c>
      <c r="F271" s="21" t="n">
        <v>148.080772835404</v>
      </c>
      <c r="G271" s="21" t="n">
        <v>132.05621610393</v>
      </c>
      <c r="H271" s="21" t="n">
        <v>153.710140207464</v>
      </c>
      <c r="I271" s="21" t="n">
        <v>176.140410645385</v>
      </c>
      <c r="J271" s="21" t="n">
        <v>188.625796044058</v>
      </c>
      <c r="K271" s="21" t="n">
        <v>199.888704674393</v>
      </c>
      <c r="L271" s="21" t="n">
        <v>158.658956162627</v>
      </c>
      <c r="M271" s="21" t="n">
        <v>160.069340491583</v>
      </c>
      <c r="N271" s="21" t="n">
        <v>171.868843236345</v>
      </c>
      <c r="O271" s="21" t="n">
        <v>184.112562084716</v>
      </c>
      <c r="P271" s="21" t="n">
        <v>128.373013335255</v>
      </c>
    </row>
    <row r="272" customFormat="false" ht="15" hidden="false" customHeight="false" outlineLevel="0" collapsed="false">
      <c r="A272" s="20" t="n">
        <v>46081</v>
      </c>
      <c r="B272" s="21" t="n">
        <v>120.300732229119</v>
      </c>
      <c r="C272" s="21" t="n">
        <v>165.779376774236</v>
      </c>
      <c r="D272" s="21" t="n">
        <v>131.160129900966</v>
      </c>
      <c r="E272" s="21" t="n">
        <v>114.086332662032</v>
      </c>
      <c r="F272" s="21" t="n">
        <v>143.644721384001</v>
      </c>
      <c r="G272" s="21" t="n">
        <v>132.143685764635</v>
      </c>
      <c r="H272" s="21" t="n">
        <v>151.428494272762</v>
      </c>
      <c r="I272" s="21" t="n">
        <v>178.60373234412</v>
      </c>
      <c r="J272" s="21" t="n">
        <v>186.02009985706</v>
      </c>
      <c r="K272" s="21" t="n">
        <v>198.688053021452</v>
      </c>
      <c r="L272" s="21" t="n">
        <v>158.700985178085</v>
      </c>
      <c r="M272" s="21" t="n">
        <v>159.880866500449</v>
      </c>
      <c r="N272" s="21" t="n">
        <v>172.2368290223</v>
      </c>
      <c r="O272" s="21" t="n">
        <v>184.117489221398</v>
      </c>
      <c r="P272" s="21" t="n">
        <v>133.00633248731</v>
      </c>
    </row>
    <row r="273" customFormat="false" ht="15" hidden="false" customHeight="false" outlineLevel="0" collapsed="false">
      <c r="A273" s="20" t="n">
        <v>46112</v>
      </c>
      <c r="B273" s="21" t="n">
        <v>132.508317651049</v>
      </c>
      <c r="C273" s="21" t="n">
        <v>161.431201028032</v>
      </c>
      <c r="D273" s="21" t="n">
        <v>135.284088466897</v>
      </c>
      <c r="E273" s="21" t="n">
        <v>120.128678684365</v>
      </c>
      <c r="F273" s="21" t="n">
        <v>149.88613531105</v>
      </c>
      <c r="G273" s="21" t="n">
        <v>136.312527618213</v>
      </c>
      <c r="H273" s="21" t="n">
        <v>156.336567571481</v>
      </c>
      <c r="I273" s="21" t="n">
        <v>178.164455245519</v>
      </c>
      <c r="J273" s="21" t="n">
        <v>190.999364787699</v>
      </c>
      <c r="K273" s="21" t="n">
        <v>206.359268296154</v>
      </c>
      <c r="L273" s="21" t="n">
        <v>160.858546526962</v>
      </c>
      <c r="M273" s="21" t="n">
        <v>159.832404713662</v>
      </c>
      <c r="N273" s="21" t="n">
        <v>172.111959556623</v>
      </c>
      <c r="O273" s="21" t="n">
        <v>184.036183288281</v>
      </c>
      <c r="P273" s="21" t="n">
        <v>128.663897819908</v>
      </c>
    </row>
    <row r="274" customFormat="false" ht="15" hidden="false" customHeight="false" outlineLevel="0" collapsed="false">
      <c r="A274" s="20" t="n">
        <v>46142</v>
      </c>
      <c r="B274" s="21" t="n">
        <v>135.923503844378</v>
      </c>
      <c r="C274" s="21" t="n">
        <v>115.02023271885</v>
      </c>
      <c r="D274" s="21" t="n">
        <v>136.655817689244</v>
      </c>
      <c r="E274" s="21" t="n">
        <v>115.339326385683</v>
      </c>
      <c r="F274" s="21" t="n">
        <v>151.674873146142</v>
      </c>
      <c r="G274" s="21" t="n">
        <v>130.165187683661</v>
      </c>
      <c r="H274" s="21" t="n">
        <v>151.951195601955</v>
      </c>
      <c r="I274" s="21" t="n">
        <v>147.329708599465</v>
      </c>
      <c r="J274" s="21" t="n">
        <v>189.119307586086</v>
      </c>
      <c r="K274" s="21" t="n">
        <v>203.650148372402</v>
      </c>
      <c r="L274" s="21" t="n">
        <v>159.173394089772</v>
      </c>
      <c r="M274" s="21" t="n">
        <v>159.647241231764</v>
      </c>
      <c r="N274" s="21" t="n">
        <v>171.820718414624</v>
      </c>
      <c r="O274" s="21" t="n">
        <v>184.152467735719</v>
      </c>
      <c r="P274" s="21" t="n">
        <v>128.18107211706</v>
      </c>
    </row>
    <row r="275" customFormat="false" ht="15" hidden="false" customHeight="false" outlineLevel="0" collapsed="false">
      <c r="A275" s="20" t="n">
        <v>46173</v>
      </c>
      <c r="B275" s="21" t="n">
        <v>144.426711400562</v>
      </c>
      <c r="C275" s="21" t="n">
        <v>124.725976396493</v>
      </c>
      <c r="D275" s="21" t="n">
        <v>136.603892056399</v>
      </c>
      <c r="E275" s="21" t="n">
        <v>111.151952816861</v>
      </c>
      <c r="F275" s="21" t="n">
        <v>153.22316559341</v>
      </c>
      <c r="G275" s="21" t="n">
        <v>130.811579401365</v>
      </c>
      <c r="H275" s="21" t="n">
        <v>149.125008950911</v>
      </c>
      <c r="I275" s="21" t="n">
        <v>176.684322606312</v>
      </c>
      <c r="J275" s="21" t="n">
        <v>187.907979778355</v>
      </c>
      <c r="K275" s="21" t="n">
        <v>193.834339978572</v>
      </c>
      <c r="L275" s="21" t="n">
        <v>158.840774173195</v>
      </c>
      <c r="M275" s="21" t="n">
        <v>159.42282632206</v>
      </c>
      <c r="N275" s="21" t="n">
        <v>171.448406441195</v>
      </c>
      <c r="O275" s="21" t="n">
        <v>185.391484231493</v>
      </c>
      <c r="P275" s="21" t="n">
        <v>128.246759560631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J29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7"/>
  </cols>
  <sheetData>
    <row r="1" customFormat="false" ht="17.35" hidden="false" customHeight="false" outlineLevel="0" collapsed="false">
      <c r="A1" s="4" t="s">
        <v>369</v>
      </c>
    </row>
    <row r="2" customFormat="false" ht="15" hidden="false" customHeight="false" outlineLevel="0" collapsed="false">
      <c r="A2" s="5" t="s">
        <v>370</v>
      </c>
    </row>
    <row r="6" customFormat="false" ht="35.05" hidden="false" customHeight="false" outlineLevel="0" collapsed="false">
      <c r="A6" s="7" t="s">
        <v>368</v>
      </c>
      <c r="B6" s="7" t="s">
        <v>371</v>
      </c>
      <c r="C6" s="7" t="s">
        <v>372</v>
      </c>
      <c r="D6" s="7" t="s">
        <v>373</v>
      </c>
      <c r="E6" s="7" t="s">
        <v>374</v>
      </c>
      <c r="F6" s="7" t="s">
        <v>375</v>
      </c>
      <c r="G6" s="7" t="s">
        <v>376</v>
      </c>
      <c r="H6" s="7" t="s">
        <v>377</v>
      </c>
      <c r="I6" s="7" t="s">
        <v>378</v>
      </c>
      <c r="J6" s="7" t="s">
        <v>379</v>
      </c>
      <c r="K6" s="7" t="s">
        <v>380</v>
      </c>
      <c r="L6" s="7" t="s">
        <v>381</v>
      </c>
      <c r="M6" s="7" t="s">
        <v>382</v>
      </c>
      <c r="N6" s="7" t="s">
        <v>383</v>
      </c>
      <c r="O6" s="7" t="s">
        <v>384</v>
      </c>
      <c r="P6" s="7" t="s">
        <v>385</v>
      </c>
      <c r="Q6" s="7" t="s">
        <v>386</v>
      </c>
      <c r="R6" s="7" t="s">
        <v>387</v>
      </c>
      <c r="S6" s="7" t="s">
        <v>388</v>
      </c>
      <c r="T6" s="7" t="s">
        <v>389</v>
      </c>
      <c r="U6" s="7" t="s">
        <v>390</v>
      </c>
      <c r="V6" s="7" t="s">
        <v>391</v>
      </c>
      <c r="W6" s="7" t="s">
        <v>392</v>
      </c>
      <c r="X6" s="7" t="s">
        <v>393</v>
      </c>
      <c r="Y6" s="7" t="s">
        <v>394</v>
      </c>
      <c r="Z6" s="7" t="s">
        <v>395</v>
      </c>
      <c r="AA6" s="7" t="s">
        <v>396</v>
      </c>
      <c r="AB6" s="7" t="s">
        <v>397</v>
      </c>
      <c r="AC6" s="7" t="s">
        <v>398</v>
      </c>
      <c r="AD6" s="7" t="s">
        <v>399</v>
      </c>
      <c r="AE6" s="7" t="s">
        <v>400</v>
      </c>
      <c r="AF6" s="7" t="s">
        <v>401</v>
      </c>
      <c r="AG6" s="7" t="s">
        <v>402</v>
      </c>
      <c r="AH6" s="7" t="s">
        <v>403</v>
      </c>
      <c r="AI6" s="7" t="s">
        <v>404</v>
      </c>
      <c r="AJ6" s="7" t="s">
        <v>405</v>
      </c>
      <c r="AK6" s="7" t="s">
        <v>406</v>
      </c>
      <c r="AL6" s="7" t="s">
        <v>407</v>
      </c>
      <c r="AM6" s="7" t="s">
        <v>408</v>
      </c>
      <c r="AN6" s="7" t="s">
        <v>409</v>
      </c>
      <c r="AO6" s="7" t="s">
        <v>410</v>
      </c>
      <c r="AP6" s="7" t="s">
        <v>411</v>
      </c>
      <c r="AQ6" s="7" t="s">
        <v>412</v>
      </c>
      <c r="AR6" s="7" t="s">
        <v>413</v>
      </c>
      <c r="AS6" s="7" t="s">
        <v>414</v>
      </c>
      <c r="AT6" s="7" t="s">
        <v>415</v>
      </c>
      <c r="AU6" s="7" t="s">
        <v>416</v>
      </c>
      <c r="AV6" s="7" t="s">
        <v>417</v>
      </c>
      <c r="AW6" s="7" t="s">
        <v>418</v>
      </c>
      <c r="AX6" s="7" t="s">
        <v>419</v>
      </c>
      <c r="AY6" s="7" t="s">
        <v>420</v>
      </c>
      <c r="AZ6" s="7" t="s">
        <v>421</v>
      </c>
      <c r="BA6" s="7" t="s">
        <v>422</v>
      </c>
      <c r="BB6" s="7" t="s">
        <v>423</v>
      </c>
      <c r="BC6" s="7" t="s">
        <v>424</v>
      </c>
      <c r="BD6" s="7" t="s">
        <v>425</v>
      </c>
      <c r="BE6" s="7" t="s">
        <v>426</v>
      </c>
      <c r="BF6" s="7" t="s">
        <v>427</v>
      </c>
      <c r="BG6" s="7" t="s">
        <v>428</v>
      </c>
      <c r="BH6" s="7" t="s">
        <v>429</v>
      </c>
      <c r="BI6" s="7" t="s">
        <v>430</v>
      </c>
      <c r="BJ6" s="7" t="s">
        <v>431</v>
      </c>
    </row>
    <row r="7" customFormat="false" ht="15" hidden="false" customHeight="false" outlineLevel="0" collapsed="false">
      <c r="A7" s="20" t="n">
        <v>38017</v>
      </c>
      <c r="B7" s="22" t="n">
        <f aca="false">MONTH(A7)</f>
        <v>1</v>
      </c>
      <c r="C7" s="23"/>
      <c r="D7" s="24"/>
      <c r="E7" s="24" t="n">
        <f aca="false">IFERROR(AVERAGEIFS($D$7:$D$294,$B$7:$B$294,$B7,$A$7:$A$294,"&gt;="&amp;EDATE($A7,-12*'Seasonal Factors'!$E$4),$A$7:$A$294,"&lt;="&amp;EDATE($A7,12*'Seasonal Factors'!$E$4)),"")</f>
        <v>0.555948368116521</v>
      </c>
      <c r="F7" s="24" t="n">
        <f aca="false">IFERROR(E7/AVERAGE(E7:E13),"")</f>
        <v>0.433974090479526</v>
      </c>
      <c r="G7" s="23"/>
      <c r="H7" s="24"/>
      <c r="I7" s="24" t="n">
        <f aca="false">IFERROR(AVERAGEIFS($H$7:$H$294,$B$7:$B$294,$B7,$A$7:$A$294,"&gt;="&amp;EDATE($A7,-12*'Seasonal Factors'!$E$4),$A$7:$A$294,"&lt;="&amp;EDATE($A7,12*'Seasonal Factors'!$E$4)),"")</f>
        <v>0.332731560997782</v>
      </c>
      <c r="J7" s="24" t="n">
        <f aca="false">IFERROR(I7/AVERAGE(I7:I13),"")</f>
        <v>0.272419635706995</v>
      </c>
      <c r="K7" s="23"/>
      <c r="L7" s="24"/>
      <c r="M7" s="24" t="n">
        <f aca="false">IFERROR(AVERAGEIFS($L$7:$L$294,$B$7:$B$294,$B7,$A$7:$A$294,"&gt;="&amp;EDATE($A7,-12*'Seasonal Factors'!$E$4),$A$7:$A$294,"&lt;="&amp;EDATE($A7,12*'Seasonal Factors'!$E$4)),"")</f>
        <v>1.00488355617065</v>
      </c>
      <c r="N7" s="24" t="n">
        <f aca="false">IFERROR(M7/AVERAGE(M7:M13),"")</f>
        <v>1.00751625995064</v>
      </c>
      <c r="O7" s="23"/>
      <c r="P7" s="24"/>
      <c r="Q7" s="24" t="n">
        <f aca="false">IFERROR(AVERAGEIFS($P$7:$P$294,$B$7:$B$294,$B7,$A$7:$A$294,"&gt;="&amp;EDATE($A7,-12*'Seasonal Factors'!$E$4),$A$7:$A$294,"&lt;="&amp;EDATE($A7,12*'Seasonal Factors'!$E$4)),"")</f>
        <v>0.927463208682401</v>
      </c>
      <c r="R7" s="24" t="n">
        <f aca="false">IFERROR(Q7/AVERAGE(Q7:Q13),"")</f>
        <v>0.939237877807264</v>
      </c>
      <c r="S7" s="23"/>
      <c r="T7" s="24"/>
      <c r="U7" s="24" t="n">
        <f aca="false">IFERROR(AVERAGEIFS($T$7:$T$294,$B$7:$B$294,$B7,$A$7:$A$294,"&gt;="&amp;EDATE($A7,-12*'Seasonal Factors'!$E$4),$A$7:$A$294,"&lt;="&amp;EDATE($A7,12*'Seasonal Factors'!$E$4)),"")</f>
        <v>1.03853534869897</v>
      </c>
      <c r="V7" s="24" t="n">
        <f aca="false">IFERROR(U7/AVERAGE(U7:U13),"")</f>
        <v>1.02805337629941</v>
      </c>
      <c r="W7" s="23"/>
      <c r="X7" s="24"/>
      <c r="Y7" s="24" t="n">
        <f aca="false">IFERROR(AVERAGEIFS($X$7:$X$294,$B$7:$B$294,$B7,$A$7:$A$294,"&gt;="&amp;EDATE($A7,-12*'Seasonal Factors'!$E$4),$A$7:$A$294,"&lt;="&amp;EDATE($A7,12*'Seasonal Factors'!$E$4)),"")</f>
        <v>1.00843910219682</v>
      </c>
      <c r="Z7" s="24" t="n">
        <f aca="false">IFERROR(Y7/AVERAGE(Y7:Y13),"")</f>
        <v>1.00049488248486</v>
      </c>
      <c r="AA7" s="23"/>
      <c r="AB7" s="24"/>
      <c r="AC7" s="24" t="n">
        <f aca="false">IFERROR(AVERAGEIFS($AB$7:$AB$294,$B$7:$B$294,$B7,$A$7:$A$294,"&gt;="&amp;EDATE($A7,-12*'Seasonal Factors'!$E$4),$A$7:$A$294,"&lt;="&amp;EDATE($A7,12*'Seasonal Factors'!$E$4)),"")</f>
        <v>0.950202601067059</v>
      </c>
      <c r="AD7" s="24" t="n">
        <f aca="false">IFERROR(AC7/AVERAGE(AC7:AC13),"")</f>
        <v>0.941229735602035</v>
      </c>
      <c r="AE7" s="23"/>
      <c r="AF7" s="24"/>
      <c r="AG7" s="24" t="n">
        <f aca="false">IFERROR(AVERAGEIFS($AF$7:$AF$294,$B$7:$B$294,$B7,$A$7:$A$294,"&gt;="&amp;EDATE($A7,-12*'Seasonal Factors'!$E$4),$A$7:$A$294,"&lt;="&amp;EDATE($A7,12*'Seasonal Factors'!$E$4)),"")</f>
        <v>1.11527372187321</v>
      </c>
      <c r="AH7" s="24" t="n">
        <f aca="false">IFERROR(AG7/AVERAGE(AG7:AG13),"")</f>
        <v>1.11445962846427</v>
      </c>
      <c r="AI7" s="23"/>
      <c r="AJ7" s="24"/>
      <c r="AK7" s="24" t="n">
        <f aca="false">IFERROR(AVERAGEIFS($AJ$7:$AJ$294,$B$7:$B$294,$B7,$A$7:$A$294,"&gt;="&amp;EDATE($A7,-12*'Seasonal Factors'!$E$4),$A$7:$A$294,"&lt;="&amp;EDATE($A7,12*'Seasonal Factors'!$E$4)),"")</f>
        <v>0.991910567597364</v>
      </c>
      <c r="AL7" s="24" t="n">
        <f aca="false">IFERROR(AK7/AVERAGE(AK7:AK13),"")</f>
        <v>0.981099238360156</v>
      </c>
      <c r="AM7" s="23"/>
      <c r="AN7" s="24"/>
      <c r="AO7" s="24" t="n">
        <f aca="false">IFERROR(AVERAGEIFS($AN$7:$AN$294,$B$7:$B$294,$B7,$A$7:$A$294,"&gt;="&amp;EDATE($A7,-12*'Seasonal Factors'!$E$4),$A$7:$A$294,"&lt;="&amp;EDATE($A7,12*'Seasonal Factors'!$E$4)),"")</f>
        <v>1.03192442220904</v>
      </c>
      <c r="AP7" s="24" t="n">
        <f aca="false">IFERROR(AO7/AVERAGE(AO7:AO13),"")</f>
        <v>1.03179345745815</v>
      </c>
      <c r="AQ7" s="23"/>
      <c r="AR7" s="24"/>
      <c r="AS7" s="24" t="n">
        <f aca="false">IFERROR(AVERAGEIFS($AR$7:$AR$294,$B$7:$B$294,$B7,$A$7:$A$294,"&gt;="&amp;EDATE($A7,-12*'Seasonal Factors'!$E$4),$A$7:$A$294,"&lt;="&amp;EDATE($A7,12*'Seasonal Factors'!$E$4)),"")</f>
        <v>0.943643732627841</v>
      </c>
      <c r="AT7" s="24" t="n">
        <f aca="false">IFERROR(AS7/AVERAGE(AS7:AS13),"")</f>
        <v>0.953472749481156</v>
      </c>
      <c r="AU7" s="23"/>
      <c r="AV7" s="24"/>
      <c r="AW7" s="24" t="n">
        <f aca="false">IFERROR(AVERAGEIFS($AV$7:$AV$294,$B$7:$B$294,$B7,$A$7:$A$294,"&gt;="&amp;EDATE($A7,-12*'Seasonal Factors'!$E$4),$A$7:$A$294,"&lt;="&amp;EDATE($A7,12*'Seasonal Factors'!$E$4)),"")</f>
        <v>0.987786276720381</v>
      </c>
      <c r="AX7" s="24" t="n">
        <f aca="false">IFERROR(AW7/AVERAGE(AW7:AW13),"")</f>
        <v>0.99091296601887</v>
      </c>
      <c r="AY7" s="23"/>
      <c r="AZ7" s="24"/>
      <c r="BA7" s="24" t="n">
        <f aca="false">IFERROR(AVERAGEIFS($AZ$7:$AZ$294,$B$7:$B$294,$B7,$A$7:$A$294,"&gt;="&amp;EDATE($A7,-12*'Seasonal Factors'!$E$4),$A$7:$A$294,"&lt;="&amp;EDATE($A7,12*'Seasonal Factors'!$E$4)),"")</f>
        <v>0.972096407217892</v>
      </c>
      <c r="BB7" s="24" t="n">
        <f aca="false">IFERROR(BA7/AVERAGE(BA7:BA13),"")</f>
        <v>0.97938266613562</v>
      </c>
      <c r="BC7" s="23"/>
      <c r="BD7" s="24"/>
      <c r="BE7" s="24" t="n">
        <f aca="false">IFERROR(AVERAGEIFS($BD$7:$BD$294,$B$7:$B$294,$B7,$A$7:$A$294,"&gt;="&amp;EDATE($A7,-12*'Seasonal Factors'!$E$4),$A$7:$A$294,"&lt;="&amp;EDATE($A7,12*'Seasonal Factors'!$E$4)),"")</f>
        <v>0.978299560556972</v>
      </c>
      <c r="BF7" s="24" t="n">
        <f aca="false">IFERROR(BE7/AVERAGE(BE7:BE13),"")</f>
        <v>0.970395745507477</v>
      </c>
      <c r="BG7" s="23"/>
      <c r="BH7" s="24"/>
      <c r="BI7" s="24" t="n">
        <f aca="false">IFERROR(AVERAGEIFS($BH$7:$BH$294,$B$7:$B$294,$B7,$A$7:$A$294,"&gt;="&amp;EDATE($A7,-12*'Seasonal Factors'!$E$4),$A$7:$A$294,"&lt;="&amp;EDATE($A7,12*'Seasonal Factors'!$E$4)),"")</f>
        <v>1.01714485948194</v>
      </c>
      <c r="BJ7" s="24" t="n">
        <f aca="false">IFERROR(BI7/AVERAGE(BI7:BI13),"")</f>
        <v>1.0038064881938</v>
      </c>
    </row>
    <row r="8" customFormat="false" ht="15" hidden="false" customHeight="false" outlineLevel="0" collapsed="false">
      <c r="A8" s="20" t="n">
        <v>38046</v>
      </c>
      <c r="B8" s="22" t="n">
        <f aca="false">MONTH(A8)</f>
        <v>2</v>
      </c>
      <c r="C8" s="23"/>
      <c r="D8" s="24"/>
      <c r="E8" s="24" t="n">
        <f aca="false">IFERROR(AVERAGEIFS($D$7:$D$294,$B$7:$B$294,$B8,$A$7:$A$294,"&gt;="&amp;EDATE($A8,-12*'Seasonal Factors'!$E$4),$A$7:$A$294,"&lt;="&amp;EDATE($A8,12*'Seasonal Factors'!$E$4)),"")</f>
        <v>0.561087494972826</v>
      </c>
      <c r="F8" s="24" t="n">
        <f aca="false">IFERROR(E8/AVERAGE(E7:E14),"")</f>
        <v>0.470050658782249</v>
      </c>
      <c r="G8" s="23"/>
      <c r="H8" s="24"/>
      <c r="I8" s="24" t="n">
        <f aca="false">IFERROR(AVERAGEIFS($H$7:$H$294,$B$7:$B$294,$B8,$A$7:$A$294,"&gt;="&amp;EDATE($A8,-12*'Seasonal Factors'!$E$4),$A$7:$A$294,"&lt;="&amp;EDATE($A8,12*'Seasonal Factors'!$E$4)),"")</f>
        <v>0.750449252862889</v>
      </c>
      <c r="J8" s="24" t="n">
        <f aca="false">IFERROR(I8/AVERAGE(I7:I14),"")</f>
        <v>0.631750026816769</v>
      </c>
      <c r="K8" s="23"/>
      <c r="L8" s="24"/>
      <c r="M8" s="24" t="n">
        <f aca="false">IFERROR(AVERAGEIFS($L$7:$L$294,$B$7:$B$294,$B8,$A$7:$A$294,"&gt;="&amp;EDATE($A8,-12*'Seasonal Factors'!$E$4),$A$7:$A$294,"&lt;="&amp;EDATE($A8,12*'Seasonal Factors'!$E$4)),"")</f>
        <v>0.932811581714069</v>
      </c>
      <c r="N8" s="24" t="n">
        <f aca="false">IFERROR(M8/AVERAGE(M7:M14),"")</f>
        <v>0.931804098263407</v>
      </c>
      <c r="O8" s="23"/>
      <c r="P8" s="24"/>
      <c r="Q8" s="24" t="n">
        <f aca="false">IFERROR(AVERAGEIFS($P$7:$P$294,$B$7:$B$294,$B8,$A$7:$A$294,"&gt;="&amp;EDATE($A8,-12*'Seasonal Factors'!$E$4),$A$7:$A$294,"&lt;="&amp;EDATE($A8,12*'Seasonal Factors'!$E$4)),"")</f>
        <v>0.905290231884197</v>
      </c>
      <c r="R8" s="24" t="n">
        <f aca="false">IFERROR(Q8/AVERAGE(Q7:Q14),"")</f>
        <v>0.913242321568871</v>
      </c>
      <c r="S8" s="23"/>
      <c r="T8" s="24"/>
      <c r="U8" s="24" t="n">
        <f aca="false">IFERROR(AVERAGEIFS($T$7:$T$294,$B$7:$B$294,$B8,$A$7:$A$294,"&gt;="&amp;EDATE($A8,-12*'Seasonal Factors'!$E$4),$A$7:$A$294,"&lt;="&amp;EDATE($A8,12*'Seasonal Factors'!$E$4)),"")</f>
        <v>0.972995952936795</v>
      </c>
      <c r="V8" s="24" t="n">
        <f aca="false">IFERROR(U8/AVERAGE(U7:U14),"")</f>
        <v>0.95962324499729</v>
      </c>
      <c r="W8" s="23"/>
      <c r="X8" s="24"/>
      <c r="Y8" s="24" t="n">
        <f aca="false">IFERROR(AVERAGEIFS($X$7:$X$294,$B$7:$B$294,$B8,$A$7:$A$294,"&gt;="&amp;EDATE($A8,-12*'Seasonal Factors'!$E$4),$A$7:$A$294,"&lt;="&amp;EDATE($A8,12*'Seasonal Factors'!$E$4)),"")</f>
        <v>1.02271496367861</v>
      </c>
      <c r="Z8" s="24" t="n">
        <f aca="false">IFERROR(Y8/AVERAGE(Y7:Y14),"")</f>
        <v>1.01402055420615</v>
      </c>
      <c r="AA8" s="23"/>
      <c r="AB8" s="24"/>
      <c r="AC8" s="24" t="n">
        <f aca="false">IFERROR(AVERAGEIFS($AB$7:$AB$294,$B$7:$B$294,$B8,$A$7:$A$294,"&gt;="&amp;EDATE($A8,-12*'Seasonal Factors'!$E$4),$A$7:$A$294,"&lt;="&amp;EDATE($A8,12*'Seasonal Factors'!$E$4)),"")</f>
        <v>0.935054283745774</v>
      </c>
      <c r="AD8" s="24" t="n">
        <f aca="false">IFERROR(AC8/AVERAGE(AC7:AC14),"")</f>
        <v>0.926600120190712</v>
      </c>
      <c r="AE8" s="23"/>
      <c r="AF8" s="24"/>
      <c r="AG8" s="24" t="n">
        <f aca="false">IFERROR(AVERAGEIFS($AF$7:$AF$294,$B$7:$B$294,$B8,$A$7:$A$294,"&gt;="&amp;EDATE($A8,-12*'Seasonal Factors'!$E$4),$A$7:$A$294,"&lt;="&amp;EDATE($A8,12*'Seasonal Factors'!$E$4)),"")</f>
        <v>1.0666996519947</v>
      </c>
      <c r="AH8" s="24" t="n">
        <f aca="false">IFERROR(AG8/AVERAGE(AG7:AG14),"")</f>
        <v>1.0671695723677</v>
      </c>
      <c r="AI8" s="23"/>
      <c r="AJ8" s="24"/>
      <c r="AK8" s="24" t="n">
        <f aca="false">IFERROR(AVERAGEIFS($AJ$7:$AJ$294,$B$7:$B$294,$B8,$A$7:$A$294,"&gt;="&amp;EDATE($A8,-12*'Seasonal Factors'!$E$4),$A$7:$A$294,"&lt;="&amp;EDATE($A8,12*'Seasonal Factors'!$E$4)),"")</f>
        <v>0.94166902111299</v>
      </c>
      <c r="AL8" s="24" t="n">
        <f aca="false">IFERROR(AK8/AVERAGE(AK7:AK14),"")</f>
        <v>0.93350530392644</v>
      </c>
      <c r="AM8" s="23"/>
      <c r="AN8" s="24"/>
      <c r="AO8" s="24" t="n">
        <f aca="false">IFERROR(AVERAGEIFS($AN$7:$AN$294,$B$7:$B$294,$B8,$A$7:$A$294,"&gt;="&amp;EDATE($A8,-12*'Seasonal Factors'!$E$4),$A$7:$A$294,"&lt;="&amp;EDATE($A8,12*'Seasonal Factors'!$E$4)),"")</f>
        <v>0.979881137413077</v>
      </c>
      <c r="AP8" s="24" t="n">
        <f aca="false">IFERROR(AO8/AVERAGE(AO7:AO14),"")</f>
        <v>0.978784084990921</v>
      </c>
      <c r="AQ8" s="23"/>
      <c r="AR8" s="24"/>
      <c r="AS8" s="24" t="n">
        <f aca="false">IFERROR(AVERAGEIFS($AR$7:$AR$294,$B$7:$B$294,$B8,$A$7:$A$294,"&gt;="&amp;EDATE($A8,-12*'Seasonal Factors'!$E$4),$A$7:$A$294,"&lt;="&amp;EDATE($A8,12*'Seasonal Factors'!$E$4)),"")</f>
        <v>0.961377159315499</v>
      </c>
      <c r="AT8" s="24" t="n">
        <f aca="false">IFERROR(AS8/AVERAGE(AS7:AS14),"")</f>
        <v>0.969009994869078</v>
      </c>
      <c r="AU8" s="23"/>
      <c r="AV8" s="24"/>
      <c r="AW8" s="24" t="n">
        <f aca="false">IFERROR(AVERAGEIFS($AV$7:$AV$294,$B$7:$B$294,$B8,$A$7:$A$294,"&gt;="&amp;EDATE($A8,-12*'Seasonal Factors'!$E$4),$A$7:$A$294,"&lt;="&amp;EDATE($A8,12*'Seasonal Factors'!$E$4)),"")</f>
        <v>0.994813629655894</v>
      </c>
      <c r="AX8" s="24" t="n">
        <f aca="false">IFERROR(AW8/AVERAGE(AW7:AW14),"")</f>
        <v>0.997401465865386</v>
      </c>
      <c r="AY8" s="23"/>
      <c r="AZ8" s="24"/>
      <c r="BA8" s="24" t="n">
        <f aca="false">IFERROR(AVERAGEIFS($AZ$7:$AZ$294,$B$7:$B$294,$B8,$A$7:$A$294,"&gt;="&amp;EDATE($A8,-12*'Seasonal Factors'!$E$4),$A$7:$A$294,"&lt;="&amp;EDATE($A8,12*'Seasonal Factors'!$E$4)),"")</f>
        <v>0.979137903426088</v>
      </c>
      <c r="BB8" s="24" t="n">
        <f aca="false">IFERROR(BA8/AVERAGE(BA7:BA14),"")</f>
        <v>0.984723068034738</v>
      </c>
      <c r="BC8" s="23"/>
      <c r="BD8" s="24"/>
      <c r="BE8" s="24" t="n">
        <f aca="false">IFERROR(AVERAGEIFS($BD$7:$BD$294,$B$7:$B$294,$B8,$A$7:$A$294,"&gt;="&amp;EDATE($A8,-12*'Seasonal Factors'!$E$4),$A$7:$A$294,"&lt;="&amp;EDATE($A8,12*'Seasonal Factors'!$E$4)),"")</f>
        <v>0.931262982399033</v>
      </c>
      <c r="BF8" s="24" t="n">
        <f aca="false">IFERROR(BE8/AVERAGE(BE7:BE14),"")</f>
        <v>0.920139962309183</v>
      </c>
      <c r="BG8" s="23"/>
      <c r="BH8" s="24"/>
      <c r="BI8" s="24" t="n">
        <f aca="false">IFERROR(AVERAGEIFS($BH$7:$BH$294,$B$7:$B$294,$B8,$A$7:$A$294,"&gt;="&amp;EDATE($A8,-12*'Seasonal Factors'!$E$4),$A$7:$A$294,"&lt;="&amp;EDATE($A8,12*'Seasonal Factors'!$E$4)),"")</f>
        <v>0.98890195170965</v>
      </c>
      <c r="BJ8" s="24" t="n">
        <f aca="false">IFERROR(BI8/AVERAGE(BI7:BI14),"")</f>
        <v>0.975153545953112</v>
      </c>
    </row>
    <row r="9" customFormat="false" ht="15" hidden="false" customHeight="false" outlineLevel="0" collapsed="false">
      <c r="A9" s="20" t="n">
        <v>38077</v>
      </c>
      <c r="B9" s="22" t="n">
        <f aca="false">MONTH(A9)</f>
        <v>3</v>
      </c>
      <c r="C9" s="23"/>
      <c r="D9" s="24"/>
      <c r="E9" s="24" t="n">
        <f aca="false">IFERROR(AVERAGEIFS($D$7:$D$294,$B$7:$B$294,$B9,$A$7:$A$294,"&gt;="&amp;EDATE($A9,-12*'Seasonal Factors'!$E$4),$A$7:$A$294,"&lt;="&amp;EDATE($A9,12*'Seasonal Factors'!$E$4)),"")</f>
        <v>1.09339655707718</v>
      </c>
      <c r="F9" s="24" t="n">
        <f aca="false">IFERROR(E9/AVERAGE(E7:E15),"")</f>
        <v>0.975021507980332</v>
      </c>
      <c r="G9" s="23"/>
      <c r="H9" s="24"/>
      <c r="I9" s="24" t="n">
        <f aca="false">IFERROR(AVERAGEIFS($H$7:$H$294,$B$7:$B$294,$B9,$A$7:$A$294,"&gt;="&amp;EDATE($A9,-12*'Seasonal Factors'!$E$4),$A$7:$A$294,"&lt;="&amp;EDATE($A9,12*'Seasonal Factors'!$E$4)),"")</f>
        <v>1.54589090485349</v>
      </c>
      <c r="J9" s="24" t="n">
        <f aca="false">IFERROR(I9/AVERAGE(I7:I15),"")</f>
        <v>1.37516220396883</v>
      </c>
      <c r="K9" s="23"/>
      <c r="L9" s="24"/>
      <c r="M9" s="24" t="n">
        <f aca="false">IFERROR(AVERAGEIFS($L$7:$L$294,$B$7:$B$294,$B9,$A$7:$A$294,"&gt;="&amp;EDATE($A9,-12*'Seasonal Factors'!$E$4),$A$7:$A$294,"&lt;="&amp;EDATE($A9,12*'Seasonal Factors'!$E$4)),"")</f>
        <v>1.02322241357701</v>
      </c>
      <c r="N9" s="24" t="n">
        <f aca="false">IFERROR(M9/AVERAGE(M7:M15),"")</f>
        <v>1.02183241970859</v>
      </c>
      <c r="O9" s="23"/>
      <c r="P9" s="24"/>
      <c r="Q9" s="24" t="n">
        <f aca="false">IFERROR(AVERAGEIFS($P$7:$P$294,$B$7:$B$294,$B9,$A$7:$A$294,"&gt;="&amp;EDATE($A9,-12*'Seasonal Factors'!$E$4),$A$7:$A$294,"&lt;="&amp;EDATE($A9,12*'Seasonal Factors'!$E$4)),"")</f>
        <v>1.01959232344139</v>
      </c>
      <c r="R9" s="24" t="n">
        <f aca="false">IFERROR(Q9/AVERAGE(Q7:Q15),"")</f>
        <v>1.02412820192789</v>
      </c>
      <c r="S9" s="23"/>
      <c r="T9" s="24"/>
      <c r="U9" s="24" t="n">
        <f aca="false">IFERROR(AVERAGEIFS($T$7:$T$294,$B$7:$B$294,$B9,$A$7:$A$294,"&gt;="&amp;EDATE($A9,-12*'Seasonal Factors'!$E$4),$A$7:$A$294,"&lt;="&amp;EDATE($A9,12*'Seasonal Factors'!$E$4)),"")</f>
        <v>1.00416198185819</v>
      </c>
      <c r="V9" s="24" t="n">
        <f aca="false">IFERROR(U9/AVERAGE(U7:U15),"")</f>
        <v>0.994543626453078</v>
      </c>
      <c r="W9" s="23"/>
      <c r="X9" s="24"/>
      <c r="Y9" s="24" t="n">
        <f aca="false">IFERROR(AVERAGEIFS($X$7:$X$294,$B$7:$B$294,$B9,$A$7:$A$294,"&gt;="&amp;EDATE($A9,-12*'Seasonal Factors'!$E$4),$A$7:$A$294,"&lt;="&amp;EDATE($A9,12*'Seasonal Factors'!$E$4)),"")</f>
        <v>1.04475165407105</v>
      </c>
      <c r="Z9" s="24" t="n">
        <f aca="false">IFERROR(Y9/AVERAGE(Y7:Y15),"")</f>
        <v>1.03309310847487</v>
      </c>
      <c r="AA9" s="23"/>
      <c r="AB9" s="24"/>
      <c r="AC9" s="24" t="n">
        <f aca="false">IFERROR(AVERAGEIFS($AB$7:$AB$294,$B$7:$B$294,$B9,$A$7:$A$294,"&gt;="&amp;EDATE($A9,-12*'Seasonal Factors'!$E$4),$A$7:$A$294,"&lt;="&amp;EDATE($A9,12*'Seasonal Factors'!$E$4)),"")</f>
        <v>1.08131568301998</v>
      </c>
      <c r="AD9" s="24" t="n">
        <f aca="false">IFERROR(AC9/AVERAGE(AC7:AC15),"")</f>
        <v>1.07226060196638</v>
      </c>
      <c r="AE9" s="23"/>
      <c r="AF9" s="24"/>
      <c r="AG9" s="24" t="n">
        <f aca="false">IFERROR(AVERAGEIFS($AF$7:$AF$294,$B$7:$B$294,$B9,$A$7:$A$294,"&gt;="&amp;EDATE($A9,-12*'Seasonal Factors'!$E$4),$A$7:$A$294,"&lt;="&amp;EDATE($A9,12*'Seasonal Factors'!$E$4)),"")</f>
        <v>1.03602646891759</v>
      </c>
      <c r="AH9" s="24" t="n">
        <f aca="false">IFERROR(AG9/AVERAGE(AG7:AG15),"")</f>
        <v>1.03695908977747</v>
      </c>
      <c r="AI9" s="23"/>
      <c r="AJ9" s="24"/>
      <c r="AK9" s="24" t="n">
        <f aca="false">IFERROR(AVERAGEIFS($AJ$7:$AJ$294,$B$7:$B$294,$B9,$A$7:$A$294,"&gt;="&amp;EDATE($A9,-12*'Seasonal Factors'!$E$4),$A$7:$A$294,"&lt;="&amp;EDATE($A9,12*'Seasonal Factors'!$E$4)),"")</f>
        <v>1.00115864458738</v>
      </c>
      <c r="AL9" s="24" t="n">
        <f aca="false">IFERROR(AK9/AVERAGE(AK7:AK15),"")</f>
        <v>0.995834939955979</v>
      </c>
      <c r="AM9" s="23"/>
      <c r="AN9" s="24"/>
      <c r="AO9" s="24" t="n">
        <f aca="false">IFERROR(AVERAGEIFS($AN$7:$AN$294,$B$7:$B$294,$B9,$A$7:$A$294,"&gt;="&amp;EDATE($A9,-12*'Seasonal Factors'!$E$4),$A$7:$A$294,"&lt;="&amp;EDATE($A9,12*'Seasonal Factors'!$E$4)),"")</f>
        <v>0.995335544334777</v>
      </c>
      <c r="AP9" s="24" t="n">
        <f aca="false">IFERROR(AO9/AVERAGE(AO7:AO15),"")</f>
        <v>0.995884583171753</v>
      </c>
      <c r="AQ9" s="23"/>
      <c r="AR9" s="24"/>
      <c r="AS9" s="24" t="n">
        <f aca="false">IFERROR(AVERAGEIFS($AR$7:$AR$294,$B$7:$B$294,$B9,$A$7:$A$294,"&gt;="&amp;EDATE($A9,-12*'Seasonal Factors'!$E$4),$A$7:$A$294,"&lt;="&amp;EDATE($A9,12*'Seasonal Factors'!$E$4)),"")</f>
        <v>0.993436593027116</v>
      </c>
      <c r="AT9" s="24" t="n">
        <f aca="false">IFERROR(AS9/AVERAGE(AS7:AS15),"")</f>
        <v>0.99899244331471</v>
      </c>
      <c r="AU9" s="23"/>
      <c r="AV9" s="24"/>
      <c r="AW9" s="24" t="n">
        <f aca="false">IFERROR(AVERAGEIFS($AV$7:$AV$294,$B$7:$B$294,$B9,$A$7:$A$294,"&gt;="&amp;EDATE($A9,-12*'Seasonal Factors'!$E$4),$A$7:$A$294,"&lt;="&amp;EDATE($A9,12*'Seasonal Factors'!$E$4)),"")</f>
        <v>0.992961422551626</v>
      </c>
      <c r="AX9" s="24" t="n">
        <f aca="false">IFERROR(AW9/AVERAGE(AW7:AW15),"")</f>
        <v>0.994781336751717</v>
      </c>
      <c r="AY9" s="23"/>
      <c r="AZ9" s="24"/>
      <c r="BA9" s="24" t="n">
        <f aca="false">IFERROR(AVERAGEIFS($AZ$7:$AZ$294,$B$7:$B$294,$B9,$A$7:$A$294,"&gt;="&amp;EDATE($A9,-12*'Seasonal Factors'!$E$4),$A$7:$A$294,"&lt;="&amp;EDATE($A9,12*'Seasonal Factors'!$E$4)),"")</f>
        <v>0.982992063802094</v>
      </c>
      <c r="BB9" s="24" t="n">
        <f aca="false">IFERROR(BA9/AVERAGE(BA7:BA15),"")</f>
        <v>0.986993667503531</v>
      </c>
      <c r="BC9" s="23"/>
      <c r="BD9" s="24"/>
      <c r="BE9" s="24" t="n">
        <f aca="false">IFERROR(AVERAGEIFS($BD$7:$BD$294,$B$7:$B$294,$B9,$A$7:$A$294,"&gt;="&amp;EDATE($A9,-12*'Seasonal Factors'!$E$4),$A$7:$A$294,"&lt;="&amp;EDATE($A9,12*'Seasonal Factors'!$E$4)),"")</f>
        <v>1.00515274186297</v>
      </c>
      <c r="BF9" s="24" t="n">
        <f aca="false">IFERROR(BE9/AVERAGE(BE7:BE15),"")</f>
        <v>0.992468989057102</v>
      </c>
      <c r="BG9" s="23"/>
      <c r="BH9" s="24"/>
      <c r="BI9" s="24" t="n">
        <f aca="false">IFERROR(AVERAGEIFS($BH$7:$BH$294,$B$7:$B$294,$B9,$A$7:$A$294,"&gt;="&amp;EDATE($A9,-12*'Seasonal Factors'!$E$4),$A$7:$A$294,"&lt;="&amp;EDATE($A9,12*'Seasonal Factors'!$E$4)),"")</f>
        <v>0.984077410767802</v>
      </c>
      <c r="BJ9" s="24" t="n">
        <f aca="false">IFERROR(BI9/AVERAGE(BI7:BI15),"")</f>
        <v>0.974324173520601</v>
      </c>
    </row>
    <row r="10" customFormat="false" ht="15" hidden="false" customHeight="false" outlineLevel="0" collapsed="false">
      <c r="A10" s="20" t="n">
        <v>38107</v>
      </c>
      <c r="B10" s="22" t="n">
        <f aca="false">MONTH(A10)</f>
        <v>4</v>
      </c>
      <c r="C10" s="23"/>
      <c r="D10" s="24"/>
      <c r="E10" s="24" t="n">
        <f aca="false">IFERROR(AVERAGEIFS($D$7:$D$294,$B$7:$B$294,$B10,$A$7:$A$294,"&gt;="&amp;EDATE($A10,-12*'Seasonal Factors'!$E$4),$A$7:$A$294,"&lt;="&amp;EDATE($A10,12*'Seasonal Factors'!$E$4)),"")</f>
        <v>1.71476113433435</v>
      </c>
      <c r="F10" s="24" t="n">
        <f aca="false">IFERROR(E10/AVERAGE(E7:E16),"")</f>
        <v>1.61197905400391</v>
      </c>
      <c r="G10" s="23"/>
      <c r="H10" s="24"/>
      <c r="I10" s="24" t="n">
        <f aca="false">IFERROR(AVERAGEIFS($H$7:$H$294,$B$7:$B$294,$B10,$A$7:$A$294,"&gt;="&amp;EDATE($A10,-12*'Seasonal Factors'!$E$4),$A$7:$A$294,"&lt;="&amp;EDATE($A10,12*'Seasonal Factors'!$E$4)),"")</f>
        <v>1.6033054855396</v>
      </c>
      <c r="J10" s="24" t="n">
        <f aca="false">IFERROR(I10/AVERAGE(I7:I16),"")</f>
        <v>1.48095920162494</v>
      </c>
      <c r="K10" s="23"/>
      <c r="L10" s="24"/>
      <c r="M10" s="24" t="n">
        <f aca="false">IFERROR(AVERAGEIFS($L$7:$L$294,$B$7:$B$294,$B10,$A$7:$A$294,"&gt;="&amp;EDATE($A10,-12*'Seasonal Factors'!$E$4),$A$7:$A$294,"&lt;="&amp;EDATE($A10,12*'Seasonal Factors'!$E$4)),"")</f>
        <v>0.998197233468217</v>
      </c>
      <c r="N10" s="24" t="n">
        <f aca="false">IFERROR(M10/AVERAGE(M7:M16),"")</f>
        <v>0.995700312358886</v>
      </c>
      <c r="O10" s="23"/>
      <c r="P10" s="24"/>
      <c r="Q10" s="24" t="n">
        <f aca="false">IFERROR(AVERAGEIFS($P$7:$P$294,$B$7:$B$294,$B10,$A$7:$A$294,"&gt;="&amp;EDATE($A10,-12*'Seasonal Factors'!$E$4),$A$7:$A$294,"&lt;="&amp;EDATE($A10,12*'Seasonal Factors'!$E$4)),"")</f>
        <v>1.01890361425617</v>
      </c>
      <c r="R10" s="24" t="n">
        <f aca="false">IFERROR(Q10/AVERAGE(Q7:Q16),"")</f>
        <v>1.0171125213679</v>
      </c>
      <c r="S10" s="23"/>
      <c r="T10" s="24"/>
      <c r="U10" s="24" t="n">
        <f aca="false">IFERROR(AVERAGEIFS($T$7:$T$294,$B$7:$B$294,$B10,$A$7:$A$294,"&gt;="&amp;EDATE($A10,-12*'Seasonal Factors'!$E$4),$A$7:$A$294,"&lt;="&amp;EDATE($A10,12*'Seasonal Factors'!$E$4)),"")</f>
        <v>0.960387071328728</v>
      </c>
      <c r="V10" s="24" t="n">
        <f aca="false">IFERROR(U10/AVERAGE(U7:U16),"")</f>
        <v>0.956918359692414</v>
      </c>
      <c r="W10" s="23"/>
      <c r="X10" s="24"/>
      <c r="Y10" s="24" t="n">
        <f aca="false">IFERROR(AVERAGEIFS($X$7:$X$294,$B$7:$B$294,$B10,$A$7:$A$294,"&gt;="&amp;EDATE($A10,-12*'Seasonal Factors'!$E$4),$A$7:$A$294,"&lt;="&amp;EDATE($A10,12*'Seasonal Factors'!$E$4)),"")</f>
        <v>0.988506206170557</v>
      </c>
      <c r="Z10" s="24" t="n">
        <f aca="false">IFERROR(Y10/AVERAGE(Y7:Y16),"")</f>
        <v>0.98058683200983</v>
      </c>
      <c r="AA10" s="23"/>
      <c r="AB10" s="24"/>
      <c r="AC10" s="24" t="n">
        <f aca="false">IFERROR(AVERAGEIFS($AB$7:$AB$294,$B$7:$B$294,$B10,$A$7:$A$294,"&gt;="&amp;EDATE($A10,-12*'Seasonal Factors'!$E$4),$A$7:$A$294,"&lt;="&amp;EDATE($A10,12*'Seasonal Factors'!$E$4)),"")</f>
        <v>1.03229327101554</v>
      </c>
      <c r="AD10" s="24" t="n">
        <f aca="false">IFERROR(AC10/AVERAGE(AC7:AC16),"")</f>
        <v>1.0239037663831</v>
      </c>
      <c r="AE10" s="23"/>
      <c r="AF10" s="24"/>
      <c r="AG10" s="24" t="n">
        <f aca="false">IFERROR(AVERAGEIFS($AF$7:$AF$294,$B$7:$B$294,$B10,$A$7:$A$294,"&gt;="&amp;EDATE($A10,-12*'Seasonal Factors'!$E$4),$A$7:$A$294,"&lt;="&amp;EDATE($A10,12*'Seasonal Factors'!$E$4)),"")</f>
        <v>0.966833374112075</v>
      </c>
      <c r="AH10" s="24" t="n">
        <f aca="false">IFERROR(AG10/AVERAGE(AG7:AG16),"")</f>
        <v>0.967310259123747</v>
      </c>
      <c r="AI10" s="23"/>
      <c r="AJ10" s="24"/>
      <c r="AK10" s="24" t="n">
        <f aca="false">IFERROR(AVERAGEIFS($AJ$7:$AJ$294,$B$7:$B$294,$B10,$A$7:$A$294,"&gt;="&amp;EDATE($A10,-12*'Seasonal Factors'!$E$4),$A$7:$A$294,"&lt;="&amp;EDATE($A10,12*'Seasonal Factors'!$E$4)),"")</f>
        <v>1.02506998909153</v>
      </c>
      <c r="AL10" s="24" t="n">
        <f aca="false">IFERROR(AK10/AVERAGE(AK7:AK16),"")</f>
        <v>1.02124365510424</v>
      </c>
      <c r="AM10" s="23"/>
      <c r="AN10" s="24"/>
      <c r="AO10" s="24" t="n">
        <f aca="false">IFERROR(AVERAGEIFS($AN$7:$AN$294,$B$7:$B$294,$B10,$A$7:$A$294,"&gt;="&amp;EDATE($A10,-12*'Seasonal Factors'!$E$4),$A$7:$A$294,"&lt;="&amp;EDATE($A10,12*'Seasonal Factors'!$E$4)),"")</f>
        <v>0.986418462634147</v>
      </c>
      <c r="AP10" s="24" t="n">
        <f aca="false">IFERROR(AO10/AVERAGE(AO7:AO16),"")</f>
        <v>0.98655905963042</v>
      </c>
      <c r="AQ10" s="23"/>
      <c r="AR10" s="24"/>
      <c r="AS10" s="24" t="n">
        <f aca="false">IFERROR(AVERAGEIFS($AR$7:$AR$294,$B$7:$B$294,$B10,$A$7:$A$294,"&gt;="&amp;EDATE($A10,-12*'Seasonal Factors'!$E$4),$A$7:$A$294,"&lt;="&amp;EDATE($A10,12*'Seasonal Factors'!$E$4)),"")</f>
        <v>0.990853380791918</v>
      </c>
      <c r="AT10" s="24" t="n">
        <f aca="false">IFERROR(AS10/AVERAGE(AS7:AS16),"")</f>
        <v>0.994944867819423</v>
      </c>
      <c r="AU10" s="23"/>
      <c r="AV10" s="24"/>
      <c r="AW10" s="24" t="n">
        <f aca="false">IFERROR(AVERAGEIFS($AV$7:$AV$294,$B$7:$B$294,$B10,$A$7:$A$294,"&gt;="&amp;EDATE($A10,-12*'Seasonal Factors'!$E$4),$A$7:$A$294,"&lt;="&amp;EDATE($A10,12*'Seasonal Factors'!$E$4)),"")</f>
        <v>0.988793289366396</v>
      </c>
      <c r="AX10" s="24" t="n">
        <f aca="false">IFERROR(AW10/AVERAGE(AW7:AW16),"")</f>
        <v>0.990321963481136</v>
      </c>
      <c r="AY10" s="23"/>
      <c r="AZ10" s="24"/>
      <c r="BA10" s="24" t="n">
        <f aca="false">IFERROR(AVERAGEIFS($AZ$7:$AZ$294,$B$7:$B$294,$B10,$A$7:$A$294,"&gt;="&amp;EDATE($A10,-12*'Seasonal Factors'!$E$4),$A$7:$A$294,"&lt;="&amp;EDATE($A10,12*'Seasonal Factors'!$E$4)),"")</f>
        <v>0.981573088259579</v>
      </c>
      <c r="BB10" s="24" t="n">
        <f aca="false">IFERROR(BA10/AVERAGE(BA7:BA16),"")</f>
        <v>0.984447834021029</v>
      </c>
      <c r="BC10" s="23"/>
      <c r="BD10" s="24"/>
      <c r="BE10" s="24" t="n">
        <f aca="false">IFERROR(AVERAGEIFS($BD$7:$BD$294,$B$7:$B$294,$B10,$A$7:$A$294,"&gt;="&amp;EDATE($A10,-12*'Seasonal Factors'!$E$4),$A$7:$A$294,"&lt;="&amp;EDATE($A10,12*'Seasonal Factors'!$E$4)),"")</f>
        <v>1.02456499323271</v>
      </c>
      <c r="BF10" s="24" t="n">
        <f aca="false">IFERROR(BE10/AVERAGE(BE7:BE16),"")</f>
        <v>1.01538655505198</v>
      </c>
      <c r="BG10" s="23"/>
      <c r="BH10" s="24"/>
      <c r="BI10" s="24" t="n">
        <f aca="false">IFERROR(AVERAGEIFS($BH$7:$BH$294,$B$7:$B$294,$B10,$A$7:$A$294,"&gt;="&amp;EDATE($A10,-12*'Seasonal Factors'!$E$4),$A$7:$A$294,"&lt;="&amp;EDATE($A10,12*'Seasonal Factors'!$E$4)),"")</f>
        <v>0.994099557274684</v>
      </c>
      <c r="BJ10" s="24" t="n">
        <f aca="false">IFERROR(BI10/AVERAGE(BI7:BI16),"")</f>
        <v>0.987508627393199</v>
      </c>
    </row>
    <row r="11" customFormat="false" ht="15" hidden="false" customHeight="false" outlineLevel="0" collapsed="false">
      <c r="A11" s="20" t="n">
        <v>38138</v>
      </c>
      <c r="B11" s="22" t="n">
        <f aca="false">MONTH(A11)</f>
        <v>5</v>
      </c>
      <c r="C11" s="23"/>
      <c r="D11" s="24"/>
      <c r="E11" s="24" t="n">
        <f aca="false">IFERROR(AVERAGEIFS($D$7:$D$294,$B$7:$B$294,$B11,$A$7:$A$294,"&gt;="&amp;EDATE($A11,-12*'Seasonal Factors'!$E$4),$A$7:$A$294,"&lt;="&amp;EDATE($A11,12*'Seasonal Factors'!$E$4)),"")</f>
        <v>2.49544336220132</v>
      </c>
      <c r="F11" s="24" t="n">
        <f aca="false">IFERROR(E11/AVERAGE(E7:E17),"")</f>
        <v>2.42380258379975</v>
      </c>
      <c r="G11" s="23"/>
      <c r="H11" s="24"/>
      <c r="I11" s="24" t="n">
        <f aca="false">IFERROR(AVERAGEIFS($H$7:$H$294,$B$7:$B$294,$B11,$A$7:$A$294,"&gt;="&amp;EDATE($A11,-12*'Seasonal Factors'!$E$4),$A$7:$A$294,"&lt;="&amp;EDATE($A11,12*'Seasonal Factors'!$E$4)),"")</f>
        <v>1.95084473786443</v>
      </c>
      <c r="J11" s="24" t="n">
        <f aca="false">IFERROR(I11/AVERAGE(I7:I17),"")</f>
        <v>1.88937276775796</v>
      </c>
      <c r="K11" s="23"/>
      <c r="L11" s="24"/>
      <c r="M11" s="24" t="n">
        <f aca="false">IFERROR(AVERAGEIFS($L$7:$L$294,$B$7:$B$294,$B11,$A$7:$A$294,"&gt;="&amp;EDATE($A11,-12*'Seasonal Factors'!$E$4),$A$7:$A$294,"&lt;="&amp;EDATE($A11,12*'Seasonal Factors'!$E$4)),"")</f>
        <v>1.00670488088839</v>
      </c>
      <c r="N11" s="24" t="n">
        <f aca="false">IFERROR(M11/AVERAGE(M7:M17),"")</f>
        <v>1.00765628482375</v>
      </c>
      <c r="O11" s="23"/>
      <c r="P11" s="24"/>
      <c r="Q11" s="24" t="n">
        <f aca="false">IFERROR(AVERAGEIFS($P$7:$P$294,$B$7:$B$294,$B11,$A$7:$A$294,"&gt;="&amp;EDATE($A11,-12*'Seasonal Factors'!$E$4),$A$7:$A$294,"&lt;="&amp;EDATE($A11,12*'Seasonal Factors'!$E$4)),"")</f>
        <v>1.03155282249355</v>
      </c>
      <c r="R11" s="24" t="n">
        <f aca="false">IFERROR(Q11/AVERAGE(Q7:Q17),"")</f>
        <v>1.02732579894307</v>
      </c>
      <c r="S11" s="23"/>
      <c r="T11" s="24"/>
      <c r="U11" s="24" t="n">
        <f aca="false">IFERROR(AVERAGEIFS($T$7:$T$294,$B$7:$B$294,$B11,$A$7:$A$294,"&gt;="&amp;EDATE($A11,-12*'Seasonal Factors'!$E$4),$A$7:$A$294,"&lt;="&amp;EDATE($A11,12*'Seasonal Factors'!$E$4)),"")</f>
        <v>1.01969347724469</v>
      </c>
      <c r="V11" s="24" t="n">
        <f aca="false">IFERROR(U11/AVERAGE(U7:U17),"")</f>
        <v>1.02024488787376</v>
      </c>
      <c r="W11" s="23"/>
      <c r="X11" s="24"/>
      <c r="Y11" s="24" t="n">
        <f aca="false">IFERROR(AVERAGEIFS($X$7:$X$294,$B$7:$B$294,$B11,$A$7:$A$294,"&gt;="&amp;EDATE($A11,-12*'Seasonal Factors'!$E$4),$A$7:$A$294,"&lt;="&amp;EDATE($A11,12*'Seasonal Factors'!$E$4)),"")</f>
        <v>0.999491920678603</v>
      </c>
      <c r="Z11" s="24" t="n">
        <f aca="false">IFERROR(Y11/AVERAGE(Y7:Y17),"")</f>
        <v>0.992936471629824</v>
      </c>
      <c r="AA11" s="23"/>
      <c r="AB11" s="24"/>
      <c r="AC11" s="24" t="n">
        <f aca="false">IFERROR(AVERAGEIFS($AB$7:$AB$294,$B$7:$B$294,$B11,$A$7:$A$294,"&gt;="&amp;EDATE($A11,-12*'Seasonal Factors'!$E$4),$A$7:$A$294,"&lt;="&amp;EDATE($A11,12*'Seasonal Factors'!$E$4)),"")</f>
        <v>1.04478737466096</v>
      </c>
      <c r="AD11" s="24" t="n">
        <f aca="false">IFERROR(AC11/AVERAGE(AC7:AC17),"")</f>
        <v>1.03645426266664</v>
      </c>
      <c r="AE11" s="23"/>
      <c r="AF11" s="24"/>
      <c r="AG11" s="24" t="n">
        <f aca="false">IFERROR(AVERAGEIFS($AF$7:$AF$294,$B$7:$B$294,$B11,$A$7:$A$294,"&gt;="&amp;EDATE($A11,-12*'Seasonal Factors'!$E$4),$A$7:$A$294,"&lt;="&amp;EDATE($A11,12*'Seasonal Factors'!$E$4)),"")</f>
        <v>0.920779667684557</v>
      </c>
      <c r="AH11" s="24" t="n">
        <f aca="false">IFERROR(AG11/AVERAGE(AG7:AG17),"")</f>
        <v>0.919916514058044</v>
      </c>
      <c r="AI11" s="23"/>
      <c r="AJ11" s="24"/>
      <c r="AK11" s="24" t="n">
        <f aca="false">IFERROR(AVERAGEIFS($AJ$7:$AJ$294,$B$7:$B$294,$B11,$A$7:$A$294,"&gt;="&amp;EDATE($A11,-12*'Seasonal Factors'!$E$4),$A$7:$A$294,"&lt;="&amp;EDATE($A11,12*'Seasonal Factors'!$E$4)),"")</f>
        <v>1.08588067904108</v>
      </c>
      <c r="AL11" s="24" t="n">
        <f aca="false">IFERROR(AK11/AVERAGE(AK7:AK17),"")</f>
        <v>1.08363575373678</v>
      </c>
      <c r="AM11" s="23"/>
      <c r="AN11" s="24"/>
      <c r="AO11" s="24" t="n">
        <f aca="false">IFERROR(AVERAGEIFS($AN$7:$AN$294,$B$7:$B$294,$B11,$A$7:$A$294,"&gt;="&amp;EDATE($A11,-12*'Seasonal Factors'!$E$4),$A$7:$A$294,"&lt;="&amp;EDATE($A11,12*'Seasonal Factors'!$E$4)),"")</f>
        <v>1.00441098424324</v>
      </c>
      <c r="AP11" s="24" t="n">
        <f aca="false">IFERROR(AO11/AVERAGE(AO7:AO17),"")</f>
        <v>1.0048770410355</v>
      </c>
      <c r="AQ11" s="23"/>
      <c r="AR11" s="24"/>
      <c r="AS11" s="24" t="n">
        <f aca="false">IFERROR(AVERAGEIFS($AR$7:$AR$294,$B$7:$B$294,$B11,$A$7:$A$294,"&gt;="&amp;EDATE($A11,-12*'Seasonal Factors'!$E$4),$A$7:$A$294,"&lt;="&amp;EDATE($A11,12*'Seasonal Factors'!$E$4)),"")</f>
        <v>1.01257589750915</v>
      </c>
      <c r="AT11" s="24" t="n">
        <f aca="false">IFERROR(AS11/AVERAGE(AS7:AS17),"")</f>
        <v>1.01485493927132</v>
      </c>
      <c r="AU11" s="23"/>
      <c r="AV11" s="24"/>
      <c r="AW11" s="24" t="n">
        <f aca="false">IFERROR(AVERAGEIFS($AV$7:$AV$294,$B$7:$B$294,$B11,$A$7:$A$294,"&gt;="&amp;EDATE($A11,-12*'Seasonal Factors'!$E$4),$A$7:$A$294,"&lt;="&amp;EDATE($A11,12*'Seasonal Factors'!$E$4)),"")</f>
        <v>1.00149499695204</v>
      </c>
      <c r="AX11" s="24" t="n">
        <f aca="false">IFERROR(AW11/AVERAGE(AW7:AW17),"")</f>
        <v>1.00229903213441</v>
      </c>
      <c r="AY11" s="23"/>
      <c r="AZ11" s="24"/>
      <c r="BA11" s="24" t="n">
        <f aca="false">IFERROR(AVERAGEIFS($AZ$7:$AZ$294,$B$7:$B$294,$B11,$A$7:$A$294,"&gt;="&amp;EDATE($A11,-12*'Seasonal Factors'!$E$4),$A$7:$A$294,"&lt;="&amp;EDATE($A11,12*'Seasonal Factors'!$E$4)),"")</f>
        <v>1.00194426277503</v>
      </c>
      <c r="BB11" s="24" t="n">
        <f aca="false">IFERROR(BA11/AVERAGE(BA7:BA17),"")</f>
        <v>1.00340546079281</v>
      </c>
      <c r="BC11" s="23"/>
      <c r="BD11" s="24"/>
      <c r="BE11" s="24" t="n">
        <f aca="false">IFERROR(AVERAGEIFS($BD$7:$BD$294,$B$7:$B$294,$B11,$A$7:$A$294,"&gt;="&amp;EDATE($A11,-12*'Seasonal Factors'!$E$4),$A$7:$A$294,"&lt;="&amp;EDATE($A11,12*'Seasonal Factors'!$E$4)),"")</f>
        <v>1.03896570326096</v>
      </c>
      <c r="BF11" s="24" t="n">
        <f aca="false">IFERROR(BE11/AVERAGE(BE7:BE17),"")</f>
        <v>1.03345432720423</v>
      </c>
      <c r="BG11" s="23"/>
      <c r="BH11" s="24"/>
      <c r="BI11" s="24" t="n">
        <f aca="false">IFERROR(AVERAGEIFS($BH$7:$BH$294,$B$7:$B$294,$B11,$A$7:$A$294,"&gt;="&amp;EDATE($A11,-12*'Seasonal Factors'!$E$4),$A$7:$A$294,"&lt;="&amp;EDATE($A11,12*'Seasonal Factors'!$E$4)),"")</f>
        <v>1.00396235537419</v>
      </c>
      <c r="BJ11" s="24" t="n">
        <f aca="false">IFERROR(BI11/AVERAGE(BI7:BI17),"")</f>
        <v>1.00136932297261</v>
      </c>
    </row>
    <row r="12" customFormat="false" ht="15" hidden="false" customHeight="false" outlineLevel="0" collapsed="false">
      <c r="A12" s="20" t="n">
        <v>38168</v>
      </c>
      <c r="B12" s="22" t="n">
        <f aca="false">MONTH(A12)</f>
        <v>6</v>
      </c>
      <c r="C12" s="23"/>
      <c r="D12" s="24"/>
      <c r="E12" s="24" t="n">
        <f aca="false">IFERROR(AVERAGEIFS($D$7:$D$294,$B$7:$B$294,$B12,$A$7:$A$294,"&gt;="&amp;EDATE($A12,-12*'Seasonal Factors'!$E$4),$A$7:$A$294,"&lt;="&amp;EDATE($A12,12*'Seasonal Factors'!$E$4)),"")</f>
        <v>1.66618291144598</v>
      </c>
      <c r="F12" s="24" t="n">
        <f aca="false">IFERROR(E12/AVERAGE(E7:E18),"")</f>
        <v>1.64914611621362</v>
      </c>
      <c r="G12" s="23"/>
      <c r="H12" s="24"/>
      <c r="I12" s="24" t="n">
        <f aca="false">IFERROR(AVERAGEIFS($H$7:$H$294,$B$7:$B$294,$B12,$A$7:$A$294,"&gt;="&amp;EDATE($A12,-12*'Seasonal Factors'!$E$4),$A$7:$A$294,"&lt;="&amp;EDATE($A12,12*'Seasonal Factors'!$E$4)),"")</f>
        <v>1.35704392114856</v>
      </c>
      <c r="J12" s="24" t="n">
        <f aca="false">IFERROR(I12/AVERAGE(I7:I18),"")</f>
        <v>1.35184202551407</v>
      </c>
      <c r="K12" s="23"/>
      <c r="L12" s="24"/>
      <c r="M12" s="24" t="n">
        <f aca="false">IFERROR(AVERAGEIFS($L$7:$L$294,$B$7:$B$294,$B12,$A$7:$A$294,"&gt;="&amp;EDATE($A12,-12*'Seasonal Factors'!$E$4),$A$7:$A$294,"&lt;="&amp;EDATE($A12,12*'Seasonal Factors'!$E$4)),"")</f>
        <v>0.99536376678648</v>
      </c>
      <c r="N12" s="24" t="n">
        <f aca="false">IFERROR(M12/AVERAGE(M7:M18),"")</f>
        <v>0.995701641377933</v>
      </c>
      <c r="O12" s="23"/>
      <c r="P12" s="24"/>
      <c r="Q12" s="24" t="n">
        <f aca="false">IFERROR(AVERAGEIFS($P$7:$P$294,$B$7:$B$294,$B12,$A$7:$A$294,"&gt;="&amp;EDATE($A12,-12*'Seasonal Factors'!$E$4),$A$7:$A$294,"&lt;="&amp;EDATE($A12,12*'Seasonal Factors'!$E$4)),"")</f>
        <v>0.993938911349085</v>
      </c>
      <c r="R12" s="24" t="n">
        <f aca="false">IFERROR(Q12/AVERAGE(Q7:Q18),"")</f>
        <v>0.991361839399876</v>
      </c>
      <c r="S12" s="23"/>
      <c r="T12" s="24"/>
      <c r="U12" s="24" t="n">
        <f aca="false">IFERROR(AVERAGEIFS($T$7:$T$294,$B$7:$B$294,$B12,$A$7:$A$294,"&gt;="&amp;EDATE($A12,-12*'Seasonal Factors'!$E$4),$A$7:$A$294,"&lt;="&amp;EDATE($A12,12*'Seasonal Factors'!$E$4)),"")</f>
        <v>1.03489853314872</v>
      </c>
      <c r="V12" s="24" t="n">
        <f aca="false">IFERROR(U12/AVERAGE(U7:U18),"")</f>
        <v>1.03446727192377</v>
      </c>
      <c r="W12" s="23"/>
      <c r="X12" s="24"/>
      <c r="Y12" s="24" t="n">
        <f aca="false">IFERROR(AVERAGEIFS($X$7:$X$294,$B$7:$B$294,$B12,$A$7:$A$294,"&gt;="&amp;EDATE($A12,-12*'Seasonal Factors'!$E$4),$A$7:$A$294,"&lt;="&amp;EDATE($A12,12*'Seasonal Factors'!$E$4)),"")</f>
        <v>0.989619855533012</v>
      </c>
      <c r="Z12" s="24" t="n">
        <f aca="false">IFERROR(Y12/AVERAGE(Y7:Y18),"")</f>
        <v>0.986281673235243</v>
      </c>
      <c r="AA12" s="23"/>
      <c r="AB12" s="24"/>
      <c r="AC12" s="24" t="n">
        <f aca="false">IFERROR(AVERAGEIFS($AB$7:$AB$294,$B$7:$B$294,$B12,$A$7:$A$294,"&gt;="&amp;EDATE($A12,-12*'Seasonal Factors'!$E$4),$A$7:$A$294,"&lt;="&amp;EDATE($A12,12*'Seasonal Factors'!$E$4)),"")</f>
        <v>1.01285411983516</v>
      </c>
      <c r="AD12" s="24" t="n">
        <f aca="false">IFERROR(AC12/AVERAGE(AC7:AC18),"")</f>
        <v>1.01055142978082</v>
      </c>
      <c r="AE12" s="23"/>
      <c r="AF12" s="24"/>
      <c r="AG12" s="24" t="n">
        <f aca="false">IFERROR(AVERAGEIFS($AF$7:$AF$294,$B$7:$B$294,$B12,$A$7:$A$294,"&gt;="&amp;EDATE($A12,-12*'Seasonal Factors'!$E$4),$A$7:$A$294,"&lt;="&amp;EDATE($A12,12*'Seasonal Factors'!$E$4)),"")</f>
        <v>0.901235940426734</v>
      </c>
      <c r="AH12" s="24" t="n">
        <f aca="false">IFERROR(AG12/AVERAGE(AG7:AG18),"")</f>
        <v>0.900323687879228</v>
      </c>
      <c r="AI12" s="23"/>
      <c r="AJ12" s="24"/>
      <c r="AK12" s="24" t="n">
        <f aca="false">IFERROR(AVERAGEIFS($AJ$7:$AJ$294,$B$7:$B$294,$B12,$A$7:$A$294,"&gt;="&amp;EDATE($A12,-12*'Seasonal Factors'!$E$4),$A$7:$A$294,"&lt;="&amp;EDATE($A12,12*'Seasonal Factors'!$E$4)),"")</f>
        <v>1.02499448890226</v>
      </c>
      <c r="AL12" s="24" t="n">
        <f aca="false">IFERROR(AK12/AVERAGE(AK7:AK18),"")</f>
        <v>1.02394210575019</v>
      </c>
      <c r="AM12" s="23"/>
      <c r="AN12" s="24"/>
      <c r="AO12" s="24" t="n">
        <f aca="false">IFERROR(AVERAGEIFS($AN$7:$AN$294,$B$7:$B$294,$B12,$A$7:$A$294,"&gt;="&amp;EDATE($A12,-12*'Seasonal Factors'!$E$4),$A$7:$A$294,"&lt;="&amp;EDATE($A12,12*'Seasonal Factors'!$E$4)),"")</f>
        <v>1.00806198261405</v>
      </c>
      <c r="AP12" s="24" t="n">
        <f aca="false">IFERROR(AO12/AVERAGE(AO7:AO18),"")</f>
        <v>1.00705067738137</v>
      </c>
      <c r="AQ12" s="23"/>
      <c r="AR12" s="24"/>
      <c r="AS12" s="24" t="n">
        <f aca="false">IFERROR(AVERAGEIFS($AR$7:$AR$294,$B$7:$B$294,$B12,$A$7:$A$294,"&gt;="&amp;EDATE($A12,-12*'Seasonal Factors'!$E$4),$A$7:$A$294,"&lt;="&amp;EDATE($A12,12*'Seasonal Factors'!$E$4)),"")</f>
        <v>1.01843991889929</v>
      </c>
      <c r="AT12" s="24" t="n">
        <f aca="false">IFERROR(AS12/AVERAGE(AS7:AS18),"")</f>
        <v>1.01743862624179</v>
      </c>
      <c r="AU12" s="23"/>
      <c r="AV12" s="24"/>
      <c r="AW12" s="24" t="n">
        <f aca="false">IFERROR(AVERAGEIFS($AV$7:$AV$294,$B$7:$B$294,$B12,$A$7:$A$294,"&gt;="&amp;EDATE($A12,-12*'Seasonal Factors'!$E$4),$A$7:$A$294,"&lt;="&amp;EDATE($A12,12*'Seasonal Factors'!$E$4)),"")</f>
        <v>1.01204213194525</v>
      </c>
      <c r="AX12" s="24" t="n">
        <f aca="false">IFERROR(AW12/AVERAGE(AW7:AW18),"")</f>
        <v>1.01158581540375</v>
      </c>
      <c r="AY12" s="23"/>
      <c r="AZ12" s="24"/>
      <c r="BA12" s="24" t="n">
        <f aca="false">IFERROR(AVERAGEIFS($AZ$7:$AZ$294,$B$7:$B$294,$B12,$A$7:$A$294,"&gt;="&amp;EDATE($A12,-12*'Seasonal Factors'!$E$4),$A$7:$A$294,"&lt;="&amp;EDATE($A12,12*'Seasonal Factors'!$E$4)),"")</f>
        <v>1.02501408487539</v>
      </c>
      <c r="BB12" s="24" t="n">
        <f aca="false">IFERROR(BA12/AVERAGE(BA7:BA18),"")</f>
        <v>1.02467282710839</v>
      </c>
      <c r="BC12" s="23"/>
      <c r="BD12" s="24"/>
      <c r="BE12" s="24" t="n">
        <f aca="false">IFERROR(AVERAGEIFS($BD$7:$BD$294,$B$7:$B$294,$B12,$A$7:$A$294,"&gt;="&amp;EDATE($A12,-12*'Seasonal Factors'!$E$4),$A$7:$A$294,"&lt;="&amp;EDATE($A12,12*'Seasonal Factors'!$E$4)),"")</f>
        <v>1.06898716304985</v>
      </c>
      <c r="BF12" s="24" t="n">
        <f aca="false">IFERROR(BE12/AVERAGE(BE7:BE18),"")</f>
        <v>1.06923215166163</v>
      </c>
      <c r="BG12" s="23"/>
      <c r="BH12" s="24"/>
      <c r="BI12" s="24" t="n">
        <f aca="false">IFERROR(AVERAGEIFS($BH$7:$BH$294,$B$7:$B$294,$B12,$A$7:$A$294,"&gt;="&amp;EDATE($A12,-12*'Seasonal Factors'!$E$4),$A$7:$A$294,"&lt;="&amp;EDATE($A12,12*'Seasonal Factors'!$E$4)),"")</f>
        <v>1.00440527469752</v>
      </c>
      <c r="BJ12" s="24" t="n">
        <f aca="false">IFERROR(BI12/AVERAGE(BI7:BI18),"")</f>
        <v>1.00347982328565</v>
      </c>
    </row>
    <row r="13" customFormat="false" ht="15" hidden="false" customHeight="false" outlineLevel="0" collapsed="false">
      <c r="A13" s="20" t="n">
        <v>38199</v>
      </c>
      <c r="B13" s="22" t="n">
        <f aca="false">MONTH(A13)</f>
        <v>7</v>
      </c>
      <c r="C13" s="23" t="n">
        <f aca="false">IF(ISNUMBER(Tabelle1!E20),(0.5*Tabelle1!E8+SUM(Tabelle1!E9:E19)+0.5*Tabelle1!E20)/12,"")</f>
        <v>99.987505</v>
      </c>
      <c r="D13" s="24" t="n">
        <f aca="false">IFERROR(Tabelle1!E14/C13,"")</f>
        <v>0.948743145456025</v>
      </c>
      <c r="E13" s="24" t="n">
        <f aca="false">IFERROR(AVERAGEIFS($D$7:$D$294,$B$7:$B$294,$B13,$A$7:$A$294,"&gt;="&amp;EDATE($A13,-12*'Seasonal Factors'!$E$4),$A$7:$A$294,"&lt;="&amp;EDATE($A13,12*'Seasonal Factors'!$E$4)),"")</f>
        <v>0.880624685683343</v>
      </c>
      <c r="F13" s="24" t="n">
        <f aca="false">IFERROR(E13/AVERAGE(E8:E19),"")</f>
        <v>0.87075378128713</v>
      </c>
      <c r="G13" s="23" t="n">
        <f aca="false">IF(ISNUMBER(Tabelle1!F20),(0.5*Tabelle1!F8+SUM(Tabelle1!F9:F19)+0.5*Tabelle1!F20)/12,"")</f>
        <v>99.7204904166667</v>
      </c>
      <c r="H13" s="24" t="n">
        <f aca="false">IFERROR(Tabelle1!F14/G13,"")</f>
        <v>0.776202961663968</v>
      </c>
      <c r="I13" s="24" t="n">
        <f aca="false">IFERROR(AVERAGEIFS($H$7:$H$294,$B$7:$B$294,$B13,$A$7:$A$294,"&gt;="&amp;EDATE($A13,-12*'Seasonal Factors'!$E$4),$A$7:$A$294,"&lt;="&amp;EDATE($A13,12*'Seasonal Factors'!$E$4)),"")</f>
        <v>1.00948834567579</v>
      </c>
      <c r="J13" s="24" t="n">
        <f aca="false">IFERROR(I13/AVERAGE(I8:I19),"")</f>
        <v>1.00590115418959</v>
      </c>
      <c r="K13" s="23" t="n">
        <f aca="false">IF(ISNUMBER(Tabelle1!G20),(0.5*Tabelle1!G8+SUM(Tabelle1!G9:G19)+0.5*Tabelle1!G20)/12,"")</f>
        <v>100.02053375</v>
      </c>
      <c r="L13" s="24" t="n">
        <f aca="false">IFERROR(Tabelle1!G14/K13,"")</f>
        <v>1.00781045871993</v>
      </c>
      <c r="M13" s="24" t="n">
        <f aca="false">IFERROR(AVERAGEIFS($L$7:$L$294,$B$7:$B$294,$B13,$A$7:$A$294,"&gt;="&amp;EDATE($A13,-12*'Seasonal Factors'!$E$4),$A$7:$A$294,"&lt;="&amp;EDATE($A13,12*'Seasonal Factors'!$E$4)),"")</f>
        <v>1.02052512417739</v>
      </c>
      <c r="N13" s="24" t="n">
        <f aca="false">IFERROR(M13/AVERAGE(M8:M19),"")</f>
        <v>1.020676514685</v>
      </c>
      <c r="O13" s="23" t="n">
        <f aca="false">IF(ISNUMBER(Tabelle1!H20),(0.5*Tabelle1!H8+SUM(Tabelle1!H9:H19)+0.5*Tabelle1!H20)/12,"")</f>
        <v>100.24349</v>
      </c>
      <c r="P13" s="24" t="n">
        <f aca="false">IFERROR(Tabelle1!H14/O13,"")</f>
        <v>1.02259538250314</v>
      </c>
      <c r="Q13" s="24" t="n">
        <f aca="false">IFERROR(AVERAGEIFS($P$7:$P$294,$B$7:$B$294,$B13,$A$7:$A$294,"&gt;="&amp;EDATE($A13,-12*'Seasonal Factors'!$E$4),$A$7:$A$294,"&lt;="&amp;EDATE($A13,12*'Seasonal Factors'!$E$4)),"")</f>
        <v>1.0155040327904</v>
      </c>
      <c r="R13" s="24" t="n">
        <f aca="false">IFERROR(Q13/AVERAGE(Q8:Q19),"")</f>
        <v>1.01406260634761</v>
      </c>
      <c r="S13" s="23" t="n">
        <f aca="false">IF(ISNUMBER(Tabelle1!I20),(0.5*Tabelle1!I8+SUM(Tabelle1!I9:I19)+0.5*Tabelle1!I20)/12,"")</f>
        <v>100.381094166667</v>
      </c>
      <c r="T13" s="24" t="n">
        <f aca="false">IFERROR(Tabelle1!I14/S13,"")</f>
        <v>1.05016328896528</v>
      </c>
      <c r="U13" s="24" t="n">
        <f aca="false">IFERROR(AVERAGEIFS($T$7:$T$294,$B$7:$B$294,$B13,$A$7:$A$294,"&gt;="&amp;EDATE($A13,-12*'Seasonal Factors'!$E$4),$A$7:$A$294,"&lt;="&amp;EDATE($A13,12*'Seasonal Factors'!$E$4)),"")</f>
        <v>1.04069922743509</v>
      </c>
      <c r="V13" s="24" t="n">
        <f aca="false">IFERROR(U13/AVERAGE(U8:U19),"")</f>
        <v>1.04049218417647</v>
      </c>
      <c r="W13" s="23" t="n">
        <f aca="false">IF(ISNUMBER(Tabelle1!J20),(0.5*Tabelle1!J8+SUM(Tabelle1!J9:J19)+0.5*Tabelle1!J20)/12,"")</f>
        <v>100.390791666667</v>
      </c>
      <c r="X13" s="24" t="n">
        <f aca="false">IFERROR(Tabelle1!J14/W13,"")</f>
        <v>0.985209881882427</v>
      </c>
      <c r="Y13" s="24" t="n">
        <f aca="false">IFERROR(AVERAGEIFS($X$7:$X$294,$B$7:$B$294,$B13,$A$7:$A$294,"&gt;="&amp;EDATE($A13,-12*'Seasonal Factors'!$E$4),$A$7:$A$294,"&lt;="&amp;EDATE($A13,12*'Seasonal Factors'!$E$4)),"")</f>
        <v>1.0020583290813</v>
      </c>
      <c r="Z13" s="24" t="n">
        <f aca="false">IFERROR(Y13/AVERAGE(Y8:Y19),"")</f>
        <v>0.999650800234695</v>
      </c>
      <c r="AA13" s="23" t="n">
        <f aca="false">IF(ISNUMBER(Tabelle1!K20),(0.5*Tabelle1!K8+SUM(Tabelle1!K9:K19)+0.5*Tabelle1!K20)/12,"")</f>
        <v>100.316085416667</v>
      </c>
      <c r="AB13" s="24" t="n">
        <f aca="false">IFERROR(Tabelle1!K14/AA13,"")</f>
        <v>1.0050952405211</v>
      </c>
      <c r="AC13" s="24" t="n">
        <f aca="false">IFERROR(AVERAGEIFS($AB$7:$AB$294,$B$7:$B$294,$B13,$A$7:$A$294,"&gt;="&amp;EDATE($A13,-12*'Seasonal Factors'!$E$4),$A$7:$A$294,"&lt;="&amp;EDATE($A13,12*'Seasonal Factors'!$E$4)),"")</f>
        <v>1.01022457692077</v>
      </c>
      <c r="AD13" s="24" t="n">
        <f aca="false">IFERROR(AC13/AVERAGE(AC8:AC19),"")</f>
        <v>1.00878734316069</v>
      </c>
      <c r="AE13" s="23" t="n">
        <f aca="false">IF(ISNUMBER(Tabelle1!L20),(0.5*Tabelle1!L8+SUM(Tabelle1!L9:L19)+0.5*Tabelle1!L20)/12,"")</f>
        <v>100.419254583333</v>
      </c>
      <c r="AF13" s="24" t="n">
        <f aca="false">IFERROR(Tabelle1!L14/AE13,"")</f>
        <v>0.986375774357118</v>
      </c>
      <c r="AG13" s="24" t="n">
        <f aca="false">IFERROR(AVERAGEIFS($AF$7:$AF$294,$B$7:$B$294,$B13,$A$7:$A$294,"&gt;="&amp;EDATE($A13,-12*'Seasonal Factors'!$E$4),$A$7:$A$294,"&lt;="&amp;EDATE($A13,12*'Seasonal Factors'!$E$4)),"")</f>
        <v>0.998264553454607</v>
      </c>
      <c r="AH13" s="24" t="n">
        <f aca="false">IFERROR(AG13/AVERAGE(AG8:AG19),"")</f>
        <v>0.997872151931073</v>
      </c>
      <c r="AI13" s="23" t="n">
        <f aca="false">IF(ISNUMBER(Tabelle1!M20),(0.5*Tabelle1!M8+SUM(Tabelle1!M9:M19)+0.5*Tabelle1!M20)/12,"")</f>
        <v>100.489594583333</v>
      </c>
      <c r="AJ13" s="24" t="n">
        <f aca="false">IFERROR(Tabelle1!M14/AI13,"")</f>
        <v>0.993438180479607</v>
      </c>
      <c r="AK13" s="24" t="n">
        <f aca="false">IFERROR(AVERAGEIFS($AJ$7:$AJ$294,$B$7:$B$294,$B13,$A$7:$A$294,"&gt;="&amp;EDATE($A13,-12*'Seasonal Factors'!$E$4),$A$7:$A$294,"&lt;="&amp;EDATE($A13,12*'Seasonal Factors'!$E$4)),"")</f>
        <v>1.00645386724692</v>
      </c>
      <c r="AL13" s="24" t="n">
        <f aca="false">IFERROR(AK13/AVERAGE(AK8:AK19),"")</f>
        <v>1.0058714207795</v>
      </c>
      <c r="AM13" s="23" t="n">
        <f aca="false">IF(ISNUMBER(Tabelle1!N20),(0.5*Tabelle1!N8+SUM(Tabelle1!N9:N19)+0.5*Tabelle1!N20)/12,"")</f>
        <v>100.049777916667</v>
      </c>
      <c r="AN13" s="24" t="n">
        <f aca="false">IFERROR(Tabelle1!N14/AM13,"")</f>
        <v>0.989702446740813</v>
      </c>
      <c r="AO13" s="24" t="n">
        <f aca="false">IFERROR(AVERAGEIFS($AN$7:$AN$294,$B$7:$B$294,$B13,$A$7:$A$294,"&gt;="&amp;EDATE($A13,-12*'Seasonal Factors'!$E$4),$A$7:$A$294,"&lt;="&amp;EDATE($A13,12*'Seasonal Factors'!$E$4)),"")</f>
        <v>0.99485597117396</v>
      </c>
      <c r="AP13" s="24" t="n">
        <f aca="false">IFERROR(AO13/AVERAGE(AO8:AO19),"")</f>
        <v>0.994218667969007</v>
      </c>
      <c r="AQ13" s="23" t="n">
        <f aca="false">IF(ISNUMBER(Tabelle1!O20),(0.5*Tabelle1!O8+SUM(Tabelle1!O9:O19)+0.5*Tabelle1!O20)/12,"")</f>
        <v>100.187036666667</v>
      </c>
      <c r="AR13" s="24" t="n">
        <f aca="false">IFERROR(Tabelle1!O14/AQ13,"")</f>
        <v>1.00671297760379</v>
      </c>
      <c r="AS13" s="24" t="n">
        <f aca="false">IFERROR(AVERAGEIFS($AR$7:$AR$294,$B$7:$B$294,$B13,$A$7:$A$294,"&gt;="&amp;EDATE($A13,-12*'Seasonal Factors'!$E$4),$A$7:$A$294,"&lt;="&amp;EDATE($A13,12*'Seasonal Factors'!$E$4)),"")</f>
        <v>1.00751276787048</v>
      </c>
      <c r="AT13" s="24" t="n">
        <f aca="false">IFERROR(AS13/AVERAGE(AS8:AS19),"")</f>
        <v>1.00656221047357</v>
      </c>
      <c r="AU13" s="23" t="n">
        <f aca="false">IF(ISNUMBER(Tabelle1!P20),(0.5*Tabelle1!P8+SUM(Tabelle1!P9:P19)+0.5*Tabelle1!P20)/12,"")</f>
        <v>100.2138975</v>
      </c>
      <c r="AV13" s="24" t="n">
        <f aca="false">IFERROR(Tabelle1!P14/AU13,"")</f>
        <v>0.999513964617532</v>
      </c>
      <c r="AW13" s="24" t="n">
        <f aca="false">IFERROR(AVERAGEIFS($AV$7:$AV$294,$B$7:$B$294,$B13,$A$7:$A$294,"&gt;="&amp;EDATE($A13,-12*'Seasonal Factors'!$E$4),$A$7:$A$294,"&lt;="&amp;EDATE($A13,12*'Seasonal Factors'!$E$4)),"")</f>
        <v>1.00002071753541</v>
      </c>
      <c r="AX13" s="24" t="n">
        <f aca="false">IFERROR(AW13/AVERAGE(AW8:AW19),"")</f>
        <v>0.999692974476218</v>
      </c>
      <c r="AY13" s="23" t="n">
        <f aca="false">IF(ISNUMBER(Tabelle1!Q20),(0.5*Tabelle1!Q8+SUM(Tabelle1!Q9:Q19)+0.5*Tabelle1!Q20)/12,"")</f>
        <v>100.243577916667</v>
      </c>
      <c r="AZ13" s="24" t="n">
        <f aca="false">IFERROR(Tabelle1!Q14/AY13,"")</f>
        <v>1.00255888794738</v>
      </c>
      <c r="BA13" s="24" t="n">
        <f aca="false">IFERROR(AVERAGEIFS($AZ$7:$AZ$294,$B$7:$B$294,$B13,$A$7:$A$294,"&gt;="&amp;EDATE($A13,-12*'Seasonal Factors'!$E$4),$A$7:$A$294,"&lt;="&amp;EDATE($A13,12*'Seasonal Factors'!$E$4)),"")</f>
        <v>1.00516467777072</v>
      </c>
      <c r="BB13" s="24" t="n">
        <f aca="false">IFERROR(BA13/AVERAGE(BA8:BA19),"")</f>
        <v>1.00471487523346</v>
      </c>
      <c r="BC13" s="23" t="n">
        <f aca="false">IF(ISNUMBER(Tabelle1!R20),(0.5*Tabelle1!R8+SUM(Tabelle1!R9:R19)+0.5*Tabelle1!R20)/12,"")</f>
        <v>100.398955416667</v>
      </c>
      <c r="BD13" s="24" t="n">
        <f aca="false">IFERROR(Tabelle1!R14/BC13,"")</f>
        <v>1.01439272527624</v>
      </c>
      <c r="BE13" s="24" t="n">
        <f aca="false">IFERROR(AVERAGEIFS($BD$7:$BD$294,$B$7:$B$294,$B13,$A$7:$A$294,"&gt;="&amp;EDATE($A13,-12*'Seasonal Factors'!$E$4),$A$7:$A$294,"&lt;="&amp;EDATE($A13,12*'Seasonal Factors'!$E$4)),"")</f>
        <v>1.00978143510428</v>
      </c>
      <c r="BF13" s="24" t="n">
        <f aca="false">IFERROR(BE13/AVERAGE(BE8:BE19),"")</f>
        <v>1.00974301460874</v>
      </c>
      <c r="BG13" s="23" t="n">
        <f aca="false">IF(ISNUMBER(Tabelle1!S20),(0.5*Tabelle1!S8+SUM(Tabelle1!S9:S19)+0.5*Tabelle1!S20)/12,"")</f>
        <v>100.403036666667</v>
      </c>
      <c r="BH13" s="24" t="n">
        <f aca="false">IFERROR(Tabelle1!S14/BG13,"")</f>
        <v>1.08293636935483</v>
      </c>
      <c r="BI13" s="24" t="n">
        <f aca="false">IFERROR(AVERAGEIFS($BH$7:$BH$294,$B$7:$B$294,$B13,$A$7:$A$294,"&gt;="&amp;EDATE($A13,-12*'Seasonal Factors'!$E$4),$A$7:$A$294,"&lt;="&amp;EDATE($A13,12*'Seasonal Factors'!$E$4)),"")</f>
        <v>1.10042313096178</v>
      </c>
      <c r="BJ13" s="24" t="n">
        <f aca="false">IFERROR(BI13/AVERAGE(BI8:BI19),"")</f>
        <v>1.09978156390454</v>
      </c>
    </row>
    <row r="14" customFormat="false" ht="15" hidden="false" customHeight="false" outlineLevel="0" collapsed="false">
      <c r="A14" s="20" t="n">
        <v>38230</v>
      </c>
      <c r="B14" s="22" t="n">
        <f aca="false">MONTH(A14)</f>
        <v>8</v>
      </c>
      <c r="C14" s="23" t="n">
        <f aca="false">IF(ISNUMBER(Tabelle1!E21),(0.5*Tabelle1!E9+SUM(Tabelle1!E10:E20)+0.5*Tabelle1!E21)/12,"")</f>
        <v>100.153474583333</v>
      </c>
      <c r="D14" s="24" t="n">
        <f aca="false">IFERROR(Tabelle1!E15/C14,"")</f>
        <v>0.647617671477108</v>
      </c>
      <c r="E14" s="24" t="n">
        <f aca="false">IFERROR(AVERAGEIFS($D$7:$D$294,$B$7:$B$294,$B14,$A$7:$A$294,"&gt;="&amp;EDATE($A14,-12*'Seasonal Factors'!$E$4),$A$7:$A$294,"&lt;="&amp;EDATE($A14,12*'Seasonal Factors'!$E$4)),"")</f>
        <v>0.581951654256828</v>
      </c>
      <c r="F14" s="24" t="n">
        <f aca="false">IFERROR(E14/AVERAGE(E9:E20),"")</f>
        <v>0.574414895192177</v>
      </c>
      <c r="G14" s="23" t="n">
        <f aca="false">IF(ISNUMBER(Tabelle1!F21),(0.5*Tabelle1!F9+SUM(Tabelle1!F10:F20)+0.5*Tabelle1!F21)/12,"")</f>
        <v>100.545966666667</v>
      </c>
      <c r="H14" s="24" t="n">
        <f aca="false">IFERROR(Tabelle1!F15/G14,"")</f>
        <v>0.987596850395789</v>
      </c>
      <c r="I14" s="24" t="n">
        <f aca="false">IFERROR(AVERAGEIFS($H$7:$H$294,$B$7:$B$294,$B14,$A$7:$A$294,"&gt;="&amp;EDATE($A14,-12*'Seasonal Factors'!$E$4),$A$7:$A$294,"&lt;="&amp;EDATE($A14,12*'Seasonal Factors'!$E$4)),"")</f>
        <v>0.953362163135409</v>
      </c>
      <c r="J14" s="24" t="n">
        <f aca="false">IFERROR(I14/AVERAGE(I9:I20),"")</f>
        <v>0.953913663805546</v>
      </c>
      <c r="K14" s="23" t="n">
        <f aca="false">IF(ISNUMBER(Tabelle1!G21),(0.5*Tabelle1!G9+SUM(Tabelle1!G10:G20)+0.5*Tabelle1!G21)/12,"")</f>
        <v>99.949785</v>
      </c>
      <c r="L14" s="24" t="n">
        <f aca="false">IFERROR(Tabelle1!G15/K14,"")</f>
        <v>1.02324892444741</v>
      </c>
      <c r="M14" s="24" t="n">
        <f aca="false">IFERROR(AVERAGEIFS($L$7:$L$294,$B$7:$B$294,$B14,$A$7:$A$294,"&gt;="&amp;EDATE($A14,-12*'Seasonal Factors'!$E$4),$A$7:$A$294,"&lt;="&amp;EDATE($A14,12*'Seasonal Factors'!$E$4)),"")</f>
        <v>1.02694118796598</v>
      </c>
      <c r="N14" s="24" t="n">
        <f aca="false">IFERROR(M14/AVERAGE(M9:M20),"")</f>
        <v>1.02679118667802</v>
      </c>
      <c r="O14" s="23" t="n">
        <f aca="false">IF(ISNUMBER(Tabelle1!H21),(0.5*Tabelle1!H9+SUM(Tabelle1!H10:H20)+0.5*Tabelle1!H21)/12,"")</f>
        <v>100.707105</v>
      </c>
      <c r="P14" s="24" t="n">
        <f aca="false">IFERROR(Tabelle1!H15/O14,"")</f>
        <v>1.0030170165253</v>
      </c>
      <c r="Q14" s="24" t="n">
        <f aca="false">IFERROR(AVERAGEIFS($P$7:$P$294,$B$7:$B$294,$B14,$A$7:$A$294,"&gt;="&amp;EDATE($A14,-12*'Seasonal Factors'!$E$4),$A$7:$A$294,"&lt;="&amp;EDATE($A14,12*'Seasonal Factors'!$E$4)),"")</f>
        <v>1.0180945732971</v>
      </c>
      <c r="R14" s="24" t="n">
        <f aca="false">IFERROR(Q14/AVERAGE(Q9:Q20),"")</f>
        <v>1.01763843315026</v>
      </c>
      <c r="S14" s="23" t="n">
        <f aca="false">IF(ISNUMBER(Tabelle1!I21),(0.5*Tabelle1!I9+SUM(Tabelle1!I10:I20)+0.5*Tabelle1!I21)/12,"")</f>
        <v>101.024645</v>
      </c>
      <c r="T14" s="24" t="n">
        <f aca="false">IFERROR(Tabelle1!I15/S14,"")</f>
        <v>1.02923212449794</v>
      </c>
      <c r="U14" s="24" t="n">
        <f aca="false">IFERROR(AVERAGEIFS($T$7:$T$294,$B$7:$B$294,$B14,$A$7:$A$294,"&gt;="&amp;EDATE($A14,-12*'Seasonal Factors'!$E$4),$A$7:$A$294,"&lt;="&amp;EDATE($A14,12*'Seasonal Factors'!$E$4)),"")</f>
        <v>1.04011139202406</v>
      </c>
      <c r="V14" s="24" t="n">
        <f aca="false">IFERROR(U14/AVERAGE(U9:U20),"")</f>
        <v>1.04055043066805</v>
      </c>
      <c r="W14" s="23" t="n">
        <f aca="false">IF(ISNUMBER(Tabelle1!J21),(0.5*Tabelle1!J9+SUM(Tabelle1!J10:J20)+0.5*Tabelle1!J21)/12,"")</f>
        <v>101.204970833333</v>
      </c>
      <c r="X14" s="24" t="n">
        <f aca="false">IFERROR(Tabelle1!J15/W14,"")</f>
        <v>1.00817982713547</v>
      </c>
      <c r="Y14" s="24" t="n">
        <f aca="false">IFERROR(AVERAGEIFS($X$7:$X$294,$B$7:$B$294,$B14,$A$7:$A$294,"&gt;="&amp;EDATE($A14,-12*'Seasonal Factors'!$E$4),$A$7:$A$294,"&lt;="&amp;EDATE($A14,12*'Seasonal Factors'!$E$4)),"")</f>
        <v>1.01301152469815</v>
      </c>
      <c r="Z14" s="24" t="n">
        <f aca="false">IFERROR(Y14/AVERAGE(Y9:Y20),"")</f>
        <v>1.01154841979179</v>
      </c>
      <c r="AA14" s="23" t="n">
        <f aca="false">IF(ISNUMBER(Tabelle1!K21),(0.5*Tabelle1!K9+SUM(Tabelle1!K10:K20)+0.5*Tabelle1!K21)/12,"")</f>
        <v>100.976799166667</v>
      </c>
      <c r="AB14" s="24" t="n">
        <f aca="false">IFERROR(Tabelle1!K15/AA14,"")</f>
        <v>0.985893500502867</v>
      </c>
      <c r="AC14" s="24" t="n">
        <f aca="false">IFERROR(AVERAGEIFS($AB$7:$AB$294,$B$7:$B$294,$B14,$A$7:$A$294,"&gt;="&amp;EDATE($A14,-12*'Seasonal Factors'!$E$4),$A$7:$A$294,"&lt;="&amp;EDATE($A14,12*'Seasonal Factors'!$E$4)),"")</f>
        <v>1.00625891605429</v>
      </c>
      <c r="AD14" s="24" t="n">
        <f aca="false">IFERROR(AC14/AVERAGE(AC9:AC20),"")</f>
        <v>1.00563099361334</v>
      </c>
      <c r="AE14" s="23" t="n">
        <f aca="false">IF(ISNUMBER(Tabelle1!L21),(0.5*Tabelle1!L9+SUM(Tabelle1!L10:L20)+0.5*Tabelle1!L21)/12,"")</f>
        <v>101.224272083333</v>
      </c>
      <c r="AF14" s="24" t="n">
        <f aca="false">IFERROR(Tabelle1!L15/AE14,"")</f>
        <v>0.969831622194138</v>
      </c>
      <c r="AG14" s="24" t="n">
        <f aca="false">IFERROR(AVERAGEIFS($AF$7:$AF$294,$B$7:$B$294,$B14,$A$7:$A$294,"&gt;="&amp;EDATE($A14,-12*'Seasonal Factors'!$E$4),$A$7:$A$294,"&lt;="&amp;EDATE($A14,12*'Seasonal Factors'!$E$4)),"")</f>
        <v>0.991363879620571</v>
      </c>
      <c r="AH14" s="24" t="n">
        <f aca="false">IFERROR(AG14/AVERAGE(AG9:AG20),"")</f>
        <v>0.991433466533391</v>
      </c>
      <c r="AI14" s="23" t="n">
        <f aca="false">IF(ISNUMBER(Tabelle1!M21),(0.5*Tabelle1!M9+SUM(Tabelle1!M10:M20)+0.5*Tabelle1!M21)/12,"")</f>
        <v>101.448928333333</v>
      </c>
      <c r="AJ14" s="24" t="n">
        <f aca="false">IFERROR(Tabelle1!M15/AI14,"")</f>
        <v>0.978065531397021</v>
      </c>
      <c r="AK14" s="24" t="n">
        <f aca="false">IFERROR(AVERAGEIFS($AJ$7:$AJ$294,$B$7:$B$294,$B14,$A$7:$A$294,"&gt;="&amp;EDATE($A14,-12*'Seasonal Factors'!$E$4),$A$7:$A$294,"&lt;="&amp;EDATE($A14,12*'Seasonal Factors'!$E$4)),"")</f>
        <v>0.992824570401214</v>
      </c>
      <c r="AL14" s="24" t="n">
        <f aca="false">IFERROR(AK14/AVERAGE(AK9:AK20),"")</f>
        <v>0.992304910603201</v>
      </c>
      <c r="AM14" s="23" t="n">
        <f aca="false">IF(ISNUMBER(Tabelle1!N21),(0.5*Tabelle1!N9+SUM(Tabelle1!N10:N20)+0.5*Tabelle1!N21)/12,"")</f>
        <v>100.333793333333</v>
      </c>
      <c r="AN14" s="24" t="n">
        <f aca="false">IFERROR(Tabelle1!N15/AM14,"")</f>
        <v>1.00843700450809</v>
      </c>
      <c r="AO14" s="24" t="n">
        <f aca="false">IFERROR(AVERAGEIFS($AN$7:$AN$294,$B$7:$B$294,$B14,$A$7:$A$294,"&gt;="&amp;EDATE($A14,-12*'Seasonal Factors'!$E$4),$A$7:$A$294,"&lt;="&amp;EDATE($A14,12*'Seasonal Factors'!$E$4)),"")</f>
        <v>1.00807815054899</v>
      </c>
      <c r="AP14" s="24" t="n">
        <f aca="false">IFERROR(AO14/AVERAGE(AO9:AO20),"")</f>
        <v>1.00764922769943</v>
      </c>
      <c r="AQ14" s="23" t="n">
        <f aca="false">IF(ISNUMBER(Tabelle1!O21),(0.5*Tabelle1!O9+SUM(Tabelle1!O10:O20)+0.5*Tabelle1!O21)/12,"")</f>
        <v>100.56176875</v>
      </c>
      <c r="AR14" s="24" t="n">
        <f aca="false">IFERROR(Tabelle1!O15/AQ14,"")</f>
        <v>1.01007053935694</v>
      </c>
      <c r="AS14" s="24" t="n">
        <f aca="false">IFERROR(AVERAGEIFS($AR$7:$AR$294,$B$7:$B$294,$B14,$A$7:$A$294,"&gt;="&amp;EDATE($A14,-12*'Seasonal Factors'!$E$4),$A$7:$A$294,"&lt;="&amp;EDATE($A14,12*'Seasonal Factors'!$E$4)),"")</f>
        <v>1.00914501373932</v>
      </c>
      <c r="AT14" s="24" t="n">
        <f aca="false">IFERROR(AS14/AVERAGE(AS9:AS20),"")</f>
        <v>1.00831395688922</v>
      </c>
      <c r="AU14" s="23" t="n">
        <f aca="false">IF(ISNUMBER(Tabelle1!P21),(0.5*Tabelle1!P9+SUM(Tabelle1!P10:P20)+0.5*Tabelle1!P21)/12,"")</f>
        <v>100.638946666667</v>
      </c>
      <c r="AV14" s="24" t="n">
        <f aca="false">IFERROR(Tabelle1!P15/AU14,"")</f>
        <v>1.00037046625157</v>
      </c>
      <c r="AW14" s="24" t="n">
        <f aca="false">IFERROR(AVERAGEIFS($AV$7:$AV$294,$B$7:$B$294,$B14,$A$7:$A$294,"&gt;="&amp;EDATE($A14,-12*'Seasonal Factors'!$E$4),$A$7:$A$294,"&lt;="&amp;EDATE($A14,12*'Seasonal Factors'!$E$4)),"")</f>
        <v>1.00133090879465</v>
      </c>
      <c r="AX14" s="24" t="n">
        <f aca="false">IFERROR(AW14/AVERAGE(AW9:AW20),"")</f>
        <v>1.00103315843155</v>
      </c>
      <c r="AY14" s="23" t="n">
        <f aca="false">IF(ISNUMBER(Tabelle1!Q21),(0.5*Tabelle1!Q9+SUM(Tabelle1!Q10:Q20)+0.5*Tabelle1!Q21)/12,"")</f>
        <v>100.735479583333</v>
      </c>
      <c r="AZ14" s="24" t="n">
        <f aca="false">IFERROR(Tabelle1!Q15/AY14,"")</f>
        <v>1.00652868700667</v>
      </c>
      <c r="BA14" s="24" t="n">
        <f aca="false">IFERROR(AVERAGEIFS($AZ$7:$AZ$294,$B$7:$B$294,$B14,$A$7:$A$294,"&gt;="&amp;EDATE($A14,-12*'Seasonal Factors'!$E$4),$A$7:$A$294,"&lt;="&amp;EDATE($A14,12*'Seasonal Factors'!$E$4)),"")</f>
        <v>1.00670301185426</v>
      </c>
      <c r="BB14" s="24" t="n">
        <f aca="false">IFERROR(BA14/AVERAGE(BA9:BA20),"")</f>
        <v>1.00629651440788</v>
      </c>
      <c r="BC14" s="23" t="n">
        <f aca="false">IF(ISNUMBER(Tabelle1!R21),(0.5*Tabelle1!R9+SUM(Tabelle1!R10:R20)+0.5*Tabelle1!R21)/12,"")</f>
        <v>101.19695125</v>
      </c>
      <c r="BD14" s="24" t="n">
        <f aca="false">IFERROR(Tabelle1!R15/BC14,"")</f>
        <v>1.03257221397764</v>
      </c>
      <c r="BE14" s="24" t="n">
        <f aca="false">IFERROR(AVERAGEIFS($BD$7:$BD$294,$B$7:$B$294,$B14,$A$7:$A$294,"&gt;="&amp;EDATE($A14,-12*'Seasonal Factors'!$E$4),$A$7:$A$294,"&lt;="&amp;EDATE($A14,12*'Seasonal Factors'!$E$4)),"")</f>
        <v>1.03969262200666</v>
      </c>
      <c r="BF14" s="24" t="n">
        <f aca="false">IFERROR(BE14/AVERAGE(BE9:BE20),"")</f>
        <v>1.03974867600627</v>
      </c>
      <c r="BG14" s="23" t="n">
        <f aca="false">IF(ISNUMBER(Tabelle1!S21),(0.5*Tabelle1!S9+SUM(Tabelle1!S10:S20)+0.5*Tabelle1!S21)/12,"")</f>
        <v>101.165242083333</v>
      </c>
      <c r="BH14" s="24" t="n">
        <f aca="false">IFERROR(Tabelle1!S15/BG14,"")</f>
        <v>0.992997376680523</v>
      </c>
      <c r="BI14" s="24" t="n">
        <f aca="false">IFERROR(AVERAGEIFS($BH$7:$BH$294,$B$7:$B$294,$B14,$A$7:$A$294,"&gt;="&amp;EDATE($A14,-12*'Seasonal Factors'!$E$4),$A$7:$A$294,"&lt;="&amp;EDATE($A14,12*'Seasonal Factors'!$E$4)),"")</f>
        <v>1.01977512912219</v>
      </c>
      <c r="BJ14" s="24" t="n">
        <f aca="false">IFERROR(BI14/AVERAGE(BI9:BI20),"")</f>
        <v>1.01926099028057</v>
      </c>
    </row>
    <row r="15" customFormat="false" ht="15" hidden="false" customHeight="false" outlineLevel="0" collapsed="false">
      <c r="A15" s="20" t="n">
        <v>38260</v>
      </c>
      <c r="B15" s="22" t="n">
        <f aca="false">MONTH(A15)</f>
        <v>9</v>
      </c>
      <c r="C15" s="23" t="n">
        <f aca="false">IF(ISNUMBER(Tabelle1!E22),(0.5*Tabelle1!E10+SUM(Tabelle1!E11:E21)+0.5*Tabelle1!E22)/12,"")</f>
        <v>101.494315</v>
      </c>
      <c r="D15" s="24" t="n">
        <f aca="false">IFERROR(Tabelle1!E16/C15,"")</f>
        <v>0.598554707226705</v>
      </c>
      <c r="E15" s="24" t="n">
        <f aca="false">IFERROR(AVERAGEIFS($D$7:$D$294,$B$7:$B$294,$B15,$A$7:$A$294,"&gt;="&amp;EDATE($A15,-12*'Seasonal Factors'!$E$4),$A$7:$A$294,"&lt;="&amp;EDATE($A15,12*'Seasonal Factors'!$E$4)),"")</f>
        <v>0.543272489117427</v>
      </c>
      <c r="F15" s="24" t="n">
        <f aca="false">IFERROR(E15/AVERAGE(E10:E21),"")</f>
        <v>0.535770223867348</v>
      </c>
      <c r="G15" s="23" t="n">
        <f aca="false">IF(ISNUMBER(Tabelle1!F22),(0.5*Tabelle1!F10+SUM(Tabelle1!F11:F21)+0.5*Tabelle1!F22)/12,"")</f>
        <v>100.509382916667</v>
      </c>
      <c r="H15" s="24" t="n">
        <f aca="false">IFERROR(Tabelle1!F16/G15,"")</f>
        <v>0.678127534187635</v>
      </c>
      <c r="I15" s="24" t="n">
        <f aca="false">IFERROR(AVERAGEIFS($H$7:$H$294,$B$7:$B$294,$B15,$A$7:$A$294,"&gt;="&amp;EDATE($A15,-12*'Seasonal Factors'!$E$4),$A$7:$A$294,"&lt;="&amp;EDATE($A15,12*'Seasonal Factors'!$E$4)),"")</f>
        <v>0.614248767486932</v>
      </c>
      <c r="J15" s="24" t="n">
        <f aca="false">IFERROR(I15/AVERAGE(I10:I21),"")</f>
        <v>0.618052410602696</v>
      </c>
      <c r="K15" s="23" t="n">
        <f aca="false">IF(ISNUMBER(Tabelle1!G22),(0.5*Tabelle1!G10+SUM(Tabelle1!G11:G21)+0.5*Tabelle1!G22)/12,"")</f>
        <v>99.9143445833333</v>
      </c>
      <c r="L15" s="24" t="n">
        <f aca="false">IFERROR(Tabelle1!G16/K15,"")</f>
        <v>1.00670309573124</v>
      </c>
      <c r="M15" s="24" t="n">
        <f aca="false">IFERROR(AVERAGEIFS($L$7:$L$294,$B$7:$B$294,$B15,$A$7:$A$294,"&gt;="&amp;EDATE($A15,-12*'Seasonal Factors'!$E$4),$A$7:$A$294,"&lt;="&amp;EDATE($A15,12*'Seasonal Factors'!$E$4)),"")</f>
        <v>1.00359291322043</v>
      </c>
      <c r="N15" s="24" t="n">
        <f aca="false">IFERROR(M15/AVERAGE(M10:M21),"")</f>
        <v>1.00303914119343</v>
      </c>
      <c r="O15" s="23" t="n">
        <f aca="false">IF(ISNUMBER(Tabelle1!H22),(0.5*Tabelle1!H10+SUM(Tabelle1!H11:H21)+0.5*Tabelle1!H22)/12,"")</f>
        <v>101.18320125</v>
      </c>
      <c r="P15" s="24" t="n">
        <f aca="false">IFERROR(Tabelle1!H16/O15,"")</f>
        <v>1.0136338713636</v>
      </c>
      <c r="Q15" s="24" t="n">
        <f aca="false">IFERROR(AVERAGEIFS($P$7:$P$294,$B$7:$B$294,$B15,$A$7:$A$294,"&gt;="&amp;EDATE($A15,-12*'Seasonal Factors'!$E$4),$A$7:$A$294,"&lt;="&amp;EDATE($A15,12*'Seasonal Factors'!$E$4)),"")</f>
        <v>1.02979915279698</v>
      </c>
      <c r="R15" s="24" t="n">
        <f aca="false">IFERROR(Q15/AVERAGE(Q10:Q21),"")</f>
        <v>1.03020285125465</v>
      </c>
      <c r="S15" s="23" t="n">
        <f aca="false">IF(ISNUMBER(Tabelle1!I22),(0.5*Tabelle1!I10+SUM(Tabelle1!I11:I21)+0.5*Tabelle1!I22)/12,"")</f>
        <v>101.45955125</v>
      </c>
      <c r="T15" s="24" t="n">
        <f aca="false">IFERROR(Tabelle1!I16/S15,"")</f>
        <v>0.962514803159057</v>
      </c>
      <c r="U15" s="24" t="n">
        <f aca="false">IFERROR(AVERAGEIFS($T$7:$T$294,$B$7:$B$294,$B15,$A$7:$A$294,"&gt;="&amp;EDATE($A15,-12*'Seasonal Factors'!$E$4),$A$7:$A$294,"&lt;="&amp;EDATE($A15,12*'Seasonal Factors'!$E$4)),"")</f>
        <v>0.975557137390311</v>
      </c>
      <c r="V15" s="24" t="n">
        <f aca="false">IFERROR(U15/AVERAGE(U10:U21),"")</f>
        <v>0.975680714669084</v>
      </c>
      <c r="W15" s="23" t="n">
        <f aca="false">IF(ISNUMBER(Tabelle1!J22),(0.5*Tabelle1!J10+SUM(Tabelle1!J11:J21)+0.5*Tabelle1!J22)/12,"")</f>
        <v>102.091130833333</v>
      </c>
      <c r="X15" s="24" t="n">
        <f aca="false">IFERROR(Tabelle1!J16/W15,"")</f>
        <v>1.04627237575004</v>
      </c>
      <c r="Y15" s="24" t="n">
        <f aca="false">IFERROR(AVERAGEIFS($X$7:$X$294,$B$7:$B$294,$B15,$A$7:$A$294,"&gt;="&amp;EDATE($A15,-12*'Seasonal Factors'!$E$4),$A$7:$A$294,"&lt;="&amp;EDATE($A15,12*'Seasonal Factors'!$E$4)),"")</f>
        <v>1.03297222678683</v>
      </c>
      <c r="Z15" s="24" t="n">
        <f aca="false">IFERROR(Y15/AVERAGE(Y10:Y21),"")</f>
        <v>1.03255040723185</v>
      </c>
      <c r="AA15" s="23" t="n">
        <f aca="false">IF(ISNUMBER(Tabelle1!K22),(0.5*Tabelle1!K10+SUM(Tabelle1!K11:K21)+0.5*Tabelle1!K22)/12,"")</f>
        <v>101.704647916667</v>
      </c>
      <c r="AB15" s="24" t="n">
        <f aca="false">IFERROR(Tabelle1!K16/AA15,"")</f>
        <v>0.982849083572897</v>
      </c>
      <c r="AC15" s="24" t="n">
        <f aca="false">IFERROR(AVERAGEIFS($AB$7:$AB$294,$B$7:$B$294,$B15,$A$7:$A$294,"&gt;="&amp;EDATE($A15,-12*'Seasonal Factors'!$E$4),$A$7:$A$294,"&lt;="&amp;EDATE($A15,12*'Seasonal Factors'!$E$4)),"")</f>
        <v>1.00301283298953</v>
      </c>
      <c r="AD15" s="24" t="n">
        <f aca="false">IFERROR(AC15/AVERAGE(AC10:AC21),"")</f>
        <v>1.00303069611402</v>
      </c>
      <c r="AE15" s="23" t="n">
        <f aca="false">IF(ISNUMBER(Tabelle1!L22),(0.5*Tabelle1!L10+SUM(Tabelle1!L11:L21)+0.5*Tabelle1!L22)/12,"")</f>
        <v>102.014440416667</v>
      </c>
      <c r="AF15" s="24" t="n">
        <f aca="false">IFERROR(Tabelle1!L16/AE15,"")</f>
        <v>0.980753799083273</v>
      </c>
      <c r="AG15" s="24" t="n">
        <f aca="false">IFERROR(AVERAGEIFS($AF$7:$AF$294,$B$7:$B$294,$B15,$A$7:$A$294,"&gt;="&amp;EDATE($A15,-12*'Seasonal Factors'!$E$4),$A$7:$A$294,"&lt;="&amp;EDATE($A15,12*'Seasonal Factors'!$E$4)),"")</f>
        <v>0.99542831676296</v>
      </c>
      <c r="AH15" s="24" t="n">
        <f aca="false">IFERROR(AG15/AVERAGE(AG10:AG21),"")</f>
        <v>0.99623043811825</v>
      </c>
      <c r="AI15" s="23" t="n">
        <f aca="false">IF(ISNUMBER(Tabelle1!M22),(0.5*Tabelle1!M10+SUM(Tabelle1!M11:M21)+0.5*Tabelle1!M22)/12,"")</f>
        <v>102.502414166667</v>
      </c>
      <c r="AJ15" s="24" t="n">
        <f aca="false">IFERROR(Tabelle1!M16/AI15,"")</f>
        <v>0.964768984262216</v>
      </c>
      <c r="AK15" s="24" t="n">
        <f aca="false">IFERROR(AVERAGEIFS($AJ$7:$AJ$294,$B$7:$B$294,$B15,$A$7:$A$294,"&gt;="&amp;EDATE($A15,-12*'Seasonal Factors'!$E$4),$A$7:$A$294,"&lt;="&amp;EDATE($A15,12*'Seasonal Factors'!$E$4)),"")</f>
        <v>0.978151910310843</v>
      </c>
      <c r="AL15" s="24" t="n">
        <f aca="false">IFERROR(AK15/AVERAGE(AK10:AK21),"")</f>
        <v>0.977741282726963</v>
      </c>
      <c r="AM15" s="23" t="n">
        <f aca="false">IF(ISNUMBER(Tabelle1!N22),(0.5*Tabelle1!N10+SUM(Tabelle1!N11:N21)+0.5*Tabelle1!N22)/12,"")</f>
        <v>100.8956275</v>
      </c>
      <c r="AN15" s="24" t="n">
        <f aca="false">IFERROR(Tabelle1!N16/AM15,"")</f>
        <v>0.999136756446656</v>
      </c>
      <c r="AO15" s="24" t="n">
        <f aca="false">IFERROR(AVERAGEIFS($AN$7:$AN$294,$B$7:$B$294,$B15,$A$7:$A$294,"&gt;="&amp;EDATE($A15,-12*'Seasonal Factors'!$E$4),$A$7:$A$294,"&lt;="&amp;EDATE($A15,12*'Seasonal Factors'!$E$4)),"")</f>
        <v>0.986071575547142</v>
      </c>
      <c r="AP15" s="24" t="n">
        <f aca="false">IFERROR(AO15/AVERAGE(AO10:AO21),"")</f>
        <v>0.985646669662815</v>
      </c>
      <c r="AQ15" s="23" t="n">
        <f aca="false">IF(ISNUMBER(Tabelle1!O22),(0.5*Tabelle1!O10+SUM(Tabelle1!O11:O21)+0.5*Tabelle1!O22)/12,"")</f>
        <v>100.88824875</v>
      </c>
      <c r="AR15" s="24" t="n">
        <f aca="false">IFERROR(Tabelle1!O16/AQ15,"")</f>
        <v>1.02097460582593</v>
      </c>
      <c r="AS15" s="24" t="n">
        <f aca="false">IFERROR(AVERAGEIFS($AR$7:$AR$294,$B$7:$B$294,$B15,$A$7:$A$294,"&gt;="&amp;EDATE($A15,-12*'Seasonal Factors'!$E$4),$A$7:$A$294,"&lt;="&amp;EDATE($A15,12*'Seasonal Factors'!$E$4)),"")</f>
        <v>1.01296245231174</v>
      </c>
      <c r="AT15" s="24" t="n">
        <f aca="false">IFERROR(AS15/AVERAGE(AS10:AS21),"")</f>
        <v>1.01223918641993</v>
      </c>
      <c r="AU15" s="23" t="n">
        <f aca="false">IF(ISNUMBER(Tabelle1!P22),(0.5*Tabelle1!P10+SUM(Tabelle1!P11:P21)+0.5*Tabelle1!P22)/12,"")</f>
        <v>101.092908333333</v>
      </c>
      <c r="AV15" s="24" t="n">
        <f aca="false">IFERROR(Tabelle1!P16/AU15,"")</f>
        <v>1.00428993164621</v>
      </c>
      <c r="AW15" s="24" t="n">
        <f aca="false">IFERROR(AVERAGEIFS($AV$7:$AV$294,$B$7:$B$294,$B15,$A$7:$A$294,"&gt;="&amp;EDATE($A15,-12*'Seasonal Factors'!$E$4),$A$7:$A$294,"&lt;="&amp;EDATE($A15,12*'Seasonal Factors'!$E$4)),"")</f>
        <v>1.00429147258403</v>
      </c>
      <c r="AX15" s="24" t="n">
        <f aca="false">IFERROR(AW15/AVERAGE(AW10:AW21),"")</f>
        <v>1.00400532456114</v>
      </c>
      <c r="AY15" s="23" t="n">
        <f aca="false">IF(ISNUMBER(Tabelle1!Q22),(0.5*Tabelle1!Q10+SUM(Tabelle1!Q11:Q21)+0.5*Tabelle1!Q22)/12,"")</f>
        <v>101.297361666667</v>
      </c>
      <c r="AZ15" s="24" t="n">
        <f aca="false">IFERROR(Tabelle1!Q16/AY15,"")</f>
        <v>1.0049943880572</v>
      </c>
      <c r="BA15" s="24" t="n">
        <f aca="false">IFERROR(AVERAGEIFS($AZ$7:$AZ$294,$B$7:$B$294,$B15,$A$7:$A$294,"&gt;="&amp;EDATE($A15,-12*'Seasonal Factors'!$E$4),$A$7:$A$294,"&lt;="&amp;EDATE($A15,12*'Seasonal Factors'!$E$4)),"")</f>
        <v>1.00888547835783</v>
      </c>
      <c r="BB15" s="24" t="n">
        <f aca="false">IFERROR(BA15/AVERAGE(BA10:BA21),"")</f>
        <v>1.00858772373717</v>
      </c>
      <c r="BC15" s="23" t="n">
        <f aca="false">IF(ISNUMBER(Tabelle1!R22),(0.5*Tabelle1!R10+SUM(Tabelle1!R11:R21)+0.5*Tabelle1!R22)/12,"")</f>
        <v>102.11446375</v>
      </c>
      <c r="BD15" s="24" t="n">
        <f aca="false">IFERROR(Tabelle1!R16/BC15,"")</f>
        <v>1.02531939311095</v>
      </c>
      <c r="BE15" s="24" t="n">
        <f aca="false">IFERROR(AVERAGEIFS($BD$7:$BD$294,$B$7:$B$294,$B15,$A$7:$A$294,"&gt;="&amp;EDATE($A15,-12*'Seasonal Factors'!$E$4),$A$7:$A$294,"&lt;="&amp;EDATE($A15,12*'Seasonal Factors'!$E$4)),"")</f>
        <v>1.01831279059835</v>
      </c>
      <c r="BF15" s="24" t="n">
        <f aca="false">IFERROR(BE15/AVERAGE(BE10:BE21),"")</f>
        <v>1.01856215529265</v>
      </c>
      <c r="BG15" s="23" t="n">
        <f aca="false">IF(ISNUMBER(Tabelle1!S22),(0.5*Tabelle1!S10+SUM(Tabelle1!S11:S21)+0.5*Tabelle1!S22)/12,"")</f>
        <v>101.880208333333</v>
      </c>
      <c r="BH15" s="24" t="n">
        <f aca="false">IFERROR(Tabelle1!S16/BG15,"")</f>
        <v>0.980804040693216</v>
      </c>
      <c r="BI15" s="24" t="n">
        <f aca="false">IFERROR(AVERAGEIFS($BH$7:$BH$294,$B$7:$B$294,$B15,$A$7:$A$294,"&gt;="&amp;EDATE($A15,-12*'Seasonal Factors'!$E$4),$A$7:$A$294,"&lt;="&amp;EDATE($A15,12*'Seasonal Factors'!$E$4)),"")</f>
        <v>0.977302660874027</v>
      </c>
      <c r="BJ15" s="24" t="n">
        <f aca="false">IFERROR(BI15/AVERAGE(BI10:BI21),"")</f>
        <v>0.977203899317431</v>
      </c>
    </row>
    <row r="16" customFormat="false" ht="15" hidden="false" customHeight="false" outlineLevel="0" collapsed="false">
      <c r="A16" s="20" t="n">
        <v>38291</v>
      </c>
      <c r="B16" s="22" t="n">
        <f aca="false">MONTH(A16)</f>
        <v>10</v>
      </c>
      <c r="C16" s="23" t="n">
        <f aca="false">IF(ISNUMBER(Tabelle1!E23),(0.5*Tabelle1!E11+SUM(Tabelle1!E12:E22)+0.5*Tabelle1!E23)/12,"")</f>
        <v>105.108103333333</v>
      </c>
      <c r="D16" s="24" t="n">
        <f aca="false">IFERROR(Tabelle1!E17/C16,"")</f>
        <v>0.596236236907963</v>
      </c>
      <c r="E16" s="24" t="n">
        <f aca="false">IFERROR(AVERAGEIFS($D$7:$D$294,$B$7:$B$294,$B16,$A$7:$A$294,"&gt;="&amp;EDATE($A16,-12*'Seasonal Factors'!$E$4),$A$7:$A$294,"&lt;="&amp;EDATE($A16,12*'Seasonal Factors'!$E$4)),"")</f>
        <v>0.544945585207257</v>
      </c>
      <c r="F16" s="24" t="n">
        <f aca="false">IFERROR(E16/AVERAGE(E11:E22),"")</f>
        <v>0.540141643429989</v>
      </c>
      <c r="G16" s="23" t="n">
        <f aca="false">IF(ISNUMBER(Tabelle1!F23),(0.5*Tabelle1!F11+SUM(Tabelle1!F12:F22)+0.5*Tabelle1!F23)/12,"")</f>
        <v>98.0599425</v>
      </c>
      <c r="H16" s="24" t="n">
        <f aca="false">IFERROR(Tabelle1!F17/G16,"")</f>
        <v>0.861171420735842</v>
      </c>
      <c r="I16" s="24" t="n">
        <f aca="false">IFERROR(AVERAGEIFS($H$7:$H$294,$B$7:$B$294,$B16,$A$7:$A$294,"&gt;="&amp;EDATE($A16,-12*'Seasonal Factors'!$E$4),$A$7:$A$294,"&lt;="&amp;EDATE($A16,12*'Seasonal Factors'!$E$4)),"")</f>
        <v>0.708763519350366</v>
      </c>
      <c r="J16" s="24" t="n">
        <f aca="false">IFERROR(I16/AVERAGE(I11:I22),"")</f>
        <v>0.715623763871138</v>
      </c>
      <c r="K16" s="23" t="n">
        <f aca="false">IF(ISNUMBER(Tabelle1!G23),(0.5*Tabelle1!G11+SUM(Tabelle1!G12:G22)+0.5*Tabelle1!G23)/12,"")</f>
        <v>100.071340416667</v>
      </c>
      <c r="L16" s="24" t="n">
        <f aca="false">IFERROR(Tabelle1!G17/K16,"")</f>
        <v>1.01320447570535</v>
      </c>
      <c r="M16" s="24" t="n">
        <f aca="false">IFERROR(AVERAGEIFS($L$7:$L$294,$B$7:$B$294,$B16,$A$7:$A$294,"&gt;="&amp;EDATE($A16,-12*'Seasonal Factors'!$E$4),$A$7:$A$294,"&lt;="&amp;EDATE($A16,12*'Seasonal Factors'!$E$4)),"")</f>
        <v>1.01283437654004</v>
      </c>
      <c r="N16" s="24" t="n">
        <f aca="false">IFERROR(M16/AVERAGE(M11:M22),"")</f>
        <v>1.01224817803941</v>
      </c>
      <c r="O16" s="23" t="n">
        <f aca="false">IF(ISNUMBER(Tabelle1!H23),(0.5*Tabelle1!H11+SUM(Tabelle1!H12:H22)+0.5*Tabelle1!H23)/12,"")</f>
        <v>101.818937083333</v>
      </c>
      <c r="P16" s="24" t="n">
        <f aca="false">IFERROR(Tabelle1!H17/O16,"")</f>
        <v>1.0401374541292</v>
      </c>
      <c r="Q16" s="24" t="n">
        <f aca="false">IFERROR(AVERAGEIFS($P$7:$P$294,$B$7:$B$294,$B16,$A$7:$A$294,"&gt;="&amp;EDATE($A16,-12*'Seasonal Factors'!$E$4),$A$7:$A$294,"&lt;="&amp;EDATE($A16,12*'Seasonal Factors'!$E$4)),"")</f>
        <v>1.05747071350051</v>
      </c>
      <c r="R16" s="24" t="n">
        <f aca="false">IFERROR(Q16/AVERAGE(Q11:Q22),"")</f>
        <v>1.05834795765575</v>
      </c>
      <c r="S16" s="23" t="n">
        <f aca="false">IF(ISNUMBER(Tabelle1!I23),(0.5*Tabelle1!I11+SUM(Tabelle1!I12:I22)+0.5*Tabelle1!I23)/12,"")</f>
        <v>101.890388333333</v>
      </c>
      <c r="T16" s="24" t="n">
        <f aca="false">IFERROR(Tabelle1!I17/S16,"")</f>
        <v>0.944029476905354</v>
      </c>
      <c r="U16" s="24" t="n">
        <f aca="false">IFERROR(AVERAGEIFS($T$7:$T$294,$B$7:$B$294,$B16,$A$7:$A$294,"&gt;="&amp;EDATE($A16,-12*'Seasonal Factors'!$E$4),$A$7:$A$294,"&lt;="&amp;EDATE($A16,12*'Seasonal Factors'!$E$4)),"")</f>
        <v>0.949208650895907</v>
      </c>
      <c r="V16" s="24" t="n">
        <f aca="false">IFERROR(U16/AVERAGE(U11:U22),"")</f>
        <v>0.949402673168107</v>
      </c>
      <c r="W16" s="23" t="n">
        <f aca="false">IF(ISNUMBER(Tabelle1!J23),(0.5*Tabelle1!J11+SUM(Tabelle1!J12:J22)+0.5*Tabelle1!J23)/12,"")</f>
        <v>103.09439875</v>
      </c>
      <c r="X16" s="24" t="n">
        <f aca="false">IFERROR(Tabelle1!J17/W16,"")</f>
        <v>0.949053597346869</v>
      </c>
      <c r="Y16" s="24" t="n">
        <f aca="false">IFERROR(AVERAGEIFS($X$7:$X$294,$B$7:$B$294,$B16,$A$7:$A$294,"&gt;="&amp;EDATE($A16,-12*'Seasonal Factors'!$E$4),$A$7:$A$294,"&lt;="&amp;EDATE($A16,12*'Seasonal Factors'!$E$4)),"")</f>
        <v>0.979195796826627</v>
      </c>
      <c r="Z16" s="24" t="n">
        <f aca="false">IFERROR(Y16/AVERAGE(Y11:Y22),"")</f>
        <v>0.979458975968709</v>
      </c>
      <c r="AA16" s="23" t="n">
        <f aca="false">IF(ISNUMBER(Tabelle1!K23),(0.5*Tabelle1!K11+SUM(Tabelle1!K12:K22)+0.5*Tabelle1!K23)/12,"")</f>
        <v>102.633869166667</v>
      </c>
      <c r="AB16" s="24" t="n">
        <f aca="false">IFERROR(Tabelle1!K17/AA16,"")</f>
        <v>0.985668384339306</v>
      </c>
      <c r="AC16" s="24" t="n">
        <f aca="false">IFERROR(AVERAGEIFS($AB$7:$AB$294,$B$7:$B$294,$B16,$A$7:$A$294,"&gt;="&amp;EDATE($A16,-12*'Seasonal Factors'!$E$4),$A$7:$A$294,"&lt;="&amp;EDATE($A16,12*'Seasonal Factors'!$E$4)),"")</f>
        <v>1.00593279710304</v>
      </c>
      <c r="AD16" s="24" t="n">
        <f aca="false">IFERROR(AC16/AVERAGE(AC11:AC22),"")</f>
        <v>1.00669996245689</v>
      </c>
      <c r="AE16" s="23" t="n">
        <f aca="false">IF(ISNUMBER(Tabelle1!L23),(0.5*Tabelle1!L11+SUM(Tabelle1!L12:L22)+0.5*Tabelle1!L23)/12,"")</f>
        <v>102.81265</v>
      </c>
      <c r="AF16" s="24" t="n">
        <f aca="false">IFERROR(Tabelle1!L17/AE16,"")</f>
        <v>1.00123311674196</v>
      </c>
      <c r="AG16" s="24" t="n">
        <f aca="false">IFERROR(AVERAGEIFS($AF$7:$AF$294,$B$7:$B$294,$B16,$A$7:$A$294,"&gt;="&amp;EDATE($A16,-12*'Seasonal Factors'!$E$4),$A$7:$A$294,"&lt;="&amp;EDATE($A16,12*'Seasonal Factors'!$E$4)),"")</f>
        <v>1.0031644142576</v>
      </c>
      <c r="AH16" s="24" t="n">
        <f aca="false">IFERROR(AG16/AVERAGE(AG11:AG22),"")</f>
        <v>1.00357721990224</v>
      </c>
      <c r="AI16" s="23" t="n">
        <f aca="false">IF(ISNUMBER(Tabelle1!M23),(0.5*Tabelle1!M11+SUM(Tabelle1!M12:M22)+0.5*Tabelle1!M23)/12,"")</f>
        <v>103.732723333333</v>
      </c>
      <c r="AJ16" s="24" t="n">
        <f aca="false">IFERROR(Tabelle1!M17/AI16,"")</f>
        <v>0.979175295278889</v>
      </c>
      <c r="AK16" s="24" t="n">
        <f aca="false">IFERROR(AVERAGEIFS($AJ$7:$AJ$294,$B$7:$B$294,$B16,$A$7:$A$294,"&gt;="&amp;EDATE($A16,-12*'Seasonal Factors'!$E$4),$A$7:$A$294,"&lt;="&amp;EDATE($A16,12*'Seasonal Factors'!$E$4)),"")</f>
        <v>0.989353657154747</v>
      </c>
      <c r="AL16" s="24" t="n">
        <f aca="false">IFERROR(AK16/AVERAGE(AK11:AK22),"")</f>
        <v>0.989010197049835</v>
      </c>
      <c r="AM16" s="23" t="n">
        <f aca="false">IF(ISNUMBER(Tabelle1!N23),(0.5*Tabelle1!N11+SUM(Tabelle1!N12:N22)+0.5*Tabelle1!N23)/12,"")</f>
        <v>101.695023333333</v>
      </c>
      <c r="AN16" s="24" t="n">
        <f aca="false">IFERROR(Tabelle1!N17/AM16,"")</f>
        <v>1.00377871653962</v>
      </c>
      <c r="AO16" s="24" t="n">
        <f aca="false">IFERROR(AVERAGEIFS($AN$7:$AN$294,$B$7:$B$294,$B16,$A$7:$A$294,"&gt;="&amp;EDATE($A16,-12*'Seasonal Factors'!$E$4),$A$7:$A$294,"&lt;="&amp;EDATE($A16,12*'Seasonal Factors'!$E$4)),"")</f>
        <v>1.00353664429894</v>
      </c>
      <c r="AP16" s="24" t="n">
        <f aca="false">IFERROR(AO16/AVERAGE(AO11:AO22),"")</f>
        <v>1.00300533594496</v>
      </c>
      <c r="AQ16" s="23" t="n">
        <f aca="false">IF(ISNUMBER(Tabelle1!O23),(0.5*Tabelle1!O11+SUM(Tabelle1!O12:O22)+0.5*Tabelle1!O23)/12,"")</f>
        <v>101.2927725</v>
      </c>
      <c r="AR16" s="24" t="n">
        <f aca="false">IFERROR(Tabelle1!O17/AQ16,"")</f>
        <v>0.994060558466795</v>
      </c>
      <c r="AS16" s="24" t="n">
        <f aca="false">IFERROR(AVERAGEIFS($AR$7:$AR$294,$B$7:$B$294,$B16,$A$7:$A$294,"&gt;="&amp;EDATE($A16,-12*'Seasonal Factors'!$E$4),$A$7:$A$294,"&lt;="&amp;EDATE($A16,12*'Seasonal Factors'!$E$4)),"")</f>
        <v>1.00893033268956</v>
      </c>
      <c r="AT16" s="24" t="n">
        <f aca="false">IFERROR(AS16/AVERAGE(AS11:AS22),"")</f>
        <v>1.00832930812126</v>
      </c>
      <c r="AU16" s="23" t="n">
        <f aca="false">IF(ISNUMBER(Tabelle1!P23),(0.5*Tabelle1!P11+SUM(Tabelle1!P12:P22)+0.5*Tabelle1!P23)/12,"")</f>
        <v>101.546130416667</v>
      </c>
      <c r="AV16" s="24" t="n">
        <f aca="false">IFERROR(Tabelle1!P17/AU16,"")</f>
        <v>1.00141491933512</v>
      </c>
      <c r="AW16" s="24" t="n">
        <f aca="false">IFERROR(AVERAGEIFS($AV$7:$AV$294,$B$7:$B$294,$B16,$A$7:$A$294,"&gt;="&amp;EDATE($A16,-12*'Seasonal Factors'!$E$4),$A$7:$A$294,"&lt;="&amp;EDATE($A16,12*'Seasonal Factors'!$E$4)),"")</f>
        <v>1.00102902129189</v>
      </c>
      <c r="AX16" s="24" t="n">
        <f aca="false">IFERROR(AW16/AVERAGE(AW11:AW22),"")</f>
        <v>1.00102735825209</v>
      </c>
      <c r="AY16" s="23" t="n">
        <f aca="false">IF(ISNUMBER(Tabelle1!Q23),(0.5*Tabelle1!Q11+SUM(Tabelle1!Q12:Q22)+0.5*Tabelle1!Q23)/12,"")</f>
        <v>101.857967916667</v>
      </c>
      <c r="AZ16" s="24" t="n">
        <f aca="false">IFERROR(Tabelle1!Q17/AY16,"")</f>
        <v>1.00347701893703</v>
      </c>
      <c r="BA16" s="24" t="n">
        <f aca="false">IFERROR(AVERAGEIFS($AZ$7:$AZ$294,$B$7:$B$294,$B16,$A$7:$A$294,"&gt;="&amp;EDATE($A16,-12*'Seasonal Factors'!$E$4),$A$7:$A$294,"&lt;="&amp;EDATE($A16,12*'Seasonal Factors'!$E$4)),"")</f>
        <v>1.00728741582582</v>
      </c>
      <c r="BB16" s="24" t="n">
        <f aca="false">IFERROR(BA16/AVERAGE(BA11:BA22),"")</f>
        <v>1.00724921106783</v>
      </c>
      <c r="BC16" s="23" t="n">
        <f aca="false">IF(ISNUMBER(Tabelle1!R23),(0.5*Tabelle1!R11+SUM(Tabelle1!R12:R22)+0.5*Tabelle1!R23)/12,"")</f>
        <v>102.937412083333</v>
      </c>
      <c r="BD16" s="24" t="n">
        <f aca="false">IFERROR(Tabelle1!R17/BC16,"")</f>
        <v>0.973607826072663</v>
      </c>
      <c r="BE16" s="24" t="n">
        <f aca="false">IFERROR(AVERAGEIFS($BD$7:$BD$294,$B$7:$B$294,$B16,$A$7:$A$294,"&gt;="&amp;EDATE($A16,-12*'Seasonal Factors'!$E$4),$A$7:$A$294,"&lt;="&amp;EDATE($A16,12*'Seasonal Factors'!$E$4)),"")</f>
        <v>0.975373544607049</v>
      </c>
      <c r="BF16" s="24" t="n">
        <f aca="false">IFERROR(BE16/AVERAGE(BE11:BE22),"")</f>
        <v>0.975275921124154</v>
      </c>
      <c r="BG16" s="23" t="n">
        <f aca="false">IF(ISNUMBER(Tabelle1!S23),(0.5*Tabelle1!S11+SUM(Tabelle1!S12:S22)+0.5*Tabelle1!S23)/12,"")</f>
        <v>102.56721</v>
      </c>
      <c r="BH16" s="24" t="n">
        <f aca="false">IFERROR(Tabelle1!S17/BG16,"")</f>
        <v>0.986296107693677</v>
      </c>
      <c r="BI16" s="24" t="n">
        <f aca="false">IFERROR(AVERAGEIFS($BH$7:$BH$294,$B$7:$B$294,$B16,$A$7:$A$294,"&gt;="&amp;EDATE($A16,-12*'Seasonal Factors'!$E$4),$A$7:$A$294,"&lt;="&amp;EDATE($A16,12*'Seasonal Factors'!$E$4)),"")</f>
        <v>0.976650680365736</v>
      </c>
      <c r="BJ16" s="24" t="n">
        <f aca="false">IFERROR(BI16/AVERAGE(BI11:BI22),"")</f>
        <v>0.976508494584709</v>
      </c>
    </row>
    <row r="17" customFormat="false" ht="15" hidden="false" customHeight="false" outlineLevel="0" collapsed="false">
      <c r="A17" s="20" t="n">
        <v>38321</v>
      </c>
      <c r="B17" s="22" t="n">
        <f aca="false">MONTH(A17)</f>
        <v>11</v>
      </c>
      <c r="C17" s="23" t="n">
        <f aca="false">IF(ISNUMBER(Tabelle1!E24),(0.5*Tabelle1!E12+SUM(Tabelle1!E13:E23)+0.5*Tabelle1!E24)/12,"")</f>
        <v>111.121029166667</v>
      </c>
      <c r="D17" s="24" t="n">
        <f aca="false">IFERROR(Tabelle1!E18/C17,"")</f>
        <v>0.705674259751389</v>
      </c>
      <c r="E17" s="24" t="n">
        <f aca="false">IFERROR(AVERAGEIFS($D$7:$D$294,$B$7:$B$294,$B17,$A$7:$A$294,"&gt;="&amp;EDATE($A17,-12*'Seasonal Factors'!$E$4),$A$7:$A$294,"&lt;="&amp;EDATE($A17,12*'Seasonal Factors'!$E$4)),"")</f>
        <v>0.687514779102344</v>
      </c>
      <c r="F17" s="24" t="n">
        <f aca="false">IFERROR(E17/AVERAGE(E12:E23),"")</f>
        <v>0.686887364337437</v>
      </c>
      <c r="G17" s="23" t="n">
        <f aca="false">IF(ISNUMBER(Tabelle1!F24),(0.5*Tabelle1!F12+SUM(Tabelle1!F13:F23)+0.5*Tabelle1!F24)/12,"")</f>
        <v>99.2894295833333</v>
      </c>
      <c r="H17" s="24" t="n">
        <f aca="false">IFERROR(Tabelle1!F18/G17,"")</f>
        <v>0.709396864254151</v>
      </c>
      <c r="I17" s="24" t="n">
        <f aca="false">IFERROR(AVERAGEIFS($H$7:$H$294,$B$7:$B$294,$B17,$A$7:$A$294,"&gt;="&amp;EDATE($A17,-12*'Seasonal Factors'!$E$4),$A$7:$A$294,"&lt;="&amp;EDATE($A17,12*'Seasonal Factors'!$E$4)),"")</f>
        <v>0.531763485350994</v>
      </c>
      <c r="J17" s="24" t="n">
        <f aca="false">IFERROR(I17/AVERAGE(I12:I23),"")</f>
        <v>0.540007777633739</v>
      </c>
      <c r="K17" s="23" t="n">
        <f aca="false">IF(ISNUMBER(Tabelle1!G24),(0.5*Tabelle1!G12+SUM(Tabelle1!G13:G23)+0.5*Tabelle1!G24)/12,"")</f>
        <v>100.181035</v>
      </c>
      <c r="L17" s="24" t="n">
        <f aca="false">IFERROR(Tabelle1!G18/K17,"")</f>
        <v>0.96209297498274</v>
      </c>
      <c r="M17" s="24" t="n">
        <f aca="false">IFERROR(AVERAGEIFS($L$7:$L$294,$B$7:$B$294,$B17,$A$7:$A$294,"&gt;="&amp;EDATE($A17,-12*'Seasonal Factors'!$E$4),$A$7:$A$294,"&lt;="&amp;EDATE($A17,12*'Seasonal Factors'!$E$4)),"")</f>
        <v>0.964537039807546</v>
      </c>
      <c r="N17" s="24" t="n">
        <f aca="false">IFERROR(M17/AVERAGE(M12:M23),"")</f>
        <v>0.963763870030919</v>
      </c>
      <c r="O17" s="23" t="n">
        <f aca="false">IF(ISNUMBER(Tabelle1!H24),(0.5*Tabelle1!H12+SUM(Tabelle1!H13:H23)+0.5*Tabelle1!H24)/12,"")</f>
        <v>102.57715375</v>
      </c>
      <c r="P17" s="24" t="n">
        <f aca="false">IFERROR(Tabelle1!H18/O17,"")</f>
        <v>1.01752784303591</v>
      </c>
      <c r="Q17" s="24" t="n">
        <f aca="false">IFERROR(AVERAGEIFS($P$7:$P$294,$B$7:$B$294,$B17,$A$7:$A$294,"&gt;="&amp;EDATE($A17,-12*'Seasonal Factors'!$E$4),$A$7:$A$294,"&lt;="&amp;EDATE($A17,12*'Seasonal Factors'!$E$4)),"")</f>
        <v>1.02765089577954</v>
      </c>
      <c r="R17" s="24" t="n">
        <f aca="false">IFERROR(Q17/AVERAGE(Q12:Q23),"")</f>
        <v>1.02897910879992</v>
      </c>
      <c r="S17" s="23" t="n">
        <f aca="false">IF(ISNUMBER(Tabelle1!I24),(0.5*Tabelle1!I12+SUM(Tabelle1!I13:I23)+0.5*Tabelle1!I24)/12,"")</f>
        <v>102.38073</v>
      </c>
      <c r="T17" s="24" t="n">
        <f aca="false">IFERROR(Tabelle1!I18/S17,"")</f>
        <v>0.928589100702838</v>
      </c>
      <c r="U17" s="24" t="n">
        <f aca="false">IFERROR(AVERAGEIFS($T$7:$T$294,$B$7:$B$294,$B17,$A$7:$A$294,"&gt;="&amp;EDATE($A17,-12*'Seasonal Factors'!$E$4),$A$7:$A$294,"&lt;="&amp;EDATE($A17,12*'Seasonal Factors'!$E$4)),"")</f>
        <v>0.957806069173095</v>
      </c>
      <c r="V17" s="24" t="n">
        <f aca="false">IFERROR(U17/AVERAGE(U12:U23),"")</f>
        <v>0.958163828195679</v>
      </c>
      <c r="W17" s="23" t="n">
        <f aca="false">IF(ISNUMBER(Tabelle1!J24),(0.5*Tabelle1!J12+SUM(Tabelle1!J13:J23)+0.5*Tabelle1!J24)/12,"")</f>
        <v>104.179084166667</v>
      </c>
      <c r="X17" s="24" t="n">
        <f aca="false">IFERROR(Tabelle1!J18/W17,"")</f>
        <v>0.975777151557317</v>
      </c>
      <c r="Y17" s="24" t="n">
        <f aca="false">IFERROR(AVERAGEIFS($X$7:$X$294,$B$7:$B$294,$B17,$A$7:$A$294,"&gt;="&amp;EDATE($A17,-12*'Seasonal Factors'!$E$4),$A$7:$A$294,"&lt;="&amp;EDATE($A17,12*'Seasonal Factors'!$E$4)),"")</f>
        <v>0.991861333825176</v>
      </c>
      <c r="Z17" s="24" t="n">
        <f aca="false">IFERROR(Y17/AVERAGE(Y12:Y23),"")</f>
        <v>0.992977885198223</v>
      </c>
      <c r="AA17" s="23" t="n">
        <f aca="false">IF(ISNUMBER(Tabelle1!K24),(0.5*Tabelle1!K12+SUM(Tabelle1!K13:K23)+0.5*Tabelle1!K24)/12,"")</f>
        <v>103.7847625</v>
      </c>
      <c r="AB17" s="24" t="n">
        <f aca="false">IFERROR(Tabelle1!K18/AA17,"")</f>
        <v>0.986811334660038</v>
      </c>
      <c r="AC17" s="24" t="n">
        <f aca="false">IFERROR(AVERAGEIFS($AB$7:$AB$294,$B$7:$B$294,$B17,$A$7:$A$294,"&gt;="&amp;EDATE($A17,-12*'Seasonal Factors'!$E$4),$A$7:$A$294,"&lt;="&amp;EDATE($A17,12*'Seasonal Factors'!$E$4)),"")</f>
        <v>1.00650375290472</v>
      </c>
      <c r="AD17" s="24" t="n">
        <f aca="false">IFERROR(AC17/AVERAGE(AC12:AC23),"")</f>
        <v>1.00834227260894</v>
      </c>
      <c r="AE17" s="23" t="n">
        <f aca="false">IF(ISNUMBER(Tabelle1!L24),(0.5*Tabelle1!L12+SUM(Tabelle1!L13:L23)+0.5*Tabelle1!L24)/12,"")</f>
        <v>103.56831</v>
      </c>
      <c r="AF17" s="24" t="n">
        <f aca="false">IFERROR(Tabelle1!L18/AE17,"")</f>
        <v>1.02824029860099</v>
      </c>
      <c r="AG17" s="24" t="n">
        <f aca="false">IFERROR(AVERAGEIFS($AF$7:$AF$294,$B$7:$B$294,$B17,$A$7:$A$294,"&gt;="&amp;EDATE($A17,-12*'Seasonal Factors'!$E$4),$A$7:$A$294,"&lt;="&amp;EDATE($A17,12*'Seasonal Factors'!$E$4)),"")</f>
        <v>1.01525126260309</v>
      </c>
      <c r="AH17" s="24" t="n">
        <f aca="false">IFERROR(AG17/AVERAGE(AG12:AG23),"")</f>
        <v>1.01502347798256</v>
      </c>
      <c r="AI17" s="23" t="n">
        <f aca="false">IF(ISNUMBER(Tabelle1!M24),(0.5*Tabelle1!M12+SUM(Tabelle1!M13:M23)+0.5*Tabelle1!M24)/12,"")</f>
        <v>105.163517916667</v>
      </c>
      <c r="AJ17" s="24" t="n">
        <f aca="false">IFERROR(Tabelle1!M18/AI17,"")</f>
        <v>0.994096831972105</v>
      </c>
      <c r="AK17" s="24" t="n">
        <f aca="false">IFERROR(AVERAGEIFS($AJ$7:$AJ$294,$B$7:$B$294,$B17,$A$7:$A$294,"&gt;="&amp;EDATE($A17,-12*'Seasonal Factors'!$E$4),$A$7:$A$294,"&lt;="&amp;EDATE($A17,12*'Seasonal Factors'!$E$4)),"")</f>
        <v>0.98532086921011</v>
      </c>
      <c r="AL17" s="24" t="n">
        <f aca="false">IFERROR(AK17/AVERAGE(AK12:AK23),"")</f>
        <v>0.98555252526664</v>
      </c>
      <c r="AM17" s="23" t="n">
        <f aca="false">IF(ISNUMBER(Tabelle1!N24),(0.5*Tabelle1!N12+SUM(Tabelle1!N13:N23)+0.5*Tabelle1!N24)/12,"")</f>
        <v>102.69942625</v>
      </c>
      <c r="AN17" s="24" t="n">
        <f aca="false">IFERROR(Tabelle1!N18/AM17,"")</f>
        <v>1.00255837602598</v>
      </c>
      <c r="AO17" s="24" t="n">
        <f aca="false">IFERROR(AVERAGEIFS($AN$7:$AN$294,$B$7:$B$294,$B17,$A$7:$A$294,"&gt;="&amp;EDATE($A17,-12*'Seasonal Factors'!$E$4),$A$7:$A$294,"&lt;="&amp;EDATE($A17,12*'Seasonal Factors'!$E$4)),"")</f>
        <v>0.996323381679204</v>
      </c>
      <c r="AP17" s="24" t="n">
        <f aca="false">IFERROR(AO17/AVERAGE(AO12:AO23),"")</f>
        <v>0.995986284092692</v>
      </c>
      <c r="AQ17" s="23" t="n">
        <f aca="false">IF(ISNUMBER(Tabelle1!O24),(0.5*Tabelle1!O12+SUM(Tabelle1!O13:O23)+0.5*Tabelle1!O24)/12,"")</f>
        <v>101.812419583333</v>
      </c>
      <c r="AR17" s="24" t="n">
        <f aca="false">IFERROR(Tabelle1!O18/AQ17,"")</f>
        <v>1.01441730215895</v>
      </c>
      <c r="AS17" s="24" t="n">
        <f aca="false">IFERROR(AVERAGEIFS($AR$7:$AR$294,$B$7:$B$294,$B17,$A$7:$A$294,"&gt;="&amp;EDATE($A17,-12*'Seasonal Factors'!$E$4),$A$7:$A$294,"&lt;="&amp;EDATE($A17,12*'Seasonal Factors'!$E$4)),"")</f>
        <v>1.0164202460484</v>
      </c>
      <c r="AT17" s="24" t="n">
        <f aca="false">IFERROR(AS17/AVERAGE(AS12:AS23),"")</f>
        <v>1.0161694423242</v>
      </c>
      <c r="AU17" s="23" t="n">
        <f aca="false">IF(ISNUMBER(Tabelle1!P24),(0.5*Tabelle1!P12+SUM(Tabelle1!P13:P23)+0.5*Tabelle1!P24)/12,"")</f>
        <v>101.977432083333</v>
      </c>
      <c r="AV17" s="24" t="n">
        <f aca="false">IFERROR(Tabelle1!P18/AU17,"")</f>
        <v>1.00057549906355</v>
      </c>
      <c r="AW17" s="24" t="n">
        <f aca="false">IFERROR(AVERAGEIFS($AV$7:$AV$294,$B$7:$B$294,$B17,$A$7:$A$294,"&gt;="&amp;EDATE($A17,-12*'Seasonal Factors'!$E$4),$A$7:$A$294,"&lt;="&amp;EDATE($A17,12*'Seasonal Factors'!$E$4)),"")</f>
        <v>1.0066120324861</v>
      </c>
      <c r="AX17" s="24" t="n">
        <f aca="false">IFERROR(AW17/AVERAGE(AW12:AW23),"")</f>
        <v>1.00690855816655</v>
      </c>
      <c r="AY17" s="23" t="n">
        <f aca="false">IF(ISNUMBER(Tabelle1!Q24),(0.5*Tabelle1!Q12+SUM(Tabelle1!Q13:Q23)+0.5*Tabelle1!Q24)/12,"")</f>
        <v>102.35673875</v>
      </c>
      <c r="AZ17" s="24" t="n">
        <f aca="false">IFERROR(Tabelle1!Q18/AY17,"")</f>
        <v>1.0014130115102</v>
      </c>
      <c r="BA17" s="24" t="n">
        <f aca="false">IFERROR(AVERAGEIFS($AZ$7:$AZ$294,$B$7:$B$294,$B17,$A$7:$A$294,"&gt;="&amp;EDATE($A17,-12*'Seasonal Factors'!$E$4),$A$7:$A$294,"&lt;="&amp;EDATE($A17,12*'Seasonal Factors'!$E$4)),"")</f>
        <v>1.01318297844721</v>
      </c>
      <c r="BB17" s="24" t="n">
        <f aca="false">IFERROR(BA17/AVERAGE(BA12:BA23),"")</f>
        <v>1.0134989525885</v>
      </c>
      <c r="BC17" s="23" t="n">
        <f aca="false">IF(ISNUMBER(Tabelle1!R24),(0.5*Tabelle1!R12+SUM(Tabelle1!R13:R23)+0.5*Tabelle1!R24)/12,"")</f>
        <v>103.613712083333</v>
      </c>
      <c r="BD17" s="24" t="n">
        <f aca="false">IFERROR(Tabelle1!R18/BC17,"")</f>
        <v>0.96219465547009</v>
      </c>
      <c r="BE17" s="24" t="n">
        <f aca="false">IFERROR(AVERAGEIFS($BD$7:$BD$294,$B$7:$B$294,$B17,$A$7:$A$294,"&gt;="&amp;EDATE($A17,-12*'Seasonal Factors'!$E$4),$A$7:$A$294,"&lt;="&amp;EDATE($A17,12*'Seasonal Factors'!$E$4)),"")</f>
        <v>0.968269081521278</v>
      </c>
      <c r="BF17" s="24" t="n">
        <f aca="false">IFERROR(BE17/AVERAGE(BE12:BE23),"")</f>
        <v>0.967816036590253</v>
      </c>
      <c r="BG17" s="23" t="n">
        <f aca="false">IF(ISNUMBER(Tabelle1!S24),(0.5*Tabelle1!S12+SUM(Tabelle1!S13:S23)+0.5*Tabelle1!S24)/12,"")</f>
        <v>103.29598</v>
      </c>
      <c r="BH17" s="24" t="n">
        <f aca="false">IFERROR(Tabelle1!S18/BG17,"")</f>
        <v>0.968346880488476</v>
      </c>
      <c r="BI17" s="24" t="n">
        <f aca="false">IFERROR(AVERAGEIFS($BH$7:$BH$294,$B$7:$B$294,$B17,$A$7:$A$294,"&gt;="&amp;EDATE($A17,-12*'Seasonal Factors'!$E$4),$A$7:$A$294,"&lt;="&amp;EDATE($A17,12*'Seasonal Factors'!$E$4)),"")</f>
        <v>0.961741341510186</v>
      </c>
      <c r="BJ17" s="24" t="n">
        <f aca="false">IFERROR(BI17/AVERAGE(BI12:BI23),"")</f>
        <v>0.961640810726884</v>
      </c>
    </row>
    <row r="18" customFormat="false" ht="15" hidden="false" customHeight="false" outlineLevel="0" collapsed="false">
      <c r="A18" s="20" t="n">
        <v>38352</v>
      </c>
      <c r="B18" s="22" t="n">
        <f aca="false">MONTH(A18)</f>
        <v>12</v>
      </c>
      <c r="C18" s="23" t="n">
        <f aca="false">IF(ISNUMBER(Tabelle1!E25),(0.5*Tabelle1!E13+SUM(Tabelle1!E14:E24)+0.5*Tabelle1!E25)/12,"")</f>
        <v>116.88639625</v>
      </c>
      <c r="D18" s="24" t="n">
        <f aca="false">IFERROR(Tabelle1!E19/C18,"")</f>
        <v>0.793404048505773</v>
      </c>
      <c r="E18" s="24" t="n">
        <f aca="false">IFERROR(AVERAGEIFS($D$7:$D$294,$B$7:$B$294,$B18,$A$7:$A$294,"&gt;="&amp;EDATE($A18,-12*'Seasonal Factors'!$E$4),$A$7:$A$294,"&lt;="&amp;EDATE($A18,12*'Seasonal Factors'!$E$4)),"")</f>
        <v>0.798839097972882</v>
      </c>
      <c r="F18" s="24" t="n">
        <f aca="false">IFERROR(E18/AVERAGE(E13:E24),"")</f>
        <v>0.80162900399971</v>
      </c>
      <c r="G18" s="23" t="n">
        <f aca="false">IF(ISNUMBER(Tabelle1!F25),(0.5*Tabelle1!F13+SUM(Tabelle1!F14:F24)+0.5*Tabelle1!F25)/12,"")</f>
        <v>99.82666875</v>
      </c>
      <c r="H18" s="24" t="n">
        <f aca="false">IFERROR(Tabelle1!F19/G18,"")</f>
        <v>0.76121061587563</v>
      </c>
      <c r="I18" s="24" t="n">
        <f aca="false">IFERROR(AVERAGEIFS($H$7:$H$294,$B$7:$B$294,$B18,$A$7:$A$294,"&gt;="&amp;EDATE($A18,-12*'Seasonal Factors'!$E$4),$A$7:$A$294,"&lt;="&amp;EDATE($A18,12*'Seasonal Factors'!$E$4)),"")</f>
        <v>0.688283922489833</v>
      </c>
      <c r="J18" s="24" t="n">
        <f aca="false">IFERROR(I18/AVERAGE(I13:I24),"")</f>
        <v>0.701816552320281</v>
      </c>
      <c r="K18" s="23" t="n">
        <f aca="false">IF(ISNUMBER(Tabelle1!G25),(0.5*Tabelle1!G13+SUM(Tabelle1!G14:G24)+0.5*Tabelle1!G25)/12,"")</f>
        <v>100.14028</v>
      </c>
      <c r="L18" s="24" t="n">
        <f aca="false">IFERROR(Tabelle1!G19/K18,"")</f>
        <v>1.0057771957498</v>
      </c>
      <c r="M18" s="24" t="n">
        <f aca="false">IFERROR(AVERAGEIFS($L$7:$L$294,$B$7:$B$294,$B18,$A$7:$A$294,"&gt;="&amp;EDATE($A18,-12*'Seasonal Factors'!$E$4),$A$7:$A$294,"&lt;="&amp;EDATE($A18,12*'Seasonal Factors'!$E$4)),"")</f>
        <v>1.00631392767862</v>
      </c>
      <c r="N18" s="24" t="n">
        <f aca="false">IFERROR(M18/AVERAGE(M13:M24),"")</f>
        <v>1.00565207415596</v>
      </c>
      <c r="O18" s="23" t="n">
        <f aca="false">IF(ISNUMBER(Tabelle1!H25),(0.5*Tabelle1!H13+SUM(Tabelle1!H14:H24)+0.5*Tabelle1!H25)/12,"")</f>
        <v>103.259697916667</v>
      </c>
      <c r="P18" s="24" t="n">
        <f aca="false">IFERROR(Tabelle1!H19/O18,"")</f>
        <v>0.986577939461094</v>
      </c>
      <c r="Q18" s="24" t="n">
        <f aca="false">IFERROR(AVERAGEIFS($P$7:$P$294,$B$7:$B$294,$B18,$A$7:$A$294,"&gt;="&amp;EDATE($A18,-12*'Seasonal Factors'!$E$4),$A$7:$A$294,"&lt;="&amp;EDATE($A18,12*'Seasonal Factors'!$E$4)),"")</f>
        <v>0.985933844708168</v>
      </c>
      <c r="R18" s="24" t="n">
        <f aca="false">IFERROR(Q18/AVERAGE(Q13:Q24),"")</f>
        <v>0.987210929687266</v>
      </c>
      <c r="S18" s="23" t="n">
        <f aca="false">IF(ISNUMBER(Tabelle1!I25),(0.5*Tabelle1!I13+SUM(Tabelle1!I14:I24)+0.5*Tabelle1!I25)/12,"")</f>
        <v>102.794042916667</v>
      </c>
      <c r="T18" s="24" t="n">
        <f aca="false">IFERROR(Tabelle1!I19/S18,"")</f>
        <v>1.00898599818748</v>
      </c>
      <c r="U18" s="24" t="n">
        <f aca="false">IFERROR(AVERAGEIFS($T$7:$T$294,$B$7:$B$294,$B18,$A$7:$A$294,"&gt;="&amp;EDATE($A18,-12*'Seasonal Factors'!$E$4),$A$7:$A$294,"&lt;="&amp;EDATE($A18,12*'Seasonal Factors'!$E$4)),"")</f>
        <v>1.01094786296771</v>
      </c>
      <c r="V18" s="24" t="n">
        <f aca="false">IFERROR(U18/AVERAGE(U13:U24),"")</f>
        <v>1.01058777558178</v>
      </c>
      <c r="W18" s="23" t="n">
        <f aca="false">IF(ISNUMBER(Tabelle1!J25),(0.5*Tabelle1!J13+SUM(Tabelle1!J14:J24)+0.5*Tabelle1!J25)/12,"")</f>
        <v>105.25765125</v>
      </c>
      <c r="X18" s="24" t="n">
        <f aca="false">IFERROR(Tabelle1!J19/W18,"")</f>
        <v>0.967773542258288</v>
      </c>
      <c r="Y18" s="24" t="n">
        <f aca="false">IFERROR(AVERAGEIFS($X$7:$X$294,$B$7:$B$294,$B18,$A$7:$A$294,"&gt;="&amp;EDATE($A18,-12*'Seasonal Factors'!$E$4),$A$7:$A$294,"&lt;="&amp;EDATE($A18,12*'Seasonal Factors'!$E$4)),"")</f>
        <v>0.967992448839382</v>
      </c>
      <c r="Z18" s="24" t="n">
        <f aca="false">IFERROR(Y18/AVERAGE(Y13:Y24),"")</f>
        <v>0.969705432571407</v>
      </c>
      <c r="AA18" s="23" t="n">
        <f aca="false">IF(ISNUMBER(Tabelle1!K25),(0.5*Tabelle1!K13+SUM(Tabelle1!K14:K24)+0.5*Tabelle1!K25)/12,"")</f>
        <v>104.750245833333</v>
      </c>
      <c r="AB18" s="24" t="n">
        <f aca="false">IFERROR(Tabelle1!K19/AA18,"")</f>
        <v>0.946331144250696</v>
      </c>
      <c r="AC18" s="24" t="n">
        <f aca="false">IFERROR(AVERAGEIFS($AB$7:$AB$294,$B$7:$B$294,$B18,$A$7:$A$294,"&gt;="&amp;EDATE($A18,-12*'Seasonal Factors'!$E$4),$A$7:$A$294,"&lt;="&amp;EDATE($A18,12*'Seasonal Factors'!$E$4)),"")</f>
        <v>0.938903555520659</v>
      </c>
      <c r="AD18" s="24" t="n">
        <f aca="false">IFERROR(AC18/AVERAGE(AC13:AC24),"")</f>
        <v>0.940664205958623</v>
      </c>
      <c r="AE18" s="23" t="n">
        <f aca="false">IF(ISNUMBER(Tabelle1!L25),(0.5*Tabelle1!L13+SUM(Tabelle1!L14:L24)+0.5*Tabelle1!L25)/12,"")</f>
        <v>104.331727083333</v>
      </c>
      <c r="AF18" s="24" t="n">
        <f aca="false">IFERROR(Tabelle1!L19/AE18,"")</f>
        <v>1.01204756167472</v>
      </c>
      <c r="AG18" s="24" t="n">
        <f aca="false">IFERROR(AVERAGEIFS($AF$7:$AF$294,$B$7:$B$294,$B18,$A$7:$A$294,"&gt;="&amp;EDATE($A18,-12*'Seasonal Factors'!$E$4),$A$7:$A$294,"&lt;="&amp;EDATE($A18,12*'Seasonal Factors'!$E$4)),"")</f>
        <v>1.0018377425712</v>
      </c>
      <c r="AH18" s="24" t="n">
        <f aca="false">IFERROR(AG18/AVERAGE(AG13:AG24),"")</f>
        <v>1.00100165288789</v>
      </c>
      <c r="AI18" s="23" t="n">
        <f aca="false">IF(ISNUMBER(Tabelle1!M25),(0.5*Tabelle1!M13+SUM(Tabelle1!M14:M24)+0.5*Tabelle1!M25)/12,"")</f>
        <v>106.647890416667</v>
      </c>
      <c r="AJ18" s="24" t="n">
        <f aca="false">IFERROR(Tabelle1!M19/AI18,"")</f>
        <v>0.99004068048119</v>
      </c>
      <c r="AK18" s="24" t="n">
        <f aca="false">IFERROR(AVERAGEIFS($AJ$7:$AJ$294,$B$7:$B$294,$B18,$A$7:$A$294,"&gt;="&amp;EDATE($A18,-12*'Seasonal Factors'!$E$4),$A$7:$A$294,"&lt;="&amp;EDATE($A18,12*'Seasonal Factors'!$E$4)),"")</f>
        <v>0.98954504769965</v>
      </c>
      <c r="AL18" s="24" t="n">
        <f aca="false">IFERROR(AK18/AVERAGE(AK13:AK24),"")</f>
        <v>0.989718037053259</v>
      </c>
      <c r="AM18" s="23" t="n">
        <f aca="false">IF(ISNUMBER(Tabelle1!N25),(0.5*Tabelle1!N13+SUM(Tabelle1!N14:N24)+0.5*Tabelle1!N25)/12,"")</f>
        <v>103.778642916667</v>
      </c>
      <c r="AN18" s="24" t="n">
        <f aca="false">IFERROR(Tabelle1!N19/AM18,"")</f>
        <v>1.01794701714137</v>
      </c>
      <c r="AO18" s="24" t="n">
        <f aca="false">IFERROR(AVERAGEIFS($AN$7:$AN$294,$B$7:$B$294,$B18,$A$7:$A$294,"&gt;="&amp;EDATE($A18,-12*'Seasonal Factors'!$E$4),$A$7:$A$294,"&lt;="&amp;EDATE($A18,12*'Seasonal Factors'!$E$4)),"")</f>
        <v>1.01715244051727</v>
      </c>
      <c r="AP18" s="24" t="n">
        <f aca="false">IFERROR(AO18/AVERAGE(AO13:AO24),"")</f>
        <v>1.01652548976985</v>
      </c>
      <c r="AQ18" s="23" t="n">
        <f aca="false">IF(ISNUMBER(Tabelle1!O25),(0.5*Tabelle1!O13+SUM(Tabelle1!O14:O24)+0.5*Tabelle1!O25)/12,"")</f>
        <v>102.291484166667</v>
      </c>
      <c r="AR18" s="24" t="n">
        <f aca="false">IFERROR(Tabelle1!O19/AQ18,"")</f>
        <v>1.03974764728908</v>
      </c>
      <c r="AS18" s="24" t="n">
        <f aca="false">IFERROR(AVERAGEIFS($AR$7:$AR$294,$B$7:$B$294,$B18,$A$7:$A$294,"&gt;="&amp;EDATE($A18,-12*'Seasonal Factors'!$E$4),$A$7:$A$294,"&lt;="&amp;EDATE($A18,12*'Seasonal Factors'!$E$4)),"")</f>
        <v>1.03651207439581</v>
      </c>
      <c r="AT18" s="24" t="n">
        <f aca="false">IFERROR(AS18/AVERAGE(AS13:AS24),"")</f>
        <v>1.0363123815522</v>
      </c>
      <c r="AU18" s="23" t="n">
        <f aca="false">IF(ISNUMBER(Tabelle1!P25),(0.5*Tabelle1!P13+SUM(Tabelle1!P14:P24)+0.5*Tabelle1!P25)/12,"")</f>
        <v>102.42998125</v>
      </c>
      <c r="AV18" s="24" t="n">
        <f aca="false">IFERROR(Tabelle1!P19/AU18,"")</f>
        <v>1.00541461340939</v>
      </c>
      <c r="AW18" s="24" t="n">
        <f aca="false">IFERROR(AVERAGEIFS($AV$7:$AV$294,$B$7:$B$294,$B18,$A$7:$A$294,"&gt;="&amp;EDATE($A18,-12*'Seasonal Factors'!$E$4),$A$7:$A$294,"&lt;="&amp;EDATE($A18,12*'Seasonal Factors'!$E$4)),"")</f>
        <v>1.01423718362803</v>
      </c>
      <c r="AX18" s="24" t="n">
        <f aca="false">IFERROR(AW18/AVERAGE(AW13:AW24),"")</f>
        <v>1.01484445387447</v>
      </c>
      <c r="AY18" s="23" t="n">
        <f aca="false">IF(ISNUMBER(Tabelle1!Q25),(0.5*Tabelle1!Q13+SUM(Tabelle1!Q14:Q24)+0.5*Tabelle1!Q25)/12,"")</f>
        <v>102.856586666667</v>
      </c>
      <c r="AZ18" s="24" t="n">
        <f aca="false">IFERROR(Tabelle1!Q19/AY18,"")</f>
        <v>1.01538912951159</v>
      </c>
      <c r="BA18" s="24" t="n">
        <f aca="false">IFERROR(AVERAGEIFS($AZ$7:$AZ$294,$B$7:$B$294,$B18,$A$7:$A$294,"&gt;="&amp;EDATE($A18,-12*'Seasonal Factors'!$E$4),$A$7:$A$294,"&lt;="&amp;EDATE($A18,12*'Seasonal Factors'!$E$4)),"")</f>
        <v>1.02001511592142</v>
      </c>
      <c r="BB18" s="24" t="n">
        <f aca="false">IFERROR(BA18/AVERAGE(BA13:BA24),"")</f>
        <v>1.02072642937627</v>
      </c>
      <c r="BC18" s="23" t="n">
        <f aca="false">IF(ISNUMBER(Tabelle1!R25),(0.5*Tabelle1!R13+SUM(Tabelle1!R14:R24)+0.5*Tabelle1!R25)/12,"")</f>
        <v>104.555824583333</v>
      </c>
      <c r="BD18" s="24" t="n">
        <f aca="false">IFERROR(Tabelle1!R19/BC18,"")</f>
        <v>0.930051390130788</v>
      </c>
      <c r="BE18" s="24" t="n">
        <f aca="false">IFERROR(AVERAGEIFS($BD$7:$BD$294,$B$7:$B$294,$B18,$A$7:$A$294,"&gt;="&amp;EDATE($A18,-12*'Seasonal Factors'!$E$4),$A$7:$A$294,"&lt;="&amp;EDATE($A18,12*'Seasonal Factors'!$E$4)),"")</f>
        <v>0.938587872877248</v>
      </c>
      <c r="BF18" s="24" t="n">
        <f aca="false">IFERROR(BE18/AVERAGE(BE13:BE24),"")</f>
        <v>0.938326316563774</v>
      </c>
      <c r="BG18" s="23" t="n">
        <f aca="false">IF(ISNUMBER(Tabelle1!S25),(0.5*Tabelle1!S13+SUM(Tabelle1!S14:S24)+0.5*Tabelle1!S25)/12,"")</f>
        <v>104.143346666667</v>
      </c>
      <c r="BH18" s="24" t="n">
        <f aca="false">IFERROR(Tabelle1!S19/BG18,"")</f>
        <v>0.99669506811829</v>
      </c>
      <c r="BI18" s="24" t="n">
        <f aca="false">IFERROR(AVERAGEIFS($BH$7:$BH$294,$B$7:$B$294,$B18,$A$7:$A$294,"&gt;="&amp;EDATE($A18,-12*'Seasonal Factors'!$E$4),$A$7:$A$294,"&lt;="&amp;EDATE($A18,12*'Seasonal Factors'!$E$4)),"")</f>
        <v>0.982582553925399</v>
      </c>
      <c r="BJ18" s="24" t="n">
        <f aca="false">IFERROR(BI18/AVERAGE(BI13:BI24),"")</f>
        <v>0.982580184203875</v>
      </c>
    </row>
    <row r="19" customFormat="false" ht="15" hidden="false" customHeight="false" outlineLevel="0" collapsed="false">
      <c r="A19" s="20" t="n">
        <v>38383</v>
      </c>
      <c r="B19" s="22" t="n">
        <f aca="false">MONTH(A19)</f>
        <v>1</v>
      </c>
      <c r="C19" s="23" t="n">
        <f aca="false">IF(ISNUMBER(Tabelle1!E26),(0.5*Tabelle1!E14+SUM(Tabelle1!E15:E25)+0.5*Tabelle1!E26)/12,"")</f>
        <v>119.238190416667</v>
      </c>
      <c r="D19" s="24" t="n">
        <f aca="false">IFERROR(Tabelle1!E20/C19,"")</f>
        <v>0.550959971553018</v>
      </c>
      <c r="E19" s="24" t="n">
        <f aca="false">IFERROR(AVERAGEIFS($D$7:$D$294,$B$7:$B$294,$B19,$A$7:$A$294,"&gt;="&amp;EDATE($A19,-12*'Seasonal Factors'!$E$4),$A$7:$A$294,"&lt;="&amp;EDATE($A19,12*'Seasonal Factors'!$E$4)),"")</f>
        <v>0.568012793418901</v>
      </c>
      <c r="F19" s="24" t="n">
        <f aca="false">IFERROR(E19/AVERAGE(E14:E25),"")</f>
        <v>0.569275042177818</v>
      </c>
      <c r="G19" s="23" t="n">
        <f aca="false">IF(ISNUMBER(Tabelle1!F26),(0.5*Tabelle1!F14+SUM(Tabelle1!F15:F25)+0.5*Tabelle1!F26)/12,"")</f>
        <v>97.7075045833333</v>
      </c>
      <c r="H19" s="24" t="n">
        <f aca="false">IFERROR(Tabelle1!F20/G19,"")</f>
        <v>0.366805396912301</v>
      </c>
      <c r="I19" s="24" t="n">
        <f aca="false">IFERROR(AVERAGEIFS($H$7:$H$294,$B$7:$B$294,$B19,$A$7:$A$294,"&gt;="&amp;EDATE($A19,-12*'Seasonal Factors'!$E$4),$A$7:$A$294,"&lt;="&amp;EDATE($A19,12*'Seasonal Factors'!$E$4)),"")</f>
        <v>0.329349259469162</v>
      </c>
      <c r="J19" s="24" t="n">
        <f aca="false">IFERROR(I19/AVERAGE(I14:I25),"")</f>
        <v>0.336511044498807</v>
      </c>
      <c r="K19" s="23" t="n">
        <f aca="false">IF(ISNUMBER(Tabelle1!G26),(0.5*Tabelle1!G14+SUM(Tabelle1!G15:G25)+0.5*Tabelle1!G26)/12,"")</f>
        <v>100.229605833333</v>
      </c>
      <c r="L19" s="24" t="n">
        <f aca="false">IFERROR(Tabelle1!G20/K19,"")</f>
        <v>1.00965487351388</v>
      </c>
      <c r="M19" s="24" t="n">
        <f aca="false">IFERROR(AVERAGEIFS($L$7:$L$294,$B$7:$B$294,$B19,$A$7:$A$294,"&gt;="&amp;EDATE($A19,-12*'Seasonal Factors'!$E$4),$A$7:$A$294,"&lt;="&amp;EDATE($A19,12*'Seasonal Factors'!$E$4)),"")</f>
        <v>1.0071756698882</v>
      </c>
      <c r="N19" s="24" t="n">
        <f aca="false">IFERROR(M19/AVERAGE(M14:M25),"")</f>
        <v>1.00657747824117</v>
      </c>
      <c r="O19" s="23" t="n">
        <f aca="false">IF(ISNUMBER(Tabelle1!H26),(0.5*Tabelle1!H14+SUM(Tabelle1!H15:H25)+0.5*Tabelle1!H26)/12,"")</f>
        <v>103.818964166667</v>
      </c>
      <c r="P19" s="24" t="n">
        <f aca="false">IFERROR(Tabelle1!H20/O19,"")</f>
        <v>0.937192648578166</v>
      </c>
      <c r="Q19" s="24" t="n">
        <f aca="false">IFERROR(AVERAGEIFS($P$7:$P$294,$B$7:$B$294,$B19,$A$7:$A$294,"&gt;="&amp;EDATE($A19,-12*'Seasonal Factors'!$E$4),$A$7:$A$294,"&lt;="&amp;EDATE($A19,12*'Seasonal Factors'!$E$4)),"")</f>
        <v>0.913326131653087</v>
      </c>
      <c r="R19" s="24" t="n">
        <f aca="false">IFERROR(Q19/AVERAGE(Q14:Q25),"")</f>
        <v>0.91435070639192</v>
      </c>
      <c r="S19" s="23" t="n">
        <f aca="false">IF(ISNUMBER(Tabelle1!I26),(0.5*Tabelle1!I14+SUM(Tabelle1!I15:I25)+0.5*Tabelle1!I26)/12,"")</f>
        <v>103.276957916667</v>
      </c>
      <c r="T19" s="24" t="n">
        <f aca="false">IFERROR(Tabelle1!I20/S19,"")</f>
        <v>1.05603633375804</v>
      </c>
      <c r="U19" s="24" t="n">
        <f aca="false">IFERROR(AVERAGEIFS($T$7:$T$294,$B$7:$B$294,$B19,$A$7:$A$294,"&gt;="&amp;EDATE($A19,-12*'Seasonal Factors'!$E$4),$A$7:$A$294,"&lt;="&amp;EDATE($A19,12*'Seasonal Factors'!$E$4)),"")</f>
        <v>1.03592047422268</v>
      </c>
      <c r="V19" s="24" t="n">
        <f aca="false">IFERROR(U19/AVERAGE(U14:U25),"")</f>
        <v>1.03485835910964</v>
      </c>
      <c r="W19" s="23" t="n">
        <f aca="false">IF(ISNUMBER(Tabelle1!J26),(0.5*Tabelle1!J14+SUM(Tabelle1!J15:J25)+0.5*Tabelle1!J26)/12,"")</f>
        <v>106.206180416667</v>
      </c>
      <c r="X19" s="24" t="n">
        <f aca="false">IFERROR(Tabelle1!J20/W19,"")</f>
        <v>0.991628261056198</v>
      </c>
      <c r="Y19" s="24" t="n">
        <f aca="false">IFERROR(AVERAGEIFS($X$7:$X$294,$B$7:$B$294,$B19,$A$7:$A$294,"&gt;="&amp;EDATE($A19,-12*'Seasonal Factors'!$E$4),$A$7:$A$294,"&lt;="&amp;EDATE($A19,12*'Seasonal Factors'!$E$4)),"")</f>
        <v>0.996724177996155</v>
      </c>
      <c r="Z19" s="24" t="n">
        <f aca="false">IFERROR(Y19/AVERAGE(Y14:Y25),"")</f>
        <v>0.997984429893844</v>
      </c>
      <c r="AA19" s="23" t="n">
        <f aca="false">IF(ISNUMBER(Tabelle1!K26),(0.5*Tabelle1!K14+SUM(Tabelle1!K15:K25)+0.5*Tabelle1!K26)/12,"")</f>
        <v>105.487047083333</v>
      </c>
      <c r="AB19" s="24" t="n">
        <f aca="false">IFERROR(Tabelle1!K20/AA19,"")</f>
        <v>0.94467873312708</v>
      </c>
      <c r="AC19" s="24" t="n">
        <f aca="false">IFERROR(AVERAGEIFS($AB$7:$AB$294,$B$7:$B$294,$B19,$A$7:$A$294,"&gt;="&amp;EDATE($A19,-12*'Seasonal Factors'!$E$4),$A$7:$A$294,"&lt;="&amp;EDATE($A19,12*'Seasonal Factors'!$E$4)),"")</f>
        <v>0.939955407908346</v>
      </c>
      <c r="AD19" s="24" t="n">
        <f aca="false">IFERROR(AC19/AVERAGE(AC14:AC25),"")</f>
        <v>0.941518625407377</v>
      </c>
      <c r="AE19" s="23" t="n">
        <f aca="false">IF(ISNUMBER(Tabelle1!L26),(0.5*Tabelle1!L14+SUM(Tabelle1!L15:L25)+0.5*Tabelle1!L26)/12,"")</f>
        <v>105.335331666667</v>
      </c>
      <c r="AF19" s="24" t="n">
        <f aca="false">IFERROR(Tabelle1!L20/AE19,"")</f>
        <v>1.12472983305269</v>
      </c>
      <c r="AG19" s="24" t="n">
        <f aca="false">IFERROR(AVERAGEIFS($AF$7:$AF$294,$B$7:$B$294,$B19,$A$7:$A$294,"&gt;="&amp;EDATE($A19,-12*'Seasonal Factors'!$E$4),$A$7:$A$294,"&lt;="&amp;EDATE($A19,12*'Seasonal Factors'!$E$4)),"")</f>
        <v>1.10783358689238</v>
      </c>
      <c r="AH19" s="24" t="n">
        <f aca="false">IFERROR(AG19/AVERAGE(AG14:AG25),"")</f>
        <v>1.10777347492484</v>
      </c>
      <c r="AI19" s="23" t="n">
        <f aca="false">IF(ISNUMBER(Tabelle1!M26),(0.5*Tabelle1!M14+SUM(Tabelle1!M15:M25)+0.5*Tabelle1!M26)/12,"")</f>
        <v>108.040075833333</v>
      </c>
      <c r="AJ19" s="24" t="n">
        <f aca="false">IFERROR(Tabelle1!M20/AI19,"")</f>
        <v>0.9927518022614</v>
      </c>
      <c r="AK19" s="24" t="n">
        <f aca="false">IFERROR(AVERAGEIFS($AJ$7:$AJ$294,$B$7:$B$294,$B19,$A$7:$A$294,"&gt;="&amp;EDATE($A19,-12*'Seasonal Factors'!$E$4),$A$7:$A$294,"&lt;="&amp;EDATE($A19,12*'Seasonal Factors'!$E$4)),"")</f>
        <v>0.986525814932467</v>
      </c>
      <c r="AL19" s="24" t="n">
        <f aca="false">IFERROR(AK19/AVERAGE(AK14:AK25),"")</f>
        <v>0.986798795417086</v>
      </c>
      <c r="AM19" s="23" t="n">
        <f aca="false">IF(ISNUMBER(Tabelle1!N26),(0.5*Tabelle1!N14+SUM(Tabelle1!N15:N25)+0.5*Tabelle1!N26)/12,"")</f>
        <v>104.888605416667</v>
      </c>
      <c r="AN19" s="24" t="n">
        <f aca="false">IFERROR(Tabelle1!N20/AM19,"")</f>
        <v>1.00187193434934</v>
      </c>
      <c r="AO19" s="24" t="n">
        <f aca="false">IFERROR(AVERAGEIFS($AN$7:$AN$294,$B$7:$B$294,$B19,$A$7:$A$294,"&gt;="&amp;EDATE($A19,-12*'Seasonal Factors'!$E$4),$A$7:$A$294,"&lt;="&amp;EDATE($A19,12*'Seasonal Factors'!$E$4)),"")</f>
        <v>1.02756583409133</v>
      </c>
      <c r="AP19" s="24" t="n">
        <f aca="false">IFERROR(AO19/AVERAGE(AO14:AO25),"")</f>
        <v>1.02702457445534</v>
      </c>
      <c r="AQ19" s="23" t="n">
        <f aca="false">IF(ISNUMBER(Tabelle1!O26),(0.5*Tabelle1!O14+SUM(Tabelle1!O15:O25)+0.5*Tabelle1!O26)/12,"")</f>
        <v>102.6726625</v>
      </c>
      <c r="AR19" s="24" t="n">
        <f aca="false">IFERROR(Tabelle1!O20/AQ19,"")</f>
        <v>0.934107460201492</v>
      </c>
      <c r="AS19" s="24" t="n">
        <f aca="false">IFERROR(AVERAGEIFS($AR$7:$AR$294,$B$7:$B$294,$B19,$A$7:$A$294,"&gt;="&amp;EDATE($A19,-12*'Seasonal Factors'!$E$4),$A$7:$A$294,"&lt;="&amp;EDATE($A19,12*'Seasonal Factors'!$E$4)),"")</f>
        <v>0.943166487071606</v>
      </c>
      <c r="AT19" s="24" t="n">
        <f aca="false">IFERROR(AS19/AVERAGE(AS14:AS25),"")</f>
        <v>0.943160702108256</v>
      </c>
      <c r="AU19" s="23" t="n">
        <f aca="false">IF(ISNUMBER(Tabelle1!P26),(0.5*Tabelle1!P14+SUM(Tabelle1!P15:P25)+0.5*Tabelle1!P26)/12,"")</f>
        <v>102.86237625</v>
      </c>
      <c r="AV19" s="24" t="n">
        <f aca="false">IFERROR(Tabelle1!P20/AU19,"")</f>
        <v>0.995454253857955</v>
      </c>
      <c r="AW19" s="24" t="n">
        <f aca="false">IFERROR(AVERAGEIFS($AV$7:$AV$294,$B$7:$B$294,$B19,$A$7:$A$294,"&gt;="&amp;EDATE($A19,-12*'Seasonal Factors'!$E$4),$A$7:$A$294,"&lt;="&amp;EDATE($A19,12*'Seasonal Factors'!$E$4)),"")</f>
        <v>0.986307317795619</v>
      </c>
      <c r="AX19" s="24" t="n">
        <f aca="false">IFERROR(AW19/AVERAGE(AW14:AW25),"")</f>
        <v>0.986752968582872</v>
      </c>
      <c r="AY19" s="23" t="n">
        <f aca="false">IF(ISNUMBER(Tabelle1!Q26),(0.5*Tabelle1!Q14+SUM(Tabelle1!Q15:Q25)+0.5*Tabelle1!Q26)/12,"")</f>
        <v>103.35042125</v>
      </c>
      <c r="AZ19" s="24" t="n">
        <f aca="false">IFERROR(Tabelle1!Q20/AY19,"")</f>
        <v>0.981839926462806</v>
      </c>
      <c r="BA19" s="24" t="n">
        <f aca="false">IFERROR(AVERAGEIFS($AZ$7:$AZ$294,$B$7:$B$294,$B19,$A$7:$A$294,"&gt;="&amp;EDATE($A19,-12*'Seasonal Factors'!$E$4),$A$7:$A$294,"&lt;="&amp;EDATE($A19,12*'Seasonal Factors'!$E$4)),"")</f>
        <v>0.973472219404166</v>
      </c>
      <c r="BB19" s="24" t="n">
        <f aca="false">IFERROR(BA19/AVERAGE(BA14:BA25),"")</f>
        <v>0.974052595593023</v>
      </c>
      <c r="BC19" s="23" t="n">
        <f aca="false">IF(ISNUMBER(Tabelle1!R26),(0.5*Tabelle1!R14+SUM(Tabelle1!R15:R25)+0.5*Tabelle1!R26)/12,"")</f>
        <v>105.542588333333</v>
      </c>
      <c r="BD19" s="24" t="n">
        <f aca="false">IFERROR(Tabelle1!R20/BC19,"")</f>
        <v>0.983236451168456</v>
      </c>
      <c r="BE19" s="24" t="n">
        <f aca="false">IFERROR(AVERAGEIFS($BD$7:$BD$294,$B$7:$B$294,$B19,$A$7:$A$294,"&gt;="&amp;EDATE($A19,-12*'Seasonal Factors'!$E$4),$A$7:$A$294,"&lt;="&amp;EDATE($A19,12*'Seasonal Factors'!$E$4)),"")</f>
        <v>0.981505666791831</v>
      </c>
      <c r="BF19" s="24" t="n">
        <f aca="false">IFERROR(BE19/AVERAGE(BE14:BE25),"")</f>
        <v>0.981088904506479</v>
      </c>
      <c r="BG19" s="23" t="n">
        <f aca="false">IF(ISNUMBER(Tabelle1!S26),(0.5*Tabelle1!S14+SUM(Tabelle1!S15:S25)+0.5*Tabelle1!S26)/12,"")</f>
        <v>105.1695475</v>
      </c>
      <c r="BH19" s="24" t="n">
        <f aca="false">IFERROR(Tabelle1!S20/BG19,"")</f>
        <v>1.01435313297321</v>
      </c>
      <c r="BI19" s="24" t="n">
        <f aca="false">IFERROR(AVERAGEIFS($BH$7:$BH$294,$B$7:$B$294,$B19,$A$7:$A$294,"&gt;="&amp;EDATE($A19,-12*'Seasonal Factors'!$E$4),$A$7:$A$294,"&lt;="&amp;EDATE($A19,12*'Seasonal Factors'!$E$4)),"")</f>
        <v>1.01307825687667</v>
      </c>
      <c r="BJ19" s="24" t="n">
        <f aca="false">IFERROR(BI19/AVERAGE(BI14:BI25),"")</f>
        <v>1.01406027566387</v>
      </c>
    </row>
    <row r="20" customFormat="false" ht="15" hidden="false" customHeight="false" outlineLevel="0" collapsed="false">
      <c r="A20" s="20" t="n">
        <v>38411</v>
      </c>
      <c r="B20" s="22" t="n">
        <f aca="false">MONTH(A20)</f>
        <v>2</v>
      </c>
      <c r="C20" s="23" t="n">
        <f aca="false">IF(ISNUMBER(Tabelle1!E27),(0.5*Tabelle1!E15+SUM(Tabelle1!E16:E26)+0.5*Tabelle1!E27)/12,"")</f>
        <v>119.34411</v>
      </c>
      <c r="D20" s="24" t="n">
        <f aca="false">IFERROR(Tabelle1!E21/C20,"")</f>
        <v>0.57991760129595</v>
      </c>
      <c r="E20" s="24" t="n">
        <f aca="false">IFERROR(AVERAGEIFS($D$7:$D$294,$B$7:$B$294,$B20,$A$7:$A$294,"&gt;="&amp;EDATE($A20,-12*'Seasonal Factors'!$E$4),$A$7:$A$294,"&lt;="&amp;EDATE($A20,12*'Seasonal Factors'!$E$4)),"")</f>
        <v>0.582504051054759</v>
      </c>
      <c r="F20" s="24" t="n">
        <f aca="false">IFERROR(E20/AVERAGE(E15:E26),"")</f>
        <v>0.582804791694717</v>
      </c>
      <c r="G20" s="23" t="n">
        <f aca="false">IF(ISNUMBER(Tabelle1!F27),(0.5*Tabelle1!F15+SUM(Tabelle1!F16:F26)+0.5*Tabelle1!F27)/12,"")</f>
        <v>95.8026966666667</v>
      </c>
      <c r="H20" s="24" t="n">
        <f aca="false">IFERROR(Tabelle1!F21/G20,"")</f>
        <v>0.928579602613135</v>
      </c>
      <c r="I20" s="24" t="n">
        <f aca="false">IFERROR(AVERAGEIFS($H$7:$H$294,$B$7:$B$294,$B20,$A$7:$A$294,"&gt;="&amp;EDATE($A20,-12*'Seasonal Factors'!$E$4),$A$7:$A$294,"&lt;="&amp;EDATE($A20,12*'Seasonal Factors'!$E$4)),"")</f>
        <v>0.700717744427908</v>
      </c>
      <c r="J20" s="24" t="n">
        <f aca="false">IFERROR(I20/AVERAGE(I15:I26),"")</f>
        <v>0.712105818287133</v>
      </c>
      <c r="K20" s="23" t="n">
        <f aca="false">IF(ISNUMBER(Tabelle1!G27),(0.5*Tabelle1!G15+SUM(Tabelle1!G16:G26)+0.5*Tabelle1!G27)/12,"")</f>
        <v>100.389321666667</v>
      </c>
      <c r="L20" s="24" t="n">
        <f aca="false">IFERROR(Tabelle1!G21/K20,"")</f>
        <v>0.928618785865887</v>
      </c>
      <c r="M20" s="24" t="n">
        <f aca="false">IFERROR(AVERAGEIFS($L$7:$L$294,$B$7:$B$294,$B20,$A$7:$A$294,"&gt;="&amp;EDATE($A20,-12*'Seasonal Factors'!$E$4),$A$7:$A$294,"&lt;="&amp;EDATE($A20,12*'Seasonal Factors'!$E$4)),"")</f>
        <v>0.936344515189284</v>
      </c>
      <c r="N20" s="24" t="n">
        <f aca="false">IFERROR(M20/AVERAGE(M15:M26),"")</f>
        <v>0.937119143926303</v>
      </c>
      <c r="O20" s="23" t="n">
        <f aca="false">IF(ISNUMBER(Tabelle1!H27),(0.5*Tabelle1!H15+SUM(Tabelle1!H16:H26)+0.5*Tabelle1!H27)/12,"")</f>
        <v>104.437094583333</v>
      </c>
      <c r="P20" s="24" t="n">
        <f aca="false">IFERROR(Tabelle1!H21/O20,"")</f>
        <v>0.906841102558918</v>
      </c>
      <c r="Q20" s="24" t="n">
        <f aca="false">IFERROR(AVERAGEIFS($P$7:$P$294,$B$7:$B$294,$B20,$A$7:$A$294,"&gt;="&amp;EDATE($A20,-12*'Seasonal Factors'!$E$4),$A$7:$A$294,"&lt;="&amp;EDATE($A20,12*'Seasonal Factors'!$E$4)),"")</f>
        <v>0.893611791950432</v>
      </c>
      <c r="R20" s="24" t="n">
        <f aca="false">IFERROR(Q20/AVERAGE(Q15:Q26),"")</f>
        <v>0.894521180053415</v>
      </c>
      <c r="S20" s="23" t="n">
        <f aca="false">IF(ISNUMBER(Tabelle1!I27),(0.5*Tabelle1!I15+SUM(Tabelle1!I16:I26)+0.5*Tabelle1!I27)/12,"")</f>
        <v>103.91240375</v>
      </c>
      <c r="T20" s="24" t="n">
        <f aca="false">IFERROR(Tabelle1!I21/S20,"")</f>
        <v>0.954577282598951</v>
      </c>
      <c r="U20" s="24" t="n">
        <f aca="false">IFERROR(AVERAGEIFS($T$7:$T$294,$B$7:$B$294,$B20,$A$7:$A$294,"&gt;="&amp;EDATE($A20,-12*'Seasonal Factors'!$E$4),$A$7:$A$294,"&lt;="&amp;EDATE($A20,12*'Seasonal Factors'!$E$4)),"")</f>
        <v>0.965544971527713</v>
      </c>
      <c r="V20" s="24" t="n">
        <f aca="false">IFERROR(U20/AVERAGE(U15:U26),"")</f>
        <v>0.965036224121222</v>
      </c>
      <c r="W20" s="23" t="n">
        <f aca="false">IF(ISNUMBER(Tabelle1!J27),(0.5*Tabelle1!J15+SUM(Tabelle1!J16:J26)+0.5*Tabelle1!J27)/12,"")</f>
        <v>107.105667083333</v>
      </c>
      <c r="X20" s="24" t="n">
        <f aca="false">IFERROR(Tabelle1!J21/W20,"")</f>
        <v>1.01782373396901</v>
      </c>
      <c r="Y20" s="24" t="n">
        <f aca="false">IFERROR(AVERAGEIFS($X$7:$X$294,$B$7:$B$294,$B20,$A$7:$A$294,"&gt;="&amp;EDATE($A20,-12*'Seasonal Factors'!$E$4),$A$7:$A$294,"&lt;="&amp;EDATE($A20,12*'Seasonal Factors'!$E$4)),"")</f>
        <v>1.01117134058252</v>
      </c>
      <c r="Z20" s="24" t="n">
        <f aca="false">IFERROR(Y20/AVERAGE(Y15:Y26),"")</f>
        <v>1.01219911397857</v>
      </c>
      <c r="AA20" s="23" t="n">
        <f aca="false">IF(ISNUMBER(Tabelle1!K27),(0.5*Tabelle1!K15+SUM(Tabelle1!K16:K26)+0.5*Tabelle1!K27)/12,"")</f>
        <v>106.376494166667</v>
      </c>
      <c r="AB20" s="24" t="n">
        <f aca="false">IFERROR(Tabelle1!K21/AA20,"")</f>
        <v>0.937573857658231</v>
      </c>
      <c r="AC20" s="24" t="n">
        <f aca="false">IFERROR(AVERAGEIFS($AB$7:$AB$294,$B$7:$B$294,$B20,$A$7:$A$294,"&gt;="&amp;EDATE($A20,-12*'Seasonal Factors'!$E$4),$A$7:$A$294,"&lt;="&amp;EDATE($A20,12*'Seasonal Factors'!$E$4)),"")</f>
        <v>0.925450589016132</v>
      </c>
      <c r="AD20" s="24" t="n">
        <f aca="false">IFERROR(AC20/AVERAGE(AC15:AC26),"")</f>
        <v>0.92712491682821</v>
      </c>
      <c r="AE20" s="23" t="n">
        <f aca="false">IF(ISNUMBER(Tabelle1!L27),(0.5*Tabelle1!L15+SUM(Tabelle1!L16:L26)+0.5*Tabelle1!L27)/12,"")</f>
        <v>106.634429166667</v>
      </c>
      <c r="AF20" s="24" t="n">
        <f aca="false">IFERROR(Tabelle1!L21/AE20,"")</f>
        <v>1.05694353015988</v>
      </c>
      <c r="AG20" s="24" t="n">
        <f aca="false">IFERROR(AVERAGEIFS($AF$7:$AF$294,$B$7:$B$294,$B20,$A$7:$A$294,"&gt;="&amp;EDATE($A20,-12*'Seasonal Factors'!$E$4),$A$7:$A$294,"&lt;="&amp;EDATE($A20,12*'Seasonal Factors'!$E$4)),"")</f>
        <v>1.06113853450985</v>
      </c>
      <c r="AH20" s="24" t="n">
        <f aca="false">IFERROR(AG20/AVERAGE(AG15:AG26),"")</f>
        <v>1.0617404309451</v>
      </c>
      <c r="AI20" s="23" t="n">
        <f aca="false">IF(ISNUMBER(Tabelle1!M27),(0.5*Tabelle1!M15+SUM(Tabelle1!M16:M26)+0.5*Tabelle1!M27)/12,"")</f>
        <v>109.4058225</v>
      </c>
      <c r="AJ20" s="24" t="n">
        <f aca="false">IFERROR(Tabelle1!M21/AI20,"")</f>
        <v>0.932401655314095</v>
      </c>
      <c r="AK20" s="24" t="n">
        <f aca="false">IFERROR(AVERAGEIFS($AJ$7:$AJ$294,$B$7:$B$294,$B20,$A$7:$A$294,"&gt;="&amp;EDATE($A20,-12*'Seasonal Factors'!$E$4),$A$7:$A$294,"&lt;="&amp;EDATE($A20,12*'Seasonal Factors'!$E$4)),"")</f>
        <v>0.941004737060793</v>
      </c>
      <c r="AL20" s="24" t="n">
        <f aca="false">IFERROR(AK20/AVERAGE(AK15:AK26),"")</f>
        <v>0.941388787149024</v>
      </c>
      <c r="AM20" s="23" t="n">
        <f aca="false">IF(ISNUMBER(Tabelle1!N27),(0.5*Tabelle1!N15+SUM(Tabelle1!N16:N26)+0.5*Tabelle1!N27)/12,"")</f>
        <v>105.835415833333</v>
      </c>
      <c r="AN20" s="24" t="n">
        <f aca="false">IFERROR(Tabelle1!N21/AM20,"")</f>
        <v>0.96473509548816</v>
      </c>
      <c r="AO20" s="24" t="n">
        <f aca="false">IFERROR(AVERAGEIFS($AN$7:$AN$294,$B$7:$B$294,$B20,$A$7:$A$294,"&gt;="&amp;EDATE($A20,-12*'Seasonal Factors'!$E$4),$A$7:$A$294,"&lt;="&amp;EDATE($A20,12*'Seasonal Factors'!$E$4)),"")</f>
        <v>0.97729703024183</v>
      </c>
      <c r="AP20" s="24" t="n">
        <f aca="false">IFERROR(AO20/AVERAGE(AO15:AO26),"")</f>
        <v>0.976849495496262</v>
      </c>
      <c r="AQ20" s="23" t="n">
        <f aca="false">IF(ISNUMBER(Tabelle1!O27),(0.5*Tabelle1!O15+SUM(Tabelle1!O16:O26)+0.5*Tabelle1!O27)/12,"")</f>
        <v>103.090131666667</v>
      </c>
      <c r="AR20" s="24" t="n">
        <f aca="false">IFERROR(Tabelle1!O21/AQ20,"")</f>
        <v>0.955975401395921</v>
      </c>
      <c r="AS20" s="24" t="n">
        <f aca="false">IFERROR(AVERAGEIFS($AR$7:$AR$294,$B$7:$B$294,$B20,$A$7:$A$294,"&gt;="&amp;EDATE($A20,-12*'Seasonal Factors'!$E$4),$A$7:$A$294,"&lt;="&amp;EDATE($A20,12*'Seasonal Factors'!$E$4)),"")</f>
        <v>0.959935289043595</v>
      </c>
      <c r="AT20" s="24" t="n">
        <f aca="false">IFERROR(AS20/AVERAGE(AS15:AS26),"")</f>
        <v>0.960042282790302</v>
      </c>
      <c r="AU20" s="23" t="n">
        <f aca="false">IF(ISNUMBER(Tabelle1!P27),(0.5*Tabelle1!P15+SUM(Tabelle1!P16:P26)+0.5*Tabelle1!P27)/12,"")</f>
        <v>103.262089166667</v>
      </c>
      <c r="AV20" s="24" t="n">
        <f aca="false">IFERROR(Tabelle1!P21/AU20,"")</f>
        <v>0.996977117457281</v>
      </c>
      <c r="AW20" s="24" t="n">
        <f aca="false">IFERROR(AVERAGEIFS($AV$7:$AV$294,$B$7:$B$294,$B20,$A$7:$A$294,"&gt;="&amp;EDATE($A20,-12*'Seasonal Factors'!$E$4),$A$7:$A$294,"&lt;="&amp;EDATE($A20,12*'Seasonal Factors'!$E$4)),"")</f>
        <v>0.994448821756479</v>
      </c>
      <c r="AX20" s="24" t="n">
        <f aca="false">IFERROR(AW20/AVERAGE(AW15:AW26),"")</f>
        <v>0.994808564288403</v>
      </c>
      <c r="AY20" s="23" t="n">
        <f aca="false">IF(ISNUMBER(Tabelle1!Q27),(0.5*Tabelle1!Q15+SUM(Tabelle1!Q16:Q26)+0.5*Tabelle1!Q27)/12,"")</f>
        <v>103.820372916667</v>
      </c>
      <c r="AZ20" s="24" t="n">
        <f aca="false">IFERROR(Tabelle1!Q21/AY20,"")</f>
        <v>0.982890131611331</v>
      </c>
      <c r="BA20" s="24" t="n">
        <f aca="false">IFERROR(AVERAGEIFS($AZ$7:$AZ$294,$B$7:$B$294,$B20,$A$7:$A$294,"&gt;="&amp;EDATE($A20,-12*'Seasonal Factors'!$E$4),$A$7:$A$294,"&lt;="&amp;EDATE($A20,12*'Seasonal Factors'!$E$4)),"")</f>
        <v>0.978613050041029</v>
      </c>
      <c r="BB20" s="24" t="n">
        <f aca="false">IFERROR(BA20/AVERAGE(BA15:BA26),"")</f>
        <v>0.979129254942992</v>
      </c>
      <c r="BC20" s="23" t="n">
        <f aca="false">IF(ISNUMBER(Tabelle1!R27),(0.5*Tabelle1!R15+SUM(Tabelle1!R16:R26)+0.5*Tabelle1!R27)/12,"")</f>
        <v>106.417276666667</v>
      </c>
      <c r="BD20" s="24" t="n">
        <f aca="false">IFERROR(Tabelle1!R21/BC20,"")</f>
        <v>0.938667414999626</v>
      </c>
      <c r="BE20" s="24" t="n">
        <f aca="false">IFERROR(AVERAGEIFS($BD$7:$BD$294,$B$7:$B$294,$B20,$A$7:$A$294,"&gt;="&amp;EDATE($A20,-12*'Seasonal Factors'!$E$4),$A$7:$A$294,"&lt;="&amp;EDATE($A20,12*'Seasonal Factors'!$E$4)),"")</f>
        <v>0.930159451831816</v>
      </c>
      <c r="BF20" s="24" t="n">
        <f aca="false">IFERROR(BE20/AVERAGE(BE15:BE26),"")</f>
        <v>0.929744384382538</v>
      </c>
      <c r="BG20" s="23" t="n">
        <f aca="false">IF(ISNUMBER(Tabelle1!S27),(0.5*Tabelle1!S15+SUM(Tabelle1!S16:S26)+0.5*Tabelle1!S27)/12,"")</f>
        <v>106.227402083333</v>
      </c>
      <c r="BH20" s="24" t="n">
        <f aca="false">IFERROR(Tabelle1!S21/BG20,"")</f>
        <v>0.992739895091021</v>
      </c>
      <c r="BI20" s="24" t="n">
        <f aca="false">IFERROR(AVERAGEIFS($BH$7:$BH$294,$B$7:$B$294,$B20,$A$7:$A$294,"&gt;="&amp;EDATE($A20,-12*'Seasonal Factors'!$E$4),$A$7:$A$294,"&lt;="&amp;EDATE($A20,12*'Seasonal Factors'!$E$4)),"")</f>
        <v>0.987954726076104</v>
      </c>
      <c r="BJ20" s="24" t="n">
        <f aca="false">IFERROR(BI20/AVERAGE(BI15:BI26),"")</f>
        <v>0.988844777202903</v>
      </c>
    </row>
    <row r="21" customFormat="false" ht="15" hidden="false" customHeight="false" outlineLevel="0" collapsed="false">
      <c r="A21" s="20" t="n">
        <v>38442</v>
      </c>
      <c r="B21" s="22" t="n">
        <f aca="false">MONTH(A21)</f>
        <v>3</v>
      </c>
      <c r="C21" s="23" t="n">
        <f aca="false">IF(ISNUMBER(Tabelle1!E28),(0.5*Tabelle1!E16+SUM(Tabelle1!E17:E27)+0.5*Tabelle1!E28)/12,"")</f>
        <v>119.245360833333</v>
      </c>
      <c r="D21" s="24" t="n">
        <f aca="false">IFERROR(Tabelle1!E22/C21,"")</f>
        <v>1.16200394742121</v>
      </c>
      <c r="E21" s="24" t="n">
        <f aca="false">IFERROR(AVERAGEIFS($D$7:$D$294,$B$7:$B$294,$B21,$A$7:$A$294,"&gt;="&amp;EDATE($A21,-12*'Seasonal Factors'!$E$4),$A$7:$A$294,"&lt;="&amp;EDATE($A21,12*'Seasonal Factors'!$E$4)),"")</f>
        <v>1.10398065213532</v>
      </c>
      <c r="F21" s="24" t="n">
        <f aca="false">IFERROR(E21/AVERAGE(E16:E27),"")</f>
        <v>1.10248795029631</v>
      </c>
      <c r="G21" s="23" t="n">
        <f aca="false">IF(ISNUMBER(Tabelle1!F28),(0.5*Tabelle1!F16+SUM(Tabelle1!F17:F27)+0.5*Tabelle1!F28)/12,"")</f>
        <v>92.8939833333333</v>
      </c>
      <c r="H21" s="24" t="n">
        <f aca="false">IFERROR(Tabelle1!F22/G21,"")</f>
        <v>1.57907944881253</v>
      </c>
      <c r="I21" s="24" t="n">
        <f aca="false">IFERROR(AVERAGEIFS($H$7:$H$294,$B$7:$B$294,$B21,$A$7:$A$294,"&gt;="&amp;EDATE($A21,-12*'Seasonal Factors'!$E$4),$A$7:$A$294,"&lt;="&amp;EDATE($A21,12*'Seasonal Factors'!$E$4)),"")</f>
        <v>1.47897776323937</v>
      </c>
      <c r="J21" s="24" t="n">
        <f aca="false">IFERROR(I21/AVERAGE(I16:I27),"")</f>
        <v>1.48760461181459</v>
      </c>
      <c r="K21" s="23" t="n">
        <f aca="false">IF(ISNUMBER(Tabelle1!G28),(0.5*Tabelle1!G16+SUM(Tabelle1!G17:G27)+0.5*Tabelle1!G28)/12,"")</f>
        <v>100.304457916667</v>
      </c>
      <c r="L21" s="24" t="n">
        <f aca="false">IFERROR(Tabelle1!G22/K21,"")</f>
        <v>1.0128288623463</v>
      </c>
      <c r="M21" s="24" t="n">
        <f aca="false">IFERROR(AVERAGEIFS($L$7:$L$294,$B$7:$B$294,$B21,$A$7:$A$294,"&gt;="&amp;EDATE($A21,-12*'Seasonal Factors'!$E$4),$A$7:$A$294,"&lt;="&amp;EDATE($A21,12*'Seasonal Factors'!$E$4)),"")</f>
        <v>1.0280944940091</v>
      </c>
      <c r="N21" s="24" t="n">
        <f aca="false">IFERROR(M21/AVERAGE(M16:M27),"")</f>
        <v>1.02918714509995</v>
      </c>
      <c r="O21" s="23" t="n">
        <f aca="false">IF(ISNUMBER(Tabelle1!H28),(0.5*Tabelle1!H16+SUM(Tabelle1!H17:H27)+0.5*Tabelle1!H28)/12,"")</f>
        <v>105.055321666667</v>
      </c>
      <c r="P21" s="24" t="n">
        <f aca="false">IFERROR(Tabelle1!H22/O21,"")</f>
        <v>1.02393423096939</v>
      </c>
      <c r="Q21" s="24" t="n">
        <f aca="false">IFERROR(AVERAGEIFS($P$7:$P$294,$B$7:$B$294,$B21,$A$7:$A$294,"&gt;="&amp;EDATE($A21,-12*'Seasonal Factors'!$E$4),$A$7:$A$294,"&lt;="&amp;EDATE($A21,12*'Seasonal Factors'!$E$4)),"")</f>
        <v>1.00951115851908</v>
      </c>
      <c r="R21" s="24" t="n">
        <f aca="false">IFERROR(Q21/AVERAGE(Q16:Q27),"")</f>
        <v>1.01057459487337</v>
      </c>
      <c r="S21" s="23" t="n">
        <f aca="false">IF(ISNUMBER(Tabelle1!I28),(0.5*Tabelle1!I16+SUM(Tabelle1!I17:I27)+0.5*Tabelle1!I28)/12,"")</f>
        <v>104.5860575</v>
      </c>
      <c r="T21" s="24" t="n">
        <f aca="false">IFERROR(Tabelle1!I22/S21,"")</f>
        <v>1.03177213654889</v>
      </c>
      <c r="U21" s="24" t="n">
        <f aca="false">IFERROR(AVERAGEIFS($T$7:$T$294,$B$7:$B$294,$B21,$A$7:$A$294,"&gt;="&amp;EDATE($A21,-12*'Seasonal Factors'!$E$4),$A$7:$A$294,"&lt;="&amp;EDATE($A21,12*'Seasonal Factors'!$E$4)),"")</f>
        <v>1.00770524265785</v>
      </c>
      <c r="V21" s="24" t="n">
        <f aca="false">IFERROR(U21/AVERAGE(U16:U27),"")</f>
        <v>1.00729309888461</v>
      </c>
      <c r="W21" s="23" t="n">
        <f aca="false">IF(ISNUMBER(Tabelle1!J28),(0.5*Tabelle1!J16+SUM(Tabelle1!J17:J27)+0.5*Tabelle1!J28)/12,"")</f>
        <v>108.056055416667</v>
      </c>
      <c r="X21" s="24" t="n">
        <f aca="false">IFERROR(Tabelle1!J22/W21,"")</f>
        <v>1.05714640016723</v>
      </c>
      <c r="Y21" s="24" t="n">
        <f aca="false">IFERROR(AVERAGEIFS($X$7:$X$294,$B$7:$B$294,$B21,$A$7:$A$294,"&gt;="&amp;EDATE($A21,-12*'Seasonal Factors'!$E$4),$A$7:$A$294,"&lt;="&amp;EDATE($A21,12*'Seasonal Factors'!$E$4)),"")</f>
        <v>1.03229710295283</v>
      </c>
      <c r="Z21" s="24" t="n">
        <f aca="false">IFERROR(Y21/AVERAGE(Y16:Y27),"")</f>
        <v>1.03342382246352</v>
      </c>
      <c r="AA21" s="23" t="n">
        <f aca="false">IF(ISNUMBER(Tabelle1!K28),(0.5*Tabelle1!K16+SUM(Tabelle1!K17:K27)+0.5*Tabelle1!K28)/12,"")</f>
        <v>107.366475416667</v>
      </c>
      <c r="AB21" s="24" t="n">
        <f aca="false">IFERROR(Tabelle1!K22/AA21,"")</f>
        <v>1.10206700500138</v>
      </c>
      <c r="AC21" s="24" t="n">
        <f aca="false">IFERROR(AVERAGEIFS($AB$7:$AB$294,$B$7:$B$294,$B21,$A$7:$A$294,"&gt;="&amp;EDATE($A21,-12*'Seasonal Factors'!$E$4),$A$7:$A$294,"&lt;="&amp;EDATE($A21,12*'Seasonal Factors'!$E$4)),"")</f>
        <v>1.07360909626643</v>
      </c>
      <c r="AD21" s="24" t="n">
        <f aca="false">IFERROR(AC21/AVERAGE(AC16:AC27),"")</f>
        <v>1.07506367896299</v>
      </c>
      <c r="AE21" s="23" t="n">
        <f aca="false">IF(ISNUMBER(Tabelle1!L28),(0.5*Tabelle1!L16+SUM(Tabelle1!L17:L27)+0.5*Tabelle1!L28)/12,"")</f>
        <v>108.068877916667</v>
      </c>
      <c r="AF21" s="24" t="n">
        <f aca="false">IFERROR(Tabelle1!L22/AE21,"")</f>
        <v>1.02497196357877</v>
      </c>
      <c r="AG21" s="24" t="n">
        <f aca="false">IFERROR(AVERAGEIFS($AF$7:$AF$294,$B$7:$B$294,$B21,$A$7:$A$294,"&gt;="&amp;EDATE($A21,-12*'Seasonal Factors'!$E$4),$A$7:$A$294,"&lt;="&amp;EDATE($A21,12*'Seasonal Factors'!$E$4)),"")</f>
        <v>1.02720684979649</v>
      </c>
      <c r="AH21" s="24" t="n">
        <f aca="false">IFERROR(AG21/AVERAGE(AG16:AG27),"")</f>
        <v>1.02813841740183</v>
      </c>
      <c r="AI21" s="23" t="n">
        <f aca="false">IF(ISNUMBER(Tabelle1!M28),(0.5*Tabelle1!M16+SUM(Tabelle1!M17:M27)+0.5*Tabelle1!M28)/12,"")</f>
        <v>110.733442083333</v>
      </c>
      <c r="AJ21" s="24" t="n">
        <f aca="false">IFERROR(Tabelle1!M22/AI21,"")</f>
        <v>1.00408429385159</v>
      </c>
      <c r="AK21" s="24" t="n">
        <f aca="false">IFERROR(AVERAGEIFS($AJ$7:$AJ$294,$B$7:$B$294,$B21,$A$7:$A$294,"&gt;="&amp;EDATE($A21,-12*'Seasonal Factors'!$E$4),$A$7:$A$294,"&lt;="&amp;EDATE($A21,12*'Seasonal Factors'!$E$4)),"")</f>
        <v>0.999914077400532</v>
      </c>
      <c r="AL21" s="24" t="n">
        <f aca="false">IFERROR(AK21/AVERAGE(AK16:AK27),"")</f>
        <v>1.00026931558258</v>
      </c>
      <c r="AM21" s="23" t="n">
        <f aca="false">IF(ISNUMBER(Tabelle1!N28),(0.5*Tabelle1!N16+SUM(Tabelle1!N17:N27)+0.5*Tabelle1!N28)/12,"")</f>
        <v>106.616529583333</v>
      </c>
      <c r="AN21" s="24" t="n">
        <f aca="false">IFERROR(Tabelle1!N22/AM21,"")</f>
        <v>0.99578283419006</v>
      </c>
      <c r="AO21" s="24" t="n">
        <f aca="false">IFERROR(AVERAGEIFS($AN$7:$AN$294,$B$7:$B$294,$B21,$A$7:$A$294,"&gt;="&amp;EDATE($A21,-12*'Seasonal Factors'!$E$4),$A$7:$A$294,"&lt;="&amp;EDATE($A21,12*'Seasonal Factors'!$E$4)),"")</f>
        <v>0.995400664552801</v>
      </c>
      <c r="AP21" s="24" t="n">
        <f aca="false">IFERROR(AO21/AVERAGE(AO16:AO27),"")</f>
        <v>0.994446482423335</v>
      </c>
      <c r="AQ21" s="23" t="n">
        <f aca="false">IF(ISNUMBER(Tabelle1!O28),(0.5*Tabelle1!O16+SUM(Tabelle1!O17:O27)+0.5*Tabelle1!O28)/12,"")</f>
        <v>103.6106875</v>
      </c>
      <c r="AR21" s="24" t="n">
        <f aca="false">IFERROR(Tabelle1!O22/AQ21,"")</f>
        <v>0.993908953649207</v>
      </c>
      <c r="AS21" s="24" t="n">
        <f aca="false">IFERROR(AVERAGEIFS($AR$7:$AR$294,$B$7:$B$294,$B21,$A$7:$A$294,"&gt;="&amp;EDATE($A21,-12*'Seasonal Factors'!$E$4),$A$7:$A$294,"&lt;="&amp;EDATE($A21,12*'Seasonal Factors'!$E$4)),"")</f>
        <v>0.992120388500538</v>
      </c>
      <c r="AT21" s="24" t="n">
        <f aca="false">IFERROR(AS21/AVERAGE(AS16:AS27),"")</f>
        <v>0.99233662165609</v>
      </c>
      <c r="AU21" s="23" t="n">
        <f aca="false">IF(ISNUMBER(Tabelle1!P28),(0.5*Tabelle1!P16+SUM(Tabelle1!P17:P27)+0.5*Tabelle1!P28)/12,"")</f>
        <v>103.657605</v>
      </c>
      <c r="AV21" s="24" t="n">
        <f aca="false">IFERROR(Tabelle1!P22/AU21,"")</f>
        <v>0.998922172666444</v>
      </c>
      <c r="AW21" s="24" t="n">
        <f aca="false">IFERROR(AVERAGEIFS($AV$7:$AV$294,$B$7:$B$294,$B21,$A$7:$A$294,"&gt;="&amp;EDATE($A21,-12*'Seasonal Factors'!$E$4),$A$7:$A$294,"&lt;="&amp;EDATE($A21,12*'Seasonal Factors'!$E$4)),"")</f>
        <v>0.992812183617421</v>
      </c>
      <c r="AX21" s="24" t="n">
        <f aca="false">IFERROR(AW21/AVERAGE(AW16:AW27),"")</f>
        <v>0.993021378324475</v>
      </c>
      <c r="AY21" s="23" t="n">
        <f aca="false">IF(ISNUMBER(Tabelle1!Q28),(0.5*Tabelle1!Q16+SUM(Tabelle1!Q17:Q27)+0.5*Tabelle1!Q28)/12,"")</f>
        <v>104.291240833333</v>
      </c>
      <c r="AZ21" s="24" t="n">
        <f aca="false">IFERROR(Tabelle1!Q22/AY21,"")</f>
        <v>0.996303229012785</v>
      </c>
      <c r="BA21" s="24" t="n">
        <f aca="false">IFERROR(AVERAGEIFS($AZ$7:$AZ$294,$B$7:$B$294,$B21,$A$7:$A$294,"&gt;="&amp;EDATE($A21,-12*'Seasonal Factors'!$E$4),$A$7:$A$294,"&lt;="&amp;EDATE($A21,12*'Seasonal Factors'!$E$4)),"")</f>
        <v>0.981687248767883</v>
      </c>
      <c r="BB21" s="24" t="n">
        <f aca="false">IFERROR(BA21/AVERAGE(BA16:BA27),"")</f>
        <v>0.982025730841531</v>
      </c>
      <c r="BC21" s="23" t="n">
        <f aca="false">IF(ISNUMBER(Tabelle1!R28),(0.5*Tabelle1!R16+SUM(Tabelle1!R17:R27)+0.5*Tabelle1!R28)/12,"")</f>
        <v>107.2652975</v>
      </c>
      <c r="BD21" s="24" t="n">
        <f aca="false">IFERROR(Tabelle1!R22/BC21,"")</f>
        <v>1.03038748389245</v>
      </c>
      <c r="BE21" s="24" t="n">
        <f aca="false">IFERROR(AVERAGEIFS($BD$7:$BD$294,$B$7:$B$294,$B21,$A$7:$A$294,"&gt;="&amp;EDATE($A21,-12*'Seasonal Factors'!$E$4),$A$7:$A$294,"&lt;="&amp;EDATE($A21,12*'Seasonal Factors'!$E$4)),"")</f>
        <v>1.00286183149589</v>
      </c>
      <c r="BF21" s="24" t="n">
        <f aca="false">IFERROR(BE21/AVERAGE(BE16:BE27),"")</f>
        <v>1.00237718872388</v>
      </c>
      <c r="BG21" s="23" t="n">
        <f aca="false">IF(ISNUMBER(Tabelle1!S28),(0.5*Tabelle1!S16+SUM(Tabelle1!S17:S27)+0.5*Tabelle1!S28)/12,"")</f>
        <v>107.154060833333</v>
      </c>
      <c r="BH21" s="24" t="n">
        <f aca="false">IFERROR(Tabelle1!S22/BG21,"")</f>
        <v>0.977043512731082</v>
      </c>
      <c r="BI21" s="24" t="n">
        <f aca="false">IFERROR(AVERAGEIFS($BH$7:$BH$294,$B$7:$B$294,$B21,$A$7:$A$294,"&gt;="&amp;EDATE($A21,-12*'Seasonal Factors'!$E$4),$A$7:$A$294,"&lt;="&amp;EDATE($A21,12*'Seasonal Factors'!$E$4)),"")</f>
        <v>0.979237118400065</v>
      </c>
      <c r="BJ21" s="24" t="n">
        <f aca="false">IFERROR(BI21/AVERAGE(BI16:BI27),"")</f>
        <v>0.979697290719813</v>
      </c>
    </row>
    <row r="22" customFormat="false" ht="15" hidden="false" customHeight="false" outlineLevel="0" collapsed="false">
      <c r="A22" s="20" t="n">
        <v>38472</v>
      </c>
      <c r="B22" s="22" t="n">
        <f aca="false">MONTH(A22)</f>
        <v>4</v>
      </c>
      <c r="C22" s="23" t="n">
        <f aca="false">IF(ISNUMBER(Tabelle1!E29),(0.5*Tabelle1!E17+SUM(Tabelle1!E18:E28)+0.5*Tabelle1!E29)/12,"")</f>
        <v>119.10484625</v>
      </c>
      <c r="D22" s="24" t="n">
        <f aca="false">IFERROR(Tabelle1!E23/C22,"")</f>
        <v>1.7539153659753</v>
      </c>
      <c r="E22" s="24" t="n">
        <f aca="false">IFERROR(AVERAGEIFS($D$7:$D$294,$B$7:$B$294,$B22,$A$7:$A$294,"&gt;="&amp;EDATE($A22,-12*'Seasonal Factors'!$E$4),$A$7:$A$294,"&lt;="&amp;EDATE($A22,12*'Seasonal Factors'!$E$4)),"")</f>
        <v>1.6534542055382</v>
      </c>
      <c r="F22" s="24" t="n">
        <f aca="false">IFERROR(E22/AVERAGE(E17:E28),"")</f>
        <v>1.64919768870382</v>
      </c>
      <c r="G22" s="23" t="n">
        <f aca="false">IF(ISNUMBER(Tabelle1!F29),(0.5*Tabelle1!F17+SUM(Tabelle1!F18:F28)+0.5*Tabelle1!F29)/12,"")</f>
        <v>90.8089883333333</v>
      </c>
      <c r="H22" s="24" t="n">
        <f aca="false">IFERROR(Tabelle1!F23/G22,"")</f>
        <v>1.34886140951576</v>
      </c>
      <c r="I22" s="24" t="n">
        <f aca="false">IFERROR(AVERAGEIFS($H$7:$H$294,$B$7:$B$294,$B22,$A$7:$A$294,"&gt;="&amp;EDATE($A22,-12*'Seasonal Factors'!$E$4),$A$7:$A$294,"&lt;="&amp;EDATE($A22,12*'Seasonal Factors'!$E$4)),"")</f>
        <v>1.56211975698225</v>
      </c>
      <c r="J22" s="24" t="n">
        <f aca="false">IFERROR(I22/AVERAGE(I17:I28),"")</f>
        <v>1.56292154250523</v>
      </c>
      <c r="K22" s="23" t="n">
        <f aca="false">IF(ISNUMBER(Tabelle1!G29),(0.5*Tabelle1!G17+SUM(Tabelle1!G18:G28)+0.5*Tabelle1!G29)/12,"")</f>
        <v>99.9860479166667</v>
      </c>
      <c r="L22" s="24" t="n">
        <f aca="false">IFERROR(Tabelle1!G23/K22,"")</f>
        <v>0.991390719659366</v>
      </c>
      <c r="M22" s="24" t="n">
        <f aca="false">IFERROR(AVERAGEIFS($L$7:$L$294,$B$7:$B$294,$B22,$A$7:$A$294,"&gt;="&amp;EDATE($A22,-12*'Seasonal Factors'!$E$4),$A$7:$A$294,"&lt;="&amp;EDATE($A22,12*'Seasonal Factors'!$E$4)),"")</f>
        <v>0.99852137000693</v>
      </c>
      <c r="N22" s="24" t="n">
        <f aca="false">IFERROR(M22/AVERAGE(M17:M28),"")</f>
        <v>0.999307035151795</v>
      </c>
      <c r="O22" s="23" t="n">
        <f aca="false">IF(ISNUMBER(Tabelle1!H29),(0.5*Tabelle1!H17+SUM(Tabelle1!H18:H28)+0.5*Tabelle1!H29)/12,"")</f>
        <v>105.660945833333</v>
      </c>
      <c r="P22" s="24" t="n">
        <f aca="false">IFERROR(Tabelle1!H23/O22,"")</f>
        <v>1.01789416280306</v>
      </c>
      <c r="Q22" s="24" t="n">
        <f aca="false">IFERROR(AVERAGEIFS($P$7:$P$294,$B$7:$B$294,$B22,$A$7:$A$294,"&gt;="&amp;EDATE($A22,-12*'Seasonal Factors'!$E$4),$A$7:$A$294,"&lt;="&amp;EDATE($A22,12*'Seasonal Factors'!$E$4)),"")</f>
        <v>1.01365940322406</v>
      </c>
      <c r="R22" s="24" t="n">
        <f aca="false">IFERROR(Q22/AVERAGE(Q17:Q28),"")</f>
        <v>1.0144833337916</v>
      </c>
      <c r="S22" s="23" t="n">
        <f aca="false">IF(ISNUMBER(Tabelle1!I29),(0.5*Tabelle1!I17+SUM(Tabelle1!I18:I28)+0.5*Tabelle1!I29)/12,"")</f>
        <v>105.033978333333</v>
      </c>
      <c r="T22" s="24" t="n">
        <f aca="false">IFERROR(Tabelle1!I23/S22,"")</f>
        <v>0.982645536594372</v>
      </c>
      <c r="U22" s="24" t="n">
        <f aca="false">IFERROR(AVERAGEIFS($T$7:$T$294,$B$7:$B$294,$B22,$A$7:$A$294,"&gt;="&amp;EDATE($A22,-12*'Seasonal Factors'!$E$4),$A$7:$A$294,"&lt;="&amp;EDATE($A22,12*'Seasonal Factors'!$E$4)),"")</f>
        <v>0.959454611711527</v>
      </c>
      <c r="V22" s="24" t="n">
        <f aca="false">IFERROR(U22/AVERAGE(U17:U28),"")</f>
        <v>0.958949282527763</v>
      </c>
      <c r="W22" s="23" t="n">
        <f aca="false">IF(ISNUMBER(Tabelle1!J29),(0.5*Tabelle1!J17+SUM(Tabelle1!J18:J28)+0.5*Tabelle1!J29)/12,"")</f>
        <v>109.18983875</v>
      </c>
      <c r="X22" s="24" t="n">
        <f aca="false">IFERROR(Tabelle1!J23/W22,"")</f>
        <v>0.996314137335421</v>
      </c>
      <c r="Y22" s="24" t="n">
        <f aca="false">IFERROR(AVERAGEIFS($X$7:$X$294,$B$7:$B$294,$B22,$A$7:$A$294,"&gt;="&amp;EDATE($A22,-12*'Seasonal Factors'!$E$4),$A$7:$A$294,"&lt;="&amp;EDATE($A22,12*'Seasonal Factors'!$E$4)),"")</f>
        <v>0.980379560390214</v>
      </c>
      <c r="Z22" s="24" t="n">
        <f aca="false">IFERROR(Y22/AVERAGE(Y17:Y28),"")</f>
        <v>0.98111508328721</v>
      </c>
      <c r="AA22" s="23" t="n">
        <f aca="false">IF(ISNUMBER(Tabelle1!K29),(0.5*Tabelle1!K17+SUM(Tabelle1!K18:K28)+0.5*Tabelle1!K29)/12,"")</f>
        <v>108.1893525</v>
      </c>
      <c r="AB22" s="24" t="n">
        <f aca="false">IFERROR(Tabelle1!K23/AA22,"")</f>
        <v>1.04006704356605</v>
      </c>
      <c r="AC22" s="24" t="n">
        <f aca="false">IFERROR(AVERAGEIFS($AB$7:$AB$294,$B$7:$B$294,$B22,$A$7:$A$294,"&gt;="&amp;EDATE($A22,-12*'Seasonal Factors'!$E$4),$A$7:$A$294,"&lt;="&amp;EDATE($A22,12*'Seasonal Factors'!$E$4)),"")</f>
        <v>1.02336226582097</v>
      </c>
      <c r="AD22" s="24" t="n">
        <f aca="false">IFERROR(AC22/AVERAGE(AC17:AC28),"")</f>
        <v>1.02434380906405</v>
      </c>
      <c r="AE22" s="23" t="n">
        <f aca="false">IF(ISNUMBER(Tabelle1!L29),(0.5*Tabelle1!L17+SUM(Tabelle1!L18:L28)+0.5*Tabelle1!L29)/12,"")</f>
        <v>109.410094583333</v>
      </c>
      <c r="AF22" s="24" t="n">
        <f aca="false">IFERROR(Tabelle1!L23/AE22,"")</f>
        <v>0.938618144798164</v>
      </c>
      <c r="AG22" s="24" t="n">
        <f aca="false">IFERROR(AVERAGEIFS($AF$7:$AF$294,$B$7:$B$294,$B22,$A$7:$A$294,"&gt;="&amp;EDATE($A22,-12*'Seasonal Factors'!$E$4),$A$7:$A$294,"&lt;="&amp;EDATE($A22,12*'Seasonal Factors'!$E$4)),"")</f>
        <v>0.971559240879367</v>
      </c>
      <c r="AH22" s="24" t="n">
        <f aca="false">IFERROR(AG22/AVERAGE(AG17:AG28),"")</f>
        <v>0.972121067221688</v>
      </c>
      <c r="AI22" s="23" t="n">
        <f aca="false">IF(ISNUMBER(Tabelle1!M29),(0.5*Tabelle1!M17+SUM(Tabelle1!M18:M28)+0.5*Tabelle1!M29)/12,"")</f>
        <v>112.011417083333</v>
      </c>
      <c r="AJ22" s="24" t="n">
        <f aca="false">IFERROR(Tabelle1!M23/AI22,"")</f>
        <v>1.02868486981355</v>
      </c>
      <c r="AK22" s="24" t="n">
        <f aca="false">IFERROR(AVERAGEIFS($AJ$7:$AJ$294,$B$7:$B$294,$B22,$A$7:$A$294,"&gt;="&amp;EDATE($A22,-12*'Seasonal Factors'!$E$4),$A$7:$A$294,"&lt;="&amp;EDATE($A22,12*'Seasonal Factors'!$E$4)),"")</f>
        <v>1.02419759991601</v>
      </c>
      <c r="AL22" s="24" t="n">
        <f aca="false">IFERROR(AK22/AVERAGE(AK17:AK28),"")</f>
        <v>1.02449038498219</v>
      </c>
      <c r="AM22" s="23" t="n">
        <f aca="false">IF(ISNUMBER(Tabelle1!N29),(0.5*Tabelle1!N17+SUM(Tabelle1!N18:N28)+0.5*Tabelle1!N29)/12,"")</f>
        <v>107.38167375</v>
      </c>
      <c r="AN22" s="24" t="n">
        <f aca="false">IFERROR(Tabelle1!N23/AM22,"")</f>
        <v>0.993084352999294</v>
      </c>
      <c r="AO22" s="24" t="n">
        <f aca="false">IFERROR(AVERAGEIFS($AN$7:$AN$294,$B$7:$B$294,$B22,$A$7:$A$294,"&gt;="&amp;EDATE($A22,-12*'Seasonal Factors'!$E$4),$A$7:$A$294,"&lt;="&amp;EDATE($A22,12*'Seasonal Factors'!$E$4)),"")</f>
        <v>0.987601937030897</v>
      </c>
      <c r="AP22" s="24" t="n">
        <f aca="false">IFERROR(AO22/AVERAGE(AO17:AO28),"")</f>
        <v>0.986740906783101</v>
      </c>
      <c r="AQ22" s="23" t="n">
        <f aca="false">IF(ISNUMBER(Tabelle1!O29),(0.5*Tabelle1!O17+SUM(Tabelle1!O18:O28)+0.5*Tabelle1!O29)/12,"")</f>
        <v>104.151135416667</v>
      </c>
      <c r="AR22" s="24" t="n">
        <f aca="false">IFERROR(Tabelle1!O23/AQ22,"")</f>
        <v>0.998356470949819</v>
      </c>
      <c r="AS22" s="24" t="n">
        <f aca="false">IFERROR(AVERAGEIFS($AR$7:$AR$294,$B$7:$B$294,$B22,$A$7:$A$294,"&gt;="&amp;EDATE($A22,-12*'Seasonal Factors'!$E$4),$A$7:$A$294,"&lt;="&amp;EDATE($A22,12*'Seasonal Factors'!$E$4)),"")</f>
        <v>0.989431849551093</v>
      </c>
      <c r="AT22" s="24" t="n">
        <f aca="false">IFERROR(AS22/AVERAGE(AS17:AS28),"")</f>
        <v>0.989783524355029</v>
      </c>
      <c r="AU22" s="23" t="n">
        <f aca="false">IF(ISNUMBER(Tabelle1!P29),(0.5*Tabelle1!P17+SUM(Tabelle1!P18:P28)+0.5*Tabelle1!P29)/12,"")</f>
        <v>104.0696725</v>
      </c>
      <c r="AV22" s="24" t="n">
        <f aca="false">IFERROR(Tabelle1!P23/AU22,"")</f>
        <v>0.99409796835865</v>
      </c>
      <c r="AW22" s="24" t="n">
        <f aca="false">IFERROR(AVERAGEIFS($AV$7:$AV$294,$B$7:$B$294,$B22,$A$7:$A$294,"&gt;="&amp;EDATE($A22,-12*'Seasonal Factors'!$E$4),$A$7:$A$294,"&lt;="&amp;EDATE($A22,12*'Seasonal Factors'!$E$4)),"")</f>
        <v>0.985393147609236</v>
      </c>
      <c r="AX22" s="24" t="n">
        <f aca="false">IFERROR(AW22/AVERAGE(AW17:AW28),"")</f>
        <v>0.985537312907307</v>
      </c>
      <c r="AY22" s="23" t="n">
        <f aca="false">IF(ISNUMBER(Tabelle1!Q29),(0.5*Tabelle1!Q17+SUM(Tabelle1!Q18:Q28)+0.5*Tabelle1!Q29)/12,"")</f>
        <v>104.782399583333</v>
      </c>
      <c r="AZ22" s="24" t="n">
        <f aca="false">IFERROR(Tabelle1!Q23/AY22,"")</f>
        <v>0.989107144063583</v>
      </c>
      <c r="BA22" s="24" t="n">
        <f aca="false">IFERROR(AVERAGEIFS($AZ$7:$AZ$294,$B$7:$B$294,$B22,$A$7:$A$294,"&gt;="&amp;EDATE($A22,-12*'Seasonal Factors'!$E$4),$A$7:$A$294,"&lt;="&amp;EDATE($A22,12*'Seasonal Factors'!$E$4)),"")</f>
        <v>0.978485613521936</v>
      </c>
      <c r="BB22" s="24" t="n">
        <f aca="false">IFERROR(BA22/AVERAGE(BA17:BA28),"")</f>
        <v>0.978724029545635</v>
      </c>
      <c r="BC22" s="23" t="n">
        <f aca="false">IF(ISNUMBER(Tabelle1!R29),(0.5*Tabelle1!R17+SUM(Tabelle1!R18:R28)+0.5*Tabelle1!R29)/12,"")</f>
        <v>108.03736625</v>
      </c>
      <c r="BD22" s="24" t="n">
        <f aca="false">IFERROR(Tabelle1!R23/BC22,"")</f>
        <v>1.01346213630046</v>
      </c>
      <c r="BE22" s="24" t="n">
        <f aca="false">IFERROR(AVERAGEIFS($BD$7:$BD$294,$B$7:$B$294,$B22,$A$7:$A$294,"&gt;="&amp;EDATE($A22,-12*'Seasonal Factors'!$E$4),$A$7:$A$294,"&lt;="&amp;EDATE($A22,12*'Seasonal Factors'!$E$4)),"")</f>
        <v>1.02870401671514</v>
      </c>
      <c r="BF22" s="24" t="n">
        <f aca="false">IFERROR(BE22/AVERAGE(BE17:BE28),"")</f>
        <v>1.02828416060116</v>
      </c>
      <c r="BG22" s="23" t="n">
        <f aca="false">IF(ISNUMBER(Tabelle1!S29),(0.5*Tabelle1!S17+SUM(Tabelle1!S18:S28)+0.5*Tabelle1!S29)/12,"")</f>
        <v>108.071605416667</v>
      </c>
      <c r="BH22" s="24" t="n">
        <f aca="false">IFERROR(Tabelle1!S23/BG22,"")</f>
        <v>0.981127647648028</v>
      </c>
      <c r="BI22" s="24" t="n">
        <f aca="false">IFERROR(AVERAGEIFS($BH$7:$BH$294,$B$7:$B$294,$B22,$A$7:$A$294,"&gt;="&amp;EDATE($A22,-12*'Seasonal Factors'!$E$4),$A$7:$A$294,"&lt;="&amp;EDATE($A22,12*'Seasonal Factors'!$E$4)),"")</f>
        <v>0.994634047320415</v>
      </c>
      <c r="BJ22" s="24" t="n">
        <f aca="false">IFERROR(BI22/AVERAGE(BI17:BI28),"")</f>
        <v>0.994985350526441</v>
      </c>
    </row>
    <row r="23" customFormat="false" ht="15" hidden="false" customHeight="false" outlineLevel="0" collapsed="false">
      <c r="A23" s="20" t="n">
        <v>38503</v>
      </c>
      <c r="B23" s="22" t="n">
        <f aca="false">MONTH(A23)</f>
        <v>5</v>
      </c>
      <c r="C23" s="23" t="n">
        <f aca="false">IF(ISNUMBER(Tabelle1!E30),(0.5*Tabelle1!E18+SUM(Tabelle1!E19:E29)+0.5*Tabelle1!E30)/12,"")</f>
        <v>119.058897916667</v>
      </c>
      <c r="D23" s="24" t="n">
        <f aca="false">IFERROR(Tabelle1!E24/C23,"")</f>
        <v>2.47662631823105</v>
      </c>
      <c r="E23" s="24" t="n">
        <f aca="false">IFERROR(AVERAGEIFS($D$7:$D$294,$B$7:$B$294,$B23,$A$7:$A$294,"&gt;="&amp;EDATE($A23,-12*'Seasonal Factors'!$E$4),$A$7:$A$294,"&lt;="&amp;EDATE($A23,12*'Seasonal Factors'!$E$4)),"")</f>
        <v>2.39967810202332</v>
      </c>
      <c r="F23" s="24" t="n">
        <f aca="false">IFERROR(E23/AVERAGE(E18:E29),"")</f>
        <v>2.39316335756809</v>
      </c>
      <c r="G23" s="23" t="n">
        <f aca="false">IF(ISNUMBER(Tabelle1!F30),(0.5*Tabelle1!F18+SUM(Tabelle1!F19:F29)+0.5*Tabelle1!F30)/12,"")</f>
        <v>89.7362325</v>
      </c>
      <c r="H23" s="24" t="n">
        <f aca="false">IFERROR(Tabelle1!F24/G23,"")</f>
        <v>2.15358105211292</v>
      </c>
      <c r="I23" s="24" t="n">
        <f aca="false">IFERROR(AVERAGEIFS($H$7:$H$294,$B$7:$B$294,$B23,$A$7:$A$294,"&gt;="&amp;EDATE($A23,-12*'Seasonal Factors'!$E$4),$A$7:$A$294,"&lt;="&amp;EDATE($A23,12*'Seasonal Factors'!$E$4)),"")</f>
        <v>1.88267749476114</v>
      </c>
      <c r="J23" s="24" t="n">
        <f aca="false">IFERROR(I23/AVERAGE(I18:I29),"")</f>
        <v>1.87714379138969</v>
      </c>
      <c r="K23" s="23" t="n">
        <f aca="false">IF(ISNUMBER(Tabelle1!G30),(0.5*Tabelle1!G18+SUM(Tabelle1!G19:G29)+0.5*Tabelle1!G30)/12,"")</f>
        <v>99.8143325</v>
      </c>
      <c r="L23" s="24" t="n">
        <f aca="false">IFERROR(Tabelle1!G24/K23,"")</f>
        <v>1.0449953166796</v>
      </c>
      <c r="M23" s="24" t="n">
        <f aca="false">IFERROR(AVERAGEIFS($L$7:$L$294,$B$7:$B$294,$B23,$A$7:$A$294,"&gt;="&amp;EDATE($A23,-12*'Seasonal Factors'!$E$4),$A$7:$A$294,"&lt;="&amp;EDATE($A23,12*'Seasonal Factors'!$E$4)),"")</f>
        <v>1.0093824928565</v>
      </c>
      <c r="N23" s="24" t="n">
        <f aca="false">IFERROR(M23/AVERAGE(M18:M29),"")</f>
        <v>1.01006038507932</v>
      </c>
      <c r="O23" s="23" t="n">
        <f aca="false">IF(ISNUMBER(Tabelle1!H30),(0.5*Tabelle1!H18+SUM(Tabelle1!H19:H29)+0.5*Tabelle1!H30)/12,"")</f>
        <v>106.379350416667</v>
      </c>
      <c r="P23" s="24" t="n">
        <f aca="false">IFERROR(Tabelle1!H24/O23,"")</f>
        <v>1.0287333920668</v>
      </c>
      <c r="Q23" s="24" t="n">
        <f aca="false">IFERROR(AVERAGEIFS($P$7:$P$294,$B$7:$B$294,$B23,$A$7:$A$294,"&gt;="&amp;EDATE($A23,-12*'Seasonal Factors'!$E$4),$A$7:$A$294,"&lt;="&amp;EDATE($A23,12*'Seasonal Factors'!$E$4)),"")</f>
        <v>1.02600971128434</v>
      </c>
      <c r="R23" s="24" t="n">
        <f aca="false">IFERROR(Q23/AVERAGE(Q18:Q29),"")</f>
        <v>1.02667313459628</v>
      </c>
      <c r="S23" s="23" t="n">
        <f aca="false">IF(ISNUMBER(Tabelle1!I30),(0.5*Tabelle1!I18+SUM(Tabelle1!I19:I29)+0.5*Tabelle1!I30)/12,"")</f>
        <v>105.535595833333</v>
      </c>
      <c r="T23" s="24" t="n">
        <f aca="false">IFERROR(Tabelle1!I24/S23,"")</f>
        <v>1.0237181980819</v>
      </c>
      <c r="U23" s="24" t="n">
        <f aca="false">IFERROR(AVERAGEIFS($T$7:$T$294,$B$7:$B$294,$B23,$A$7:$A$294,"&gt;="&amp;EDATE($A23,-12*'Seasonal Factors'!$E$4),$A$7:$A$294,"&lt;="&amp;EDATE($A23,12*'Seasonal Factors'!$E$4)),"")</f>
        <v>1.01766526919468</v>
      </c>
      <c r="V23" s="24" t="n">
        <f aca="false">IFERROR(U23/AVERAGE(U18:U29),"")</f>
        <v>1.01723352527854</v>
      </c>
      <c r="W23" s="23" t="n">
        <f aca="false">IF(ISNUMBER(Tabelle1!J30),(0.5*Tabelle1!J18+SUM(Tabelle1!J19:J29)+0.5*Tabelle1!J30)/12,"")</f>
        <v>110.529089583333</v>
      </c>
      <c r="X23" s="24" t="n">
        <f aca="false">IFERROR(Tabelle1!J24/W23,"")</f>
        <v>1.00475929385332</v>
      </c>
      <c r="Y23" s="24" t="n">
        <f aca="false">IFERROR(AVERAGEIFS($X$7:$X$294,$B$7:$B$294,$B23,$A$7:$A$294,"&gt;="&amp;EDATE($A23,-12*'Seasonal Factors'!$E$4),$A$7:$A$294,"&lt;="&amp;EDATE($A23,12*'Seasonal Factors'!$E$4)),"")</f>
        <v>0.989222934028861</v>
      </c>
      <c r="Z23" s="24" t="n">
        <f aca="false">IFERROR(Y23/AVERAGE(Y18:Y29),"")</f>
        <v>0.989953081037307</v>
      </c>
      <c r="AA23" s="23" t="n">
        <f aca="false">IF(ISNUMBER(Tabelle1!K30),(0.5*Tabelle1!K18+SUM(Tabelle1!K19:K29)+0.5*Tabelle1!K30)/12,"")</f>
        <v>109.068067083333</v>
      </c>
      <c r="AB23" s="24" t="n">
        <f aca="false">IFERROR(Tabelle1!K24/AA23,"")</f>
        <v>1.05484715257763</v>
      </c>
      <c r="AC23" s="24" t="n">
        <f aca="false">IFERROR(AVERAGEIFS($AB$7:$AB$294,$B$7:$B$294,$B23,$A$7:$A$294,"&gt;="&amp;EDATE($A23,-12*'Seasonal Factors'!$E$4),$A$7:$A$294,"&lt;="&amp;EDATE($A23,12*'Seasonal Factors'!$E$4)),"")</f>
        <v>1.03205237971432</v>
      </c>
      <c r="AD23" s="24" t="n">
        <f aca="false">IFERROR(AC23/AVERAGE(AC18:AC29),"")</f>
        <v>1.03291409689216</v>
      </c>
      <c r="AE23" s="23" t="n">
        <f aca="false">IF(ISNUMBER(Tabelle1!L30),(0.5*Tabelle1!L18+SUM(Tabelle1!L19:L29)+0.5*Tabelle1!L30)/12,"")</f>
        <v>110.568115833333</v>
      </c>
      <c r="AF23" s="24" t="n">
        <f aca="false">IFERROR(Tabelle1!L24/AE23,"")</f>
        <v>0.901433467042515</v>
      </c>
      <c r="AG23" s="24" t="n">
        <f aca="false">IFERROR(AVERAGEIFS($AF$7:$AF$294,$B$7:$B$294,$B23,$A$7:$A$294,"&gt;="&amp;EDATE($A23,-12*'Seasonal Factors'!$E$4),$A$7:$A$294,"&lt;="&amp;EDATE($A23,12*'Seasonal Factors'!$E$4)),"")</f>
        <v>0.928408636078592</v>
      </c>
      <c r="AH23" s="24" t="n">
        <f aca="false">IFERROR(AG23/AVERAGE(AG18:AG29),"")</f>
        <v>0.928851570213772</v>
      </c>
      <c r="AI23" s="23" t="n">
        <f aca="false">IF(ISNUMBER(Tabelle1!M30),(0.5*Tabelle1!M18+SUM(Tabelle1!M19:M29)+0.5*Tabelle1!M30)/12,"")</f>
        <v>113.174991666667</v>
      </c>
      <c r="AJ23" s="24" t="n">
        <f aca="false">IFERROR(Tabelle1!M24/AI23,"")</f>
        <v>1.0989529415325</v>
      </c>
      <c r="AK23" s="24" t="n">
        <f aca="false">IFERROR(AVERAGEIFS($AJ$7:$AJ$294,$B$7:$B$294,$B23,$A$7:$A$294,"&gt;="&amp;EDATE($A23,-12*'Seasonal Factors'!$E$4),$A$7:$A$294,"&lt;="&amp;EDATE($A23,12*'Seasonal Factors'!$E$4)),"")</f>
        <v>1.0788927361984</v>
      </c>
      <c r="AL23" s="24" t="n">
        <f aca="false">IFERROR(AK23/AVERAGE(AK18:AK29),"")</f>
        <v>1.07925120476905</v>
      </c>
      <c r="AM23" s="23" t="n">
        <f aca="false">IF(ISNUMBER(Tabelle1!N30),(0.5*Tabelle1!N18+SUM(Tabelle1!N19:N29)+0.5*Tabelle1!N30)/12,"")</f>
        <v>108.211479583333</v>
      </c>
      <c r="AN23" s="24" t="n">
        <f aca="false">IFERROR(Tabelle1!N24/AM23,"")</f>
        <v>1.01456130553555</v>
      </c>
      <c r="AO23" s="24" t="n">
        <f aca="false">IFERROR(AVERAGEIFS($AN$7:$AN$294,$B$7:$B$294,$B23,$A$7:$A$294,"&gt;="&amp;EDATE($A23,-12*'Seasonal Factors'!$E$4),$A$7:$A$294,"&lt;="&amp;EDATE($A23,12*'Seasonal Factors'!$E$4)),"")</f>
        <v>1.00211586033905</v>
      </c>
      <c r="AP23" s="24" t="n">
        <f aca="false">IFERROR(AO23/AVERAGE(AO18:AO29),"")</f>
        <v>1.00123308923196</v>
      </c>
      <c r="AQ23" s="23" t="n">
        <f aca="false">IF(ISNUMBER(Tabelle1!O30),(0.5*Tabelle1!O18+SUM(Tabelle1!O19:O29)+0.5*Tabelle1!O30)/12,"")</f>
        <v>104.707099583333</v>
      </c>
      <c r="AR23" s="24" t="n">
        <f aca="false">IFERROR(Tabelle1!O24/AQ23,"")</f>
        <v>1.01136714149664</v>
      </c>
      <c r="AS23" s="24" t="n">
        <f aca="false">IFERROR(AVERAGEIFS($AR$7:$AR$294,$B$7:$B$294,$B23,$A$7:$A$294,"&gt;="&amp;EDATE($A23,-12*'Seasonal Factors'!$E$4),$A$7:$A$294,"&lt;="&amp;EDATE($A23,12*'Seasonal Factors'!$E$4)),"")</f>
        <v>1.00838493464613</v>
      </c>
      <c r="AT23" s="24" t="n">
        <f aca="false">IFERROR(AS23/AVERAGE(AS18:AS29),"")</f>
        <v>1.00891042950898</v>
      </c>
      <c r="AU23" s="23" t="n">
        <f aca="false">IF(ISNUMBER(Tabelle1!P30),(0.5*Tabelle1!P18+SUM(Tabelle1!P19:P29)+0.5*Tabelle1!P30)/12,"")</f>
        <v>104.530530833333</v>
      </c>
      <c r="AV23" s="24" t="n">
        <f aca="false">IFERROR(Tabelle1!P24/AU23,"")</f>
        <v>0.999802155091259</v>
      </c>
      <c r="AW23" s="24" t="n">
        <f aca="false">IFERROR(AVERAGEIFS($AV$7:$AV$294,$B$7:$B$294,$B23,$A$7:$A$294,"&gt;="&amp;EDATE($A23,-12*'Seasonal Factors'!$E$4),$A$7:$A$294,"&lt;="&amp;EDATE($A23,12*'Seasonal Factors'!$E$4)),"")</f>
        <v>0.997941166903087</v>
      </c>
      <c r="AX23" s="24" t="n">
        <f aca="false">IFERROR(AW23/AVERAGE(AW18:AW29),"")</f>
        <v>0.998060902615349</v>
      </c>
      <c r="AY23" s="23" t="n">
        <f aca="false">IF(ISNUMBER(Tabelle1!Q30),(0.5*Tabelle1!Q18+SUM(Tabelle1!Q19:Q29)+0.5*Tabelle1!Q30)/12,"")</f>
        <v>105.312977083333</v>
      </c>
      <c r="AZ23" s="24" t="n">
        <f aca="false">IFERROR(Tabelle1!Q24/AY23,"")</f>
        <v>0.998720603224171</v>
      </c>
      <c r="BA23" s="24" t="n">
        <f aca="false">IFERROR(AVERAGEIFS($AZ$7:$AZ$294,$B$7:$B$294,$B23,$A$7:$A$294,"&gt;="&amp;EDATE($A23,-12*'Seasonal Factors'!$E$4),$A$7:$A$294,"&lt;="&amp;EDATE($A23,12*'Seasonal Factors'!$E$4)),"")</f>
        <v>0.997747917630671</v>
      </c>
      <c r="BB23" s="24" t="n">
        <f aca="false">IFERROR(BA23/AVERAGE(BA18:BA29),"")</f>
        <v>0.997955460406259</v>
      </c>
      <c r="BC23" s="23" t="n">
        <f aca="false">IF(ISNUMBER(Tabelle1!R30),(0.5*Tabelle1!R18+SUM(Tabelle1!R19:R29)+0.5*Tabelle1!R30)/12,"")</f>
        <v>108.816405416667</v>
      </c>
      <c r="BD23" s="24" t="n">
        <f aca="false">IFERROR(Tabelle1!R24/BC23,"")</f>
        <v>1.026362059768</v>
      </c>
      <c r="BE23" s="24" t="n">
        <f aca="false">IFERROR(AVERAGEIFS($BD$7:$BD$294,$B$7:$B$294,$B23,$A$7:$A$294,"&gt;="&amp;EDATE($A23,-12*'Seasonal Factors'!$E$4),$A$7:$A$294,"&lt;="&amp;EDATE($A23,12*'Seasonal Factors'!$E$4)),"")</f>
        <v>1.04338185042016</v>
      </c>
      <c r="BF23" s="24" t="n">
        <f aca="false">IFERROR(BE23/AVERAGE(BE18:BE29),"")</f>
        <v>1.04294464612302</v>
      </c>
      <c r="BG23" s="23" t="n">
        <f aca="false">IF(ISNUMBER(Tabelle1!S30),(0.5*Tabelle1!S18+SUM(Tabelle1!S19:S29)+0.5*Tabelle1!S30)/12,"")</f>
        <v>109.051490833333</v>
      </c>
      <c r="BH23" s="24" t="n">
        <f aca="false">IFERROR(Tabelle1!S24/BG23,"")</f>
        <v>0.986652536134899</v>
      </c>
      <c r="BI23" s="24" t="n">
        <f aca="false">IFERROR(AVERAGEIFS($BH$7:$BH$294,$B$7:$B$294,$B23,$A$7:$A$294,"&gt;="&amp;EDATE($A23,-12*'Seasonal Factors'!$E$4),$A$7:$A$294,"&lt;="&amp;EDATE($A23,12*'Seasonal Factors'!$E$4)),"")</f>
        <v>1.00346957051357</v>
      </c>
      <c r="BJ23" s="24" t="n">
        <f aca="false">IFERROR(BI23/AVERAGE(BI18:BI29),"")</f>
        <v>1.00355843045704</v>
      </c>
    </row>
    <row r="24" customFormat="false" ht="15" hidden="false" customHeight="false" outlineLevel="0" collapsed="false">
      <c r="A24" s="20" t="n">
        <v>38533</v>
      </c>
      <c r="B24" s="22" t="n">
        <f aca="false">MONTH(A24)</f>
        <v>6</v>
      </c>
      <c r="C24" s="23" t="n">
        <f aca="false">IF(ISNUMBER(Tabelle1!E31),(0.5*Tabelle1!E19+SUM(Tabelle1!E20:E30)+0.5*Tabelle1!E31)/12,"")</f>
        <v>119.430653333333</v>
      </c>
      <c r="D24" s="24" t="n">
        <f aca="false">IFERROR(Tabelle1!E25/C24,"")</f>
        <v>1.65412986102172</v>
      </c>
      <c r="E24" s="24" t="n">
        <f aca="false">IFERROR(AVERAGEIFS($D$7:$D$294,$B$7:$B$294,$B24,$A$7:$A$294,"&gt;="&amp;EDATE($A24,-12*'Seasonal Factors'!$E$4),$A$7:$A$294,"&lt;="&amp;EDATE($A24,12*'Seasonal Factors'!$E$4)),"")</f>
        <v>1.61345835532279</v>
      </c>
      <c r="F24" s="24" t="n">
        <f aca="false">IFERROR(E24/AVERAGE(E19:E30),"")</f>
        <v>1.61348232596358</v>
      </c>
      <c r="G24" s="23" t="n">
        <f aca="false">IF(ISNUMBER(Tabelle1!F31),(0.5*Tabelle1!F19+SUM(Tabelle1!F20:F30)+0.5*Tabelle1!F31)/12,"")</f>
        <v>90.9696008333334</v>
      </c>
      <c r="H24" s="24" t="n">
        <f aca="false">IFERROR(Tabelle1!F25/G24,"")</f>
        <v>1.21971525634465</v>
      </c>
      <c r="I24" s="24" t="n">
        <f aca="false">IFERROR(AVERAGEIFS($H$7:$H$294,$B$7:$B$294,$B24,$A$7:$A$294,"&gt;="&amp;EDATE($A24,-12*'Seasonal Factors'!$E$4),$A$7:$A$294,"&lt;="&amp;EDATE($A24,12*'Seasonal Factors'!$E$4)),"")</f>
        <v>1.30886030546524</v>
      </c>
      <c r="J24" s="24" t="n">
        <f aca="false">IFERROR(I24/AVERAGE(I19:I30),"")</f>
        <v>1.30429274572264</v>
      </c>
      <c r="K24" s="23" t="n">
        <f aca="false">IF(ISNUMBER(Tabelle1!G31),(0.5*Tabelle1!G19+SUM(Tabelle1!G20:G30)+0.5*Tabelle1!G31)/12,"")</f>
        <v>99.7724133333334</v>
      </c>
      <c r="L24" s="24" t="n">
        <f aca="false">IFERROR(Tabelle1!G25/K24,"")</f>
        <v>0.997217033004848</v>
      </c>
      <c r="M24" s="24" t="n">
        <f aca="false">IFERROR(AVERAGEIFS($L$7:$L$294,$B$7:$B$294,$B24,$A$7:$A$294,"&gt;="&amp;EDATE($A24,-12*'Seasonal Factors'!$E$4),$A$7:$A$294,"&lt;="&amp;EDATE($A24,12*'Seasonal Factors'!$E$4)),"")</f>
        <v>0.993634493086039</v>
      </c>
      <c r="N24" s="24" t="n">
        <f aca="false">IFERROR(M24/AVERAGE(M19:M30),"")</f>
        <v>0.994409843313596</v>
      </c>
      <c r="O24" s="23" t="n">
        <f aca="false">IF(ISNUMBER(Tabelle1!H31),(0.5*Tabelle1!H19+SUM(Tabelle1!H20:H30)+0.5*Tabelle1!H31)/12,"")</f>
        <v>107.08528125</v>
      </c>
      <c r="P24" s="24" t="n">
        <f aca="false">IFERROR(Tabelle1!H25/O24,"")</f>
        <v>1.00821643030424</v>
      </c>
      <c r="Q24" s="24" t="n">
        <f aca="false">IFERROR(AVERAGEIFS($P$7:$P$294,$B$7:$B$294,$B24,$A$7:$A$294,"&gt;="&amp;EDATE($A24,-12*'Seasonal Factors'!$E$4),$A$7:$A$294,"&lt;="&amp;EDATE($A24,12*'Seasonal Factors'!$E$4)),"")</f>
        <v>0.993905038954965</v>
      </c>
      <c r="R24" s="24" t="n">
        <f aca="false">IFERROR(Q24/AVERAGE(Q19:Q30),"")</f>
        <v>0.994429340103348</v>
      </c>
      <c r="S24" s="23" t="n">
        <f aca="false">IF(ISNUMBER(Tabelle1!I31),(0.5*Tabelle1!I19+SUM(Tabelle1!I20:I30)+0.5*Tabelle1!I31)/12,"")</f>
        <v>106.022952083333</v>
      </c>
      <c r="T24" s="24" t="n">
        <f aca="false">IFERROR(Tabelle1!I25/S24,"")</f>
        <v>1.00227118668114</v>
      </c>
      <c r="U24" s="24" t="n">
        <f aca="false">IFERROR(AVERAGEIFS($T$7:$T$294,$B$7:$B$294,$B24,$A$7:$A$294,"&gt;="&amp;EDATE($A24,-12*'Seasonal Factors'!$E$4),$A$7:$A$294,"&lt;="&amp;EDATE($A24,12*'Seasonal Factors'!$E$4)),"")</f>
        <v>1.04365486845632</v>
      </c>
      <c r="V24" s="24" t="n">
        <f aca="false">IFERROR(U24/AVERAGE(U19:U30),"")</f>
        <v>1.04390428132857</v>
      </c>
      <c r="W24" s="23" t="n">
        <f aca="false">IF(ISNUMBER(Tabelle1!J31),(0.5*Tabelle1!J19+SUM(Tabelle1!J20:J30)+0.5*Tabelle1!J31)/12,"")</f>
        <v>111.834470416667</v>
      </c>
      <c r="X24" s="24" t="n">
        <f aca="false">IFERROR(Tabelle1!J25/W24,"")</f>
        <v>1.00131765798849</v>
      </c>
      <c r="Y24" s="24" t="n">
        <f aca="false">IFERROR(AVERAGEIFS($X$7:$X$294,$B$7:$B$294,$B24,$A$7:$A$294,"&gt;="&amp;EDATE($A24,-12*'Seasonal Factors'!$E$4),$A$7:$A$294,"&lt;="&amp;EDATE($A24,12*'Seasonal Factors'!$E$4)),"")</f>
        <v>0.981915235310191</v>
      </c>
      <c r="Z24" s="24" t="n">
        <f aca="false">IFERROR(Y24/AVERAGE(Y19:Y30),"")</f>
        <v>0.982864603712761</v>
      </c>
      <c r="AA24" s="23" t="n">
        <f aca="false">IF(ISNUMBER(Tabelle1!K31),(0.5*Tabelle1!K19+SUM(Tabelle1!K20:K30)+0.5*Tabelle1!K31)/12,"")</f>
        <v>110.009095</v>
      </c>
      <c r="AB24" s="24" t="n">
        <f aca="false">IFERROR(Tabelle1!K25/AA24,"")</f>
        <v>1.02715343672266</v>
      </c>
      <c r="AC24" s="24" t="n">
        <f aca="false">IFERROR(AVERAGEIFS($AB$7:$AB$294,$B$7:$B$294,$B24,$A$7:$A$294,"&gt;="&amp;EDATE($A24,-12*'Seasonal Factors'!$E$4),$A$7:$A$294,"&lt;="&amp;EDATE($A24,12*'Seasonal Factors'!$E$4)),"")</f>
        <v>1.01227331185981</v>
      </c>
      <c r="AD24" s="24" t="n">
        <f aca="false">IFERROR(AC24/AVERAGE(AC19:AC30),"")</f>
        <v>1.01290026854101</v>
      </c>
      <c r="AE24" s="23" t="n">
        <f aca="false">IF(ISNUMBER(Tabelle1!L31),(0.5*Tabelle1!L19+SUM(Tabelle1!L20:L30)+0.5*Tabelle1!L31)/12,"")</f>
        <v>111.6163125</v>
      </c>
      <c r="AF24" s="24" t="n">
        <f aca="false">IFERROR(Tabelle1!L25/AE24,"")</f>
        <v>0.897660456216917</v>
      </c>
      <c r="AG24" s="24" t="n">
        <f aca="false">IFERROR(AVERAGEIFS($AF$7:$AF$294,$B$7:$B$294,$B24,$A$7:$A$294,"&gt;="&amp;EDATE($A24,-12*'Seasonal Factors'!$E$4),$A$7:$A$294,"&lt;="&amp;EDATE($A24,12*'Seasonal Factors'!$E$4)),"")</f>
        <v>0.908566019169415</v>
      </c>
      <c r="AH24" s="24" t="n">
        <f aca="false">IFERROR(AG24/AVERAGE(AG19:AG30),"")</f>
        <v>0.908858135970984</v>
      </c>
      <c r="AI24" s="23" t="n">
        <f aca="false">IF(ISNUMBER(Tabelle1!M31),(0.5*Tabelle1!M19+SUM(Tabelle1!M20:M30)+0.5*Tabelle1!M31)/12,"")</f>
        <v>114.330911666667</v>
      </c>
      <c r="AJ24" s="24" t="n">
        <f aca="false">IFERROR(Tabelle1!M25/AI24,"")</f>
        <v>1.03628177430639</v>
      </c>
      <c r="AK24" s="24" t="n">
        <f aca="false">IFERROR(AVERAGEIFS($AJ$7:$AJ$294,$B$7:$B$294,$B24,$A$7:$A$294,"&gt;="&amp;EDATE($A24,-12*'Seasonal Factors'!$E$4),$A$7:$A$294,"&lt;="&amp;EDATE($A24,12*'Seasonal Factors'!$E$4)),"")</f>
        <v>1.02571767444498</v>
      </c>
      <c r="AL24" s="24" t="n">
        <f aca="false">IFERROR(AK24/AVERAGE(AK19:AK30),"")</f>
        <v>1.02619469989257</v>
      </c>
      <c r="AM24" s="23" t="n">
        <f aca="false">IF(ISNUMBER(Tabelle1!N31),(0.5*Tabelle1!N19+SUM(Tabelle1!N20:N30)+0.5*Tabelle1!N31)/12,"")</f>
        <v>109.255772916667</v>
      </c>
      <c r="AN24" s="24" t="n">
        <f aca="false">IFERROR(Tabelle1!N25/AM24,"")</f>
        <v>1.01075519445759</v>
      </c>
      <c r="AO24" s="24" t="n">
        <f aca="false">IFERROR(AVERAGEIFS($AN$7:$AN$294,$B$7:$B$294,$B24,$A$7:$A$294,"&gt;="&amp;EDATE($A24,-12*'Seasonal Factors'!$E$4),$A$7:$A$294,"&lt;="&amp;EDATE($A24,12*'Seasonal Factors'!$E$4)),"")</f>
        <v>1.01140161211008</v>
      </c>
      <c r="AP24" s="24" t="n">
        <f aca="false">IFERROR(AO24/AVERAGE(AO19:AO30),"")</f>
        <v>1.01063569773485</v>
      </c>
      <c r="AQ24" s="23" t="n">
        <f aca="false">IF(ISNUMBER(Tabelle1!O31),(0.5*Tabelle1!O19+SUM(Tabelle1!O20:O30)+0.5*Tabelle1!O31)/12,"")</f>
        <v>105.333779166667</v>
      </c>
      <c r="AR24" s="24" t="n">
        <f aca="false">IFERROR(Tabelle1!O25/AQ24,"")</f>
        <v>1.01692639196503</v>
      </c>
      <c r="AS24" s="24" t="n">
        <f aca="false">IFERROR(AVERAGEIFS($AR$7:$AR$294,$B$7:$B$294,$B24,$A$7:$A$294,"&gt;="&amp;EDATE($A24,-12*'Seasonal Factors'!$E$4),$A$7:$A$294,"&lt;="&amp;EDATE($A24,12*'Seasonal Factors'!$E$4)),"")</f>
        <v>1.01779051141804</v>
      </c>
      <c r="AT24" s="24" t="n">
        <f aca="false">IFERROR(AS24/AVERAGE(AS19:AS30),"")</f>
        <v>1.01834989844386</v>
      </c>
      <c r="AU24" s="23" t="n">
        <f aca="false">IF(ISNUMBER(Tabelle1!P31),(0.5*Tabelle1!P19+SUM(Tabelle1!P20:P30)+0.5*Tabelle1!P31)/12,"")</f>
        <v>105.045883333333</v>
      </c>
      <c r="AV24" s="24" t="n">
        <f aca="false">IFERROR(Tabelle1!P25/AU24,"")</f>
        <v>1.00913283449312</v>
      </c>
      <c r="AW24" s="24" t="n">
        <f aca="false">IFERROR(AVERAGEIFS($AV$7:$AV$294,$B$7:$B$294,$B24,$A$7:$A$294,"&gt;="&amp;EDATE($A24,-12*'Seasonal Factors'!$E$4),$A$7:$A$294,"&lt;="&amp;EDATE($A24,12*'Seasonal Factors'!$E$4)),"")</f>
        <v>1.00839537587042</v>
      </c>
      <c r="AX24" s="24" t="n">
        <f aca="false">IFERROR(AW24/AVERAGE(AW19:AW30),"")</f>
        <v>1.00850946341231</v>
      </c>
      <c r="AY24" s="23" t="n">
        <f aca="false">IF(ISNUMBER(Tabelle1!Q31),(0.5*Tabelle1!Q19+SUM(Tabelle1!Q20:Q30)+0.5*Tabelle1!Q31)/12,"")</f>
        <v>105.87353</v>
      </c>
      <c r="AZ24" s="24" t="n">
        <f aca="false">IFERROR(Tabelle1!Q25/AY24,"")</f>
        <v>1.02163883644949</v>
      </c>
      <c r="BA24" s="24" t="n">
        <f aca="false">IFERROR(AVERAGEIFS($AZ$7:$AZ$294,$B$7:$B$294,$B24,$A$7:$A$294,"&gt;="&amp;EDATE($A24,-12*'Seasonal Factors'!$E$4),$A$7:$A$294,"&lt;="&amp;EDATE($A24,12*'Seasonal Factors'!$E$4)),"")</f>
        <v>1.02039283447908</v>
      </c>
      <c r="BB24" s="24" t="n">
        <f aca="false">IFERROR(BA24/AVERAGE(BA19:BA30),"")</f>
        <v>1.0206031104296</v>
      </c>
      <c r="BC24" s="23" t="n">
        <f aca="false">IF(ISNUMBER(Tabelle1!R31),(0.5*Tabelle1!R19+SUM(Tabelle1!R20:R30)+0.5*Tabelle1!R31)/12,"")</f>
        <v>109.585550416667</v>
      </c>
      <c r="BD24" s="24" t="n">
        <f aca="false">IFERROR(Tabelle1!R25/BC24,"")</f>
        <v>1.07634071783666</v>
      </c>
      <c r="BE24" s="24" t="n">
        <f aca="false">IFERROR(AVERAGEIFS($BD$7:$BD$294,$B$7:$B$294,$B24,$A$7:$A$294,"&gt;="&amp;EDATE($A24,-12*'Seasonal Factors'!$E$4),$A$7:$A$294,"&lt;="&amp;EDATE($A24,12*'Seasonal Factors'!$E$4)),"")</f>
        <v>1.06671480856947</v>
      </c>
      <c r="BF24" s="24" t="n">
        <f aca="false">IFERROR(BE24/AVERAGE(BE19:BE30),"")</f>
        <v>1.0663552759124</v>
      </c>
      <c r="BG24" s="23" t="n">
        <f aca="false">IF(ISNUMBER(Tabelle1!S31),(0.5*Tabelle1!S19+SUM(Tabelle1!S20:S30)+0.5*Tabelle1!S31)/12,"")</f>
        <v>110.09876625</v>
      </c>
      <c r="BH24" s="24" t="n">
        <f aca="false">IFERROR(Tabelle1!S25/BG24,"")</f>
        <v>1.00420562160477</v>
      </c>
      <c r="BI24" s="24" t="n">
        <f aca="false">IFERROR(AVERAGEIFS($BH$7:$BH$294,$B$7:$B$294,$B24,$A$7:$A$294,"&gt;="&amp;EDATE($A24,-12*'Seasonal Factors'!$E$4),$A$7:$A$294,"&lt;="&amp;EDATE($A24,12*'Seasonal Factors'!$E$4)),"")</f>
        <v>1.00317972485557</v>
      </c>
      <c r="BJ24" s="24" t="n">
        <f aca="false">IFERROR(BI24/AVERAGE(BI19:BI30),"")</f>
        <v>1.00311235148302</v>
      </c>
    </row>
    <row r="25" customFormat="false" ht="15" hidden="false" customHeight="false" outlineLevel="0" collapsed="false">
      <c r="A25" s="20" t="n">
        <v>38564</v>
      </c>
      <c r="B25" s="22" t="n">
        <f aca="false">MONTH(A25)</f>
        <v>7</v>
      </c>
      <c r="C25" s="23" t="n">
        <f aca="false">IF(ISNUMBER(Tabelle1!E32),(0.5*Tabelle1!E20+SUM(Tabelle1!E21:E31)+0.5*Tabelle1!E32)/12,"")</f>
        <v>119.911654583333</v>
      </c>
      <c r="D25" s="24" t="n">
        <f aca="false">IFERROR(Tabelle1!E26/C25,"")</f>
        <v>0.82071280178698</v>
      </c>
      <c r="E25" s="24" t="n">
        <f aca="false">IFERROR(AVERAGEIFS($D$7:$D$294,$B$7:$B$294,$B25,$A$7:$A$294,"&gt;="&amp;EDATE($A25,-12*'Seasonal Factors'!$E$4),$A$7:$A$294,"&lt;="&amp;EDATE($A25,12*'Seasonal Factors'!$E$4)),"")</f>
        <v>0.895780735864828</v>
      </c>
      <c r="F25" s="24" t="n">
        <f aca="false">IFERROR(E25/AVERAGE(E20:E31),"")</f>
        <v>0.897310127157564</v>
      </c>
      <c r="G25" s="23" t="n">
        <f aca="false">IF(ISNUMBER(Tabelle1!F32),(0.5*Tabelle1!F20+SUM(Tabelle1!F21:F31)+0.5*Tabelle1!F32)/12,"")</f>
        <v>92.6743579166667</v>
      </c>
      <c r="H25" s="24" t="n">
        <f aca="false">IFERROR(Tabelle1!F26/G25,"")</f>
        <v>0.804389171673921</v>
      </c>
      <c r="I25" s="24" t="n">
        <f aca="false">IFERROR(AVERAGEIFS($H$7:$H$294,$B$7:$B$294,$B25,$A$7:$A$294,"&gt;="&amp;EDATE($A25,-12*'Seasonal Factors'!$E$4),$A$7:$A$294,"&lt;="&amp;EDATE($A25,12*'Seasonal Factors'!$E$4)),"")</f>
        <v>0.985486219904928</v>
      </c>
      <c r="J25" s="24" t="n">
        <f aca="false">IFERROR(I25/AVERAGE(I20:I31),"")</f>
        <v>0.983820157882417</v>
      </c>
      <c r="K25" s="23" t="n">
        <f aca="false">IF(ISNUMBER(Tabelle1!G32),(0.5*Tabelle1!G20+SUM(Tabelle1!G21:G31)+0.5*Tabelle1!G32)/12,"")</f>
        <v>99.8075979166667</v>
      </c>
      <c r="L25" s="24" t="n">
        <f aca="false">IFERROR(Tabelle1!G26/K25,"")</f>
        <v>1.0432939192359</v>
      </c>
      <c r="M25" s="24" t="n">
        <f aca="false">IFERROR(AVERAGEIFS($L$7:$L$294,$B$7:$B$294,$B25,$A$7:$A$294,"&gt;="&amp;EDATE($A25,-12*'Seasonal Factors'!$E$4),$A$7:$A$294,"&lt;="&amp;EDATE($A25,12*'Seasonal Factors'!$E$4)),"")</f>
        <v>1.01975891293222</v>
      </c>
      <c r="N25" s="24" t="n">
        <f aca="false">IFERROR(M25/AVERAGE(M20:M31),"")</f>
        <v>1.02048910948637</v>
      </c>
      <c r="O25" s="23" t="n">
        <f aca="false">IF(ISNUMBER(Tabelle1!H32),(0.5*Tabelle1!H20+SUM(Tabelle1!H21:H31)+0.5*Tabelle1!H32)/12,"")</f>
        <v>107.738537083333</v>
      </c>
      <c r="P25" s="24" t="n">
        <f aca="false">IFERROR(Tabelle1!H26/O25,"")</f>
        <v>1.00829947148786</v>
      </c>
      <c r="Q25" s="24" t="n">
        <f aca="false">IFERROR(AVERAGEIFS($P$7:$P$294,$B$7:$B$294,$B25,$A$7:$A$294,"&gt;="&amp;EDATE($A25,-12*'Seasonal Factors'!$E$4),$A$7:$A$294,"&lt;="&amp;EDATE($A25,12*'Seasonal Factors'!$E$4)),"")</f>
        <v>1.0175809967368</v>
      </c>
      <c r="R25" s="24" t="n">
        <f aca="false">IFERROR(Q25/AVERAGE(Q20:Q31),"")</f>
        <v>1.01831547590472</v>
      </c>
      <c r="S25" s="23" t="n">
        <f aca="false">IF(ISNUMBER(Tabelle1!I32),(0.5*Tabelle1!I20+SUM(Tabelle1!I21:I31)+0.5*Tabelle1!I32)/12,"")</f>
        <v>106.193261666667</v>
      </c>
      <c r="T25" s="24" t="n">
        <f aca="false">IFERROR(Tabelle1!I26/S25,"")</f>
        <v>1.06083821357341</v>
      </c>
      <c r="U25" s="24" t="n">
        <f aca="false">IFERROR(AVERAGEIFS($T$7:$T$294,$B$7:$B$294,$B25,$A$7:$A$294,"&gt;="&amp;EDATE($A25,-12*'Seasonal Factors'!$E$4),$A$7:$A$294,"&lt;="&amp;EDATE($A25,12*'Seasonal Factors'!$E$4)),"")</f>
        <v>1.04873951336725</v>
      </c>
      <c r="V25" s="24" t="n">
        <f aca="false">IFERROR(U25/AVERAGE(U20:U31),"")</f>
        <v>1.04898520335595</v>
      </c>
      <c r="W25" s="23" t="n">
        <f aca="false">IF(ISNUMBER(Tabelle1!J32),(0.5*Tabelle1!J20+SUM(Tabelle1!J21:J31)+0.5*Tabelle1!J32)/12,"")</f>
        <v>113.16668375</v>
      </c>
      <c r="X25" s="24" t="n">
        <f aca="false">IFERROR(Tabelle1!J26/W25,"")</f>
        <v>0.961817086029085</v>
      </c>
      <c r="Y25" s="24" t="n">
        <f aca="false">IFERROR(AVERAGEIFS($X$7:$X$294,$B$7:$B$294,$B25,$A$7:$A$294,"&gt;="&amp;EDATE($A25,-12*'Seasonal Factors'!$E$4),$A$7:$A$294,"&lt;="&amp;EDATE($A25,12*'Seasonal Factors'!$E$4)),"")</f>
        <v>1.00810275191648</v>
      </c>
      <c r="Z25" s="24" t="n">
        <f aca="false">IFERROR(Y25/AVERAGE(Y20:Y31),"")</f>
        <v>1.00921773814472</v>
      </c>
      <c r="AA25" s="23" t="n">
        <f aca="false">IF(ISNUMBER(Tabelle1!K32),(0.5*Tabelle1!K20+SUM(Tabelle1!K21:K31)+0.5*Tabelle1!K32)/12,"")</f>
        <v>110.852065833333</v>
      </c>
      <c r="AB25" s="24" t="n">
        <f aca="false">IFERROR(Tabelle1!K26/AA25,"")</f>
        <v>0.991016713799177</v>
      </c>
      <c r="AC25" s="24" t="n">
        <f aca="false">IFERROR(AVERAGEIFS($AB$7:$AB$294,$B$7:$B$294,$B25,$A$7:$A$294,"&gt;="&amp;EDATE($A25,-12*'Seasonal Factors'!$E$4),$A$7:$A$294,"&lt;="&amp;EDATE($A25,12*'Seasonal Factors'!$E$4)),"")</f>
        <v>1.01276131481005</v>
      </c>
      <c r="AD25" s="24" t="n">
        <f aca="false">IFERROR(AC25/AVERAGE(AC20:AC31),"")</f>
        <v>1.01386862229751</v>
      </c>
      <c r="AE25" s="23" t="n">
        <f aca="false">IF(ISNUMBER(Tabelle1!L32),(0.5*Tabelle1!L20+SUM(Tabelle1!L21:L31)+0.5*Tabelle1!L32)/12,"")</f>
        <v>112.705595833333</v>
      </c>
      <c r="AF25" s="24" t="n">
        <f aca="false">IFERROR(Tabelle1!L26/AE25,"")</f>
        <v>1.00704990875379</v>
      </c>
      <c r="AG25" s="24" t="n">
        <f aca="false">IFERROR(AVERAGEIFS($AF$7:$AF$294,$B$7:$B$294,$B25,$A$7:$A$294,"&gt;="&amp;EDATE($A25,-12*'Seasonal Factors'!$E$4),$A$7:$A$294,"&lt;="&amp;EDATE($A25,12*'Seasonal Factors'!$E$4)),"")</f>
        <v>0.988892682125389</v>
      </c>
      <c r="AH25" s="24" t="n">
        <f aca="false">IFERROR(AG25/AVERAGE(AG20:AG31),"")</f>
        <v>0.989220601034058</v>
      </c>
      <c r="AI25" s="23" t="n">
        <f aca="false">IF(ISNUMBER(Tabelle1!M32),(0.5*Tabelle1!M20+SUM(Tabelle1!M21:M31)+0.5*Tabelle1!M32)/12,"")</f>
        <v>115.50054</v>
      </c>
      <c r="AJ25" s="24" t="n">
        <f aca="false">IFERROR(Tabelle1!M26/AI25,"")</f>
        <v>1.00812740788918</v>
      </c>
      <c r="AK25" s="24" t="n">
        <f aca="false">IFERROR(AVERAGEIFS($AJ$7:$AJ$294,$B$7:$B$294,$B25,$A$7:$A$294,"&gt;="&amp;EDATE($A25,-12*'Seasonal Factors'!$E$4),$A$7:$A$294,"&lt;="&amp;EDATE($A25,12*'Seasonal Factors'!$E$4)),"")</f>
        <v>1.00523171688949</v>
      </c>
      <c r="AL25" s="24" t="n">
        <f aca="false">IFERROR(AK25/AVERAGE(AK20:AK31),"")</f>
        <v>1.00586899752448</v>
      </c>
      <c r="AM25" s="23" t="n">
        <f aca="false">IF(ISNUMBER(Tabelle1!N32),(0.5*Tabelle1!N20+SUM(Tabelle1!N21:N31)+0.5*Tabelle1!N32)/12,"")</f>
        <v>110.50869125</v>
      </c>
      <c r="AN25" s="24" t="n">
        <f aca="false">IFERROR(Tabelle1!N26/AM25,"")</f>
        <v>1.01838071491956</v>
      </c>
      <c r="AO25" s="24" t="n">
        <f aca="false">IFERROR(AVERAGEIFS($AN$7:$AN$294,$B$7:$B$294,$B25,$A$7:$A$294,"&gt;="&amp;EDATE($A25,-12*'Seasonal Factors'!$E$4),$A$7:$A$294,"&lt;="&amp;EDATE($A25,12*'Seasonal Factors'!$E$4)),"")</f>
        <v>0.993779075681229</v>
      </c>
      <c r="AP25" s="24" t="n">
        <f aca="false">IFERROR(AO25/AVERAGE(AO20:AO31),"")</f>
        <v>0.993540563504559</v>
      </c>
      <c r="AQ25" s="23" t="n">
        <f aca="false">IF(ISNUMBER(Tabelle1!O32),(0.5*Tabelle1!O20+SUM(Tabelle1!O21:O31)+0.5*Tabelle1!O32)/12,"")</f>
        <v>105.986349166667</v>
      </c>
      <c r="AR25" s="24" t="n">
        <f aca="false">IFERROR(Tabelle1!O26/AQ25,"")</f>
        <v>0.986958705743387</v>
      </c>
      <c r="AS25" s="24" t="n">
        <f aca="false">IFERROR(AVERAGEIFS($AR$7:$AR$294,$B$7:$B$294,$B25,$A$7:$A$294,"&gt;="&amp;EDATE($A25,-12*'Seasonal Factors'!$E$4),$A$7:$A$294,"&lt;="&amp;EDATE($A25,12*'Seasonal Factors'!$E$4)),"")</f>
        <v>1.00527402369343</v>
      </c>
      <c r="AT25" s="24" t="n">
        <f aca="false">IFERROR(AS25/AVERAGE(AS20:AS31),"")</f>
        <v>1.00556683869836</v>
      </c>
      <c r="AU25" s="23" t="n">
        <f aca="false">IF(ISNUMBER(Tabelle1!P32),(0.5*Tabelle1!P20+SUM(Tabelle1!P21:P31)+0.5*Tabelle1!P32)/12,"")</f>
        <v>105.468849583333</v>
      </c>
      <c r="AV25" s="24" t="n">
        <f aca="false">IFERROR(Tabelle1!P26/AU25,"")</f>
        <v>0.995391723857296</v>
      </c>
      <c r="AW25" s="24" t="n">
        <f aca="false">IFERROR(AVERAGEIFS($AV$7:$AV$294,$B$7:$B$294,$B25,$A$7:$A$294,"&gt;="&amp;EDATE($A25,-12*'Seasonal Factors'!$E$4),$A$7:$A$294,"&lt;="&amp;EDATE($A25,12*'Seasonal Factors'!$E$4)),"")</f>
        <v>1.00178176456348</v>
      </c>
      <c r="AX25" s="24" t="n">
        <f aca="false">IFERROR(AW25/AVERAGE(AW20:AW31),"")</f>
        <v>1.00175546932092</v>
      </c>
      <c r="AY25" s="23" t="n">
        <f aca="false">IF(ISNUMBER(Tabelle1!Q32),(0.5*Tabelle1!Q20+SUM(Tabelle1!Q21:Q31)+0.5*Tabelle1!Q32)/12,"")</f>
        <v>106.32056625</v>
      </c>
      <c r="AZ25" s="24" t="n">
        <f aca="false">IFERROR(Tabelle1!Q26/AY25,"")</f>
        <v>1.00072002767386</v>
      </c>
      <c r="BA25" s="24" t="n">
        <f aca="false">IFERROR(AVERAGEIFS($AZ$7:$AZ$294,$B$7:$B$294,$B25,$A$7:$A$294,"&gt;="&amp;EDATE($A25,-12*'Seasonal Factors'!$E$4),$A$7:$A$294,"&lt;="&amp;EDATE($A25,12*'Seasonal Factors'!$E$4)),"")</f>
        <v>1.00637707652311</v>
      </c>
      <c r="BB25" s="24" t="n">
        <f aca="false">IFERROR(BA25/AVERAGE(BA20:BA31),"")</f>
        <v>1.00647798455519</v>
      </c>
      <c r="BC25" s="23" t="n">
        <f aca="false">IF(ISNUMBER(Tabelle1!R32),(0.5*Tabelle1!R20+SUM(Tabelle1!R21:R31)+0.5*Tabelle1!R32)/12,"")</f>
        <v>110.10111125</v>
      </c>
      <c r="BD25" s="24" t="n">
        <f aca="false">IFERROR(Tabelle1!R26/BC25,"")</f>
        <v>1.01578784019766</v>
      </c>
      <c r="BE25" s="24" t="n">
        <f aca="false">IFERROR(AVERAGEIFS($BD$7:$BD$294,$B$7:$B$294,$B25,$A$7:$A$294,"&gt;="&amp;EDATE($A25,-12*'Seasonal Factors'!$E$4),$A$7:$A$294,"&lt;="&amp;EDATE($A25,12*'Seasonal Factors'!$E$4)),"")</f>
        <v>1.01153401019944</v>
      </c>
      <c r="BF25" s="24" t="n">
        <f aca="false">IFERROR(BE25/AVERAGE(BE20:BE31),"")</f>
        <v>1.01130991596483</v>
      </c>
      <c r="BG25" s="23" t="n">
        <f aca="false">IF(ISNUMBER(Tabelle1!S32),(0.5*Tabelle1!S20+SUM(Tabelle1!S21:S31)+0.5*Tabelle1!S32)/12,"")</f>
        <v>111.1836625</v>
      </c>
      <c r="BH25" s="24" t="n">
        <f aca="false">IFERROR(Tabelle1!S26/BG25,"")</f>
        <v>1.10235350449982</v>
      </c>
      <c r="BI25" s="24" t="n">
        <f aca="false">IFERROR(AVERAGEIFS($BH$7:$BH$294,$B$7:$B$294,$B25,$A$7:$A$294,"&gt;="&amp;EDATE($A25,-12*'Seasonal Factors'!$E$4),$A$7:$A$294,"&lt;="&amp;EDATE($A25,12*'Seasonal Factors'!$E$4)),"")</f>
        <v>1.08877335683366</v>
      </c>
      <c r="BJ25" s="24" t="n">
        <f aca="false">IFERROR(BI25/AVERAGE(BI20:BI31),"")</f>
        <v>1.08858599067949</v>
      </c>
    </row>
    <row r="26" customFormat="false" ht="15" hidden="false" customHeight="false" outlineLevel="0" collapsed="false">
      <c r="A26" s="20" t="n">
        <v>38595</v>
      </c>
      <c r="B26" s="22" t="n">
        <f aca="false">MONTH(A26)</f>
        <v>8</v>
      </c>
      <c r="C26" s="23" t="n">
        <f aca="false">IF(ISNUMBER(Tabelle1!E33),(0.5*Tabelle1!E21+SUM(Tabelle1!E22:E32)+0.5*Tabelle1!E33)/12,"")</f>
        <v>119.958329583333</v>
      </c>
      <c r="D26" s="24" t="n">
        <f aca="false">IFERROR(Tabelle1!E27/C26,"")</f>
        <v>0.53229033966868</v>
      </c>
      <c r="E26" s="24" t="n">
        <f aca="false">IFERROR(AVERAGEIFS($D$7:$D$294,$B$7:$B$294,$B26,$A$7:$A$294,"&gt;="&amp;EDATE($A26,-12*'Seasonal Factors'!$E$4),$A$7:$A$294,"&lt;="&amp;EDATE($A26,12*'Seasonal Factors'!$E$4)),"")</f>
        <v>0.602366878005178</v>
      </c>
      <c r="F26" s="24" t="n">
        <f aca="false">IFERROR(E26/AVERAGE(E21:E32),"")</f>
        <v>0.603989172274841</v>
      </c>
      <c r="G26" s="23" t="n">
        <f aca="false">IF(ISNUMBER(Tabelle1!F33),(0.5*Tabelle1!F21+SUM(Tabelle1!F22:F32)+0.5*Tabelle1!F33)/12,"")</f>
        <v>95.6957308333333</v>
      </c>
      <c r="H26" s="24" t="n">
        <f aca="false">IFERROR(Tabelle1!F27/G26,"")</f>
        <v>0.589792036786873</v>
      </c>
      <c r="I26" s="24" t="n">
        <f aca="false">IFERROR(AVERAGEIFS($H$7:$H$294,$B$7:$B$294,$B26,$A$7:$A$294,"&gt;="&amp;EDATE($A26,-12*'Seasonal Factors'!$E$4),$A$7:$A$294,"&lt;="&amp;EDATE($A26,12*'Seasonal Factors'!$E$4)),"")</f>
        <v>1.01684645317901</v>
      </c>
      <c r="J26" s="24" t="n">
        <f aca="false">IFERROR(I26/AVERAGE(I21:I32),"")</f>
        <v>1.01796670425876</v>
      </c>
      <c r="K26" s="23" t="n">
        <f aca="false">IF(ISNUMBER(Tabelle1!G33),(0.5*Tabelle1!G21+SUM(Tabelle1!G22:G32)+0.5*Tabelle1!G33)/12,"")</f>
        <v>99.9776579166667</v>
      </c>
      <c r="L26" s="24" t="n">
        <f aca="false">IFERROR(Tabelle1!G27/K26,"")</f>
        <v>1.02802738273454</v>
      </c>
      <c r="M26" s="24" t="n">
        <f aca="false">IFERROR(AVERAGEIFS($L$7:$L$294,$B$7:$B$294,$B26,$A$7:$A$294,"&gt;="&amp;EDATE($A26,-12*'Seasonal Factors'!$E$4),$A$7:$A$294,"&lt;="&amp;EDATE($A26,12*'Seasonal Factors'!$E$4)),"")</f>
        <v>1.0098905172797</v>
      </c>
      <c r="N26" s="24" t="n">
        <f aca="false">IFERROR(M26/AVERAGE(M21:M32),"")</f>
        <v>1.01033715122948</v>
      </c>
      <c r="O26" s="23" t="n">
        <f aca="false">IF(ISNUMBER(Tabelle1!H33),(0.5*Tabelle1!H21+SUM(Tabelle1!H22:H32)+0.5*Tabelle1!H33)/12,"")</f>
        <v>108.38978625</v>
      </c>
      <c r="P26" s="24" t="n">
        <f aca="false">IFERROR(Tabelle1!H27/O26,"")</f>
        <v>1.01228993797375</v>
      </c>
      <c r="Q26" s="24" t="n">
        <f aca="false">IFERROR(AVERAGEIFS($P$7:$P$294,$B$7:$B$294,$B26,$A$7:$A$294,"&gt;="&amp;EDATE($A26,-12*'Seasonal Factors'!$E$4),$A$7:$A$294,"&lt;="&amp;EDATE($A26,12*'Seasonal Factors'!$E$4)),"")</f>
        <v>1.01934172114803</v>
      </c>
      <c r="R26" s="24" t="n">
        <f aca="false">IFERROR(Q26/AVERAGE(Q21:Q32),"")</f>
        <v>1.02052400884936</v>
      </c>
      <c r="S26" s="23" t="n">
        <f aca="false">IF(ISNUMBER(Tabelle1!I33),(0.5*Tabelle1!I21+SUM(Tabelle1!I22:I32)+0.5*Tabelle1!I33)/12,"")</f>
        <v>106.552440416667</v>
      </c>
      <c r="T26" s="24" t="n">
        <f aca="false">IFERROR(Tabelle1!I27/S26,"")</f>
        <v>1.05104284389983</v>
      </c>
      <c r="U26" s="24" t="n">
        <f aca="false">IFERROR(AVERAGEIFS($T$7:$T$294,$B$7:$B$294,$B26,$A$7:$A$294,"&gt;="&amp;EDATE($A26,-12*'Seasonal Factors'!$E$4),$A$7:$A$294,"&lt;="&amp;EDATE($A26,12*'Seasonal Factors'!$E$4)),"")</f>
        <v>1.03412148358364</v>
      </c>
      <c r="V26" s="24" t="n">
        <f aca="false">IFERROR(U26/AVERAGE(U21:U32),"")</f>
        <v>1.03447758434659</v>
      </c>
      <c r="W26" s="23" t="n">
        <f aca="false">IF(ISNUMBER(Tabelle1!J33),(0.5*Tabelle1!J21+SUM(Tabelle1!J22:J32)+0.5*Tabelle1!J33)/12,"")</f>
        <v>114.485564166667</v>
      </c>
      <c r="X26" s="24" t="n">
        <f aca="false">IFERROR(Tabelle1!J27/W26,"")</f>
        <v>0.992970955137233</v>
      </c>
      <c r="Y26" s="24" t="n">
        <f aca="false">IFERROR(AVERAGEIFS($X$7:$X$294,$B$7:$B$294,$B26,$A$7:$A$294,"&gt;="&amp;EDATE($A26,-12*'Seasonal Factors'!$E$4),$A$7:$A$294,"&lt;="&amp;EDATE($A26,12*'Seasonal Factors'!$E$4)),"")</f>
        <v>1.01598045159152</v>
      </c>
      <c r="Z26" s="24" t="n">
        <f aca="false">IFERROR(Y26/AVERAGE(Y21:Y32),"")</f>
        <v>1.01731759582402</v>
      </c>
      <c r="AA26" s="23" t="n">
        <f aca="false">IF(ISNUMBER(Tabelle1!K33),(0.5*Tabelle1!K21+SUM(Tabelle1!K22:K32)+0.5*Tabelle1!K33)/12,"")</f>
        <v>111.720049583333</v>
      </c>
      <c r="AB26" s="24" t="n">
        <f aca="false">IFERROR(Tabelle1!K27/AA26,"")</f>
        <v>1.00134282447265</v>
      </c>
      <c r="AC26" s="24" t="n">
        <f aca="false">IFERROR(AVERAGEIFS($AB$7:$AB$294,$B$7:$B$294,$B26,$A$7:$A$294,"&gt;="&amp;EDATE($A26,-12*'Seasonal Factors'!$E$4),$A$7:$A$294,"&lt;="&amp;EDATE($A26,12*'Seasonal Factors'!$E$4)),"")</f>
        <v>1.0045114699327</v>
      </c>
      <c r="AD26" s="24" t="n">
        <f aca="false">IFERROR(AC26/AVERAGE(AC21:AC32),"")</f>
        <v>1.00609299215058</v>
      </c>
      <c r="AE26" s="23" t="n">
        <f aca="false">IF(ISNUMBER(Tabelle1!L33),(0.5*Tabelle1!L21+SUM(Tabelle1!L22:L32)+0.5*Tabelle1!L33)/12,"")</f>
        <v>113.93515625</v>
      </c>
      <c r="AF26" s="24" t="n">
        <f aca="false">IFERROR(Tabelle1!L27/AE26,"")</f>
        <v>1.00846660312541</v>
      </c>
      <c r="AG26" s="24" t="n">
        <f aca="false">IFERROR(AVERAGEIFS($AF$7:$AF$294,$B$7:$B$294,$B26,$A$7:$A$294,"&gt;="&amp;EDATE($A26,-12*'Seasonal Factors'!$E$4),$A$7:$A$294,"&lt;="&amp;EDATE($A26,12*'Seasonal Factors'!$E$4)),"")</f>
        <v>0.983909961993047</v>
      </c>
      <c r="AH26" s="24" t="n">
        <f aca="false">IFERROR(AG26/AVERAGE(AG21:AG32),"")</f>
        <v>0.984410311313208</v>
      </c>
      <c r="AI26" s="23" t="n">
        <f aca="false">IF(ISNUMBER(Tabelle1!M33),(0.5*Tabelle1!M21+SUM(Tabelle1!M22:M32)+0.5*Tabelle1!M33)/12,"")</f>
        <v>116.6434775</v>
      </c>
      <c r="AJ26" s="24" t="n">
        <f aca="false">IFERROR(Tabelle1!M27/AI26,"")</f>
        <v>0.989275718395827</v>
      </c>
      <c r="AK26" s="24" t="n">
        <f aca="false">IFERROR(AVERAGEIFS($AJ$7:$AJ$294,$B$7:$B$294,$B26,$A$7:$A$294,"&gt;="&amp;EDATE($A26,-12*'Seasonal Factors'!$E$4),$A$7:$A$294,"&lt;="&amp;EDATE($A26,12*'Seasonal Factors'!$E$4)),"")</f>
        <v>0.991248624522727</v>
      </c>
      <c r="AL26" s="24" t="n">
        <f aca="false">IFERROR(AK26/AVERAGE(AK21:AK32),"")</f>
        <v>0.992023075304691</v>
      </c>
      <c r="AM26" s="23" t="n">
        <f aca="false">IF(ISNUMBER(Tabelle1!N33),(0.5*Tabelle1!N21+SUM(Tabelle1!N22:N32)+0.5*Tabelle1!N33)/12,"")</f>
        <v>111.723098333333</v>
      </c>
      <c r="AN26" s="24" t="n">
        <f aca="false">IFERROR(Tabelle1!N27/AM26,"")</f>
        <v>0.988008313828389</v>
      </c>
      <c r="AO26" s="24" t="n">
        <f aca="false">IFERROR(AVERAGEIFS($AN$7:$AN$294,$B$7:$B$294,$B26,$A$7:$A$294,"&gt;="&amp;EDATE($A26,-12*'Seasonal Factors'!$E$4),$A$7:$A$294,"&lt;="&amp;EDATE($A26,12*'Seasonal Factors'!$E$4)),"")</f>
        <v>1.00725163518362</v>
      </c>
      <c r="AP26" s="24" t="n">
        <f aca="false">IFERROR(AO26/AVERAGE(AO21:AO32),"")</f>
        <v>1.00727809303568</v>
      </c>
      <c r="AQ26" s="23" t="n">
        <f aca="false">IF(ISNUMBER(Tabelle1!O33),(0.5*Tabelle1!O21+SUM(Tabelle1!O22:O32)+0.5*Tabelle1!O33)/12,"")</f>
        <v>106.581589166667</v>
      </c>
      <c r="AR26" s="24" t="n">
        <f aca="false">IFERROR(Tabelle1!O27/AQ26,"")</f>
        <v>1.01189315005757</v>
      </c>
      <c r="AS26" s="24" t="n">
        <f aca="false">IFERROR(AVERAGEIFS($AR$7:$AR$294,$B$7:$B$294,$B26,$A$7:$A$294,"&gt;="&amp;EDATE($A26,-12*'Seasonal Factors'!$E$4),$A$7:$A$294,"&lt;="&amp;EDATE($A26,12*'Seasonal Factors'!$E$4)),"")</f>
        <v>1.0077340476998</v>
      </c>
      <c r="AT26" s="24" t="n">
        <f aca="false">IFERROR(AS26/AVERAGE(AS21:AS32),"")</f>
        <v>1.00783351056764</v>
      </c>
      <c r="AU26" s="23" t="n">
        <f aca="false">IF(ISNUMBER(Tabelle1!P33),(0.5*Tabelle1!P21+SUM(Tabelle1!P22:P32)+0.5*Tabelle1!P33)/12,"")</f>
        <v>105.771847916667</v>
      </c>
      <c r="AV26" s="24" t="n">
        <f aca="false">IFERROR(Tabelle1!P27/AU26,"")</f>
        <v>0.996973316407227</v>
      </c>
      <c r="AW26" s="24" t="n">
        <f aca="false">IFERROR(AVERAGEIFS($AV$7:$AV$294,$B$7:$B$294,$B26,$A$7:$A$294,"&gt;="&amp;EDATE($A26,-12*'Seasonal Factors'!$E$4),$A$7:$A$294,"&lt;="&amp;EDATE($A26,12*'Seasonal Factors'!$E$4)),"")</f>
        <v>1.00241107359618</v>
      </c>
      <c r="AX26" s="24" t="n">
        <f aca="false">IFERROR(AW26/AVERAGE(AW21:AW32),"")</f>
        <v>1.00230287984395</v>
      </c>
      <c r="AY26" s="23" t="n">
        <f aca="false">IF(ISNUMBER(Tabelle1!Q33),(0.5*Tabelle1!Q21+SUM(Tabelle1!Q22:Q32)+0.5*Tabelle1!Q33)/12,"")</f>
        <v>106.652780833333</v>
      </c>
      <c r="AZ26" s="24" t="n">
        <f aca="false">IFERROR(Tabelle1!Q27/AY26,"")</f>
        <v>1.00114557881859</v>
      </c>
      <c r="BA26" s="24" t="n">
        <f aca="false">IFERROR(AVERAGEIFS($AZ$7:$AZ$294,$B$7:$B$294,$B26,$A$7:$A$294,"&gt;="&amp;EDATE($A26,-12*'Seasonal Factors'!$E$4),$A$7:$A$294,"&lt;="&amp;EDATE($A26,12*'Seasonal Factors'!$E$4)),"")</f>
        <v>1.007526553539</v>
      </c>
      <c r="BB26" s="24" t="n">
        <f aca="false">IFERROR(BA26/AVERAGE(BA21:BA32),"")</f>
        <v>1.00754422909439</v>
      </c>
      <c r="BC26" s="23" t="n">
        <f aca="false">IF(ISNUMBER(Tabelle1!R33),(0.5*Tabelle1!R21+SUM(Tabelle1!R22:R32)+0.5*Tabelle1!R33)/12,"")</f>
        <v>110.381339583333</v>
      </c>
      <c r="BD26" s="24" t="n">
        <f aca="false">IFERROR(Tabelle1!R27/BC26,"")</f>
        <v>1.04628445746312</v>
      </c>
      <c r="BE26" s="24" t="n">
        <f aca="false">IFERROR(AVERAGEIFS($BD$7:$BD$294,$B$7:$B$294,$B26,$A$7:$A$294,"&gt;="&amp;EDATE($A26,-12*'Seasonal Factors'!$E$4),$A$7:$A$294,"&lt;="&amp;EDATE($A26,12*'Seasonal Factors'!$E$4)),"")</f>
        <v>1.03995225584609</v>
      </c>
      <c r="BF26" s="24" t="n">
        <f aca="false">IFERROR(BE26/AVERAGE(BE21:BE32),"")</f>
        <v>1.03984159979356</v>
      </c>
      <c r="BG26" s="23" t="n">
        <f aca="false">IF(ISNUMBER(Tabelle1!S33),(0.5*Tabelle1!S21+SUM(Tabelle1!S22:S32)+0.5*Tabelle1!S33)/12,"")</f>
        <v>112.117747083333</v>
      </c>
      <c r="BH26" s="24" t="n">
        <f aca="false">IFERROR(Tabelle1!S27/BG26,"")</f>
        <v>0.999054413006939</v>
      </c>
      <c r="BI26" s="24" t="n">
        <f aca="false">IFERROR(AVERAGEIFS($BH$7:$BH$294,$B$7:$B$294,$B26,$A$7:$A$294,"&gt;="&amp;EDATE($A26,-12*'Seasonal Factors'!$E$4),$A$7:$A$294,"&lt;="&amp;EDATE($A26,12*'Seasonal Factors'!$E$4)),"")</f>
        <v>1.02059486022524</v>
      </c>
      <c r="BJ26" s="24" t="n">
        <f aca="false">IFERROR(BI26/AVERAGE(BI21:BI32),"")</f>
        <v>1.02033582263609</v>
      </c>
    </row>
    <row r="27" customFormat="false" ht="15" hidden="false" customHeight="false" outlineLevel="0" collapsed="false">
      <c r="A27" s="20" t="n">
        <v>38625</v>
      </c>
      <c r="B27" s="22" t="n">
        <f aca="false">MONTH(A27)</f>
        <v>9</v>
      </c>
      <c r="C27" s="23" t="n">
        <f aca="false">IF(ISNUMBER(Tabelle1!E34),(0.5*Tabelle1!E22+SUM(Tabelle1!E23:E33)+0.5*Tabelle1!E34)/12,"")</f>
        <v>119.372000416667</v>
      </c>
      <c r="D27" s="24" t="n">
        <f aca="false">IFERROR(Tabelle1!E28/C27,"")</f>
        <v>0.497507118861252</v>
      </c>
      <c r="E27" s="24" t="n">
        <f aca="false">IFERROR(AVERAGEIFS($D$7:$D$294,$B$7:$B$294,$B27,$A$7:$A$294,"&gt;="&amp;EDATE($A27,-12*'Seasonal Factors'!$E$4),$A$7:$A$294,"&lt;="&amp;EDATE($A27,12*'Seasonal Factors'!$E$4)),"")</f>
        <v>0.565712036774173</v>
      </c>
      <c r="F27" s="24" t="n">
        <f aca="false">IFERROR(E27/AVERAGE(E22:E33),"")</f>
        <v>0.567663149970106</v>
      </c>
      <c r="G27" s="23" t="n">
        <f aca="false">IF(ISNUMBER(Tabelle1!F34),(0.5*Tabelle1!F22+SUM(Tabelle1!F23:F33)+0.5*Tabelle1!F34)/12,"")</f>
        <v>102.168835833333</v>
      </c>
      <c r="H27" s="24" t="n">
        <f aca="false">IFERROR(Tabelle1!F28/G27,"")</f>
        <v>0.403326118614301</v>
      </c>
      <c r="I27" s="24" t="n">
        <f aca="false">IFERROR(AVERAGEIFS($H$7:$H$294,$B$7:$B$294,$B27,$A$7:$A$294,"&gt;="&amp;EDATE($A27,-12*'Seasonal Factors'!$E$4),$A$7:$A$294,"&lt;="&amp;EDATE($A27,12*'Seasonal Factors'!$E$4)),"")</f>
        <v>0.736564224635589</v>
      </c>
      <c r="J27" s="24" t="n">
        <f aca="false">IFERROR(I27/AVERAGE(I22:I33),"")</f>
        <v>0.74308358540093</v>
      </c>
      <c r="K27" s="23" t="n">
        <f aca="false">IF(ISNUMBER(Tabelle1!G34),(0.5*Tabelle1!G22+SUM(Tabelle1!G23:G33)+0.5*Tabelle1!G34)/12,"")</f>
        <v>100.226095833333</v>
      </c>
      <c r="L27" s="24" t="n">
        <f aca="false">IFERROR(Tabelle1!G28/K27,"")</f>
        <v>0.978199232294085</v>
      </c>
      <c r="M27" s="24" t="n">
        <f aca="false">IFERROR(AVERAGEIFS($L$7:$L$294,$B$7:$B$294,$B27,$A$7:$A$294,"&gt;="&amp;EDATE($A27,-12*'Seasonal Factors'!$E$4),$A$7:$A$294,"&lt;="&amp;EDATE($A27,12*'Seasonal Factors'!$E$4)),"")</f>
        <v>1.00077222098103</v>
      </c>
      <c r="N27" s="24" t="n">
        <f aca="false">IFERROR(M27/AVERAGE(M22:M33),"")</f>
        <v>1.00121381064311</v>
      </c>
      <c r="O27" s="23" t="n">
        <f aca="false">IF(ISNUMBER(Tabelle1!H34),(0.5*Tabelle1!H22+SUM(Tabelle1!H23:H33)+0.5*Tabelle1!H34)/12,"")</f>
        <v>109.177625416667</v>
      </c>
      <c r="P27" s="24" t="n">
        <f aca="false">IFERROR(Tabelle1!H28/O27,"")</f>
        <v>0.995526506325791</v>
      </c>
      <c r="Q27" s="24" t="n">
        <f aca="false">IFERROR(AVERAGEIFS($P$7:$P$294,$B$7:$B$294,$B27,$A$7:$A$294,"&gt;="&amp;EDATE($A27,-12*'Seasonal Factors'!$E$4),$A$7:$A$294,"&lt;="&amp;EDATE($A27,12*'Seasonal Factors'!$E$4)),"")</f>
        <v>1.02937088913707</v>
      </c>
      <c r="R27" s="24" t="n">
        <f aca="false">IFERROR(Q27/AVERAGE(Q22:Q33),"")</f>
        <v>1.03050936771266</v>
      </c>
      <c r="S27" s="23" t="n">
        <f aca="false">IF(ISNUMBER(Tabelle1!I34),(0.5*Tabelle1!I22+SUM(Tabelle1!I23:I33)+0.5*Tabelle1!I34)/12,"")</f>
        <v>106.831017916667</v>
      </c>
      <c r="T27" s="24" t="n">
        <f aca="false">IFERROR(Tabelle1!I28/S27,"")</f>
        <v>0.990448673647736</v>
      </c>
      <c r="U27" s="24" t="n">
        <f aca="false">IFERROR(AVERAGEIFS($T$7:$T$294,$B$7:$B$294,$B27,$A$7:$A$294,"&gt;="&amp;EDATE($A27,-12*'Seasonal Factors'!$E$4),$A$7:$A$294,"&lt;="&amp;EDATE($A27,12*'Seasonal Factors'!$E$4)),"")</f>
        <v>0.974140899011967</v>
      </c>
      <c r="V27" s="24" t="n">
        <f aca="false">IFERROR(U27/AVERAGE(U22:U33),"")</f>
        <v>0.974065445272938</v>
      </c>
      <c r="W27" s="23" t="n">
        <f aca="false">IF(ISNUMBER(Tabelle1!J34),(0.5*Tabelle1!J22+SUM(Tabelle1!J23:J33)+0.5*Tabelle1!J34)/12,"")</f>
        <v>115.692444583333</v>
      </c>
      <c r="X27" s="24" t="n">
        <f aca="false">IFERROR(Tabelle1!J28/W27,"")</f>
        <v>1.01974178542853</v>
      </c>
      <c r="Y27" s="24" t="n">
        <f aca="false">IFERROR(AVERAGEIFS($X$7:$X$294,$B$7:$B$294,$B27,$A$7:$A$294,"&gt;="&amp;EDATE($A27,-12*'Seasonal Factors'!$E$4),$A$7:$A$294,"&lt;="&amp;EDATE($A27,12*'Seasonal Factors'!$E$4)),"")</f>
        <v>1.03207352680942</v>
      </c>
      <c r="Z27" s="24" t="n">
        <f aca="false">IFERROR(Y27/AVERAGE(Y22:Y33),"")</f>
        <v>1.03375592898786</v>
      </c>
      <c r="AA27" s="23" t="n">
        <f aca="false">IF(ISNUMBER(Tabelle1!K34),(0.5*Tabelle1!K22+SUM(Tabelle1!K23:K33)+0.5*Tabelle1!K34)/12,"")</f>
        <v>112.665069166667</v>
      </c>
      <c r="AB27" s="24" t="n">
        <f aca="false">IFERROR(Tabelle1!K28/AA27,"")</f>
        <v>0.98879067686189</v>
      </c>
      <c r="AC27" s="24" t="n">
        <f aca="false">IFERROR(AVERAGEIFS($AB$7:$AB$294,$B$7:$B$294,$B27,$A$7:$A$294,"&gt;="&amp;EDATE($A27,-12*'Seasonal Factors'!$E$4),$A$7:$A$294,"&lt;="&amp;EDATE($A27,12*'Seasonal Factors'!$E$4)),"")</f>
        <v>1.00844781872262</v>
      </c>
      <c r="AD27" s="24" t="n">
        <f aca="false">IFERROR(AC27/AVERAGE(AC22:AC33),"")</f>
        <v>1.01006687685077</v>
      </c>
      <c r="AE27" s="23" t="n">
        <f aca="false">IF(ISNUMBER(Tabelle1!L34),(0.5*Tabelle1!L22+SUM(Tabelle1!L23:L33)+0.5*Tabelle1!L34)/12,"")</f>
        <v>115.218552916667</v>
      </c>
      <c r="AF27" s="24" t="n">
        <f aca="false">IFERROR(Tabelle1!L28/AE27,"")</f>
        <v>1.02195798349562</v>
      </c>
      <c r="AG27" s="24" t="n">
        <f aca="false">IFERROR(AVERAGEIFS($AF$7:$AF$294,$B$7:$B$294,$B27,$A$7:$A$294,"&gt;="&amp;EDATE($A27,-12*'Seasonal Factors'!$E$4),$A$7:$A$294,"&lt;="&amp;EDATE($A27,12*'Seasonal Factors'!$E$4)),"")</f>
        <v>0.991358203102</v>
      </c>
      <c r="AH27" s="24" t="n">
        <f aca="false">IFERROR(AG27/AVERAGE(AG22:AG33),"")</f>
        <v>0.992215131392148</v>
      </c>
      <c r="AI27" s="23" t="n">
        <f aca="false">IF(ISNUMBER(Tabelle1!M34),(0.5*Tabelle1!M22+SUM(Tabelle1!M23:M33)+0.5*Tabelle1!M34)/12,"")</f>
        <v>117.845923333333</v>
      </c>
      <c r="AJ27" s="24" t="n">
        <f aca="false">IFERROR(Tabelle1!M28/AI27,"")</f>
        <v>0.972330283126468</v>
      </c>
      <c r="AK27" s="24" t="n">
        <f aca="false">IFERROR(AVERAGEIFS($AJ$7:$AJ$294,$B$7:$B$294,$B27,$A$7:$A$294,"&gt;="&amp;EDATE($A27,-12*'Seasonal Factors'!$E$4),$A$7:$A$294,"&lt;="&amp;EDATE($A27,12*'Seasonal Factors'!$E$4)),"")</f>
        <v>0.978785734130579</v>
      </c>
      <c r="AL27" s="24" t="n">
        <f aca="false">IFERROR(AK27/AVERAGE(AK22:AK33),"")</f>
        <v>0.979586725401942</v>
      </c>
      <c r="AM27" s="23" t="n">
        <f aca="false">IF(ISNUMBER(Tabelle1!N34),(0.5*Tabelle1!N22+SUM(Tabelle1!N23:N33)+0.5*Tabelle1!N34)/12,"")</f>
        <v>112.796224166667</v>
      </c>
      <c r="AN27" s="24" t="n">
        <f aca="false">IFERROR(Tabelle1!N28/AM27,"")</f>
        <v>0.97833257110579</v>
      </c>
      <c r="AO27" s="24" t="n">
        <f aca="false">IFERROR(AVERAGEIFS($AN$7:$AN$294,$B$7:$B$294,$B27,$A$7:$A$294,"&gt;="&amp;EDATE($A27,-12*'Seasonal Factors'!$E$4),$A$7:$A$294,"&lt;="&amp;EDATE($A27,12*'Seasonal Factors'!$E$4)),"")</f>
        <v>0.992088013747748</v>
      </c>
      <c r="AP27" s="24" t="n">
        <f aca="false">IFERROR(AO27/AVERAGE(AO22:AO33),"")</f>
        <v>0.991954616617352</v>
      </c>
      <c r="AQ27" s="23" t="n">
        <f aca="false">IF(ISNUMBER(Tabelle1!O34),(0.5*Tabelle1!O22+SUM(Tabelle1!O23:O33)+0.5*Tabelle1!O34)/12,"")</f>
        <v>107.2074575</v>
      </c>
      <c r="AR27" s="24" t="n">
        <f aca="false">IFERROR(Tabelle1!O28/AQ27,"")</f>
        <v>1.01880020799859</v>
      </c>
      <c r="AS27" s="24" t="n">
        <f aca="false">IFERROR(AVERAGEIFS($AR$7:$AR$294,$B$7:$B$294,$B27,$A$7:$A$294,"&gt;="&amp;EDATE($A27,-12*'Seasonal Factors'!$E$4),$A$7:$A$294,"&lt;="&amp;EDATE($A27,12*'Seasonal Factors'!$E$4)),"")</f>
        <v>1.01168497889514</v>
      </c>
      <c r="AT27" s="24" t="n">
        <f aca="false">IFERROR(AS27/AVERAGE(AS22:AS33),"")</f>
        <v>1.01160714737939</v>
      </c>
      <c r="AU27" s="23" t="n">
        <f aca="false">IF(ISNUMBER(Tabelle1!P34),(0.5*Tabelle1!P22+SUM(Tabelle1!P23:P33)+0.5*Tabelle1!P34)/12,"")</f>
        <v>106.045666666667</v>
      </c>
      <c r="AV27" s="24" t="n">
        <f aca="false">IFERROR(Tabelle1!P28/AU27,"")</f>
        <v>1.00186545419112</v>
      </c>
      <c r="AW27" s="24" t="n">
        <f aca="false">IFERROR(AVERAGEIFS($AV$7:$AV$294,$B$7:$B$294,$B27,$A$7:$A$294,"&gt;="&amp;EDATE($A27,-12*'Seasonal Factors'!$E$4),$A$7:$A$294,"&lt;="&amp;EDATE($A27,12*'Seasonal Factors'!$E$4)),"")</f>
        <v>1.00610293259333</v>
      </c>
      <c r="AX27" s="24" t="n">
        <f aca="false">IFERROR(AW27/AVERAGE(AW22:AW33),"")</f>
        <v>1.00594347646557</v>
      </c>
      <c r="AY27" s="23" t="n">
        <f aca="false">IF(ISNUMBER(Tabelle1!Q34),(0.5*Tabelle1!Q22+SUM(Tabelle1!Q23:Q33)+0.5*Tabelle1!Q34)/12,"")</f>
        <v>106.919935</v>
      </c>
      <c r="AZ27" s="24" t="n">
        <f aca="false">IFERROR(Tabelle1!Q28/AY27,"")</f>
        <v>1.00750435360815</v>
      </c>
      <c r="BA27" s="24" t="n">
        <f aca="false">IFERROR(AVERAGEIFS($AZ$7:$AZ$294,$B$7:$B$294,$B27,$A$7:$A$294,"&gt;="&amp;EDATE($A27,-12*'Seasonal Factors'!$E$4),$A$7:$A$294,"&lt;="&amp;EDATE($A27,12*'Seasonal Factors'!$E$4)),"")</f>
        <v>1.011075847123</v>
      </c>
      <c r="BB27" s="24" t="n">
        <f aca="false">IFERROR(BA27/AVERAGE(BA22:BA33),"")</f>
        <v>1.01101368532773</v>
      </c>
      <c r="BC27" s="23" t="n">
        <f aca="false">IF(ISNUMBER(Tabelle1!R34),(0.5*Tabelle1!R22+SUM(Tabelle1!R23:R33)+0.5*Tabelle1!R34)/12,"")</f>
        <v>110.524279583333</v>
      </c>
      <c r="BD27" s="24" t="n">
        <f aca="false">IFERROR(Tabelle1!R28/BC27,"")</f>
        <v>1.03194809710571</v>
      </c>
      <c r="BE27" s="24" t="n">
        <f aca="false">IFERROR(AVERAGEIFS($BD$7:$BD$294,$B$7:$B$294,$B27,$A$7:$A$294,"&gt;="&amp;EDATE($A27,-12*'Seasonal Factors'!$E$4),$A$7:$A$294,"&lt;="&amp;EDATE($A27,12*'Seasonal Factors'!$E$4)),"")</f>
        <v>1.0187575301275</v>
      </c>
      <c r="BF27" s="24" t="n">
        <f aca="false">IFERROR(BE27/AVERAGE(BE22:BE33),"")</f>
        <v>1.01881581876011</v>
      </c>
      <c r="BG27" s="23" t="n">
        <f aca="false">IF(ISNUMBER(Tabelle1!S34),(0.5*Tabelle1!S22+SUM(Tabelle1!S23:S33)+0.5*Tabelle1!S34)/12,"")</f>
        <v>112.964274166667</v>
      </c>
      <c r="BH27" s="24" t="n">
        <f aca="false">IFERROR(Tabelle1!S28/BG27,"")</f>
        <v>0.979153991967475</v>
      </c>
      <c r="BI27" s="24" t="n">
        <f aca="false">IFERROR(AVERAGEIFS($BH$7:$BH$294,$B$7:$B$294,$B27,$A$7:$A$294,"&gt;="&amp;EDATE($A27,-12*'Seasonal Factors'!$E$4),$A$7:$A$294,"&lt;="&amp;EDATE($A27,12*'Seasonal Factors'!$E$4)),"")</f>
        <v>0.982467258955458</v>
      </c>
      <c r="BJ27" s="24" t="n">
        <f aca="false">IFERROR(BI27/AVERAGE(BI22:BI33),"")</f>
        <v>0.982294426808395</v>
      </c>
    </row>
    <row r="28" customFormat="false" ht="15" hidden="false" customHeight="false" outlineLevel="0" collapsed="false">
      <c r="A28" s="20" t="n">
        <v>38656</v>
      </c>
      <c r="B28" s="22" t="n">
        <f aca="false">MONTH(A28)</f>
        <v>10</v>
      </c>
      <c r="C28" s="23" t="n">
        <f aca="false">IF(ISNUMBER(Tabelle1!E35),(0.5*Tabelle1!E23+SUM(Tabelle1!E24:E34)+0.5*Tabelle1!E35)/12,"")</f>
        <v>118.135806666667</v>
      </c>
      <c r="D28" s="24" t="n">
        <f aca="false">IFERROR(Tabelle1!E29/C28,"")</f>
        <v>0.513463205708278</v>
      </c>
      <c r="E28" s="24" t="n">
        <f aca="false">IFERROR(AVERAGEIFS($D$7:$D$294,$B$7:$B$294,$B28,$A$7:$A$294,"&gt;="&amp;EDATE($A28,-12*'Seasonal Factors'!$E$4),$A$7:$A$294,"&lt;="&amp;EDATE($A28,12*'Seasonal Factors'!$E$4)),"")</f>
        <v>0.559669858747156</v>
      </c>
      <c r="F28" s="24" t="n">
        <f aca="false">IFERROR(E28/AVERAGE(E23:E34),"")</f>
        <v>0.560163952240507</v>
      </c>
      <c r="G28" s="23" t="n">
        <f aca="false">IF(ISNUMBER(Tabelle1!F35),(0.5*Tabelle1!F23+SUM(Tabelle1!F24:F34)+0.5*Tabelle1!F35)/12,"")</f>
        <v>109.750709166667</v>
      </c>
      <c r="H28" s="24" t="n">
        <f aca="false">IFERROR(Tabelle1!F29/G28,"")</f>
        <v>0.559061171138522</v>
      </c>
      <c r="I28" s="24" t="n">
        <f aca="false">IFERROR(AVERAGEIFS($H$7:$H$294,$B$7:$B$294,$B28,$A$7:$A$294,"&gt;="&amp;EDATE($A28,-12*'Seasonal Factors'!$E$4),$A$7:$A$294,"&lt;="&amp;EDATE($A28,12*'Seasonal Factors'!$E$4)),"")</f>
        <v>0.772197318102132</v>
      </c>
      <c r="J28" s="24" t="n">
        <f aca="false">IFERROR(I28/AVERAGE(I23:I34),"")</f>
        <v>0.787555219813256</v>
      </c>
      <c r="K28" s="23" t="n">
        <f aca="false">IF(ISNUMBER(Tabelle1!G35),(0.5*Tabelle1!G23+SUM(Tabelle1!G24:G34)+0.5*Tabelle1!G35)/12,"")</f>
        <v>100.62802625</v>
      </c>
      <c r="L28" s="24" t="n">
        <f aca="false">IFERROR(Tabelle1!G29/K28,"")</f>
        <v>0.956929034469659</v>
      </c>
      <c r="M28" s="24" t="n">
        <f aca="false">IFERROR(AVERAGEIFS($L$7:$L$294,$B$7:$B$294,$B28,$A$7:$A$294,"&gt;="&amp;EDATE($A28,-12*'Seasonal Factors'!$E$4),$A$7:$A$294,"&lt;="&amp;EDATE($A28,12*'Seasonal Factors'!$E$4)),"")</f>
        <v>1.01613982675607</v>
      </c>
      <c r="N28" s="24" t="n">
        <f aca="false">IFERROR(M28/AVERAGE(M23:M34),"")</f>
        <v>1.01658209514986</v>
      </c>
      <c r="O28" s="23" t="n">
        <f aca="false">IF(ISNUMBER(Tabelle1!H35),(0.5*Tabelle1!H23+SUM(Tabelle1!H24:H34)+0.5*Tabelle1!H35)/12,"")</f>
        <v>109.993129166667</v>
      </c>
      <c r="P28" s="24" t="n">
        <f aca="false">IFERROR(Tabelle1!H29/O28,"")</f>
        <v>1.03928464319608</v>
      </c>
      <c r="Q28" s="24" t="n">
        <f aca="false">IFERROR(AVERAGEIFS($P$7:$P$294,$B$7:$B$294,$B28,$A$7:$A$294,"&gt;="&amp;EDATE($A28,-12*'Seasonal Factors'!$E$4),$A$7:$A$294,"&lt;="&amp;EDATE($A28,12*'Seasonal Factors'!$E$4)),"")</f>
        <v>1.0603524048398</v>
      </c>
      <c r="R28" s="24" t="n">
        <f aca="false">IFERROR(Q28/AVERAGE(Q23:Q34),"")</f>
        <v>1.06158272235566</v>
      </c>
      <c r="S28" s="23" t="n">
        <f aca="false">IF(ISNUMBER(Tabelle1!I35),(0.5*Tabelle1!I23+SUM(Tabelle1!I24:I34)+0.5*Tabelle1!I35)/12,"")</f>
        <v>106.830869583333</v>
      </c>
      <c r="T28" s="24" t="n">
        <f aca="false">IFERROR(Tabelle1!I29/S28,"")</f>
        <v>0.924670091943267</v>
      </c>
      <c r="U28" s="24" t="n">
        <f aca="false">IFERROR(AVERAGEIFS($T$7:$T$294,$B$7:$B$294,$B28,$A$7:$A$294,"&gt;="&amp;EDATE($A28,-12*'Seasonal Factors'!$E$4),$A$7:$A$294,"&lt;="&amp;EDATE($A28,12*'Seasonal Factors'!$E$4)),"")</f>
        <v>0.950622270015992</v>
      </c>
      <c r="V28" s="24" t="n">
        <f aca="false">IFERROR(U28/AVERAGE(U23:U34),"")</f>
        <v>0.95066616577037</v>
      </c>
      <c r="W28" s="23" t="n">
        <f aca="false">IF(ISNUMBER(Tabelle1!J35),(0.5*Tabelle1!J23+SUM(Tabelle1!J24:J34)+0.5*Tabelle1!J35)/12,"")</f>
        <v>116.7892925</v>
      </c>
      <c r="X28" s="24" t="n">
        <f aca="false">IFERROR(Tabelle1!J29/W28,"")</f>
        <v>0.975188885573564</v>
      </c>
      <c r="Y28" s="24" t="n">
        <f aca="false">IFERROR(AVERAGEIFS($X$7:$X$294,$B$7:$B$294,$B28,$A$7:$A$294,"&gt;="&amp;EDATE($A28,-12*'Seasonal Factors'!$E$4),$A$7:$A$294,"&lt;="&amp;EDATE($A28,12*'Seasonal Factors'!$E$4)),"")</f>
        <v>0.983282969135921</v>
      </c>
      <c r="Z28" s="24" t="n">
        <f aca="false">IFERROR(Y28/AVERAGE(Y23:Y34),"")</f>
        <v>0.984458467255108</v>
      </c>
      <c r="AA28" s="23" t="n">
        <f aca="false">IF(ISNUMBER(Tabelle1!K35),(0.5*Tabelle1!K23+SUM(Tabelle1!K24:K34)+0.5*Tabelle1!K35)/12,"")</f>
        <v>113.475605416667</v>
      </c>
      <c r="AB28" s="24" t="n">
        <f aca="false">IFERROR(Tabelle1!K29/AA28,"")</f>
        <v>0.964702145435054</v>
      </c>
      <c r="AC28" s="24" t="n">
        <f aca="false">IFERROR(AVERAGEIFS($AB$7:$AB$294,$B$7:$B$294,$B28,$A$7:$A$294,"&gt;="&amp;EDATE($A28,-12*'Seasonal Factors'!$E$4),$A$7:$A$294,"&lt;="&amp;EDATE($A28,12*'Seasonal Factors'!$E$4)),"")</f>
        <v>1.01067043831008</v>
      </c>
      <c r="AD28" s="24" t="n">
        <f aca="false">IFERROR(AC28/AVERAGE(AC23:AC34),"")</f>
        <v>1.0125081685672</v>
      </c>
      <c r="AE28" s="23" t="n">
        <f aca="false">IF(ISNUMBER(Tabelle1!L35),(0.5*Tabelle1!L23+SUM(Tabelle1!L24:L34)+0.5*Tabelle1!L35)/12,"")</f>
        <v>116.587053333333</v>
      </c>
      <c r="AF28" s="24" t="n">
        <f aca="false">IFERROR(Tabelle1!L29/AE28,"")</f>
        <v>1.00724014067199</v>
      </c>
      <c r="AG28" s="24" t="n">
        <f aca="false">IFERROR(AVERAGEIFS($AF$7:$AF$294,$B$7:$B$294,$B28,$A$7:$A$294,"&gt;="&amp;EDATE($A28,-12*'Seasonal Factors'!$E$4),$A$7:$A$294,"&lt;="&amp;EDATE($A28,12*'Seasonal Factors'!$E$4)),"")</f>
        <v>1.00710201641628</v>
      </c>
      <c r="AH28" s="24" t="n">
        <f aca="false">IFERROR(AG28/AVERAGE(AG23:AG34),"")</f>
        <v>1.00795478408745</v>
      </c>
      <c r="AI28" s="23" t="n">
        <f aca="false">IF(ISNUMBER(Tabelle1!M35),(0.5*Tabelle1!M23+SUM(Tabelle1!M24:M34)+0.5*Tabelle1!M35)/12,"")</f>
        <v>119.00108</v>
      </c>
      <c r="AJ28" s="24" t="n">
        <f aca="false">IFERROR(Tabelle1!M29/AI28,"")</f>
        <v>0.979402119711855</v>
      </c>
      <c r="AK28" s="24" t="n">
        <f aca="false">IFERROR(AVERAGEIFS($AJ$7:$AJ$294,$B$7:$B$294,$B28,$A$7:$A$294,"&gt;="&amp;EDATE($A28,-12*'Seasonal Factors'!$E$4),$A$7:$A$294,"&lt;="&amp;EDATE($A28,12*'Seasonal Factors'!$E$4)),"")</f>
        <v>0.990185934926426</v>
      </c>
      <c r="AL28" s="24" t="n">
        <f aca="false">IFERROR(AK28/AVERAGE(AK23:AK34),"")</f>
        <v>0.990846190741787</v>
      </c>
      <c r="AM28" s="23" t="n">
        <f aca="false">IF(ISNUMBER(Tabelle1!N35),(0.5*Tabelle1!N23+SUM(Tabelle1!N24:N34)+0.5*Tabelle1!N35)/12,"")</f>
        <v>113.743907083333</v>
      </c>
      <c r="AN28" s="24" t="n">
        <f aca="false">IFERROR(Tabelle1!N29/AM28,"")</f>
        <v>0.97498910353722</v>
      </c>
      <c r="AO28" s="24" t="n">
        <f aca="false">IFERROR(AVERAGEIFS($AN$7:$AN$294,$B$7:$B$294,$B28,$A$7:$A$294,"&gt;="&amp;EDATE($A28,-12*'Seasonal Factors'!$E$4),$A$7:$A$294,"&lt;="&amp;EDATE($A28,12*'Seasonal Factors'!$E$4)),"")</f>
        <v>1.00249371643674</v>
      </c>
      <c r="AP28" s="24" t="n">
        <f aca="false">IFERROR(AO28/AVERAGE(AO23:AO34),"")</f>
        <v>1.00225623319469</v>
      </c>
      <c r="AQ28" s="23" t="n">
        <f aca="false">IF(ISNUMBER(Tabelle1!O35),(0.5*Tabelle1!O23+SUM(Tabelle1!O24:O34)+0.5*Tabelle1!O35)/12,"")</f>
        <v>107.77108875</v>
      </c>
      <c r="AR28" s="24" t="n">
        <f aca="false">IFERROR(Tabelle1!O29/AQ28,"")</f>
        <v>0.996958101158647</v>
      </c>
      <c r="AS28" s="24" t="n">
        <f aca="false">IFERROR(AVERAGEIFS($AR$7:$AR$294,$B$7:$B$294,$B28,$A$7:$A$294,"&gt;="&amp;EDATE($A28,-12*'Seasonal Factors'!$E$4),$A$7:$A$294,"&lt;="&amp;EDATE($A28,12*'Seasonal Factors'!$E$4)),"")</f>
        <v>1.00728151183927</v>
      </c>
      <c r="AT28" s="24" t="n">
        <f aca="false">IFERROR(AS28/AVERAGE(AS23:AS34),"")</f>
        <v>1.00709706029285</v>
      </c>
      <c r="AU28" s="23" t="n">
        <f aca="false">IF(ISNUMBER(Tabelle1!P35),(0.5*Tabelle1!P23+SUM(Tabelle1!P24:P34)+0.5*Tabelle1!P35)/12,"")</f>
        <v>106.282388333333</v>
      </c>
      <c r="AV28" s="24" t="n">
        <f aca="false">IFERROR(Tabelle1!P29/AU28,"")</f>
        <v>1.00545849294285</v>
      </c>
      <c r="AW28" s="24" t="n">
        <f aca="false">IFERROR(AVERAGEIFS($AV$7:$AV$294,$B$7:$B$294,$B28,$A$7:$A$294,"&gt;="&amp;EDATE($A28,-12*'Seasonal Factors'!$E$4),$A$7:$A$294,"&lt;="&amp;EDATE($A28,12*'Seasonal Factors'!$E$4)),"")</f>
        <v>1.00180162862287</v>
      </c>
      <c r="AX28" s="24" t="n">
        <f aca="false">IFERROR(AW28/AVERAGE(AW23:AW34),"")</f>
        <v>1.00153673959677</v>
      </c>
      <c r="AY28" s="23" t="n">
        <f aca="false">IF(ISNUMBER(Tabelle1!Q35),(0.5*Tabelle1!Q23+SUM(Tabelle1!Q24:Q34)+0.5*Tabelle1!Q35)/12,"")</f>
        <v>107.146085416667</v>
      </c>
      <c r="AZ28" s="24" t="n">
        <f aca="false">IFERROR(Tabelle1!Q29/AY28,"")</f>
        <v>1.0087248598929</v>
      </c>
      <c r="BA28" s="24" t="n">
        <f aca="false">IFERROR(AVERAGEIFS($AZ$7:$AZ$294,$B$7:$B$294,$B28,$A$7:$A$294,"&gt;="&amp;EDATE($A28,-12*'Seasonal Factors'!$E$4),$A$7:$A$294,"&lt;="&amp;EDATE($A28,12*'Seasonal Factors'!$E$4)),"")</f>
        <v>1.00850035870024</v>
      </c>
      <c r="BB28" s="24" t="n">
        <f aca="false">IFERROR(BA28/AVERAGE(BA23:BA34),"")</f>
        <v>1.00827417131347</v>
      </c>
      <c r="BC28" s="23" t="n">
        <f aca="false">IF(ISNUMBER(Tabelle1!R35),(0.5*Tabelle1!R23+SUM(Tabelle1!R24:R34)+0.5*Tabelle1!R35)/12,"")</f>
        <v>110.709409583333</v>
      </c>
      <c r="BD28" s="24" t="n">
        <f aca="false">IFERROR(Tabelle1!R29/BC28,"")</f>
        <v>0.988126848582425</v>
      </c>
      <c r="BE28" s="24" t="n">
        <f aca="false">IFERROR(AVERAGEIFS($BD$7:$BD$294,$B$7:$B$294,$B28,$A$7:$A$294,"&gt;="&amp;EDATE($A28,-12*'Seasonal Factors'!$E$4),$A$7:$A$294,"&lt;="&amp;EDATE($A28,12*'Seasonal Factors'!$E$4)),"")</f>
        <v>0.974471313360002</v>
      </c>
      <c r="BF28" s="24" t="n">
        <f aca="false">IFERROR(BE28/AVERAGE(BE23:BE34),"")</f>
        <v>0.974367008405934</v>
      </c>
      <c r="BG28" s="23" t="n">
        <f aca="false">IF(ISNUMBER(Tabelle1!S35),(0.5*Tabelle1!S23+SUM(Tabelle1!S24:S34)+0.5*Tabelle1!S35)/12,"")</f>
        <v>114.19035125</v>
      </c>
      <c r="BH28" s="24" t="n">
        <f aca="false">IFERROR(Tabelle1!S29/BG28,"")</f>
        <v>0.985177896105298</v>
      </c>
      <c r="BI28" s="24" t="n">
        <f aca="false">IFERROR(AVERAGEIFS($BH$7:$BH$294,$B$7:$B$294,$B28,$A$7:$A$294,"&gt;="&amp;EDATE($A28,-12*'Seasonal Factors'!$E$4),$A$7:$A$294,"&lt;="&amp;EDATE($A28,12*'Seasonal Factors'!$E$4)),"")</f>
        <v>0.978050299542378</v>
      </c>
      <c r="BJ28" s="24" t="n">
        <f aca="false">IFERROR(BI28/AVERAGE(BI23:BI34),"")</f>
        <v>0.978080361932392</v>
      </c>
    </row>
    <row r="29" customFormat="false" ht="15" hidden="false" customHeight="false" outlineLevel="0" collapsed="false">
      <c r="A29" s="20" t="n">
        <v>38686</v>
      </c>
      <c r="B29" s="22" t="n">
        <f aca="false">MONTH(A29)</f>
        <v>11</v>
      </c>
      <c r="C29" s="23" t="n">
        <f aca="false">IF(ISNUMBER(Tabelle1!E36),(0.5*Tabelle1!E24+SUM(Tabelle1!E25:E35)+0.5*Tabelle1!E36)/12,"")</f>
        <v>116.759749166667</v>
      </c>
      <c r="D29" s="24" t="n">
        <f aca="false">IFERROR(Tabelle1!E30/C29,"")</f>
        <v>0.679372476954976</v>
      </c>
      <c r="E29" s="24" t="n">
        <f aca="false">IFERROR(AVERAGEIFS($D$7:$D$294,$B$7:$B$294,$B29,$A$7:$A$294,"&gt;="&amp;EDATE($A29,-12*'Seasonal Factors'!$E$4),$A$7:$A$294,"&lt;="&amp;EDATE($A29,12*'Seasonal Factors'!$E$4)),"")</f>
        <v>0.689210010032387</v>
      </c>
      <c r="F29" s="24" t="n">
        <f aca="false">IFERROR(E29/AVERAGE(E24:E35),"")</f>
        <v>0.686357859377266</v>
      </c>
      <c r="G29" s="23" t="n">
        <f aca="false">IF(ISNUMBER(Tabelle1!F36),(0.5*Tabelle1!F24+SUM(Tabelle1!F25:F35)+0.5*Tabelle1!F36)/12,"")</f>
        <v>116.50643375</v>
      </c>
      <c r="H29" s="24" t="n">
        <f aca="false">IFERROR(Tabelle1!F30/G29,"")</f>
        <v>0.58175782931816</v>
      </c>
      <c r="I29" s="24" t="n">
        <f aca="false">IFERROR(AVERAGEIFS($H$7:$H$294,$B$7:$B$294,$B29,$A$7:$A$294,"&gt;="&amp;EDATE($A29,-12*'Seasonal Factors'!$E$4),$A$7:$A$294,"&lt;="&amp;EDATE($A29,12*'Seasonal Factors'!$E$4)),"")</f>
        <v>0.573294792431515</v>
      </c>
      <c r="J29" s="24" t="n">
        <f aca="false">IFERROR(I29/AVERAGE(I24:I35),"")</f>
        <v>0.588439186040861</v>
      </c>
      <c r="K29" s="23" t="n">
        <f aca="false">IF(ISNUMBER(Tabelle1!G36),(0.5*Tabelle1!G24+SUM(Tabelle1!G25:G35)+0.5*Tabelle1!G36)/12,"")</f>
        <v>101.035499583333</v>
      </c>
      <c r="L29" s="24" t="n">
        <f aca="false">IFERROR(Tabelle1!G30/K29,"")</f>
        <v>0.963633083436157</v>
      </c>
      <c r="M29" s="24" t="n">
        <f aca="false">IFERROR(AVERAGEIFS($L$7:$L$294,$B$7:$B$294,$B29,$A$7:$A$294,"&gt;="&amp;EDATE($A29,-12*'Seasonal Factors'!$E$4),$A$7:$A$294,"&lt;="&amp;EDATE($A29,12*'Seasonal Factors'!$E$4)),"")</f>
        <v>0.965917875819922</v>
      </c>
      <c r="N29" s="24" t="n">
        <f aca="false">IFERROR(M29/AVERAGE(M24:M35),"")</f>
        <v>0.966192226736749</v>
      </c>
      <c r="O29" s="23" t="n">
        <f aca="false">IF(ISNUMBER(Tabelle1!H36),(0.5*Tabelle1!H24+SUM(Tabelle1!H25:H35)+0.5*Tabelle1!H36)/12,"")</f>
        <v>110.7495275</v>
      </c>
      <c r="P29" s="24" t="n">
        <f aca="false">IFERROR(Tabelle1!H30/O29,"")</f>
        <v>1.02220156198861</v>
      </c>
      <c r="Q29" s="24" t="n">
        <f aca="false">IFERROR(AVERAGEIFS($P$7:$P$294,$B$7:$B$294,$B29,$A$7:$A$294,"&gt;="&amp;EDATE($A29,-12*'Seasonal Factors'!$E$4),$A$7:$A$294,"&lt;="&amp;EDATE($A29,12*'Seasonal Factors'!$E$4)),"")</f>
        <v>1.02964265824414</v>
      </c>
      <c r="R29" s="24" t="n">
        <f aca="false">IFERROR(Q29/AVERAGE(Q24:Q35),"")</f>
        <v>1.03088096169035</v>
      </c>
      <c r="S29" s="23" t="n">
        <f aca="false">IF(ISNUMBER(Tabelle1!I36),(0.5*Tabelle1!I24+SUM(Tabelle1!I25:I35)+0.5*Tabelle1!I36)/12,"")</f>
        <v>107.076225416667</v>
      </c>
      <c r="T29" s="24" t="n">
        <f aca="false">IFERROR(Tabelle1!I30/S29,"")</f>
        <v>0.976058593710312</v>
      </c>
      <c r="U29" s="24" t="n">
        <f aca="false">IFERROR(AVERAGEIFS($T$7:$T$294,$B$7:$B$294,$B29,$A$7:$A$294,"&gt;="&amp;EDATE($A29,-12*'Seasonal Factors'!$E$4),$A$7:$A$294,"&lt;="&amp;EDATE($A29,12*'Seasonal Factors'!$E$4)),"")</f>
        <v>0.956575687278136</v>
      </c>
      <c r="V29" s="24" t="n">
        <f aca="false">IFERROR(U29/AVERAGE(U24:U35),"")</f>
        <v>0.956709528992416</v>
      </c>
      <c r="W29" s="23" t="n">
        <f aca="false">IF(ISNUMBER(Tabelle1!J36),(0.5*Tabelle1!J24+SUM(Tabelle1!J25:J35)+0.5*Tabelle1!J36)/12,"")</f>
        <v>117.824928333333</v>
      </c>
      <c r="X29" s="24" t="n">
        <f aca="false">IFERROR(Tabelle1!J30/W29,"")</f>
        <v>0.999347775259273</v>
      </c>
      <c r="Y29" s="24" t="n">
        <f aca="false">IFERROR(AVERAGEIFS($X$7:$X$294,$B$7:$B$294,$B29,$A$7:$A$294,"&gt;="&amp;EDATE($A29,-12*'Seasonal Factors'!$E$4),$A$7:$A$294,"&lt;="&amp;EDATE($A29,12*'Seasonal Factors'!$E$4)),"")</f>
        <v>0.99200681421784</v>
      </c>
      <c r="Z29" s="24" t="n">
        <f aca="false">IFERROR(Y29/AVERAGE(Y24:Y35),"")</f>
        <v>0.993019518421193</v>
      </c>
      <c r="AA29" s="23" t="n">
        <f aca="false">IF(ISNUMBER(Tabelle1!K36),(0.5*Tabelle1!K24+SUM(Tabelle1!K25:K35)+0.5*Tabelle1!K36)/12,"")</f>
        <v>114.205315833333</v>
      </c>
      <c r="AB29" s="24" t="n">
        <f aca="false">IFERROR(Tabelle1!K30/AA29,"")</f>
        <v>1.00869148830266</v>
      </c>
      <c r="AC29" s="24" t="n">
        <f aca="false">IFERROR(AVERAGEIFS($AB$7:$AB$294,$B$7:$B$294,$B29,$A$7:$A$294,"&gt;="&amp;EDATE($A29,-12*'Seasonal Factors'!$E$4),$A$7:$A$294,"&lt;="&amp;EDATE($A29,12*'Seasonal Factors'!$E$4)),"")</f>
        <v>1.00799125229337</v>
      </c>
      <c r="AD29" s="24" t="n">
        <f aca="false">IFERROR(AC29/AVERAGE(AC24:AC35),"")</f>
        <v>1.01014100736343</v>
      </c>
      <c r="AE29" s="23" t="n">
        <f aca="false">IF(ISNUMBER(Tabelle1!L36),(0.5*Tabelle1!L24+SUM(Tabelle1!L25:L35)+0.5*Tabelle1!L36)/12,"")</f>
        <v>117.903947916667</v>
      </c>
      <c r="AF29" s="24" t="n">
        <f aca="false">IFERROR(Tabelle1!L30/AE29,"")</f>
        <v>1.01602950636283</v>
      </c>
      <c r="AG29" s="24" t="n">
        <f aca="false">IFERROR(AVERAGEIFS($AF$7:$AF$294,$B$7:$B$294,$B29,$A$7:$A$294,"&gt;="&amp;EDATE($A29,-12*'Seasonal Factors'!$E$4),$A$7:$A$294,"&lt;="&amp;EDATE($A29,12*'Seasonal Factors'!$E$4)),"")</f>
        <v>1.01646418094533</v>
      </c>
      <c r="AH29" s="24" t="n">
        <f aca="false">IFERROR(AG29/AVERAGE(AG24:AG35),"")</f>
        <v>1.01714407913935</v>
      </c>
      <c r="AI29" s="23" t="n">
        <f aca="false">IF(ISNUMBER(Tabelle1!M36),(0.5*Tabelle1!M24+SUM(Tabelle1!M25:M35)+0.5*Tabelle1!M36)/12,"")</f>
        <v>120.07428625</v>
      </c>
      <c r="AJ29" s="24" t="n">
        <f aca="false">IFERROR(Tabelle1!M30/AI29,"")</f>
        <v>0.978486932292716</v>
      </c>
      <c r="AK29" s="24" t="n">
        <f aca="false">IFERROR(AVERAGEIFS($AJ$7:$AJ$294,$B$7:$B$294,$B29,$A$7:$A$294,"&gt;="&amp;EDATE($A29,-12*'Seasonal Factors'!$E$4),$A$7:$A$294,"&lt;="&amp;EDATE($A29,12*'Seasonal Factors'!$E$4)),"")</f>
        <v>0.984764554325519</v>
      </c>
      <c r="AL29" s="24" t="n">
        <f aca="false">IFERROR(AK29/AVERAGE(AK24:AK35),"")</f>
        <v>0.985148537326938</v>
      </c>
      <c r="AM29" s="23" t="n">
        <f aca="false">IF(ISNUMBER(Tabelle1!N36),(0.5*Tabelle1!N24+SUM(Tabelle1!N25:N35)+0.5*Tabelle1!N36)/12,"")</f>
        <v>114.618731666667</v>
      </c>
      <c r="AN29" s="24" t="n">
        <f aca="false">IFERROR(Tabelle1!N30/AM29,"")</f>
        <v>0.995105584763421</v>
      </c>
      <c r="AO29" s="24" t="n">
        <f aca="false">IFERROR(AVERAGEIFS($AN$7:$AN$294,$B$7:$B$294,$B29,$A$7:$A$294,"&gt;="&amp;EDATE($A29,-12*'Seasonal Factors'!$E$4),$A$7:$A$294,"&lt;="&amp;EDATE($A29,12*'Seasonal Factors'!$E$4)),"")</f>
        <v>0.996432387013208</v>
      </c>
      <c r="AP29" s="24" t="n">
        <f aca="false">IFERROR(AO29/AVERAGE(AO24:AO35),"")</f>
        <v>0.996145744048676</v>
      </c>
      <c r="AQ29" s="23" t="n">
        <f aca="false">IF(ISNUMBER(Tabelle1!O36),(0.5*Tabelle1!O24+SUM(Tabelle1!O25:O35)+0.5*Tabelle1!O36)/12,"")</f>
        <v>108.293959166667</v>
      </c>
      <c r="AR29" s="24" t="n">
        <f aca="false">IFERROR(Tabelle1!O30/AQ29,"")</f>
        <v>1.01456545540925</v>
      </c>
      <c r="AS29" s="24" t="n">
        <f aca="false">IFERROR(AVERAGEIFS($AR$7:$AR$294,$B$7:$B$294,$B29,$A$7:$A$294,"&gt;="&amp;EDATE($A29,-12*'Seasonal Factors'!$E$4),$A$7:$A$294,"&lt;="&amp;EDATE($A29,12*'Seasonal Factors'!$E$4)),"")</f>
        <v>1.01443365726759</v>
      </c>
      <c r="AT29" s="24" t="n">
        <f aca="false">IFERROR(AS29/AVERAGE(AS24:AS35),"")</f>
        <v>1.01442698944681</v>
      </c>
      <c r="AU29" s="23" t="n">
        <f aca="false">IF(ISNUMBER(Tabelle1!P36),(0.5*Tabelle1!P24+SUM(Tabelle1!P25:P35)+0.5*Tabelle1!P36)/12,"")</f>
        <v>106.550799583333</v>
      </c>
      <c r="AV29" s="24" t="n">
        <f aca="false">IFERROR(Tabelle1!P30/AU29,"")</f>
        <v>1.01288775327859</v>
      </c>
      <c r="AW29" s="24" t="n">
        <f aca="false">IFERROR(AVERAGEIFS($AV$7:$AV$294,$B$7:$B$294,$B29,$A$7:$A$294,"&gt;="&amp;EDATE($A29,-12*'Seasonal Factors'!$E$4),$A$7:$A$294,"&lt;="&amp;EDATE($A29,12*'Seasonal Factors'!$E$4)),"")</f>
        <v>1.00692778333311</v>
      </c>
      <c r="AX29" s="24" t="n">
        <f aca="false">IFERROR(AW29/AVERAGE(AW24:AW35),"")</f>
        <v>1.00665571305614</v>
      </c>
      <c r="AY29" s="23" t="n">
        <f aca="false">IF(ISNUMBER(Tabelle1!Q36),(0.5*Tabelle1!Q24+SUM(Tabelle1!Q25:Q35)+0.5*Tabelle1!Q36)/12,"")</f>
        <v>107.46381875</v>
      </c>
      <c r="AZ29" s="24" t="n">
        <f aca="false">IFERROR(Tabelle1!Q30/AY29,"")</f>
        <v>1.01770476121295</v>
      </c>
      <c r="BA29" s="24" t="n">
        <f aca="false">IFERROR(AVERAGEIFS($AZ$7:$AZ$294,$B$7:$B$294,$B29,$A$7:$A$294,"&gt;="&amp;EDATE($A29,-12*'Seasonal Factors'!$E$4),$A$7:$A$294,"&lt;="&amp;EDATE($A29,12*'Seasonal Factors'!$E$4)),"")</f>
        <v>1.01361054865633</v>
      </c>
      <c r="BB29" s="24" t="n">
        <f aca="false">IFERROR(BA29/AVERAGE(BA24:BA35),"")</f>
        <v>1.01335602731391</v>
      </c>
      <c r="BC29" s="23" t="n">
        <f aca="false">IF(ISNUMBER(Tabelle1!R36),(0.5*Tabelle1!R24+SUM(Tabelle1!R25:R35)+0.5*Tabelle1!R36)/12,"")</f>
        <v>111.05258</v>
      </c>
      <c r="BD29" s="24" t="n">
        <f aca="false">IFERROR(Tabelle1!R30/BC29,"")</f>
        <v>0.983491153469825</v>
      </c>
      <c r="BE29" s="24" t="n">
        <f aca="false">IFERROR(AVERAGEIFS($BD$7:$BD$294,$B$7:$B$294,$B29,$A$7:$A$294,"&gt;="&amp;EDATE($A29,-12*'Seasonal Factors'!$E$4),$A$7:$A$294,"&lt;="&amp;EDATE($A29,12*'Seasonal Factors'!$E$4)),"")</f>
        <v>0.968399813643698</v>
      </c>
      <c r="BF29" s="24" t="n">
        <f aca="false">IFERROR(BE29/AVERAGE(BE24:BE35),"")</f>
        <v>0.968145849072854</v>
      </c>
      <c r="BG29" s="23" t="n">
        <f aca="false">IF(ISNUMBER(Tabelle1!S36),(0.5*Tabelle1!S24+SUM(Tabelle1!S25:S35)+0.5*Tabelle1!S36)/12,"")</f>
        <v>115.545487083333</v>
      </c>
      <c r="BH29" s="24" t="n">
        <f aca="false">IFERROR(Tabelle1!S30/BG29,"")</f>
        <v>0.971110363826448</v>
      </c>
      <c r="BI29" s="24" t="n">
        <f aca="false">IFERROR(AVERAGEIFS($BH$7:$BH$294,$B$7:$B$294,$B29,$A$7:$A$294,"&gt;="&amp;EDATE($A29,-12*'Seasonal Factors'!$E$4),$A$7:$A$294,"&lt;="&amp;EDATE($A29,12*'Seasonal Factors'!$E$4)),"")</f>
        <v>0.964915688122658</v>
      </c>
      <c r="BJ29" s="24" t="n">
        <f aca="false">IFERROR(BI29/AVERAGE(BI24:BI35),"")</f>
        <v>0.965022638944105</v>
      </c>
    </row>
    <row r="30" customFormat="false" ht="15" hidden="false" customHeight="false" outlineLevel="0" collapsed="false">
      <c r="A30" s="20" t="n">
        <v>38717</v>
      </c>
      <c r="B30" s="22" t="n">
        <f aca="false">MONTH(A30)</f>
        <v>12</v>
      </c>
      <c r="C30" s="23" t="n">
        <f aca="false">IF(ISNUMBER(Tabelle1!E37),(0.5*Tabelle1!E25+SUM(Tabelle1!E26:E36)+0.5*Tabelle1!E37)/12,"")</f>
        <v>115.76328</v>
      </c>
      <c r="D30" s="24" t="n">
        <f aca="false">IFERROR(Tabelle1!E31/C30,"")</f>
        <v>0.870329175192686</v>
      </c>
      <c r="E30" s="24" t="n">
        <f aca="false">IFERROR(AVERAGEIFS($D$7:$D$294,$B$7:$B$294,$B30,$A$7:$A$294,"&gt;="&amp;EDATE($A30,-12*'Seasonal Factors'!$E$4),$A$7:$A$294,"&lt;="&amp;EDATE($A30,12*'Seasonal Factors'!$E$4)),"")</f>
        <v>0.765994043524707</v>
      </c>
      <c r="F30" s="24" t="n">
        <f aca="false">IFERROR(E30/AVERAGE(E25:E36),"")</f>
        <v>0.760885339151078</v>
      </c>
      <c r="G30" s="23" t="n">
        <f aca="false">IF(ISNUMBER(Tabelle1!F37),(0.5*Tabelle1!F25+SUM(Tabelle1!F26:F36)+0.5*Tabelle1!F37)/12,"")</f>
        <v>122.53294375</v>
      </c>
      <c r="H30" s="24" t="n">
        <f aca="false">IFERROR(Tabelle1!F31/G30,"")</f>
        <v>0.883411731467522</v>
      </c>
      <c r="I30" s="24" t="n">
        <f aca="false">IFERROR(AVERAGEIFS($H$7:$H$294,$B$7:$B$294,$B30,$A$7:$A$294,"&gt;="&amp;EDATE($A30,-12*'Seasonal Factors'!$E$4),$A$7:$A$294,"&lt;="&amp;EDATE($A30,12*'Seasonal Factors'!$E$4)),"")</f>
        <v>0.694931991606351</v>
      </c>
      <c r="J30" s="24" t="n">
        <f aca="false">IFERROR(I30/AVERAGE(I25:I36),"")</f>
        <v>0.711994322955619</v>
      </c>
      <c r="K30" s="23" t="n">
        <f aca="false">IF(ISNUMBER(Tabelle1!G37),(0.5*Tabelle1!G25+SUM(Tabelle1!G26:G36)+0.5*Tabelle1!G37)/12,"")</f>
        <v>101.520625416667</v>
      </c>
      <c r="L30" s="24" t="n">
        <f aca="false">IFERROR(Tabelle1!G31/K30,"")</f>
        <v>0.97256167990264</v>
      </c>
      <c r="M30" s="24" t="n">
        <f aca="false">IFERROR(AVERAGEIFS($L$7:$L$294,$B$7:$B$294,$B30,$A$7:$A$294,"&gt;="&amp;EDATE($A30,-12*'Seasonal Factors'!$E$4),$A$7:$A$294,"&lt;="&amp;EDATE($A30,12*'Seasonal Factors'!$E$4)),"")</f>
        <v>1.00501110412376</v>
      </c>
      <c r="N30" s="24" t="n">
        <f aca="false">IFERROR(M30/AVERAGE(M25:M36),"")</f>
        <v>1.00497440974104</v>
      </c>
      <c r="O30" s="23" t="n">
        <f aca="false">IF(ISNUMBER(Tabelle1!H37),(0.5*Tabelle1!H25+SUM(Tabelle1!H26:H36)+0.5*Tabelle1!H37)/12,"")</f>
        <v>111.530780416667</v>
      </c>
      <c r="P30" s="24" t="n">
        <f aca="false">IFERROR(Tabelle1!H31/O30,"")</f>
        <v>0.986121047383657</v>
      </c>
      <c r="Q30" s="24" t="n">
        <f aca="false">IFERROR(AVERAGEIFS($P$7:$P$294,$B$7:$B$294,$B30,$A$7:$A$294,"&gt;="&amp;EDATE($A30,-12*'Seasonal Factors'!$E$4),$A$7:$A$294,"&lt;="&amp;EDATE($A30,12*'Seasonal Factors'!$E$4)),"")</f>
        <v>0.987361235750361</v>
      </c>
      <c r="R30" s="24" t="n">
        <f aca="false">IFERROR(Q30/AVERAGE(Q25:Q36),"")</f>
        <v>0.988354901872805</v>
      </c>
      <c r="S30" s="23" t="n">
        <f aca="false">IF(ISNUMBER(Tabelle1!I37),(0.5*Tabelle1!I25+SUM(Tabelle1!I26:I36)+0.5*Tabelle1!I37)/12,"")</f>
        <v>107.7382925</v>
      </c>
      <c r="T30" s="24" t="n">
        <f aca="false">IFERROR(Tabelle1!I31/S30,"")</f>
        <v>0.98359884439416</v>
      </c>
      <c r="U30" s="24" t="n">
        <f aca="false">IFERROR(AVERAGEIFS($T$7:$T$294,$B$7:$B$294,$B30,$A$7:$A$294,"&gt;="&amp;EDATE($A30,-12*'Seasonal Factors'!$E$4),$A$7:$A$294,"&lt;="&amp;EDATE($A30,12*'Seasonal Factors'!$E$4)),"")</f>
        <v>1.00298763148205</v>
      </c>
      <c r="V30" s="24" t="n">
        <f aca="false">IFERROR(U30/AVERAGE(U25:U36),"")</f>
        <v>1.00354931231165</v>
      </c>
      <c r="W30" s="23" t="n">
        <f aca="false">IF(ISNUMBER(Tabelle1!J37),(0.5*Tabelle1!J25+SUM(Tabelle1!J26:J36)+0.5*Tabelle1!J37)/12,"")</f>
        <v>118.80998875</v>
      </c>
      <c r="X30" s="24" t="n">
        <f aca="false">IFERROR(Tabelle1!J31/W30,"")</f>
        <v>0.985625882402922</v>
      </c>
      <c r="Y30" s="24" t="n">
        <f aca="false">IFERROR(AVERAGEIFS($X$7:$X$294,$B$7:$B$294,$B30,$A$7:$A$294,"&gt;="&amp;EDATE($A30,-12*'Seasonal Factors'!$E$4),$A$7:$A$294,"&lt;="&amp;EDATE($A30,12*'Seasonal Factors'!$E$4)),"")</f>
        <v>0.965252097210126</v>
      </c>
      <c r="Z30" s="24" t="n">
        <f aca="false">IFERROR(Y30/AVERAGE(Y25:Y36),"")</f>
        <v>0.966060734896977</v>
      </c>
      <c r="AA30" s="23" t="n">
        <f aca="false">IF(ISNUMBER(Tabelle1!K37),(0.5*Tabelle1!K25+SUM(Tabelle1!K26:K36)+0.5*Tabelle1!K37)/12,"")</f>
        <v>115.098275833333</v>
      </c>
      <c r="AB30" s="24" t="n">
        <f aca="false">IFERROR(Tabelle1!K31/AA30,"")</f>
        <v>0.946418521140459</v>
      </c>
      <c r="AC30" s="24" t="n">
        <f aca="false">IFERROR(AVERAGEIFS($AB$7:$AB$294,$B$7:$B$294,$B30,$A$7:$A$294,"&gt;="&amp;EDATE($A30,-12*'Seasonal Factors'!$E$4),$A$7:$A$294,"&lt;="&amp;EDATE($A30,12*'Seasonal Factors'!$E$4)),"")</f>
        <v>0.941486993996799</v>
      </c>
      <c r="AD30" s="24" t="n">
        <f aca="false">IFERROR(AC30/AVERAGE(AC25:AC36),"")</f>
        <v>0.943360069333345</v>
      </c>
      <c r="AE30" s="23" t="n">
        <f aca="false">IF(ISNUMBER(Tabelle1!L37),(0.5*Tabelle1!L25+SUM(Tabelle1!L26:L36)+0.5*Tabelle1!L37)/12,"")</f>
        <v>119.059097916667</v>
      </c>
      <c r="AF30" s="24" t="n">
        <f aca="false">IFERROR(Tabelle1!L31/AE30,"")</f>
        <v>0.986439609026799</v>
      </c>
      <c r="AG30" s="24" t="n">
        <f aca="false">IFERROR(AVERAGEIFS($AF$7:$AF$294,$B$7:$B$294,$B30,$A$7:$A$294,"&gt;="&amp;EDATE($A30,-12*'Seasonal Factors'!$E$4),$A$7:$A$294,"&lt;="&amp;EDATE($A30,12*'Seasonal Factors'!$E$4)),"")</f>
        <v>1.00370315874271</v>
      </c>
      <c r="AH30" s="24" t="n">
        <f aca="false">IFERROR(AG30/AVERAGE(AG25:AG36),"")</f>
        <v>1.00420187416821</v>
      </c>
      <c r="AI30" s="23" t="n">
        <f aca="false">IF(ISNUMBER(Tabelle1!M37),(0.5*Tabelle1!M25+SUM(Tabelle1!M26:M36)+0.5*Tabelle1!M37)/12,"")</f>
        <v>121.149935416667</v>
      </c>
      <c r="AJ30" s="24" t="n">
        <f aca="false">IFERROR(Tabelle1!M31/AI30,"")</f>
        <v>0.993640067458421</v>
      </c>
      <c r="AK30" s="24" t="n">
        <f aca="false">IFERROR(AVERAGEIFS($AJ$7:$AJ$294,$B$7:$B$294,$B30,$A$7:$A$294,"&gt;="&amp;EDATE($A30,-12*'Seasonal Factors'!$E$4),$A$7:$A$294,"&lt;="&amp;EDATE($A30,12*'Seasonal Factors'!$E$4)),"")</f>
        <v>0.987952608801045</v>
      </c>
      <c r="AL30" s="24" t="n">
        <f aca="false">IFERROR(AK30/AVERAGE(AK25:AK36),"")</f>
        <v>0.98800161039736</v>
      </c>
      <c r="AM30" s="23" t="n">
        <f aca="false">IF(ISNUMBER(Tabelle1!N37),(0.5*Tabelle1!N25+SUM(Tabelle1!N26:N36)+0.5*Tabelle1!N37)/12,"")</f>
        <v>115.646071666667</v>
      </c>
      <c r="AN30" s="24" t="n">
        <f aca="false">IFERROR(Tabelle1!N31/AM30,"")</f>
        <v>1.03426453035737</v>
      </c>
      <c r="AO30" s="24" t="n">
        <f aca="false">IFERROR(AVERAGEIFS($AN$7:$AN$294,$B$7:$B$294,$B30,$A$7:$A$294,"&gt;="&amp;EDATE($A30,-12*'Seasonal Factors'!$E$4),$A$7:$A$294,"&lt;="&amp;EDATE($A30,12*'Seasonal Factors'!$E$4)),"")</f>
        <v>1.0156664823926</v>
      </c>
      <c r="AP30" s="24" t="n">
        <f aca="false">IFERROR(AO30/AVERAGE(AO25:AO36),"")</f>
        <v>1.01488869333351</v>
      </c>
      <c r="AQ30" s="23" t="n">
        <f aca="false">IF(ISNUMBER(Tabelle1!O37),(0.5*Tabelle1!O25+SUM(Tabelle1!O26:O36)+0.5*Tabelle1!O37)/12,"")</f>
        <v>108.89789</v>
      </c>
      <c r="AR30" s="24" t="n">
        <f aca="false">IFERROR(Tabelle1!O31/AQ30,"")</f>
        <v>1.05425926985362</v>
      </c>
      <c r="AS30" s="24" t="n">
        <f aca="false">IFERROR(AVERAGEIFS($AR$7:$AR$294,$B$7:$B$294,$B30,$A$7:$A$294,"&gt;="&amp;EDATE($A30,-12*'Seasonal Factors'!$E$4),$A$7:$A$294,"&lt;="&amp;EDATE($A30,12*'Seasonal Factors'!$E$4)),"")</f>
        <v>1.03617063286041</v>
      </c>
      <c r="AT30" s="24" t="n">
        <f aca="false">IFERROR(AS30/AVERAGE(AS25:AS36),"")</f>
        <v>1.03623400444893</v>
      </c>
      <c r="AU30" s="23" t="n">
        <f aca="false">IF(ISNUMBER(Tabelle1!P37),(0.5*Tabelle1!P25+SUM(Tabelle1!P26:P36)+0.5*Tabelle1!P37)/12,"")</f>
        <v>106.861673333333</v>
      </c>
      <c r="AV30" s="24" t="n">
        <f aca="false">IFERROR(Tabelle1!P31/AU30,"")</f>
        <v>1.02436333425685</v>
      </c>
      <c r="AW30" s="24" t="n">
        <f aca="false">IFERROR(AVERAGEIFS($AV$7:$AV$294,$B$7:$B$294,$B30,$A$7:$A$294,"&gt;="&amp;EDATE($A30,-12*'Seasonal Factors'!$E$4),$A$7:$A$294,"&lt;="&amp;EDATE($A30,12*'Seasonal Factors'!$E$4)),"")</f>
        <v>1.01431930482345</v>
      </c>
      <c r="AX30" s="24" t="n">
        <f aca="false">IFERROR(AW30/AVERAGE(AW25:AW36),"")</f>
        <v>1.01401815736815</v>
      </c>
      <c r="AY30" s="23" t="n">
        <f aca="false">IF(ISNUMBER(Tabelle1!Q37),(0.5*Tabelle1!Q25+SUM(Tabelle1!Q26:Q36)+0.5*Tabelle1!Q37)/12,"")</f>
        <v>107.869999583333</v>
      </c>
      <c r="AZ30" s="24" t="n">
        <f aca="false">IFERROR(Tabelle1!Q31/AY30,"")</f>
        <v>1.02927283238031</v>
      </c>
      <c r="BA30" s="24" t="n">
        <f aca="false">IFERROR(AVERAGEIFS($AZ$7:$AZ$294,$B$7:$B$294,$B30,$A$7:$A$294,"&gt;="&amp;EDATE($A30,-12*'Seasonal Factors'!$E$4),$A$7:$A$294,"&lt;="&amp;EDATE($A30,12*'Seasonal Factors'!$E$4)),"")</f>
        <v>1.02003835877787</v>
      </c>
      <c r="BB30" s="24" t="n">
        <f aca="false">IFERROR(BA30/AVERAGE(BA25:BA36),"")</f>
        <v>1.01976981092309</v>
      </c>
      <c r="BC30" s="23" t="n">
        <f aca="false">IF(ISNUMBER(Tabelle1!R37),(0.5*Tabelle1!R25+SUM(Tabelle1!R26:R36)+0.5*Tabelle1!R37)/12,"")</f>
        <v>111.281602083333</v>
      </c>
      <c r="BD30" s="24" t="n">
        <f aca="false">IFERROR(Tabelle1!R31/BC30,"")</f>
        <v>0.954147837667611</v>
      </c>
      <c r="BE30" s="24" t="n">
        <f aca="false">IFERROR(AVERAGEIFS($BD$7:$BD$294,$B$7:$B$294,$B30,$A$7:$A$294,"&gt;="&amp;EDATE($A30,-12*'Seasonal Factors'!$E$4),$A$7:$A$294,"&lt;="&amp;EDATE($A30,12*'Seasonal Factors'!$E$4)),"")</f>
        <v>0.937603374512714</v>
      </c>
      <c r="BF30" s="24" t="n">
        <f aca="false">IFERROR(BE30/AVERAGE(BE25:BE36),"")</f>
        <v>0.937183389718859</v>
      </c>
      <c r="BG30" s="23" t="n">
        <f aca="false">IF(ISNUMBER(Tabelle1!S37),(0.5*Tabelle1!S25+SUM(Tabelle1!S26:S36)+0.5*Tabelle1!S37)/12,"")</f>
        <v>116.464185416667</v>
      </c>
      <c r="BH30" s="24" t="n">
        <f aca="false">IFERROR(Tabelle1!S31/BG30,"")</f>
        <v>1.00247719573448</v>
      </c>
      <c r="BI30" s="24" t="n">
        <f aca="false">IFERROR(AVERAGEIFS($BH$7:$BH$294,$B$7:$B$294,$B30,$A$7:$A$294,"&gt;="&amp;EDATE($A30,-12*'Seasonal Factors'!$E$4),$A$7:$A$294,"&lt;="&amp;EDATE($A30,12*'Seasonal Factors'!$E$4)),"")</f>
        <v>0.9844510642807</v>
      </c>
      <c r="BJ30" s="24" t="n">
        <f aca="false">IFERROR(BI30/AVERAGE(BI25:BI36),"")</f>
        <v>0.984663406077863</v>
      </c>
    </row>
    <row r="31" customFormat="false" ht="15" hidden="false" customHeight="false" outlineLevel="0" collapsed="false">
      <c r="A31" s="20" t="n">
        <v>38748</v>
      </c>
      <c r="B31" s="22" t="n">
        <f aca="false">MONTH(A31)</f>
        <v>1</v>
      </c>
      <c r="C31" s="23" t="n">
        <f aca="false">IF(ISNUMBER(Tabelle1!E38),(0.5*Tabelle1!E26+SUM(Tabelle1!E27:E37)+0.5*Tabelle1!E38)/12,"")</f>
        <v>115.617387916667</v>
      </c>
      <c r="D31" s="24" t="n">
        <f aca="false">IFERROR(Tabelle1!E32/C31,"")</f>
        <v>0.598746272056376</v>
      </c>
      <c r="E31" s="24" t="n">
        <f aca="false">IFERROR(AVERAGEIFS($D$7:$D$294,$B$7:$B$294,$B31,$A$7:$A$294,"&gt;="&amp;EDATE($A31,-12*'Seasonal Factors'!$E$4),$A$7:$A$294,"&lt;="&amp;EDATE($A31,12*'Seasonal Factors'!$E$4)),"")</f>
        <v>0.547738058181069</v>
      </c>
      <c r="F31" s="24" t="n">
        <f aca="false">IFERROR(E31/AVERAGE(E26:E37),"")</f>
        <v>0.544484463197685</v>
      </c>
      <c r="G31" s="23" t="n">
        <f aca="false">IF(ISNUMBER(Tabelle1!F38),(0.5*Tabelle1!F26+SUM(Tabelle1!F27:F37)+0.5*Tabelle1!F38)/12,"")</f>
        <v>128.84618625</v>
      </c>
      <c r="H31" s="24" t="n">
        <f aca="false">IFERROR(Tabelle1!F32/G31,"")</f>
        <v>0.345341148970174</v>
      </c>
      <c r="I31" s="24" t="n">
        <f aca="false">IFERROR(AVERAGEIFS($H$7:$H$294,$B$7:$B$294,$B31,$A$7:$A$294,"&gt;="&amp;EDATE($A31,-12*'Seasonal Factors'!$E$4),$A$7:$A$294,"&lt;="&amp;EDATE($A31,12*'Seasonal Factors'!$E$4)),"")</f>
        <v>0.307647478902354</v>
      </c>
      <c r="J31" s="24" t="n">
        <f aca="false">IFERROR(I31/AVERAGE(I26:I37),"")</f>
        <v>0.312956272805621</v>
      </c>
      <c r="K31" s="23" t="n">
        <f aca="false">IF(ISNUMBER(Tabelle1!G38),(0.5*Tabelle1!G26+SUM(Tabelle1!G27:G37)+0.5*Tabelle1!G38)/12,"")</f>
        <v>102.021274583333</v>
      </c>
      <c r="L31" s="24" t="n">
        <f aca="false">IFERROR(Tabelle1!G32/K31,"")</f>
        <v>1.01964497527454</v>
      </c>
      <c r="M31" s="24" t="n">
        <f aca="false">IFERROR(AVERAGEIFS($L$7:$L$294,$B$7:$B$294,$B31,$A$7:$A$294,"&gt;="&amp;EDATE($A31,-12*'Seasonal Factors'!$E$4),$A$7:$A$294,"&lt;="&amp;EDATE($A31,12*'Seasonal Factors'!$E$4)),"")</f>
        <v>1.00794574662093</v>
      </c>
      <c r="N31" s="24" t="n">
        <f aca="false">IFERROR(M31/AVERAGE(M26:M37),"")</f>
        <v>1.0076738859871</v>
      </c>
      <c r="O31" s="23" t="n">
        <f aca="false">IF(ISNUMBER(Tabelle1!H38),(0.5*Tabelle1!H26+SUM(Tabelle1!H27:H37)+0.5*Tabelle1!H38)/12,"")</f>
        <v>112.38367375</v>
      </c>
      <c r="P31" s="24" t="n">
        <f aca="false">IFERROR(Tabelle1!H32/O31,"")</f>
        <v>0.933119522621052</v>
      </c>
      <c r="Q31" s="24" t="n">
        <f aca="false">IFERROR(AVERAGEIFS($P$7:$P$294,$B$7:$B$294,$B31,$A$7:$A$294,"&gt;="&amp;EDATE($A31,-12*'Seasonal Factors'!$E$4),$A$7:$A$294,"&lt;="&amp;EDATE($A31,12*'Seasonal Factors'!$E$4)),"")</f>
        <v>0.910997764769012</v>
      </c>
      <c r="R31" s="24" t="n">
        <f aca="false">IFERROR(Q31/AVERAGE(Q26:Q37),"")</f>
        <v>0.911884211643289</v>
      </c>
      <c r="S31" s="23" t="n">
        <f aca="false">IF(ISNUMBER(Tabelle1!I38),(0.5*Tabelle1!I26+SUM(Tabelle1!I27:I37)+0.5*Tabelle1!I38)/12,"")</f>
        <v>108.38828125</v>
      </c>
      <c r="T31" s="24" t="n">
        <f aca="false">IFERROR(Tabelle1!I32/S31,"")</f>
        <v>1.02315618184046</v>
      </c>
      <c r="U31" s="24" t="n">
        <f aca="false">IFERROR(AVERAGEIFS($T$7:$T$294,$B$7:$B$294,$B31,$A$7:$A$294,"&gt;="&amp;EDATE($A31,-12*'Seasonal Factors'!$E$4),$A$7:$A$294,"&lt;="&amp;EDATE($A31,12*'Seasonal Factors'!$E$4)),"")</f>
        <v>1.03597694975687</v>
      </c>
      <c r="V31" s="24" t="n">
        <f aca="false">IFERROR(U31/AVERAGE(U26:U37),"")</f>
        <v>1.03634115060811</v>
      </c>
      <c r="W31" s="23" t="n">
        <f aca="false">IF(ISNUMBER(Tabelle1!J38),(0.5*Tabelle1!J26+SUM(Tabelle1!J27:J37)+0.5*Tabelle1!J38)/12,"")</f>
        <v>120.01060125</v>
      </c>
      <c r="X31" s="24" t="n">
        <f aca="false">IFERROR(Tabelle1!J32/W31,"")</f>
        <v>1.01702298570894</v>
      </c>
      <c r="Y31" s="24" t="n">
        <f aca="false">IFERROR(AVERAGEIFS($X$7:$X$294,$B$7:$B$294,$B31,$A$7:$A$294,"&gt;="&amp;EDATE($A31,-12*'Seasonal Factors'!$E$4),$A$7:$A$294,"&lt;="&amp;EDATE($A31,12*'Seasonal Factors'!$E$4)),"")</f>
        <v>0.995057586471258</v>
      </c>
      <c r="Z31" s="24" t="n">
        <f aca="false">IFERROR(Y31/AVERAGE(Y26:Y37),"")</f>
        <v>0.995767884867296</v>
      </c>
      <c r="AA31" s="23" t="n">
        <f aca="false">IF(ISNUMBER(Tabelle1!K38),(0.5*Tabelle1!K26+SUM(Tabelle1!K27:K37)+0.5*Tabelle1!K38)/12,"")</f>
        <v>116.058972083333</v>
      </c>
      <c r="AB31" s="24" t="n">
        <f aca="false">IFERROR(Tabelle1!K32/AA31,"")</f>
        <v>0.948482896444747</v>
      </c>
      <c r="AC31" s="24" t="n">
        <f aca="false">IFERROR(AVERAGEIFS($AB$7:$AB$294,$B$7:$B$294,$B31,$A$7:$A$294,"&gt;="&amp;EDATE($A31,-12*'Seasonal Factors'!$E$4),$A$7:$A$294,"&lt;="&amp;EDATE($A31,12*'Seasonal Factors'!$E$4)),"")</f>
        <v>0.934277140581949</v>
      </c>
      <c r="AD31" s="24" t="n">
        <f aca="false">IFERROR(AC31/AVERAGE(AC26:AC37),"")</f>
        <v>0.936166412713779</v>
      </c>
      <c r="AE31" s="23" t="n">
        <f aca="false">IF(ISNUMBER(Tabelle1!L38),(0.5*Tabelle1!L26+SUM(Tabelle1!L27:L37)+0.5*Tabelle1!L38)/12,"")</f>
        <v>120.147840833333</v>
      </c>
      <c r="AF31" s="24" t="n">
        <f aca="false">IFERROR(Tabelle1!L32/AE31,"")</f>
        <v>1.10497741015723</v>
      </c>
      <c r="AG31" s="24" t="n">
        <f aca="false">IFERROR(AVERAGEIFS($AF$7:$AF$294,$B$7:$B$294,$B31,$A$7:$A$294,"&gt;="&amp;EDATE($A31,-12*'Seasonal Factors'!$E$4),$A$7:$A$294,"&lt;="&amp;EDATE($A31,12*'Seasonal Factors'!$E$4)),"")</f>
        <v>1.10771260989796</v>
      </c>
      <c r="AH31" s="24" t="n">
        <f aca="false">IFERROR(AG31/AVERAGE(AG26:AG37),"")</f>
        <v>1.10789642114054</v>
      </c>
      <c r="AI31" s="23" t="n">
        <f aca="false">IF(ISNUMBER(Tabelle1!M38),(0.5*Tabelle1!M26+SUM(Tabelle1!M27:M37)+0.5*Tabelle1!M38)/12,"")</f>
        <v>122.255969166667</v>
      </c>
      <c r="AJ31" s="24" t="n">
        <f aca="false">IFERROR(Tabelle1!M32/AI31,"")</f>
        <v>0.985918158610974</v>
      </c>
      <c r="AK31" s="24" t="n">
        <f aca="false">IFERROR(AVERAGEIFS($AJ$7:$AJ$294,$B$7:$B$294,$B31,$A$7:$A$294,"&gt;="&amp;EDATE($A31,-12*'Seasonal Factors'!$E$4),$A$7:$A$294,"&lt;="&amp;EDATE($A31,12*'Seasonal Factors'!$E$4)),"")</f>
        <v>0.9845012542676</v>
      </c>
      <c r="AL31" s="24" t="n">
        <f aca="false">IFERROR(AK31/AVERAGE(AK26:AK37),"")</f>
        <v>0.984466967077464</v>
      </c>
      <c r="AM31" s="23" t="n">
        <f aca="false">IF(ISNUMBER(Tabelle1!N38),(0.5*Tabelle1!N26+SUM(Tabelle1!N27:N37)+0.5*Tabelle1!N38)/12,"")</f>
        <v>116.685584166667</v>
      </c>
      <c r="AN31" s="24" t="n">
        <f aca="false">IFERROR(Tabelle1!N32/AM31,"")</f>
        <v>1.03858176539531</v>
      </c>
      <c r="AO31" s="24" t="n">
        <f aca="false">IFERROR(AVERAGEIFS($AN$7:$AN$294,$B$7:$B$294,$B31,$A$7:$A$294,"&gt;="&amp;EDATE($A31,-12*'Seasonal Factors'!$E$4),$A$7:$A$294,"&lt;="&amp;EDATE($A31,12*'Seasonal Factors'!$E$4)),"")</f>
        <v>1.02135233943885</v>
      </c>
      <c r="AP31" s="24" t="n">
        <f aca="false">IFERROR(AO31/AVERAGE(AO26:AO37),"")</f>
        <v>1.02090650846856</v>
      </c>
      <c r="AQ31" s="23" t="n">
        <f aca="false">IF(ISNUMBER(Tabelle1!O38),(0.5*Tabelle1!O26+SUM(Tabelle1!O27:O37)+0.5*Tabelle1!O38)/12,"")</f>
        <v>109.602105833333</v>
      </c>
      <c r="AR31" s="24" t="n">
        <f aca="false">IFERROR(Tabelle1!O32/AQ31,"")</f>
        <v>0.940855097773479</v>
      </c>
      <c r="AS31" s="24" t="n">
        <f aca="false">IFERROR(AVERAGEIFS($AR$7:$AR$294,$B$7:$B$294,$B31,$A$7:$A$294,"&gt;="&amp;EDATE($A31,-12*'Seasonal Factors'!$E$4),$A$7:$A$294,"&lt;="&amp;EDATE($A31,12*'Seasonal Factors'!$E$4)),"")</f>
        <v>0.946263846884442</v>
      </c>
      <c r="AT31" s="24" t="n">
        <f aca="false">IFERROR(AS31/AVERAGE(AS26:AS37),"")</f>
        <v>0.946425584874727</v>
      </c>
      <c r="AU31" s="23" t="n">
        <f aca="false">IF(ISNUMBER(Tabelle1!P38),(0.5*Tabelle1!P26+SUM(Tabelle1!P27:P37)+0.5*Tabelle1!P38)/12,"")</f>
        <v>107.183319166667</v>
      </c>
      <c r="AV31" s="24" t="n">
        <f aca="false">IFERROR(Tabelle1!P32/AU31,"")</f>
        <v>0.989570026610873</v>
      </c>
      <c r="AW31" s="24" t="n">
        <f aca="false">IFERROR(AVERAGEIFS($AV$7:$AV$294,$B$7:$B$294,$B31,$A$7:$A$294,"&gt;="&amp;EDATE($A31,-12*'Seasonal Factors'!$E$4),$A$7:$A$294,"&lt;="&amp;EDATE($A31,12*'Seasonal Factors'!$E$4)),"")</f>
        <v>0.987979806666448</v>
      </c>
      <c r="AX31" s="24" t="n">
        <f aca="false">IFERROR(AW31/AVERAGE(AW26:AW37),"")</f>
        <v>0.987768244175542</v>
      </c>
      <c r="AY31" s="23" t="n">
        <f aca="false">IF(ISNUMBER(Tabelle1!Q38),(0.5*Tabelle1!Q26+SUM(Tabelle1!Q27:Q37)+0.5*Tabelle1!Q38)/12,"")</f>
        <v>108.266024583333</v>
      </c>
      <c r="AZ31" s="24" t="n">
        <f aca="false">IFERROR(Tabelle1!Q32/AY31,"")</f>
        <v>0.975506770535458</v>
      </c>
      <c r="BA31" s="24" t="n">
        <f aca="false">IFERROR(AVERAGEIFS($AZ$7:$AZ$294,$B$7:$B$294,$B31,$A$7:$A$294,"&gt;="&amp;EDATE($A31,-12*'Seasonal Factors'!$E$4),$A$7:$A$294,"&lt;="&amp;EDATE($A31,12*'Seasonal Factors'!$E$4)),"")</f>
        <v>0.974741489535615</v>
      </c>
      <c r="BB31" s="24" t="n">
        <f aca="false">IFERROR(BA31/AVERAGE(BA26:BA37),"")</f>
        <v>0.974519564696459</v>
      </c>
      <c r="BC31" s="23" t="n">
        <f aca="false">IF(ISNUMBER(Tabelle1!R38),(0.5*Tabelle1!R26+SUM(Tabelle1!R27:R37)+0.5*Tabelle1!R38)/12,"")</f>
        <v>111.412036666667</v>
      </c>
      <c r="BD31" s="24" t="n">
        <f aca="false">IFERROR(Tabelle1!R32/BC31,"")</f>
        <v>0.962283548596829</v>
      </c>
      <c r="BE31" s="24" t="n">
        <f aca="false">IFERROR(AVERAGEIFS($BD$7:$BD$294,$B$7:$B$294,$B31,$A$7:$A$294,"&gt;="&amp;EDATE($A31,-12*'Seasonal Factors'!$E$4),$A$7:$A$294,"&lt;="&amp;EDATE($A31,12*'Seasonal Factors'!$E$4)),"")</f>
        <v>0.98011880038103</v>
      </c>
      <c r="BF31" s="24" t="n">
        <f aca="false">IFERROR(BE31/AVERAGE(BE26:BE37),"")</f>
        <v>0.979408969216161</v>
      </c>
      <c r="BG31" s="23" t="n">
        <f aca="false">IF(ISNUMBER(Tabelle1!S38),(0.5*Tabelle1!S26+SUM(Tabelle1!S27:S37)+0.5*Tabelle1!S38)/12,"")</f>
        <v>117.288645833333</v>
      </c>
      <c r="BH31" s="24" t="n">
        <f aca="false">IFERROR(Tabelle1!S32/BG31,"")</f>
        <v>1.0210966214938</v>
      </c>
      <c r="BI31" s="24" t="n">
        <f aca="false">IFERROR(AVERAGEIFS($BH$7:$BH$294,$B$7:$B$294,$B31,$A$7:$A$294,"&gt;="&amp;EDATE($A31,-12*'Seasonal Factors'!$E$4),$A$7:$A$294,"&lt;="&amp;EDATE($A31,12*'Seasonal Factors'!$E$4)),"")</f>
        <v>1.01433771091241</v>
      </c>
      <c r="BJ31" s="24" t="n">
        <f aca="false">IFERROR(BI31/AVERAGE(BI26:BI37),"")</f>
        <v>1.01435111104825</v>
      </c>
    </row>
    <row r="32" customFormat="false" ht="15" hidden="false" customHeight="false" outlineLevel="0" collapsed="false">
      <c r="A32" s="20" t="n">
        <v>38776</v>
      </c>
      <c r="B32" s="22" t="n">
        <f aca="false">MONTH(A32)</f>
        <v>2</v>
      </c>
      <c r="C32" s="23" t="n">
        <f aca="false">IF(ISNUMBER(Tabelle1!E39),(0.5*Tabelle1!E27+SUM(Tabelle1!E28:E38)+0.5*Tabelle1!E39)/12,"")</f>
        <v>116.15058875</v>
      </c>
      <c r="D32" s="24" t="n">
        <f aca="false">IFERROR(Tabelle1!E33/C32,"")</f>
        <v>0.575114949643335</v>
      </c>
      <c r="E32" s="24" t="n">
        <f aca="false">IFERROR(AVERAGEIFS($D$7:$D$294,$B$7:$B$294,$B32,$A$7:$A$294,"&gt;="&amp;EDATE($A32,-12*'Seasonal Factors'!$E$4),$A$7:$A$294,"&lt;="&amp;EDATE($A32,12*'Seasonal Factors'!$E$4)),"")</f>
        <v>0.570725474064851</v>
      </c>
      <c r="F32" s="24" t="n">
        <f aca="false">IFERROR(E32/AVERAGE(E27:E38),"")</f>
        <v>0.568014008823572</v>
      </c>
      <c r="G32" s="23" t="n">
        <f aca="false">IF(ISNUMBER(Tabelle1!F39),(0.5*Tabelle1!F27+SUM(Tabelle1!F28:F38)+0.5*Tabelle1!F39)/12,"")</f>
        <v>136.5359125</v>
      </c>
      <c r="H32" s="24" t="n">
        <f aca="false">IFERROR(Tabelle1!F33/G32,"")</f>
        <v>1.11924494590388</v>
      </c>
      <c r="I32" s="24" t="n">
        <f aca="false">IFERROR(AVERAGEIFS($H$7:$H$294,$B$7:$B$294,$B32,$A$7:$A$294,"&gt;="&amp;EDATE($A32,-12*'Seasonal Factors'!$E$4),$A$7:$A$294,"&lt;="&amp;EDATE($A32,12*'Seasonal Factors'!$E$4)),"")</f>
        <v>0.667190451622973</v>
      </c>
      <c r="J32" s="24" t="n">
        <f aca="false">IFERROR(I32/AVERAGE(I27:I38),"")</f>
        <v>0.675529865408294</v>
      </c>
      <c r="K32" s="23" t="n">
        <f aca="false">IF(ISNUMBER(Tabelle1!G39),(0.5*Tabelle1!G27+SUM(Tabelle1!G28:G38)+0.5*Tabelle1!G39)/12,"")</f>
        <v>102.436225833333</v>
      </c>
      <c r="L32" s="24" t="n">
        <f aca="false">IFERROR(Tabelle1!G33/K32,"")</f>
        <v>0.922297548854604</v>
      </c>
      <c r="M32" s="24" t="n">
        <f aca="false">IFERROR(AVERAGEIFS($L$7:$L$294,$B$7:$B$294,$B32,$A$7:$A$294,"&gt;="&amp;EDATE($A32,-12*'Seasonal Factors'!$E$4),$A$7:$A$294,"&lt;="&amp;EDATE($A32,12*'Seasonal Factors'!$E$4)),"")</f>
        <v>0.939626174352262</v>
      </c>
      <c r="N32" s="24" t="n">
        <f aca="false">IFERROR(M32/AVERAGE(M27:M38),"")</f>
        <v>0.939013193809841</v>
      </c>
      <c r="O32" s="23" t="n">
        <f aca="false">IF(ISNUMBER(Tabelle1!H39),(0.5*Tabelle1!H27+SUM(Tabelle1!H28:H38)+0.5*Tabelle1!H39)/12,"")</f>
        <v>113.30744625</v>
      </c>
      <c r="P32" s="24" t="n">
        <f aca="false">IFERROR(Tabelle1!H33/O32,"")</f>
        <v>0.906990700092669</v>
      </c>
      <c r="Q32" s="24" t="n">
        <f aca="false">IFERROR(AVERAGEIFS($P$7:$P$294,$B$7:$B$294,$B32,$A$7:$A$294,"&gt;="&amp;EDATE($A32,-12*'Seasonal Factors'!$E$4),$A$7:$A$294,"&lt;="&amp;EDATE($A32,12*'Seasonal Factors'!$E$4)),"")</f>
        <v>0.888364892314508</v>
      </c>
      <c r="R32" s="24" t="n">
        <f aca="false">IFERROR(Q32/AVERAGE(Q27:Q38),"")</f>
        <v>0.888954716090714</v>
      </c>
      <c r="S32" s="23" t="n">
        <f aca="false">IF(ISNUMBER(Tabelle1!I39),(0.5*Tabelle1!I27+SUM(Tabelle1!I28:I38)+0.5*Tabelle1!I39)/12,"")</f>
        <v>108.92688</v>
      </c>
      <c r="T32" s="24" t="n">
        <f aca="false">IFERROR(Tabelle1!I33/S32,"")</f>
        <v>0.972935146953626</v>
      </c>
      <c r="U32" s="24" t="n">
        <f aca="false">IFERROR(AVERAGEIFS($T$7:$T$294,$B$7:$B$294,$B32,$A$7:$A$294,"&gt;="&amp;EDATE($A32,-12*'Seasonal Factors'!$E$4),$A$7:$A$294,"&lt;="&amp;EDATE($A32,12*'Seasonal Factors'!$E$4)),"")</f>
        <v>0.964224783972182</v>
      </c>
      <c r="V32" s="24" t="n">
        <f aca="false">IFERROR(U32/AVERAGE(U27:U38),"")</f>
        <v>0.964512292102078</v>
      </c>
      <c r="W32" s="23" t="n">
        <f aca="false">IF(ISNUMBER(Tabelle1!J39),(0.5*Tabelle1!J27+SUM(Tabelle1!J28:J38)+0.5*Tabelle1!J39)/12,"")</f>
        <v>121.353229583333</v>
      </c>
      <c r="X32" s="24" t="n">
        <f aca="false">IFERROR(Tabelle1!J33/W32,"")</f>
        <v>1.02124459666643</v>
      </c>
      <c r="Y32" s="24" t="n">
        <f aca="false">IFERROR(AVERAGEIFS($X$7:$X$294,$B$7:$B$294,$B32,$A$7:$A$294,"&gt;="&amp;EDATE($A32,-12*'Seasonal Factors'!$E$4),$A$7:$A$294,"&lt;="&amp;EDATE($A32,12*'Seasonal Factors'!$E$4)),"")</f>
        <v>1.00865638247075</v>
      </c>
      <c r="Z32" s="24" t="n">
        <f aca="false">IFERROR(Y32/AVERAGE(Y27:Y38),"")</f>
        <v>1.0092372166207</v>
      </c>
      <c r="AA32" s="23" t="n">
        <f aca="false">IF(ISNUMBER(Tabelle1!K39),(0.5*Tabelle1!K27+SUM(Tabelle1!K28:K38)+0.5*Tabelle1!K39)/12,"")</f>
        <v>117.122480416667</v>
      </c>
      <c r="AB32" s="24" t="n">
        <f aca="false">IFERROR(Tabelle1!K33/AA32,"")</f>
        <v>0.940373270854389</v>
      </c>
      <c r="AC32" s="24" t="n">
        <f aca="false">IFERROR(AVERAGEIFS($AB$7:$AB$294,$B$7:$B$294,$B32,$A$7:$A$294,"&gt;="&amp;EDATE($A32,-12*'Seasonal Factors'!$E$4),$A$7:$A$294,"&lt;="&amp;EDATE($A32,12*'Seasonal Factors'!$E$4)),"")</f>
        <v>0.919693185213129</v>
      </c>
      <c r="AD32" s="24" t="n">
        <f aca="false">IFERROR(AC32/AVERAGE(AC27:AC38),"")</f>
        <v>0.921244861862068</v>
      </c>
      <c r="AE32" s="23" t="n">
        <f aca="false">IF(ISNUMBER(Tabelle1!L39),(0.5*Tabelle1!L27+SUM(Tabelle1!L28:L38)+0.5*Tabelle1!L39)/12,"")</f>
        <v>121.1716075</v>
      </c>
      <c r="AF32" s="24" t="n">
        <f aca="false">IFERROR(Tabelle1!L33/AE32,"")</f>
        <v>1.05576844806652</v>
      </c>
      <c r="AG32" s="24" t="n">
        <f aca="false">IFERROR(AVERAGEIFS($AF$7:$AF$294,$B$7:$B$294,$B32,$A$7:$A$294,"&gt;="&amp;EDATE($A32,-12*'Seasonal Factors'!$E$4),$A$7:$A$294,"&lt;="&amp;EDATE($A32,12*'Seasonal Factors'!$E$4)),"")</f>
        <v>1.0590171631712</v>
      </c>
      <c r="AH32" s="24" t="n">
        <f aca="false">IFERROR(AG32/AVERAGE(AG27:AG38),"")</f>
        <v>1.05910504155053</v>
      </c>
      <c r="AI32" s="23" t="n">
        <f aca="false">IF(ISNUMBER(Tabelle1!M39),(0.5*Tabelle1!M27+SUM(Tabelle1!M28:M38)+0.5*Tabelle1!M39)/12,"")</f>
        <v>123.463399583333</v>
      </c>
      <c r="AJ32" s="24" t="n">
        <f aca="false">IFERROR(Tabelle1!M33/AI32,"")</f>
        <v>0.940872115882359</v>
      </c>
      <c r="AK32" s="24" t="n">
        <f aca="false">IFERROR(AVERAGEIFS($AJ$7:$AJ$294,$B$7:$B$294,$B32,$A$7:$A$294,"&gt;="&amp;EDATE($A32,-12*'Seasonal Factors'!$E$4),$A$7:$A$294,"&lt;="&amp;EDATE($A32,12*'Seasonal Factors'!$E$4)),"")</f>
        <v>0.939239345859235</v>
      </c>
      <c r="AL32" s="24" t="n">
        <f aca="false">IFERROR(AK32/AVERAGE(AK27:AK38),"")</f>
        <v>0.939123194686378</v>
      </c>
      <c r="AM32" s="23" t="n">
        <f aca="false">IF(ISNUMBER(Tabelle1!N39),(0.5*Tabelle1!N27+SUM(Tabelle1!N28:N38)+0.5*Tabelle1!N39)/12,"")</f>
        <v>117.830147083333</v>
      </c>
      <c r="AN32" s="24" t="n">
        <f aca="false">IFERROR(Tabelle1!N33/AM32,"")</f>
        <v>0.977223086368251</v>
      </c>
      <c r="AO32" s="24" t="n">
        <f aca="false">IFERROR(AVERAGEIFS($AN$7:$AN$294,$B$7:$B$294,$B32,$A$7:$A$294,"&gt;="&amp;EDATE($A32,-12*'Seasonal Factors'!$E$4),$A$7:$A$294,"&lt;="&amp;EDATE($A32,12*'Seasonal Factors'!$E$4)),"")</f>
        <v>0.974101075904707</v>
      </c>
      <c r="AP32" s="24" t="n">
        <f aca="false">IFERROR(AO32/AVERAGE(AO27:AO38),"")</f>
        <v>0.973845602205821</v>
      </c>
      <c r="AQ32" s="23" t="n">
        <f aca="false">IF(ISNUMBER(Tabelle1!O39),(0.5*Tabelle1!O27+SUM(Tabelle1!O28:O38)+0.5*Tabelle1!O39)/12,"")</f>
        <v>110.238950416667</v>
      </c>
      <c r="AR32" s="24" t="n">
        <f aca="false">IFERROR(Tabelle1!O33/AQ32,"")</f>
        <v>0.958145824146298</v>
      </c>
      <c r="AS32" s="24" t="n">
        <f aca="false">IFERROR(AVERAGEIFS($AR$7:$AR$294,$B$7:$B$294,$B32,$A$7:$A$294,"&gt;="&amp;EDATE($A32,-12*'Seasonal Factors'!$E$4),$A$7:$A$294,"&lt;="&amp;EDATE($A32,12*'Seasonal Factors'!$E$4)),"")</f>
        <v>0.962245339379311</v>
      </c>
      <c r="AT32" s="24" t="n">
        <f aca="false">IFERROR(AS32/AVERAGE(AS27:AS38),"")</f>
        <v>0.962434040135864</v>
      </c>
      <c r="AU32" s="23" t="n">
        <f aca="false">IF(ISNUMBER(Tabelle1!P39),(0.5*Tabelle1!P27+SUM(Tabelle1!P28:P38)+0.5*Tabelle1!P39)/12,"")</f>
        <v>107.532229583333</v>
      </c>
      <c r="AV32" s="24" t="n">
        <f aca="false">IFERROR(Tabelle1!P33/AU32,"")</f>
        <v>0.990877715572956</v>
      </c>
      <c r="AW32" s="24" t="n">
        <f aca="false">IFERROR(AVERAGEIFS($AV$7:$AV$294,$B$7:$B$294,$B32,$A$7:$A$294,"&gt;="&amp;EDATE($A32,-12*'Seasonal Factors'!$E$4),$A$7:$A$294,"&lt;="&amp;EDATE($A32,12*'Seasonal Factors'!$E$4)),"")</f>
        <v>0.995429173810683</v>
      </c>
      <c r="AX32" s="24" t="n">
        <f aca="false">IFERROR(AW32/AVERAGE(AW27:AW38),"")</f>
        <v>0.995313294930286</v>
      </c>
      <c r="AY32" s="23" t="n">
        <f aca="false">IF(ISNUMBER(Tabelle1!Q39),(0.5*Tabelle1!Q27+SUM(Tabelle1!Q28:Q38)+0.5*Tabelle1!Q39)/12,"")</f>
        <v>108.660551666667</v>
      </c>
      <c r="AZ32" s="24" t="n">
        <f aca="false">IFERROR(Tabelle1!Q33/AY32,"")</f>
        <v>0.974378450836443</v>
      </c>
      <c r="BA32" s="24" t="n">
        <f aca="false">IFERROR(AVERAGEIFS($AZ$7:$AZ$294,$B$7:$B$294,$B32,$A$7:$A$294,"&gt;="&amp;EDATE($A32,-12*'Seasonal Factors'!$E$4),$A$7:$A$294,"&lt;="&amp;EDATE($A32,12*'Seasonal Factors'!$E$4)),"")</f>
        <v>0.979605634280131</v>
      </c>
      <c r="BB32" s="24" t="n">
        <f aca="false">IFERROR(BA32/AVERAGE(BA27:BA38),"")</f>
        <v>0.979436453034584</v>
      </c>
      <c r="BC32" s="23" t="n">
        <f aca="false">IF(ISNUMBER(Tabelle1!R39),(0.5*Tabelle1!R27+SUM(Tabelle1!R28:R38)+0.5*Tabelle1!R39)/12,"")</f>
        <v>111.622596666667</v>
      </c>
      <c r="BD32" s="24" t="n">
        <f aca="false">IFERROR(Tabelle1!R33/BC32,"")</f>
        <v>0.924358177297375</v>
      </c>
      <c r="BE32" s="24" t="n">
        <f aca="false">IFERROR(AVERAGEIFS($BD$7:$BD$294,$B$7:$B$294,$B32,$A$7:$A$294,"&gt;="&amp;EDATE($A32,-12*'Seasonal Factors'!$E$4),$A$7:$A$294,"&lt;="&amp;EDATE($A32,12*'Seasonal Factors'!$E$4)),"")</f>
        <v>0.928777389831433</v>
      </c>
      <c r="BF32" s="24" t="n">
        <f aca="false">IFERROR(BE32/AVERAGE(BE27:BE38),"")</f>
        <v>0.928302447407809</v>
      </c>
      <c r="BG32" s="23" t="n">
        <f aca="false">IF(ISNUMBER(Tabelle1!S39),(0.5*Tabelle1!S27+SUM(Tabelle1!S28:S38)+0.5*Tabelle1!S39)/12,"")</f>
        <v>118.325676666667</v>
      </c>
      <c r="BH32" s="24" t="n">
        <f aca="false">IFERROR(Tabelle1!S33/BG32,"")</f>
        <v>0.970121052621348</v>
      </c>
      <c r="BI32" s="24" t="n">
        <f aca="false">IFERROR(AVERAGEIFS($BH$7:$BH$294,$B$7:$B$294,$B32,$A$7:$A$294,"&gt;="&amp;EDATE($A32,-12*'Seasonal Factors'!$E$4),$A$7:$A$294,"&lt;="&amp;EDATE($A32,12*'Seasonal Factors'!$E$4)),"")</f>
        <v>0.988935798064227</v>
      </c>
      <c r="BJ32" s="24" t="n">
        <f aca="false">IFERROR(BI32/AVERAGE(BI27:BI38),"")</f>
        <v>0.989036265587362</v>
      </c>
    </row>
    <row r="33" customFormat="false" ht="15" hidden="false" customHeight="false" outlineLevel="0" collapsed="false">
      <c r="A33" s="20" t="n">
        <v>38807</v>
      </c>
      <c r="B33" s="22" t="n">
        <f aca="false">MONTH(A33)</f>
        <v>3</v>
      </c>
      <c r="C33" s="23" t="n">
        <f aca="false">IF(ISNUMBER(Tabelle1!E40),(0.5*Tabelle1!E28+SUM(Tabelle1!E29:E39)+0.5*Tabelle1!E40)/12,"")</f>
        <v>116.772909166667</v>
      </c>
      <c r="D33" s="24" t="n">
        <f aca="false">IFERROR(Tabelle1!E34/C33,"")</f>
        <v>1.0867374197116</v>
      </c>
      <c r="E33" s="24" t="n">
        <f aca="false">IFERROR(AVERAGEIFS($D$7:$D$294,$B$7:$B$294,$B33,$A$7:$A$294,"&gt;="&amp;EDATE($A33,-12*'Seasonal Factors'!$E$4),$A$7:$A$294,"&lt;="&amp;EDATE($A33,12*'Seasonal Factors'!$E$4)),"")</f>
        <v>1.09496708032785</v>
      </c>
      <c r="F33" s="24" t="n">
        <f aca="false">IFERROR(E33/AVERAGE(E28:E39),"")</f>
        <v>1.09098093226939</v>
      </c>
      <c r="G33" s="23" t="n">
        <f aca="false">IF(ISNUMBER(Tabelle1!F40),(0.5*Tabelle1!F28+SUM(Tabelle1!F29:F39)+0.5*Tabelle1!F40)/12,"")</f>
        <v>143.519917916667</v>
      </c>
      <c r="H33" s="24" t="n">
        <f aca="false">IFERROR(Tabelle1!F34/G33,"")</f>
        <v>1.65959403724227</v>
      </c>
      <c r="I33" s="24" t="n">
        <f aca="false">IFERROR(AVERAGEIFS($H$7:$H$294,$B$7:$B$294,$B33,$A$7:$A$294,"&gt;="&amp;EDATE($A33,-12*'Seasonal Factors'!$E$4),$A$7:$A$294,"&lt;="&amp;EDATE($A33,12*'Seasonal Factors'!$E$4)),"")</f>
        <v>1.38690285391655</v>
      </c>
      <c r="J33" s="24" t="n">
        <f aca="false">IFERROR(I33/AVERAGE(I28:I39),"")</f>
        <v>1.3909218324199</v>
      </c>
      <c r="K33" s="23" t="n">
        <f aca="false">IF(ISNUMBER(Tabelle1!G40),(0.5*Tabelle1!G28+SUM(Tabelle1!G29:G39)+0.5*Tabelle1!G40)/12,"")</f>
        <v>103.007873333333</v>
      </c>
      <c r="L33" s="24" t="n">
        <f aca="false">IFERROR(Tabelle1!G34/K33,"")</f>
        <v>1.03196470871709</v>
      </c>
      <c r="M33" s="24" t="n">
        <f aca="false">IFERROR(AVERAGEIFS($L$7:$L$294,$B$7:$B$294,$B33,$A$7:$A$294,"&gt;="&amp;EDATE($A33,-12*'Seasonal Factors'!$E$4),$A$7:$A$294,"&lt;="&amp;EDATE($A33,12*'Seasonal Factors'!$E$4)),"")</f>
        <v>1.02810661351661</v>
      </c>
      <c r="N33" s="24" t="n">
        <f aca="false">IFERROR(M33/AVERAGE(M28:M39),"")</f>
        <v>1.02732777908601</v>
      </c>
      <c r="O33" s="23" t="n">
        <f aca="false">IF(ISNUMBER(Tabelle1!H40),(0.5*Tabelle1!H28+SUM(Tabelle1!H29:H39)+0.5*Tabelle1!H40)/12,"")</f>
        <v>114.22594375</v>
      </c>
      <c r="P33" s="24" t="n">
        <f aca="false">IFERROR(Tabelle1!H34/O33,"")</f>
        <v>1.0366903184374</v>
      </c>
      <c r="Q33" s="24" t="n">
        <f aca="false">IFERROR(AVERAGEIFS($P$7:$P$294,$B$7:$B$294,$B33,$A$7:$A$294,"&gt;="&amp;EDATE($A33,-12*'Seasonal Factors'!$E$4),$A$7:$A$294,"&lt;="&amp;EDATE($A33,12*'Seasonal Factors'!$E$4)),"")</f>
        <v>1.01015601167381</v>
      </c>
      <c r="R33" s="24" t="n">
        <f aca="false">IFERROR(Q33/AVERAGE(Q28:Q39),"")</f>
        <v>1.01076581438838</v>
      </c>
      <c r="S33" s="23" t="n">
        <f aca="false">IF(ISNUMBER(Tabelle1!I40),(0.5*Tabelle1!I28+SUM(Tabelle1!I29:I39)+0.5*Tabelle1!I40)/12,"")</f>
        <v>109.40158875</v>
      </c>
      <c r="T33" s="24" t="n">
        <f aca="false">IFERROR(Tabelle1!I34/S33,"")</f>
        <v>0.985437882866212</v>
      </c>
      <c r="U33" s="24" t="n">
        <f aca="false">IFERROR(AVERAGEIFS($T$7:$T$294,$B$7:$B$294,$B33,$A$7:$A$294,"&gt;="&amp;EDATE($A33,-12*'Seasonal Factors'!$E$4),$A$7:$A$294,"&lt;="&amp;EDATE($A33,12*'Seasonal Factors'!$E$4)),"")</f>
        <v>1.01276558456522</v>
      </c>
      <c r="V33" s="24" t="n">
        <f aca="false">IFERROR(U33/AVERAGE(U28:U39),"")</f>
        <v>1.01329667733343</v>
      </c>
      <c r="W33" s="23" t="n">
        <f aca="false">IF(ISNUMBER(Tabelle1!J40),(0.5*Tabelle1!J28+SUM(Tabelle1!J29:J39)+0.5*Tabelle1!J40)/12,"")</f>
        <v>122.5352875</v>
      </c>
      <c r="X33" s="24" t="n">
        <f aca="false">IFERROR(Tabelle1!J34/W33,"")</f>
        <v>1.04687851652529</v>
      </c>
      <c r="Y33" s="24" t="n">
        <f aca="false">IFERROR(AVERAGEIFS($X$7:$X$294,$B$7:$B$294,$B33,$A$7:$A$294,"&gt;="&amp;EDATE($A33,-12*'Seasonal Factors'!$E$4),$A$7:$A$294,"&lt;="&amp;EDATE($A33,12*'Seasonal Factors'!$E$4)),"")</f>
        <v>1.02854010365119</v>
      </c>
      <c r="Z33" s="24" t="n">
        <f aca="false">IFERROR(Y33/AVERAGE(Y28:Y39),"")</f>
        <v>1.02910349638594</v>
      </c>
      <c r="AA33" s="23" t="n">
        <f aca="false">IF(ISNUMBER(Tabelle1!K40),(0.5*Tabelle1!K28+SUM(Tabelle1!K29:K39)+0.5*Tabelle1!K40)/12,"")</f>
        <v>118.177543333333</v>
      </c>
      <c r="AB33" s="24" t="n">
        <f aca="false">IFERROR(Tabelle1!K34/AA33,"")</f>
        <v>1.10513796713154</v>
      </c>
      <c r="AC33" s="24" t="n">
        <f aca="false">IFERROR(AVERAGEIFS($AB$7:$AB$294,$B$7:$B$294,$B33,$A$7:$A$294,"&gt;="&amp;EDATE($A33,-12*'Seasonal Factors'!$E$4),$A$7:$A$294,"&lt;="&amp;EDATE($A33,12*'Seasonal Factors'!$E$4)),"")</f>
        <v>1.07323736819221</v>
      </c>
      <c r="AD33" s="24" t="n">
        <f aca="false">IFERROR(AC33/AVERAGE(AC28:AC39),"")</f>
        <v>1.07477692958068</v>
      </c>
      <c r="AE33" s="23" t="n">
        <f aca="false">IF(ISNUMBER(Tabelle1!L40),(0.5*Tabelle1!L28+SUM(Tabelle1!L29:L39)+0.5*Tabelle1!L40)/12,"")</f>
        <v>122.035087083333</v>
      </c>
      <c r="AF33" s="24" t="n">
        <f aca="false">IFERROR(Tabelle1!L34/AE33,"")</f>
        <v>1.03532928946675</v>
      </c>
      <c r="AG33" s="24" t="n">
        <f aca="false">IFERROR(AVERAGEIFS($AF$7:$AF$294,$B$7:$B$294,$B33,$A$7:$A$294,"&gt;="&amp;EDATE($A33,-12*'Seasonal Factors'!$E$4),$A$7:$A$294,"&lt;="&amp;EDATE($A33,12*'Seasonal Factors'!$E$4)),"")</f>
        <v>1.02294230701636</v>
      </c>
      <c r="AH33" s="24" t="n">
        <f aca="false">IFERROR(AG33/AVERAGE(AG28:AG39),"")</f>
        <v>1.02288472326126</v>
      </c>
      <c r="AI33" s="23" t="n">
        <f aca="false">IF(ISNUMBER(Tabelle1!M40),(0.5*Tabelle1!M28+SUM(Tabelle1!M29:M39)+0.5*Tabelle1!M40)/12,"")</f>
        <v>124.759235833333</v>
      </c>
      <c r="AJ33" s="24" t="n">
        <f aca="false">IFERROR(Tabelle1!M34/AI33,"")</f>
        <v>1.00907407102252</v>
      </c>
      <c r="AK33" s="24" t="n">
        <f aca="false">IFERROR(AVERAGEIFS($AJ$7:$AJ$294,$B$7:$B$294,$B33,$A$7:$A$294,"&gt;="&amp;EDATE($A33,-12*'Seasonal Factors'!$E$4),$A$7:$A$294,"&lt;="&amp;EDATE($A33,12*'Seasonal Factors'!$E$4)),"")</f>
        <v>0.999470021445543</v>
      </c>
      <c r="AL33" s="24" t="n">
        <f aca="false">IFERROR(AK33/AVERAGE(AK28:AK39),"")</f>
        <v>0.999311718022483</v>
      </c>
      <c r="AM33" s="23" t="n">
        <f aca="false">IF(ISNUMBER(Tabelle1!N40),(0.5*Tabelle1!N28+SUM(Tabelle1!N29:N39)+0.5*Tabelle1!N40)/12,"")</f>
        <v>119.14847375</v>
      </c>
      <c r="AN33" s="24" t="n">
        <f aca="false">IFERROR(Tabelle1!N34/AM33,"")</f>
        <v>0.9977360704547</v>
      </c>
      <c r="AO33" s="24" t="n">
        <f aca="false">IFERROR(AVERAGEIFS($AN$7:$AN$294,$B$7:$B$294,$B33,$A$7:$A$294,"&gt;="&amp;EDATE($A33,-12*'Seasonal Factors'!$E$4),$A$7:$A$294,"&lt;="&amp;EDATE($A33,12*'Seasonal Factors'!$E$4)),"")</f>
        <v>0.997329613513745</v>
      </c>
      <c r="AP33" s="24" t="n">
        <f aca="false">IFERROR(AO33/AVERAGE(AO28:AO39),"")</f>
        <v>0.997161516094456</v>
      </c>
      <c r="AQ33" s="23" t="n">
        <f aca="false">IF(ISNUMBER(Tabelle1!O40),(0.5*Tabelle1!O28+SUM(Tabelle1!O29:O39)+0.5*Tabelle1!O40)/12,"")</f>
        <v>110.70697125</v>
      </c>
      <c r="AR33" s="24" t="n">
        <f aca="false">IFERROR(Tabelle1!O34/AQ33,"")</f>
        <v>1.00198812005707</v>
      </c>
      <c r="AS33" s="24" t="n">
        <f aca="false">IFERROR(AVERAGEIFS($AR$7:$AR$294,$B$7:$B$294,$B33,$A$7:$A$294,"&gt;="&amp;EDATE($A33,-12*'Seasonal Factors'!$E$4),$A$7:$A$294,"&lt;="&amp;EDATE($A33,12*'Seasonal Factors'!$E$4)),"")</f>
        <v>0.994227927619072</v>
      </c>
      <c r="AT33" s="24" t="n">
        <f aca="false">IFERROR(AS33/AVERAGE(AS28:AS39),"")</f>
        <v>0.994386826161587</v>
      </c>
      <c r="AU33" s="23" t="n">
        <f aca="false">IF(ISNUMBER(Tabelle1!P40),(0.5*Tabelle1!P28+SUM(Tabelle1!P29:P39)+0.5*Tabelle1!P40)/12,"")</f>
        <v>107.91426875</v>
      </c>
      <c r="AV33" s="24" t="n">
        <f aca="false">IFERROR(Tabelle1!P34/AU33,"")</f>
        <v>0.987044449578407</v>
      </c>
      <c r="AW33" s="24" t="n">
        <f aca="false">IFERROR(AVERAGEIFS($AV$7:$AV$294,$B$7:$B$294,$B33,$A$7:$A$294,"&gt;="&amp;EDATE($A33,-12*'Seasonal Factors'!$E$4),$A$7:$A$294,"&lt;="&amp;EDATE($A33,12*'Seasonal Factors'!$E$4)),"")</f>
        <v>0.993419009649886</v>
      </c>
      <c r="AX33" s="24" t="n">
        <f aca="false">IFERROR(AW33/AVERAGE(AW28:AW39),"")</f>
        <v>0.993431512626116</v>
      </c>
      <c r="AY33" s="23" t="n">
        <f aca="false">IF(ISNUMBER(Tabelle1!Q40),(0.5*Tabelle1!Q28+SUM(Tabelle1!Q29:Q39)+0.5*Tabelle1!Q40)/12,"")</f>
        <v>109.093230833333</v>
      </c>
      <c r="AZ33" s="24" t="n">
        <f aca="false">IFERROR(Tabelle1!Q34/AY33,"")</f>
        <v>0.976090992874543</v>
      </c>
      <c r="BA33" s="24" t="n">
        <f aca="false">IFERROR(AVERAGEIFS($AZ$7:$AZ$294,$B$7:$B$294,$B33,$A$7:$A$294,"&gt;="&amp;EDATE($A33,-12*'Seasonal Factors'!$E$4),$A$7:$A$294,"&lt;="&amp;EDATE($A33,12*'Seasonal Factors'!$E$4)),"")</f>
        <v>0.982635582708727</v>
      </c>
      <c r="BB33" s="24" t="n">
        <f aca="false">IFERROR(BA33/AVERAGE(BA28:BA39),"")</f>
        <v>0.982569733410933</v>
      </c>
      <c r="BC33" s="23" t="n">
        <f aca="false">IF(ISNUMBER(Tabelle1!R40),(0.5*Tabelle1!R28+SUM(Tabelle1!R29:R39)+0.5*Tabelle1!R40)/12,"")</f>
        <v>111.856961666667</v>
      </c>
      <c r="BD33" s="24" t="n">
        <f aca="false">IFERROR(Tabelle1!R34/BC33,"")</f>
        <v>0.989357732867677</v>
      </c>
      <c r="BE33" s="24" t="n">
        <f aca="false">IFERROR(AVERAGEIFS($BD$7:$BD$294,$B$7:$B$294,$B33,$A$7:$A$294,"&gt;="&amp;EDATE($A33,-12*'Seasonal Factors'!$E$4),$A$7:$A$294,"&lt;="&amp;EDATE($A33,12*'Seasonal Factors'!$E$4)),"")</f>
        <v>1.0008982907209</v>
      </c>
      <c r="BF33" s="24" t="n">
        <f aca="false">IFERROR(BE33/AVERAGE(BE28:BE39),"")</f>
        <v>1.00059030198852</v>
      </c>
      <c r="BG33" s="23" t="n">
        <f aca="false">IF(ISNUMBER(Tabelle1!S40),(0.5*Tabelle1!S28+SUM(Tabelle1!S29:S39)+0.5*Tabelle1!S40)/12,"")</f>
        <v>119.236509583333</v>
      </c>
      <c r="BH33" s="24" t="n">
        <f aca="false">IFERROR(Tabelle1!S34/BG33,"")</f>
        <v>0.970145640829536</v>
      </c>
      <c r="BI33" s="24" t="n">
        <f aca="false">IFERROR(AVERAGEIFS($BH$7:$BH$294,$B$7:$B$294,$B33,$A$7:$A$294,"&gt;="&amp;EDATE($A33,-12*'Seasonal Factors'!$E$4),$A$7:$A$294,"&lt;="&amp;EDATE($A33,12*'Seasonal Factors'!$E$4)),"")</f>
        <v>0.97830198913256</v>
      </c>
      <c r="BJ33" s="24" t="n">
        <f aca="false">IFERROR(BI33/AVERAGE(BI28:BI39),"")</f>
        <v>0.978448426702221</v>
      </c>
    </row>
    <row r="34" customFormat="false" ht="15" hidden="false" customHeight="false" outlineLevel="0" collapsed="false">
      <c r="A34" s="20" t="n">
        <v>38837</v>
      </c>
      <c r="B34" s="22" t="n">
        <f aca="false">MONTH(A34)</f>
        <v>4</v>
      </c>
      <c r="C34" s="23" t="n">
        <f aca="false">IF(ISNUMBER(Tabelle1!E41),(0.5*Tabelle1!E29+SUM(Tabelle1!E30:E40)+0.5*Tabelle1!E41)/12,"")</f>
        <v>117.182102916667</v>
      </c>
      <c r="D34" s="24" t="n">
        <f aca="false">IFERROR(Tabelle1!E35/C34,"")</f>
        <v>1.62903084386318</v>
      </c>
      <c r="E34" s="24" t="n">
        <f aca="false">IFERROR(AVERAGEIFS($D$7:$D$294,$B$7:$B$294,$B34,$A$7:$A$294,"&gt;="&amp;EDATE($A34,-12*'Seasonal Factors'!$E$4),$A$7:$A$294,"&lt;="&amp;EDATE($A34,12*'Seasonal Factors'!$E$4)),"")</f>
        <v>1.68411474829554</v>
      </c>
      <c r="F34" s="24" t="n">
        <f aca="false">IFERROR(E34/AVERAGE(E29:E40),"")</f>
        <v>1.67910545566883</v>
      </c>
      <c r="G34" s="23" t="n">
        <f aca="false">IF(ISNUMBER(Tabelle1!F41),(0.5*Tabelle1!F29+SUM(Tabelle1!F30:F40)+0.5*Tabelle1!F41)/12,"")</f>
        <v>148.137763333333</v>
      </c>
      <c r="H34" s="24" t="n">
        <f aca="false">IFERROR(Tabelle1!F35/G34,"")</f>
        <v>1.43755295886853</v>
      </c>
      <c r="I34" s="24" t="n">
        <f aca="false">IFERROR(AVERAGEIFS($H$7:$H$294,$B$7:$B$294,$B34,$A$7:$A$294,"&gt;="&amp;EDATE($A34,-12*'Seasonal Factors'!$E$4),$A$7:$A$294,"&lt;="&amp;EDATE($A34,12*'Seasonal Factors'!$E$4)),"")</f>
        <v>1.43339165532815</v>
      </c>
      <c r="J34" s="24" t="n">
        <f aca="false">IFERROR(I34/AVERAGE(I29:I40),"")</f>
        <v>1.43750849999605</v>
      </c>
      <c r="K34" s="23" t="n">
        <f aca="false">IF(ISNUMBER(Tabelle1!G41),(0.5*Tabelle1!G29+SUM(Tabelle1!G30:G40)+0.5*Tabelle1!G41)/12,"")</f>
        <v>103.931370833333</v>
      </c>
      <c r="L34" s="24" t="n">
        <f aca="false">IFERROR(Tabelle1!G35/K34,"")</f>
        <v>1.00126005426097</v>
      </c>
      <c r="M34" s="24" t="n">
        <f aca="false">IFERROR(AVERAGEIFS($L$7:$L$294,$B$7:$B$294,$B34,$A$7:$A$294,"&gt;="&amp;EDATE($A34,-12*'Seasonal Factors'!$E$4),$A$7:$A$294,"&lt;="&amp;EDATE($A34,12*'Seasonal Factors'!$E$4)),"")</f>
        <v>0.99859337028743</v>
      </c>
      <c r="N34" s="24" t="n">
        <f aca="false">IFERROR(M34/AVERAGE(M29:M40),"")</f>
        <v>0.997804644115523</v>
      </c>
      <c r="O34" s="23" t="n">
        <f aca="false">IF(ISNUMBER(Tabelle1!H41),(0.5*Tabelle1!H29+SUM(Tabelle1!H30:H40)+0.5*Tabelle1!H41)/12,"")</f>
        <v>115.093575</v>
      </c>
      <c r="P34" s="24" t="n">
        <f aca="false">IFERROR(Tabelle1!H35/O34,"")</f>
        <v>1.01027846254667</v>
      </c>
      <c r="Q34" s="24" t="n">
        <f aca="false">IFERROR(AVERAGEIFS($P$7:$P$294,$B$7:$B$294,$B34,$A$7:$A$294,"&gt;="&amp;EDATE($A34,-12*'Seasonal Factors'!$E$4),$A$7:$A$294,"&lt;="&amp;EDATE($A34,12*'Seasonal Factors'!$E$4)),"")</f>
        <v>1.01300931787829</v>
      </c>
      <c r="R34" s="24" t="n">
        <f aca="false">IFERROR(Q34/AVERAGE(Q29:Q40),"")</f>
        <v>1.01367726259854</v>
      </c>
      <c r="S34" s="23" t="n">
        <f aca="false">IF(ISNUMBER(Tabelle1!I41),(0.5*Tabelle1!I29+SUM(Tabelle1!I30:I40)+0.5*Tabelle1!I41)/12,"")</f>
        <v>110.143489583333</v>
      </c>
      <c r="T34" s="24" t="n">
        <f aca="false">IFERROR(Tabelle1!I35/S34,"")</f>
        <v>0.937941229125833</v>
      </c>
      <c r="U34" s="24" t="n">
        <f aca="false">IFERROR(AVERAGEIFS($T$7:$T$294,$B$7:$B$294,$B34,$A$7:$A$294,"&gt;="&amp;EDATE($A34,-12*'Seasonal Factors'!$E$4),$A$7:$A$294,"&lt;="&amp;EDATE($A34,12*'Seasonal Factors'!$E$4)),"")</f>
        <v>0.957970975167646</v>
      </c>
      <c r="V34" s="24" t="n">
        <f aca="false">IFERROR(U34/AVERAGE(U29:U40),"")</f>
        <v>0.958418675391462</v>
      </c>
      <c r="W34" s="23" t="n">
        <f aca="false">IF(ISNUMBER(Tabelle1!J41),(0.5*Tabelle1!J29+SUM(Tabelle1!J30:J40)+0.5*Tabelle1!J41)/12,"")</f>
        <v>123.700639583333</v>
      </c>
      <c r="X34" s="24" t="n">
        <f aca="false">IFERROR(Tabelle1!J35/W34,"")</f>
        <v>0.978679175853763</v>
      </c>
      <c r="Y34" s="24" t="n">
        <f aca="false">IFERROR(AVERAGEIFS($X$7:$X$294,$B$7:$B$294,$B34,$A$7:$A$294,"&gt;="&amp;EDATE($A34,-12*'Seasonal Factors'!$E$4),$A$7:$A$294,"&lt;="&amp;EDATE($A34,12*'Seasonal Factors'!$E$4)),"")</f>
        <v>0.985580480310754</v>
      </c>
      <c r="Z34" s="24" t="n">
        <f aca="false">IFERROR(Y34/AVERAGE(Y29:Y40),"")</f>
        <v>0.986423038790422</v>
      </c>
      <c r="AA34" s="23" t="n">
        <f aca="false">IF(ISNUMBER(Tabelle1!K41),(0.5*Tabelle1!K29+SUM(Tabelle1!K30:K40)+0.5*Tabelle1!K41)/12,"")</f>
        <v>119.291367083333</v>
      </c>
      <c r="AB34" s="24" t="n">
        <f aca="false">IFERROR(Tabelle1!K35/AA34,"")</f>
        <v>1.00342223353331</v>
      </c>
      <c r="AC34" s="24" t="n">
        <f aca="false">IFERROR(AVERAGEIFS($AB$7:$AB$294,$B$7:$B$294,$B34,$A$7:$A$294,"&gt;="&amp;EDATE($A34,-12*'Seasonal Factors'!$E$4),$A$7:$A$294,"&lt;="&amp;EDATE($A34,12*'Seasonal Factors'!$E$4)),"")</f>
        <v>1.02081699533952</v>
      </c>
      <c r="AD34" s="24" t="n">
        <f aca="false">IFERROR(AC34/AVERAGE(AC29:AC40),"")</f>
        <v>1.02227135346564</v>
      </c>
      <c r="AE34" s="23" t="n">
        <f aca="false">IF(ISNUMBER(Tabelle1!L41),(0.5*Tabelle1!L29+SUM(Tabelle1!L30:L40)+0.5*Tabelle1!L41)/12,"")</f>
        <v>122.87035375</v>
      </c>
      <c r="AF34" s="24" t="n">
        <f aca="false">IFERROR(Tabelle1!L35/AE34,"")</f>
        <v>0.976308575167588</v>
      </c>
      <c r="AG34" s="24" t="n">
        <f aca="false">IFERROR(AVERAGEIFS($AF$7:$AF$294,$B$7:$B$294,$B34,$A$7:$A$294,"&gt;="&amp;EDATE($A34,-12*'Seasonal Factors'!$E$4),$A$7:$A$294,"&lt;="&amp;EDATE($A34,12*'Seasonal Factors'!$E$4)),"")</f>
        <v>0.971770609847304</v>
      </c>
      <c r="AH34" s="24" t="n">
        <f aca="false">IFERROR(AG34/AVERAGE(AG29:AG40),"")</f>
        <v>0.971533451526013</v>
      </c>
      <c r="AI34" s="23" t="n">
        <f aca="false">IF(ISNUMBER(Tabelle1!M41),(0.5*Tabelle1!M29+SUM(Tabelle1!M30:M40)+0.5*Tabelle1!M41)/12,"")</f>
        <v>126.061929583333</v>
      </c>
      <c r="AJ34" s="24" t="n">
        <f aca="false">IFERROR(Tabelle1!M35/AI34,"")</f>
        <v>1.01729848514833</v>
      </c>
      <c r="AK34" s="24" t="n">
        <f aca="false">IFERROR(AVERAGEIFS($AJ$7:$AJ$294,$B$7:$B$294,$B34,$A$7:$A$294,"&gt;="&amp;EDATE($A34,-12*'Seasonal Factors'!$E$4),$A$7:$A$294,"&lt;="&amp;EDATE($A34,12*'Seasonal Factors'!$E$4)),"")</f>
        <v>1.02601352810967</v>
      </c>
      <c r="AL34" s="24" t="n">
        <f aca="false">IFERROR(AK34/AVERAGE(AK29:AK40),"")</f>
        <v>1.02594287977825</v>
      </c>
      <c r="AM34" s="23" t="n">
        <f aca="false">IF(ISNUMBER(Tabelle1!N41),(0.5*Tabelle1!N29+SUM(Tabelle1!N30:N40)+0.5*Tabelle1!N41)/12,"")</f>
        <v>120.594643333333</v>
      </c>
      <c r="AN34" s="24" t="n">
        <f aca="false">IFERROR(Tabelle1!N35/AM34,"")</f>
        <v>0.967469422978516</v>
      </c>
      <c r="AO34" s="24" t="n">
        <f aca="false">IFERROR(AVERAGEIFS($AN$7:$AN$294,$B$7:$B$294,$B34,$A$7:$A$294,"&gt;="&amp;EDATE($A34,-12*'Seasonal Factors'!$E$4),$A$7:$A$294,"&lt;="&amp;EDATE($A34,12*'Seasonal Factors'!$E$4)),"")</f>
        <v>0.988831571806629</v>
      </c>
      <c r="AP34" s="24" t="n">
        <f aca="false">IFERROR(AO34/AVERAGE(AO29:AO40),"")</f>
        <v>0.989056671640757</v>
      </c>
      <c r="AQ34" s="23" t="n">
        <f aca="false">IF(ISNUMBER(Tabelle1!O41),(0.5*Tabelle1!O29+SUM(Tabelle1!O30:O40)+0.5*Tabelle1!O41)/12,"")</f>
        <v>111.265717083333</v>
      </c>
      <c r="AR34" s="24" t="n">
        <f aca="false">IFERROR(Tabelle1!O35/AQ34,"")</f>
        <v>0.984666552033673</v>
      </c>
      <c r="AS34" s="24" t="n">
        <f aca="false">IFERROR(AVERAGEIFS($AR$7:$AR$294,$B$7:$B$294,$B34,$A$7:$A$294,"&gt;="&amp;EDATE($A34,-12*'Seasonal Factors'!$E$4),$A$7:$A$294,"&lt;="&amp;EDATE($A34,12*'Seasonal Factors'!$E$4)),"")</f>
        <v>0.990706408289881</v>
      </c>
      <c r="AT34" s="24" t="n">
        <f aca="false">IFERROR(AS34/AVERAGE(AS29:AS40),"")</f>
        <v>0.990926045224355</v>
      </c>
      <c r="AU34" s="23" t="n">
        <f aca="false">IF(ISNUMBER(Tabelle1!P41),(0.5*Tabelle1!P29+SUM(Tabelle1!P30:P40)+0.5*Tabelle1!P41)/12,"")</f>
        <v>108.2678475</v>
      </c>
      <c r="AV34" s="24" t="n">
        <f aca="false">IFERROR(Tabelle1!P35/AU34,"")</f>
        <v>0.980590936750636</v>
      </c>
      <c r="AW34" s="24" t="n">
        <f aca="false">IFERROR(AVERAGEIFS($AV$7:$AV$294,$B$7:$B$294,$B34,$A$7:$A$294,"&gt;="&amp;EDATE($A34,-12*'Seasonal Factors'!$E$4),$A$7:$A$294,"&lt;="&amp;EDATE($A34,12*'Seasonal Factors'!$E$4)),"")</f>
        <v>0.986664770589903</v>
      </c>
      <c r="AX34" s="24" t="n">
        <f aca="false">IFERROR(AW34/AVERAGE(AW29:AW40),"")</f>
        <v>0.986743133128485</v>
      </c>
      <c r="AY34" s="23" t="n">
        <f aca="false">IF(ISNUMBER(Tabelle1!Q41),(0.5*Tabelle1!Q29+SUM(Tabelle1!Q30:Q40)+0.5*Tabelle1!Q41)/12,"")</f>
        <v>109.540187916667</v>
      </c>
      <c r="AZ34" s="24" t="n">
        <f aca="false">IFERROR(Tabelle1!Q35/AY34,"")</f>
        <v>0.972149236050357</v>
      </c>
      <c r="BA34" s="24" t="n">
        <f aca="false">IFERROR(AVERAGEIFS($AZ$7:$AZ$294,$B$7:$B$294,$B34,$A$7:$A$294,"&gt;="&amp;EDATE($A34,-12*'Seasonal Factors'!$E$4),$A$7:$A$294,"&lt;="&amp;EDATE($A34,12*'Seasonal Factors'!$E$4)),"")</f>
        <v>0.98043977282695</v>
      </c>
      <c r="BB34" s="24" t="n">
        <f aca="false">IFERROR(BA34/AVERAGE(BA29:BA40),"")</f>
        <v>0.980487614306067</v>
      </c>
      <c r="BC34" s="23" t="n">
        <f aca="false">IF(ISNUMBER(Tabelle1!R41),(0.5*Tabelle1!R29+SUM(Tabelle1!R30:R40)+0.5*Tabelle1!R41)/12,"")</f>
        <v>112.048225416667</v>
      </c>
      <c r="BD34" s="24" t="n">
        <f aca="false">IFERROR(Tabelle1!R35/BC34,"")</f>
        <v>1.01557315679784</v>
      </c>
      <c r="BE34" s="24" t="n">
        <f aca="false">IFERROR(AVERAGEIFS($BD$7:$BD$294,$B$7:$B$294,$B34,$A$7:$A$294,"&gt;="&amp;EDATE($A34,-12*'Seasonal Factors'!$E$4),$A$7:$A$294,"&lt;="&amp;EDATE($A34,12*'Seasonal Factors'!$E$4)),"")</f>
        <v>1.0306751496509</v>
      </c>
      <c r="BF34" s="24" t="n">
        <f aca="false">IFERROR(BE34/AVERAGE(BE29:BE40),"")</f>
        <v>1.03054761964558</v>
      </c>
      <c r="BG34" s="23" t="n">
        <f aca="false">IF(ISNUMBER(Tabelle1!S41),(0.5*Tabelle1!S29+SUM(Tabelle1!S30:S40)+0.5*Tabelle1!S41)/12,"")</f>
        <v>119.907900833333</v>
      </c>
      <c r="BH34" s="24" t="n">
        <f aca="false">IFERROR(Tabelle1!S35/BG34,"")</f>
        <v>1.03809081082168</v>
      </c>
      <c r="BI34" s="24" t="n">
        <f aca="false">IFERROR(AVERAGEIFS($BH$7:$BH$294,$B$7:$B$294,$B34,$A$7:$A$294,"&gt;="&amp;EDATE($A34,-12*'Seasonal Factors'!$E$4),$A$7:$A$294,"&lt;="&amp;EDATE($A34,12*'Seasonal Factors'!$E$4)),"")</f>
        <v>0.992153845187329</v>
      </c>
      <c r="BJ34" s="24" t="n">
        <f aca="false">IFERROR(BI34/AVERAGE(BI29:BI40),"")</f>
        <v>0.992440616149264</v>
      </c>
    </row>
    <row r="35" customFormat="false" ht="15" hidden="false" customHeight="false" outlineLevel="0" collapsed="false">
      <c r="A35" s="20" t="n">
        <v>38868</v>
      </c>
      <c r="B35" s="22" t="n">
        <f aca="false">MONTH(A35)</f>
        <v>5</v>
      </c>
      <c r="C35" s="23" t="n">
        <f aca="false">IF(ISNUMBER(Tabelle1!E42),(0.5*Tabelle1!E30+SUM(Tabelle1!E31:E41)+0.5*Tabelle1!E42)/12,"")</f>
        <v>117.308620416667</v>
      </c>
      <c r="D35" s="24" t="n">
        <f aca="false">IFERROR(Tabelle1!E36/C35,"")</f>
        <v>2.38555000481653</v>
      </c>
      <c r="E35" s="24" t="n">
        <f aca="false">IFERROR(AVERAGEIFS($D$7:$D$294,$B$7:$B$294,$B35,$A$7:$A$294,"&gt;="&amp;EDATE($A35,-12*'Seasonal Factors'!$E$4),$A$7:$A$294,"&lt;="&amp;EDATE($A35,12*'Seasonal Factors'!$E$4)),"")</f>
        <v>2.46012855599758</v>
      </c>
      <c r="F35" s="24" t="n">
        <f aca="false">IFERROR(E35/AVERAGE(E30:E41),"")</f>
        <v>2.45355818676689</v>
      </c>
      <c r="G35" s="23" t="n">
        <f aca="false">IF(ISNUMBER(Tabelle1!F42),(0.5*Tabelle1!F30+SUM(Tabelle1!F31:F41)+0.5*Tabelle1!F42)/12,"")</f>
        <v>150.016484583333</v>
      </c>
      <c r="H35" s="24" t="n">
        <f aca="false">IFERROR(Tabelle1!F36/G35,"")</f>
        <v>1.76596925821733</v>
      </c>
      <c r="I35" s="24" t="n">
        <f aca="false">IFERROR(AVERAGEIFS($H$7:$H$294,$B$7:$B$294,$B35,$A$7:$A$294,"&gt;="&amp;EDATE($A35,-12*'Seasonal Factors'!$E$4),$A$7:$A$294,"&lt;="&amp;EDATE($A35,12*'Seasonal Factors'!$E$4)),"")</f>
        <v>1.80784767375142</v>
      </c>
      <c r="J35" s="24" t="n">
        <f aca="false">IFERROR(I35/AVERAGE(I30:I41),"")</f>
        <v>1.81228164140889</v>
      </c>
      <c r="K35" s="23" t="n">
        <f aca="false">IF(ISNUMBER(Tabelle1!G42),(0.5*Tabelle1!G30+SUM(Tabelle1!G31:G41)+0.5*Tabelle1!G42)/12,"")</f>
        <v>104.517075833333</v>
      </c>
      <c r="L35" s="24" t="n">
        <f aca="false">IFERROR(Tabelle1!G36/K35,"")</f>
        <v>1.04430571875213</v>
      </c>
      <c r="M35" s="24" t="n">
        <f aca="false">IFERROR(AVERAGEIFS($L$7:$L$294,$B$7:$B$294,$B35,$A$7:$A$294,"&gt;="&amp;EDATE($A35,-12*'Seasonal Factors'!$E$4),$A$7:$A$294,"&lt;="&amp;EDATE($A35,12*'Seasonal Factors'!$E$4)),"")</f>
        <v>1.01119573636925</v>
      </c>
      <c r="N35" s="24" t="n">
        <f aca="false">IFERROR(M35/AVERAGE(M30:M41),"")</f>
        <v>1.00982886660735</v>
      </c>
      <c r="O35" s="23" t="n">
        <f aca="false">IF(ISNUMBER(Tabelle1!H42),(0.5*Tabelle1!H30+SUM(Tabelle1!H31:H41)+0.5*Tabelle1!H42)/12,"")</f>
        <v>115.943587916667</v>
      </c>
      <c r="P35" s="24" t="n">
        <f aca="false">IFERROR(Tabelle1!H36/O35,"")</f>
        <v>1.02519382171813</v>
      </c>
      <c r="Q35" s="24" t="n">
        <f aca="false">IFERROR(AVERAGEIFS($P$7:$P$294,$B$7:$B$294,$B35,$A$7:$A$294,"&gt;="&amp;EDATE($A35,-12*'Seasonal Factors'!$E$4),$A$7:$A$294,"&lt;="&amp;EDATE($A35,12*'Seasonal Factors'!$E$4)),"")</f>
        <v>1.02550256105253</v>
      </c>
      <c r="R35" s="24" t="n">
        <f aca="false">IFERROR(Q35/AVERAGE(Q30:Q41),"")</f>
        <v>1.0260031153977</v>
      </c>
      <c r="S35" s="23" t="n">
        <f aca="false">IF(ISNUMBER(Tabelle1!I42),(0.5*Tabelle1!I30+SUM(Tabelle1!I31:I41)+0.5*Tabelle1!I42)/12,"")</f>
        <v>110.970011666667</v>
      </c>
      <c r="T35" s="24" t="n">
        <f aca="false">IFERROR(Tabelle1!I36/S35,"")</f>
        <v>1.02577532695883</v>
      </c>
      <c r="U35" s="24" t="n">
        <f aca="false">IFERROR(AVERAGEIFS($T$7:$T$294,$B$7:$B$294,$B35,$A$7:$A$294,"&gt;="&amp;EDATE($A35,-12*'Seasonal Factors'!$E$4),$A$7:$A$294,"&lt;="&amp;EDATE($A35,12*'Seasonal Factors'!$E$4)),"")</f>
        <v>1.01654057778683</v>
      </c>
      <c r="V35" s="24" t="n">
        <f aca="false">IFERROR(U35/AVERAGE(U30:U41),"")</f>
        <v>1.01720355853515</v>
      </c>
      <c r="W35" s="23" t="n">
        <f aca="false">IF(ISNUMBER(Tabelle1!J42),(0.5*Tabelle1!J30+SUM(Tabelle1!J31:J41)+0.5*Tabelle1!J42)/12,"")</f>
        <v>124.84350625</v>
      </c>
      <c r="X35" s="24" t="n">
        <f aca="false">IFERROR(Tabelle1!J36/W35,"")</f>
        <v>0.990316066199078</v>
      </c>
      <c r="Y35" s="24" t="n">
        <f aca="false">IFERROR(AVERAGEIFS($X$7:$X$294,$B$7:$B$294,$B35,$A$7:$A$294,"&gt;="&amp;EDATE($A35,-12*'Seasonal Factors'!$E$4),$A$7:$A$294,"&lt;="&amp;EDATE($A35,12*'Seasonal Factors'!$E$4)),"")</f>
        <v>0.991313724191344</v>
      </c>
      <c r="Z35" s="24" t="n">
        <f aca="false">IFERROR(Y35/AVERAGE(Y30:Y41),"")</f>
        <v>0.992376913052321</v>
      </c>
      <c r="AA35" s="23" t="n">
        <f aca="false">IF(ISNUMBER(Tabelle1!K42),(0.5*Tabelle1!K30+SUM(Tabelle1!K31:K41)+0.5*Tabelle1!K42)/12,"")</f>
        <v>120.520838333333</v>
      </c>
      <c r="AB35" s="24" t="n">
        <f aca="false">IFERROR(Tabelle1!K36/AA35,"")</f>
        <v>1.04038240800488</v>
      </c>
      <c r="AC35" s="24" t="n">
        <f aca="false">IFERROR(AVERAGEIFS($AB$7:$AB$294,$B$7:$B$294,$B35,$A$7:$A$294,"&gt;="&amp;EDATE($A35,-12*'Seasonal Factors'!$E$4),$A$7:$A$294,"&lt;="&amp;EDATE($A35,12*'Seasonal Factors'!$E$4)),"")</f>
        <v>1.02829463175412</v>
      </c>
      <c r="AD35" s="24" t="n">
        <f aca="false">IFERROR(AC35/AVERAGE(AC30:AC41),"")</f>
        <v>1.02909265985354</v>
      </c>
      <c r="AE35" s="23" t="n">
        <f aca="false">IF(ISNUMBER(Tabelle1!L42),(0.5*Tabelle1!L30+SUM(Tabelle1!L31:L41)+0.5*Tabelle1!L42)/12,"")</f>
        <v>123.78988</v>
      </c>
      <c r="AF35" s="24" t="n">
        <f aca="false">IFERROR(Tabelle1!L36/AE35,"")</f>
        <v>0.920997661521281</v>
      </c>
      <c r="AG35" s="24" t="n">
        <f aca="false">IFERROR(AVERAGEIFS($AF$7:$AF$294,$B$7:$B$294,$B35,$A$7:$A$294,"&gt;="&amp;EDATE($A35,-12*'Seasonal Factors'!$E$4),$A$7:$A$294,"&lt;="&amp;EDATE($A35,12*'Seasonal Factors'!$E$4)),"")</f>
        <v>0.930539826381426</v>
      </c>
      <c r="AH35" s="24" t="n">
        <f aca="false">IFERROR(AG35/AVERAGE(AG30:AG41),"")</f>
        <v>0.930176246882426</v>
      </c>
      <c r="AI35" s="23" t="n">
        <f aca="false">IF(ISNUMBER(Tabelle1!M42),(0.5*Tabelle1!M30+SUM(Tabelle1!M31:M41)+0.5*Tabelle1!M42)/12,"")</f>
        <v>127.4080325</v>
      </c>
      <c r="AJ35" s="24" t="n">
        <f aca="false">IFERROR(Tabelle1!M36/AI35,"")</f>
        <v>1.07617060957283</v>
      </c>
      <c r="AK35" s="24" t="n">
        <f aca="false">IFERROR(AVERAGEIFS($AJ$7:$AJ$294,$B$7:$B$294,$B35,$A$7:$A$294,"&gt;="&amp;EDATE($A35,-12*'Seasonal Factors'!$E$4),$A$7:$A$294,"&lt;="&amp;EDATE($A35,12*'Seasonal Factors'!$E$4)),"")</f>
        <v>1.08221174210531</v>
      </c>
      <c r="AL35" s="24" t="n">
        <f aca="false">IFERROR(AK35/AVERAGE(AK30:AK41),"")</f>
        <v>1.08221572688706</v>
      </c>
      <c r="AM35" s="23" t="n">
        <f aca="false">IF(ISNUMBER(Tabelle1!N42),(0.5*Tabelle1!N30+SUM(Tabelle1!N31:N41)+0.5*Tabelle1!N42)/12,"")</f>
        <v>122.146433333333</v>
      </c>
      <c r="AN35" s="24" t="n">
        <f aca="false">IFERROR(Tabelle1!N36/AM35,"")</f>
        <v>0.988570821961509</v>
      </c>
      <c r="AO35" s="24" t="n">
        <f aca="false">IFERROR(AVERAGEIFS($AN$7:$AN$294,$B$7:$B$294,$B35,$A$7:$A$294,"&gt;="&amp;EDATE($A35,-12*'Seasonal Factors'!$E$4),$A$7:$A$294,"&lt;="&amp;EDATE($A35,12*'Seasonal Factors'!$E$4)),"")</f>
        <v>1.00272550118513</v>
      </c>
      <c r="AP35" s="24" t="n">
        <f aca="false">IFERROR(AO35/AVERAGE(AO30:AO41),"")</f>
        <v>1.00295218812423</v>
      </c>
      <c r="AQ35" s="23" t="n">
        <f aca="false">IF(ISNUMBER(Tabelle1!O42),(0.5*Tabelle1!O30+SUM(Tabelle1!O31:O41)+0.5*Tabelle1!O42)/12,"")</f>
        <v>111.903990833333</v>
      </c>
      <c r="AR35" s="24" t="n">
        <f aca="false">IFERROR(Tabelle1!O36/AQ35,"")</f>
        <v>1.00860156245992</v>
      </c>
      <c r="AS35" s="24" t="n">
        <f aca="false">IFERROR(AVERAGEIFS($AR$7:$AR$294,$B$7:$B$294,$B35,$A$7:$A$294,"&gt;="&amp;EDATE($A35,-12*'Seasonal Factors'!$E$4),$A$7:$A$294,"&lt;="&amp;EDATE($A35,12*'Seasonal Factors'!$E$4)),"")</f>
        <v>1.00626599006115</v>
      </c>
      <c r="AT35" s="24" t="n">
        <f aca="false">IFERROR(AS35/AVERAGE(AS30:AS41),"")</f>
        <v>1.00632801632193</v>
      </c>
      <c r="AU35" s="23" t="n">
        <f aca="false">IF(ISNUMBER(Tabelle1!P42),(0.5*Tabelle1!P30+SUM(Tabelle1!P31:P41)+0.5*Tabelle1!P42)/12,"")</f>
        <v>108.544802083333</v>
      </c>
      <c r="AV35" s="24" t="n">
        <f aca="false">IFERROR(Tabelle1!P36/AU35,"")</f>
        <v>0.997198372676567</v>
      </c>
      <c r="AW35" s="24" t="n">
        <f aca="false">IFERROR(AVERAGEIFS($AV$7:$AV$294,$B$7:$B$294,$B35,$A$7:$A$294,"&gt;="&amp;EDATE($A35,-12*'Seasonal Factors'!$E$4),$A$7:$A$294,"&lt;="&amp;EDATE($A35,12*'Seasonal Factors'!$E$4)),"")</f>
        <v>0.998010633015086</v>
      </c>
      <c r="AX35" s="24" t="n">
        <f aca="false">IFERROR(AW35/AVERAGE(AW30:AW41),"")</f>
        <v>0.998147809418347</v>
      </c>
      <c r="AY35" s="23" t="n">
        <f aca="false">IF(ISNUMBER(Tabelle1!Q42),(0.5*Tabelle1!Q30+SUM(Tabelle1!Q31:Q41)+0.5*Tabelle1!Q42)/12,"")</f>
        <v>109.94537375</v>
      </c>
      <c r="AZ35" s="24" t="n">
        <f aca="false">IFERROR(Tabelle1!Q36/AY35,"")</f>
        <v>1.00009164778523</v>
      </c>
      <c r="BA35" s="24" t="n">
        <f aca="false">IFERROR(AVERAGEIFS($AZ$7:$AZ$294,$B$7:$B$294,$B35,$A$7:$A$294,"&gt;="&amp;EDATE($A35,-12*'Seasonal Factors'!$E$4),$A$7:$A$294,"&lt;="&amp;EDATE($A35,12*'Seasonal Factors'!$E$4)),"")</f>
        <v>0.998069943878876</v>
      </c>
      <c r="BB35" s="24" t="n">
        <f aca="false">IFERROR(BA35/AVERAGE(BA30:BA41),"")</f>
        <v>0.998234405069421</v>
      </c>
      <c r="BC35" s="23" t="n">
        <f aca="false">IF(ISNUMBER(Tabelle1!R42),(0.5*Tabelle1!R30+SUM(Tabelle1!R31:R41)+0.5*Tabelle1!R42)/12,"")</f>
        <v>112.235557083333</v>
      </c>
      <c r="BD35" s="24" t="n">
        <f aca="false">IFERROR(Tabelle1!R36/BC35,"")</f>
        <v>1.03015241341168</v>
      </c>
      <c r="BE35" s="24" t="n">
        <f aca="false">IFERROR(AVERAGEIFS($BD$7:$BD$294,$B$7:$B$294,$B35,$A$7:$A$294,"&gt;="&amp;EDATE($A35,-12*'Seasonal Factors'!$E$4),$A$7:$A$294,"&lt;="&amp;EDATE($A35,12*'Seasonal Factors'!$E$4)),"")</f>
        <v>1.04524510999524</v>
      </c>
      <c r="BF35" s="24" t="n">
        <f aca="false">IFERROR(BE35/AVERAGE(BE30:BE41),"")</f>
        <v>1.04526564690782</v>
      </c>
      <c r="BG35" s="23" t="n">
        <f aca="false">IF(ISNUMBER(Tabelle1!S42),(0.5*Tabelle1!S30+SUM(Tabelle1!S31:S41)+0.5*Tabelle1!S42)/12,"")</f>
        <v>120.55969375</v>
      </c>
      <c r="BH35" s="24" t="n">
        <f aca="false">IFERROR(Tabelle1!S36/BG35,"")</f>
        <v>1.00925886766364</v>
      </c>
      <c r="BI35" s="24" t="n">
        <f aca="false">IFERROR(AVERAGEIFS($BH$7:$BH$294,$B$7:$B$294,$B35,$A$7:$A$294,"&gt;="&amp;EDATE($A35,-12*'Seasonal Factors'!$E$4),$A$7:$A$294,"&lt;="&amp;EDATE($A35,12*'Seasonal Factors'!$E$4)),"")</f>
        <v>1.00250847668655</v>
      </c>
      <c r="BJ35" s="24" t="n">
        <f aca="false">IFERROR(BI35/AVERAGE(BI30:BI41),"")</f>
        <v>1.0026362680355</v>
      </c>
    </row>
    <row r="36" customFormat="false" ht="15" hidden="false" customHeight="false" outlineLevel="0" collapsed="false">
      <c r="A36" s="20" t="n">
        <v>38898</v>
      </c>
      <c r="B36" s="22" t="n">
        <f aca="false">MONTH(A36)</f>
        <v>6</v>
      </c>
      <c r="C36" s="23" t="n">
        <f aca="false">IF(ISNUMBER(Tabelle1!E43),(0.5*Tabelle1!E31+SUM(Tabelle1!E32:E42)+0.5*Tabelle1!E43)/12,"")</f>
        <v>117.206855</v>
      </c>
      <c r="D36" s="24" t="n">
        <f aca="false">IFERROR(Tabelle1!E37/C36,"")</f>
        <v>1.60961037645793</v>
      </c>
      <c r="E36" s="24" t="n">
        <f aca="false">IFERROR(AVERAGEIFS($D$7:$D$294,$B$7:$B$294,$B36,$A$7:$A$294,"&gt;="&amp;EDATE($A36,-12*'Seasonal Factors'!$E$4),$A$7:$A$294,"&lt;="&amp;EDATE($A36,12*'Seasonal Factors'!$E$4)),"")</f>
        <v>1.6441624159747</v>
      </c>
      <c r="F36" s="24" t="n">
        <f aca="false">IFERROR(E36/AVERAGE(E31:E42),"")</f>
        <v>1.63915307952676</v>
      </c>
      <c r="G36" s="23" t="n">
        <f aca="false">IF(ISNUMBER(Tabelle1!F43),(0.5*Tabelle1!F31+SUM(Tabelle1!F32:F42)+0.5*Tabelle1!F43)/12,"")</f>
        <v>148.791127916667</v>
      </c>
      <c r="H36" s="24" t="n">
        <f aca="false">IFERROR(Tabelle1!F37/G36,"")</f>
        <v>1.23611536907637</v>
      </c>
      <c r="I36" s="24" t="n">
        <f aca="false">IFERROR(AVERAGEIFS($H$7:$H$294,$B$7:$B$294,$B36,$A$7:$A$294,"&gt;="&amp;EDATE($A36,-12*'Seasonal Factors'!$E$4),$A$7:$A$294,"&lt;="&amp;EDATE($A36,12*'Seasonal Factors'!$E$4)),"")</f>
        <v>1.33012921142656</v>
      </c>
      <c r="J36" s="24" t="n">
        <f aca="false">IFERROR(I36/AVERAGE(I31:I42),"")</f>
        <v>1.33415389398732</v>
      </c>
      <c r="K36" s="23" t="n">
        <f aca="false">IF(ISNUMBER(Tabelle1!G43),(0.5*Tabelle1!G31+SUM(Tabelle1!G32:G42)+0.5*Tabelle1!G43)/12,"")</f>
        <v>104.814010416667</v>
      </c>
      <c r="L36" s="24" t="n">
        <f aca="false">IFERROR(Tabelle1!G37/K36,"")</f>
        <v>1.01413446138969</v>
      </c>
      <c r="M36" s="24" t="n">
        <f aca="false">IFERROR(AVERAGEIFS($L$7:$L$294,$B$7:$B$294,$B36,$A$7:$A$294,"&gt;="&amp;EDATE($A36,-12*'Seasonal Factors'!$E$4),$A$7:$A$294,"&lt;="&amp;EDATE($A36,12*'Seasonal Factors'!$E$4)),"")</f>
        <v>0.997480054000736</v>
      </c>
      <c r="N36" s="24" t="n">
        <f aca="false">IFERROR(M36/AVERAGE(M31:M42),"")</f>
        <v>0.997006551905723</v>
      </c>
      <c r="O36" s="23" t="n">
        <f aca="false">IF(ISNUMBER(Tabelle1!H43),(0.5*Tabelle1!H31+SUM(Tabelle1!H32:H42)+0.5*Tabelle1!H43)/12,"")</f>
        <v>116.791816666667</v>
      </c>
      <c r="P36" s="24" t="n">
        <f aca="false">IFERROR(Tabelle1!H37/O36,"")</f>
        <v>1.00423602738148</v>
      </c>
      <c r="Q36" s="24" t="n">
        <f aca="false">IFERROR(AVERAGEIFS($P$7:$P$294,$B$7:$B$294,$B36,$A$7:$A$294,"&gt;="&amp;EDATE($A36,-12*'Seasonal Factors'!$E$4),$A$7:$A$294,"&lt;="&amp;EDATE($A36,12*'Seasonal Factors'!$E$4)),"")</f>
        <v>0.996255060867788</v>
      </c>
      <c r="R36" s="24" t="n">
        <f aca="false">IFERROR(Q36/AVERAGE(Q31:Q42),"")</f>
        <v>0.996835206851536</v>
      </c>
      <c r="S36" s="23" t="n">
        <f aca="false">IF(ISNUMBER(Tabelle1!I43),(0.5*Tabelle1!I31+SUM(Tabelle1!I32:I42)+0.5*Tabelle1!I43)/12,"")</f>
        <v>111.772176666667</v>
      </c>
      <c r="T36" s="24" t="n">
        <f aca="false">IFERROR(Tabelle1!I37/S36,"")</f>
        <v>1.04106203771105</v>
      </c>
      <c r="U36" s="24" t="n">
        <f aca="false">IFERROR(AVERAGEIFS($T$7:$T$294,$B$7:$B$294,$B36,$A$7:$A$294,"&gt;="&amp;EDATE($A36,-12*'Seasonal Factors'!$E$4),$A$7:$A$294,"&lt;="&amp;EDATE($A36,12*'Seasonal Factors'!$E$4)),"")</f>
        <v>1.03861731241539</v>
      </c>
      <c r="V36" s="24" t="n">
        <f aca="false">IFERROR(U36/AVERAGE(U31:U42),"")</f>
        <v>1.03878803307362</v>
      </c>
      <c r="W36" s="23" t="n">
        <f aca="false">IF(ISNUMBER(Tabelle1!J43),(0.5*Tabelle1!J31+SUM(Tabelle1!J32:J42)+0.5*Tabelle1!J43)/12,"")</f>
        <v>125.894103333333</v>
      </c>
      <c r="X36" s="24" t="n">
        <f aca="false">IFERROR(Tabelle1!J37/W36,"")</f>
        <v>0.977360152240119</v>
      </c>
      <c r="Y36" s="24" t="n">
        <f aca="false">IFERROR(AVERAGEIFS($X$7:$X$294,$B$7:$B$294,$B36,$A$7:$A$294,"&gt;="&amp;EDATE($A36,-12*'Seasonal Factors'!$E$4),$A$7:$A$294,"&lt;="&amp;EDATE($A36,12*'Seasonal Factors'!$E$4)),"")</f>
        <v>0.984108554893923</v>
      </c>
      <c r="Z36" s="24" t="n">
        <f aca="false">IFERROR(Y36/AVERAGE(Y31:Y42),"")</f>
        <v>0.98531474471412</v>
      </c>
      <c r="AA36" s="23" t="n">
        <f aca="false">IF(ISNUMBER(Tabelle1!K43),(0.5*Tabelle1!K31+SUM(Tabelle1!K32:K42)+0.5*Tabelle1!K43)/12,"")</f>
        <v>121.542026666667</v>
      </c>
      <c r="AB36" s="24" t="n">
        <f aca="false">IFERROR(Tabelle1!K37/AA36,"")</f>
        <v>1.02096076067845</v>
      </c>
      <c r="AC36" s="24" t="n">
        <f aca="false">IFERROR(AVERAGEIFS($AB$7:$AB$294,$B$7:$B$294,$B36,$A$7:$A$294,"&gt;="&amp;EDATE($A36,-12*'Seasonal Factors'!$E$4),$A$7:$A$294,"&lt;="&amp;EDATE($A36,12*'Seasonal Factors'!$E$4)),"")</f>
        <v>1.0139849593887</v>
      </c>
      <c r="AD36" s="24" t="n">
        <f aca="false">IFERROR(AC36/AVERAGE(AC31:AC42),"")</f>
        <v>1.0145492710865</v>
      </c>
      <c r="AE36" s="23" t="n">
        <f aca="false">IF(ISNUMBER(Tabelle1!L43),(0.5*Tabelle1!L31+SUM(Tabelle1!L32:L42)+0.5*Tabelle1!L43)/12,"")</f>
        <v>124.815470416667</v>
      </c>
      <c r="AF36" s="24" t="n">
        <f aca="false">IFERROR(Tabelle1!L37/AE36,"")</f>
        <v>0.909957392467865</v>
      </c>
      <c r="AG36" s="24" t="n">
        <f aca="false">IFERROR(AVERAGEIFS($AF$7:$AF$294,$B$7:$B$294,$B36,$A$7:$A$294,"&gt;="&amp;EDATE($A36,-12*'Seasonal Factors'!$E$4),$A$7:$A$294,"&lt;="&amp;EDATE($A36,12*'Seasonal Factors'!$E$4)),"")</f>
        <v>0.910627736508319</v>
      </c>
      <c r="AH36" s="24" t="n">
        <f aca="false">IFERROR(AG36/AVERAGE(AG31:AG42),"")</f>
        <v>0.910246931174283</v>
      </c>
      <c r="AI36" s="23" t="n">
        <f aca="false">IF(ISNUMBER(Tabelle1!M43),(0.5*Tabelle1!M31+SUM(Tabelle1!M32:M42)+0.5*Tabelle1!M43)/12,"")</f>
        <v>128.729792916667</v>
      </c>
      <c r="AJ36" s="24" t="n">
        <f aca="false">IFERROR(Tabelle1!M37/AI36,"")</f>
        <v>1.02195324811221</v>
      </c>
      <c r="AK36" s="24" t="n">
        <f aca="false">IFERROR(AVERAGEIFS($AJ$7:$AJ$294,$B$7:$B$294,$B36,$A$7:$A$294,"&gt;="&amp;EDATE($A36,-12*'Seasonal Factors'!$E$4),$A$7:$A$294,"&lt;="&amp;EDATE($A36,12*'Seasonal Factors'!$E$4)),"")</f>
        <v>1.02979977449811</v>
      </c>
      <c r="AL36" s="24" t="n">
        <f aca="false">IFERROR(AK36/AVERAGE(AK31:AK42),"")</f>
        <v>1.03003176518409</v>
      </c>
      <c r="AM36" s="23" t="n">
        <f aca="false">IF(ISNUMBER(Tabelle1!N43),(0.5*Tabelle1!N31+SUM(Tabelle1!N32:N42)+0.5*Tabelle1!N43)/12,"")</f>
        <v>123.59408875</v>
      </c>
      <c r="AN36" s="24" t="n">
        <f aca="false">IFERROR(Tabelle1!N37/AM36,"")</f>
        <v>1.00428573288057</v>
      </c>
      <c r="AO36" s="24" t="n">
        <f aca="false">IFERROR(AVERAGEIFS($AN$7:$AN$294,$B$7:$B$294,$B36,$A$7:$A$294,"&gt;="&amp;EDATE($A36,-12*'Seasonal Factors'!$E$4),$A$7:$A$294,"&lt;="&amp;EDATE($A36,12*'Seasonal Factors'!$E$4)),"")</f>
        <v>1.01714513187879</v>
      </c>
      <c r="AP36" s="24" t="n">
        <f aca="false">IFERROR(AO36/AVERAGE(AO31:AO42),"")</f>
        <v>1.017419669886</v>
      </c>
      <c r="AQ36" s="23" t="n">
        <f aca="false">IF(ISNUMBER(Tabelle1!O43),(0.5*Tabelle1!O31+SUM(Tabelle1!O32:O42)+0.5*Tabelle1!O43)/12,"")</f>
        <v>112.459972083333</v>
      </c>
      <c r="AR36" s="24" t="n">
        <f aca="false">IFERROR(Tabelle1!O37/AQ36,"")</f>
        <v>1.01940110668932</v>
      </c>
      <c r="AS36" s="24" t="n">
        <f aca="false">IFERROR(AVERAGEIFS($AR$7:$AR$294,$B$7:$B$294,$B36,$A$7:$A$294,"&gt;="&amp;EDATE($A36,-12*'Seasonal Factors'!$E$4),$A$7:$A$294,"&lt;="&amp;EDATE($A36,12*'Seasonal Factors'!$E$4)),"")</f>
        <v>1.01697776742764</v>
      </c>
      <c r="AT36" s="24" t="n">
        <f aca="false">IFERROR(AS36/AVERAGE(AS31:AS42),"")</f>
        <v>1.01687056280659</v>
      </c>
      <c r="AU36" s="23" t="n">
        <f aca="false">IF(ISNUMBER(Tabelle1!P43),(0.5*Tabelle1!P31+SUM(Tabelle1!P32:P42)+0.5*Tabelle1!P43)/12,"")</f>
        <v>108.77722125</v>
      </c>
      <c r="AV36" s="24" t="n">
        <f aca="false">IFERROR(Tabelle1!P37/AU36,"")</f>
        <v>1.00880835839516</v>
      </c>
      <c r="AW36" s="24" t="n">
        <f aca="false">IFERROR(AVERAGEIFS($AV$7:$AV$294,$B$7:$B$294,$B36,$A$7:$A$294,"&gt;="&amp;EDATE($A36,-12*'Seasonal Factors'!$E$4),$A$7:$A$294,"&lt;="&amp;EDATE($A36,12*'Seasonal Factors'!$E$4)),"")</f>
        <v>1.00871593013021</v>
      </c>
      <c r="AX36" s="24" t="n">
        <f aca="false">IFERROR(AW36/AVERAGE(AW31:AW42),"")</f>
        <v>1.0088889025039</v>
      </c>
      <c r="AY36" s="23" t="n">
        <f aca="false">IF(ISNUMBER(Tabelle1!Q43),(0.5*Tabelle1!Q31+SUM(Tabelle1!Q32:Q42)+0.5*Tabelle1!Q43)/12,"")</f>
        <v>110.297416666667</v>
      </c>
      <c r="AZ36" s="24" t="n">
        <f aca="false">IFERROR(Tabelle1!Q37/AY36,"")</f>
        <v>1.02573245520256</v>
      </c>
      <c r="BA36" s="24" t="n">
        <f aca="false">IFERROR(AVERAGEIFS($AZ$7:$AZ$294,$B$7:$B$294,$B36,$A$7:$A$294,"&gt;="&amp;EDATE($A36,-12*'Seasonal Factors'!$E$4),$A$7:$A$294,"&lt;="&amp;EDATE($A36,12*'Seasonal Factors'!$E$4)),"")</f>
        <v>1.0205389331343</v>
      </c>
      <c r="BB36" s="24" t="n">
        <f aca="false">IFERROR(BA36/AVERAGE(BA31:BA42),"")</f>
        <v>1.02078449500606</v>
      </c>
      <c r="BC36" s="23" t="n">
        <f aca="false">IF(ISNUMBER(Tabelle1!R43),(0.5*Tabelle1!R31+SUM(Tabelle1!R32:R42)+0.5*Tabelle1!R43)/12,"")</f>
        <v>112.449257083333</v>
      </c>
      <c r="BD36" s="24" t="n">
        <f aca="false">IFERROR(Tabelle1!R37/BC36,"")</f>
        <v>1.06281911592739</v>
      </c>
      <c r="BE36" s="24" t="n">
        <f aca="false">IFERROR(AVERAGEIFS($BD$7:$BD$294,$B$7:$B$294,$B36,$A$7:$A$294,"&gt;="&amp;EDATE($A36,-12*'Seasonal Factors'!$E$4),$A$7:$A$294,"&lt;="&amp;EDATE($A36,12*'Seasonal Factors'!$E$4)),"")</f>
        <v>1.06894458321001</v>
      </c>
      <c r="BF36" s="24" t="n">
        <f aca="false">IFERROR(BE36/AVERAGE(BE31:BE42),"")</f>
        <v>1.0691609403955</v>
      </c>
      <c r="BG36" s="23" t="n">
        <f aca="false">IF(ISNUMBER(Tabelle1!S43),(0.5*Tabelle1!S31+SUM(Tabelle1!S32:S42)+0.5*Tabelle1!S43)/12,"")</f>
        <v>121.171455833333</v>
      </c>
      <c r="BH36" s="24" t="n">
        <f aca="false">IFERROR(Tabelle1!S37/BG36,"")</f>
        <v>0.978205214956188</v>
      </c>
      <c r="BI36" s="24" t="n">
        <f aca="false">IFERROR(AVERAGEIFS($BH$7:$BH$294,$B$7:$B$294,$B36,$A$7:$A$294,"&gt;="&amp;EDATE($A36,-12*'Seasonal Factors'!$E$4),$A$7:$A$294,"&lt;="&amp;EDATE($A36,12*'Seasonal Factors'!$E$4)),"")</f>
        <v>1.00192186261505</v>
      </c>
      <c r="BJ36" s="24" t="n">
        <f aca="false">IFERROR(BI36/AVERAGE(BI31:BI42),"")</f>
        <v>1.00217310546346</v>
      </c>
    </row>
    <row r="37" customFormat="false" ht="15" hidden="false" customHeight="false" outlineLevel="0" collapsed="false">
      <c r="A37" s="20" t="n">
        <v>38929</v>
      </c>
      <c r="B37" s="22" t="n">
        <f aca="false">MONTH(A37)</f>
        <v>7</v>
      </c>
      <c r="C37" s="23" t="n">
        <f aca="false">IF(ISNUMBER(Tabelle1!E44),(0.5*Tabelle1!E32+SUM(Tabelle1!E33:E43)+0.5*Tabelle1!E44)/12,"")</f>
        <v>117.1022825</v>
      </c>
      <c r="D37" s="24" t="n">
        <f aca="false">IFERROR(Tabelle1!E38/C37,"")</f>
        <v>0.886473412676649</v>
      </c>
      <c r="E37" s="24" t="n">
        <f aca="false">IFERROR(AVERAGEIFS($D$7:$D$294,$B$7:$B$294,$B37,$A$7:$A$294,"&gt;="&amp;EDATE($A37,-12*'Seasonal Factors'!$E$4),$A$7:$A$294,"&lt;="&amp;EDATE($A37,12*'Seasonal Factors'!$E$4)),"")</f>
        <v>0.886917458793209</v>
      </c>
      <c r="F37" s="24" t="n">
        <f aca="false">IFERROR(E37/AVERAGE(E32:E43),"")</f>
        <v>0.884061516796871</v>
      </c>
      <c r="G37" s="23" t="n">
        <f aca="false">IF(ISNUMBER(Tabelle1!F44),(0.5*Tabelle1!F32+SUM(Tabelle1!F33:F43)+0.5*Tabelle1!F44)/12,"")</f>
        <v>148.003941666667</v>
      </c>
      <c r="H37" s="24" t="n">
        <f aca="false">IFERROR(Tabelle1!F38/G37,"")</f>
        <v>1.03441893692809</v>
      </c>
      <c r="I37" s="24" t="n">
        <f aca="false">IFERROR(AVERAGEIFS($H$7:$H$294,$B$7:$B$294,$B37,$A$7:$A$294,"&gt;="&amp;EDATE($A37,-12*'Seasonal Factors'!$E$4),$A$7:$A$294,"&lt;="&amp;EDATE($A37,12*'Seasonal Factors'!$E$4)),"")</f>
        <v>1.06949542235755</v>
      </c>
      <c r="J37" s="24" t="n">
        <f aca="false">IFERROR(I37/AVERAGE(I32:I43),"")</f>
        <v>1.07231284362248</v>
      </c>
      <c r="K37" s="23" t="n">
        <f aca="false">IF(ISNUMBER(Tabelle1!G44),(0.5*Tabelle1!G32+SUM(Tabelle1!G33:G43)+0.5*Tabelle1!G44)/12,"")</f>
        <v>104.998920416667</v>
      </c>
      <c r="L37" s="24" t="n">
        <f aca="false">IFERROR(Tabelle1!G38/K37,"")</f>
        <v>1.04137727860527</v>
      </c>
      <c r="M37" s="24" t="n">
        <f aca="false">IFERROR(AVERAGEIFS($L$7:$L$294,$B$7:$B$294,$B37,$A$7:$A$294,"&gt;="&amp;EDATE($A37,-12*'Seasonal Factors'!$E$4),$A$7:$A$294,"&lt;="&amp;EDATE($A37,12*'Seasonal Factors'!$E$4)),"")</f>
        <v>1.02255824341887</v>
      </c>
      <c r="N37" s="24" t="n">
        <f aca="false">IFERROR(M37/AVERAGE(M32:M43),"")</f>
        <v>1.02201167211977</v>
      </c>
      <c r="O37" s="23" t="n">
        <f aca="false">IF(ISNUMBER(Tabelle1!H44),(0.5*Tabelle1!H32+SUM(Tabelle1!H33:H43)+0.5*Tabelle1!H44)/12,"")</f>
        <v>117.409472083333</v>
      </c>
      <c r="P37" s="24" t="n">
        <f aca="false">IFERROR(Tabelle1!H38/O37,"")</f>
        <v>1.02019656399599</v>
      </c>
      <c r="Q37" s="24" t="n">
        <f aca="false">IFERROR(AVERAGEIFS($P$7:$P$294,$B$7:$B$294,$B37,$A$7:$A$294,"&gt;="&amp;EDATE($A37,-12*'Seasonal Factors'!$E$4),$A$7:$A$294,"&lt;="&amp;EDATE($A37,12*'Seasonal Factors'!$E$4)),"")</f>
        <v>1.01798022663156</v>
      </c>
      <c r="R37" s="24" t="n">
        <f aca="false">IFERROR(Q37/AVERAGE(Q32:Q43),"")</f>
        <v>1.01870674796232</v>
      </c>
      <c r="S37" s="23" t="n">
        <f aca="false">IF(ISNUMBER(Tabelle1!I44),(0.5*Tabelle1!I32+SUM(Tabelle1!I33:I43)+0.5*Tabelle1!I44)/12,"")</f>
        <v>112.560087916667</v>
      </c>
      <c r="T37" s="24" t="n">
        <f aca="false">IFERROR(Tabelle1!I38/S37,"")</f>
        <v>1.04971115594256</v>
      </c>
      <c r="U37" s="24" t="n">
        <f aca="false">IFERROR(AVERAGEIFS($T$7:$T$294,$B$7:$B$294,$B37,$A$7:$A$294,"&gt;="&amp;EDATE($A37,-12*'Seasonal Factors'!$E$4),$A$7:$A$294,"&lt;="&amp;EDATE($A37,12*'Seasonal Factors'!$E$4)),"")</f>
        <v>1.05123869097732</v>
      </c>
      <c r="V37" s="24" t="n">
        <f aca="false">IFERROR(U37/AVERAGE(U32:U43),"")</f>
        <v>1.05113761074407</v>
      </c>
      <c r="W37" s="23" t="n">
        <f aca="false">IF(ISNUMBER(Tabelle1!J44),(0.5*Tabelle1!J32+SUM(Tabelle1!J33:J43)+0.5*Tabelle1!J44)/12,"")</f>
        <v>126.9588</v>
      </c>
      <c r="X37" s="24" t="n">
        <f aca="false">IFERROR(Tabelle1!J38/W37,"")</f>
        <v>0.997160496160959</v>
      </c>
      <c r="Y37" s="24" t="n">
        <f aca="false">IFERROR(AVERAGEIFS($X$7:$X$294,$B$7:$B$294,$B37,$A$7:$A$294,"&gt;="&amp;EDATE($A37,-12*'Seasonal Factors'!$E$4),$A$7:$A$294,"&lt;="&amp;EDATE($A37,12*'Seasonal Factors'!$E$4)),"")</f>
        <v>1.00958750220543</v>
      </c>
      <c r="Z37" s="24" t="n">
        <f aca="false">IFERROR(Y37/AVERAGE(Y32:Y43),"")</f>
        <v>1.01067623488997</v>
      </c>
      <c r="AA37" s="23" t="n">
        <f aca="false">IF(ISNUMBER(Tabelle1!K44),(0.5*Tabelle1!K32+SUM(Tabelle1!K33:K43)+0.5*Tabelle1!K44)/12,"")</f>
        <v>122.4641775</v>
      </c>
      <c r="AB37" s="24" t="n">
        <f aca="false">IFERROR(Tabelle1!K38/AA37,"")</f>
        <v>0.994736113750489</v>
      </c>
      <c r="AC37" s="24" t="n">
        <f aca="false">IFERROR(AVERAGEIFS($AB$7:$AB$294,$B$7:$B$294,$B37,$A$7:$A$294,"&gt;="&amp;EDATE($A37,-12*'Seasonal Factors'!$E$4),$A$7:$A$294,"&lt;="&amp;EDATE($A37,12*'Seasonal Factors'!$E$4)),"")</f>
        <v>1.0123706142841</v>
      </c>
      <c r="AD37" s="24" t="n">
        <f aca="false">IFERROR(AC37/AVERAGE(AC32:AC43),"")</f>
        <v>1.01311407929403</v>
      </c>
      <c r="AE37" s="23" t="n">
        <f aca="false">IF(ISNUMBER(Tabelle1!L44),(0.5*Tabelle1!L32+SUM(Tabelle1!L33:L43)+0.5*Tabelle1!L44)/12,"")</f>
        <v>126.058740416667</v>
      </c>
      <c r="AF37" s="24" t="n">
        <f aca="false">IFERROR(Tabelle1!L38/AE37,"")</f>
        <v>1.00149168223252</v>
      </c>
      <c r="AG37" s="24" t="n">
        <f aca="false">IFERROR(AVERAGEIFS($AF$7:$AF$294,$B$7:$B$294,$B37,$A$7:$A$294,"&gt;="&amp;EDATE($A37,-12*'Seasonal Factors'!$E$4),$A$7:$A$294,"&lt;="&amp;EDATE($A37,12*'Seasonal Factors'!$E$4)),"")</f>
        <v>0.992861304382081</v>
      </c>
      <c r="AH37" s="24" t="n">
        <f aca="false">IFERROR(AG37/AVERAGE(AG32:AG43),"")</f>
        <v>0.992789390946361</v>
      </c>
      <c r="AI37" s="23" t="n">
        <f aca="false">IF(ISNUMBER(Tabelle1!M44),(0.5*Tabelle1!M32+SUM(Tabelle1!M33:M43)+0.5*Tabelle1!M44)/12,"")</f>
        <v>130.028246666667</v>
      </c>
      <c r="AJ37" s="24" t="n">
        <f aca="false">IFERROR(Tabelle1!M38/AI37,"")</f>
        <v>0.9990696893193</v>
      </c>
      <c r="AK37" s="24" t="n">
        <f aca="false">IFERROR(AVERAGEIFS($AJ$7:$AJ$294,$B$7:$B$294,$B37,$A$7:$A$294,"&gt;="&amp;EDATE($A37,-12*'Seasonal Factors'!$E$4),$A$7:$A$294,"&lt;="&amp;EDATE($A37,12*'Seasonal Factors'!$E$4)),"")</f>
        <v>1.00624481513659</v>
      </c>
      <c r="AL37" s="24" t="n">
        <f aca="false">IFERROR(AK37/AVERAGE(AK32:AK43),"")</f>
        <v>1.00645063186508</v>
      </c>
      <c r="AM37" s="23" t="n">
        <f aca="false">IF(ISNUMBER(Tabelle1!N44),(0.5*Tabelle1!N32+SUM(Tabelle1!N33:N43)+0.5*Tabelle1!N44)/12,"")</f>
        <v>125.117192916667</v>
      </c>
      <c r="AN37" s="24" t="n">
        <f aca="false">IFERROR(Tabelle1!N38/AM37,"")</f>
        <v>0.989434602184952</v>
      </c>
      <c r="AO37" s="24" t="n">
        <f aca="false">IFERROR(AVERAGEIFS($AN$7:$AN$294,$B$7:$B$294,$B37,$A$7:$A$294,"&gt;="&amp;EDATE($A37,-12*'Seasonal Factors'!$E$4),$A$7:$A$294,"&lt;="&amp;EDATE($A37,12*'Seasonal Factors'!$E$4)),"")</f>
        <v>0.989822944404908</v>
      </c>
      <c r="AP37" s="24" t="n">
        <f aca="false">IFERROR(AO37/AVERAGE(AO32:AO43),"")</f>
        <v>0.990179529719661</v>
      </c>
      <c r="AQ37" s="23" t="n">
        <f aca="false">IF(ISNUMBER(Tabelle1!O44),(0.5*Tabelle1!O32+SUM(Tabelle1!O33:O43)+0.5*Tabelle1!O44)/12,"")</f>
        <v>112.977879583333</v>
      </c>
      <c r="AR37" s="24" t="n">
        <f aca="false">IFERROR(Tabelle1!O38/AQ37,"")</f>
        <v>1.00887191740864</v>
      </c>
      <c r="AS37" s="24" t="n">
        <f aca="false">IFERROR(AVERAGEIFS($AR$7:$AR$294,$B$7:$B$294,$B37,$A$7:$A$294,"&gt;="&amp;EDATE($A37,-12*'Seasonal Factors'!$E$4),$A$7:$A$294,"&lt;="&amp;EDATE($A37,12*'Seasonal Factors'!$E$4)),"")</f>
        <v>1.00395716965462</v>
      </c>
      <c r="AT37" s="24" t="n">
        <f aca="false">IFERROR(AS37/AVERAGE(AS32:AS43),"")</f>
        <v>1.00385859699208</v>
      </c>
      <c r="AU37" s="23" t="n">
        <f aca="false">IF(ISNUMBER(Tabelle1!P44),(0.5*Tabelle1!P32+SUM(Tabelle1!P33:P43)+0.5*Tabelle1!P44)/12,"")</f>
        <v>109.130190833333</v>
      </c>
      <c r="AV37" s="24" t="n">
        <f aca="false">IFERROR(Tabelle1!P38/AU37,"")</f>
        <v>0.998552271996164</v>
      </c>
      <c r="AW37" s="24" t="n">
        <f aca="false">IFERROR(AVERAGEIFS($AV$7:$AV$294,$B$7:$B$294,$B37,$A$7:$A$294,"&gt;="&amp;EDATE($A37,-12*'Seasonal Factors'!$E$4),$A$7:$A$294,"&lt;="&amp;EDATE($A37,12*'Seasonal Factors'!$E$4)),"")</f>
        <v>1.00078814096932</v>
      </c>
      <c r="AX37" s="24" t="n">
        <f aca="false">IFERROR(AW37/AVERAGE(AW32:AW43),"")</f>
        <v>1.00083329694987</v>
      </c>
      <c r="AY37" s="23" t="n">
        <f aca="false">IF(ISNUMBER(Tabelle1!Q44),(0.5*Tabelle1!Q32+SUM(Tabelle1!Q33:Q43)+0.5*Tabelle1!Q44)/12,"")</f>
        <v>110.738160833333</v>
      </c>
      <c r="AZ37" s="24" t="n">
        <f aca="false">IFERROR(Tabelle1!Q38/AY37,"")</f>
        <v>1.00173769516505</v>
      </c>
      <c r="BA37" s="24" t="n">
        <f aca="false">IFERROR(AVERAGEIFS($AZ$7:$AZ$294,$B$7:$B$294,$B37,$A$7:$A$294,"&gt;="&amp;EDATE($A37,-12*'Seasonal Factors'!$E$4),$A$7:$A$294,"&lt;="&amp;EDATE($A37,12*'Seasonal Factors'!$E$4)),"")</f>
        <v>1.00594970603841</v>
      </c>
      <c r="BB37" s="24" t="n">
        <f aca="false">IFERROR(BA37/AVERAGE(BA32:BA43),"")</f>
        <v>1.00608955964577</v>
      </c>
      <c r="BC37" s="23" t="n">
        <f aca="false">IF(ISNUMBER(Tabelle1!R44),(0.5*Tabelle1!R32+SUM(Tabelle1!R33:R43)+0.5*Tabelle1!R44)/12,"")</f>
        <v>112.877274166667</v>
      </c>
      <c r="BD37" s="24" t="n">
        <f aca="false">IFERROR(Tabelle1!R38/BC37,"")</f>
        <v>1.00470152949078</v>
      </c>
      <c r="BE37" s="24" t="n">
        <f aca="false">IFERROR(AVERAGEIFS($BD$7:$BD$294,$B$7:$B$294,$B37,$A$7:$A$294,"&gt;="&amp;EDATE($A37,-12*'Seasonal Factors'!$E$4),$A$7:$A$294,"&lt;="&amp;EDATE($A37,12*'Seasonal Factors'!$E$4)),"")</f>
        <v>1.01485344403257</v>
      </c>
      <c r="BF37" s="24" t="n">
        <f aca="false">IFERROR(BE37/AVERAGE(BE32:BE43),"")</f>
        <v>1.01499730052992</v>
      </c>
      <c r="BG37" s="23" t="n">
        <f aca="false">IF(ISNUMBER(Tabelle1!S44),(0.5*Tabelle1!S32+SUM(Tabelle1!S33:S43)+0.5*Tabelle1!S44)/12,"")</f>
        <v>121.899683333333</v>
      </c>
      <c r="BH37" s="24" t="n">
        <f aca="false">IFERROR(Tabelle1!S38/BG37,"")</f>
        <v>1.10239826983417</v>
      </c>
      <c r="BI37" s="24" t="n">
        <f aca="false">IFERROR(AVERAGEIFS($BH$7:$BH$294,$B$7:$B$294,$B37,$A$7:$A$294,"&gt;="&amp;EDATE($A37,-12*'Seasonal Factors'!$E$4),$A$7:$A$294,"&lt;="&amp;EDATE($A37,12*'Seasonal Factors'!$E$4)),"")</f>
        <v>1.0912026196781</v>
      </c>
      <c r="BJ37" s="24" t="n">
        <f aca="false">IFERROR(BI37/AVERAGE(BI32:BI43),"")</f>
        <v>1.09138299253452</v>
      </c>
    </row>
    <row r="38" customFormat="false" ht="15" hidden="false" customHeight="false" outlineLevel="0" collapsed="false">
      <c r="A38" s="20" t="n">
        <v>38960</v>
      </c>
      <c r="B38" s="22" t="n">
        <f aca="false">MONTH(A38)</f>
        <v>8</v>
      </c>
      <c r="C38" s="23" t="n">
        <f aca="false">IF(ISNUMBER(Tabelle1!E45),(0.5*Tabelle1!E33+SUM(Tabelle1!E34:E44)+0.5*Tabelle1!E45)/12,"")</f>
        <v>117.25468125</v>
      </c>
      <c r="D38" s="24" t="n">
        <f aca="false">IFERROR(Tabelle1!E39/C38,"")</f>
        <v>0.607689597041142</v>
      </c>
      <c r="E38" s="24" t="n">
        <f aca="false">IFERROR(AVERAGEIFS($D$7:$D$294,$B$7:$B$294,$B38,$A$7:$A$294,"&gt;="&amp;EDATE($A38,-12*'Seasonal Factors'!$E$4),$A$7:$A$294,"&lt;="&amp;EDATE($A38,12*'Seasonal Factors'!$E$4)),"")</f>
        <v>0.587943323418832</v>
      </c>
      <c r="F38" s="24" t="n">
        <f aca="false">IFERROR(E38/AVERAGE(E33:E44),"")</f>
        <v>0.586083350586674</v>
      </c>
      <c r="G38" s="23" t="n">
        <f aca="false">IF(ISNUMBER(Tabelle1!F45),(0.5*Tabelle1!F33+SUM(Tabelle1!F34:F44)+0.5*Tabelle1!F45)/12,"")</f>
        <v>144.903226666667</v>
      </c>
      <c r="H38" s="24" t="n">
        <f aca="false">IFERROR(Tabelle1!F39/G38,"")</f>
        <v>1.12103908061123</v>
      </c>
      <c r="I38" s="24" t="n">
        <f aca="false">IFERROR(AVERAGEIFS($H$7:$H$294,$B$7:$B$294,$B38,$A$7:$A$294,"&gt;="&amp;EDATE($A38,-12*'Seasonal Factors'!$E$4),$A$7:$A$294,"&lt;="&amp;EDATE($A38,12*'Seasonal Factors'!$E$4)),"")</f>
        <v>1.07226696860789</v>
      </c>
      <c r="J38" s="24" t="n">
        <f aca="false">IFERROR(I38/AVERAGE(I33:I44),"")</f>
        <v>1.07592537532252</v>
      </c>
      <c r="K38" s="23" t="n">
        <f aca="false">IF(ISNUMBER(Tabelle1!G45),(0.5*Tabelle1!G33+SUM(Tabelle1!G34:G44)+0.5*Tabelle1!G45)/12,"")</f>
        <v>104.921867916667</v>
      </c>
      <c r="L38" s="24" t="n">
        <f aca="false">IFERROR(Tabelle1!G39/K38,"")</f>
        <v>1.02479847275879</v>
      </c>
      <c r="M38" s="24" t="n">
        <f aca="false">IFERROR(AVERAGEIFS($L$7:$L$294,$B$7:$B$294,$B38,$A$7:$A$294,"&gt;="&amp;EDATE($A38,-12*'Seasonal Factors'!$E$4),$A$7:$A$294,"&lt;="&amp;EDATE($A38,12*'Seasonal Factors'!$E$4)),"")</f>
        <v>1.01448654084071</v>
      </c>
      <c r="N38" s="24" t="n">
        <f aca="false">IFERROR(M38/AVERAGE(M33:M44),"")</f>
        <v>1.0136647242908</v>
      </c>
      <c r="O38" s="23" t="n">
        <f aca="false">IF(ISNUMBER(Tabelle1!H45),(0.5*Tabelle1!H33+SUM(Tabelle1!H34:H44)+0.5*Tabelle1!H45)/12,"")</f>
        <v>117.909245</v>
      </c>
      <c r="P38" s="24" t="n">
        <f aca="false">IFERROR(Tabelle1!H39/O38,"")</f>
        <v>1.02404523071961</v>
      </c>
      <c r="Q38" s="24" t="n">
        <f aca="false">IFERROR(AVERAGEIFS($P$7:$P$294,$B$7:$B$294,$B38,$A$7:$A$294,"&gt;="&amp;EDATE($A38,-12*'Seasonal Factors'!$E$4),$A$7:$A$294,"&lt;="&amp;EDATE($A38,12*'Seasonal Factors'!$E$4)),"")</f>
        <v>1.02304494549538</v>
      </c>
      <c r="R38" s="24" t="n">
        <f aca="false">IFERROR(Q38/AVERAGE(Q33:Q44),"")</f>
        <v>1.02394625657503</v>
      </c>
      <c r="S38" s="23" t="n">
        <f aca="false">IF(ISNUMBER(Tabelle1!I45),(0.5*Tabelle1!I33+SUM(Tabelle1!I34:I44)+0.5*Tabelle1!I45)/12,"")</f>
        <v>112.992380416667</v>
      </c>
      <c r="T38" s="24" t="n">
        <f aca="false">IFERROR(Tabelle1!I39/S38,"")</f>
        <v>1.05684860837206</v>
      </c>
      <c r="U38" s="24" t="n">
        <f aca="false">IFERROR(AVERAGEIFS($T$7:$T$294,$B$7:$B$294,$B38,$A$7:$A$294,"&gt;="&amp;EDATE($A38,-12*'Seasonal Factors'!$E$4),$A$7:$A$294,"&lt;="&amp;EDATE($A38,12*'Seasonal Factors'!$E$4)),"")</f>
        <v>1.03476159911583</v>
      </c>
      <c r="V38" s="24" t="n">
        <f aca="false">IFERROR(U38/AVERAGE(U33:U44),"")</f>
        <v>1.03470110202331</v>
      </c>
      <c r="W38" s="23" t="n">
        <f aca="false">IF(ISNUMBER(Tabelle1!J45),(0.5*Tabelle1!J33+SUM(Tabelle1!J34:J44)+0.5*Tabelle1!J45)/12,"")</f>
        <v>128.14894625</v>
      </c>
      <c r="X38" s="24" t="n">
        <f aca="false">IFERROR(Tabelle1!J39/W38,"")</f>
        <v>1.00001813319632</v>
      </c>
      <c r="Y38" s="24" t="n">
        <f aca="false">IFERROR(AVERAGEIFS($X$7:$X$294,$B$7:$B$294,$B38,$A$7:$A$294,"&gt;="&amp;EDATE($A38,-12*'Seasonal Factors'!$E$4),$A$7:$A$294,"&lt;="&amp;EDATE($A38,12*'Seasonal Factors'!$E$4)),"")</f>
        <v>1.0176340428421</v>
      </c>
      <c r="Z38" s="24" t="n">
        <f aca="false">IFERROR(Y38/AVERAGE(Y33:Y44),"")</f>
        <v>1.01864225878986</v>
      </c>
      <c r="AA38" s="23" t="n">
        <f aca="false">IF(ISNUMBER(Tabelle1!K45),(0.5*Tabelle1!K33+SUM(Tabelle1!K34:K44)+0.5*Tabelle1!K45)/12,"")</f>
        <v>123.400772916667</v>
      </c>
      <c r="AB38" s="24" t="n">
        <f aca="false">IFERROR(Tabelle1!K39/AA38,"")</f>
        <v>1.01645214235979</v>
      </c>
      <c r="AC38" s="24" t="n">
        <f aca="false">IFERROR(AVERAGEIFS($AB$7:$AB$294,$B$7:$B$294,$B38,$A$7:$A$294,"&gt;="&amp;EDATE($A38,-12*'Seasonal Factors'!$E$4),$A$7:$A$294,"&lt;="&amp;EDATE($A38,12*'Seasonal Factors'!$E$4)),"")</f>
        <v>1.00851669023943</v>
      </c>
      <c r="AD38" s="24" t="n">
        <f aca="false">IFERROR(AC38/AVERAGE(AC33:AC44),"")</f>
        <v>1.00968502603031</v>
      </c>
      <c r="AE38" s="23" t="n">
        <f aca="false">IF(ISNUMBER(Tabelle1!L45),(0.5*Tabelle1!L33+SUM(Tabelle1!L34:L44)+0.5*Tabelle1!L45)/12,"")</f>
        <v>127.448714166667</v>
      </c>
      <c r="AF38" s="24" t="n">
        <f aca="false">IFERROR(Tabelle1!L39/AE38,"")</f>
        <v>0.994310384601304</v>
      </c>
      <c r="AG38" s="24" t="n">
        <f aca="false">IFERROR(AVERAGEIFS($AF$7:$AF$294,$B$7:$B$294,$B38,$A$7:$A$294,"&gt;="&amp;EDATE($A38,-12*'Seasonal Factors'!$E$4),$A$7:$A$294,"&lt;="&amp;EDATE($A38,12*'Seasonal Factors'!$E$4)),"")</f>
        <v>0.984905193350024</v>
      </c>
      <c r="AH38" s="24" t="n">
        <f aca="false">IFERROR(AG38/AVERAGE(AG33:AG44),"")</f>
        <v>0.985441737784859</v>
      </c>
      <c r="AI38" s="23" t="n">
        <f aca="false">IF(ISNUMBER(Tabelle1!M45),(0.5*Tabelle1!M33+SUM(Tabelle1!M34:M44)+0.5*Tabelle1!M45)/12,"")</f>
        <v>131.306199166667</v>
      </c>
      <c r="AJ38" s="24" t="n">
        <f aca="false">IFERROR(Tabelle1!M39/AI38,"")</f>
        <v>0.996928331112877</v>
      </c>
      <c r="AK38" s="24" t="n">
        <f aca="false">IFERROR(AVERAGEIFS($AJ$7:$AJ$294,$B$7:$B$294,$B38,$A$7:$A$294,"&gt;="&amp;EDATE($A38,-12*'Seasonal Factors'!$E$4),$A$7:$A$294,"&lt;="&amp;EDATE($A38,12*'Seasonal Factors'!$E$4)),"")</f>
        <v>0.992314851711747</v>
      </c>
      <c r="AL38" s="24" t="n">
        <f aca="false">IFERROR(AK38/AVERAGE(AK33:AK44),"")</f>
        <v>0.992524544607856</v>
      </c>
      <c r="AM38" s="23" t="n">
        <f aca="false">IF(ISNUMBER(Tabelle1!N45),(0.5*Tabelle1!N33+SUM(Tabelle1!N34:N44)+0.5*Tabelle1!N45)/12,"")</f>
        <v>126.73260125</v>
      </c>
      <c r="AN38" s="24" t="n">
        <f aca="false">IFERROR(Tabelle1!N39/AM38,"")</f>
        <v>0.998933966093433</v>
      </c>
      <c r="AO38" s="24" t="n">
        <f aca="false">IFERROR(AVERAGEIFS($AN$7:$AN$294,$B$7:$B$294,$B38,$A$7:$A$294,"&gt;="&amp;EDATE($A38,-12*'Seasonal Factors'!$E$4),$A$7:$A$294,"&lt;="&amp;EDATE($A38,12*'Seasonal Factors'!$E$4)),"")</f>
        <v>1.00515924120284</v>
      </c>
      <c r="AP38" s="24" t="n">
        <f aca="false">IFERROR(AO38/AVERAGE(AO33:AO44),"")</f>
        <v>1.00541519919251</v>
      </c>
      <c r="AQ38" s="23" t="n">
        <f aca="false">IF(ISNUMBER(Tabelle1!O45),(0.5*Tabelle1!O33+SUM(Tabelle1!O34:O44)+0.5*Tabelle1!O45)/12,"")</f>
        <v>113.468749583333</v>
      </c>
      <c r="AR38" s="24" t="n">
        <f aca="false">IFERROR(Tabelle1!O39/AQ38,"")</f>
        <v>1.00254378776294</v>
      </c>
      <c r="AS38" s="24" t="n">
        <f aca="false">IFERROR(AVERAGEIFS($AR$7:$AR$294,$B$7:$B$294,$B38,$A$7:$A$294,"&gt;="&amp;EDATE($A38,-12*'Seasonal Factors'!$E$4),$A$7:$A$294,"&lt;="&amp;EDATE($A38,12*'Seasonal Factors'!$E$4)),"")</f>
        <v>1.00743197577616</v>
      </c>
      <c r="AT38" s="24" t="n">
        <f aca="false">IFERROR(AS38/AVERAGE(AS33:AS44),"")</f>
        <v>1.00745115300371</v>
      </c>
      <c r="AU38" s="23" t="n">
        <f aca="false">IF(ISNUMBER(Tabelle1!P45),(0.5*Tabelle1!P33+SUM(Tabelle1!P34:P44)+0.5*Tabelle1!P45)/12,"")</f>
        <v>109.623849583333</v>
      </c>
      <c r="AV38" s="24" t="n">
        <f aca="false">IFERROR(Tabelle1!P39/AU38,"")</f>
        <v>1.00193689983953</v>
      </c>
      <c r="AW38" s="24" t="n">
        <f aca="false">IFERROR(AVERAGEIFS($AV$7:$AV$294,$B$7:$B$294,$B38,$A$7:$A$294,"&gt;="&amp;EDATE($A38,-12*'Seasonal Factors'!$E$4),$A$7:$A$294,"&lt;="&amp;EDATE($A38,12*'Seasonal Factors'!$E$4)),"")</f>
        <v>1.00123798012957</v>
      </c>
      <c r="AX38" s="24" t="n">
        <f aca="false">IFERROR(AW38/AVERAGE(AW33:AW44),"")</f>
        <v>1.00123248093549</v>
      </c>
      <c r="AY38" s="23" t="n">
        <f aca="false">IF(ISNUMBER(Tabelle1!Q45),(0.5*Tabelle1!Q33+SUM(Tabelle1!Q34:Q44)+0.5*Tabelle1!Q45)/12,"")</f>
        <v>111.297671666667</v>
      </c>
      <c r="AZ38" s="24" t="n">
        <f aca="false">IFERROR(Tabelle1!Q39/AY38,"")</f>
        <v>1.00370599247187</v>
      </c>
      <c r="BA38" s="24" t="n">
        <f aca="false">IFERROR(AVERAGEIFS($AZ$7:$AZ$294,$B$7:$B$294,$B38,$A$7:$A$294,"&gt;="&amp;EDATE($A38,-12*'Seasonal Factors'!$E$4),$A$7:$A$294,"&lt;="&amp;EDATE($A38,12*'Seasonal Factors'!$E$4)),"")</f>
        <v>1.00686662338668</v>
      </c>
      <c r="BB38" s="24" t="n">
        <f aca="false">IFERROR(BA38/AVERAGE(BA33:BA44),"")</f>
        <v>1.0069173658806</v>
      </c>
      <c r="BC38" s="23" t="n">
        <f aca="false">IF(ISNUMBER(Tabelle1!R45),(0.5*Tabelle1!R33+SUM(Tabelle1!R34:R44)+0.5*Tabelle1!R45)/12,"")</f>
        <v>113.451376666667</v>
      </c>
      <c r="BD38" s="24" t="n">
        <f aca="false">IFERROR(Tabelle1!R39/BC38,"")</f>
        <v>1.04868820014025</v>
      </c>
      <c r="BE38" s="24" t="n">
        <f aca="false">IFERROR(AVERAGEIFS($BD$7:$BD$294,$B$7:$B$294,$B38,$A$7:$A$294,"&gt;="&amp;EDATE($A38,-12*'Seasonal Factors'!$E$4),$A$7:$A$294,"&lt;="&amp;EDATE($A38,12*'Seasonal Factors'!$E$4)),"")</f>
        <v>1.03739469644872</v>
      </c>
      <c r="BF38" s="24" t="n">
        <f aca="false">IFERROR(BE38/AVERAGE(BE33:BE44),"")</f>
        <v>1.03748905025901</v>
      </c>
      <c r="BG38" s="23" t="n">
        <f aca="false">IF(ISNUMBER(Tabelle1!S45),(0.5*Tabelle1!S33+SUM(Tabelle1!S34:S44)+0.5*Tabelle1!S45)/12,"")</f>
        <v>122.929437083333</v>
      </c>
      <c r="BH38" s="24" t="n">
        <f aca="false">IFERROR(Tabelle1!S39/BG38,"")</f>
        <v>1.01751193992052</v>
      </c>
      <c r="BI38" s="24" t="n">
        <f aca="false">IFERROR(AVERAGEIFS($BH$7:$BH$294,$B$7:$B$294,$B38,$A$7:$A$294,"&gt;="&amp;EDATE($A38,-12*'Seasonal Factors'!$E$4),$A$7:$A$294,"&lt;="&amp;EDATE($A38,12*'Seasonal Factors'!$E$4)),"")</f>
        <v>1.01953441202907</v>
      </c>
      <c r="BJ38" s="24" t="n">
        <f aca="false">IFERROR(BI38/AVERAGE(BI33:BI44),"")</f>
        <v>1.01969944441389</v>
      </c>
    </row>
    <row r="39" customFormat="false" ht="15" hidden="false" customHeight="false" outlineLevel="0" collapsed="false">
      <c r="A39" s="20" t="n">
        <v>38990</v>
      </c>
      <c r="B39" s="22" t="n">
        <f aca="false">MONTH(A39)</f>
        <v>9</v>
      </c>
      <c r="C39" s="23" t="n">
        <f aca="false">IF(ISNUMBER(Tabelle1!E46),(0.5*Tabelle1!E34+SUM(Tabelle1!E35:E45)+0.5*Tabelle1!E46)/12,"")</f>
        <v>117.719026666667</v>
      </c>
      <c r="D39" s="24" t="n">
        <f aca="false">IFERROR(Tabelle1!E40/C39,"")</f>
        <v>0.568491958309317</v>
      </c>
      <c r="E39" s="24" t="n">
        <f aca="false">IFERROR(AVERAGEIFS($D$7:$D$294,$B$7:$B$294,$B39,$A$7:$A$294,"&gt;="&amp;EDATE($A39,-12*'Seasonal Factors'!$E$4),$A$7:$A$294,"&lt;="&amp;EDATE($A39,12*'Seasonal Factors'!$E$4)),"")</f>
        <v>0.55227371390809</v>
      </c>
      <c r="F39" s="24" t="n">
        <f aca="false">IFERROR(E39/AVERAGE(E34:E45),"")</f>
        <v>0.550459329716484</v>
      </c>
      <c r="G39" s="23" t="n">
        <f aca="false">IF(ISNUMBER(Tabelle1!F46),(0.5*Tabelle1!F34+SUM(Tabelle1!F35:F45)+0.5*Tabelle1!F46)/12,"")</f>
        <v>141.931366666667</v>
      </c>
      <c r="H39" s="24" t="n">
        <f aca="false">IFERROR(Tabelle1!F40/G39,"")</f>
        <v>0.724447966752005</v>
      </c>
      <c r="I39" s="24" t="n">
        <f aca="false">IFERROR(AVERAGEIFS($H$7:$H$294,$B$7:$B$294,$B39,$A$7:$A$294,"&gt;="&amp;EDATE($A39,-12*'Seasonal Factors'!$E$4),$A$7:$A$294,"&lt;="&amp;EDATE($A39,12*'Seasonal Factors'!$E$4)),"")</f>
        <v>0.850030959543955</v>
      </c>
      <c r="J39" s="24" t="n">
        <f aca="false">IFERROR(I39/AVERAGE(I34:I45),"")</f>
        <v>0.856134109534617</v>
      </c>
      <c r="K39" s="23" t="n">
        <f aca="false">IF(ISNUMBER(Tabelle1!G46),(0.5*Tabelle1!G34+SUM(Tabelle1!G35:G45)+0.5*Tabelle1!G46)/12,"")</f>
        <v>104.849010416667</v>
      </c>
      <c r="L39" s="24" t="n">
        <f aca="false">IFERROR(Tabelle1!G40/K39,"")</f>
        <v>1.02067372476592</v>
      </c>
      <c r="M39" s="24" t="n">
        <f aca="false">IFERROR(AVERAGEIFS($L$7:$L$294,$B$7:$B$294,$B39,$A$7:$A$294,"&gt;="&amp;EDATE($A39,-12*'Seasonal Factors'!$E$4),$A$7:$A$294,"&lt;="&amp;EDATE($A39,12*'Seasonal Factors'!$E$4)),"")</f>
        <v>1.0020361152852</v>
      </c>
      <c r="N39" s="24" t="n">
        <f aca="false">IFERROR(M39/AVERAGE(M34:M45),"")</f>
        <v>1.00101468103873</v>
      </c>
      <c r="O39" s="23" t="n">
        <f aca="false">IF(ISNUMBER(Tabelle1!H46),(0.5*Tabelle1!H34+SUM(Tabelle1!H35:H45)+0.5*Tabelle1!H46)/12,"")</f>
        <v>118.55072375</v>
      </c>
      <c r="P39" s="24" t="n">
        <f aca="false">IFERROR(Tabelle1!H40/O39,"")</f>
        <v>1.00978421905248</v>
      </c>
      <c r="Q39" s="24" t="n">
        <f aca="false">IFERROR(AVERAGEIFS($P$7:$P$294,$B$7:$B$294,$B39,$A$7:$A$294,"&gt;="&amp;EDATE($A39,-12*'Seasonal Factors'!$E$4),$A$7:$A$294,"&lt;="&amp;EDATE($A39,12*'Seasonal Factors'!$E$4)),"")</f>
        <v>1.03009322908183</v>
      </c>
      <c r="R39" s="24" t="n">
        <f aca="false">IFERROR(Q39/AVERAGE(Q34:Q45),"")</f>
        <v>1.03092210328196</v>
      </c>
      <c r="S39" s="23" t="n">
        <f aca="false">IF(ISNUMBER(Tabelle1!I46),(0.5*Tabelle1!I34+SUM(Tabelle1!I35:I45)+0.5*Tabelle1!I46)/12,"")</f>
        <v>113.464727916667</v>
      </c>
      <c r="T39" s="24" t="n">
        <f aca="false">IFERROR(Tabelle1!I40/S39,"")</f>
        <v>0.967516443353448</v>
      </c>
      <c r="U39" s="24" t="n">
        <f aca="false">IFERROR(AVERAGEIFS($T$7:$T$294,$B$7:$B$294,$B39,$A$7:$A$294,"&gt;="&amp;EDATE($A39,-12*'Seasonal Factors'!$E$4),$A$7:$A$294,"&lt;="&amp;EDATE($A39,12*'Seasonal Factors'!$E$4)),"")</f>
        <v>0.971428453487111</v>
      </c>
      <c r="V39" s="24" t="n">
        <f aca="false">IFERROR(U39/AVERAGE(U34:U45),"")</f>
        <v>0.971179281855521</v>
      </c>
      <c r="W39" s="23" t="n">
        <f aca="false">IF(ISNUMBER(Tabelle1!J46),(0.5*Tabelle1!J34+SUM(Tabelle1!J35:J45)+0.5*Tabelle1!J46)/12,"")</f>
        <v>129.381541666667</v>
      </c>
      <c r="X39" s="24" t="n">
        <f aca="false">IFERROR(Tabelle1!J40/W39,"")</f>
        <v>1.01927507047148</v>
      </c>
      <c r="Y39" s="24" t="n">
        <f aca="false">IFERROR(AVERAGEIFS($X$7:$X$294,$B$7:$B$294,$B39,$A$7:$A$294,"&gt;="&amp;EDATE($A39,-12*'Seasonal Factors'!$E$4),$A$7:$A$294,"&lt;="&amp;EDATE($A39,12*'Seasonal Factors'!$E$4)),"")</f>
        <v>1.03241022549386</v>
      </c>
      <c r="Z39" s="24" t="n">
        <f aca="false">IFERROR(Y39/AVERAGE(Y34:Y45),"")</f>
        <v>1.03344613141896</v>
      </c>
      <c r="AA39" s="23" t="n">
        <f aca="false">IF(ISNUMBER(Tabelle1!K46),(0.5*Tabelle1!K34+SUM(Tabelle1!K35:K45)+0.5*Tabelle1!K46)/12,"")</f>
        <v>124.373904166667</v>
      </c>
      <c r="AB39" s="24" t="n">
        <f aca="false">IFERROR(Tabelle1!K40/AA39,"")</f>
        <v>0.990262152058492</v>
      </c>
      <c r="AC39" s="24" t="n">
        <f aca="false">IFERROR(AVERAGEIFS($AB$7:$AB$294,$B$7:$B$294,$B39,$A$7:$A$294,"&gt;="&amp;EDATE($A39,-12*'Seasonal Factors'!$E$4),$A$7:$A$294,"&lt;="&amp;EDATE($A39,12*'Seasonal Factors'!$E$4)),"")</f>
        <v>1.01147036194028</v>
      </c>
      <c r="AD39" s="24" t="n">
        <f aca="false">IFERROR(AC39/AVERAGE(AC34:AC45),"")</f>
        <v>1.01276651972054</v>
      </c>
      <c r="AE39" s="23" t="n">
        <f aca="false">IF(ISNUMBER(Tabelle1!L46),(0.5*Tabelle1!L34+SUM(Tabelle1!L35:L45)+0.5*Tabelle1!L46)/12,"")</f>
        <v>128.792305833333</v>
      </c>
      <c r="AF39" s="24" t="n">
        <f aca="false">IFERROR(Tabelle1!L40/AE39,"")</f>
        <v>0.983352609307982</v>
      </c>
      <c r="AG39" s="24" t="n">
        <f aca="false">IFERROR(AVERAGEIFS($AF$7:$AF$294,$B$7:$B$294,$B39,$A$7:$A$294,"&gt;="&amp;EDATE($A39,-12*'Seasonal Factors'!$E$4),$A$7:$A$294,"&lt;="&amp;EDATE($A39,12*'Seasonal Factors'!$E$4)),"")</f>
        <v>0.993029438732808</v>
      </c>
      <c r="AH39" s="24" t="n">
        <f aca="false">IFERROR(AG39/AVERAGE(AG34:AG45),"")</f>
        <v>0.993864752772283</v>
      </c>
      <c r="AI39" s="23" t="n">
        <f aca="false">IF(ISNUMBER(Tabelle1!M46),(0.5*Tabelle1!M34+SUM(Tabelle1!M35:M45)+0.5*Tabelle1!M46)/12,"")</f>
        <v>132.612200416667</v>
      </c>
      <c r="AJ39" s="24" t="n">
        <f aca="false">IFERROR(Tabelle1!M40/AI39,"")</f>
        <v>0.98162099407891</v>
      </c>
      <c r="AK39" s="24" t="n">
        <f aca="false">IFERROR(AVERAGEIFS($AJ$7:$AJ$294,$B$7:$B$294,$B39,$A$7:$A$294,"&gt;="&amp;EDATE($A39,-12*'Seasonal Factors'!$E$4),$A$7:$A$294,"&lt;="&amp;EDATE($A39,12*'Seasonal Factors'!$E$4)),"")</f>
        <v>0.979202518279193</v>
      </c>
      <c r="AL39" s="24" t="n">
        <f aca="false">IFERROR(AK39/AVERAGE(AK34:AK45),"")</f>
        <v>0.979315624250325</v>
      </c>
      <c r="AM39" s="23" t="n">
        <f aca="false">IF(ISNUMBER(Tabelle1!N46),(0.5*Tabelle1!N34+SUM(Tabelle1!N35:N45)+0.5*Tabelle1!N46)/12,"")</f>
        <v>128.380181666667</v>
      </c>
      <c r="AN39" s="24" t="n">
        <f aca="false">IFERROR(Tabelle1!N40/AM39,"")</f>
        <v>0.979729958059856</v>
      </c>
      <c r="AO39" s="24" t="n">
        <f aca="false">IFERROR(AVERAGEIFS($AN$7:$AN$294,$B$7:$B$294,$B39,$A$7:$A$294,"&gt;="&amp;EDATE($A39,-12*'Seasonal Factors'!$E$4),$A$7:$A$294,"&lt;="&amp;EDATE($A39,12*'Seasonal Factors'!$E$4)),"")</f>
        <v>0.990962905853745</v>
      </c>
      <c r="AP39" s="24" t="n">
        <f aca="false">IFERROR(AO39/AVERAGE(AO34:AO45),"")</f>
        <v>0.991202095126715</v>
      </c>
      <c r="AQ39" s="23" t="n">
        <f aca="false">IF(ISNUMBER(Tabelle1!O46),(0.5*Tabelle1!O34+SUM(Tabelle1!O35:O45)+0.5*Tabelle1!O46)/12,"")</f>
        <v>113.968994583333</v>
      </c>
      <c r="AR39" s="24" t="n">
        <f aca="false">IFERROR(Tabelle1!O40/AQ39,"")</f>
        <v>1.0050739713795</v>
      </c>
      <c r="AS39" s="24" t="n">
        <f aca="false">IFERROR(AVERAGEIFS($AR$7:$AR$294,$B$7:$B$294,$B39,$A$7:$A$294,"&gt;="&amp;EDATE($A39,-12*'Seasonal Factors'!$E$4),$A$7:$A$294,"&lt;="&amp;EDATE($A39,12*'Seasonal Factors'!$E$4)),"")</f>
        <v>1.01212022691107</v>
      </c>
      <c r="AT39" s="24" t="n">
        <f aca="false">IFERROR(AS39/AVERAGE(AS34:AS45),"")</f>
        <v>1.01238248784542</v>
      </c>
      <c r="AU39" s="23" t="n">
        <f aca="false">IF(ISNUMBER(Tabelle1!P46),(0.5*Tabelle1!P34+SUM(Tabelle1!P35:P45)+0.5*Tabelle1!P46)/12,"")</f>
        <v>110.13134</v>
      </c>
      <c r="AV39" s="24" t="n">
        <f aca="false">IFERROR(Tabelle1!P40/AU39,"")</f>
        <v>1.00814137011318</v>
      </c>
      <c r="AW39" s="24" t="n">
        <f aca="false">IFERROR(AVERAGEIFS($AV$7:$AV$294,$B$7:$B$294,$B39,$A$7:$A$294,"&gt;="&amp;EDATE($A39,-12*'Seasonal Factors'!$E$4),$A$7:$A$294,"&lt;="&amp;EDATE($A39,12*'Seasonal Factors'!$E$4)),"")</f>
        <v>1.00455481052092</v>
      </c>
      <c r="AX39" s="24" t="n">
        <f aca="false">IFERROR(AW39/AVERAGE(AW34:AW45),"")</f>
        <v>1.00453714077318</v>
      </c>
      <c r="AY39" s="23" t="n">
        <f aca="false">IF(ISNUMBER(Tabelle1!Q46),(0.5*Tabelle1!Q34+SUM(Tabelle1!Q35:Q45)+0.5*Tabelle1!Q46)/12,"")</f>
        <v>111.87274875</v>
      </c>
      <c r="AZ39" s="24" t="n">
        <f aca="false">IFERROR(Tabelle1!Q40/AY39,"")</f>
        <v>1.01160846823298</v>
      </c>
      <c r="BA39" s="24" t="n">
        <f aca="false">IFERROR(AVERAGEIFS($AZ$7:$AZ$294,$B$7:$B$294,$B39,$A$7:$A$294,"&gt;="&amp;EDATE($A39,-12*'Seasonal Factors'!$E$4),$A$7:$A$294,"&lt;="&amp;EDATE($A39,12*'Seasonal Factors'!$E$4)),"")</f>
        <v>1.00980725722935</v>
      </c>
      <c r="BB39" s="24" t="n">
        <f aca="false">IFERROR(BA39/AVERAGE(BA34:BA45),"")</f>
        <v>1.00980790669986</v>
      </c>
      <c r="BC39" s="23" t="n">
        <f aca="false">IF(ISNUMBER(Tabelle1!R46),(0.5*Tabelle1!R34+SUM(Tabelle1!R35:R45)+0.5*Tabelle1!R46)/12,"")</f>
        <v>114.05817125</v>
      </c>
      <c r="BD39" s="24" t="n">
        <f aca="false">IFERROR(Tabelle1!R40/BC39,"")</f>
        <v>1.01873665627442</v>
      </c>
      <c r="BE39" s="24" t="n">
        <f aca="false">IFERROR(AVERAGEIFS($BD$7:$BD$294,$B$7:$B$294,$B39,$A$7:$A$294,"&gt;="&amp;EDATE($A39,-12*'Seasonal Factors'!$E$4),$A$7:$A$294,"&lt;="&amp;EDATE($A39,12*'Seasonal Factors'!$E$4)),"")</f>
        <v>1.01631171861213</v>
      </c>
      <c r="BF39" s="24" t="n">
        <f aca="false">IFERROR(BE39/AVERAGE(BE34:BE45),"")</f>
        <v>1.01633568485232</v>
      </c>
      <c r="BG39" s="23" t="n">
        <f aca="false">IF(ISNUMBER(Tabelle1!S46),(0.5*Tabelle1!S34+SUM(Tabelle1!S35:S45)+0.5*Tabelle1!S46)/12,"")</f>
        <v>124.055515</v>
      </c>
      <c r="BH39" s="24" t="n">
        <f aca="false">IFERROR(Tabelle1!S40/BG39,"")</f>
        <v>0.962464022659533</v>
      </c>
      <c r="BI39" s="24" t="n">
        <f aca="false">IFERROR(AVERAGEIFS($BH$7:$BH$294,$B$7:$B$294,$B39,$A$7:$A$294,"&gt;="&amp;EDATE($A39,-12*'Seasonal Factors'!$E$4),$A$7:$A$294,"&lt;="&amp;EDATE($A39,12*'Seasonal Factors'!$E$4)),"")</f>
        <v>0.981890277224356</v>
      </c>
      <c r="BJ39" s="24" t="n">
        <f aca="false">IFERROR(BI39/AVERAGE(BI34:BI45),"")</f>
        <v>0.981999811350814</v>
      </c>
    </row>
    <row r="40" customFormat="false" ht="15" hidden="false" customHeight="false" outlineLevel="0" collapsed="false">
      <c r="A40" s="20" t="n">
        <v>39021</v>
      </c>
      <c r="B40" s="22" t="n">
        <f aca="false">MONTH(A40)</f>
        <v>10</v>
      </c>
      <c r="C40" s="23" t="n">
        <f aca="false">IF(ISNUMBER(Tabelle1!E47),(0.5*Tabelle1!E35+SUM(Tabelle1!E36:E46)+0.5*Tabelle1!E47)/12,"")</f>
        <v>119.349262916667</v>
      </c>
      <c r="D40" s="24" t="n">
        <f aca="false">IFERROR(Tabelle1!E41/C40,"")</f>
        <v>0.527402838205631</v>
      </c>
      <c r="E40" s="24" t="n">
        <f aca="false">IFERROR(AVERAGEIFS($D$7:$D$294,$B$7:$B$294,$B40,$A$7:$A$294,"&gt;="&amp;EDATE($A40,-12*'Seasonal Factors'!$E$4),$A$7:$A$294,"&lt;="&amp;EDATE($A40,12*'Seasonal Factors'!$E$4)),"")</f>
        <v>0.551624841267175</v>
      </c>
      <c r="F40" s="24" t="n">
        <f aca="false">IFERROR(E40/AVERAGE(E35:E46),"")</f>
        <v>0.549716422483763</v>
      </c>
      <c r="G40" s="23" t="n">
        <f aca="false">IF(ISNUMBER(Tabelle1!F47),(0.5*Tabelle1!F35+SUM(Tabelle1!F36:F46)+0.5*Tabelle1!F47)/12,"")</f>
        <v>144.090145833333</v>
      </c>
      <c r="H40" s="24" t="n">
        <f aca="false">IFERROR(Tabelle1!F41/G40,"")</f>
        <v>0.767374613721994</v>
      </c>
      <c r="I40" s="24" t="n">
        <f aca="false">IFERROR(AVERAGEIFS($H$7:$H$294,$B$7:$B$294,$B40,$A$7:$A$294,"&gt;="&amp;EDATE($A40,-12*'Seasonal Factors'!$E$4),$A$7:$A$294,"&lt;="&amp;EDATE($A40,12*'Seasonal Factors'!$E$4)),"")</f>
        <v>0.772504040400634</v>
      </c>
      <c r="J40" s="24" t="n">
        <f aca="false">IFERROR(I40/AVERAGE(I35:I46),"")</f>
        <v>0.781838678764501</v>
      </c>
      <c r="K40" s="23" t="n">
        <f aca="false">IF(ISNUMBER(Tabelle1!G47),(0.5*Tabelle1!G35+SUM(Tabelle1!G36:G46)+0.5*Tabelle1!G47)/12,"")</f>
        <v>104.739329166667</v>
      </c>
      <c r="L40" s="24" t="n">
        <f aca="false">IFERROR(Tabelle1!G41/K40,"")</f>
        <v>1.04528337990199</v>
      </c>
      <c r="M40" s="24" t="n">
        <f aca="false">IFERROR(AVERAGEIFS($L$7:$L$294,$B$7:$B$294,$B40,$A$7:$A$294,"&gt;="&amp;EDATE($A40,-12*'Seasonal Factors'!$E$4),$A$7:$A$294,"&lt;="&amp;EDATE($A40,12*'Seasonal Factors'!$E$4)),"")</f>
        <v>1.01652796355929</v>
      </c>
      <c r="N40" s="24" t="n">
        <f aca="false">IFERROR(M40/AVERAGE(M35:M46),"")</f>
        <v>1.01660043723292</v>
      </c>
      <c r="O40" s="23" t="n">
        <f aca="false">IF(ISNUMBER(Tabelle1!H47),(0.5*Tabelle1!H35+SUM(Tabelle1!H36:H46)+0.5*Tabelle1!H47)/12,"")</f>
        <v>119.261032083333</v>
      </c>
      <c r="P40" s="24" t="n">
        <f aca="false">IFERROR(Tabelle1!H41/O40,"")</f>
        <v>1.04070783081329</v>
      </c>
      <c r="Q40" s="24" t="n">
        <f aca="false">IFERROR(AVERAGEIFS($P$7:$P$294,$B$7:$B$294,$B40,$A$7:$A$294,"&gt;="&amp;EDATE($A40,-12*'Seasonal Factors'!$E$4),$A$7:$A$294,"&lt;="&amp;EDATE($A40,12*'Seasonal Factors'!$E$4)),"")</f>
        <v>1.05968490828392</v>
      </c>
      <c r="R40" s="24" t="n">
        <f aca="false">IFERROR(Q40/AVERAGE(Q35:Q46),"")</f>
        <v>1.06073762848887</v>
      </c>
      <c r="S40" s="23" t="n">
        <f aca="false">IF(ISNUMBER(Tabelle1!I47),(0.5*Tabelle1!I35+SUM(Tabelle1!I36:I46)+0.5*Tabelle1!I47)/12,"")</f>
        <v>114.055722916667</v>
      </c>
      <c r="T40" s="24" t="n">
        <f aca="false">IFERROR(Tabelle1!I41/S40,"")</f>
        <v>0.987417177499149</v>
      </c>
      <c r="U40" s="24" t="n">
        <f aca="false">IFERROR(AVERAGEIFS($T$7:$T$294,$B$7:$B$294,$B40,$A$7:$A$294,"&gt;="&amp;EDATE($A40,-12*'Seasonal Factors'!$E$4),$A$7:$A$294,"&lt;="&amp;EDATE($A40,12*'Seasonal Factors'!$E$4)),"")</f>
        <v>0.951306267767177</v>
      </c>
      <c r="V40" s="24" t="n">
        <f aca="false">IFERROR(U40/AVERAGE(U35:U46),"")</f>
        <v>0.951342464566367</v>
      </c>
      <c r="W40" s="23" t="n">
        <f aca="false">IF(ISNUMBER(Tabelle1!J47),(0.5*Tabelle1!J35+SUM(Tabelle1!J36:J46)+0.5*Tabelle1!J47)/12,"")</f>
        <v>130.511877916667</v>
      </c>
      <c r="X40" s="24" t="n">
        <f aca="false">IFERROR(Tabelle1!J41/W40,"")</f>
        <v>0.980455664592495</v>
      </c>
      <c r="Y40" s="24" t="n">
        <f aca="false">IFERROR(AVERAGEIFS($X$7:$X$294,$B$7:$B$294,$B40,$A$7:$A$294,"&gt;="&amp;EDATE($A40,-12*'Seasonal Factors'!$E$4),$A$7:$A$294,"&lt;="&amp;EDATE($A40,12*'Seasonal Factors'!$E$4)),"")</f>
        <v>0.979602622282758</v>
      </c>
      <c r="Z40" s="24" t="n">
        <f aca="false">IFERROR(Y40/AVERAGE(Y35:Y46),"")</f>
        <v>0.98053446013452</v>
      </c>
      <c r="AA40" s="23" t="n">
        <f aca="false">IF(ISNUMBER(Tabelle1!K47),(0.5*Tabelle1!K35+SUM(Tabelle1!K36:K46)+0.5*Tabelle1!K47)/12,"")</f>
        <v>125.495918333333</v>
      </c>
      <c r="AB40" s="24" t="n">
        <f aca="false">IFERROR(Tabelle1!K41/AA40,"")</f>
        <v>0.991596632405747</v>
      </c>
      <c r="AC40" s="24" t="n">
        <f aca="false">IFERROR(AVERAGEIFS($AB$7:$AB$294,$B$7:$B$294,$B40,$A$7:$A$294,"&gt;="&amp;EDATE($A40,-12*'Seasonal Factors'!$E$4),$A$7:$A$294,"&lt;="&amp;EDATE($A40,12*'Seasonal Factors'!$E$4)),"")</f>
        <v>1.01078772757331</v>
      </c>
      <c r="AD40" s="24" t="n">
        <f aca="false">IFERROR(AC40/AVERAGE(AC35:AC46),"")</f>
        <v>1.01246587559572</v>
      </c>
      <c r="AE40" s="23" t="n">
        <f aca="false">IF(ISNUMBER(Tabelle1!L47),(0.5*Tabelle1!L35+SUM(Tabelle1!L36:L46)+0.5*Tabelle1!L47)/12,"")</f>
        <v>130.01088875</v>
      </c>
      <c r="AF40" s="24" t="n">
        <f aca="false">IFERROR(Tabelle1!L41/AE40,"")</f>
        <v>0.988977394403052</v>
      </c>
      <c r="AG40" s="24" t="n">
        <f aca="false">IFERROR(AVERAGEIFS($AF$7:$AF$294,$B$7:$B$294,$B40,$A$7:$A$294,"&gt;="&amp;EDATE($A40,-12*'Seasonal Factors'!$E$4),$A$7:$A$294,"&lt;="&amp;EDATE($A40,12*'Seasonal Factors'!$E$4)),"")</f>
        <v>1.00935575755704</v>
      </c>
      <c r="AH40" s="24" t="n">
        <f aca="false">IFERROR(AG40/AVERAGE(AG35:AG46),"")</f>
        <v>1.01011304496132</v>
      </c>
      <c r="AI40" s="23" t="n">
        <f aca="false">IF(ISNUMBER(Tabelle1!M47),(0.5*Tabelle1!M35+SUM(Tabelle1!M36:M46)+0.5*Tabelle1!M47)/12,"")</f>
        <v>134.03328</v>
      </c>
      <c r="AJ40" s="24" t="n">
        <f aca="false">IFERROR(Tabelle1!M41/AI40,"")</f>
        <v>0.986507231636799</v>
      </c>
      <c r="AK40" s="24" t="n">
        <f aca="false">IFERROR(AVERAGEIFS($AJ$7:$AJ$294,$B$7:$B$294,$B40,$A$7:$A$294,"&gt;="&amp;EDATE($A40,-12*'Seasonal Factors'!$E$4),$A$7:$A$294,"&lt;="&amp;EDATE($A40,12*'Seasonal Factors'!$E$4)),"")</f>
        <v>0.98911132773903</v>
      </c>
      <c r="AL40" s="24" t="n">
        <f aca="false">IFERROR(AK40/AVERAGE(AK35:AK46),"")</f>
        <v>0.989215480474524</v>
      </c>
      <c r="AM40" s="23" t="n">
        <f aca="false">IF(ISNUMBER(Tabelle1!N47),(0.5*Tabelle1!N35+SUM(Tabelle1!N36:N46)+0.5*Tabelle1!N47)/12,"")</f>
        <v>130.068894583333</v>
      </c>
      <c r="AN40" s="24" t="n">
        <f aca="false">IFERROR(Tabelle1!N41/AM40,"")</f>
        <v>1.00086535229678</v>
      </c>
      <c r="AO40" s="24" t="n">
        <f aca="false">IFERROR(AVERAGEIFS($AN$7:$AN$294,$B$7:$B$294,$B40,$A$7:$A$294,"&gt;="&amp;EDATE($A40,-12*'Seasonal Factors'!$E$4),$A$7:$A$294,"&lt;="&amp;EDATE($A40,12*'Seasonal Factors'!$E$4)),"")</f>
        <v>0.99773972023353</v>
      </c>
      <c r="AP40" s="24" t="n">
        <f aca="false">IFERROR(AO40/AVERAGE(AO35:AO46),"")</f>
        <v>0.9980928680986</v>
      </c>
      <c r="AQ40" s="23" t="n">
        <f aca="false">IF(ISNUMBER(Tabelle1!O47),(0.5*Tabelle1!O35+SUM(Tabelle1!O36:O46)+0.5*Tabelle1!O47)/12,"")</f>
        <v>114.451661666667</v>
      </c>
      <c r="AR40" s="24" t="n">
        <f aca="false">IFERROR(Tabelle1!O41/AQ40,"")</f>
        <v>1.00941190645594</v>
      </c>
      <c r="AS40" s="24" t="n">
        <f aca="false">IFERROR(AVERAGEIFS($AR$7:$AR$294,$B$7:$B$294,$B40,$A$7:$A$294,"&gt;="&amp;EDATE($A40,-12*'Seasonal Factors'!$E$4),$A$7:$A$294,"&lt;="&amp;EDATE($A40,12*'Seasonal Factors'!$E$4)),"")</f>
        <v>1.00653927995043</v>
      </c>
      <c r="AT40" s="24" t="n">
        <f aca="false">IFERROR(AS40/AVERAGE(AS35:AS46),"")</f>
        <v>1.00685278541223</v>
      </c>
      <c r="AU40" s="23" t="n">
        <f aca="false">IF(ISNUMBER(Tabelle1!P47),(0.5*Tabelle1!P35+SUM(Tabelle1!P36:P46)+0.5*Tabelle1!P47)/12,"")</f>
        <v>110.638554166667</v>
      </c>
      <c r="AV40" s="24" t="n">
        <f aca="false">IFERROR(Tabelle1!P41/AU40,"")</f>
        <v>0.999325694671007</v>
      </c>
      <c r="AW40" s="24" t="n">
        <f aca="false">IFERROR(AVERAGEIFS($AV$7:$AV$294,$B$7:$B$294,$B40,$A$7:$A$294,"&gt;="&amp;EDATE($A40,-12*'Seasonal Factors'!$E$4),$A$7:$A$294,"&lt;="&amp;EDATE($A40,12*'Seasonal Factors'!$E$4)),"")</f>
        <v>1.00099967231581</v>
      </c>
      <c r="AX40" s="24" t="n">
        <f aca="false">IFERROR(AW40/AVERAGE(AW35:AW46),"")</f>
        <v>1.00095068926272</v>
      </c>
      <c r="AY40" s="23" t="n">
        <f aca="false">IF(ISNUMBER(Tabelle1!Q47),(0.5*Tabelle1!Q35+SUM(Tabelle1!Q36:Q46)+0.5*Tabelle1!Q47)/12,"")</f>
        <v>112.425411666667</v>
      </c>
      <c r="AZ40" s="24" t="n">
        <f aca="false">IFERROR(Tabelle1!Q41/AY40,"")</f>
        <v>1.00830202282115</v>
      </c>
      <c r="BA40" s="24" t="n">
        <f aca="false">IFERROR(AVERAGEIFS($AZ$7:$AZ$294,$B$7:$B$294,$B40,$A$7:$A$294,"&gt;="&amp;EDATE($A40,-12*'Seasonal Factors'!$E$4),$A$7:$A$294,"&lt;="&amp;EDATE($A40,12*'Seasonal Factors'!$E$4)),"")</f>
        <v>1.00711062685272</v>
      </c>
      <c r="BB40" s="24" t="n">
        <f aca="false">IFERROR(BA40/AVERAGE(BA35:BA46),"")</f>
        <v>1.00705540210586</v>
      </c>
      <c r="BC40" s="23" t="n">
        <f aca="false">IF(ISNUMBER(Tabelle1!R47),(0.5*Tabelle1!R35+SUM(Tabelle1!R36:R46)+0.5*Tabelle1!R47)/12,"")</f>
        <v>114.726282916667</v>
      </c>
      <c r="BD40" s="24" t="n">
        <f aca="false">IFERROR(Tabelle1!R41/BC40,"")</f>
        <v>0.974888640654738</v>
      </c>
      <c r="BE40" s="24" t="n">
        <f aca="false">IFERROR(AVERAGEIFS($BD$7:$BD$294,$B$7:$B$294,$B40,$A$7:$A$294,"&gt;="&amp;EDATE($A40,-12*'Seasonal Factors'!$E$4),$A$7:$A$294,"&lt;="&amp;EDATE($A40,12*'Seasonal Factors'!$E$4)),"")</f>
        <v>0.972262625902738</v>
      </c>
      <c r="BF40" s="24" t="n">
        <f aca="false">IFERROR(BE40/AVERAGE(BE35:BE46),"")</f>
        <v>0.971995430792018</v>
      </c>
      <c r="BG40" s="23" t="n">
        <f aca="false">IF(ISNUMBER(Tabelle1!S47),(0.5*Tabelle1!S35+SUM(Tabelle1!S36:S46)+0.5*Tabelle1!S47)/12,"")</f>
        <v>124.623709166667</v>
      </c>
      <c r="BH40" s="24" t="n">
        <f aca="false">IFERROR(Tabelle1!S41/BG40,"")</f>
        <v>0.961467531348753</v>
      </c>
      <c r="BI40" s="24" t="n">
        <f aca="false">IFERROR(AVERAGEIFS($BH$7:$BH$294,$B$7:$B$294,$B40,$A$7:$A$294,"&gt;="&amp;EDATE($A40,-12*'Seasonal Factors'!$E$4),$A$7:$A$294,"&lt;="&amp;EDATE($A40,12*'Seasonal Factors'!$E$4)),"")</f>
        <v>0.976378792636715</v>
      </c>
      <c r="BJ40" s="24" t="n">
        <f aca="false">IFERROR(BI40/AVERAGE(BI35:BI46),"")</f>
        <v>0.976252744012458</v>
      </c>
    </row>
    <row r="41" customFormat="false" ht="15" hidden="false" customHeight="false" outlineLevel="0" collapsed="false">
      <c r="A41" s="20" t="n">
        <v>39051</v>
      </c>
      <c r="B41" s="22" t="n">
        <f aca="false">MONTH(A41)</f>
        <v>11</v>
      </c>
      <c r="C41" s="23" t="n">
        <f aca="false">IF(ISNUMBER(Tabelle1!E48),(0.5*Tabelle1!E36+SUM(Tabelle1!E37:E47)+0.5*Tabelle1!E48)/12,"")</f>
        <v>122.720926666667</v>
      </c>
      <c r="D41" s="24" t="n">
        <f aca="false">IFERROR(Tabelle1!E42/C41,"")</f>
        <v>0.652480649999438</v>
      </c>
      <c r="E41" s="24" t="n">
        <f aca="false">IFERROR(AVERAGEIFS($D$7:$D$294,$B$7:$B$294,$B41,$A$7:$A$294,"&gt;="&amp;EDATE($A41,-12*'Seasonal Factors'!$E$4),$A$7:$A$294,"&lt;="&amp;EDATE($A41,12*'Seasonal Factors'!$E$4)),"")</f>
        <v>0.685545016612089</v>
      </c>
      <c r="F41" s="24" t="n">
        <f aca="false">IFERROR(E41/AVERAGE(E36:E47),"")</f>
        <v>0.682927838115109</v>
      </c>
      <c r="G41" s="23" t="n">
        <f aca="false">IF(ISNUMBER(Tabelle1!F48),(0.5*Tabelle1!F36+SUM(Tabelle1!F37:F47)+0.5*Tabelle1!F48)/12,"")</f>
        <v>145.38324</v>
      </c>
      <c r="H41" s="24" t="n">
        <f aca="false">IFERROR(Tabelle1!F42/G41,"")</f>
        <v>0.437836438367999</v>
      </c>
      <c r="I41" s="24" t="n">
        <f aca="false">IFERROR(AVERAGEIFS($H$7:$H$294,$B$7:$B$294,$B41,$A$7:$A$294,"&gt;="&amp;EDATE($A41,-12*'Seasonal Factors'!$E$4),$A$7:$A$294,"&lt;="&amp;EDATE($A41,12*'Seasonal Factors'!$E$4)),"")</f>
        <v>0.578301831691385</v>
      </c>
      <c r="J41" s="24" t="n">
        <f aca="false">IFERROR(I41/AVERAGE(I36:I47),"")</f>
        <v>0.591460832654478</v>
      </c>
      <c r="K41" s="23" t="n">
        <f aca="false">IF(ISNUMBER(Tabelle1!G48),(0.5*Tabelle1!G36+SUM(Tabelle1!G37:G47)+0.5*Tabelle1!G48)/12,"")</f>
        <v>104.59085</v>
      </c>
      <c r="L41" s="24" t="n">
        <f aca="false">IFERROR(Tabelle1!G42/K41,"")</f>
        <v>0.939180339389153</v>
      </c>
      <c r="M41" s="24" t="n">
        <f aca="false">IFERROR(AVERAGEIFS($L$7:$L$294,$B$7:$B$294,$B41,$A$7:$A$294,"&gt;="&amp;EDATE($A41,-12*'Seasonal Factors'!$E$4),$A$7:$A$294,"&lt;="&amp;EDATE($A41,12*'Seasonal Factors'!$E$4)),"")</f>
        <v>0.972675126561928</v>
      </c>
      <c r="N41" s="24" t="n">
        <f aca="false">IFERROR(M41/AVERAGE(M36:M47),"")</f>
        <v>0.973254235310239</v>
      </c>
      <c r="O41" s="23" t="n">
        <f aca="false">IF(ISNUMBER(Tabelle1!H48),(0.5*Tabelle1!H36+SUM(Tabelle1!H37:H47)+0.5*Tabelle1!H48)/12,"")</f>
        <v>120.01815375</v>
      </c>
      <c r="P41" s="24" t="n">
        <f aca="false">IFERROR(Tabelle1!H42/O41,"")</f>
        <v>1.03156835971575</v>
      </c>
      <c r="Q41" s="24" t="n">
        <f aca="false">IFERROR(AVERAGEIFS($P$7:$P$294,$B$7:$B$294,$B41,$A$7:$A$294,"&gt;="&amp;EDATE($A41,-12*'Seasonal Factors'!$E$4),$A$7:$A$294,"&lt;="&amp;EDATE($A41,12*'Seasonal Factors'!$E$4)),"")</f>
        <v>1.03169542719209</v>
      </c>
      <c r="R41" s="24" t="n">
        <f aca="false">IFERROR(Q41/AVERAGE(Q36:Q47),"")</f>
        <v>1.03240870350232</v>
      </c>
      <c r="S41" s="23" t="n">
        <f aca="false">IF(ISNUMBER(Tabelle1!I48),(0.5*Tabelle1!I36+SUM(Tabelle1!I37:I47)+0.5*Tabelle1!I48)/12,"")</f>
        <v>114.6481325</v>
      </c>
      <c r="T41" s="24" t="n">
        <f aca="false">IFERROR(Tabelle1!I42/S41,"")</f>
        <v>0.963922635198615</v>
      </c>
      <c r="U41" s="24" t="n">
        <f aca="false">IFERROR(AVERAGEIFS($T$7:$T$294,$B$7:$B$294,$B41,$A$7:$A$294,"&gt;="&amp;EDATE($A41,-12*'Seasonal Factors'!$E$4),$A$7:$A$294,"&lt;="&amp;EDATE($A41,12*'Seasonal Factors'!$E$4)),"")</f>
        <v>0.954359957277748</v>
      </c>
      <c r="V41" s="24" t="n">
        <f aca="false">IFERROR(U41/AVERAGE(U36:U47),"")</f>
        <v>0.954542272682306</v>
      </c>
      <c r="W41" s="23" t="n">
        <f aca="false">IF(ISNUMBER(Tabelle1!J48),(0.5*Tabelle1!J36+SUM(Tabelle1!J37:J47)+0.5*Tabelle1!J48)/12,"")</f>
        <v>131.586920416667</v>
      </c>
      <c r="X41" s="24" t="n">
        <f aca="false">IFERROR(Tabelle1!J42/W41,"")</f>
        <v>0.996355789654867</v>
      </c>
      <c r="Y41" s="24" t="n">
        <f aca="false">IFERROR(AVERAGEIFS($X$7:$X$294,$B$7:$B$294,$B41,$A$7:$A$294,"&gt;="&amp;EDATE($A41,-12*'Seasonal Factors'!$E$4),$A$7:$A$294,"&lt;="&amp;EDATE($A41,12*'Seasonal Factors'!$E$4)),"")</f>
        <v>0.98940040717464</v>
      </c>
      <c r="Z41" s="24" t="n">
        <f aca="false">IFERROR(Y41/AVERAGE(Y36:Y47),"")</f>
        <v>0.990219294375978</v>
      </c>
      <c r="AA41" s="23" t="n">
        <f aca="false">IF(ISNUMBER(Tabelle1!K48),(0.5*Tabelle1!K36+SUM(Tabelle1!K37:K47)+0.5*Tabelle1!K48)/12,"")</f>
        <v>126.569980416667</v>
      </c>
      <c r="AB41" s="24" t="n">
        <f aca="false">IFERROR(Tabelle1!K42/AA41,"")</f>
        <v>1.02499873645328</v>
      </c>
      <c r="AC41" s="24" t="n">
        <f aca="false">IFERROR(AVERAGEIFS($AB$7:$AB$294,$B$7:$B$294,$B41,$A$7:$A$294,"&gt;="&amp;EDATE($A41,-12*'Seasonal Factors'!$E$4),$A$7:$A$294,"&lt;="&amp;EDATE($A41,12*'Seasonal Factors'!$E$4)),"")</f>
        <v>1.01575771931333</v>
      </c>
      <c r="AD41" s="24" t="n">
        <f aca="false">IFERROR(AC41/AVERAGE(AC36:AC47),"")</f>
        <v>1.01734383885015</v>
      </c>
      <c r="AE41" s="23" t="n">
        <f aca="false">IF(ISNUMBER(Tabelle1!L48),(0.5*Tabelle1!L36+SUM(Tabelle1!L37:L47)+0.5*Tabelle1!L48)/12,"")</f>
        <v>131.136775833333</v>
      </c>
      <c r="AF41" s="24" t="n">
        <f aca="false">IFERROR(Tabelle1!L42/AE41,"")</f>
        <v>0.996790177044857</v>
      </c>
      <c r="AG41" s="24" t="n">
        <f aca="false">IFERROR(AVERAGEIFS($AF$7:$AF$294,$B$7:$B$294,$B41,$A$7:$A$294,"&gt;="&amp;EDATE($A41,-12*'Seasonal Factors'!$E$4),$A$7:$A$294,"&lt;="&amp;EDATE($A41,12*'Seasonal Factors'!$E$4)),"")</f>
        <v>1.01822535388496</v>
      </c>
      <c r="AH41" s="24" t="n">
        <f aca="false">IFERROR(AG41/AVERAGE(AG36:AG47),"")</f>
        <v>1.01867862352203</v>
      </c>
      <c r="AI41" s="23" t="n">
        <f aca="false">IF(ISNUMBER(Tabelle1!M48),(0.5*Tabelle1!M36+SUM(Tabelle1!M37:M47)+0.5*Tabelle1!M48)/12,"")</f>
        <v>135.57927125</v>
      </c>
      <c r="AJ41" s="24" t="n">
        <f aca="false">IFERROR(Tabelle1!M42/AI41,"")</f>
        <v>0.989256681817428</v>
      </c>
      <c r="AK41" s="24" t="n">
        <f aca="false">IFERROR(AVERAGEIFS($AJ$7:$AJ$294,$B$7:$B$294,$B41,$A$7:$A$294,"&gt;="&amp;EDATE($A41,-12*'Seasonal Factors'!$E$4),$A$7:$A$294,"&lt;="&amp;EDATE($A41,12*'Seasonal Factors'!$E$4)),"")</f>
        <v>0.98389402734336</v>
      </c>
      <c r="AL41" s="24" t="n">
        <f aca="false">IFERROR(AK41/AVERAGE(AK36:AK47),"")</f>
        <v>0.983978248650199</v>
      </c>
      <c r="AM41" s="23" t="n">
        <f aca="false">IF(ISNUMBER(Tabelle1!N48),(0.5*Tabelle1!N36+SUM(Tabelle1!N37:N47)+0.5*Tabelle1!N48)/12,"")</f>
        <v>131.747666666667</v>
      </c>
      <c r="AN41" s="24" t="n">
        <f aca="false">IFERROR(Tabelle1!N42/AM41,"")</f>
        <v>1.002054331133</v>
      </c>
      <c r="AO41" s="24" t="n">
        <f aca="false">IFERROR(AVERAGEIFS($AN$7:$AN$294,$B$7:$B$294,$B41,$A$7:$A$294,"&gt;="&amp;EDATE($A41,-12*'Seasonal Factors'!$E$4),$A$7:$A$294,"&lt;="&amp;EDATE($A41,12*'Seasonal Factors'!$E$4)),"")</f>
        <v>0.996451235946844</v>
      </c>
      <c r="AP41" s="24" t="n">
        <f aca="false">IFERROR(AO41/AVERAGE(AO36:AO47),"")</f>
        <v>0.996830493966618</v>
      </c>
      <c r="AQ41" s="23" t="n">
        <f aca="false">IF(ISNUMBER(Tabelle1!O48),(0.5*Tabelle1!O36+SUM(Tabelle1!O37:O47)+0.5*Tabelle1!O48)/12,"")</f>
        <v>114.947044166667</v>
      </c>
      <c r="AR41" s="24" t="n">
        <f aca="false">IFERROR(Tabelle1!O42/AQ41,"")</f>
        <v>1.01876712749747</v>
      </c>
      <c r="AS41" s="24" t="n">
        <f aca="false">IFERROR(AVERAGEIFS($AR$7:$AR$294,$B$7:$B$294,$B41,$A$7:$A$294,"&gt;="&amp;EDATE($A41,-12*'Seasonal Factors'!$E$4),$A$7:$A$294,"&lt;="&amp;EDATE($A41,12*'Seasonal Factors'!$E$4)),"")</f>
        <v>1.01635380047701</v>
      </c>
      <c r="AT41" s="24" t="n">
        <f aca="false">IFERROR(AS41/AVERAGE(AS36:AS47),"")</f>
        <v>1.01665363777234</v>
      </c>
      <c r="AU41" s="23" t="n">
        <f aca="false">IF(ISNUMBER(Tabelle1!P48),(0.5*Tabelle1!P36+SUM(Tabelle1!P37:P47)+0.5*Tabelle1!P48)/12,"")</f>
        <v>111.17920375</v>
      </c>
      <c r="AV41" s="24" t="n">
        <f aca="false">IFERROR(Tabelle1!P42/AU41,"")</f>
        <v>0.997214283431131</v>
      </c>
      <c r="AW41" s="24" t="n">
        <f aca="false">IFERROR(AVERAGEIFS($AV$7:$AV$294,$B$7:$B$294,$B41,$A$7:$A$294,"&gt;="&amp;EDATE($A41,-12*'Seasonal Factors'!$E$4),$A$7:$A$294,"&lt;="&amp;EDATE($A41,12*'Seasonal Factors'!$E$4)),"")</f>
        <v>1.00623159595981</v>
      </c>
      <c r="AX41" s="24" t="n">
        <f aca="false">IFERROR(AW41/AVERAGE(AW36:AW47),"")</f>
        <v>1.00627127120246</v>
      </c>
      <c r="AY41" s="23" t="n">
        <f aca="false">IF(ISNUMBER(Tabelle1!Q48),(0.5*Tabelle1!Q36+SUM(Tabelle1!Q37:Q47)+0.5*Tabelle1!Q48)/12,"")</f>
        <v>112.988915416667</v>
      </c>
      <c r="AZ41" s="24" t="n">
        <f aca="false">IFERROR(Tabelle1!Q42/AY41,"")</f>
        <v>1.00729394189062</v>
      </c>
      <c r="BA41" s="24" t="n">
        <f aca="false">IFERROR(AVERAGEIFS($AZ$7:$AZ$294,$B$7:$B$294,$B41,$A$7:$A$294,"&gt;="&amp;EDATE($A41,-12*'Seasonal Factors'!$E$4),$A$7:$A$294,"&lt;="&amp;EDATE($A41,12*'Seasonal Factors'!$E$4)),"")</f>
        <v>1.01221904643868</v>
      </c>
      <c r="BB41" s="24" t="n">
        <f aca="false">IFERROR(BA41/AVERAGE(BA36:BA47),"")</f>
        <v>1.01226148358158</v>
      </c>
      <c r="BC41" s="23" t="n">
        <f aca="false">IF(ISNUMBER(Tabelle1!R48),(0.5*Tabelle1!R36+SUM(Tabelle1!R37:R47)+0.5*Tabelle1!R48)/12,"")</f>
        <v>115.4192</v>
      </c>
      <c r="BD41" s="24" t="n">
        <f aca="false">IFERROR(Tabelle1!R42/BC41,"")</f>
        <v>0.96400581532362</v>
      </c>
      <c r="BE41" s="24" t="n">
        <f aca="false">IFERROR(AVERAGEIFS($BD$7:$BD$294,$B$7:$B$294,$B41,$A$7:$A$294,"&gt;="&amp;EDATE($A41,-12*'Seasonal Factors'!$E$4),$A$7:$A$294,"&lt;="&amp;EDATE($A41,12*'Seasonal Factors'!$E$4)),"")</f>
        <v>0.966679046061266</v>
      </c>
      <c r="BF41" s="24" t="n">
        <f aca="false">IFERROR(BE41/AVERAGE(BE36:BE47),"")</f>
        <v>0.966081554670511</v>
      </c>
      <c r="BG41" s="23" t="n">
        <f aca="false">IF(ISNUMBER(Tabelle1!S48),(0.5*Tabelle1!S36+SUM(Tabelle1!S37:S47)+0.5*Tabelle1!S48)/12,"")</f>
        <v>125.012708333333</v>
      </c>
      <c r="BH41" s="24" t="n">
        <f aca="false">IFERROR(Tabelle1!S42/BG41,"")</f>
        <v>0.964114861655732</v>
      </c>
      <c r="BI41" s="24" t="n">
        <f aca="false">IFERROR(AVERAGEIFS($BH$7:$BH$294,$B$7:$B$294,$B41,$A$7:$A$294,"&gt;="&amp;EDATE($A41,-12*'Seasonal Factors'!$E$4),$A$7:$A$294,"&lt;="&amp;EDATE($A41,12*'Seasonal Factors'!$E$4)),"")</f>
        <v>0.9668536874428</v>
      </c>
      <c r="BJ41" s="24" t="n">
        <f aca="false">IFERROR(BI41/AVERAGE(BI36:BI47),"")</f>
        <v>0.966381889384108</v>
      </c>
    </row>
    <row r="42" customFormat="false" ht="15" hidden="false" customHeight="false" outlineLevel="0" collapsed="false">
      <c r="A42" s="20" t="n">
        <v>39082</v>
      </c>
      <c r="B42" s="22" t="n">
        <f aca="false">MONTH(A42)</f>
        <v>12</v>
      </c>
      <c r="C42" s="23" t="n">
        <f aca="false">IF(ISNUMBER(Tabelle1!E49),(0.5*Tabelle1!E37+SUM(Tabelle1!E38:E48)+0.5*Tabelle1!E49)/12,"")</f>
        <v>126.096233333333</v>
      </c>
      <c r="D42" s="24" t="n">
        <f aca="false">IFERROR(Tabelle1!E43/C42,"")</f>
        <v>0.773695751419485</v>
      </c>
      <c r="E42" s="24" t="n">
        <f aca="false">IFERROR(AVERAGEIFS($D$7:$D$294,$B$7:$B$294,$B42,$A$7:$A$294,"&gt;="&amp;EDATE($A42,-12*'Seasonal Factors'!$E$4),$A$7:$A$294,"&lt;="&amp;EDATE($A42,12*'Seasonal Factors'!$E$4)),"")</f>
        <v>0.770531932773383</v>
      </c>
      <c r="F42" s="24" t="n">
        <f aca="false">IFERROR(E42/AVERAGE(E37:E48),"")</f>
        <v>0.767370455983033</v>
      </c>
      <c r="G42" s="23" t="n">
        <f aca="false">IF(ISNUMBER(Tabelle1!F49),(0.5*Tabelle1!F37+SUM(Tabelle1!F38:F48)+0.5*Tabelle1!F49)/12,"")</f>
        <v>144.76143625</v>
      </c>
      <c r="H42" s="24" t="n">
        <f aca="false">IFERROR(Tabelle1!F43/G42,"")</f>
        <v>0.573101042301934</v>
      </c>
      <c r="I42" s="24" t="n">
        <f aca="false">IFERROR(AVERAGEIFS($H$7:$H$294,$B$7:$B$294,$B42,$A$7:$A$294,"&gt;="&amp;EDATE($A42,-12*'Seasonal Factors'!$E$4),$A$7:$A$294,"&lt;="&amp;EDATE($A42,12*'Seasonal Factors'!$E$4)),"")</f>
        <v>0.68809158754236</v>
      </c>
      <c r="J42" s="24" t="n">
        <f aca="false">IFERROR(I42/AVERAGE(I37:I48),"")</f>
        <v>0.701443297027659</v>
      </c>
      <c r="K42" s="23" t="n">
        <f aca="false">IF(ISNUMBER(Tabelle1!G49),(0.5*Tabelle1!G37+SUM(Tabelle1!G38:G48)+0.5*Tabelle1!G49)/12,"")</f>
        <v>104.333736666667</v>
      </c>
      <c r="L42" s="24" t="n">
        <f aca="false">IFERROR(Tabelle1!G43/K42,"")</f>
        <v>1.00631860177154</v>
      </c>
      <c r="M42" s="24" t="n">
        <f aca="false">IFERROR(AVERAGEIFS($L$7:$L$294,$B$7:$B$294,$B42,$A$7:$A$294,"&gt;="&amp;EDATE($A42,-12*'Seasonal Factors'!$E$4),$A$7:$A$294,"&lt;="&amp;EDATE($A42,12*'Seasonal Factors'!$E$4)),"")</f>
        <v>0.994467400242227</v>
      </c>
      <c r="N42" s="24" t="n">
        <f aca="false">IFERROR(M42/AVERAGE(M37:M48),"")</f>
        <v>0.995634187859324</v>
      </c>
      <c r="O42" s="23" t="n">
        <f aca="false">IF(ISNUMBER(Tabelle1!H49),(0.5*Tabelle1!H37+SUM(Tabelle1!H38:H48)+0.5*Tabelle1!H49)/12,"")</f>
        <v>120.68134375</v>
      </c>
      <c r="P42" s="24" t="n">
        <f aca="false">IFERROR(Tabelle1!H43/O42,"")</f>
        <v>0.992214258469425</v>
      </c>
      <c r="Q42" s="24" t="n">
        <f aca="false">IFERROR(AVERAGEIFS($P$7:$P$294,$B$7:$B$294,$B42,$A$7:$A$294,"&gt;="&amp;EDATE($A42,-12*'Seasonal Factors'!$E$4),$A$7:$A$294,"&lt;="&amp;EDATE($A42,12*'Seasonal Factors'!$E$4)),"")</f>
        <v>0.986231800500183</v>
      </c>
      <c r="R42" s="24" t="n">
        <f aca="false">IFERROR(Q42/AVERAGE(Q37:Q48),"")</f>
        <v>0.986469014065269</v>
      </c>
      <c r="S42" s="23" t="n">
        <f aca="false">IF(ISNUMBER(Tabelle1!I49),(0.5*Tabelle1!I37+SUM(Tabelle1!I38:I48)+0.5*Tabelle1!I49)/12,"")</f>
        <v>115.031851666667</v>
      </c>
      <c r="T42" s="24" t="n">
        <f aca="false">IFERROR(Tabelle1!I43/S42,"")</f>
        <v>1.03644302228118</v>
      </c>
      <c r="U42" s="24" t="n">
        <f aca="false">IFERROR(AVERAGEIFS($T$7:$T$294,$B$7:$B$294,$B42,$A$7:$A$294,"&gt;="&amp;EDATE($A42,-12*'Seasonal Factors'!$E$4),$A$7:$A$294,"&lt;="&amp;EDATE($A42,12*'Seasonal Factors'!$E$4)),"")</f>
        <v>1.00883669570893</v>
      </c>
      <c r="V42" s="24" t="n">
        <f aca="false">IFERROR(U42/AVERAGE(U37:U48),"")</f>
        <v>1.00924660202443</v>
      </c>
      <c r="W42" s="23" t="n">
        <f aca="false">IF(ISNUMBER(Tabelle1!J49),(0.5*Tabelle1!J37+SUM(Tabelle1!J38:J48)+0.5*Tabelle1!J49)/12,"")</f>
        <v>132.684092916667</v>
      </c>
      <c r="X42" s="24" t="n">
        <f aca="false">IFERROR(Tabelle1!J43/W42,"")</f>
        <v>0.971911682593275</v>
      </c>
      <c r="Y42" s="24" t="n">
        <f aca="false">IFERROR(AVERAGEIFS($X$7:$X$294,$B$7:$B$294,$B42,$A$7:$A$294,"&gt;="&amp;EDATE($A42,-12*'Seasonal Factors'!$E$4),$A$7:$A$294,"&lt;="&amp;EDATE($A42,12*'Seasonal Factors'!$E$4)),"")</f>
        <v>0.963418363706253</v>
      </c>
      <c r="Z42" s="24" t="n">
        <f aca="false">IFERROR(Y42/AVERAGE(Y37:Y48),"")</f>
        <v>0.964109888843932</v>
      </c>
      <c r="AA42" s="23" t="n">
        <f aca="false">IF(ISNUMBER(Tabelle1!K49),(0.5*Tabelle1!K37+SUM(Tabelle1!K38:K48)+0.5*Tabelle1!K49)/12,"")</f>
        <v>127.60084125</v>
      </c>
      <c r="AB42" s="24" t="n">
        <f aca="false">IFERROR(Tabelle1!K43/AA42,"")</f>
        <v>0.931839624529121</v>
      </c>
      <c r="AC42" s="24" t="n">
        <f aca="false">IFERROR(AVERAGEIFS($AB$7:$AB$294,$B$7:$B$294,$B42,$A$7:$A$294,"&gt;="&amp;EDATE($A42,-12*'Seasonal Factors'!$E$4),$A$7:$A$294,"&lt;="&amp;EDATE($A42,12*'Seasonal Factors'!$E$4)),"")</f>
        <v>0.944117976798628</v>
      </c>
      <c r="AD42" s="24" t="n">
        <f aca="false">IFERROR(AC42/AVERAGE(AC37:AC48),"")</f>
        <v>0.945292892211764</v>
      </c>
      <c r="AE42" s="23" t="n">
        <f aca="false">IF(ISNUMBER(Tabelle1!L49),(0.5*Tabelle1!L37+SUM(Tabelle1!L38:L48)+0.5*Tabelle1!L49)/12,"")</f>
        <v>132.126387916667</v>
      </c>
      <c r="AF42" s="24" t="n">
        <f aca="false">IFERROR(Tabelle1!L43/AE42,"")</f>
        <v>0.992510444489781</v>
      </c>
      <c r="AG42" s="24" t="n">
        <f aca="false">IFERROR(AVERAGEIFS($AF$7:$AF$294,$B$7:$B$294,$B42,$A$7:$A$294,"&gt;="&amp;EDATE($A42,-12*'Seasonal Factors'!$E$4),$A$7:$A$294,"&lt;="&amp;EDATE($A42,12*'Seasonal Factors'!$E$4)),"")</f>
        <v>1.00403294581235</v>
      </c>
      <c r="AH42" s="24" t="n">
        <f aca="false">IFERROR(AG42/AVERAGE(AG37:AG48),"")</f>
        <v>1.00414509814705</v>
      </c>
      <c r="AI42" s="23" t="n">
        <f aca="false">IF(ISNUMBER(Tabelle1!M49),(0.5*Tabelle1!M37+SUM(Tabelle1!M38:M48)+0.5*Tabelle1!M49)/12,"")</f>
        <v>137.186095833333</v>
      </c>
      <c r="AJ42" s="24" t="n">
        <f aca="false">IFERROR(Tabelle1!M43/AI42,"")</f>
        <v>0.987491474096485</v>
      </c>
      <c r="AK42" s="24" t="n">
        <f aca="false">IFERROR(AVERAGEIFS($AJ$7:$AJ$294,$B$7:$B$294,$B42,$A$7:$A$294,"&gt;="&amp;EDATE($A42,-12*'Seasonal Factors'!$E$4),$A$7:$A$294,"&lt;="&amp;EDATE($A42,12*'Seasonal Factors'!$E$4)),"")</f>
        <v>0.985294072747931</v>
      </c>
      <c r="AL42" s="24" t="n">
        <f aca="false">IFERROR(AK42/AVERAGE(AK37:AK48),"")</f>
        <v>0.985308058518602</v>
      </c>
      <c r="AM42" s="23" t="n">
        <f aca="false">IF(ISNUMBER(Tabelle1!N49),(0.5*Tabelle1!N37+SUM(Tabelle1!N38:N48)+0.5*Tabelle1!N49)/12,"")</f>
        <v>133.407389583333</v>
      </c>
      <c r="AN42" s="24" t="n">
        <f aca="false">IFERROR(Tabelle1!N43/AM42,"")</f>
        <v>1.02237050305825</v>
      </c>
      <c r="AO42" s="24" t="n">
        <f aca="false">IFERROR(AVERAGEIFS($AN$7:$AN$294,$B$7:$B$294,$B42,$A$7:$A$294,"&gt;="&amp;EDATE($A42,-12*'Seasonal Factors'!$E$4),$A$7:$A$294,"&lt;="&amp;EDATE($A42,12*'Seasonal Factors'!$E$4)),"")</f>
        <v>1.01514066831132</v>
      </c>
      <c r="AP42" s="24" t="n">
        <f aca="false">IFERROR(AO42/AVERAGE(AO37:AO48),"")</f>
        <v>1.01544855584429</v>
      </c>
      <c r="AQ42" s="23" t="n">
        <f aca="false">IF(ISNUMBER(Tabelle1!O49),(0.5*Tabelle1!O37+SUM(Tabelle1!O38:O48)+0.5*Tabelle1!O49)/12,"")</f>
        <v>115.510601666667</v>
      </c>
      <c r="AR42" s="24" t="n">
        <f aca="false">IFERROR(Tabelle1!O43/AQ42,"")</f>
        <v>1.04680607888214</v>
      </c>
      <c r="AS42" s="24" t="n">
        <f aca="false">IFERROR(AVERAGEIFS($AR$7:$AR$294,$B$7:$B$294,$B42,$A$7:$A$294,"&gt;="&amp;EDATE($A42,-12*'Seasonal Factors'!$E$4),$A$7:$A$294,"&lt;="&amp;EDATE($A42,12*'Seasonal Factors'!$E$4)),"")</f>
        <v>1.03817537986536</v>
      </c>
      <c r="AT42" s="24" t="n">
        <f aca="false">IFERROR(AS42/AVERAGE(AS37:AS48),"")</f>
        <v>1.03832411550611</v>
      </c>
      <c r="AU42" s="23" t="n">
        <f aca="false">IF(ISNUMBER(Tabelle1!P49),(0.5*Tabelle1!P37+SUM(Tabelle1!P38:P48)+0.5*Tabelle1!P49)/12,"")</f>
        <v>111.749232083333</v>
      </c>
      <c r="AV42" s="24" t="n">
        <f aca="false">IFERROR(Tabelle1!P43/AU42,"")</f>
        <v>1.00311874999201</v>
      </c>
      <c r="AW42" s="24" t="n">
        <f aca="false">IFERROR(AVERAGEIFS($AV$7:$AV$294,$B$7:$B$294,$B42,$A$7:$A$294,"&gt;="&amp;EDATE($A42,-12*'Seasonal Factors'!$E$4),$A$7:$A$294,"&lt;="&amp;EDATE($A42,12*'Seasonal Factors'!$E$4)),"")</f>
        <v>1.01391109561382</v>
      </c>
      <c r="AX42" s="24" t="n">
        <f aca="false">IFERROR(AW42/AVERAGE(AW37:AW48),"")</f>
        <v>1.01401297358525</v>
      </c>
      <c r="AY42" s="23" t="n">
        <f aca="false">IF(ISNUMBER(Tabelle1!Q49),(0.5*Tabelle1!Q37+SUM(Tabelle1!Q38:Q48)+0.5*Tabelle1!Q49)/12,"")</f>
        <v>113.56334</v>
      </c>
      <c r="AZ42" s="24" t="n">
        <f aca="false">IFERROR(Tabelle1!Q43/AY42,"")</f>
        <v>1.01291561167539</v>
      </c>
      <c r="BA42" s="24" t="n">
        <f aca="false">IFERROR(AVERAGEIFS($AZ$7:$AZ$294,$B$7:$B$294,$B42,$A$7:$A$294,"&gt;="&amp;EDATE($A42,-12*'Seasonal Factors'!$E$4),$A$7:$A$294,"&lt;="&amp;EDATE($A42,12*'Seasonal Factors'!$E$4)),"")</f>
        <v>1.01912864072313</v>
      </c>
      <c r="BB42" s="24" t="n">
        <f aca="false">IFERROR(BA42/AVERAGE(BA37:BA48),"")</f>
        <v>1.01928370753432</v>
      </c>
      <c r="BC42" s="23" t="n">
        <f aca="false">IF(ISNUMBER(Tabelle1!R49),(0.5*Tabelle1!R37+SUM(Tabelle1!R38:R48)+0.5*Tabelle1!R49)/12,"")</f>
        <v>116.136648333333</v>
      </c>
      <c r="BD42" s="24" t="n">
        <f aca="false">IFERROR(Tabelle1!R43/BC42,"")</f>
        <v>0.940808535186905</v>
      </c>
      <c r="BE42" s="24" t="n">
        <f aca="false">IFERROR(AVERAGEIFS($BD$7:$BD$294,$B$7:$B$294,$B42,$A$7:$A$294,"&gt;="&amp;EDATE($A42,-12*'Seasonal Factors'!$E$4),$A$7:$A$294,"&lt;="&amp;EDATE($A42,12*'Seasonal Factors'!$E$4)),"")</f>
        <v>0.93541080520184</v>
      </c>
      <c r="BF42" s="24" t="n">
        <f aca="false">IFERROR(BE42/AVERAGE(BE37:BE48),"")</f>
        <v>0.934514543387677</v>
      </c>
      <c r="BG42" s="23" t="n">
        <f aca="false">IF(ISNUMBER(Tabelle1!S49),(0.5*Tabelle1!S37+SUM(Tabelle1!S38:S48)+0.5*Tabelle1!S49)/12,"")</f>
        <v>125.942164583333</v>
      </c>
      <c r="BH42" s="24" t="n">
        <f aca="false">IFERROR(Tabelle1!S43/BG42,"")</f>
        <v>0.977558154628483</v>
      </c>
      <c r="BI42" s="24" t="n">
        <f aca="false">IFERROR(AVERAGEIFS($BH$7:$BH$294,$B$7:$B$294,$B42,$A$7:$A$294,"&gt;="&amp;EDATE($A42,-12*'Seasonal Factors'!$E$4),$A$7:$A$294,"&lt;="&amp;EDATE($A42,12*'Seasonal Factors'!$E$4)),"")</f>
        <v>0.982972151729623</v>
      </c>
      <c r="BJ42" s="24" t="n">
        <f aca="false">IFERROR(BI42/AVERAGE(BI37:BI48),"")</f>
        <v>0.982361755717249</v>
      </c>
    </row>
    <row r="43" customFormat="false" ht="15" hidden="false" customHeight="false" outlineLevel="0" collapsed="false">
      <c r="A43" s="20" t="n">
        <v>39113</v>
      </c>
      <c r="B43" s="22" t="n">
        <f aca="false">MONTH(A43)</f>
        <v>1</v>
      </c>
      <c r="C43" s="23" t="n">
        <f aca="false">IF(ISNUMBER(Tabelle1!E50),(0.5*Tabelle1!E38+SUM(Tabelle1!E39:E49)+0.5*Tabelle1!E50)/12,"")</f>
        <v>127.63007</v>
      </c>
      <c r="D43" s="24" t="n">
        <f aca="false">IFERROR(Tabelle1!E44/C43,"")</f>
        <v>0.547737535519647</v>
      </c>
      <c r="E43" s="24" t="n">
        <f aca="false">IFERROR(AVERAGEIFS($D$7:$D$294,$B$7:$B$294,$B43,$A$7:$A$294,"&gt;="&amp;EDATE($A43,-12*'Seasonal Factors'!$E$4),$A$7:$A$294,"&lt;="&amp;EDATE($A43,12*'Seasonal Factors'!$E$4)),"")</f>
        <v>0.549831184281126</v>
      </c>
      <c r="F43" s="24" t="n">
        <f aca="false">IFERROR(E43/AVERAGE(E38:E49),"")</f>
        <v>0.547831342708003</v>
      </c>
      <c r="G43" s="23" t="n">
        <f aca="false">IF(ISNUMBER(Tabelle1!F50),(0.5*Tabelle1!F38+SUM(Tabelle1!F39:F49)+0.5*Tabelle1!F50)/12,"")</f>
        <v>144.831562916667</v>
      </c>
      <c r="H43" s="24" t="n">
        <f aca="false">IFERROR(Tabelle1!F44/G43,"")</f>
        <v>0.351356630938794</v>
      </c>
      <c r="I43" s="24" t="n">
        <f aca="false">IFERROR(AVERAGEIFS($H$7:$H$294,$B$7:$B$294,$B43,$A$7:$A$294,"&gt;="&amp;EDATE($A43,-12*'Seasonal Factors'!$E$4),$A$7:$A$294,"&lt;="&amp;EDATE($A43,12*'Seasonal Factors'!$E$4)),"")</f>
        <v>0.312318247259795</v>
      </c>
      <c r="J43" s="24" t="n">
        <f aca="false">IFERROR(I43/AVERAGE(I38:I49),"")</f>
        <v>0.317699943422984</v>
      </c>
      <c r="K43" s="23" t="n">
        <f aca="false">IF(ISNUMBER(Tabelle1!G50),(0.5*Tabelle1!G38+SUM(Tabelle1!G39:G49)+0.5*Tabelle1!G50)/12,"")</f>
        <v>103.85194875</v>
      </c>
      <c r="L43" s="24" t="n">
        <f aca="false">IFERROR(Tabelle1!G44/K43,"")</f>
        <v>0.984145326401494</v>
      </c>
      <c r="M43" s="24" t="n">
        <f aca="false">IFERROR(AVERAGEIFS($L$7:$L$294,$B$7:$B$294,$B43,$A$7:$A$294,"&gt;="&amp;EDATE($A43,-12*'Seasonal Factors'!$E$4),$A$7:$A$294,"&lt;="&amp;EDATE($A43,12*'Seasonal Factors'!$E$4)),"")</f>
        <v>1.008664255188</v>
      </c>
      <c r="N43" s="24" t="n">
        <f aca="false">IFERROR(M43/AVERAGE(M38:M49),"")</f>
        <v>1.01002382334047</v>
      </c>
      <c r="O43" s="23" t="n">
        <f aca="false">IF(ISNUMBER(Tabelle1!H50),(0.5*Tabelle1!H38+SUM(Tabelle1!H39:H49)+0.5*Tabelle1!H50)/12,"")</f>
        <v>121.087017083333</v>
      </c>
      <c r="P43" s="24" t="n">
        <f aca="false">IFERROR(Tabelle1!H44/O43,"")</f>
        <v>0.907877926535621</v>
      </c>
      <c r="Q43" s="24" t="n">
        <f aca="false">IFERROR(AVERAGEIFS($P$7:$P$294,$B$7:$B$294,$B43,$A$7:$A$294,"&gt;="&amp;EDATE($A43,-12*'Seasonal Factors'!$E$4),$A$7:$A$294,"&lt;="&amp;EDATE($A43,12*'Seasonal Factors'!$E$4)),"")</f>
        <v>0.909423458412549</v>
      </c>
      <c r="R43" s="24" t="n">
        <f aca="false">IFERROR(Q43/AVERAGE(Q38:Q49),"")</f>
        <v>0.909592848231519</v>
      </c>
      <c r="S43" s="23" t="n">
        <f aca="false">IF(ISNUMBER(Tabelle1!I50),(0.5*Tabelle1!I38+SUM(Tabelle1!I39:I49)+0.5*Tabelle1!I50)/12,"")</f>
        <v>115.1185275</v>
      </c>
      <c r="T43" s="24" t="n">
        <f aca="false">IFERROR(Tabelle1!I44/S43,"")</f>
        <v>1.01248089713448</v>
      </c>
      <c r="U43" s="24" t="n">
        <f aca="false">IFERROR(AVERAGEIFS($T$7:$T$294,$B$7:$B$294,$B43,$A$7:$A$294,"&gt;="&amp;EDATE($A43,-12*'Seasonal Factors'!$E$4),$A$7:$A$294,"&lt;="&amp;EDATE($A43,12*'Seasonal Factors'!$E$4)),"")</f>
        <v>1.0391030541875</v>
      </c>
      <c r="V43" s="24" t="n">
        <f aca="false">IFERROR(U43/AVERAGE(U38:U49),"")</f>
        <v>1.03948809086409</v>
      </c>
      <c r="W43" s="23" t="n">
        <f aca="false">IF(ISNUMBER(Tabelle1!J50),(0.5*Tabelle1!J38+SUM(Tabelle1!J39:J49)+0.5*Tabelle1!J50)/12,"")</f>
        <v>133.899380416667</v>
      </c>
      <c r="X43" s="24" t="n">
        <f aca="false">IFERROR(Tabelle1!J44/W43,"")</f>
        <v>1.01383023265358</v>
      </c>
      <c r="Y43" s="24" t="n">
        <f aca="false">IFERROR(AVERAGEIFS($X$7:$X$294,$B$7:$B$294,$B43,$A$7:$A$294,"&gt;="&amp;EDATE($A43,-12*'Seasonal Factors'!$E$4),$A$7:$A$294,"&lt;="&amp;EDATE($A43,12*'Seasonal Factors'!$E$4)),"")</f>
        <v>0.996820807932484</v>
      </c>
      <c r="Z43" s="24" t="n">
        <f aca="false">IFERROR(Y43/AVERAGE(Y38:Y49),"")</f>
        <v>0.997334977212562</v>
      </c>
      <c r="AA43" s="23" t="n">
        <f aca="false">IF(ISNUMBER(Tabelle1!K50),(0.5*Tabelle1!K38+SUM(Tabelle1!K39:K49)+0.5*Tabelle1!K50)/12,"")</f>
        <v>128.72367875</v>
      </c>
      <c r="AB43" s="24" t="n">
        <f aca="false">IFERROR(Tabelle1!K44/AA43,"")</f>
        <v>0.949624740273359</v>
      </c>
      <c r="AC43" s="24" t="n">
        <f aca="false">IFERROR(AVERAGEIFS($AB$7:$AB$294,$B$7:$B$294,$B43,$A$7:$A$294,"&gt;="&amp;EDATE($A43,-12*'Seasonal Factors'!$E$4),$A$7:$A$294,"&lt;="&amp;EDATE($A43,12*'Seasonal Factors'!$E$4)),"")</f>
        <v>0.932145673688928</v>
      </c>
      <c r="AD43" s="24" t="n">
        <f aca="false">IFERROR(AC43/AVERAGE(AC38:AC49),"")</f>
        <v>0.933459865699578</v>
      </c>
      <c r="AE43" s="23" t="n">
        <f aca="false">IF(ISNUMBER(Tabelle1!L50),(0.5*Tabelle1!L38+SUM(Tabelle1!L39:L49)+0.5*Tabelle1!L50)/12,"")</f>
        <v>133.092514583333</v>
      </c>
      <c r="AF43" s="24" t="n">
        <f aca="false">IFERROR(Tabelle1!L44/AE43,"")</f>
        <v>1.11882265104222</v>
      </c>
      <c r="AG43" s="24" t="n">
        <f aca="false">IFERROR(AVERAGEIFS($AF$7:$AF$294,$B$7:$B$294,$B43,$A$7:$A$294,"&gt;="&amp;EDATE($A43,-12*'Seasonal Factors'!$E$4),$A$7:$A$294,"&lt;="&amp;EDATE($A43,12*'Seasonal Factors'!$E$4)),"")</f>
        <v>1.10356159225454</v>
      </c>
      <c r="AH43" s="24" t="n">
        <f aca="false">IFERROR(AG43/AVERAGE(AG38:AG49),"")</f>
        <v>1.10340008881916</v>
      </c>
      <c r="AI43" s="23" t="n">
        <f aca="false">IF(ISNUMBER(Tabelle1!M50),(0.5*Tabelle1!M38+SUM(Tabelle1!M39:M49)+0.5*Tabelle1!M50)/12,"")</f>
        <v>138.707017916667</v>
      </c>
      <c r="AJ43" s="24" t="n">
        <f aca="false">IFERROR(Tabelle1!M44/AI43,"")</f>
        <v>0.984857161892641</v>
      </c>
      <c r="AK43" s="24" t="n">
        <f aca="false">IFERROR(AVERAGEIFS($AJ$7:$AJ$294,$B$7:$B$294,$B43,$A$7:$A$294,"&gt;="&amp;EDATE($A43,-12*'Seasonal Factors'!$E$4),$A$7:$A$294,"&lt;="&amp;EDATE($A43,12*'Seasonal Factors'!$E$4)),"")</f>
        <v>0.984750003946458</v>
      </c>
      <c r="AL43" s="24" t="n">
        <f aca="false">IFERROR(AK43/AVERAGE(AK38:AK49),"")</f>
        <v>0.984800450736572</v>
      </c>
      <c r="AM43" s="23" t="n">
        <f aca="false">IF(ISNUMBER(Tabelle1!N50),(0.5*Tabelle1!N38+SUM(Tabelle1!N39:N49)+0.5*Tabelle1!N50)/12,"")</f>
        <v>134.98703625</v>
      </c>
      <c r="AN43" s="24" t="n">
        <f aca="false">IFERROR(Tabelle1!N44/AM43,"")</f>
        <v>1.04424005382961</v>
      </c>
      <c r="AO43" s="24" t="n">
        <f aca="false">IFERROR(AVERAGEIFS($AN$7:$AN$294,$B$7:$B$294,$B43,$A$7:$A$294,"&gt;="&amp;EDATE($A43,-12*'Seasonal Factors'!$E$4),$A$7:$A$294,"&lt;="&amp;EDATE($A43,12*'Seasonal Factors'!$E$4)),"")</f>
        <v>1.02026892718601</v>
      </c>
      <c r="AP43" s="24" t="n">
        <f aca="false">IFERROR(AO43/AVERAGE(AO38:AO49),"")</f>
        <v>1.02069782941658</v>
      </c>
      <c r="AQ43" s="23" t="n">
        <f aca="false">IF(ISNUMBER(Tabelle1!O50),(0.5*Tabelle1!O38+SUM(Tabelle1!O39:O49)+0.5*Tabelle1!O50)/12,"")</f>
        <v>116.05599625</v>
      </c>
      <c r="AR43" s="24" t="n">
        <f aca="false">IFERROR(Tabelle1!O44/AQ43,"")</f>
        <v>0.942983503965225</v>
      </c>
      <c r="AS43" s="24" t="n">
        <f aca="false">IFERROR(AVERAGEIFS($AR$7:$AR$294,$B$7:$B$294,$B43,$A$7:$A$294,"&gt;="&amp;EDATE($A43,-12*'Seasonal Factors'!$E$4),$A$7:$A$294,"&lt;="&amp;EDATE($A43,12*'Seasonal Factors'!$E$4)),"")</f>
        <v>0.946177059856425</v>
      </c>
      <c r="AT43" s="24" t="n">
        <f aca="false">IFERROR(AS43/AVERAGE(AS38:AS49),"")</f>
        <v>0.946298700780579</v>
      </c>
      <c r="AU43" s="23" t="n">
        <f aca="false">IF(ISNUMBER(Tabelle1!P50),(0.5*Tabelle1!P38+SUM(Tabelle1!P39:P49)+0.5*Tabelle1!P50)/12,"")</f>
        <v>112.28352375</v>
      </c>
      <c r="AV43" s="24" t="n">
        <f aca="false">IFERROR(Tabelle1!P44/AU43,"")</f>
        <v>0.996620842156283</v>
      </c>
      <c r="AW43" s="24" t="n">
        <f aca="false">IFERROR(AVERAGEIFS($AV$7:$AV$294,$B$7:$B$294,$B43,$A$7:$A$294,"&gt;="&amp;EDATE($A43,-12*'Seasonal Factors'!$E$4),$A$7:$A$294,"&lt;="&amp;EDATE($A43,12*'Seasonal Factors'!$E$4)),"")</f>
        <v>0.989495766692488</v>
      </c>
      <c r="AX43" s="24" t="n">
        <f aca="false">IFERROR(AW43/AVERAGE(AW38:AW49),"")</f>
        <v>0.989560250146139</v>
      </c>
      <c r="AY43" s="23" t="n">
        <f aca="false">IF(ISNUMBER(Tabelle1!Q50),(0.5*Tabelle1!Q38+SUM(Tabelle1!Q39:Q49)+0.5*Tabelle1!Q50)/12,"")</f>
        <v>114.125029166667</v>
      </c>
      <c r="AZ43" s="24" t="n">
        <f aca="false">IFERROR(Tabelle1!Q44/AY43,"")</f>
        <v>0.983041851723514</v>
      </c>
      <c r="BA43" s="24" t="n">
        <f aca="false">IFERROR(AVERAGEIFS($AZ$7:$AZ$294,$B$7:$B$294,$B43,$A$7:$A$294,"&gt;="&amp;EDATE($A43,-12*'Seasonal Factors'!$E$4),$A$7:$A$294,"&lt;="&amp;EDATE($A43,12*'Seasonal Factors'!$E$4)),"")</f>
        <v>0.975960147119156</v>
      </c>
      <c r="BB43" s="24" t="n">
        <f aca="false">IFERROR(BA43/AVERAGE(BA38:BA49),"")</f>
        <v>0.976095663372647</v>
      </c>
      <c r="BC43" s="23" t="n">
        <f aca="false">IF(ISNUMBER(Tabelle1!R50),(0.5*Tabelle1!R38+SUM(Tabelle1!R39:R49)+0.5*Tabelle1!R50)/12,"")</f>
        <v>116.772334166667</v>
      </c>
      <c r="BD43" s="24" t="n">
        <f aca="false">IFERROR(Tabelle1!R44/BC43,"")</f>
        <v>0.979676657286995</v>
      </c>
      <c r="BE43" s="24" t="n">
        <f aca="false">IFERROR(AVERAGEIFS($BD$7:$BD$294,$B$7:$B$294,$B43,$A$7:$A$294,"&gt;="&amp;EDATE($A43,-12*'Seasonal Factors'!$E$4),$A$7:$A$294,"&lt;="&amp;EDATE($A43,12*'Seasonal Factors'!$E$4)),"")</f>
        <v>0.980846369337739</v>
      </c>
      <c r="BF43" s="24" t="n">
        <f aca="false">IFERROR(BE43/AVERAGE(BE38:BE49),"")</f>
        <v>0.979918236595159</v>
      </c>
      <c r="BG43" s="23" t="n">
        <f aca="false">IF(ISNUMBER(Tabelle1!S50),(0.5*Tabelle1!S38+SUM(Tabelle1!S39:S49)+0.5*Tabelle1!S50)/12,"")</f>
        <v>127.0392875</v>
      </c>
      <c r="BH43" s="24" t="n">
        <f aca="false">IFERROR(Tabelle1!S44/BG43,"")</f>
        <v>1.03021201216986</v>
      </c>
      <c r="BI43" s="24" t="n">
        <f aca="false">IFERROR(AVERAGEIFS($BH$7:$BH$294,$B$7:$B$294,$B43,$A$7:$A$294,"&gt;="&amp;EDATE($A43,-12*'Seasonal Factors'!$E$4),$A$7:$A$294,"&lt;="&amp;EDATE($A43,12*'Seasonal Factors'!$E$4)),"")</f>
        <v>1.01536284769192</v>
      </c>
      <c r="BJ43" s="24" t="n">
        <f aca="false">IFERROR(BI43/AVERAGE(BI38:BI49),"")</f>
        <v>1.01486353817238</v>
      </c>
    </row>
    <row r="44" customFormat="false" ht="15" hidden="false" customHeight="false" outlineLevel="0" collapsed="false">
      <c r="A44" s="20" t="n">
        <v>39141</v>
      </c>
      <c r="B44" s="22" t="n">
        <f aca="false">MONTH(A44)</f>
        <v>2</v>
      </c>
      <c r="C44" s="23" t="n">
        <f aca="false">IF(ISNUMBER(Tabelle1!E51),(0.5*Tabelle1!E39+SUM(Tabelle1!E40:E50)+0.5*Tabelle1!E51)/12,"")</f>
        <v>127.8352075</v>
      </c>
      <c r="D44" s="24" t="n">
        <f aca="false">IFERROR(Tabelle1!E45/C44,"")</f>
        <v>0.545821541377793</v>
      </c>
      <c r="E44" s="24" t="n">
        <f aca="false">IFERROR(AVERAGEIFS($D$7:$D$294,$B$7:$B$294,$B44,$A$7:$A$294,"&gt;="&amp;EDATE($A44,-12*'Seasonal Factors'!$E$4),$A$7:$A$294,"&lt;="&amp;EDATE($A44,12*'Seasonal Factors'!$E$4)),"")</f>
        <v>0.570042492454804</v>
      </c>
      <c r="F44" s="24" t="n">
        <f aca="false">IFERROR(E44/AVERAGE(E39:E50),"")</f>
        <v>0.568202471101967</v>
      </c>
      <c r="G44" s="23" t="n">
        <f aca="false">IF(ISNUMBER(Tabelle1!F51),(0.5*Tabelle1!F39+SUM(Tabelle1!F40:F50)+0.5*Tabelle1!F51)/12,"")</f>
        <v>142.670960416667</v>
      </c>
      <c r="H44" s="24" t="n">
        <f aca="false">IFERROR(Tabelle1!F45/G44,"")</f>
        <v>0.504716094920099</v>
      </c>
      <c r="I44" s="24" t="n">
        <f aca="false">IFERROR(AVERAGEIFS($H$7:$H$294,$B$7:$B$294,$B44,$A$7:$A$294,"&gt;="&amp;EDATE($A44,-12*'Seasonal Factors'!$E$4),$A$7:$A$294,"&lt;="&amp;EDATE($A44,12*'Seasonal Factors'!$E$4)),"")</f>
        <v>0.657916643453324</v>
      </c>
      <c r="J44" s="24" t="n">
        <f aca="false">IFERROR(I44/AVERAGE(I39:I50),"")</f>
        <v>0.6664824786001</v>
      </c>
      <c r="K44" s="23" t="n">
        <f aca="false">IF(ISNUMBER(Tabelle1!G51),(0.5*Tabelle1!G39+SUM(Tabelle1!G40:G50)+0.5*Tabelle1!G51)/12,"")</f>
        <v>103.429376666667</v>
      </c>
      <c r="L44" s="24" t="n">
        <f aca="false">IFERROR(Tabelle1!G45/K44,"")</f>
        <v>0.913159230422382</v>
      </c>
      <c r="M44" s="24" t="n">
        <f aca="false">IFERROR(AVERAGEIFS($L$7:$L$294,$B$7:$B$294,$B44,$A$7:$A$294,"&gt;="&amp;EDATE($A44,-12*'Seasonal Factors'!$E$4),$A$7:$A$294,"&lt;="&amp;EDATE($A44,12*'Seasonal Factors'!$E$4)),"")</f>
        <v>0.942937437187462</v>
      </c>
      <c r="N44" s="24" t="n">
        <f aca="false">IFERROR(M44/AVERAGE(M39:M50),"")</f>
        <v>0.943866581321181</v>
      </c>
      <c r="O44" s="23" t="n">
        <f aca="false">IF(ISNUMBER(Tabelle1!H51),(0.5*Tabelle1!H39+SUM(Tabelle1!H40:H50)+0.5*Tabelle1!H51)/12,"")</f>
        <v>121.548964583333</v>
      </c>
      <c r="P44" s="24" t="n">
        <f aca="false">IFERROR(Tabelle1!H45/O44,"")</f>
        <v>0.902504767326021</v>
      </c>
      <c r="Q44" s="24" t="n">
        <f aca="false">IFERROR(AVERAGEIFS($P$7:$P$294,$B$7:$B$294,$B44,$A$7:$A$294,"&gt;="&amp;EDATE($A44,-12*'Seasonal Factors'!$E$4),$A$7:$A$294,"&lt;="&amp;EDATE($A44,12*'Seasonal Factors'!$E$4)),"")</f>
        <v>0.886360259339758</v>
      </c>
      <c r="R44" s="24" t="n">
        <f aca="false">IFERROR(Q44/AVERAGE(Q39:Q50),"")</f>
        <v>0.886343471290717</v>
      </c>
      <c r="S44" s="23" t="n">
        <f aca="false">IF(ISNUMBER(Tabelle1!I51),(0.5*Tabelle1!I39+SUM(Tabelle1!I40:I50)+0.5*Tabelle1!I51)/12,"")</f>
        <v>115.039765833333</v>
      </c>
      <c r="T44" s="24" t="n">
        <f aca="false">IFERROR(Tabelle1!I45/S44,"")</f>
        <v>0.96224674309903</v>
      </c>
      <c r="U44" s="24" t="n">
        <f aca="false">IFERROR(AVERAGEIFS($T$7:$T$294,$B$7:$B$294,$B44,$A$7:$A$294,"&gt;="&amp;EDATE($A44,-12*'Seasonal Factors'!$E$4),$A$7:$A$294,"&lt;="&amp;EDATE($A44,12*'Seasonal Factors'!$E$4)),"")</f>
        <v>0.963772449729293</v>
      </c>
      <c r="V44" s="24" t="n">
        <f aca="false">IFERROR(U44/AVERAGE(U39:U50),"")</f>
        <v>0.964140961626493</v>
      </c>
      <c r="W44" s="23" t="n">
        <f aca="false">IF(ISNUMBER(Tabelle1!J51),(0.5*Tabelle1!J39+SUM(Tabelle1!J40:J50)+0.5*Tabelle1!J51)/12,"")</f>
        <v>135.237083333333</v>
      </c>
      <c r="X44" s="24" t="n">
        <f aca="false">IFERROR(Tabelle1!J45/W44,"")</f>
        <v>1.02632455964679</v>
      </c>
      <c r="Y44" s="24" t="n">
        <f aca="false">IFERROR(AVERAGEIFS($X$7:$X$294,$B$7:$B$294,$B44,$A$7:$A$294,"&gt;="&amp;EDATE($A44,-12*'Seasonal Factors'!$E$4),$A$7:$A$294,"&lt;="&amp;EDATE($A44,12*'Seasonal Factors'!$E$4)),"")</f>
        <v>1.00970599129396</v>
      </c>
      <c r="Z44" s="24" t="n">
        <f aca="false">IFERROR(Y44/AVERAGE(Y39:Y50),"")</f>
        <v>1.00999605746224</v>
      </c>
      <c r="AA44" s="23" t="n">
        <f aca="false">IF(ISNUMBER(Tabelle1!K51),(0.5*Tabelle1!K39+SUM(Tabelle1!K40:K50)+0.5*Tabelle1!K51)/12,"")</f>
        <v>129.929773333333</v>
      </c>
      <c r="AB44" s="24" t="n">
        <f aca="false">IFERROR(Tabelle1!K45/AA44,"")</f>
        <v>0.927100054973287</v>
      </c>
      <c r="AC44" s="24" t="n">
        <f aca="false">IFERROR(AVERAGEIFS($AB$7:$AB$294,$B$7:$B$294,$B44,$A$7:$A$294,"&gt;="&amp;EDATE($A44,-12*'Seasonal Factors'!$E$4),$A$7:$A$294,"&lt;="&amp;EDATE($A44,12*'Seasonal Factors'!$E$4)),"")</f>
        <v>0.914613733886806</v>
      </c>
      <c r="AD44" s="24" t="n">
        <f aca="false">IFERROR(AC44/AVERAGE(AC39:AC50),"")</f>
        <v>0.915458950757671</v>
      </c>
      <c r="AE44" s="23" t="n">
        <f aca="false">IF(ISNUMBER(Tabelle1!L51),(0.5*Tabelle1!L39+SUM(Tabelle1!L40:L50)+0.5*Tabelle1!L51)/12,"")</f>
        <v>133.988302083333</v>
      </c>
      <c r="AF44" s="24" t="n">
        <f aca="false">IFERROR(Tabelle1!L45/AE44,"")</f>
        <v>1.08324575909417</v>
      </c>
      <c r="AG44" s="24" t="n">
        <f aca="false">IFERROR(AVERAGEIFS($AF$7:$AF$294,$B$7:$B$294,$B44,$A$7:$A$294,"&gt;="&amp;EDATE($A44,-12*'Seasonal Factors'!$E$4),$A$7:$A$294,"&lt;="&amp;EDATE($A44,12*'Seasonal Factors'!$E$4)),"")</f>
        <v>1.05161428243815</v>
      </c>
      <c r="AH44" s="24" t="n">
        <f aca="false">IFERROR(AG44/AVERAGE(AG39:AG50),"")</f>
        <v>1.05141571734449</v>
      </c>
      <c r="AI44" s="23" t="n">
        <f aca="false">IF(ISNUMBER(Tabelle1!M51),(0.5*Tabelle1!M39+SUM(Tabelle1!M40:M50)+0.5*Tabelle1!M51)/12,"")</f>
        <v>140.105950416667</v>
      </c>
      <c r="AJ44" s="24" t="n">
        <f aca="false">IFERROR(Tabelle1!M45/AI44,"")</f>
        <v>0.933307326427764</v>
      </c>
      <c r="AK44" s="24" t="n">
        <f aca="false">IFERROR(AVERAGEIFS($AJ$7:$AJ$294,$B$7:$B$294,$B44,$A$7:$A$294,"&gt;="&amp;EDATE($A44,-12*'Seasonal Factors'!$E$4),$A$7:$A$294,"&lt;="&amp;EDATE($A44,12*'Seasonal Factors'!$E$4)),"")</f>
        <v>0.939158049908188</v>
      </c>
      <c r="AL44" s="24" t="n">
        <f aca="false">IFERROR(AK44/AVERAGE(AK39:AK50),"")</f>
        <v>0.93907964175758</v>
      </c>
      <c r="AM44" s="23" t="n">
        <f aca="false">IF(ISNUMBER(Tabelle1!N51),(0.5*Tabelle1!N39+SUM(Tabelle1!N40:N50)+0.5*Tabelle1!N51)/12,"")</f>
        <v>136.520640416667</v>
      </c>
      <c r="AN44" s="24" t="n">
        <f aca="false">IFERROR(Tabelle1!N45/AM44,"")</f>
        <v>0.982597133961462</v>
      </c>
      <c r="AO44" s="24" t="n">
        <f aca="false">IFERROR(AVERAGEIFS($AN$7:$AN$294,$B$7:$B$294,$B44,$A$7:$A$294,"&gt;="&amp;EDATE($A44,-12*'Seasonal Factors'!$E$4),$A$7:$A$294,"&lt;="&amp;EDATE($A44,12*'Seasonal Factors'!$E$4)),"")</f>
        <v>0.975367585777856</v>
      </c>
      <c r="AP44" s="24" t="n">
        <f aca="false">IFERROR(AO44/AVERAGE(AO39:AO50),"")</f>
        <v>0.9755403586341</v>
      </c>
      <c r="AQ44" s="23" t="n">
        <f aca="false">IF(ISNUMBER(Tabelle1!O51),(0.5*Tabelle1!O39+SUM(Tabelle1!O40:O50)+0.5*Tabelle1!O51)/12,"")</f>
        <v>116.667475416667</v>
      </c>
      <c r="AR44" s="24" t="n">
        <f aca="false">IFERROR(Tabelle1!O45/AQ44,"")</f>
        <v>0.952164942313739</v>
      </c>
      <c r="AS44" s="24" t="n">
        <f aca="false">IFERROR(AVERAGEIFS($AR$7:$AR$294,$B$7:$B$294,$B44,$A$7:$A$294,"&gt;="&amp;EDATE($A44,-12*'Seasonal Factors'!$E$4),$A$7:$A$294,"&lt;="&amp;EDATE($A44,12*'Seasonal Factors'!$E$4)),"")</f>
        <v>0.960838589407933</v>
      </c>
      <c r="AT44" s="24" t="n">
        <f aca="false">IFERROR(AS44/AVERAGE(AS39:AS50),"")</f>
        <v>0.960903010430484</v>
      </c>
      <c r="AU44" s="23" t="n">
        <f aca="false">IF(ISNUMBER(Tabelle1!P51),(0.5*Tabelle1!P39+SUM(Tabelle1!P40:P50)+0.5*Tabelle1!P51)/12,"")</f>
        <v>112.766965833333</v>
      </c>
      <c r="AV44" s="24" t="n">
        <f aca="false">IFERROR(Tabelle1!P45/AU44,"")</f>
        <v>0.998168206160316</v>
      </c>
      <c r="AW44" s="24" t="n">
        <f aca="false">IFERROR(AVERAGEIFS($AV$7:$AV$294,$B$7:$B$294,$B44,$A$7:$A$294,"&gt;="&amp;EDATE($A44,-12*'Seasonal Factors'!$E$4),$A$7:$A$294,"&lt;="&amp;EDATE($A44,12*'Seasonal Factors'!$E$4)),"")</f>
        <v>0.996036503510401</v>
      </c>
      <c r="AX44" s="24" t="n">
        <f aca="false">IFERROR(AW44/AVERAGE(AW39:AW50),"")</f>
        <v>0.996047826600981</v>
      </c>
      <c r="AY44" s="23" t="n">
        <f aca="false">IF(ISNUMBER(Tabelle1!Q51),(0.5*Tabelle1!Q39+SUM(Tabelle1!Q40:Q50)+0.5*Tabelle1!Q51)/12,"")</f>
        <v>114.67632625</v>
      </c>
      <c r="AZ44" s="24" t="n">
        <f aca="false">IFERROR(Tabelle1!Q45/AY44,"")</f>
        <v>0.983021724590693</v>
      </c>
      <c r="BA44" s="24" t="n">
        <f aca="false">IFERROR(AVERAGEIFS($AZ$7:$AZ$294,$B$7:$B$294,$B44,$A$7:$A$294,"&gt;="&amp;EDATE($A44,-12*'Seasonal Factors'!$E$4),$A$7:$A$294,"&lt;="&amp;EDATE($A44,12*'Seasonal Factors'!$E$4)),"")</f>
        <v>0.980668992852578</v>
      </c>
      <c r="BB44" s="24" t="n">
        <f aca="false">IFERROR(BA44/AVERAGE(BA39:BA50),"")</f>
        <v>0.98076307002237</v>
      </c>
      <c r="BC44" s="23" t="n">
        <f aca="false">IF(ISNUMBER(Tabelle1!R51),(0.5*Tabelle1!R39+SUM(Tabelle1!R40:R50)+0.5*Tabelle1!R51)/12,"")</f>
        <v>117.308180416667</v>
      </c>
      <c r="BD44" s="24" t="n">
        <f aca="false">IFERROR(Tabelle1!R45/BC44,"")</f>
        <v>0.935728093387122</v>
      </c>
      <c r="BE44" s="24" t="n">
        <f aca="false">IFERROR(AVERAGEIFS($BD$7:$BD$294,$B$7:$B$294,$B44,$A$7:$A$294,"&gt;="&amp;EDATE($A44,-12*'Seasonal Factors'!$E$4),$A$7:$A$294,"&lt;="&amp;EDATE($A44,12*'Seasonal Factors'!$E$4)),"")</f>
        <v>0.929386828128792</v>
      </c>
      <c r="BF44" s="24" t="n">
        <f aca="false">IFERROR(BE44/AVERAGE(BE39:BE50),"")</f>
        <v>0.928777920068978</v>
      </c>
      <c r="BG44" s="23" t="n">
        <f aca="false">IF(ISNUMBER(Tabelle1!S51),(0.5*Tabelle1!S39+SUM(Tabelle1!S40:S50)+0.5*Tabelle1!S51)/12,"")</f>
        <v>128.123345</v>
      </c>
      <c r="BH44" s="24" t="n">
        <f aca="false">IFERROR(Tabelle1!S45/BG44,"")</f>
        <v>1.00208092444043</v>
      </c>
      <c r="BI44" s="24" t="n">
        <f aca="false">IFERROR(AVERAGEIFS($BH$7:$BH$294,$B$7:$B$294,$B44,$A$7:$A$294,"&gt;="&amp;EDATE($A44,-12*'Seasonal Factors'!$E$4),$A$7:$A$294,"&lt;="&amp;EDATE($A44,12*'Seasonal Factors'!$E$4)),"")</f>
        <v>0.98897690820497</v>
      </c>
      <c r="BJ44" s="24" t="n">
        <f aca="false">IFERROR(BI44/AVERAGE(BI39:BI50),"")</f>
        <v>0.988767689617425</v>
      </c>
    </row>
    <row r="45" customFormat="false" ht="15" hidden="false" customHeight="false" outlineLevel="0" collapsed="false">
      <c r="A45" s="20" t="n">
        <v>39172</v>
      </c>
      <c r="B45" s="22" t="n">
        <f aca="false">MONTH(A45)</f>
        <v>3</v>
      </c>
      <c r="C45" s="23" t="n">
        <f aca="false">IF(ISNUMBER(Tabelle1!E52),(0.5*Tabelle1!E40+SUM(Tabelle1!E41:E51)+0.5*Tabelle1!E52)/12,"")</f>
        <v>127.693394583333</v>
      </c>
      <c r="D45" s="24" t="n">
        <f aca="false">IFERROR(Tabelle1!E46/C45,"")</f>
        <v>1.05777209886806</v>
      </c>
      <c r="E45" s="24" t="n">
        <f aca="false">IFERROR(AVERAGEIFS($D$7:$D$294,$B$7:$B$294,$B45,$A$7:$A$294,"&gt;="&amp;EDATE($A45,-12*'Seasonal Factors'!$E$4),$A$7:$A$294,"&lt;="&amp;EDATE($A45,12*'Seasonal Factors'!$E$4)),"")</f>
        <v>1.09643784747254</v>
      </c>
      <c r="F45" s="24" t="n">
        <f aca="false">IFERROR(E45/AVERAGE(E40:E51),"")</f>
        <v>1.09319543184637</v>
      </c>
      <c r="G45" s="23" t="n">
        <f aca="false">IF(ISNUMBER(Tabelle1!F52),(0.5*Tabelle1!F40+SUM(Tabelle1!F41:F51)+0.5*Tabelle1!F52)/12,"")</f>
        <v>139.36166125</v>
      </c>
      <c r="H45" s="24" t="n">
        <f aca="false">IFERROR(Tabelle1!F46/G45,"")</f>
        <v>1.77716710448585</v>
      </c>
      <c r="I45" s="24" t="n">
        <f aca="false">IFERROR(AVERAGEIFS($H$7:$H$294,$B$7:$B$294,$B45,$A$7:$A$294,"&gt;="&amp;EDATE($A45,-12*'Seasonal Factors'!$E$4),$A$7:$A$294,"&lt;="&amp;EDATE($A45,12*'Seasonal Factors'!$E$4)),"")</f>
        <v>1.34216098349918</v>
      </c>
      <c r="J45" s="24" t="n">
        <f aca="false">IFERROR(I45/AVERAGE(I40:I51),"")</f>
        <v>1.35413042734511</v>
      </c>
      <c r="K45" s="23" t="n">
        <f aca="false">IF(ISNUMBER(Tabelle1!G52),(0.5*Tabelle1!G40+SUM(Tabelle1!G41:G51)+0.5*Tabelle1!G52)/12,"")</f>
        <v>103.184689583333</v>
      </c>
      <c r="L45" s="24" t="n">
        <f aca="false">IFERROR(Tabelle1!G46/K45,"")</f>
        <v>1.01353311641781</v>
      </c>
      <c r="M45" s="24" t="n">
        <f aca="false">IFERROR(AVERAGEIFS($L$7:$L$294,$B$7:$B$294,$B45,$A$7:$A$294,"&gt;="&amp;EDATE($A45,-12*'Seasonal Factors'!$E$4),$A$7:$A$294,"&lt;="&amp;EDATE($A45,12*'Seasonal Factors'!$E$4)),"")</f>
        <v>1.03062254346394</v>
      </c>
      <c r="N45" s="24" t="n">
        <f aca="false">IFERROR(M45/AVERAGE(M40:M51),"")</f>
        <v>1.03136541335271</v>
      </c>
      <c r="O45" s="23" t="n">
        <f aca="false">IF(ISNUMBER(Tabelle1!H52),(0.5*Tabelle1!H40+SUM(Tabelle1!H41:H51)+0.5*Tabelle1!H52)/12,"")</f>
        <v>122.3427875</v>
      </c>
      <c r="P45" s="24" t="n">
        <f aca="false">IFERROR(Tabelle1!H46/O45,"")</f>
        <v>1.03710813357101</v>
      </c>
      <c r="Q45" s="24" t="n">
        <f aca="false">IFERROR(AVERAGEIFS($P$7:$P$294,$B$7:$B$294,$B45,$A$7:$A$294,"&gt;="&amp;EDATE($A45,-12*'Seasonal Factors'!$E$4),$A$7:$A$294,"&lt;="&amp;EDATE($A45,12*'Seasonal Factors'!$E$4)),"")</f>
        <v>1.01107065593269</v>
      </c>
      <c r="R45" s="24" t="n">
        <f aca="false">IFERROR(Q45/AVERAGE(Q40:Q51),"")</f>
        <v>1.01074209260998</v>
      </c>
      <c r="S45" s="23" t="n">
        <f aca="false">IF(ISNUMBER(Tabelle1!I52),(0.5*Tabelle1!I40+SUM(Tabelle1!I41:I51)+0.5*Tabelle1!I52)/12,"")</f>
        <v>115.07916</v>
      </c>
      <c r="T45" s="24" t="n">
        <f aca="false">IFERROR(Tabelle1!I46/S45,"")</f>
        <v>0.994332596796848</v>
      </c>
      <c r="U45" s="24" t="n">
        <f aca="false">IFERROR(AVERAGEIFS($T$7:$T$294,$B$7:$B$294,$B45,$A$7:$A$294,"&gt;="&amp;EDATE($A45,-12*'Seasonal Factors'!$E$4),$A$7:$A$294,"&lt;="&amp;EDATE($A45,12*'Seasonal Factors'!$E$4)),"")</f>
        <v>1.01514275897184</v>
      </c>
      <c r="V45" s="24" t="n">
        <f aca="false">IFERROR(U45/AVERAGE(U40:U51),"")</f>
        <v>1.0160493695807</v>
      </c>
      <c r="W45" s="23" t="n">
        <f aca="false">IF(ISNUMBER(Tabelle1!J52),(0.5*Tabelle1!J40+SUM(Tabelle1!J41:J51)+0.5*Tabelle1!J52)/12,"")</f>
        <v>136.4303625</v>
      </c>
      <c r="X45" s="24" t="n">
        <f aca="false">IFERROR(Tabelle1!J46/W45,"")</f>
        <v>1.04812475302189</v>
      </c>
      <c r="Y45" s="24" t="n">
        <f aca="false">IFERROR(AVERAGEIFS($X$7:$X$294,$B$7:$B$294,$B45,$A$7:$A$294,"&gt;="&amp;EDATE($A45,-12*'Seasonal Factors'!$E$4),$A$7:$A$294,"&lt;="&amp;EDATE($A45,12*'Seasonal Factors'!$E$4)),"")</f>
        <v>1.02838871544435</v>
      </c>
      <c r="Z45" s="24" t="n">
        <f aca="false">IFERROR(Y45/AVERAGE(Y40:Y51),"")</f>
        <v>1.02845191624177</v>
      </c>
      <c r="AA45" s="23" t="n">
        <f aca="false">IF(ISNUMBER(Tabelle1!K52),(0.5*Tabelle1!K40+SUM(Tabelle1!K41:K51)+0.5*Tabelle1!K52)/12,"")</f>
        <v>131.164900416667</v>
      </c>
      <c r="AB45" s="24" t="n">
        <f aca="false">IFERROR(Tabelle1!K46/AA45,"")</f>
        <v>1.09509929519032</v>
      </c>
      <c r="AC45" s="24" t="n">
        <f aca="false">IFERROR(AVERAGEIFS($AB$7:$AB$294,$B$7:$B$294,$B45,$A$7:$A$294,"&gt;="&amp;EDATE($A45,-12*'Seasonal Factors'!$E$4),$A$7:$A$294,"&lt;="&amp;EDATE($A45,12*'Seasonal Factors'!$E$4)),"")</f>
        <v>1.07176508843554</v>
      </c>
      <c r="AD45" s="24" t="n">
        <f aca="false">IFERROR(AC45/AVERAGE(AC40:AC51),"")</f>
        <v>1.07204840444199</v>
      </c>
      <c r="AE45" s="23" t="n">
        <f aca="false">IF(ISNUMBER(Tabelle1!L52),(0.5*Tabelle1!L40+SUM(Tabelle1!L41:L51)+0.5*Tabelle1!L52)/12,"")</f>
        <v>134.820380416667</v>
      </c>
      <c r="AF45" s="24" t="n">
        <f aca="false">IFERROR(Tabelle1!L46/AE45,"")</f>
        <v>1.04865154335763</v>
      </c>
      <c r="AG45" s="24" t="n">
        <f aca="false">IFERROR(AVERAGEIFS($AF$7:$AF$294,$B$7:$B$294,$B45,$A$7:$A$294,"&gt;="&amp;EDATE($A45,-12*'Seasonal Factors'!$E$4),$A$7:$A$294,"&lt;="&amp;EDATE($A45,12*'Seasonal Factors'!$E$4)),"")</f>
        <v>1.01939031244314</v>
      </c>
      <c r="AH45" s="24" t="n">
        <f aca="false">IFERROR(AG45/AVERAGE(AG40:AG51),"")</f>
        <v>1.01896366087209</v>
      </c>
      <c r="AI45" s="23" t="n">
        <f aca="false">IF(ISNUMBER(Tabelle1!M52),(0.5*Tabelle1!M40+SUM(Tabelle1!M41:M51)+0.5*Tabelle1!M52)/12,"")</f>
        <v>141.339074583333</v>
      </c>
      <c r="AJ45" s="24" t="n">
        <f aca="false">IFERROR(Tabelle1!M46/AI45,"")</f>
        <v>1.0091809389618</v>
      </c>
      <c r="AK45" s="24" t="n">
        <f aca="false">IFERROR(AVERAGEIFS($AJ$7:$AJ$294,$B$7:$B$294,$B45,$A$7:$A$294,"&gt;="&amp;EDATE($A45,-12*'Seasonal Factors'!$E$4),$A$7:$A$294,"&lt;="&amp;EDATE($A45,12*'Seasonal Factors'!$E$4)),"")</f>
        <v>1.00061934953913</v>
      </c>
      <c r="AL45" s="24" t="n">
        <f aca="false">IFERROR(AK45/AVERAGE(AK40:AK51),"")</f>
        <v>1.00033291697079</v>
      </c>
      <c r="AM45" s="23" t="n">
        <f aca="false">IF(ISNUMBER(Tabelle1!N52),(0.5*Tabelle1!N40+SUM(Tabelle1!N41:N51)+0.5*Tabelle1!N52)/12,"")</f>
        <v>137.875905416667</v>
      </c>
      <c r="AN45" s="24" t="n">
        <f aca="false">IFERROR(Tabelle1!N46/AM45,"")</f>
        <v>1.01121519078087</v>
      </c>
      <c r="AO45" s="24" t="n">
        <f aca="false">IFERROR(AVERAGEIFS($AN$7:$AN$294,$B$7:$B$294,$B45,$A$7:$A$294,"&gt;="&amp;EDATE($A45,-12*'Seasonal Factors'!$E$4),$A$7:$A$294,"&lt;="&amp;EDATE($A45,12*'Seasonal Factors'!$E$4)),"")</f>
        <v>0.997488818423172</v>
      </c>
      <c r="AP45" s="24" t="n">
        <f aca="false">IFERROR(AO45/AVERAGE(AO40:AO51),"")</f>
        <v>0.997329854984616</v>
      </c>
      <c r="AQ45" s="23" t="n">
        <f aca="false">IF(ISNUMBER(Tabelle1!O52),(0.5*Tabelle1!O40+SUM(Tabelle1!O41:O51)+0.5*Tabelle1!O52)/12,"")</f>
        <v>117.28130625</v>
      </c>
      <c r="AR45" s="24" t="n">
        <f aca="false">IFERROR(Tabelle1!O46/AQ45,"")</f>
        <v>1.0016196421755</v>
      </c>
      <c r="AS45" s="24" t="n">
        <f aca="false">IFERROR(AVERAGEIFS($AR$7:$AR$294,$B$7:$B$294,$B45,$A$7:$A$294,"&gt;="&amp;EDATE($A45,-12*'Seasonal Factors'!$E$4),$A$7:$A$294,"&lt;="&amp;EDATE($A45,12*'Seasonal Factors'!$E$4)),"")</f>
        <v>0.991347713789019</v>
      </c>
      <c r="AT45" s="24" t="n">
        <f aca="false">IFERROR(AS45/AVERAGE(AS40:AS51),"")</f>
        <v>0.991399177648731</v>
      </c>
      <c r="AU45" s="23" t="n">
        <f aca="false">IF(ISNUMBER(Tabelle1!P52),(0.5*Tabelle1!P40+SUM(Tabelle1!P41:P51)+0.5*Tabelle1!P52)/12,"")</f>
        <v>113.1818925</v>
      </c>
      <c r="AV45" s="24" t="n">
        <f aca="false">IFERROR(Tabelle1!P46/AU45,"")</f>
        <v>0.99562604504073</v>
      </c>
      <c r="AW45" s="24" t="n">
        <f aca="false">IFERROR(AVERAGEIFS($AV$7:$AV$294,$B$7:$B$294,$B45,$A$7:$A$294,"&gt;="&amp;EDATE($A45,-12*'Seasonal Factors'!$E$4),$A$7:$A$294,"&lt;="&amp;EDATE($A45,12*'Seasonal Factors'!$E$4)),"")</f>
        <v>0.9935641798292</v>
      </c>
      <c r="AX45" s="24" t="n">
        <f aca="false">IFERROR(AW45/AVERAGE(AW40:AW51),"")</f>
        <v>0.993552260459735</v>
      </c>
      <c r="AY45" s="23" t="n">
        <f aca="false">IF(ISNUMBER(Tabelle1!Q52),(0.5*Tabelle1!Q40+SUM(Tabelle1!Q41:Q51)+0.5*Tabelle1!Q52)/12,"")</f>
        <v>115.142479583333</v>
      </c>
      <c r="AZ45" s="24" t="n">
        <f aca="false">IFERROR(Tabelle1!Q46/AY45,"")</f>
        <v>0.98516160508688</v>
      </c>
      <c r="BA45" s="24" t="n">
        <f aca="false">IFERROR(AVERAGEIFS($AZ$7:$AZ$294,$B$7:$B$294,$B45,$A$7:$A$294,"&gt;="&amp;EDATE($A45,-12*'Seasonal Factors'!$E$4),$A$7:$A$294,"&lt;="&amp;EDATE($A45,12*'Seasonal Factors'!$E$4)),"")</f>
        <v>0.983232591569945</v>
      </c>
      <c r="BB45" s="24" t="n">
        <f aca="false">IFERROR(BA45/AVERAGE(BA40:BA51),"")</f>
        <v>0.983307700423403</v>
      </c>
      <c r="BC45" s="23" t="n">
        <f aca="false">IF(ISNUMBER(Tabelle1!R52),(0.5*Tabelle1!R40+SUM(Tabelle1!R41:R51)+0.5*Tabelle1!R52)/12,"")</f>
        <v>117.791770833333</v>
      </c>
      <c r="BD45" s="24" t="n">
        <f aca="false">IFERROR(Tabelle1!R46/BC45,"")</f>
        <v>1.00720380685903</v>
      </c>
      <c r="BE45" s="24" t="n">
        <f aca="false">IFERROR(AVERAGEIFS($BD$7:$BD$294,$B$7:$B$294,$B45,$A$7:$A$294,"&gt;="&amp;EDATE($A45,-12*'Seasonal Factors'!$E$4),$A$7:$A$294,"&lt;="&amp;EDATE($A45,12*'Seasonal Factors'!$E$4)),"")</f>
        <v>1.00170665108261</v>
      </c>
      <c r="BF45" s="24" t="n">
        <f aca="false">IFERROR(BE45/AVERAGE(BE40:BE51),"")</f>
        <v>1.00134342374155</v>
      </c>
      <c r="BG45" s="23" t="n">
        <f aca="false">IF(ISNUMBER(Tabelle1!S52),(0.5*Tabelle1!S40+SUM(Tabelle1!S41:S51)+0.5*Tabelle1!S52)/12,"")</f>
        <v>129.07612375</v>
      </c>
      <c r="BH45" s="24" t="n">
        <f aca="false">IFERROR(Tabelle1!S46/BG45,"")</f>
        <v>1.00020760036188</v>
      </c>
      <c r="BI45" s="24" t="n">
        <f aca="false">IFERROR(AVERAGEIFS($BH$7:$BH$294,$B$7:$B$294,$B45,$A$7:$A$294,"&gt;="&amp;EDATE($A45,-12*'Seasonal Factors'!$E$4),$A$7:$A$294,"&lt;="&amp;EDATE($A45,12*'Seasonal Factors'!$E$4)),"")</f>
        <v>0.978905616052747</v>
      </c>
      <c r="BJ45" s="24" t="n">
        <f aca="false">IFERROR(BI45/AVERAGE(BI40:BI51),"")</f>
        <v>0.979048531153344</v>
      </c>
    </row>
    <row r="46" customFormat="false" ht="15" hidden="false" customHeight="false" outlineLevel="0" collapsed="false">
      <c r="A46" s="20" t="n">
        <v>39202</v>
      </c>
      <c r="B46" s="22" t="n">
        <f aca="false">MONTH(A46)</f>
        <v>4</v>
      </c>
      <c r="C46" s="23" t="n">
        <f aca="false">IF(ISNUMBER(Tabelle1!E53),(0.5*Tabelle1!E41+SUM(Tabelle1!E42:E52)+0.5*Tabelle1!E53)/12,"")</f>
        <v>127.744376666667</v>
      </c>
      <c r="D46" s="24" t="n">
        <f aca="false">IFERROR(Tabelle1!E47/C46,"")</f>
        <v>1.73667065266513</v>
      </c>
      <c r="E46" s="24" t="n">
        <f aca="false">IFERROR(AVERAGEIFS($D$7:$D$294,$B$7:$B$294,$B46,$A$7:$A$294,"&gt;="&amp;EDATE($A46,-12*'Seasonal Factors'!$E$4),$A$7:$A$294,"&lt;="&amp;EDATE($A46,12*'Seasonal Factors'!$E$4)),"")</f>
        <v>1.68622092460527</v>
      </c>
      <c r="F46" s="24" t="n">
        <f aca="false">IFERROR(E46/AVERAGE(E41:E52),"")</f>
        <v>1.68115449779375</v>
      </c>
      <c r="G46" s="23" t="n">
        <f aca="false">IF(ISNUMBER(Tabelle1!F53),(0.5*Tabelle1!F41+SUM(Tabelle1!F42:F52)+0.5*Tabelle1!F53)/12,"")</f>
        <v>136.627824166667</v>
      </c>
      <c r="H46" s="24" t="n">
        <f aca="false">IFERROR(Tabelle1!F47/G46,"")</f>
        <v>1.8684511852329</v>
      </c>
      <c r="I46" s="24" t="n">
        <f aca="false">IFERROR(AVERAGEIFS($H$7:$H$294,$B$7:$B$294,$B46,$A$7:$A$294,"&gt;="&amp;EDATE($A46,-12*'Seasonal Factors'!$E$4),$A$7:$A$294,"&lt;="&amp;EDATE($A46,12*'Seasonal Factors'!$E$4)),"")</f>
        <v>1.37566434197907</v>
      </c>
      <c r="J46" s="24" t="n">
        <f aca="false">IFERROR(I46/AVERAGE(I41:I52),"")</f>
        <v>1.38154718026472</v>
      </c>
      <c r="K46" s="23" t="n">
        <f aca="false">IF(ISNUMBER(Tabelle1!G53),(0.5*Tabelle1!G41+SUM(Tabelle1!G42:G52)+0.5*Tabelle1!G53)/12,"")</f>
        <v>102.82273375</v>
      </c>
      <c r="L46" s="24" t="n">
        <f aca="false">IFERROR(Tabelle1!G47/K46,"")</f>
        <v>1.0031766929169</v>
      </c>
      <c r="M46" s="24" t="n">
        <f aca="false">IFERROR(AVERAGEIFS($L$7:$L$294,$B$7:$B$294,$B46,$A$7:$A$294,"&gt;="&amp;EDATE($A46,-12*'Seasonal Factors'!$E$4),$A$7:$A$294,"&lt;="&amp;EDATE($A46,12*'Seasonal Factors'!$E$4)),"")</f>
        <v>0.985493101185624</v>
      </c>
      <c r="N46" s="24" t="n">
        <f aca="false">IFERROR(M46/AVERAGE(M41:M52),"")</f>
        <v>0.985839462185462</v>
      </c>
      <c r="O46" s="23" t="n">
        <f aca="false">IF(ISNUMBER(Tabelle1!H53),(0.5*Tabelle1!H41+SUM(Tabelle1!H42:H52)+0.5*Tabelle1!H53)/12,"")</f>
        <v>123.426871666667</v>
      </c>
      <c r="P46" s="24" t="n">
        <f aca="false">IFERROR(Tabelle1!H47/O46,"")</f>
        <v>1.01159648878729</v>
      </c>
      <c r="Q46" s="24" t="n">
        <f aca="false">IFERROR(AVERAGEIFS($P$7:$P$294,$B$7:$B$294,$B46,$A$7:$A$294,"&gt;="&amp;EDATE($A46,-12*'Seasonal Factors'!$E$4),$A$7:$A$294,"&lt;="&amp;EDATE($A46,12*'Seasonal Factors'!$E$4)),"")</f>
        <v>1.01074816737899</v>
      </c>
      <c r="R46" s="24" t="n">
        <f aca="false">IFERROR(Q46/AVERAGE(Q41:Q52),"")</f>
        <v>1.01034748721286</v>
      </c>
      <c r="S46" s="23" t="n">
        <f aca="false">IF(ISNUMBER(Tabelle1!I53),(0.5*Tabelle1!I41+SUM(Tabelle1!I42:I52)+0.5*Tabelle1!I53)/12,"")</f>
        <v>115.144977083333</v>
      </c>
      <c r="T46" s="24" t="n">
        <f aca="false">IFERROR(Tabelle1!I47/S46,"")</f>
        <v>0.962903574332713</v>
      </c>
      <c r="U46" s="24" t="n">
        <f aca="false">IFERROR(AVERAGEIFS($T$7:$T$294,$B$7:$B$294,$B46,$A$7:$A$294,"&gt;="&amp;EDATE($A46,-12*'Seasonal Factors'!$E$4),$A$7:$A$294,"&lt;="&amp;EDATE($A46,12*'Seasonal Factors'!$E$4)),"")</f>
        <v>0.954435605047534</v>
      </c>
      <c r="V46" s="24" t="n">
        <f aca="false">IFERROR(U46/AVERAGE(U41:U52),"")</f>
        <v>0.955368808949934</v>
      </c>
      <c r="W46" s="23" t="n">
        <f aca="false">IF(ISNUMBER(Tabelle1!J53),(0.5*Tabelle1!J41+SUM(Tabelle1!J42:J52)+0.5*Tabelle1!J53)/12,"")</f>
        <v>137.578005833333</v>
      </c>
      <c r="X46" s="24" t="n">
        <f aca="false">IFERROR(Tabelle1!J47/W46,"")</f>
        <v>0.970175641022853</v>
      </c>
      <c r="Y46" s="24" t="n">
        <f aca="false">IFERROR(AVERAGEIFS($X$7:$X$294,$B$7:$B$294,$B46,$A$7:$A$294,"&gt;="&amp;EDATE($A46,-12*'Seasonal Factors'!$E$4),$A$7:$A$294,"&lt;="&amp;EDATE($A46,12*'Seasonal Factors'!$E$4)),"")</f>
        <v>0.986205002522178</v>
      </c>
      <c r="Z46" s="24" t="n">
        <f aca="false">IFERROR(Y46/AVERAGE(Y41:Y52),"")</f>
        <v>0.986233952380007</v>
      </c>
      <c r="AA46" s="23" t="n">
        <f aca="false">IF(ISNUMBER(Tabelle1!K53),(0.5*Tabelle1!K41+SUM(Tabelle1!K42:K52)+0.5*Tabelle1!K53)/12,"")</f>
        <v>132.668490416667</v>
      </c>
      <c r="AB46" s="24" t="n">
        <f aca="false">IFERROR(Tabelle1!K47/AA46,"")</f>
        <v>1.00695990118251</v>
      </c>
      <c r="AC46" s="24" t="n">
        <f aca="false">IFERROR(AVERAGEIFS($AB$7:$AB$294,$B$7:$B$294,$B46,$A$7:$A$294,"&gt;="&amp;EDATE($A46,-12*'Seasonal Factors'!$E$4),$A$7:$A$294,"&lt;="&amp;EDATE($A46,12*'Seasonal Factors'!$E$4)),"")</f>
        <v>1.01628499060047</v>
      </c>
      <c r="AD46" s="24" t="n">
        <f aca="false">IFERROR(AC46/AVERAGE(AC41:AC52),"")</f>
        <v>1.01617506278496</v>
      </c>
      <c r="AE46" s="23" t="n">
        <f aca="false">IF(ISNUMBER(Tabelle1!L53),(0.5*Tabelle1!L41+SUM(Tabelle1!L42:L52)+0.5*Tabelle1!L53)/12,"")</f>
        <v>135.800845416667</v>
      </c>
      <c r="AF46" s="24" t="n">
        <f aca="false">IFERROR(Tabelle1!L47/AE46,"")</f>
        <v>0.988007619454284</v>
      </c>
      <c r="AG46" s="24" t="n">
        <f aca="false">IFERROR(AVERAGEIFS($AF$7:$AF$294,$B$7:$B$294,$B46,$A$7:$A$294,"&gt;="&amp;EDATE($A46,-12*'Seasonal Factors'!$E$4),$A$7:$A$294,"&lt;="&amp;EDATE($A46,12*'Seasonal Factors'!$E$4)),"")</f>
        <v>0.972859789080905</v>
      </c>
      <c r="AH46" s="24" t="n">
        <f aca="false">IFERROR(AG46/AVERAGE(AG41:AG52),"")</f>
        <v>0.972374464074616</v>
      </c>
      <c r="AI46" s="23" t="n">
        <f aca="false">IF(ISNUMBER(Tabelle1!M53),(0.5*Tabelle1!M41+SUM(Tabelle1!M42:M52)+0.5*Tabelle1!M53)/12,"")</f>
        <v>142.610735833333</v>
      </c>
      <c r="AJ46" s="24" t="n">
        <f aca="false">IFERROR(Tabelle1!M47/AI46,"")</f>
        <v>1.02098295159324</v>
      </c>
      <c r="AK46" s="24" t="n">
        <f aca="false">IFERROR(AVERAGEIFS($AJ$7:$AJ$294,$B$7:$B$294,$B46,$A$7:$A$294,"&gt;="&amp;EDATE($A46,-12*'Seasonal Factors'!$E$4),$A$7:$A$294,"&lt;="&amp;EDATE($A46,12*'Seasonal Factors'!$E$4)),"")</f>
        <v>1.02613600842488</v>
      </c>
      <c r="AL46" s="24" t="n">
        <f aca="false">IFERROR(AK46/AVERAGE(AK41:AK52),"")</f>
        <v>1.02580512740655</v>
      </c>
      <c r="AM46" s="23" t="n">
        <f aca="false">IF(ISNUMBER(Tabelle1!N53),(0.5*Tabelle1!N41+SUM(Tabelle1!N42:N52)+0.5*Tabelle1!N53)/12,"")</f>
        <v>139.037694166667</v>
      </c>
      <c r="AN46" s="24" t="n">
        <f aca="false">IFERROR(Tabelle1!N47/AM46,"")</f>
        <v>0.98287921717248</v>
      </c>
      <c r="AO46" s="24" t="n">
        <f aca="false">IFERROR(AVERAGEIFS($AN$7:$AN$294,$B$7:$B$294,$B46,$A$7:$A$294,"&gt;="&amp;EDATE($A46,-12*'Seasonal Factors'!$E$4),$A$7:$A$294,"&lt;="&amp;EDATE($A46,12*'Seasonal Factors'!$E$4)),"")</f>
        <v>0.987481447777418</v>
      </c>
      <c r="AP46" s="24" t="n">
        <f aca="false">IFERROR(AO46/AVERAGE(AO41:AO52),"")</f>
        <v>0.987244209842507</v>
      </c>
      <c r="AQ46" s="23" t="n">
        <f aca="false">IF(ISNUMBER(Tabelle1!O53),(0.5*Tabelle1!O41+SUM(Tabelle1!O42:O52)+0.5*Tabelle1!O53)/12,"")</f>
        <v>117.894585416667</v>
      </c>
      <c r="AR46" s="24" t="n">
        <f aca="false">IFERROR(Tabelle1!O47/AQ46,"")</f>
        <v>0.97205015476308</v>
      </c>
      <c r="AS46" s="24" t="n">
        <f aca="false">IFERROR(AVERAGEIFS($AR$7:$AR$294,$B$7:$B$294,$B46,$A$7:$A$294,"&gt;="&amp;EDATE($A46,-12*'Seasonal Factors'!$E$4),$A$7:$A$294,"&lt;="&amp;EDATE($A46,12*'Seasonal Factors'!$E$4)),"")</f>
        <v>0.990078586442781</v>
      </c>
      <c r="AT46" s="24" t="n">
        <f aca="false">IFERROR(AS46/AVERAGE(AS41:AS52),"")</f>
        <v>0.990015198712809</v>
      </c>
      <c r="AU46" s="23" t="n">
        <f aca="false">IF(ISNUMBER(Tabelle1!P53),(0.5*Tabelle1!P41+SUM(Tabelle1!P42:P52)+0.5*Tabelle1!P53)/12,"")</f>
        <v>113.589271666667</v>
      </c>
      <c r="AV46" s="24" t="n">
        <f aca="false">IFERROR(Tabelle1!P47/AU46,"")</f>
        <v>0.987495987553872</v>
      </c>
      <c r="AW46" s="24" t="n">
        <f aca="false">IFERROR(AVERAGEIFS($AV$7:$AV$294,$B$7:$B$294,$B46,$A$7:$A$294,"&gt;="&amp;EDATE($A46,-12*'Seasonal Factors'!$E$4),$A$7:$A$294,"&lt;="&amp;EDATE($A46,12*'Seasonal Factors'!$E$4)),"")</f>
        <v>0.98704092966928</v>
      </c>
      <c r="AX46" s="24" t="n">
        <f aca="false">IFERROR(AW46/AVERAGE(AW41:AW52),"")</f>
        <v>0.98704398658074</v>
      </c>
      <c r="AY46" s="23" t="n">
        <f aca="false">IF(ISNUMBER(Tabelle1!Q53),(0.5*Tabelle1!Q41+SUM(Tabelle1!Q42:Q52)+0.5*Tabelle1!Q53)/12,"")</f>
        <v>115.547135833333</v>
      </c>
      <c r="AZ46" s="24" t="n">
        <f aca="false">IFERROR(Tabelle1!Q47/AY46,"")</f>
        <v>0.976262104520793</v>
      </c>
      <c r="BA46" s="24" t="n">
        <f aca="false">IFERROR(AVERAGEIFS($AZ$7:$AZ$294,$B$7:$B$294,$B46,$A$7:$A$294,"&gt;="&amp;EDATE($A46,-12*'Seasonal Factors'!$E$4),$A$7:$A$294,"&lt;="&amp;EDATE($A46,12*'Seasonal Factors'!$E$4)),"")</f>
        <v>0.98110554490204</v>
      </c>
      <c r="BB46" s="24" t="n">
        <f aca="false">IFERROR(BA46/AVERAGE(BA41:BA52),"")</f>
        <v>0.98117331396745</v>
      </c>
      <c r="BC46" s="23" t="n">
        <f aca="false">IF(ISNUMBER(Tabelle1!R53),(0.5*Tabelle1!R41+SUM(Tabelle1!R42:R52)+0.5*Tabelle1!R53)/12,"")</f>
        <v>118.310095</v>
      </c>
      <c r="BD46" s="24" t="n">
        <f aca="false">IFERROR(Tabelle1!R47/BC46,"")</f>
        <v>1.02995505159556</v>
      </c>
      <c r="BE46" s="24" t="n">
        <f aca="false">IFERROR(AVERAGEIFS($BD$7:$BD$294,$B$7:$B$294,$B46,$A$7:$A$294,"&gt;="&amp;EDATE($A46,-12*'Seasonal Factors'!$E$4),$A$7:$A$294,"&lt;="&amp;EDATE($A46,12*'Seasonal Factors'!$E$4)),"")</f>
        <v>1.03425684256369</v>
      </c>
      <c r="BF46" s="24" t="n">
        <f aca="false">IFERROR(BE46/AVERAGE(BE41:BE52),"")</f>
        <v>1.03417867963829</v>
      </c>
      <c r="BG46" s="23" t="n">
        <f aca="false">IF(ISNUMBER(Tabelle1!S53),(0.5*Tabelle1!S41+SUM(Tabelle1!S42:S52)+0.5*Tabelle1!S53)/12,"")</f>
        <v>129.810357916667</v>
      </c>
      <c r="BH46" s="24" t="n">
        <f aca="false">IFERROR(Tabelle1!S47/BG46,"")</f>
        <v>0.960522811901062</v>
      </c>
      <c r="BI46" s="24" t="n">
        <f aca="false">IFERROR(AVERAGEIFS($BH$7:$BH$294,$B$7:$B$294,$B46,$A$7:$A$294,"&gt;="&amp;EDATE($A46,-12*'Seasonal Factors'!$E$4),$A$7:$A$294,"&lt;="&amp;EDATE($A46,12*'Seasonal Factors'!$E$4)),"")</f>
        <v>0.995041724950038</v>
      </c>
      <c r="BJ46" s="24" t="n">
        <f aca="false">IFERROR(BI46/AVERAGE(BI41:BI52),"")</f>
        <v>0.995015885473391</v>
      </c>
    </row>
    <row r="47" customFormat="false" ht="15" hidden="false" customHeight="false" outlineLevel="0" collapsed="false">
      <c r="A47" s="20" t="n">
        <v>39233</v>
      </c>
      <c r="B47" s="22" t="n">
        <f aca="false">MONTH(A47)</f>
        <v>5</v>
      </c>
      <c r="C47" s="23" t="n">
        <f aca="false">IF(ISNUMBER(Tabelle1!E54),(0.5*Tabelle1!E42+SUM(Tabelle1!E43:E53)+0.5*Tabelle1!E54)/12,"")</f>
        <v>128.064132916667</v>
      </c>
      <c r="D47" s="24" t="n">
        <f aca="false">IFERROR(Tabelle1!E48/C47,"")</f>
        <v>2.57534137379911</v>
      </c>
      <c r="E47" s="24" t="n">
        <f aca="false">IFERROR(AVERAGEIFS($D$7:$D$294,$B$7:$B$294,$B47,$A$7:$A$294,"&gt;="&amp;EDATE($A47,-12*'Seasonal Factors'!$E$4),$A$7:$A$294,"&lt;="&amp;EDATE($A47,12*'Seasonal Factors'!$E$4)),"")</f>
        <v>2.46445634552259</v>
      </c>
      <c r="F47" s="24" t="n">
        <f aca="false">IFERROR(E47/AVERAGE(E42:E53),"")</f>
        <v>2.45587613113071</v>
      </c>
      <c r="G47" s="23" t="n">
        <f aca="false">IF(ISNUMBER(Tabelle1!F54),(0.5*Tabelle1!F42+SUM(Tabelle1!F43:F53)+0.5*Tabelle1!F54)/12,"")</f>
        <v>134.3842225</v>
      </c>
      <c r="H47" s="24" t="n">
        <f aca="false">IFERROR(Tabelle1!F48/G47,"")</f>
        <v>1.88736605593711</v>
      </c>
      <c r="I47" s="24" t="n">
        <f aca="false">IFERROR(AVERAGEIFS($H$7:$H$294,$B$7:$B$294,$B47,$A$7:$A$294,"&gt;="&amp;EDATE($A47,-12*'Seasonal Factors'!$E$4),$A$7:$A$294,"&lt;="&amp;EDATE($A47,12*'Seasonal Factors'!$E$4)),"")</f>
        <v>1.68414010299624</v>
      </c>
      <c r="J47" s="24" t="n">
        <f aca="false">IFERROR(I47/AVERAGE(I42:I53),"")</f>
        <v>1.68976845148462</v>
      </c>
      <c r="K47" s="23" t="n">
        <f aca="false">IF(ISNUMBER(Tabelle1!G54),(0.5*Tabelle1!G42+SUM(Tabelle1!G43:G53)+0.5*Tabelle1!G54)/12,"")</f>
        <v>102.580924583333</v>
      </c>
      <c r="L47" s="24" t="n">
        <f aca="false">IFERROR(Tabelle1!G48/K47,"")</f>
        <v>1.03817781359033</v>
      </c>
      <c r="M47" s="24" t="n">
        <f aca="false">IFERROR(AVERAGEIFS($L$7:$L$294,$B$7:$B$294,$B47,$A$7:$A$294,"&gt;="&amp;EDATE($A47,-12*'Seasonal Factors'!$E$4),$A$7:$A$294,"&lt;="&amp;EDATE($A47,12*'Seasonal Factors'!$E$4)),"")</f>
        <v>1.00491094191375</v>
      </c>
      <c r="N47" s="24" t="n">
        <f aca="false">IFERROR(M47/AVERAGE(M42:M53),"")</f>
        <v>1.00477651099409</v>
      </c>
      <c r="O47" s="23" t="n">
        <f aca="false">IF(ISNUMBER(Tabelle1!H54),(0.5*Tabelle1!H42+SUM(Tabelle1!H43:H53)+0.5*Tabelle1!H54)/12,"")</f>
        <v>124.570670833333</v>
      </c>
      <c r="P47" s="24" t="n">
        <f aca="false">IFERROR(Tabelle1!H48/O47,"")</f>
        <v>1.03117322192045</v>
      </c>
      <c r="Q47" s="24" t="n">
        <f aca="false">IFERROR(AVERAGEIFS($P$7:$P$294,$B$7:$B$294,$B47,$A$7:$A$294,"&gt;="&amp;EDATE($A47,-12*'Seasonal Factors'!$E$4),$A$7:$A$294,"&lt;="&amp;EDATE($A47,12*'Seasonal Factors'!$E$4)),"")</f>
        <v>1.0291212336407</v>
      </c>
      <c r="R47" s="24" t="n">
        <f aca="false">IFERROR(Q47/AVERAGE(Q42:Q53),"")</f>
        <v>1.02869224220591</v>
      </c>
      <c r="S47" s="23" t="n">
        <f aca="false">IF(ISNUMBER(Tabelle1!I54),(0.5*Tabelle1!I42+SUM(Tabelle1!I43:I53)+0.5*Tabelle1!I54)/12,"")</f>
        <v>115.1130425</v>
      </c>
      <c r="T47" s="24" t="n">
        <f aca="false">IFERROR(Tabelle1!I48/S47,"")</f>
        <v>1.04664716858648</v>
      </c>
      <c r="U47" s="24" t="n">
        <f aca="false">IFERROR(AVERAGEIFS($T$7:$T$294,$B$7:$B$294,$B47,$A$7:$A$294,"&gt;="&amp;EDATE($A47,-12*'Seasonal Factors'!$E$4),$A$7:$A$294,"&lt;="&amp;EDATE($A47,12*'Seasonal Factors'!$E$4)),"")</f>
        <v>1.01470518258845</v>
      </c>
      <c r="V47" s="24" t="n">
        <f aca="false">IFERROR(U47/AVERAGE(U42:U53),"")</f>
        <v>1.01547298941161</v>
      </c>
      <c r="W47" s="23" t="n">
        <f aca="false">IF(ISNUMBER(Tabelle1!J54),(0.5*Tabelle1!J42+SUM(Tabelle1!J43:J53)+0.5*Tabelle1!J54)/12,"")</f>
        <v>138.698566666667</v>
      </c>
      <c r="X47" s="24" t="n">
        <f aca="false">IFERROR(Tabelle1!J48/W47,"")</f>
        <v>0.987926287149807</v>
      </c>
      <c r="Y47" s="24" t="n">
        <f aca="false">IFERROR(AVERAGEIFS($X$7:$X$294,$B$7:$B$294,$B47,$A$7:$A$294,"&gt;="&amp;EDATE($A47,-12*'Seasonal Factors'!$E$4),$A$7:$A$294,"&lt;="&amp;EDATE($A47,12*'Seasonal Factors'!$E$4)),"")</f>
        <v>0.992794056932446</v>
      </c>
      <c r="Z47" s="24" t="n">
        <f aca="false">IFERROR(Y47/AVERAGE(Y42:Y53),"")</f>
        <v>0.99274745615717</v>
      </c>
      <c r="AA47" s="23" t="n">
        <f aca="false">IF(ISNUMBER(Tabelle1!K54),(0.5*Tabelle1!K42+SUM(Tabelle1!K43:K53)+0.5*Tabelle1!K54)/12,"")</f>
        <v>134.265017083333</v>
      </c>
      <c r="AB47" s="24" t="n">
        <f aca="false">IFERROR(Tabelle1!K48/AA47,"")</f>
        <v>1.02240340024535</v>
      </c>
      <c r="AC47" s="24" t="n">
        <f aca="false">IFERROR(AVERAGEIFS($AB$7:$AB$294,$B$7:$B$294,$B47,$A$7:$A$294,"&gt;="&amp;EDATE($A47,-12*'Seasonal Factors'!$E$4),$A$7:$A$294,"&lt;="&amp;EDATE($A47,12*'Seasonal Factors'!$E$4)),"")</f>
        <v>1.02947551441274</v>
      </c>
      <c r="AD47" s="24" t="n">
        <f aca="false">IFERROR(AC47/AVERAGE(AC42:AC53),"")</f>
        <v>1.02909916065758</v>
      </c>
      <c r="AE47" s="23" t="n">
        <f aca="false">IF(ISNUMBER(Tabelle1!L54),(0.5*Tabelle1!L42+SUM(Tabelle1!L43:L53)+0.5*Tabelle1!L54)/12,"")</f>
        <v>136.928684166667</v>
      </c>
      <c r="AF47" s="24" t="n">
        <f aca="false">IFERROR(Tabelle1!L48/AE47,"")</f>
        <v>0.926165257278301</v>
      </c>
      <c r="AG47" s="24" t="n">
        <f aca="false">IFERROR(AVERAGEIFS($AF$7:$AF$294,$B$7:$B$294,$B47,$A$7:$A$294,"&gt;="&amp;EDATE($A47,-12*'Seasonal Factors'!$E$4),$A$7:$A$294,"&lt;="&amp;EDATE($A47,12*'Seasonal Factors'!$E$4)),"")</f>
        <v>0.934196792441838</v>
      </c>
      <c r="AH47" s="24" t="n">
        <f aca="false">IFERROR(AG47/AVERAGE(AG42:AG53),"")</f>
        <v>0.933677457780488</v>
      </c>
      <c r="AI47" s="23" t="n">
        <f aca="false">IF(ISNUMBER(Tabelle1!M54),(0.5*Tabelle1!M42+SUM(Tabelle1!M43:M53)+0.5*Tabelle1!M54)/12,"")</f>
        <v>143.92606125</v>
      </c>
      <c r="AJ47" s="24" t="n">
        <f aca="false">IFERROR(Tabelle1!M48/AI47,"")</f>
        <v>1.08983771693398</v>
      </c>
      <c r="AK47" s="24" t="n">
        <f aca="false">IFERROR(AVERAGEIFS($AJ$7:$AJ$294,$B$7:$B$294,$B47,$A$7:$A$294,"&gt;="&amp;EDATE($A47,-12*'Seasonal Factors'!$E$4),$A$7:$A$294,"&lt;="&amp;EDATE($A47,12*'Seasonal Factors'!$E$4)),"")</f>
        <v>1.08244808891326</v>
      </c>
      <c r="AL47" s="24" t="n">
        <f aca="false">IFERROR(AK47/AVERAGE(AK42:AK53),"")</f>
        <v>1.08209204680215</v>
      </c>
      <c r="AM47" s="23" t="n">
        <f aca="false">IF(ISNUMBER(Tabelle1!N54),(0.5*Tabelle1!N42+SUM(Tabelle1!N43:N53)+0.5*Tabelle1!N54)/12,"")</f>
        <v>140.122990416667</v>
      </c>
      <c r="AN47" s="24" t="n">
        <f aca="false">IFERROR(Tabelle1!N48/AM47,"")</f>
        <v>1.00665350903917</v>
      </c>
      <c r="AO47" s="24" t="n">
        <f aca="false">IFERROR(AVERAGEIFS($AN$7:$AN$294,$B$7:$B$294,$B47,$A$7:$A$294,"&gt;="&amp;EDATE($A47,-12*'Seasonal Factors'!$E$4),$A$7:$A$294,"&lt;="&amp;EDATE($A47,12*'Seasonal Factors'!$E$4)),"")</f>
        <v>1.00240580617465</v>
      </c>
      <c r="AP47" s="24" t="n">
        <f aca="false">IFERROR(AO47/AVERAGE(AO42:AO53),"")</f>
        <v>1.00216590703665</v>
      </c>
      <c r="AQ47" s="23" t="n">
        <f aca="false">IF(ISNUMBER(Tabelle1!O54),(0.5*Tabelle1!O42+SUM(Tabelle1!O43:O53)+0.5*Tabelle1!O54)/12,"")</f>
        <v>118.540447083333</v>
      </c>
      <c r="AR47" s="24" t="n">
        <f aca="false">IFERROR(Tabelle1!O48/AQ47,"")</f>
        <v>1.00991604929447</v>
      </c>
      <c r="AS47" s="24" t="n">
        <f aca="false">IFERROR(AVERAGEIFS($AR$7:$AR$294,$B$7:$B$294,$B47,$A$7:$A$294,"&gt;="&amp;EDATE($A47,-12*'Seasonal Factors'!$E$4),$A$7:$A$294,"&lt;="&amp;EDATE($A47,12*'Seasonal Factors'!$E$4)),"")</f>
        <v>1.0064633419288</v>
      </c>
      <c r="AT47" s="24" t="n">
        <f aca="false">IFERROR(AS47/AVERAGE(AS42:AS53),"")</f>
        <v>1.00615669971705</v>
      </c>
      <c r="AU47" s="23" t="n">
        <f aca="false">IF(ISNUMBER(Tabelle1!P54),(0.5*Tabelle1!P42+SUM(Tabelle1!P43:P53)+0.5*Tabelle1!P54)/12,"")</f>
        <v>114.122075833333</v>
      </c>
      <c r="AV47" s="24" t="n">
        <f aca="false">IFERROR(Tabelle1!P48/AU47,"")</f>
        <v>1.00956637143773</v>
      </c>
      <c r="AW47" s="24" t="n">
        <f aca="false">IFERROR(AVERAGEIFS($AV$7:$AV$294,$B$7:$B$294,$B47,$A$7:$A$294,"&gt;="&amp;EDATE($A47,-12*'Seasonal Factors'!$E$4),$A$7:$A$294,"&lt;="&amp;EDATE($A47,12*'Seasonal Factors'!$E$4)),"")</f>
        <v>0.996950258910003</v>
      </c>
      <c r="AX47" s="24" t="n">
        <f aca="false">IFERROR(AW47/AVERAGE(AW42:AW53),"")</f>
        <v>0.997017423215202</v>
      </c>
      <c r="AY47" s="23" t="n">
        <f aca="false">IF(ISNUMBER(Tabelle1!Q54),(0.5*Tabelle1!Q42+SUM(Tabelle1!Q43:Q53)+0.5*Tabelle1!Q54)/12,"")</f>
        <v>116.054511666667</v>
      </c>
      <c r="AZ47" s="24" t="n">
        <f aca="false">IFERROR(Tabelle1!Q48/AY47,"")</f>
        <v>1.00956574903802</v>
      </c>
      <c r="BA47" s="24" t="n">
        <f aca="false">IFERROR(AVERAGEIFS($AZ$7:$AZ$294,$B$7:$B$294,$B47,$A$7:$A$294,"&gt;="&amp;EDATE($A47,-12*'Seasonal Factors'!$E$4),$A$7:$A$294,"&lt;="&amp;EDATE($A47,12*'Seasonal Factors'!$E$4)),"")</f>
        <v>0.996908812511498</v>
      </c>
      <c r="BB47" s="24" t="n">
        <f aca="false">IFERROR(BA47/AVERAGE(BA42:BA53),"")</f>
        <v>0.997026701450579</v>
      </c>
      <c r="BC47" s="23" t="n">
        <f aca="false">IF(ISNUMBER(Tabelle1!R54),(0.5*Tabelle1!R42+SUM(Tabelle1!R43:R53)+0.5*Tabelle1!R54)/12,"")</f>
        <v>118.9256275</v>
      </c>
      <c r="BD47" s="24" t="n">
        <f aca="false">IFERROR(Tabelle1!R48/BC47,"")</f>
        <v>1.04425625166451</v>
      </c>
      <c r="BE47" s="24" t="n">
        <f aca="false">IFERROR(AVERAGEIFS($BD$7:$BD$294,$B$7:$B$294,$B47,$A$7:$A$294,"&gt;="&amp;EDATE($A47,-12*'Seasonal Factors'!$E$4),$A$7:$A$294,"&lt;="&amp;EDATE($A47,12*'Seasonal Factors'!$E$4)),"")</f>
        <v>1.04936801614743</v>
      </c>
      <c r="BF47" s="24" t="n">
        <f aca="false">IFERROR(BE47/AVERAGE(BE42:BE53),"")</f>
        <v>1.04957539642871</v>
      </c>
      <c r="BG47" s="23" t="n">
        <f aca="false">IF(ISNUMBER(Tabelle1!S54),(0.5*Tabelle1!S42+SUM(Tabelle1!S43:S53)+0.5*Tabelle1!S54)/12,"")</f>
        <v>130.418555416667</v>
      </c>
      <c r="BH47" s="24" t="n">
        <f aca="false">IFERROR(Tabelle1!S48/BG47,"")</f>
        <v>1.0029355070075</v>
      </c>
      <c r="BI47" s="24" t="n">
        <f aca="false">IFERROR(AVERAGEIFS($BH$7:$BH$294,$B$7:$B$294,$B47,$A$7:$A$294,"&gt;="&amp;EDATE($A47,-12*'Seasonal Factors'!$E$4),$A$7:$A$294,"&lt;="&amp;EDATE($A47,12*'Seasonal Factors'!$E$4)),"")</f>
        <v>1.00681762913812</v>
      </c>
      <c r="BJ47" s="24" t="n">
        <f aca="false">IFERROR(BI47/AVERAGE(BI42:BI53),"")</f>
        <v>1.00663696552391</v>
      </c>
    </row>
    <row r="48" customFormat="false" ht="15" hidden="false" customHeight="false" outlineLevel="0" collapsed="false">
      <c r="A48" s="20" t="n">
        <v>39263</v>
      </c>
      <c r="B48" s="22" t="n">
        <f aca="false">MONTH(A48)</f>
        <v>6</v>
      </c>
      <c r="C48" s="23" t="n">
        <f aca="false">IF(ISNUMBER(Tabelle1!E55),(0.5*Tabelle1!E43+SUM(Tabelle1!E44:E54)+0.5*Tabelle1!E55)/12,"")</f>
        <v>128.156485</v>
      </c>
      <c r="D48" s="24" t="n">
        <f aca="false">IFERROR(Tabelle1!E49/C48,"")</f>
        <v>1.71432175281649</v>
      </c>
      <c r="E48" s="24" t="n">
        <f aca="false">IFERROR(AVERAGEIFS($D$7:$D$294,$B$7:$B$294,$B48,$A$7:$A$294,"&gt;="&amp;EDATE($A48,-12*'Seasonal Factors'!$E$4),$A$7:$A$294,"&lt;="&amp;EDATE($A48,12*'Seasonal Factors'!$E$4)),"")</f>
        <v>1.6476135194891</v>
      </c>
      <c r="F48" s="24" t="n">
        <f aca="false">IFERROR(E48/AVERAGE(E43:E54),"")</f>
        <v>1.64035786910818</v>
      </c>
      <c r="G48" s="23" t="n">
        <f aca="false">IF(ISNUMBER(Tabelle1!F55),(0.5*Tabelle1!F43+SUM(Tabelle1!F44:F54)+0.5*Tabelle1!F55)/12,"")</f>
        <v>133.349357916667</v>
      </c>
      <c r="H48" s="24" t="n">
        <f aca="false">IFERROR(Tabelle1!F49/G48,"")</f>
        <v>1.35202743242805</v>
      </c>
      <c r="I48" s="24" t="n">
        <f aca="false">IFERROR(AVERAGEIFS($H$7:$H$294,$B$7:$B$294,$B48,$A$7:$A$294,"&gt;="&amp;EDATE($A48,-12*'Seasonal Factors'!$E$4),$A$7:$A$294,"&lt;="&amp;EDATE($A48,12*'Seasonal Factors'!$E$4)),"")</f>
        <v>1.36869338148723</v>
      </c>
      <c r="J48" s="24" t="n">
        <f aca="false">IFERROR(I48/AVERAGE(I43:I54),"")</f>
        <v>1.37490544180217</v>
      </c>
      <c r="K48" s="23" t="n">
        <f aca="false">IF(ISNUMBER(Tabelle1!G55),(0.5*Tabelle1!G43+SUM(Tabelle1!G44:G54)+0.5*Tabelle1!G55)/12,"")</f>
        <v>102.524658333333</v>
      </c>
      <c r="L48" s="24" t="n">
        <f aca="false">IFERROR(Tabelle1!G49/K48,"")</f>
        <v>1.00244489150943</v>
      </c>
      <c r="M48" s="24" t="n">
        <f aca="false">IFERROR(AVERAGEIFS($L$7:$L$294,$B$7:$B$294,$B48,$A$7:$A$294,"&gt;="&amp;EDATE($A48,-12*'Seasonal Factors'!$E$4),$A$7:$A$294,"&lt;="&amp;EDATE($A48,12*'Seasonal Factors'!$E$4)),"")</f>
        <v>0.990557483999</v>
      </c>
      <c r="N48" s="24" t="n">
        <f aca="false">IFERROR(M48/AVERAGE(M43:M54),"")</f>
        <v>0.990217349088047</v>
      </c>
      <c r="O48" s="23" t="n">
        <f aca="false">IF(ISNUMBER(Tabelle1!H55),(0.5*Tabelle1!H43+SUM(Tabelle1!H44:H54)+0.5*Tabelle1!H55)/12,"")</f>
        <v>125.566213333333</v>
      </c>
      <c r="P48" s="24" t="n">
        <f aca="false">IFERROR(Tabelle1!H49/O48,"")</f>
        <v>0.984451284453801</v>
      </c>
      <c r="Q48" s="24" t="n">
        <f aca="false">IFERROR(AVERAGEIFS($P$7:$P$294,$B$7:$B$294,$B48,$A$7:$A$294,"&gt;="&amp;EDATE($A48,-12*'Seasonal Factors'!$E$4),$A$7:$A$294,"&lt;="&amp;EDATE($A48,12*'Seasonal Factors'!$E$4)),"")</f>
        <v>1.00166008020939</v>
      </c>
      <c r="R48" s="24" t="n">
        <f aca="false">IFERROR(Q48/AVERAGE(Q43:Q54),"")</f>
        <v>1.00121879746264</v>
      </c>
      <c r="S48" s="23" t="n">
        <f aca="false">IF(ISNUMBER(Tabelle1!I55),(0.5*Tabelle1!I43+SUM(Tabelle1!I44:I54)+0.5*Tabelle1!I55)/12,"")</f>
        <v>115.156359583333</v>
      </c>
      <c r="T48" s="24" t="n">
        <f aca="false">IFERROR(Tabelle1!I49/S48,"")</f>
        <v>1.03267062653143</v>
      </c>
      <c r="U48" s="24" t="n">
        <f aca="false">IFERROR(AVERAGEIFS($T$7:$T$294,$B$7:$B$294,$B48,$A$7:$A$294,"&gt;="&amp;EDATE($A48,-12*'Seasonal Factors'!$E$4),$A$7:$A$294,"&lt;="&amp;EDATE($A48,12*'Seasonal Factors'!$E$4)),"")</f>
        <v>1.03603547553297</v>
      </c>
      <c r="V48" s="24" t="n">
        <f aca="false">IFERROR(U48/AVERAGE(U43:U54),"")</f>
        <v>1.03651140727182</v>
      </c>
      <c r="W48" s="23" t="n">
        <f aca="false">IF(ISNUMBER(Tabelle1!J55),(0.5*Tabelle1!J43+SUM(Tabelle1!J44:J54)+0.5*Tabelle1!J55)/12,"")</f>
        <v>139.59628875</v>
      </c>
      <c r="X48" s="24" t="n">
        <f aca="false">IFERROR(Tabelle1!J49/W48,"")</f>
        <v>0.974141871662043</v>
      </c>
      <c r="Y48" s="24" t="n">
        <f aca="false">IFERROR(AVERAGEIFS($X$7:$X$294,$B$7:$B$294,$B48,$A$7:$A$294,"&gt;="&amp;EDATE($A48,-12*'Seasonal Factors'!$E$4),$A$7:$A$294,"&lt;="&amp;EDATE($A48,12*'Seasonal Factors'!$E$4)),"")</f>
        <v>0.98542504659363</v>
      </c>
      <c r="Z48" s="24" t="n">
        <f aca="false">IFERROR(Y48/AVERAGE(Y43:Y54),"")</f>
        <v>0.985380364498041</v>
      </c>
      <c r="AA48" s="23" t="n">
        <f aca="false">IF(ISNUMBER(Tabelle1!K55),(0.5*Tabelle1!K43+SUM(Tabelle1!K44:K54)+0.5*Tabelle1!K55)/12,"")</f>
        <v>135.5757625</v>
      </c>
      <c r="AB48" s="24" t="n">
        <f aca="false">IFERROR(Tabelle1!K49/AA48,"")</f>
        <v>1.01009979567697</v>
      </c>
      <c r="AC48" s="24" t="n">
        <f aca="false">IFERROR(AVERAGEIFS($AB$7:$AB$294,$B$7:$B$294,$B48,$A$7:$A$294,"&gt;="&amp;EDATE($A48,-12*'Seasonal Factors'!$E$4),$A$7:$A$294,"&lt;="&amp;EDATE($A48,12*'Seasonal Factors'!$E$4)),"")</f>
        <v>1.01777897074345</v>
      </c>
      <c r="AD48" s="24" t="n">
        <f aca="false">IFERROR(AC48/AVERAGE(AC43:AC54),"")</f>
        <v>1.01714906805647</v>
      </c>
      <c r="AE48" s="23" t="n">
        <f aca="false">IF(ISNUMBER(Tabelle1!L55),(0.5*Tabelle1!L43+SUM(Tabelle1!L44:L54)+0.5*Tabelle1!L55)/12,"")</f>
        <v>138.102072916667</v>
      </c>
      <c r="AF48" s="24" t="n">
        <f aca="false">IFERROR(Tabelle1!L49/AE48,"")</f>
        <v>0.901645046813577</v>
      </c>
      <c r="AG48" s="24" t="n">
        <f aca="false">IFERROR(AVERAGEIFS($AF$7:$AF$294,$B$7:$B$294,$B48,$A$7:$A$294,"&gt;="&amp;EDATE($A48,-12*'Seasonal Factors'!$E$4),$A$7:$A$294,"&lt;="&amp;EDATE($A48,12*'Seasonal Factors'!$E$4)),"")</f>
        <v>0.914626965166681</v>
      </c>
      <c r="AH48" s="24" t="n">
        <f aca="false">IFERROR(AG48/AVERAGE(AG43:AG54),"")</f>
        <v>0.914117922320904</v>
      </c>
      <c r="AI48" s="23" t="n">
        <f aca="false">IF(ISNUMBER(Tabelle1!M55),(0.5*Tabelle1!M43+SUM(Tabelle1!M44:M54)+0.5*Tabelle1!M55)/12,"")</f>
        <v>145.1616125</v>
      </c>
      <c r="AJ48" s="24" t="n">
        <f aca="false">IFERROR(Tabelle1!M49/AI48,"")</f>
        <v>1.03592366749164</v>
      </c>
      <c r="AK48" s="24" t="n">
        <f aca="false">IFERROR(AVERAGEIFS($AJ$7:$AJ$294,$B$7:$B$294,$B48,$A$7:$A$294,"&gt;="&amp;EDATE($A48,-12*'Seasonal Factors'!$E$4),$A$7:$A$294,"&lt;="&amp;EDATE($A48,12*'Seasonal Factors'!$E$4)),"")</f>
        <v>1.03065655455804</v>
      </c>
      <c r="AL48" s="24" t="n">
        <f aca="false">IFERROR(AK48/AVERAGE(AK43:AK54),"")</f>
        <v>1.0303145734883</v>
      </c>
      <c r="AM48" s="23" t="n">
        <f aca="false">IF(ISNUMBER(Tabelle1!N55),(0.5*Tabelle1!N43+SUM(Tabelle1!N44:N54)+0.5*Tabelle1!N55)/12,"")</f>
        <v>141.12465125</v>
      </c>
      <c r="AN48" s="24" t="n">
        <f aca="false">IFERROR(Tabelle1!N49/AM48,"")</f>
        <v>1.01791025683757</v>
      </c>
      <c r="AO48" s="24" t="n">
        <f aca="false">IFERROR(AVERAGEIFS($AN$7:$AN$294,$B$7:$B$294,$B48,$A$7:$A$294,"&gt;="&amp;EDATE($A48,-12*'Seasonal Factors'!$E$4),$A$7:$A$294,"&lt;="&amp;EDATE($A48,12*'Seasonal Factors'!$E$4)),"")</f>
        <v>1.01807225698222</v>
      </c>
      <c r="AP48" s="24" t="n">
        <f aca="false">IFERROR(AO48/AVERAGE(AO43:AO54),"")</f>
        <v>1.01781489756237</v>
      </c>
      <c r="AQ48" s="23" t="n">
        <f aca="false">IF(ISNUMBER(Tabelle1!O55),(0.5*Tabelle1!O43+SUM(Tabelle1!O44:O54)+0.5*Tabelle1!O55)/12,"")</f>
        <v>118.939704583333</v>
      </c>
      <c r="AR48" s="24" t="n">
        <f aca="false">IFERROR(Tabelle1!O49/AQ48,"")</f>
        <v>1.01999446211001</v>
      </c>
      <c r="AS48" s="24" t="n">
        <f aca="false">IFERROR(AVERAGEIFS($AR$7:$AR$294,$B$7:$B$294,$B48,$A$7:$A$294,"&gt;="&amp;EDATE($A48,-12*'Seasonal Factors'!$E$4),$A$7:$A$294,"&lt;="&amp;EDATE($A48,12*'Seasonal Factors'!$E$4)),"")</f>
        <v>1.0187979255063</v>
      </c>
      <c r="AT48" s="24" t="n">
        <f aca="false">IFERROR(AS48/AVERAGE(AS43:AS54),"")</f>
        <v>1.01833616059855</v>
      </c>
      <c r="AU48" s="23" t="n">
        <f aca="false">IF(ISNUMBER(Tabelle1!P55),(0.5*Tabelle1!P43+SUM(Tabelle1!P44:P54)+0.5*Tabelle1!P55)/12,"")</f>
        <v>114.722506666667</v>
      </c>
      <c r="AV48" s="24" t="n">
        <f aca="false">IFERROR(Tabelle1!P49/AU48,"")</f>
        <v>1.01499647613465</v>
      </c>
      <c r="AW48" s="24" t="n">
        <f aca="false">IFERROR(AVERAGEIFS($AV$7:$AV$294,$B$7:$B$294,$B48,$A$7:$A$294,"&gt;="&amp;EDATE($A48,-12*'Seasonal Factors'!$E$4),$A$7:$A$294,"&lt;="&amp;EDATE($A48,12*'Seasonal Factors'!$E$4)),"")</f>
        <v>1.00798342483833</v>
      </c>
      <c r="AX48" s="24" t="n">
        <f aca="false">IFERROR(AW48/AVERAGE(AW43:AW54),"")</f>
        <v>1.00808932534182</v>
      </c>
      <c r="AY48" s="23" t="n">
        <f aca="false">IF(ISNUMBER(Tabelle1!Q55),(0.5*Tabelle1!Q43+SUM(Tabelle1!Q44:Q54)+0.5*Tabelle1!Q55)/12,"")</f>
        <v>116.594756666667</v>
      </c>
      <c r="AZ48" s="24" t="n">
        <f aca="false">IFERROR(Tabelle1!Q49/AY48,"")</f>
        <v>1.02674102526108</v>
      </c>
      <c r="BA48" s="24" t="n">
        <f aca="false">IFERROR(AVERAGEIFS($AZ$7:$AZ$294,$B$7:$B$294,$B48,$A$7:$A$294,"&gt;="&amp;EDATE($A48,-12*'Seasonal Factors'!$E$4),$A$7:$A$294,"&lt;="&amp;EDATE($A48,12*'Seasonal Factors'!$E$4)),"")</f>
        <v>1.01921641292875</v>
      </c>
      <c r="BB48" s="24" t="n">
        <f aca="false">IFERROR(BA48/AVERAGE(BA43:BA54),"")</f>
        <v>1.0193632326043</v>
      </c>
      <c r="BC48" s="23" t="n">
        <f aca="false">IF(ISNUMBER(Tabelle1!R55),(0.5*Tabelle1!R43+SUM(Tabelle1!R44:R54)+0.5*Tabelle1!R55)/12,"")</f>
        <v>119.5355175</v>
      </c>
      <c r="BD48" s="24" t="n">
        <f aca="false">IFERROR(Tabelle1!R49/BC48,"")</f>
        <v>1.07217405069585</v>
      </c>
      <c r="BE48" s="24" t="n">
        <f aca="false">IFERROR(AVERAGEIFS($BD$7:$BD$294,$B$7:$B$294,$B48,$A$7:$A$294,"&gt;="&amp;EDATE($A48,-12*'Seasonal Factors'!$E$4),$A$7:$A$294,"&lt;="&amp;EDATE($A48,12*'Seasonal Factors'!$E$4)),"")</f>
        <v>1.07303175732906</v>
      </c>
      <c r="BF48" s="24" t="n">
        <f aca="false">IFERROR(BE48/AVERAGE(BE43:BE54),"")</f>
        <v>1.07353192449048</v>
      </c>
      <c r="BG48" s="23" t="n">
        <f aca="false">IF(ISNUMBER(Tabelle1!S55),(0.5*Tabelle1!S43+SUM(Tabelle1!S44:S54)+0.5*Tabelle1!S55)/12,"")</f>
        <v>130.95923125</v>
      </c>
      <c r="BH48" s="24" t="n">
        <f aca="false">IFERROR(Tabelle1!S49/BG48,"")</f>
        <v>1.00574842065591</v>
      </c>
      <c r="BI48" s="24" t="n">
        <f aca="false">IFERROR(AVERAGEIFS($BH$7:$BH$294,$B$7:$B$294,$B48,$A$7:$A$294,"&gt;="&amp;EDATE($A48,-12*'Seasonal Factors'!$E$4),$A$7:$A$294,"&lt;="&amp;EDATE($A48,12*'Seasonal Factors'!$E$4)),"")</f>
        <v>1.00351960083971</v>
      </c>
      <c r="BJ48" s="24" t="n">
        <f aca="false">IFERROR(BI48/AVERAGE(BI43:BI54),"")</f>
        <v>1.00326403424833</v>
      </c>
    </row>
    <row r="49" customFormat="false" ht="15" hidden="false" customHeight="false" outlineLevel="0" collapsed="false">
      <c r="A49" s="20" t="n">
        <v>39294</v>
      </c>
      <c r="B49" s="22" t="n">
        <f aca="false">MONTH(A49)</f>
        <v>7</v>
      </c>
      <c r="C49" s="23" t="n">
        <f aca="false">IF(ISNUMBER(Tabelle1!E56),(0.5*Tabelle1!E44+SUM(Tabelle1!E45:E55)+0.5*Tabelle1!E56)/12,"")</f>
        <v>127.943773333333</v>
      </c>
      <c r="D49" s="24" t="n">
        <f aca="false">IFERROR(Tabelle1!E50/C49,"")</f>
        <v>0.8564391775012</v>
      </c>
      <c r="E49" s="24" t="n">
        <f aca="false">IFERROR(AVERAGEIFS($D$7:$D$294,$B$7:$B$294,$B49,$A$7:$A$294,"&gt;="&amp;EDATE($A49,-12*'Seasonal Factors'!$E$4),$A$7:$A$294,"&lt;="&amp;EDATE($A49,12*'Seasonal Factors'!$E$4)),"")</f>
        <v>0.881284491437625</v>
      </c>
      <c r="F49" s="24" t="n">
        <f aca="false">IFERROR(E49/AVERAGE(E44:E55),"")</f>
        <v>0.876587406201251</v>
      </c>
      <c r="G49" s="23" t="n">
        <f aca="false">IF(ISNUMBER(Tabelle1!F56),(0.5*Tabelle1!F44+SUM(Tabelle1!F45:F55)+0.5*Tabelle1!F56)/12,"")</f>
        <v>132.054367916667</v>
      </c>
      <c r="H49" s="24" t="n">
        <f aca="false">IFERROR(Tabelle1!F50/G49,"")</f>
        <v>1.19959780580652</v>
      </c>
      <c r="I49" s="24" t="n">
        <f aca="false">IFERROR(AVERAGEIFS($H$7:$H$294,$B$7:$B$294,$B49,$A$7:$A$294,"&gt;="&amp;EDATE($A49,-12*'Seasonal Factors'!$E$4),$A$7:$A$294,"&lt;="&amp;EDATE($A49,12*'Seasonal Factors'!$E$4)),"")</f>
        <v>1.09463623272577</v>
      </c>
      <c r="J49" s="24" t="n">
        <f aca="false">IFERROR(I49/AVERAGE(I44:I55),"")</f>
        <v>1.09929480849933</v>
      </c>
      <c r="K49" s="23" t="n">
        <f aca="false">IF(ISNUMBER(Tabelle1!G56),(0.5*Tabelle1!G44+SUM(Tabelle1!G45:G55)+0.5*Tabelle1!G56)/12,"")</f>
        <v>102.476580416667</v>
      </c>
      <c r="L49" s="24" t="n">
        <f aca="false">IFERROR(Tabelle1!G50/K49,"")</f>
        <v>0.988525959669167</v>
      </c>
      <c r="M49" s="24" t="n">
        <f aca="false">IFERROR(AVERAGEIFS($L$7:$L$294,$B$7:$B$294,$B49,$A$7:$A$294,"&gt;="&amp;EDATE($A49,-12*'Seasonal Factors'!$E$4),$A$7:$A$294,"&lt;="&amp;EDATE($A49,12*'Seasonal Factors'!$E$4)),"")</f>
        <v>1.02046818659913</v>
      </c>
      <c r="N49" s="24" t="n">
        <f aca="false">IFERROR(M49/AVERAGE(M44:M55),"")</f>
        <v>1.02054538469598</v>
      </c>
      <c r="O49" s="23" t="n">
        <f aca="false">IF(ISNUMBER(Tabelle1!H56),(0.5*Tabelle1!H44+SUM(Tabelle1!H45:H55)+0.5*Tabelle1!H56)/12,"")</f>
        <v>126.524477083333</v>
      </c>
      <c r="P49" s="24" t="n">
        <f aca="false">IFERROR(Tabelle1!H50/O49,"")</f>
        <v>0.97364267246774</v>
      </c>
      <c r="Q49" s="24" t="n">
        <f aca="false">IFERROR(AVERAGEIFS($P$7:$P$294,$B$7:$B$294,$B49,$A$7:$A$294,"&gt;="&amp;EDATE($A49,-12*'Seasonal Factors'!$E$4),$A$7:$A$294,"&lt;="&amp;EDATE($A49,12*'Seasonal Factors'!$E$4)),"")</f>
        <v>1.01863112278033</v>
      </c>
      <c r="R49" s="24" t="n">
        <f aca="false">IFERROR(Q49/AVERAGE(Q44:Q55),"")</f>
        <v>1.01852719223334</v>
      </c>
      <c r="S49" s="23" t="n">
        <f aca="false">IF(ISNUMBER(Tabelle1!I56),(0.5*Tabelle1!I44+SUM(Tabelle1!I45:I55)+0.5*Tabelle1!I56)/12,"")</f>
        <v>115.582495</v>
      </c>
      <c r="T49" s="24" t="n">
        <f aca="false">IFERROR(Tabelle1!I50/S49,"")</f>
        <v>1.01813843004514</v>
      </c>
      <c r="U49" s="24" t="n">
        <f aca="false">IFERROR(AVERAGEIFS($T$7:$T$294,$B$7:$B$294,$B49,$A$7:$A$294,"&gt;="&amp;EDATE($A49,-12*'Seasonal Factors'!$E$4),$A$7:$A$294,"&lt;="&amp;EDATE($A49,12*'Seasonal Factors'!$E$4)),"")</f>
        <v>1.05166758182257</v>
      </c>
      <c r="V49" s="24" t="n">
        <f aca="false">IFERROR(U49/AVERAGE(U44:U55),"")</f>
        <v>1.05158592760141</v>
      </c>
      <c r="W49" s="23" t="n">
        <f aca="false">IF(ISNUMBER(Tabelle1!J56),(0.5*Tabelle1!J44+SUM(Tabelle1!J45:J55)+0.5*Tabelle1!J56)/12,"")</f>
        <v>140.496339583333</v>
      </c>
      <c r="X49" s="24" t="n">
        <f aca="false">IFERROR(Tabelle1!J50/W49,"")</f>
        <v>1.01655666207081</v>
      </c>
      <c r="Y49" s="24" t="n">
        <f aca="false">IFERROR(AVERAGEIFS($X$7:$X$294,$B$7:$B$294,$B49,$A$7:$A$294,"&gt;="&amp;EDATE($A49,-12*'Seasonal Factors'!$E$4),$A$7:$A$294,"&lt;="&amp;EDATE($A49,12*'Seasonal Factors'!$E$4)),"")</f>
        <v>1.01200819920744</v>
      </c>
      <c r="Z49" s="24" t="n">
        <f aca="false">IFERROR(Y49/AVERAGE(Y44:Y55),"")</f>
        <v>1.0119438218248</v>
      </c>
      <c r="AA49" s="23" t="n">
        <f aca="false">IF(ISNUMBER(Tabelle1!K56),(0.5*Tabelle1!K44+SUM(Tabelle1!K45:K55)+0.5*Tabelle1!K56)/12,"")</f>
        <v>136.809815833333</v>
      </c>
      <c r="AB49" s="24" t="n">
        <f aca="false">IFERROR(Tabelle1!K50/AA49,"")</f>
        <v>0.99343917080901</v>
      </c>
      <c r="AC49" s="24" t="n">
        <f aca="false">IFERROR(AVERAGEIFS($AB$7:$AB$294,$B$7:$B$294,$B49,$A$7:$A$294,"&gt;="&amp;EDATE($A49,-12*'Seasonal Factors'!$E$4),$A$7:$A$294,"&lt;="&amp;EDATE($A49,12*'Seasonal Factors'!$E$4)),"")</f>
        <v>1.01039108833357</v>
      </c>
      <c r="AD49" s="24" t="n">
        <f aca="false">IFERROR(AC49/AVERAGE(AC44:AC55),"")</f>
        <v>1.00994642089103</v>
      </c>
      <c r="AE49" s="23" t="n">
        <f aca="false">IF(ISNUMBER(Tabelle1!L56),(0.5*Tabelle1!L44+SUM(Tabelle1!L45:L55)+0.5*Tabelle1!L56)/12,"")</f>
        <v>139.005543333333</v>
      </c>
      <c r="AF49" s="24" t="n">
        <f aca="false">IFERROR(Tabelle1!L50/AE49,"")</f>
        <v>0.996302209818347</v>
      </c>
      <c r="AG49" s="24" t="n">
        <f aca="false">IFERROR(AVERAGEIFS($AF$7:$AF$294,$B$7:$B$294,$B49,$A$7:$A$294,"&gt;="&amp;EDATE($A49,-12*'Seasonal Factors'!$E$4),$A$7:$A$294,"&lt;="&amp;EDATE($A49,12*'Seasonal Factors'!$E$4)),"")</f>
        <v>0.995958003399642</v>
      </c>
      <c r="AH49" s="24" t="n">
        <f aca="false">IFERROR(AG49/AVERAGE(AG44:AG55),"")</f>
        <v>0.995796752894099</v>
      </c>
      <c r="AI49" s="23" t="n">
        <f aca="false">IF(ISNUMBER(Tabelle1!M56),(0.5*Tabelle1!M44+SUM(Tabelle1!M45:M55)+0.5*Tabelle1!M56)/12,"")</f>
        <v>146.433965416667</v>
      </c>
      <c r="AJ49" s="24" t="n">
        <f aca="false">IFERROR(Tabelle1!M50/AI49,"")</f>
        <v>1.00788699930407</v>
      </c>
      <c r="AK49" s="24" t="n">
        <f aca="false">IFERROR(AVERAGEIFS($AJ$7:$AJ$294,$B$7:$B$294,$B49,$A$7:$A$294,"&gt;="&amp;EDATE($A49,-12*'Seasonal Factors'!$E$4),$A$7:$A$294,"&lt;="&amp;EDATE($A49,12*'Seasonal Factors'!$E$4)),"")</f>
        <v>1.0058004421728</v>
      </c>
      <c r="AL49" s="24" t="n">
        <f aca="false">IFERROR(AK49/AVERAGE(AK44:AK55),"")</f>
        <v>1.00550376492439</v>
      </c>
      <c r="AM49" s="23" t="n">
        <f aca="false">IF(ISNUMBER(Tabelle1!N56),(0.5*Tabelle1!N44+SUM(Tabelle1!N45:N55)+0.5*Tabelle1!N56)/12,"")</f>
        <v>142.12111375</v>
      </c>
      <c r="AN49" s="24" t="n">
        <f aca="false">IFERROR(Tabelle1!N50/AM49,"")</f>
        <v>1.00040272869027</v>
      </c>
      <c r="AO49" s="24" t="n">
        <f aca="false">IFERROR(AVERAGEIFS($AN$7:$AN$294,$B$7:$B$294,$B49,$A$7:$A$294,"&gt;="&amp;EDATE($A49,-12*'Seasonal Factors'!$E$4),$A$7:$A$294,"&lt;="&amp;EDATE($A49,12*'Seasonal Factors'!$E$4)),"")</f>
        <v>0.988418927315933</v>
      </c>
      <c r="AP49" s="24" t="n">
        <f aca="false">IFERROR(AO49/AVERAGE(AO44:AO55),"")</f>
        <v>0.9883420412335</v>
      </c>
      <c r="AQ49" s="23" t="n">
        <f aca="false">IF(ISNUMBER(Tabelle1!O56),(0.5*Tabelle1!O44+SUM(Tabelle1!O45:O55)+0.5*Tabelle1!O56)/12,"")</f>
        <v>119.395409583333</v>
      </c>
      <c r="AR49" s="24" t="n">
        <f aca="false">IFERROR(Tabelle1!O50/AQ49,"")</f>
        <v>1.00836087769329</v>
      </c>
      <c r="AS49" s="24" t="n">
        <f aca="false">IFERROR(AVERAGEIFS($AR$7:$AR$294,$B$7:$B$294,$B49,$A$7:$A$294,"&gt;="&amp;EDATE($A49,-12*'Seasonal Factors'!$E$4),$A$7:$A$294,"&lt;="&amp;EDATE($A49,12*'Seasonal Factors'!$E$4)),"")</f>
        <v>1.0041335933066</v>
      </c>
      <c r="AT49" s="24" t="n">
        <f aca="false">IFERROR(AS49/AVERAGE(AS44:AS55),"")</f>
        <v>1.00364239900411</v>
      </c>
      <c r="AU49" s="23" t="n">
        <f aca="false">IF(ISNUMBER(Tabelle1!P56),(0.5*Tabelle1!P44+SUM(Tabelle1!P45:P55)+0.5*Tabelle1!P56)/12,"")</f>
        <v>115.090577083333</v>
      </c>
      <c r="AV49" s="24" t="n">
        <f aca="false">IFERROR(Tabelle1!P50/AU49,"")</f>
        <v>0.999974393356884</v>
      </c>
      <c r="AW49" s="24" t="n">
        <f aca="false">IFERROR(AVERAGEIFS($AV$7:$AV$294,$B$7:$B$294,$B49,$A$7:$A$294,"&gt;="&amp;EDATE($A49,-12*'Seasonal Factors'!$E$4),$A$7:$A$294,"&lt;="&amp;EDATE($A49,12*'Seasonal Factors'!$E$4)),"")</f>
        <v>1.00121181704793</v>
      </c>
      <c r="AX49" s="24" t="n">
        <f aca="false">IFERROR(AW49/AVERAGE(AW44:AW55),"")</f>
        <v>1.00124634916376</v>
      </c>
      <c r="AY49" s="23" t="n">
        <f aca="false">IF(ISNUMBER(Tabelle1!Q56),(0.5*Tabelle1!Q44+SUM(Tabelle1!Q45:Q55)+0.5*Tabelle1!Q56)/12,"")</f>
        <v>116.856137083333</v>
      </c>
      <c r="AZ49" s="24" t="n">
        <f aca="false">IFERROR(Tabelle1!Q50/AY49,"")</f>
        <v>1.00836937572195</v>
      </c>
      <c r="BA49" s="24" t="n">
        <f aca="false">IFERROR(AVERAGEIFS($AZ$7:$AZ$294,$B$7:$B$294,$B49,$A$7:$A$294,"&gt;="&amp;EDATE($A49,-12*'Seasonal Factors'!$E$4),$A$7:$A$294,"&lt;="&amp;EDATE($A49,12*'Seasonal Factors'!$E$4)),"")</f>
        <v>1.00610928333714</v>
      </c>
      <c r="BB49" s="24" t="n">
        <f aca="false">IFERROR(BA49/AVERAGE(BA44:BA55),"")</f>
        <v>1.00620231445502</v>
      </c>
      <c r="BC49" s="23" t="n">
        <f aca="false">IF(ISNUMBER(Tabelle1!R56),(0.5*Tabelle1!R44+SUM(Tabelle1!R45:R55)+0.5*Tabelle1!R56)/12,"")</f>
        <v>120.169272916667</v>
      </c>
      <c r="BD49" s="24" t="n">
        <f aca="false">IFERROR(Tabelle1!R50/BC49,"")</f>
        <v>0.99871428932774</v>
      </c>
      <c r="BE49" s="24" t="n">
        <f aca="false">IFERROR(AVERAGEIFS($BD$7:$BD$294,$B$7:$B$294,$B49,$A$7:$A$294,"&gt;="&amp;EDATE($A49,-12*'Seasonal Factors'!$E$4),$A$7:$A$294,"&lt;="&amp;EDATE($A49,12*'Seasonal Factors'!$E$4)),"")</f>
        <v>1.01471048218465</v>
      </c>
      <c r="BF49" s="24" t="n">
        <f aca="false">IFERROR(BE49/AVERAGE(BE44:BE55),"")</f>
        <v>1.01490940160154</v>
      </c>
      <c r="BG49" s="23" t="n">
        <f aca="false">IF(ISNUMBER(Tabelle1!S56),(0.5*Tabelle1!S44+SUM(Tabelle1!S45:S55)+0.5*Tabelle1!S56)/12,"")</f>
        <v>131.405980416667</v>
      </c>
      <c r="BH49" s="24" t="n">
        <f aca="false">IFERROR(Tabelle1!S50/BG49,"")</f>
        <v>1.12271495964036</v>
      </c>
      <c r="BI49" s="24" t="n">
        <f aca="false">IFERROR(AVERAGEIFS($BH$7:$BH$294,$B$7:$B$294,$B49,$A$7:$A$294,"&gt;="&amp;EDATE($A49,-12*'Seasonal Factors'!$E$4),$A$7:$A$294,"&lt;="&amp;EDATE($A49,12*'Seasonal Factors'!$E$4)),"")</f>
        <v>1.08965031255229</v>
      </c>
      <c r="BJ49" s="24" t="n">
        <f aca="false">IFERROR(BI49/AVERAGE(BI44:BI55),"")</f>
        <v>1.08962078417755</v>
      </c>
    </row>
    <row r="50" customFormat="false" ht="15" hidden="false" customHeight="false" outlineLevel="0" collapsed="false">
      <c r="A50" s="20" t="n">
        <v>39325</v>
      </c>
      <c r="B50" s="22" t="n">
        <f aca="false">MONTH(A50)</f>
        <v>8</v>
      </c>
      <c r="C50" s="23" t="n">
        <f aca="false">IF(ISNUMBER(Tabelle1!E57),(0.5*Tabelle1!E45+SUM(Tabelle1!E46:E56)+0.5*Tabelle1!E57)/12,"")</f>
        <v>127.755420416667</v>
      </c>
      <c r="D50" s="24" t="n">
        <f aca="false">IFERROR(Tabelle1!E51/C50,"")</f>
        <v>0.551129257532579</v>
      </c>
      <c r="E50" s="24" t="n">
        <f aca="false">IFERROR(AVERAGEIFS($D$7:$D$294,$B$7:$B$294,$B50,$A$7:$A$294,"&gt;="&amp;EDATE($A50,-12*'Seasonal Factors'!$E$4),$A$7:$A$294,"&lt;="&amp;EDATE($A50,12*'Seasonal Factors'!$E$4)),"")</f>
        <v>0.582997528626441</v>
      </c>
      <c r="F50" s="24" t="n">
        <f aca="false">IFERROR(E50/AVERAGE(E45:E56),"")</f>
        <v>0.579581278604738</v>
      </c>
      <c r="G50" s="23" t="n">
        <f aca="false">IF(ISNUMBER(Tabelle1!F57),(0.5*Tabelle1!F45+SUM(Tabelle1!F46:F56)+0.5*Tabelle1!F57)/12,"")</f>
        <v>130.814061666667</v>
      </c>
      <c r="H50" s="24" t="n">
        <f aca="false">IFERROR(Tabelle1!F51/G50,"")</f>
        <v>0.804758056272671</v>
      </c>
      <c r="I50" s="24" t="n">
        <f aca="false">IFERROR(AVERAGEIFS($H$7:$H$294,$B$7:$B$294,$B50,$A$7:$A$294,"&gt;="&amp;EDATE($A50,-12*'Seasonal Factors'!$E$4),$A$7:$A$294,"&lt;="&amp;EDATE($A50,12*'Seasonal Factors'!$E$4)),"")</f>
        <v>1.12131400444202</v>
      </c>
      <c r="J50" s="24" t="n">
        <f aca="false">IFERROR(I50/AVERAGE(I45:I56),"")</f>
        <v>1.12582551734529</v>
      </c>
      <c r="K50" s="23" t="n">
        <f aca="false">IF(ISNUMBER(Tabelle1!G57),(0.5*Tabelle1!G45+SUM(Tabelle1!G46:G56)+0.5*Tabelle1!G57)/12,"")</f>
        <v>102.581316666667</v>
      </c>
      <c r="L50" s="24" t="n">
        <f aca="false">IFERROR(Tabelle1!G51/K50,"")</f>
        <v>1.02771901770937</v>
      </c>
      <c r="M50" s="24" t="n">
        <f aca="false">IFERROR(AVERAGEIFS($L$7:$L$294,$B$7:$B$294,$B50,$A$7:$A$294,"&gt;="&amp;EDATE($A50,-12*'Seasonal Factors'!$E$4),$A$7:$A$294,"&lt;="&amp;EDATE($A50,12*'Seasonal Factors'!$E$4)),"")</f>
        <v>1.01882662102634</v>
      </c>
      <c r="N50" s="24" t="n">
        <f aca="false">IFERROR(M50/AVERAGE(M45:M56),"")</f>
        <v>1.01891986862701</v>
      </c>
      <c r="O50" s="23" t="n">
        <f aca="false">IF(ISNUMBER(Tabelle1!H57),(0.5*Tabelle1!H45+SUM(Tabelle1!H46:H56)+0.5*Tabelle1!H57)/12,"")</f>
        <v>127.410885833333</v>
      </c>
      <c r="P50" s="24" t="n">
        <f aca="false">IFERROR(Tabelle1!H51/O50,"")</f>
        <v>1.00793781598842</v>
      </c>
      <c r="Q50" s="24" t="n">
        <f aca="false">IFERROR(AVERAGEIFS($P$7:$P$294,$B$7:$B$294,$B50,$A$7:$A$294,"&gt;="&amp;EDATE($A50,-12*'Seasonal Factors'!$E$4),$A$7:$A$294,"&lt;="&amp;EDATE($A50,12*'Seasonal Factors'!$E$4)),"")</f>
        <v>1.02550694677472</v>
      </c>
      <c r="R50" s="24" t="n">
        <f aca="false">IFERROR(Q50/AVERAGE(Q45:Q56),"")</f>
        <v>1.02555178228519</v>
      </c>
      <c r="S50" s="23" t="n">
        <f aca="false">IF(ISNUMBER(Tabelle1!I57),(0.5*Tabelle1!I45+SUM(Tabelle1!I46:I56)+0.5*Tabelle1!I57)/12,"")</f>
        <v>116.321174166667</v>
      </c>
      <c r="T50" s="24" t="n">
        <f aca="false">IFERROR(Tabelle1!I51/S50,"")</f>
        <v>1.01445124540202</v>
      </c>
      <c r="U50" s="24" t="n">
        <f aca="false">IFERROR(AVERAGEIFS($T$7:$T$294,$B$7:$B$294,$B50,$A$7:$A$294,"&gt;="&amp;EDATE($A50,-12*'Seasonal Factors'!$E$4),$A$7:$A$294,"&lt;="&amp;EDATE($A50,12*'Seasonal Factors'!$E$4)),"")</f>
        <v>1.03461990353265</v>
      </c>
      <c r="V50" s="24" t="n">
        <f aca="false">IFERROR(U50/AVERAGE(U45:U56),"")</f>
        <v>1.03422736093377</v>
      </c>
      <c r="W50" s="23" t="n">
        <f aca="false">IF(ISNUMBER(Tabelle1!J57),(0.5*Tabelle1!J45+SUM(Tabelle1!J46:J56)+0.5*Tabelle1!J57)/12,"")</f>
        <v>141.496097083333</v>
      </c>
      <c r="X50" s="24" t="n">
        <f aca="false">IFERROR(Tabelle1!J51/W50,"")</f>
        <v>1.01792171635076</v>
      </c>
      <c r="Y50" s="24" t="n">
        <f aca="false">IFERROR(AVERAGEIFS($X$7:$X$294,$B$7:$B$294,$B50,$A$7:$A$294,"&gt;="&amp;EDATE($A50,-12*'Seasonal Factors'!$E$4),$A$7:$A$294,"&lt;="&amp;EDATE($A50,12*'Seasonal Factors'!$E$4)),"")</f>
        <v>1.02037421725097</v>
      </c>
      <c r="Z50" s="24" t="n">
        <f aca="false">IFERROR(Y50/AVERAGE(Y45:Y56),"")</f>
        <v>1.0204053518587</v>
      </c>
      <c r="AA50" s="23" t="n">
        <f aca="false">IF(ISNUMBER(Tabelle1!K57),(0.5*Tabelle1!K45+SUM(Tabelle1!K46:K56)+0.5*Tabelle1!K57)/12,"")</f>
        <v>138.042988333333</v>
      </c>
      <c r="AB50" s="24" t="n">
        <f aca="false">IFERROR(Tabelle1!K51/AA50,"")</f>
        <v>1.01623821458613</v>
      </c>
      <c r="AC50" s="24" t="n">
        <f aca="false">IFERROR(AVERAGEIFS($AB$7:$AB$294,$B$7:$B$294,$B50,$A$7:$A$294,"&gt;="&amp;EDATE($A50,-12*'Seasonal Factors'!$E$4),$A$7:$A$294,"&lt;="&amp;EDATE($A50,12*'Seasonal Factors'!$E$4)),"")</f>
        <v>1.01433190004536</v>
      </c>
      <c r="AD50" s="24" t="n">
        <f aca="false">IFERROR(AC50/AVERAGE(AC45:AC56),"")</f>
        <v>1.01425748503385</v>
      </c>
      <c r="AE50" s="23" t="n">
        <f aca="false">IF(ISNUMBER(Tabelle1!L57),(0.5*Tabelle1!L45+SUM(Tabelle1!L46:L56)+0.5*Tabelle1!L57)/12,"")</f>
        <v>139.57277125</v>
      </c>
      <c r="AF50" s="24" t="n">
        <f aca="false">IFERROR(Tabelle1!L51/AE50,"")</f>
        <v>0.974242531563978</v>
      </c>
      <c r="AG50" s="24" t="n">
        <f aca="false">IFERROR(AVERAGEIFS($AF$7:$AF$294,$B$7:$B$294,$B50,$A$7:$A$294,"&gt;="&amp;EDATE($A50,-12*'Seasonal Factors'!$E$4),$A$7:$A$294,"&lt;="&amp;EDATE($A50,12*'Seasonal Factors'!$E$4)),"")</f>
        <v>0.985415026540985</v>
      </c>
      <c r="AH50" s="24" t="n">
        <f aca="false">IFERROR(AG50/AVERAGE(AG45:AG56),"")</f>
        <v>0.985641707742682</v>
      </c>
      <c r="AI50" s="23" t="n">
        <f aca="false">IF(ISNUMBER(Tabelle1!M57),(0.5*Tabelle1!M45+SUM(Tabelle1!M46:M56)+0.5*Tabelle1!M57)/12,"")</f>
        <v>147.730180833333</v>
      </c>
      <c r="AJ50" s="24" t="n">
        <f aca="false">IFERROR(Tabelle1!M51/AI50,"")</f>
        <v>0.993674001967224</v>
      </c>
      <c r="AK50" s="24" t="n">
        <f aca="false">IFERROR(AVERAGEIFS($AJ$7:$AJ$294,$B$7:$B$294,$B50,$A$7:$A$294,"&gt;="&amp;EDATE($A50,-12*'Seasonal Factors'!$E$4),$A$7:$A$294,"&lt;="&amp;EDATE($A50,12*'Seasonal Factors'!$E$4)),"")</f>
        <v>0.993931492542047</v>
      </c>
      <c r="AL50" s="24" t="n">
        <f aca="false">IFERROR(AK50/AVERAGE(AK45:AK56),"")</f>
        <v>0.993604139158558</v>
      </c>
      <c r="AM50" s="23" t="n">
        <f aca="false">IF(ISNUMBER(Tabelle1!N57),(0.5*Tabelle1!N45+SUM(Tabelle1!N46:N56)+0.5*Tabelle1!N57)/12,"")</f>
        <v>143.148665</v>
      </c>
      <c r="AN50" s="24" t="n">
        <f aca="false">IFERROR(Tabelle1!N51/AM50,"")</f>
        <v>1.01307916493668</v>
      </c>
      <c r="AO50" s="24" t="n">
        <f aca="false">IFERROR(AVERAGEIFS($AN$7:$AN$294,$B$7:$B$294,$B50,$A$7:$A$294,"&gt;="&amp;EDATE($A50,-12*'Seasonal Factors'!$E$4),$A$7:$A$294,"&lt;="&amp;EDATE($A50,12*'Seasonal Factors'!$E$4)),"")</f>
        <v>1.00807644271083</v>
      </c>
      <c r="AP50" s="24" t="n">
        <f aca="false">IFERROR(AO50/AVERAGE(AO45:AO56),"")</f>
        <v>1.00809775857725</v>
      </c>
      <c r="AQ50" s="23" t="n">
        <f aca="false">IF(ISNUMBER(Tabelle1!O57),(0.5*Tabelle1!O45+SUM(Tabelle1!O46:O56)+0.5*Tabelle1!O57)/12,"")</f>
        <v>120.181282916667</v>
      </c>
      <c r="AR50" s="24" t="n">
        <f aca="false">IFERROR(Tabelle1!O51/AQ50,"")</f>
        <v>1.01529486987261</v>
      </c>
      <c r="AS50" s="24" t="n">
        <f aca="false">IFERROR(AVERAGEIFS($AR$7:$AR$294,$B$7:$B$294,$B50,$A$7:$A$294,"&gt;="&amp;EDATE($A50,-12*'Seasonal Factors'!$E$4),$A$7:$A$294,"&lt;="&amp;EDATE($A50,12*'Seasonal Factors'!$E$4)),"")</f>
        <v>1.00816999652362</v>
      </c>
      <c r="AT50" s="24" t="n">
        <f aca="false">IFERROR(AS50/AVERAGE(AS45:AS56),"")</f>
        <v>1.00779167615462</v>
      </c>
      <c r="AU50" s="23" t="n">
        <f aca="false">IF(ISNUMBER(Tabelle1!P57),(0.5*Tabelle1!P45+SUM(Tabelle1!P46:P56)+0.5*Tabelle1!P57)/12,"")</f>
        <v>115.358061666667</v>
      </c>
      <c r="AV50" s="24" t="n">
        <f aca="false">IFERROR(Tabelle1!P51/AU50,"")</f>
        <v>0.999699182994536</v>
      </c>
      <c r="AW50" s="24" t="n">
        <f aca="false">IFERROR(AVERAGEIFS($AV$7:$AV$294,$B$7:$B$294,$B50,$A$7:$A$294,"&gt;="&amp;EDATE($A50,-12*'Seasonal Factors'!$E$4),$A$7:$A$294,"&lt;="&amp;EDATE($A50,12*'Seasonal Factors'!$E$4)),"")</f>
        <v>1.00188352886444</v>
      </c>
      <c r="AX50" s="24" t="n">
        <f aca="false">IFERROR(AW50/AVERAGE(AW45:AW56),"")</f>
        <v>1.00187783939995</v>
      </c>
      <c r="AY50" s="23" t="n">
        <f aca="false">IF(ISNUMBER(Tabelle1!Q57),(0.5*Tabelle1!Q45+SUM(Tabelle1!Q46:Q56)+0.5*Tabelle1!Q57)/12,"")</f>
        <v>117.046873333333</v>
      </c>
      <c r="AZ50" s="24" t="n">
        <f aca="false">IFERROR(Tabelle1!Q51/AY50,"")</f>
        <v>1.00846529803359</v>
      </c>
      <c r="BA50" s="24" t="n">
        <f aca="false">IFERROR(AVERAGEIFS($AZ$7:$AZ$294,$B$7:$B$294,$B50,$A$7:$A$294,"&gt;="&amp;EDATE($A50,-12*'Seasonal Factors'!$E$4),$A$7:$A$294,"&lt;="&amp;EDATE($A50,12*'Seasonal Factors'!$E$4)),"")</f>
        <v>1.00738157446237</v>
      </c>
      <c r="BB50" s="24" t="n">
        <f aca="false">IFERROR(BA50/AVERAGE(BA45:BA56),"")</f>
        <v>1.00742250259064</v>
      </c>
      <c r="BC50" s="23" t="n">
        <f aca="false">IF(ISNUMBER(Tabelle1!R57),(0.5*Tabelle1!R45+SUM(Tabelle1!R46:R56)+0.5*Tabelle1!R57)/12,"")</f>
        <v>120.759904166667</v>
      </c>
      <c r="BD50" s="24" t="n">
        <f aca="false">IFERROR(Tabelle1!R51/BC50,"")</f>
        <v>1.03700504620446</v>
      </c>
      <c r="BE50" s="24" t="n">
        <f aca="false">IFERROR(AVERAGEIFS($BD$7:$BD$294,$B$7:$B$294,$B50,$A$7:$A$294,"&gt;="&amp;EDATE($A50,-12*'Seasonal Factors'!$E$4),$A$7:$A$294,"&lt;="&amp;EDATE($A50,12*'Seasonal Factors'!$E$4)),"")</f>
        <v>1.03389607366829</v>
      </c>
      <c r="BF50" s="24" t="n">
        <f aca="false">IFERROR(BE50/AVERAGE(BE45:BE56),"")</f>
        <v>1.03386445440433</v>
      </c>
      <c r="BG50" s="23" t="n">
        <f aca="false">IF(ISNUMBER(Tabelle1!S57),(0.5*Tabelle1!S45+SUM(Tabelle1!S46:S56)+0.5*Tabelle1!S57)/12,"")</f>
        <v>131.849095</v>
      </c>
      <c r="BH50" s="24" t="n">
        <f aca="false">IFERROR(Tabelle1!S51/BG50,"")</f>
        <v>1.04627255879155</v>
      </c>
      <c r="BI50" s="24" t="n">
        <f aca="false">IFERROR(AVERAGEIFS($BH$7:$BH$294,$B$7:$B$294,$B50,$A$7:$A$294,"&gt;="&amp;EDATE($A50,-12*'Seasonal Factors'!$E$4),$A$7:$A$294,"&lt;="&amp;EDATE($A50,12*'Seasonal Factors'!$E$4)),"")</f>
        <v>1.01616959503514</v>
      </c>
      <c r="BJ50" s="24" t="n">
        <f aca="false">IFERROR(BI50/AVERAGE(BI45:BI56),"")</f>
        <v>1.0160174851502</v>
      </c>
    </row>
    <row r="51" customFormat="false" ht="15" hidden="false" customHeight="false" outlineLevel="0" collapsed="false">
      <c r="A51" s="20" t="n">
        <v>39355</v>
      </c>
      <c r="B51" s="22" t="n">
        <f aca="false">MONTH(A51)</f>
        <v>9</v>
      </c>
      <c r="C51" s="23" t="n">
        <f aca="false">IF(ISNUMBER(Tabelle1!E58),(0.5*Tabelle1!E46+SUM(Tabelle1!E47:E57)+0.5*Tabelle1!E58)/12,"")</f>
        <v>127.706789583333</v>
      </c>
      <c r="D51" s="24" t="n">
        <f aca="false">IFERROR(Tabelle1!E52/C51,"")</f>
        <v>0.503994425120212</v>
      </c>
      <c r="E51" s="24" t="n">
        <f aca="false">IFERROR(AVERAGEIFS($D$7:$D$294,$B$7:$B$294,$B51,$A$7:$A$294,"&gt;="&amp;EDATE($A51,-12*'Seasonal Factors'!$E$4),$A$7:$A$294,"&lt;="&amp;EDATE($A51,12*'Seasonal Factors'!$E$4)),"")</f>
        <v>0.549005853232798</v>
      </c>
      <c r="F51" s="24" t="n">
        <f aca="false">IFERROR(E51/AVERAGE(E46:E57),"")</f>
        <v>0.545619382521618</v>
      </c>
      <c r="G51" s="23" t="n">
        <f aca="false">IF(ISNUMBER(Tabelle1!F58),(0.5*Tabelle1!F46+SUM(Tabelle1!F47:F57)+0.5*Tabelle1!F58)/12,"")</f>
        <v>126.495301666667</v>
      </c>
      <c r="H51" s="24" t="n">
        <f aca="false">IFERROR(Tabelle1!F52/G51,"")</f>
        <v>0.63691867554343</v>
      </c>
      <c r="I51" s="24" t="n">
        <f aca="false">IFERROR(AVERAGEIFS($H$7:$H$294,$B$7:$B$294,$B51,$A$7:$A$294,"&gt;="&amp;EDATE($A51,-12*'Seasonal Factors'!$E$4),$A$7:$A$294,"&lt;="&amp;EDATE($A51,12*'Seasonal Factors'!$E$4)),"")</f>
        <v>0.89818807692914</v>
      </c>
      <c r="J51" s="24" t="n">
        <f aca="false">IFERROR(I51/AVERAGE(I46:I57),"")</f>
        <v>0.902598340113706</v>
      </c>
      <c r="K51" s="23" t="n">
        <f aca="false">IF(ISNUMBER(Tabelle1!G58),(0.5*Tabelle1!G46+SUM(Tabelle1!G47:G57)+0.5*Tabelle1!G58)/12,"")</f>
        <v>102.707297916667</v>
      </c>
      <c r="L51" s="24" t="n">
        <f aca="false">IFERROR(Tabelle1!G52/K51,"")</f>
        <v>1.00521717632732</v>
      </c>
      <c r="M51" s="24" t="n">
        <f aca="false">IFERROR(AVERAGEIFS($L$7:$L$294,$B$7:$B$294,$B51,$A$7:$A$294,"&gt;="&amp;EDATE($A51,-12*'Seasonal Factors'!$E$4),$A$7:$A$294,"&lt;="&amp;EDATE($A51,12*'Seasonal Factors'!$E$4)),"")</f>
        <v>1.00520560224056</v>
      </c>
      <c r="N51" s="24" t="n">
        <f aca="false">IFERROR(M51/AVERAGE(M46:M57),"")</f>
        <v>1.00543679455769</v>
      </c>
      <c r="O51" s="23" t="n">
        <f aca="false">IF(ISNUMBER(Tabelle1!H58),(0.5*Tabelle1!H46+SUM(Tabelle1!H47:H57)+0.5*Tabelle1!H58)/12,"")</f>
        <v>127.916815833333</v>
      </c>
      <c r="P51" s="24" t="n">
        <f aca="false">IFERROR(Tabelle1!H52/O51,"")</f>
        <v>1.0247640167247</v>
      </c>
      <c r="Q51" s="24" t="n">
        <f aca="false">IFERROR(AVERAGEIFS($P$7:$P$294,$B$7:$B$294,$B51,$A$7:$A$294,"&gt;="&amp;EDATE($A51,-12*'Seasonal Factors'!$E$4),$A$7:$A$294,"&lt;="&amp;EDATE($A51,12*'Seasonal Factors'!$E$4)),"")</f>
        <v>1.0337667960654</v>
      </c>
      <c r="R51" s="24" t="n">
        <f aca="false">IFERROR(Q51/AVERAGE(Q46:Q57),"")</f>
        <v>1.03356405279512</v>
      </c>
      <c r="S51" s="23" t="n">
        <f aca="false">IF(ISNUMBER(Tabelle1!I58),(0.5*Tabelle1!I46+SUM(Tabelle1!I47:I57)+0.5*Tabelle1!I58)/12,"")</f>
        <v>116.919068333333</v>
      </c>
      <c r="T51" s="24" t="n">
        <f aca="false">IFERROR(Tabelle1!I52/S51,"")</f>
        <v>0.95910899392644</v>
      </c>
      <c r="U51" s="24" t="n">
        <f aca="false">IFERROR(AVERAGEIFS($T$7:$T$294,$B$7:$B$294,$B51,$A$7:$A$294,"&gt;="&amp;EDATE($A51,-12*'Seasonal Factors'!$E$4),$A$7:$A$294,"&lt;="&amp;EDATE($A51,12*'Seasonal Factors'!$E$4)),"")</f>
        <v>0.965307588815014</v>
      </c>
      <c r="V51" s="24" t="n">
        <f aca="false">IFERROR(U51/AVERAGE(U46:U57),"")</f>
        <v>0.964945324712151</v>
      </c>
      <c r="W51" s="23" t="n">
        <f aca="false">IF(ISNUMBER(Tabelle1!J58),(0.5*Tabelle1!J46+SUM(Tabelle1!J47:J57)+0.5*Tabelle1!J58)/12,"")</f>
        <v>142.335</v>
      </c>
      <c r="X51" s="24" t="n">
        <f aca="false">IFERROR(Tabelle1!J52/W51,"")</f>
        <v>1.01614782028313</v>
      </c>
      <c r="Y51" s="24" t="n">
        <f aca="false">IFERROR(AVERAGEIFS($X$7:$X$294,$B$7:$B$294,$B51,$A$7:$A$294,"&gt;="&amp;EDATE($A51,-12*'Seasonal Factors'!$E$4),$A$7:$A$294,"&lt;="&amp;EDATE($A51,12*'Seasonal Factors'!$E$4)),"")</f>
        <v>1.03511914133867</v>
      </c>
      <c r="Z51" s="24" t="n">
        <f aca="false">IFERROR(Y51/AVERAGE(Y46:Y57),"")</f>
        <v>1.03518932400285</v>
      </c>
      <c r="AA51" s="23" t="n">
        <f aca="false">IF(ISNUMBER(Tabelle1!K58),(0.5*Tabelle1!K46+SUM(Tabelle1!K47:K57)+0.5*Tabelle1!K58)/12,"")</f>
        <v>138.829179583333</v>
      </c>
      <c r="AB51" s="24" t="n">
        <f aca="false">IFERROR(Tabelle1!K52/AA51,"")</f>
        <v>0.9936833194148</v>
      </c>
      <c r="AC51" s="24" t="n">
        <f aca="false">IFERROR(AVERAGEIFS($AB$7:$AB$294,$B$7:$B$294,$B51,$A$7:$A$294,"&gt;="&amp;EDATE($A51,-12*'Seasonal Factors'!$E$4),$A$7:$A$294,"&lt;="&amp;EDATE($A51,12*'Seasonal Factors'!$E$4)),"")</f>
        <v>1.01937831152968</v>
      </c>
      <c r="AD51" s="24" t="n">
        <f aca="false">IFERROR(AC51/AVERAGE(AC46:AC57),"")</f>
        <v>1.01953924517981</v>
      </c>
      <c r="AE51" s="23" t="n">
        <f aca="false">IF(ISNUMBER(Tabelle1!L58),(0.5*Tabelle1!L46+SUM(Tabelle1!L47:L57)+0.5*Tabelle1!L58)/12,"")</f>
        <v>140.014647916667</v>
      </c>
      <c r="AF51" s="24" t="n">
        <f aca="false">IFERROR(Tabelle1!L52/AE51,"")</f>
        <v>0.981068638488137</v>
      </c>
      <c r="AG51" s="24" t="n">
        <f aca="false">IFERROR(AVERAGEIFS($AF$7:$AF$294,$B$7:$B$294,$B51,$A$7:$A$294,"&gt;="&amp;EDATE($A51,-12*'Seasonal Factors'!$E$4),$A$7:$A$294,"&lt;="&amp;EDATE($A51,12*'Seasonal Factors'!$E$4)),"")</f>
        <v>0.995787714249506</v>
      </c>
      <c r="AH51" s="24" t="n">
        <f aca="false">IFERROR(AG51/AVERAGE(AG46:AG57),"")</f>
        <v>0.996253754200084</v>
      </c>
      <c r="AI51" s="23" t="n">
        <f aca="false">IF(ISNUMBER(Tabelle1!M58),(0.5*Tabelle1!M46+SUM(Tabelle1!M47:M57)+0.5*Tabelle1!M58)/12,"")</f>
        <v>148.69497875</v>
      </c>
      <c r="AJ51" s="24" t="n">
        <f aca="false">IFERROR(Tabelle1!M52/AI51,"")</f>
        <v>0.967599116052868</v>
      </c>
      <c r="AK51" s="24" t="n">
        <f aca="false">IFERROR(AVERAGEIFS($AJ$7:$AJ$294,$B$7:$B$294,$B51,$A$7:$A$294,"&gt;="&amp;EDATE($A51,-12*'Seasonal Factors'!$E$4),$A$7:$A$294,"&lt;="&amp;EDATE($A51,12*'Seasonal Factors'!$E$4)),"")</f>
        <v>0.98163662906674</v>
      </c>
      <c r="AL51" s="24" t="n">
        <f aca="false">IFERROR(AK51/AVERAGE(AK46:AK57),"")</f>
        <v>0.981356689207862</v>
      </c>
      <c r="AM51" s="23" t="n">
        <f aca="false">IF(ISNUMBER(Tabelle1!N58),(0.5*Tabelle1!N46+SUM(Tabelle1!N47:N57)+0.5*Tabelle1!N58)/12,"")</f>
        <v>143.894712083333</v>
      </c>
      <c r="AN51" s="24" t="n">
        <f aca="false">IFERROR(Tabelle1!N52/AM51,"")</f>
        <v>0.972105492792475</v>
      </c>
      <c r="AO51" s="24" t="n">
        <f aca="false">IFERROR(AVERAGEIFS($AN$7:$AN$294,$B$7:$B$294,$B51,$A$7:$A$294,"&gt;="&amp;EDATE($A51,-12*'Seasonal Factors'!$E$4),$A$7:$A$294,"&lt;="&amp;EDATE($A51,12*'Seasonal Factors'!$E$4)),"")</f>
        <v>0.99500083152477</v>
      </c>
      <c r="AP51" s="24" t="n">
        <f aca="false">IFERROR(AO51/AVERAGE(AO46:AO57),"")</f>
        <v>0.994851713628486</v>
      </c>
      <c r="AQ51" s="23" t="n">
        <f aca="false">IF(ISNUMBER(Tabelle1!O58),(0.5*Tabelle1!O46+SUM(Tabelle1!O47:O57)+0.5*Tabelle1!O58)/12,"")</f>
        <v>120.771791666667</v>
      </c>
      <c r="AR51" s="24" t="n">
        <f aca="false">IFERROR(Tabelle1!O52/AQ51,"")</f>
        <v>1.00203166923292</v>
      </c>
      <c r="AS51" s="24" t="n">
        <f aca="false">IFERROR(AVERAGEIFS($AR$7:$AR$294,$B$7:$B$294,$B51,$A$7:$A$294,"&gt;="&amp;EDATE($A51,-12*'Seasonal Factors'!$E$4),$A$7:$A$294,"&lt;="&amp;EDATE($A51,12*'Seasonal Factors'!$E$4)),"")</f>
        <v>1.01230180897073</v>
      </c>
      <c r="AT51" s="24" t="n">
        <f aca="false">IFERROR(AS51/AVERAGE(AS46:AS57),"")</f>
        <v>1.01189718018222</v>
      </c>
      <c r="AU51" s="23" t="n">
        <f aca="false">IF(ISNUMBER(Tabelle1!P58),(0.5*Tabelle1!P46+SUM(Tabelle1!P47:P57)+0.5*Tabelle1!P58)/12,"")</f>
        <v>115.73541875</v>
      </c>
      <c r="AV51" s="24" t="n">
        <f aca="false">IFERROR(Tabelle1!P52/AU51,"")</f>
        <v>0.997957420878127</v>
      </c>
      <c r="AW51" s="24" t="n">
        <f aca="false">IFERROR(AVERAGEIFS($AV$7:$AV$294,$B$7:$B$294,$B51,$A$7:$A$294,"&gt;="&amp;EDATE($A51,-12*'Seasonal Factors'!$E$4),$A$7:$A$294,"&lt;="&amp;EDATE($A51,12*'Seasonal Factors'!$E$4)),"")</f>
        <v>1.00483518740286</v>
      </c>
      <c r="AX51" s="24" t="n">
        <f aca="false">IFERROR(AW51/AVERAGE(AW46:AW57),"")</f>
        <v>1.00475421951786</v>
      </c>
      <c r="AY51" s="23" t="n">
        <f aca="false">IF(ISNUMBER(Tabelle1!Q58),(0.5*Tabelle1!Q46+SUM(Tabelle1!Q47:Q57)+0.5*Tabelle1!Q58)/12,"")</f>
        <v>117.359072916667</v>
      </c>
      <c r="AZ51" s="24" t="n">
        <f aca="false">IFERROR(Tabelle1!Q52/AY51,"")</f>
        <v>1.00572991134491</v>
      </c>
      <c r="BA51" s="24" t="n">
        <f aca="false">IFERROR(AVERAGEIFS($AZ$7:$AZ$294,$B$7:$B$294,$B51,$A$7:$A$294,"&gt;="&amp;EDATE($A51,-12*'Seasonal Factors'!$E$4),$A$7:$A$294,"&lt;="&amp;EDATE($A51,12*'Seasonal Factors'!$E$4)),"")</f>
        <v>1.01004171979002</v>
      </c>
      <c r="BB51" s="24" t="n">
        <f aca="false">IFERROR(BA51/AVERAGE(BA46:BA57),"")</f>
        <v>1.01000145219236</v>
      </c>
      <c r="BC51" s="23" t="n">
        <f aca="false">IF(ISNUMBER(Tabelle1!R58),(0.5*Tabelle1!R46+SUM(Tabelle1!R47:R57)+0.5*Tabelle1!R58)/12,"")</f>
        <v>121.263900416667</v>
      </c>
      <c r="BD51" s="24" t="n">
        <f aca="false">IFERROR(Tabelle1!R52/BC51,"")</f>
        <v>1.00234199611226</v>
      </c>
      <c r="BE51" s="24" t="n">
        <f aca="false">IFERROR(AVERAGEIFS($BD$7:$BD$294,$B$7:$B$294,$B51,$A$7:$A$294,"&gt;="&amp;EDATE($A51,-12*'Seasonal Factors'!$E$4),$A$7:$A$294,"&lt;="&amp;EDATE($A51,12*'Seasonal Factors'!$E$4)),"")</f>
        <v>1.01279738272187</v>
      </c>
      <c r="BF51" s="24" t="n">
        <f aca="false">IFERROR(BE51/AVERAGE(BE46:BE57),"")</f>
        <v>1.01247232972915</v>
      </c>
      <c r="BG51" s="23" t="n">
        <f aca="false">IF(ISNUMBER(Tabelle1!S58),(0.5*Tabelle1!S46+SUM(Tabelle1!S47:S57)+0.5*Tabelle1!S58)/12,"")</f>
        <v>132.323529583333</v>
      </c>
      <c r="BH51" s="24" t="n">
        <f aca="false">IFERROR(Tabelle1!S52/BG51,"")</f>
        <v>0.977889120759201</v>
      </c>
      <c r="BI51" s="24" t="n">
        <f aca="false">IFERROR(AVERAGEIFS($BH$7:$BH$294,$B$7:$B$294,$B51,$A$7:$A$294,"&gt;="&amp;EDATE($A51,-12*'Seasonal Factors'!$E$4),$A$7:$A$294,"&lt;="&amp;EDATE($A51,12*'Seasonal Factors'!$E$4)),"")</f>
        <v>0.977599452218232</v>
      </c>
      <c r="BJ51" s="24" t="n">
        <f aca="false">IFERROR(BI51/AVERAGE(BI46:BI57),"")</f>
        <v>0.977568889374109</v>
      </c>
    </row>
    <row r="52" customFormat="false" ht="15" hidden="false" customHeight="false" outlineLevel="0" collapsed="false">
      <c r="A52" s="20" t="n">
        <v>39386</v>
      </c>
      <c r="B52" s="22" t="n">
        <f aca="false">MONTH(A52)</f>
        <v>10</v>
      </c>
      <c r="C52" s="23" t="n">
        <f aca="false">IF(ISNUMBER(Tabelle1!E59),(0.5*Tabelle1!E47+SUM(Tabelle1!E48:E58)+0.5*Tabelle1!E59)/12,"")</f>
        <v>127.636467916667</v>
      </c>
      <c r="D52" s="24" t="n">
        <f aca="false">IFERROR(Tabelle1!E53/C52,"")</f>
        <v>0.522793532985934</v>
      </c>
      <c r="E52" s="24" t="n">
        <f aca="false">IFERROR(AVERAGEIFS($D$7:$D$294,$B$7:$B$294,$B52,$A$7:$A$294,"&gt;="&amp;EDATE($A52,-12*'Seasonal Factors'!$E$4),$A$7:$A$294,"&lt;="&amp;EDATE($A52,12*'Seasonal Factors'!$E$4)),"")</f>
        <v>0.552196774553334</v>
      </c>
      <c r="F52" s="24" t="n">
        <f aca="false">IFERROR(E52/AVERAGE(E47:E58),"")</f>
        <v>0.549849838224405</v>
      </c>
      <c r="G52" s="23" t="n">
        <f aca="false">IF(ISNUMBER(Tabelle1!F59),(0.5*Tabelle1!F47+SUM(Tabelle1!F48:F58)+0.5*Tabelle1!F59)/12,"")</f>
        <v>122.079301666667</v>
      </c>
      <c r="H52" s="24" t="n">
        <f aca="false">IFERROR(Tabelle1!F53/G52,"")</f>
        <v>0.550574086535363</v>
      </c>
      <c r="I52" s="24" t="n">
        <f aca="false">IFERROR(AVERAGEIFS($H$7:$H$294,$B$7:$B$294,$B52,$A$7:$A$294,"&gt;="&amp;EDATE($A52,-12*'Seasonal Factors'!$E$4),$A$7:$A$294,"&lt;="&amp;EDATE($A52,12*'Seasonal Factors'!$E$4)),"")</f>
        <v>0.827476738546947</v>
      </c>
      <c r="J52" s="24" t="n">
        <f aca="false">IFERROR(I52/AVERAGE(I47:I58),"")</f>
        <v>0.834974731917733</v>
      </c>
      <c r="K52" s="23" t="n">
        <f aca="false">IF(ISNUMBER(Tabelle1!G59),(0.5*Tabelle1!G47+SUM(Tabelle1!G48:G58)+0.5*Tabelle1!G59)/12,"")</f>
        <v>102.592825416667</v>
      </c>
      <c r="L52" s="24" t="n">
        <f aca="false">IFERROR(Tabelle1!G53/K52,"")</f>
        <v>1.01926065078438</v>
      </c>
      <c r="M52" s="24" t="n">
        <f aca="false">IFERROR(AVERAGEIFS($L$7:$L$294,$B$7:$B$294,$B52,$A$7:$A$294,"&gt;="&amp;EDATE($A52,-12*'Seasonal Factors'!$E$4),$A$7:$A$294,"&lt;="&amp;EDATE($A52,12*'Seasonal Factors'!$E$4)),"")</f>
        <v>1.02095526709505</v>
      </c>
      <c r="N52" s="24" t="n">
        <f aca="false">IFERROR(M52/AVERAGE(M47:M58),"")</f>
        <v>1.02123505760946</v>
      </c>
      <c r="O52" s="23" t="n">
        <f aca="false">IF(ISNUMBER(Tabelle1!H59),(0.5*Tabelle1!H47+SUM(Tabelle1!H48:H58)+0.5*Tabelle1!H59)/12,"")</f>
        <v>128.55166125</v>
      </c>
      <c r="P52" s="24" t="n">
        <f aca="false">IFERROR(Tabelle1!H53/O52,"")</f>
        <v>1.07941047708553</v>
      </c>
      <c r="Q52" s="24" t="n">
        <f aca="false">IFERROR(AVERAGEIFS($P$7:$P$294,$B$7:$B$294,$B52,$A$7:$A$294,"&gt;="&amp;EDATE($A52,-12*'Seasonal Factors'!$E$4),$A$7:$A$294,"&lt;="&amp;EDATE($A52,12*'Seasonal Factors'!$E$4)),"")</f>
        <v>1.06054297091184</v>
      </c>
      <c r="R52" s="24" t="n">
        <f aca="false">IFERROR(Q52/AVERAGE(Q47:Q58),"")</f>
        <v>1.06063620781303</v>
      </c>
      <c r="S52" s="23" t="n">
        <f aca="false">IF(ISNUMBER(Tabelle1!I59),(0.5*Tabelle1!I47+SUM(Tabelle1!I48:I58)+0.5*Tabelle1!I59)/12,"")</f>
        <v>117.3326975</v>
      </c>
      <c r="T52" s="24" t="n">
        <f aca="false">IFERROR(Tabelle1!I53/S52,"")</f>
        <v>0.953195932446708</v>
      </c>
      <c r="U52" s="24" t="n">
        <f aca="false">IFERROR(AVERAGEIFS($T$7:$T$294,$B$7:$B$294,$B52,$A$7:$A$294,"&gt;="&amp;EDATE($A52,-12*'Seasonal Factors'!$E$4),$A$7:$A$294,"&lt;="&amp;EDATE($A52,12*'Seasonal Factors'!$E$4)),"")</f>
        <v>0.95029215118402</v>
      </c>
      <c r="V52" s="24" t="n">
        <f aca="false">IFERROR(U52/AVERAGE(U47:U58),"")</f>
        <v>0.94991865298654</v>
      </c>
      <c r="W52" s="23" t="n">
        <f aca="false">IF(ISNUMBER(Tabelle1!J59),(0.5*Tabelle1!J47+SUM(Tabelle1!J48:J58)+0.5*Tabelle1!J59)/12,"")</f>
        <v>143.314713333333</v>
      </c>
      <c r="X52" s="24" t="n">
        <f aca="false">IFERROR(Tabelle1!J53/W52,"")</f>
        <v>0.996035415205333</v>
      </c>
      <c r="Y52" s="24" t="n">
        <f aca="false">IFERROR(AVERAGEIFS($X$7:$X$294,$B$7:$B$294,$B52,$A$7:$A$294,"&gt;="&amp;EDATE($A52,-12*'Seasonal Factors'!$E$4),$A$7:$A$294,"&lt;="&amp;EDATE($A52,12*'Seasonal Factors'!$E$4)),"")</f>
        <v>0.979987803255272</v>
      </c>
      <c r="Z52" s="24" t="n">
        <f aca="false">IFERROR(Y52/AVERAGE(Y47:Y58),"")</f>
        <v>0.98003682367587</v>
      </c>
      <c r="AA52" s="23" t="n">
        <f aca="false">IF(ISNUMBER(Tabelle1!K59),(0.5*Tabelle1!K47+SUM(Tabelle1!K48:K58)+0.5*Tabelle1!K59)/12,"")</f>
        <v>139.9732275</v>
      </c>
      <c r="AB52" s="24" t="n">
        <f aca="false">IFERROR(Tabelle1!K53/AA52,"")</f>
        <v>1.04118496517486</v>
      </c>
      <c r="AC52" s="24" t="n">
        <f aca="false">IFERROR(AVERAGEIFS($AB$7:$AB$294,$B$7:$B$294,$B52,$A$7:$A$294,"&gt;="&amp;EDATE($A52,-12*'Seasonal Factors'!$E$4),$A$7:$A$294,"&lt;="&amp;EDATE($A52,12*'Seasonal Factors'!$E$4)),"")</f>
        <v>1.01525716856073</v>
      </c>
      <c r="AD52" s="24" t="n">
        <f aca="false">IFERROR(AC52/AVERAGE(AC47:AC58),"")</f>
        <v>1.01620209526545</v>
      </c>
      <c r="AE52" s="23" t="n">
        <f aca="false">IF(ISNUMBER(Tabelle1!L59),(0.5*Tabelle1!L47+SUM(Tabelle1!L48:L58)+0.5*Tabelle1!L59)/12,"")</f>
        <v>140.291823333333</v>
      </c>
      <c r="AF52" s="24" t="n">
        <f aca="false">IFERROR(Tabelle1!L53/AE52,"")</f>
        <v>1.00785103964363</v>
      </c>
      <c r="AG52" s="24" t="n">
        <f aca="false">IFERROR(AVERAGEIFS($AF$7:$AF$294,$B$7:$B$294,$B52,$A$7:$A$294,"&gt;="&amp;EDATE($A52,-12*'Seasonal Factors'!$E$4),$A$7:$A$294,"&lt;="&amp;EDATE($A52,12*'Seasonal Factors'!$E$4)),"")</f>
        <v>1.01032058162431</v>
      </c>
      <c r="AH52" s="24" t="n">
        <f aca="false">IFERROR(AG52/AVERAGE(AG47:AG58),"")</f>
        <v>1.01071091997752</v>
      </c>
      <c r="AI52" s="23" t="n">
        <f aca="false">IF(ISNUMBER(Tabelle1!M59),(0.5*Tabelle1!M47+SUM(Tabelle1!M48:M58)+0.5*Tabelle1!M59)/12,"")</f>
        <v>149.562365</v>
      </c>
      <c r="AJ52" s="24" t="n">
        <f aca="false">IFERROR(Tabelle1!M53/AI52,"")</f>
        <v>0.996523824693465</v>
      </c>
      <c r="AK52" s="24" t="n">
        <f aca="false">IFERROR(AVERAGEIFS($AJ$7:$AJ$294,$B$7:$B$294,$B52,$A$7:$A$294,"&gt;="&amp;EDATE($A52,-12*'Seasonal Factors'!$E$4),$A$7:$A$294,"&lt;="&amp;EDATE($A52,12*'Seasonal Factors'!$E$4)),"")</f>
        <v>0.989545969444495</v>
      </c>
      <c r="AL52" s="24" t="n">
        <f aca="false">IFERROR(AK52/AVERAGE(AK47:AK58),"")</f>
        <v>0.989482486354932</v>
      </c>
      <c r="AM52" s="23" t="n">
        <f aca="false">IF(ISNUMBER(Tabelle1!N59),(0.5*Tabelle1!N47+SUM(Tabelle1!N48:N58)+0.5*Tabelle1!N59)/12,"")</f>
        <v>144.658935833333</v>
      </c>
      <c r="AN52" s="24" t="n">
        <f aca="false">IFERROR(Tabelle1!N53/AM52,"")</f>
        <v>0.99517841169427</v>
      </c>
      <c r="AO52" s="24" t="n">
        <f aca="false">IFERROR(AVERAGEIFS($AN$7:$AN$294,$B$7:$B$294,$B52,$A$7:$A$294,"&gt;="&amp;EDATE($A52,-12*'Seasonal Factors'!$E$4),$A$7:$A$294,"&lt;="&amp;EDATE($A52,12*'Seasonal Factors'!$E$4)),"")</f>
        <v>0.998710690172994</v>
      </c>
      <c r="AP52" s="24" t="n">
        <f aca="false">IFERROR(AO52/AVERAGE(AO47:AO58),"")</f>
        <v>0.998734423879311</v>
      </c>
      <c r="AQ52" s="23" t="n">
        <f aca="false">IF(ISNUMBER(Tabelle1!O59),(0.5*Tabelle1!O47+SUM(Tabelle1!O48:O58)+0.5*Tabelle1!O59)/12,"")</f>
        <v>121.4026325</v>
      </c>
      <c r="AR52" s="24" t="n">
        <f aca="false">IFERROR(Tabelle1!O53/AQ52,"")</f>
        <v>1.01956339373448</v>
      </c>
      <c r="AS52" s="24" t="n">
        <f aca="false">IFERROR(AVERAGEIFS($AR$7:$AR$294,$B$7:$B$294,$B52,$A$7:$A$294,"&gt;="&amp;EDATE($A52,-12*'Seasonal Factors'!$E$4),$A$7:$A$294,"&lt;="&amp;EDATE($A52,12*'Seasonal Factors'!$E$4)),"")</f>
        <v>1.00793052825081</v>
      </c>
      <c r="AT52" s="24" t="n">
        <f aca="false">IFERROR(AS52/AVERAGE(AS47:AS58),"")</f>
        <v>1.00771486903518</v>
      </c>
      <c r="AU52" s="23" t="n">
        <f aca="false">IF(ISNUMBER(Tabelle1!P59),(0.5*Tabelle1!P47+SUM(Tabelle1!P48:P58)+0.5*Tabelle1!P59)/12,"")</f>
        <v>116.168711666667</v>
      </c>
      <c r="AV52" s="24" t="n">
        <f aca="false">IFERROR(Tabelle1!P53/AU52,"")</f>
        <v>0.997428553158756</v>
      </c>
      <c r="AW52" s="24" t="n">
        <f aca="false">IFERROR(AVERAGEIFS($AV$7:$AV$294,$B$7:$B$294,$B52,$A$7:$A$294,"&gt;="&amp;EDATE($A52,-12*'Seasonal Factors'!$E$4),$A$7:$A$294,"&lt;="&amp;EDATE($A52,12*'Seasonal Factors'!$E$4)),"")</f>
        <v>1.00081854722092</v>
      </c>
      <c r="AX52" s="24" t="n">
        <f aca="false">IFERROR(AW52/AVERAGE(AW47:AW58),"")</f>
        <v>1.00069015720079</v>
      </c>
      <c r="AY52" s="23" t="n">
        <f aca="false">IF(ISNUMBER(Tabelle1!Q59),(0.5*Tabelle1!Q47+SUM(Tabelle1!Q48:Q58)+0.5*Tabelle1!Q59)/12,"")</f>
        <v>117.77566125</v>
      </c>
      <c r="AZ52" s="24" t="n">
        <f aca="false">IFERROR(Tabelle1!Q53/AY52,"")</f>
        <v>1.0036913293068</v>
      </c>
      <c r="BA52" s="24" t="n">
        <f aca="false">IFERROR(AVERAGEIFS($AZ$7:$AZ$294,$B$7:$B$294,$B52,$A$7:$A$294,"&gt;="&amp;EDATE($A52,-12*'Seasonal Factors'!$E$4),$A$7:$A$294,"&lt;="&amp;EDATE($A52,12*'Seasonal Factors'!$E$4)),"")</f>
        <v>1.00719840040183</v>
      </c>
      <c r="BB52" s="24" t="n">
        <f aca="false">IFERROR(BA52/AVERAGE(BA47:BA58),"")</f>
        <v>1.00710140649613</v>
      </c>
      <c r="BC52" s="23" t="n">
        <f aca="false">IF(ISNUMBER(Tabelle1!R59),(0.5*Tabelle1!R47+SUM(Tabelle1!R48:R58)+0.5*Tabelle1!R59)/12,"")</f>
        <v>121.912841666667</v>
      </c>
      <c r="BD52" s="24" t="n">
        <f aca="false">IFERROR(Tabelle1!R53/BC52,"")</f>
        <v>0.97555325898468</v>
      </c>
      <c r="BE52" s="24" t="n">
        <f aca="false">IFERROR(AVERAGEIFS($BD$7:$BD$294,$B$7:$B$294,$B52,$A$7:$A$294,"&gt;="&amp;EDATE($A52,-12*'Seasonal Factors'!$E$4),$A$7:$A$294,"&lt;="&amp;EDATE($A52,12*'Seasonal Factors'!$E$4)),"")</f>
        <v>0.968816702101029</v>
      </c>
      <c r="BF52" s="24" t="n">
        <f aca="false">IFERROR(BE52/AVERAGE(BE47:BE58),"")</f>
        <v>0.968287263587071</v>
      </c>
      <c r="BG52" s="23" t="n">
        <f aca="false">IF(ISNUMBER(Tabelle1!S59),(0.5*Tabelle1!S47+SUM(Tabelle1!S48:S58)+0.5*Tabelle1!S59)/12,"")</f>
        <v>133.034304166667</v>
      </c>
      <c r="BH52" s="24" t="n">
        <f aca="false">IFERROR(Tabelle1!S53/BG52,"")</f>
        <v>0.957982234719974</v>
      </c>
      <c r="BI52" s="24" t="n">
        <f aca="false">IFERROR(AVERAGEIFS($BH$7:$BH$294,$B$7:$B$294,$B52,$A$7:$A$294,"&gt;="&amp;EDATE($A52,-12*'Seasonal Factors'!$E$4),$A$7:$A$294,"&lt;="&amp;EDATE($A52,12*'Seasonal Factors'!$E$4)),"")</f>
        <v>0.978442101048365</v>
      </c>
      <c r="BJ52" s="24" t="n">
        <f aca="false">IFERROR(BI52/AVERAGE(BI47:BI58),"")</f>
        <v>0.97843148125006</v>
      </c>
    </row>
    <row r="53" customFormat="false" ht="15" hidden="false" customHeight="false" outlineLevel="0" collapsed="false">
      <c r="A53" s="20" t="n">
        <v>39416</v>
      </c>
      <c r="B53" s="22" t="n">
        <f aca="false">MONTH(A53)</f>
        <v>11</v>
      </c>
      <c r="C53" s="23" t="n">
        <f aca="false">IF(ISNUMBER(Tabelle1!E60),(0.5*Tabelle1!E48+SUM(Tabelle1!E49:E59)+0.5*Tabelle1!E60)/12,"")</f>
        <v>127.232327916667</v>
      </c>
      <c r="D53" s="24" t="n">
        <f aca="false">IFERROR(Tabelle1!E54/C53,"")</f>
        <v>0.659932906792324</v>
      </c>
      <c r="E53" s="24" t="n">
        <f aca="false">IFERROR(AVERAGEIFS($D$7:$D$294,$B$7:$B$294,$B53,$A$7:$A$294,"&gt;="&amp;EDATE($A53,-12*'Seasonal Factors'!$E$4),$A$7:$A$294,"&lt;="&amp;EDATE($A53,12*'Seasonal Factors'!$E$4)),"")</f>
        <v>0.691306091667905</v>
      </c>
      <c r="F53" s="24" t="n">
        <f aca="false">IFERROR(E53/AVERAGE(E48:E59),"")</f>
        <v>0.690555369916848</v>
      </c>
      <c r="G53" s="23" t="n">
        <f aca="false">IF(ISNUMBER(Tabelle1!F60),(0.5*Tabelle1!F48+SUM(Tabelle1!F49:F59)+0.5*Tabelle1!F60)/12,"")</f>
        <v>122.392924583333</v>
      </c>
      <c r="H53" s="24" t="n">
        <f aca="false">IFERROR(Tabelle1!F54/G53,"")</f>
        <v>0.434380175005963</v>
      </c>
      <c r="I53" s="24" t="n">
        <f aca="false">IFERROR(AVERAGEIFS($H$7:$H$294,$B$7:$B$294,$B53,$A$7:$A$294,"&gt;="&amp;EDATE($A53,-12*'Seasonal Factors'!$E$4),$A$7:$A$294,"&lt;="&amp;EDATE($A53,12*'Seasonal Factors'!$E$4)),"")</f>
        <v>0.589429578148665</v>
      </c>
      <c r="J53" s="24" t="n">
        <f aca="false">IFERROR(I53/AVERAGE(I48:I59),"")</f>
        <v>0.598685644418061</v>
      </c>
      <c r="K53" s="23" t="n">
        <f aca="false">IF(ISNUMBER(Tabelle1!G60),(0.5*Tabelle1!G48+SUM(Tabelle1!G49:G59)+0.5*Tabelle1!G60)/12,"")</f>
        <v>101.83825125</v>
      </c>
      <c r="L53" s="24" t="n">
        <f aca="false">IFERROR(Tabelle1!G54/K53,"")</f>
        <v>0.955826507282056</v>
      </c>
      <c r="M53" s="24" t="n">
        <f aca="false">IFERROR(AVERAGEIFS($L$7:$L$294,$B$7:$B$294,$B53,$A$7:$A$294,"&gt;="&amp;EDATE($A53,-12*'Seasonal Factors'!$E$4),$A$7:$A$294,"&lt;="&amp;EDATE($A53,12*'Seasonal Factors'!$E$4)),"")</f>
        <v>0.97849666219535</v>
      </c>
      <c r="N53" s="24" t="n">
        <f aca="false">IFERROR(M53/AVERAGE(M48:M59),"")</f>
        <v>0.978585441568402</v>
      </c>
      <c r="O53" s="23" t="n">
        <f aca="false">IF(ISNUMBER(Tabelle1!H60),(0.5*Tabelle1!H48+SUM(Tabelle1!H49:H59)+0.5*Tabelle1!H60)/12,"")</f>
        <v>129.44701125</v>
      </c>
      <c r="P53" s="24" t="n">
        <f aca="false">IFERROR(Tabelle1!H54/O53,"")</f>
        <v>1.05536611993427</v>
      </c>
      <c r="Q53" s="24" t="n">
        <f aca="false">IFERROR(AVERAGEIFS($P$7:$P$294,$B$7:$B$294,$B53,$A$7:$A$294,"&gt;="&amp;EDATE($A53,-12*'Seasonal Factors'!$E$4),$A$7:$A$294,"&lt;="&amp;EDATE($A53,12*'Seasonal Factors'!$E$4)),"")</f>
        <v>1.0319408203309</v>
      </c>
      <c r="R53" s="24" t="n">
        <f aca="false">IFERROR(Q53/AVERAGE(Q48:Q59),"")</f>
        <v>1.03222745433636</v>
      </c>
      <c r="S53" s="23" t="n">
        <f aca="false">IF(ISNUMBER(Tabelle1!I60),(0.5*Tabelle1!I48+SUM(Tabelle1!I49:I59)+0.5*Tabelle1!I60)/12,"")</f>
        <v>117.4120125</v>
      </c>
      <c r="T53" s="24" t="n">
        <f aca="false">IFERROR(Tabelle1!I54/S53,"")</f>
        <v>0.941343459213767</v>
      </c>
      <c r="U53" s="24" t="n">
        <f aca="false">IFERROR(AVERAGEIFS($T$7:$T$294,$B$7:$B$294,$B53,$A$7:$A$294,"&gt;="&amp;EDATE($A53,-12*'Seasonal Factors'!$E$4),$A$7:$A$294,"&lt;="&amp;EDATE($A53,12*'Seasonal Factors'!$E$4)),"")</f>
        <v>0.957008261936019</v>
      </c>
      <c r="V53" s="24" t="n">
        <f aca="false">IFERROR(U53/AVERAGE(U48:U59),"")</f>
        <v>0.956948186640126</v>
      </c>
      <c r="W53" s="23" t="n">
        <f aca="false">IF(ISNUMBER(Tabelle1!J60),(0.5*Tabelle1!J48+SUM(Tabelle1!J49:J59)+0.5*Tabelle1!J60)/12,"")</f>
        <v>144.451588333333</v>
      </c>
      <c r="X53" s="24" t="n">
        <f aca="false">IFERROR(Tabelle1!J54/W53,"")</f>
        <v>0.99144240400818</v>
      </c>
      <c r="Y53" s="24" t="n">
        <f aca="false">IFERROR(AVERAGEIFS($X$7:$X$294,$B$7:$B$294,$B53,$A$7:$A$294,"&gt;="&amp;EDATE($A53,-12*'Seasonal Factors'!$E$4),$A$7:$A$294,"&lt;="&amp;EDATE($A53,12*'Seasonal Factors'!$E$4)),"")</f>
        <v>0.990315949144603</v>
      </c>
      <c r="Z53" s="24" t="n">
        <f aca="false">IFERROR(Y53/AVERAGE(Y48:Y59),"")</f>
        <v>0.990340286379044</v>
      </c>
      <c r="AA53" s="23" t="n">
        <f aca="false">IF(ISNUMBER(Tabelle1!K60),(0.5*Tabelle1!K48+SUM(Tabelle1!K49:K59)+0.5*Tabelle1!K60)/12,"")</f>
        <v>141.60608875</v>
      </c>
      <c r="AB53" s="24" t="n">
        <f aca="false">IFERROR(Tabelle1!K54/AA53,"")</f>
        <v>1.03635388347664</v>
      </c>
      <c r="AC53" s="24" t="n">
        <f aca="false">IFERROR(AVERAGEIFS($AB$7:$AB$294,$B$7:$B$294,$B53,$A$7:$A$294,"&gt;="&amp;EDATE($A53,-12*'Seasonal Factors'!$E$4),$A$7:$A$294,"&lt;="&amp;EDATE($A53,12*'Seasonal Factors'!$E$4)),"")</f>
        <v>1.01884812513239</v>
      </c>
      <c r="AD53" s="24" t="n">
        <f aca="false">IFERROR(AC53/AVERAGE(AC48:AC59),"")</f>
        <v>1.02007246134111</v>
      </c>
      <c r="AE53" s="23" t="n">
        <f aca="false">IF(ISNUMBER(Tabelle1!L60),(0.5*Tabelle1!L48+SUM(Tabelle1!L49:L59)+0.5*Tabelle1!L60)/12,"")</f>
        <v>140.560659583333</v>
      </c>
      <c r="AF53" s="24" t="n">
        <f aca="false">IFERROR(Tabelle1!L54/AE53,"")</f>
        <v>1.03135934641836</v>
      </c>
      <c r="AG53" s="24" t="n">
        <f aca="false">IFERROR(AVERAGEIFS($AF$7:$AF$294,$B$7:$B$294,$B53,$A$7:$A$294,"&gt;="&amp;EDATE($A53,-12*'Seasonal Factors'!$E$4),$A$7:$A$294,"&lt;="&amp;EDATE($A53,12*'Seasonal Factors'!$E$4)),"")</f>
        <v>1.01891069348629</v>
      </c>
      <c r="AH53" s="24" t="n">
        <f aca="false">IFERROR(AG53/AVERAGE(AG48:AG59),"")</f>
        <v>1.01923508717951</v>
      </c>
      <c r="AI53" s="23" t="n">
        <f aca="false">IF(ISNUMBER(Tabelle1!M60),(0.5*Tabelle1!M48+SUM(Tabelle1!M49:M59)+0.5*Tabelle1!M60)/12,"")</f>
        <v>150.4861375</v>
      </c>
      <c r="AJ53" s="24" t="n">
        <f aca="false">IFERROR(Tabelle1!M54/AI53,"")</f>
        <v>0.989279494265709</v>
      </c>
      <c r="AK53" s="24" t="n">
        <f aca="false">IFERROR(AVERAGEIFS($AJ$7:$AJ$294,$B$7:$B$294,$B53,$A$7:$A$294,"&gt;="&amp;EDATE($A53,-12*'Seasonal Factors'!$E$4),$A$7:$A$294,"&lt;="&amp;EDATE($A53,12*'Seasonal Factors'!$E$4)),"")</f>
        <v>0.983971713872824</v>
      </c>
      <c r="AL53" s="24" t="n">
        <f aca="false">IFERROR(AK53/AVERAGE(AK48:AK59),"")</f>
        <v>0.984097602686814</v>
      </c>
      <c r="AM53" s="23" t="n">
        <f aca="false">IF(ISNUMBER(Tabelle1!N60),(0.5*Tabelle1!N48+SUM(Tabelle1!N49:N59)+0.5*Tabelle1!N60)/12,"")</f>
        <v>145.622085416667</v>
      </c>
      <c r="AN53" s="24" t="n">
        <f aca="false">IFERROR(Tabelle1!N54/AM53,"")</f>
        <v>0.990821066647671</v>
      </c>
      <c r="AO53" s="24" t="n">
        <f aca="false">IFERROR(AVERAGEIFS($AN$7:$AN$294,$B$7:$B$294,$B53,$A$7:$A$294,"&gt;="&amp;EDATE($A53,-12*'Seasonal Factors'!$E$4),$A$7:$A$294,"&lt;="&amp;EDATE($A53,12*'Seasonal Factors'!$E$4)),"")</f>
        <v>0.996440165583696</v>
      </c>
      <c r="AP53" s="24" t="n">
        <f aca="false">IFERROR(AO53/AVERAGE(AO48:AO59),"")</f>
        <v>0.996572296532904</v>
      </c>
      <c r="AQ53" s="23" t="n">
        <f aca="false">IF(ISNUMBER(Tabelle1!O60),(0.5*Tabelle1!O48+SUM(Tabelle1!O49:O59)+0.5*Tabelle1!O60)/12,"")</f>
        <v>122.198484166667</v>
      </c>
      <c r="AR53" s="24" t="n">
        <f aca="false">IFERROR(Tabelle1!O54/AQ53,"")</f>
        <v>1.01765697707339</v>
      </c>
      <c r="AS53" s="24" t="n">
        <f aca="false">IFERROR(AVERAGEIFS($AR$7:$AR$294,$B$7:$B$294,$B53,$A$7:$A$294,"&gt;="&amp;EDATE($A53,-12*'Seasonal Factors'!$E$4),$A$7:$A$294,"&lt;="&amp;EDATE($A53,12*'Seasonal Factors'!$E$4)),"")</f>
        <v>1.01924266646995</v>
      </c>
      <c r="AT53" s="24" t="n">
        <f aca="false">IFERROR(AS53/AVERAGE(AS48:AS59),"")</f>
        <v>1.01897027694486</v>
      </c>
      <c r="AU53" s="23" t="n">
        <f aca="false">IF(ISNUMBER(Tabelle1!P60),(0.5*Tabelle1!P48+SUM(Tabelle1!P49:P59)+0.5*Tabelle1!P60)/12,"")</f>
        <v>116.5768775</v>
      </c>
      <c r="AV53" s="24" t="n">
        <f aca="false">IFERROR(Tabelle1!P54/AU53,"")</f>
        <v>1.01521633224393</v>
      </c>
      <c r="AW53" s="24" t="n">
        <f aca="false">IFERROR(AVERAGEIFS($AV$7:$AV$294,$B$7:$B$294,$B53,$A$7:$A$294,"&gt;="&amp;EDATE($A53,-12*'Seasonal Factors'!$E$4),$A$7:$A$294,"&lt;="&amp;EDATE($A53,12*'Seasonal Factors'!$E$4)),"")</f>
        <v>1.00546037767439</v>
      </c>
      <c r="AX53" s="24" t="n">
        <f aca="false">IFERROR(AW53/AVERAGE(AW48:AW59),"")</f>
        <v>1.00535878790181</v>
      </c>
      <c r="AY53" s="23" t="n">
        <f aca="false">IF(ISNUMBER(Tabelle1!Q60),(0.5*Tabelle1!Q48+SUM(Tabelle1!Q49:Q59)+0.5*Tabelle1!Q60)/12,"")</f>
        <v>118.203380416667</v>
      </c>
      <c r="AZ53" s="24" t="n">
        <f aca="false">IFERROR(Tabelle1!Q54/AY53,"")</f>
        <v>1.02483050461829</v>
      </c>
      <c r="BA53" s="24" t="n">
        <f aca="false">IFERROR(AVERAGEIFS($AZ$7:$AZ$294,$B$7:$B$294,$B53,$A$7:$A$294,"&gt;="&amp;EDATE($A53,-12*'Seasonal Factors'!$E$4),$A$7:$A$294,"&lt;="&amp;EDATE($A53,12*'Seasonal Factors'!$E$4)),"")</f>
        <v>1.01162899336078</v>
      </c>
      <c r="BB53" s="24" t="n">
        <f aca="false">IFERROR(BA53/AVERAGE(BA48:BA59),"")</f>
        <v>1.01155922365786</v>
      </c>
      <c r="BC53" s="23" t="n">
        <f aca="false">IF(ISNUMBER(Tabelle1!R60),(0.5*Tabelle1!R48+SUM(Tabelle1!R49:R59)+0.5*Tabelle1!R60)/12,"")</f>
        <v>122.706888333333</v>
      </c>
      <c r="BD53" s="24" t="n">
        <f aca="false">IFERROR(Tabelle1!R54/BC53,"")</f>
        <v>0.969386817770744</v>
      </c>
      <c r="BE53" s="24" t="n">
        <f aca="false">IFERROR(AVERAGEIFS($BD$7:$BD$294,$B$7:$B$294,$B53,$A$7:$A$294,"&gt;="&amp;EDATE($A53,-12*'Seasonal Factors'!$E$4),$A$7:$A$294,"&lt;="&amp;EDATE($A53,12*'Seasonal Factors'!$E$4)),"")</f>
        <v>0.963401070372466</v>
      </c>
      <c r="BF53" s="24" t="n">
        <f aca="false">IFERROR(BE53/AVERAGE(BE48:BE59),"")</f>
        <v>0.962682907619699</v>
      </c>
      <c r="BG53" s="23" t="n">
        <f aca="false">IF(ISNUMBER(Tabelle1!S60),(0.5*Tabelle1!S48+SUM(Tabelle1!S49:S59)+0.5*Tabelle1!S60)/12,"")</f>
        <v>133.883287916667</v>
      </c>
      <c r="BH53" s="24" t="n">
        <f aca="false">IFERROR(Tabelle1!S54/BG53,"")</f>
        <v>0.952325730746622</v>
      </c>
      <c r="BI53" s="24" t="n">
        <f aca="false">IFERROR(AVERAGEIFS($BH$7:$BH$294,$B$7:$B$294,$B53,$A$7:$A$294,"&gt;="&amp;EDATE($A53,-12*'Seasonal Factors'!$E$4),$A$7:$A$294,"&lt;="&amp;EDATE($A53,12*'Seasonal Factors'!$E$4)),"")</f>
        <v>0.968695730078867</v>
      </c>
      <c r="BJ53" s="24" t="n">
        <f aca="false">IFERROR(BI53/AVERAGE(BI48:BI59),"")</f>
        <v>0.968770827283268</v>
      </c>
    </row>
    <row r="54" customFormat="false" ht="15" hidden="false" customHeight="false" outlineLevel="0" collapsed="false">
      <c r="A54" s="20" t="n">
        <v>39447</v>
      </c>
      <c r="B54" s="22" t="n">
        <f aca="false">MONTH(A54)</f>
        <v>12</v>
      </c>
      <c r="C54" s="23" t="n">
        <f aca="false">IF(ISNUMBER(Tabelle1!E61),(0.5*Tabelle1!E49+SUM(Tabelle1!E50:E60)+0.5*Tabelle1!E61)/12,"")</f>
        <v>126.56849</v>
      </c>
      <c r="D54" s="24" t="n">
        <f aca="false">IFERROR(Tabelle1!E55/C54,"")</f>
        <v>0.757572441608492</v>
      </c>
      <c r="E54" s="24" t="n">
        <f aca="false">IFERROR(AVERAGEIFS($D$7:$D$294,$B$7:$B$294,$B54,$A$7:$A$294,"&gt;="&amp;EDATE($A54,-12*'Seasonal Factors'!$E$4),$A$7:$A$294,"&lt;="&amp;EDATE($A54,12*'Seasonal Factors'!$E$4)),"")</f>
        <v>0.781685488973821</v>
      </c>
      <c r="F54" s="24" t="n">
        <f aca="false">IFERROR(E54/AVERAGE(E49:E60),"")</f>
        <v>0.782276891186076</v>
      </c>
      <c r="G54" s="23" t="n">
        <f aca="false">IF(ISNUMBER(Tabelle1!F61),(0.5*Tabelle1!F49+SUM(Tabelle1!F50:F60)+0.5*Tabelle1!F61)/12,"")</f>
        <v>125.2426625</v>
      </c>
      <c r="H54" s="24" t="n">
        <f aca="false">IFERROR(Tabelle1!F55/G54,"")</f>
        <v>0.547858043180773</v>
      </c>
      <c r="I54" s="24" t="n">
        <f aca="false">IFERROR(AVERAGEIFS($H$7:$H$294,$B$7:$B$294,$B54,$A$7:$A$294,"&gt;="&amp;EDATE($A54,-12*'Seasonal Factors'!$E$4),$A$7:$A$294,"&lt;="&amp;EDATE($A54,12*'Seasonal Factors'!$E$4)),"")</f>
        <v>0.673843595410721</v>
      </c>
      <c r="J54" s="24" t="n">
        <f aca="false">IFERROR(I54/AVERAGE(I49:I60),"")</f>
        <v>0.687884761591085</v>
      </c>
      <c r="K54" s="23" t="n">
        <f aca="false">IF(ISNUMBER(Tabelle1!G61),(0.5*Tabelle1!G49+SUM(Tabelle1!G50:G60)+0.5*Tabelle1!G61)/12,"")</f>
        <v>100.99450125</v>
      </c>
      <c r="L54" s="24" t="n">
        <f aca="false">IFERROR(Tabelle1!G55/K54,"")</f>
        <v>1.03503219191352</v>
      </c>
      <c r="M54" s="24" t="n">
        <f aca="false">IFERROR(AVERAGEIFS($L$7:$L$294,$B$7:$B$294,$B54,$A$7:$A$294,"&gt;="&amp;EDATE($A54,-12*'Seasonal Factors'!$E$4),$A$7:$A$294,"&lt;="&amp;EDATE($A54,12*'Seasonal Factors'!$E$4)),"")</f>
        <v>0.996983840361342</v>
      </c>
      <c r="N54" s="24" t="n">
        <f aca="false">IFERROR(M54/AVERAGE(M49:M60),"")</f>
        <v>0.997198445259087</v>
      </c>
      <c r="O54" s="23" t="n">
        <f aca="false">IF(ISNUMBER(Tabelle1!H61),(0.5*Tabelle1!H49+SUM(Tabelle1!H50:H60)+0.5*Tabelle1!H61)/12,"")</f>
        <v>130.02002625</v>
      </c>
      <c r="P54" s="24" t="n">
        <f aca="false">IFERROR(Tabelle1!H55/O54,"")</f>
        <v>1.0062119949772</v>
      </c>
      <c r="Q54" s="24" t="n">
        <f aca="false">IFERROR(AVERAGEIFS($P$7:$P$294,$B$7:$B$294,$B54,$A$7:$A$294,"&gt;="&amp;EDATE($A54,-12*'Seasonal Factors'!$E$4),$A$7:$A$294,"&lt;="&amp;EDATE($A54,12*'Seasonal Factors'!$E$4)),"")</f>
        <v>0.98651643502884</v>
      </c>
      <c r="R54" s="24" t="n">
        <f aca="false">IFERROR(Q54/AVERAGE(Q49:Q60),"")</f>
        <v>0.98697498030437</v>
      </c>
      <c r="S54" s="23" t="n">
        <f aca="false">IF(ISNUMBER(Tabelle1!I61),(0.5*Tabelle1!I49+SUM(Tabelle1!I50:I60)+0.5*Tabelle1!I61)/12,"")</f>
        <v>117.715869583333</v>
      </c>
      <c r="T54" s="24" t="n">
        <f aca="false">IFERROR(Tabelle1!I55/S54,"")</f>
        <v>1.02153150994541</v>
      </c>
      <c r="U54" s="24" t="n">
        <f aca="false">IFERROR(AVERAGEIFS($T$7:$T$294,$B$7:$B$294,$B54,$A$7:$A$294,"&gt;="&amp;EDATE($A54,-12*'Seasonal Factors'!$E$4),$A$7:$A$294,"&lt;="&amp;EDATE($A54,12*'Seasonal Factors'!$E$4)),"")</f>
        <v>1.01239998374614</v>
      </c>
      <c r="V54" s="24" t="n">
        <f aca="false">IFERROR(U54/AVERAGE(U49:U60),"")</f>
        <v>1.01262931149224</v>
      </c>
      <c r="W54" s="23" t="n">
        <f aca="false">IF(ISNUMBER(Tabelle1!J61),(0.5*Tabelle1!J49+SUM(Tabelle1!J50:J60)+0.5*Tabelle1!J61)/12,"")</f>
        <v>145.416345416667</v>
      </c>
      <c r="X54" s="24" t="n">
        <f aca="false">IFERROR(Tabelle1!J55/W54,"")</f>
        <v>0.951712199914344</v>
      </c>
      <c r="Y54" s="24" t="n">
        <f aca="false">IFERROR(AVERAGEIFS($X$7:$X$294,$B$7:$B$294,$B54,$A$7:$A$294,"&gt;="&amp;EDATE($A54,-12*'Seasonal Factors'!$E$4),$A$7:$A$294,"&lt;="&amp;EDATE($A54,12*'Seasonal Factors'!$E$4)),"")</f>
        <v>0.963399209363619</v>
      </c>
      <c r="Z54" s="24" t="n">
        <f aca="false">IFERROR(Y54/AVERAGE(Y49:Y60),"")</f>
        <v>0.963444875243251</v>
      </c>
      <c r="AA54" s="23" t="n">
        <f aca="false">IF(ISNUMBER(Tabelle1!K61),(0.5*Tabelle1!K49+SUM(Tabelle1!K50:K60)+0.5*Tabelle1!K61)/12,"")</f>
        <v>142.5205875</v>
      </c>
      <c r="AB54" s="24" t="n">
        <f aca="false">IFERROR(Tabelle1!K55/AA54,"")</f>
        <v>0.935594375093353</v>
      </c>
      <c r="AC54" s="24" t="n">
        <f aca="false">IFERROR(AVERAGEIFS($AB$7:$AB$294,$B$7:$B$294,$B54,$A$7:$A$294,"&gt;="&amp;EDATE($A54,-12*'Seasonal Factors'!$E$4),$A$7:$A$294,"&lt;="&amp;EDATE($A54,12*'Seasonal Factors'!$E$4)),"")</f>
        <v>0.94716082544724</v>
      </c>
      <c r="AD54" s="24" t="n">
        <f aca="false">IFERROR(AC54/AVERAGE(AC49:AC60),"")</f>
        <v>0.948535025537893</v>
      </c>
      <c r="AE54" s="23" t="n">
        <f aca="false">IF(ISNUMBER(Tabelle1!L61),(0.5*Tabelle1!L49+SUM(Tabelle1!L50:L60)+0.5*Tabelle1!L61)/12,"")</f>
        <v>140.780307083333</v>
      </c>
      <c r="AF54" s="24" t="n">
        <f aca="false">IFERROR(Tabelle1!L55/AE54,"")</f>
        <v>1.03029644561112</v>
      </c>
      <c r="AG54" s="24" t="n">
        <f aca="false">IFERROR(AVERAGEIFS($AF$7:$AF$294,$B$7:$B$294,$B54,$A$7:$A$294,"&gt;="&amp;EDATE($A54,-12*'Seasonal Factors'!$E$4),$A$7:$A$294,"&lt;="&amp;EDATE($A54,12*'Seasonal Factors'!$E$4)),"")</f>
        <v>1.00404066059785</v>
      </c>
      <c r="AH54" s="24" t="n">
        <f aca="false">IFERROR(AG54/AVERAGE(AG49:AG60),"")</f>
        <v>1.00415108118721</v>
      </c>
      <c r="AI54" s="23" t="n">
        <f aca="false">IF(ISNUMBER(Tabelle1!M61),(0.5*Tabelle1!M49+SUM(Tabelle1!M50:M60)+0.5*Tabelle1!M61)/12,"")</f>
        <v>151.040510833333</v>
      </c>
      <c r="AJ54" s="24" t="n">
        <f aca="false">IFERROR(Tabelle1!M55/AI54,"")</f>
        <v>0.995581775845093</v>
      </c>
      <c r="AK54" s="24" t="n">
        <f aca="false">IFERROR(AVERAGEIFS($AJ$7:$AJ$294,$B$7:$B$294,$B54,$A$7:$A$294,"&gt;="&amp;EDATE($A54,-12*'Seasonal Factors'!$E$4),$A$7:$A$294,"&lt;="&amp;EDATE($A54,12*'Seasonal Factors'!$E$4)),"")</f>
        <v>0.985328726622395</v>
      </c>
      <c r="AL54" s="24" t="n">
        <f aca="false">IFERROR(AK54/AVERAGE(AK49:AK60),"")</f>
        <v>0.985497455674305</v>
      </c>
      <c r="AM54" s="23" t="n">
        <f aca="false">IF(ISNUMBER(Tabelle1!N61),(0.5*Tabelle1!N49+SUM(Tabelle1!N50:N60)+0.5*Tabelle1!N61)/12,"")</f>
        <v>146.31971</v>
      </c>
      <c r="AN54" s="24" t="n">
        <f aca="false">IFERROR(Tabelle1!N55/AM54,"")</f>
        <v>1.01260814417962</v>
      </c>
      <c r="AO54" s="24" t="n">
        <f aca="false">IFERROR(AVERAGEIFS($AN$7:$AN$294,$B$7:$B$294,$B54,$A$7:$A$294,"&gt;="&amp;EDATE($A54,-12*'Seasonal Factors'!$E$4),$A$7:$A$294,"&lt;="&amp;EDATE($A54,12*'Seasonal Factors'!$E$4)),"")</f>
        <v>1.01530235841244</v>
      </c>
      <c r="AP54" s="24" t="n">
        <f aca="false">IFERROR(AO54/AVERAGE(AO49:AO60),"")</f>
        <v>1.01567030359609</v>
      </c>
      <c r="AQ54" s="23" t="n">
        <f aca="false">IF(ISNUMBER(Tabelle1!O61),(0.5*Tabelle1!O49+SUM(Tabelle1!O50:O60)+0.5*Tabelle1!O61)/12,"")</f>
        <v>122.785930833333</v>
      </c>
      <c r="AR54" s="24" t="n">
        <f aca="false">IFERROR(Tabelle1!O55/AQ54,"")</f>
        <v>1.00375921869496</v>
      </c>
      <c r="AS54" s="24" t="n">
        <f aca="false">IFERROR(AVERAGEIFS($AR$7:$AR$294,$B$7:$B$294,$B54,$A$7:$A$294,"&gt;="&amp;EDATE($A54,-12*'Seasonal Factors'!$E$4),$A$7:$A$294,"&lt;="&amp;EDATE($A54,12*'Seasonal Factors'!$E$4)),"")</f>
        <v>1.03995959397458</v>
      </c>
      <c r="AT54" s="24" t="n">
        <f aca="false">IFERROR(AS54/AVERAGE(AS49:AS60),"")</f>
        <v>1.03968599713593</v>
      </c>
      <c r="AU54" s="23" t="n">
        <f aca="false">IF(ISNUMBER(Tabelle1!P61),(0.5*Tabelle1!P49+SUM(Tabelle1!P50:P60)+0.5*Tabelle1!P61)/12,"")</f>
        <v>116.94671625</v>
      </c>
      <c r="AV54" s="24" t="n">
        <f aca="false">IFERROR(Tabelle1!P55/AU54,"")</f>
        <v>1.01778685042813</v>
      </c>
      <c r="AW54" s="24" t="n">
        <f aca="false">IFERROR(AVERAGEIFS($AV$7:$AV$294,$B$7:$B$294,$B54,$A$7:$A$294,"&gt;="&amp;EDATE($A54,-12*'Seasonal Factors'!$E$4),$A$7:$A$294,"&lt;="&amp;EDATE($A54,12*'Seasonal Factors'!$E$4)),"")</f>
        <v>1.01345886977079</v>
      </c>
      <c r="AX54" s="24" t="n">
        <f aca="false">IFERROR(AW54/AVERAGE(AW49:AW60),"")</f>
        <v>1.01337391735783</v>
      </c>
      <c r="AY54" s="23" t="n">
        <f aca="false">IF(ISNUMBER(Tabelle1!Q61),(0.5*Tabelle1!Q49+SUM(Tabelle1!Q50:Q60)+0.5*Tabelle1!Q61)/12,"")</f>
        <v>118.56691625</v>
      </c>
      <c r="AZ54" s="24" t="n">
        <f aca="false">IFERROR(Tabelle1!Q55/AY54,"")</f>
        <v>1.01774241767041</v>
      </c>
      <c r="BA54" s="24" t="n">
        <f aca="false">IFERROR(AVERAGEIFS($AZ$7:$AZ$294,$B$7:$B$294,$B54,$A$7:$A$294,"&gt;="&amp;EDATE($A54,-12*'Seasonal Factors'!$E$4),$A$7:$A$294,"&lt;="&amp;EDATE($A54,12*'Seasonal Factors'!$E$4)),"")</f>
        <v>1.01881915747396</v>
      </c>
      <c r="BB54" s="24" t="n">
        <f aca="false">IFERROR(BA54/AVERAGE(BA49:BA60),"")</f>
        <v>1.01878864232426</v>
      </c>
      <c r="BC54" s="23" t="n">
        <f aca="false">IF(ISNUMBER(Tabelle1!R61),(0.5*Tabelle1!R49+SUM(Tabelle1!R50:R60)+0.5*Tabelle1!R61)/12,"")</f>
        <v>123.4206525</v>
      </c>
      <c r="BD54" s="24" t="n">
        <f aca="false">IFERROR(Tabelle1!R55/BC54,"")</f>
        <v>0.941609427968305</v>
      </c>
      <c r="BE54" s="24" t="n">
        <f aca="false">IFERROR(AVERAGEIFS($BD$7:$BD$294,$B$7:$B$294,$B54,$A$7:$A$294,"&gt;="&amp;EDATE($A54,-12*'Seasonal Factors'!$E$4),$A$7:$A$294,"&lt;="&amp;EDATE($A54,12*'Seasonal Factors'!$E$4)),"")</f>
        <v>0.932190927808582</v>
      </c>
      <c r="BF54" s="24" t="n">
        <f aca="false">IFERROR(BE54/AVERAGE(BE49:BE60),"")</f>
        <v>0.931300873765494</v>
      </c>
      <c r="BG54" s="23" t="n">
        <f aca="false">IF(ISNUMBER(Tabelle1!S61),(0.5*Tabelle1!S49+SUM(Tabelle1!S50:S60)+0.5*Tabelle1!S61)/12,"")</f>
        <v>134.664260416667</v>
      </c>
      <c r="BH54" s="24" t="n">
        <f aca="false">IFERROR(Tabelle1!S55/BG54,"")</f>
        <v>0.958815053084565</v>
      </c>
      <c r="BI54" s="24" t="n">
        <f aca="false">IFERROR(AVERAGEIFS($BH$7:$BH$294,$B$7:$B$294,$B54,$A$7:$A$294,"&gt;="&amp;EDATE($A54,-12*'Seasonal Factors'!$E$4),$A$7:$A$294,"&lt;="&amp;EDATE($A54,12*'Seasonal Factors'!$E$4)),"")</f>
        <v>0.983875303715979</v>
      </c>
      <c r="BJ54" s="24" t="n">
        <f aca="false">IFERROR(BI54/AVERAGE(BI49:BI60),"")</f>
        <v>0.983864794738388</v>
      </c>
    </row>
    <row r="55" customFormat="false" ht="15" hidden="false" customHeight="false" outlineLevel="0" collapsed="false">
      <c r="A55" s="20" t="n">
        <v>39478</v>
      </c>
      <c r="B55" s="22" t="n">
        <f aca="false">MONTH(A55)</f>
        <v>1</v>
      </c>
      <c r="C55" s="23" t="n">
        <f aca="false">IF(ISNUMBER(Tabelle1!E62),(0.5*Tabelle1!E50+SUM(Tabelle1!E51:E61)+0.5*Tabelle1!E62)/12,"")</f>
        <v>126.300102083333</v>
      </c>
      <c r="D55" s="24" t="n">
        <f aca="false">IFERROR(Tabelle1!E56/C55,"")</f>
        <v>0.526349693337045</v>
      </c>
      <c r="E55" s="24" t="n">
        <f aca="false">IFERROR(AVERAGEIFS($D$7:$D$294,$B$7:$B$294,$B55,$A$7:$A$294,"&gt;="&amp;EDATE($A55,-12*'Seasonal Factors'!$E$4),$A$7:$A$294,"&lt;="&amp;EDATE($A55,12*'Seasonal Factors'!$E$4)),"")</f>
        <v>0.561053158304463</v>
      </c>
      <c r="F55" s="24" t="n">
        <f aca="false">IFERROR(E55/AVERAGE(E50:E61),"")</f>
        <v>0.561218968791164</v>
      </c>
      <c r="G55" s="23" t="n">
        <f aca="false">IF(ISNUMBER(Tabelle1!F62),(0.5*Tabelle1!F50+SUM(Tabelle1!F51:F61)+0.5*Tabelle1!F62)/12,"")</f>
        <v>127.720844583333</v>
      </c>
      <c r="H55" s="24" t="n">
        <f aca="false">IFERROR(Tabelle1!F56/G55,"")</f>
        <v>0.26742306716986</v>
      </c>
      <c r="I55" s="24" t="n">
        <f aca="false">IFERROR(AVERAGEIFS($H$7:$H$294,$B$7:$B$294,$B55,$A$7:$A$294,"&gt;="&amp;EDATE($A55,-12*'Seasonal Factors'!$E$4),$A$7:$A$294,"&lt;="&amp;EDATE($A55,12*'Seasonal Factors'!$E$4)),"")</f>
        <v>0.315682892483683</v>
      </c>
      <c r="J55" s="24" t="n">
        <f aca="false">IFERROR(I55/AVERAGE(I50:I61),"")</f>
        <v>0.321827639114265</v>
      </c>
      <c r="K55" s="23" t="n">
        <f aca="false">IF(ISNUMBER(Tabelle1!G62),(0.5*Tabelle1!G50+SUM(Tabelle1!G51:G61)+0.5*Tabelle1!G62)/12,"")</f>
        <v>100.897589583333</v>
      </c>
      <c r="L55" s="24" t="n">
        <f aca="false">IFERROR(Tabelle1!G56/K55,"")</f>
        <v>1.0060890494927</v>
      </c>
      <c r="M55" s="24" t="n">
        <f aca="false">IFERROR(AVERAGEIFS($L$7:$L$294,$B$7:$B$294,$B55,$A$7:$A$294,"&gt;="&amp;EDATE($A55,-12*'Seasonal Factors'!$E$4),$A$7:$A$294,"&lt;="&amp;EDATE($A55,12*'Seasonal Factors'!$E$4)),"")</f>
        <v>1.00363458518203</v>
      </c>
      <c r="N55" s="24" t="n">
        <f aca="false">IFERROR(M55/AVERAGE(M50:M61),"")</f>
        <v>1.00380816471144</v>
      </c>
      <c r="O55" s="23" t="n">
        <f aca="false">IF(ISNUMBER(Tabelle1!H62),(0.5*Tabelle1!H50+SUM(Tabelle1!H51:H61)+0.5*Tabelle1!H62)/12,"")</f>
        <v>130.781875416667</v>
      </c>
      <c r="P55" s="24" t="n">
        <f aca="false">IFERROR(Tabelle1!H56/O55,"")</f>
        <v>0.931662736994765</v>
      </c>
      <c r="Q55" s="24" t="n">
        <f aca="false">IFERROR(AVERAGEIFS($P$7:$P$294,$B$7:$B$294,$B55,$A$7:$A$294,"&gt;="&amp;EDATE($A55,-12*'Seasonal Factors'!$E$4),$A$7:$A$294,"&lt;="&amp;EDATE($A55,12*'Seasonal Factors'!$E$4)),"")</f>
        <v>0.905358991986978</v>
      </c>
      <c r="R55" s="24" t="n">
        <f aca="false">IFERROR(Q55/AVERAGE(Q50:Q61),"")</f>
        <v>0.90570995482062</v>
      </c>
      <c r="S55" s="23" t="n">
        <f aca="false">IF(ISNUMBER(Tabelle1!I62),(0.5*Tabelle1!I50+SUM(Tabelle1!I51:I61)+0.5*Tabelle1!I62)/12,"")</f>
        <v>118.362202083333</v>
      </c>
      <c r="T55" s="24" t="n">
        <f aca="false">IFERROR(Tabelle1!I56/S55,"")</f>
        <v>1.0624679820629</v>
      </c>
      <c r="U55" s="24" t="n">
        <f aca="false">IFERROR(AVERAGEIFS($T$7:$T$294,$B$7:$B$294,$B55,$A$7:$A$294,"&gt;="&amp;EDATE($A55,-12*'Seasonal Factors'!$E$4),$A$7:$A$294,"&lt;="&amp;EDATE($A55,12*'Seasonal Factors'!$E$4)),"")</f>
        <v>1.04554484081963</v>
      </c>
      <c r="V55" s="24" t="n">
        <f aca="false">IFERROR(U55/AVERAGE(U50:U61),"")</f>
        <v>1.04564959441524</v>
      </c>
      <c r="W55" s="23" t="n">
        <f aca="false">IF(ISNUMBER(Tabelle1!J62),(0.5*Tabelle1!J50+SUM(Tabelle1!J51:J61)+0.5*Tabelle1!J62)/12,"")</f>
        <v>146.266030833333</v>
      </c>
      <c r="X55" s="24" t="n">
        <f aca="false">IFERROR(Tabelle1!J56/W55,"")</f>
        <v>1.01127492936857</v>
      </c>
      <c r="Y55" s="24" t="n">
        <f aca="false">IFERROR(AVERAGEIFS($X$7:$X$294,$B$7:$B$294,$B55,$A$7:$A$294,"&gt;="&amp;EDATE($A55,-12*'Seasonal Factors'!$E$4),$A$7:$A$294,"&lt;="&amp;EDATE($A55,12*'Seasonal Factors'!$E$4)),"")</f>
        <v>0.997040078204941</v>
      </c>
      <c r="Z55" s="24" t="n">
        <f aca="false">IFERROR(Y55/AVERAGE(Y50:Y61),"")</f>
        <v>0.997072557206035</v>
      </c>
      <c r="AA55" s="23" t="n">
        <f aca="false">IF(ISNUMBER(Tabelle1!K62),(0.5*Tabelle1!K50+SUM(Tabelle1!K51:K61)+0.5*Tabelle1!K62)/12,"")</f>
        <v>143.439543333333</v>
      </c>
      <c r="AB55" s="24" t="n">
        <f aca="false">IFERROR(Tabelle1!K56/AA55,"")</f>
        <v>0.958024034423051</v>
      </c>
      <c r="AC55" s="24" t="n">
        <f aca="false">IFERROR(AVERAGEIFS($AB$7:$AB$294,$B$7:$B$294,$B55,$A$7:$A$294,"&gt;="&amp;EDATE($A55,-12*'Seasonal Factors'!$E$4),$A$7:$A$294,"&lt;="&amp;EDATE($A55,12*'Seasonal Factors'!$E$4)),"")</f>
        <v>0.929997740687226</v>
      </c>
      <c r="AD55" s="24" t="n">
        <f aca="false">IFERROR(AC55/AVERAGE(AC50:AC61),"")</f>
        <v>0.931209315583207</v>
      </c>
      <c r="AE55" s="23" t="n">
        <f aca="false">IF(ISNUMBER(Tabelle1!L62),(0.5*Tabelle1!L50+SUM(Tabelle1!L51:L61)+0.5*Tabelle1!L62)/12,"")</f>
        <v>140.829147916667</v>
      </c>
      <c r="AF55" s="24" t="n">
        <f aca="false">IFERROR(Tabelle1!L56/AE55,"")</f>
        <v>1.1125649932407</v>
      </c>
      <c r="AG55" s="24" t="n">
        <f aca="false">IFERROR(AVERAGEIFS($AF$7:$AF$294,$B$7:$B$294,$B55,$A$7:$A$294,"&gt;="&amp;EDATE($A55,-12*'Seasonal Factors'!$E$4),$A$7:$A$294,"&lt;="&amp;EDATE($A55,12*'Seasonal Factors'!$E$4)),"")</f>
        <v>1.09882235223646</v>
      </c>
      <c r="AH55" s="24" t="n">
        <f aca="false">IFERROR(AG55/AVERAGE(AG50:AG61),"")</f>
        <v>1.09854590347377</v>
      </c>
      <c r="AI55" s="23" t="n">
        <f aca="false">IF(ISNUMBER(Tabelle1!M62),(0.5*Tabelle1!M50+SUM(Tabelle1!M51:M61)+0.5*Tabelle1!M62)/12,"")</f>
        <v>151.6160675</v>
      </c>
      <c r="AJ55" s="24" t="n">
        <f aca="false">IFERROR(Tabelle1!M56/AI55,"")</f>
        <v>1.00411514762444</v>
      </c>
      <c r="AK55" s="24" t="n">
        <f aca="false">IFERROR(AVERAGEIFS($AJ$7:$AJ$294,$B$7:$B$294,$B55,$A$7:$A$294,"&gt;="&amp;EDATE($A55,-12*'Seasonal Factors'!$E$4),$A$7:$A$294,"&lt;="&amp;EDATE($A55,12*'Seasonal Factors'!$E$4)),"")</f>
        <v>0.984307615065111</v>
      </c>
      <c r="AL55" s="24" t="n">
        <f aca="false">IFERROR(AK55/AVERAGE(AK50:AK61),"")</f>
        <v>0.984245449310243</v>
      </c>
      <c r="AM55" s="23" t="n">
        <f aca="false">IF(ISNUMBER(Tabelle1!N62),(0.5*Tabelle1!N50+SUM(Tabelle1!N51:N61)+0.5*Tabelle1!N62)/12,"")</f>
        <v>146.788727083333</v>
      </c>
      <c r="AN55" s="24" t="n">
        <f aca="false">IFERROR(Tabelle1!N56/AM55,"")</f>
        <v>1.04300393526189</v>
      </c>
      <c r="AO55" s="24" t="n">
        <f aca="false">IFERROR(AVERAGEIFS($AN$7:$AN$294,$B$7:$B$294,$B55,$A$7:$A$294,"&gt;="&amp;EDATE($A55,-12*'Seasonal Factors'!$E$4),$A$7:$A$294,"&lt;="&amp;EDATE($A55,12*'Seasonal Factors'!$E$4)),"")</f>
        <v>1.01816818502283</v>
      </c>
      <c r="AP55" s="24" t="n">
        <f aca="false">IFERROR(AO55/AVERAGE(AO50:AO61),"")</f>
        <v>1.01852046029207</v>
      </c>
      <c r="AQ55" s="23" t="n">
        <f aca="false">IF(ISNUMBER(Tabelle1!O62),(0.5*Tabelle1!O50+SUM(Tabelle1!O51:O61)+0.5*Tabelle1!O62)/12,"")</f>
        <v>123.397384166667</v>
      </c>
      <c r="AR55" s="24" t="n">
        <f aca="false">IFERROR(Tabelle1!O56/AQ55,"")</f>
        <v>0.956628868571167</v>
      </c>
      <c r="AS55" s="24" t="n">
        <f aca="false">IFERROR(AVERAGEIFS($AR$7:$AR$294,$B$7:$B$294,$B55,$A$7:$A$294,"&gt;="&amp;EDATE($A55,-12*'Seasonal Factors'!$E$4),$A$7:$A$294,"&lt;="&amp;EDATE($A55,12*'Seasonal Factors'!$E$4)),"")</f>
        <v>0.946608595467792</v>
      </c>
      <c r="AT55" s="24" t="n">
        <f aca="false">IFERROR(AS55/AVERAGE(AS50:AS61),"")</f>
        <v>0.946511461759952</v>
      </c>
      <c r="AU55" s="23" t="n">
        <f aca="false">IF(ISNUMBER(Tabelle1!P62),(0.5*Tabelle1!P50+SUM(Tabelle1!P51:P61)+0.5*Tabelle1!P62)/12,"")</f>
        <v>117.38907875</v>
      </c>
      <c r="AV55" s="24" t="n">
        <f aca="false">IFERROR(Tabelle1!P56/AU55,"")</f>
        <v>0.969499984256415</v>
      </c>
      <c r="AW55" s="24" t="n">
        <f aca="false">IFERROR(AVERAGEIFS($AV$7:$AV$294,$B$7:$B$294,$B55,$A$7:$A$294,"&gt;="&amp;EDATE($A55,-12*'Seasonal Factors'!$E$4),$A$7:$A$294,"&lt;="&amp;EDATE($A55,12*'Seasonal Factors'!$E$4)),"")</f>
        <v>0.990342505697524</v>
      </c>
      <c r="AX55" s="24" t="n">
        <f aca="false">IFERROR(AW55/AVERAGE(AW50:AW61),"")</f>
        <v>0.990266793861098</v>
      </c>
      <c r="AY55" s="23" t="n">
        <f aca="false">IF(ISNUMBER(Tabelle1!Q62),(0.5*Tabelle1!Q50+SUM(Tabelle1!Q51:Q61)+0.5*Tabelle1!Q62)/12,"")</f>
        <v>119.011242083333</v>
      </c>
      <c r="AZ55" s="24" t="n">
        <f aca="false">IFERROR(Tabelle1!Q56/AY55,"")</f>
        <v>0.947997080149792</v>
      </c>
      <c r="BA55" s="24" t="n">
        <f aca="false">IFERROR(AVERAGEIFS($AZ$7:$AZ$294,$B$7:$B$294,$B55,$A$7:$A$294,"&gt;="&amp;EDATE($A55,-12*'Seasonal Factors'!$E$4),$A$7:$A$294,"&lt;="&amp;EDATE($A55,12*'Seasonal Factors'!$E$4)),"")</f>
        <v>0.976579024412699</v>
      </c>
      <c r="BB55" s="24" t="n">
        <f aca="false">IFERROR(BA55/AVERAGE(BA50:BA61),"")</f>
        <v>0.976583498156711</v>
      </c>
      <c r="BC55" s="23" t="n">
        <f aca="false">IF(ISNUMBER(Tabelle1!R62),(0.5*Tabelle1!R50+SUM(Tabelle1!R51:R61)+0.5*Tabelle1!R62)/12,"")</f>
        <v>124.14712875</v>
      </c>
      <c r="BD55" s="24" t="n">
        <f aca="false">IFERROR(Tabelle1!R56/BC55,"")</f>
        <v>0.988001585175606</v>
      </c>
      <c r="BE55" s="24" t="n">
        <f aca="false">IFERROR(AVERAGEIFS($BD$7:$BD$294,$B$7:$B$294,$B55,$A$7:$A$294,"&gt;="&amp;EDATE($A55,-12*'Seasonal Factors'!$E$4),$A$7:$A$294,"&lt;="&amp;EDATE($A55,12*'Seasonal Factors'!$E$4)),"")</f>
        <v>0.984085299303234</v>
      </c>
      <c r="BF55" s="24" t="n">
        <f aca="false">IFERROR(BE55/AVERAGE(BE50:BE61),"")</f>
        <v>0.983247720394445</v>
      </c>
      <c r="BG55" s="23" t="n">
        <f aca="false">IF(ISNUMBER(Tabelle1!S62),(0.5*Tabelle1!S50+SUM(Tabelle1!S51:S61)+0.5*Tabelle1!S62)/12,"")</f>
        <v>135.202573333333</v>
      </c>
      <c r="BH55" s="24" t="n">
        <f aca="false">IFERROR(Tabelle1!S56/BG55,"")</f>
        <v>1.00291767129087</v>
      </c>
      <c r="BI55" s="24" t="n">
        <f aca="false">IFERROR(AVERAGEIFS($BH$7:$BH$294,$B$7:$B$294,$B55,$A$7:$A$294,"&gt;="&amp;EDATE($A55,-12*'Seasonal Factors'!$E$4),$A$7:$A$294,"&lt;="&amp;EDATE($A55,12*'Seasonal Factors'!$E$4)),"")</f>
        <v>1.01263122232736</v>
      </c>
      <c r="BJ55" s="24" t="n">
        <f aca="false">IFERROR(BI55/AVERAGE(BI50:BI61),"")</f>
        <v>1.01243231475397</v>
      </c>
    </row>
    <row r="56" customFormat="false" ht="15" hidden="false" customHeight="false" outlineLevel="0" collapsed="false">
      <c r="A56" s="20" t="n">
        <v>39507</v>
      </c>
      <c r="B56" s="22" t="n">
        <f aca="false">MONTH(A56)</f>
        <v>2</v>
      </c>
      <c r="C56" s="23" t="n">
        <f aca="false">IF(ISNUMBER(Tabelle1!E63),(0.5*Tabelle1!E51+SUM(Tabelle1!E52:E62)+0.5*Tabelle1!E63)/12,"")</f>
        <v>126.37538125</v>
      </c>
      <c r="D56" s="24" t="n">
        <f aca="false">IFERROR(Tabelle1!E57/C56,"")</f>
        <v>0.543495887574226</v>
      </c>
      <c r="E56" s="24" t="n">
        <f aca="false">IFERROR(AVERAGEIFS($D$7:$D$294,$B$7:$B$294,$B56,$A$7:$A$294,"&gt;="&amp;EDATE($A56,-12*'Seasonal Factors'!$E$4),$A$7:$A$294,"&lt;="&amp;EDATE($A56,12*'Seasonal Factors'!$E$4)),"")</f>
        <v>0.576474074913318</v>
      </c>
      <c r="F56" s="24" t="n">
        <f aca="false">IFERROR(E56/AVERAGE(E51:E62),"")</f>
        <v>0.57617781899705</v>
      </c>
      <c r="G56" s="23" t="n">
        <f aca="false">IF(ISNUMBER(Tabelle1!F63),(0.5*Tabelle1!F51+SUM(Tabelle1!F52:F62)+0.5*Tabelle1!F63)/12,"")</f>
        <v>131.268055833333</v>
      </c>
      <c r="H56" s="24" t="n">
        <f aca="false">IFERROR(Tabelle1!F57/G56,"")</f>
        <v>0.44925636801444</v>
      </c>
      <c r="I56" s="24" t="n">
        <f aca="false">IFERROR(AVERAGEIFS($H$7:$H$294,$B$7:$B$294,$B56,$A$7:$A$294,"&gt;="&amp;EDATE($A56,-12*'Seasonal Factors'!$E$4),$A$7:$A$294,"&lt;="&amp;EDATE($A56,12*'Seasonal Factors'!$E$4)),"")</f>
        <v>0.660682553343301</v>
      </c>
      <c r="J56" s="24" t="n">
        <f aca="false">IFERROR(I56/AVERAGE(I51:I62),"")</f>
        <v>0.671535484194376</v>
      </c>
      <c r="K56" s="23" t="n">
        <f aca="false">IF(ISNUMBER(Tabelle1!G63),(0.5*Tabelle1!G51+SUM(Tabelle1!G52:G62)+0.5*Tabelle1!G63)/12,"")</f>
        <v>100.969357083333</v>
      </c>
      <c r="L56" s="24" t="n">
        <f aca="false">IFERROR(Tabelle1!G57/K56,"")</f>
        <v>0.967170761713402</v>
      </c>
      <c r="M56" s="24" t="n">
        <f aca="false">IFERROR(AVERAGEIFS($L$7:$L$294,$B$7:$B$294,$B56,$A$7:$A$294,"&gt;="&amp;EDATE($A56,-12*'Seasonal Factors'!$E$4),$A$7:$A$294,"&lt;="&amp;EDATE($A56,12*'Seasonal Factors'!$E$4)),"")</f>
        <v>0.942746971207257</v>
      </c>
      <c r="N56" s="24" t="n">
        <f aca="false">IFERROR(M56/AVERAGE(M51:M62),"")</f>
        <v>0.942828164816915</v>
      </c>
      <c r="O56" s="23" t="n">
        <f aca="false">IF(ISNUMBER(Tabelle1!H63),(0.5*Tabelle1!H51+SUM(Tabelle1!H52:H62)+0.5*Tabelle1!H63)/12,"")</f>
        <v>131.583504583333</v>
      </c>
      <c r="P56" s="24" t="n">
        <f aca="false">IFERROR(Tabelle1!H57/O56,"")</f>
        <v>0.90482435755918</v>
      </c>
      <c r="Q56" s="24" t="n">
        <f aca="false">IFERROR(AVERAGEIFS($P$7:$P$294,$B$7:$B$294,$B56,$A$7:$A$294,"&gt;="&amp;EDATE($A56,-12*'Seasonal Factors'!$E$4),$A$7:$A$294,"&lt;="&amp;EDATE($A56,12*'Seasonal Factors'!$E$4)),"")</f>
        <v>0.884611157838312</v>
      </c>
      <c r="R56" s="24" t="n">
        <f aca="false">IFERROR(Q56/AVERAGE(Q51:Q62),"")</f>
        <v>0.884920548443431</v>
      </c>
      <c r="S56" s="23" t="n">
        <f aca="false">IF(ISNUMBER(Tabelle1!I63),(0.5*Tabelle1!I51+SUM(Tabelle1!I52:I62)+0.5*Tabelle1!I63)/12,"")</f>
        <v>118.959557916667</v>
      </c>
      <c r="T56" s="24" t="n">
        <f aca="false">IFERROR(Tabelle1!I57/S56,"")</f>
        <v>1.00222463909557</v>
      </c>
      <c r="U56" s="24" t="n">
        <f aca="false">IFERROR(AVERAGEIFS($T$7:$T$294,$B$7:$B$294,$B56,$A$7:$A$294,"&gt;="&amp;EDATE($A56,-12*'Seasonal Factors'!$E$4),$A$7:$A$294,"&lt;="&amp;EDATE($A56,12*'Seasonal Factors'!$E$4)),"")</f>
        <v>0.967395284614588</v>
      </c>
      <c r="V56" s="24" t="n">
        <f aca="false">IFERROR(U56/AVERAGE(U51:U62),"")</f>
        <v>0.96748227226844</v>
      </c>
      <c r="W56" s="23" t="n">
        <f aca="false">IF(ISNUMBER(Tabelle1!J63),(0.5*Tabelle1!J51+SUM(Tabelle1!J52:J62)+0.5*Tabelle1!J63)/12,"")</f>
        <v>146.886633333333</v>
      </c>
      <c r="X56" s="24" t="n">
        <f aca="false">IFERROR(Tabelle1!J57/W56,"")</f>
        <v>1.02546696443221</v>
      </c>
      <c r="Y56" s="24" t="n">
        <f aca="false">IFERROR(AVERAGEIFS($X$7:$X$294,$B$7:$B$294,$B56,$A$7:$A$294,"&gt;="&amp;EDATE($A56,-12*'Seasonal Factors'!$E$4),$A$7:$A$294,"&lt;="&amp;EDATE($A56,12*'Seasonal Factors'!$E$4)),"")</f>
        <v>1.00857643674612</v>
      </c>
      <c r="Z56" s="24" t="n">
        <f aca="false">IFERROR(Y56/AVERAGE(Y51:Y62),"")</f>
        <v>1.00870008388239</v>
      </c>
      <c r="AA56" s="23" t="n">
        <f aca="false">IF(ISNUMBER(Tabelle1!K63),(0.5*Tabelle1!K51+SUM(Tabelle1!K52:K62)+0.5*Tabelle1!K63)/12,"")</f>
        <v>144.224800833333</v>
      </c>
      <c r="AB56" s="24" t="n">
        <f aca="false">IFERROR(Tabelle1!K57/AA56,"")</f>
        <v>0.935169951497189</v>
      </c>
      <c r="AC56" s="24" t="n">
        <f aca="false">IFERROR(AVERAGEIFS($AB$7:$AB$294,$B$7:$B$294,$B56,$A$7:$A$294,"&gt;="&amp;EDATE($A56,-12*'Seasonal Factors'!$E$4),$A$7:$A$294,"&lt;="&amp;EDATE($A56,12*'Seasonal Factors'!$E$4)),"")</f>
        <v>0.910210703528358</v>
      </c>
      <c r="AD56" s="24" t="n">
        <f aca="false">IFERROR(AC56/AVERAGE(AC51:AC62),"")</f>
        <v>0.91113340446735</v>
      </c>
      <c r="AE56" s="23" t="n">
        <f aca="false">IF(ISNUMBER(Tabelle1!L63),(0.5*Tabelle1!L51+SUM(Tabelle1!L52:L62)+0.5*Tabelle1!L63)/12,"")</f>
        <v>140.993002916667</v>
      </c>
      <c r="AF56" s="24" t="n">
        <f aca="false">IFERROR(Tabelle1!L57/AE56,"")</f>
        <v>1.07084087065822</v>
      </c>
      <c r="AG56" s="24" t="n">
        <f aca="false">IFERROR(AVERAGEIFS($AF$7:$AF$294,$B$7:$B$294,$B56,$A$7:$A$294,"&gt;="&amp;EDATE($A56,-12*'Seasonal Factors'!$E$4),$A$7:$A$294,"&lt;="&amp;EDATE($A56,12*'Seasonal Factors'!$E$4)),"")</f>
        <v>1.04691130829072</v>
      </c>
      <c r="AH56" s="24" t="n">
        <f aca="false">IFERROR(AG56/AVERAGE(AG51:AG62),"")</f>
        <v>1.04654656008926</v>
      </c>
      <c r="AI56" s="23" t="n">
        <f aca="false">IF(ISNUMBER(Tabelle1!M63),(0.5*Tabelle1!M51+SUM(Tabelle1!M52:M62)+0.5*Tabelle1!M63)/12,"")</f>
        <v>152.31585625</v>
      </c>
      <c r="AJ56" s="24" t="n">
        <f aca="false">IFERROR(Tabelle1!M57/AI56,"")</f>
        <v>0.960094986827742</v>
      </c>
      <c r="AK56" s="24" t="n">
        <f aca="false">IFERROR(AVERAGEIFS($AJ$7:$AJ$294,$B$7:$B$294,$B56,$A$7:$A$294,"&gt;="&amp;EDATE($A56,-12*'Seasonal Factors'!$E$4),$A$7:$A$294,"&lt;="&amp;EDATE($A56,12*'Seasonal Factors'!$E$4)),"")</f>
        <v>0.939570936587458</v>
      </c>
      <c r="AL56" s="24" t="n">
        <f aca="false">IFERROR(AK56/AVERAGE(AK51:AK62),"")</f>
        <v>0.939391628713664</v>
      </c>
      <c r="AM56" s="23" t="n">
        <f aca="false">IF(ISNUMBER(Tabelle1!N63),(0.5*Tabelle1!N51+SUM(Tabelle1!N52:N62)+0.5*Tabelle1!N63)/12,"")</f>
        <v>147.40523125</v>
      </c>
      <c r="AN56" s="24" t="n">
        <f aca="false">IFERROR(Tabelle1!N57/AM56,"")</f>
        <v>0.994969233834433</v>
      </c>
      <c r="AO56" s="24" t="n">
        <f aca="false">IFERROR(AVERAGEIFS($AN$7:$AN$294,$B$7:$B$294,$B56,$A$7:$A$294,"&gt;="&amp;EDATE($A56,-12*'Seasonal Factors'!$E$4),$A$7:$A$294,"&lt;="&amp;EDATE($A56,12*'Seasonal Factors'!$E$4)),"")</f>
        <v>0.974180334192517</v>
      </c>
      <c r="AP56" s="24" t="n">
        <f aca="false">IFERROR(AO56/AVERAGE(AO51:AO62),"")</f>
        <v>0.974304995369346</v>
      </c>
      <c r="AQ56" s="23" t="n">
        <f aca="false">IF(ISNUMBER(Tabelle1!O63),(0.5*Tabelle1!O51+SUM(Tabelle1!O52:O62)+0.5*Tabelle1!O63)/12,"")</f>
        <v>123.915692083333</v>
      </c>
      <c r="AR56" s="24" t="n">
        <f aca="false">IFERROR(Tabelle1!O57/AQ56,"")</f>
        <v>0.979222469406039</v>
      </c>
      <c r="AS56" s="24" t="n">
        <f aca="false">IFERROR(AVERAGEIFS($AR$7:$AR$294,$B$7:$B$294,$B56,$A$7:$A$294,"&gt;="&amp;EDATE($A56,-12*'Seasonal Factors'!$E$4),$A$7:$A$294,"&lt;="&amp;EDATE($A56,12*'Seasonal Factors'!$E$4)),"")</f>
        <v>0.959470394283496</v>
      </c>
      <c r="AT56" s="24" t="n">
        <f aca="false">IFERROR(AS56/AVERAGE(AS51:AS62),"")</f>
        <v>0.959281558786458</v>
      </c>
      <c r="AU56" s="23" t="n">
        <f aca="false">IF(ISNUMBER(Tabelle1!P63),(0.5*Tabelle1!P51+SUM(Tabelle1!P52:P62)+0.5*Tabelle1!P63)/12,"")</f>
        <v>117.8732475</v>
      </c>
      <c r="AV56" s="24" t="n">
        <f aca="false">IFERROR(Tabelle1!P57/AU56,"")</f>
        <v>0.993231479433024</v>
      </c>
      <c r="AW56" s="24" t="n">
        <f aca="false">IFERROR(AVERAGEIFS($AV$7:$AV$294,$B$7:$B$294,$B56,$A$7:$A$294,"&gt;="&amp;EDATE($A56,-12*'Seasonal Factors'!$E$4),$A$7:$A$294,"&lt;="&amp;EDATE($A56,12*'Seasonal Factors'!$E$4)),"")</f>
        <v>0.996518518681687</v>
      </c>
      <c r="AX56" s="24" t="n">
        <f aca="false">IFERROR(AW56/AVERAGE(AW51:AW62),"")</f>
        <v>0.996474297253473</v>
      </c>
      <c r="AY56" s="23" t="n">
        <f aca="false">IF(ISNUMBER(Tabelle1!Q63),(0.5*Tabelle1!Q51+SUM(Tabelle1!Q52:Q62)+0.5*Tabelle1!Q63)/12,"")</f>
        <v>119.511404583333</v>
      </c>
      <c r="AZ56" s="24" t="n">
        <f aca="false">IFERROR(Tabelle1!Q57/AY56,"")</f>
        <v>0.976261306665883</v>
      </c>
      <c r="BA56" s="24" t="n">
        <f aca="false">IFERROR(AVERAGEIFS($AZ$7:$AZ$294,$B$7:$B$294,$B56,$A$7:$A$294,"&gt;="&amp;EDATE($A56,-12*'Seasonal Factors'!$E$4),$A$7:$A$294,"&lt;="&amp;EDATE($A56,12*'Seasonal Factors'!$E$4)),"")</f>
        <v>0.981290965920207</v>
      </c>
      <c r="BB56" s="24" t="n">
        <f aca="false">IFERROR(BA56/AVERAGE(BA51:BA62),"")</f>
        <v>0.981330659049427</v>
      </c>
      <c r="BC56" s="23" t="n">
        <f aca="false">IF(ISNUMBER(Tabelle1!R63),(0.5*Tabelle1!R51+SUM(Tabelle1!R52:R62)+0.5*Tabelle1!R63)/12,"")</f>
        <v>124.88988375</v>
      </c>
      <c r="BD56" s="24" t="n">
        <f aca="false">IFERROR(Tabelle1!R57/BC56,"")</f>
        <v>0.926298243912009</v>
      </c>
      <c r="BE56" s="24" t="n">
        <f aca="false">IFERROR(AVERAGEIFS($BD$7:$BD$294,$B$7:$B$294,$B56,$A$7:$A$294,"&gt;="&amp;EDATE($A56,-12*'Seasonal Factors'!$E$4),$A$7:$A$294,"&lt;="&amp;EDATE($A56,12*'Seasonal Factors'!$E$4)),"")</f>
        <v>0.932105797534464</v>
      </c>
      <c r="BF56" s="24" t="n">
        <f aca="false">IFERROR(BE56/AVERAGE(BE51:BE62),"")</f>
        <v>0.931568377570521</v>
      </c>
      <c r="BG56" s="23" t="n">
        <f aca="false">IF(ISNUMBER(Tabelle1!S63),(0.5*Tabelle1!S51+SUM(Tabelle1!S52:S62)+0.5*Tabelle1!S63)/12,"")</f>
        <v>135.57048375</v>
      </c>
      <c r="BH56" s="24" t="n">
        <f aca="false">IFERROR(Tabelle1!S57/BG56,"")</f>
        <v>0.990665934685801</v>
      </c>
      <c r="BI56" s="24" t="n">
        <f aca="false">IFERROR(AVERAGEIFS($BH$7:$BH$294,$B$7:$B$294,$B56,$A$7:$A$294,"&gt;="&amp;EDATE($A56,-12*'Seasonal Factors'!$E$4),$A$7:$A$294,"&lt;="&amp;EDATE($A56,12*'Seasonal Factors'!$E$4)),"")</f>
        <v>0.990448254569121</v>
      </c>
      <c r="BJ56" s="24" t="n">
        <f aca="false">IFERROR(BI56/AVERAGE(BI51:BI62),"")</f>
        <v>0.990324064232996</v>
      </c>
    </row>
    <row r="57" customFormat="false" ht="15" hidden="false" customHeight="false" outlineLevel="0" collapsed="false">
      <c r="A57" s="20" t="n">
        <v>39538</v>
      </c>
      <c r="B57" s="22" t="n">
        <f aca="false">MONTH(A57)</f>
        <v>3</v>
      </c>
      <c r="C57" s="23" t="n">
        <f aca="false">IF(ISNUMBER(Tabelle1!E64),(0.5*Tabelle1!E52+SUM(Tabelle1!E53:E63)+0.5*Tabelle1!E64)/12,"")</f>
        <v>126.50878625</v>
      </c>
      <c r="D57" s="24" t="n">
        <f aca="false">IFERROR(Tabelle1!E58/C57,"")</f>
        <v>1.06707276230784</v>
      </c>
      <c r="E57" s="24" t="n">
        <f aca="false">IFERROR(AVERAGEIFS($D$7:$D$294,$B$7:$B$294,$B57,$A$7:$A$294,"&gt;="&amp;EDATE($A57,-12*'Seasonal Factors'!$E$4),$A$7:$A$294,"&lt;="&amp;EDATE($A57,12*'Seasonal Factors'!$E$4)),"")</f>
        <v>1.10018559641325</v>
      </c>
      <c r="F57" s="24" t="n">
        <f aca="false">IFERROR(E57/AVERAGE(E52:E63),"")</f>
        <v>1.09865577175323</v>
      </c>
      <c r="G57" s="23" t="n">
        <f aca="false">IF(ISNUMBER(Tabelle1!F64),(0.5*Tabelle1!F52+SUM(Tabelle1!F53:F63)+0.5*Tabelle1!F64)/12,"")</f>
        <v>134.49596875</v>
      </c>
      <c r="H57" s="24" t="n">
        <f aca="false">IFERROR(Tabelle1!F58/G57,"")</f>
        <v>1.16772302887331</v>
      </c>
      <c r="I57" s="24" t="n">
        <f aca="false">IFERROR(AVERAGEIFS($H$7:$H$294,$B$7:$B$294,$B57,$A$7:$A$294,"&gt;="&amp;EDATE($A57,-12*'Seasonal Factors'!$E$4),$A$7:$A$294,"&lt;="&amp;EDATE($A57,12*'Seasonal Factors'!$E$4)),"")</f>
        <v>1.33161427201359</v>
      </c>
      <c r="J57" s="24" t="n">
        <f aca="false">IFERROR(I57/AVERAGE(I52:I63),"")</f>
        <v>1.34609579591055</v>
      </c>
      <c r="K57" s="23" t="n">
        <f aca="false">IF(ISNUMBER(Tabelle1!G64),(0.5*Tabelle1!G52+SUM(Tabelle1!G53:G63)+0.5*Tabelle1!G64)/12,"")</f>
        <v>100.909788333333</v>
      </c>
      <c r="L57" s="24" t="n">
        <f aca="false">IFERROR(Tabelle1!G58/K57,"")</f>
        <v>1.03456296682682</v>
      </c>
      <c r="M57" s="24" t="n">
        <f aca="false">IFERROR(AVERAGEIFS($L$7:$L$294,$B$7:$B$294,$B57,$A$7:$A$294,"&gt;="&amp;EDATE($A57,-12*'Seasonal Factors'!$E$4),$A$7:$A$294,"&lt;="&amp;EDATE($A57,12*'Seasonal Factors'!$E$4)),"")</f>
        <v>1.02896143096899</v>
      </c>
      <c r="N57" s="24" t="n">
        <f aca="false">IFERROR(M57/AVERAGE(M52:M63),"")</f>
        <v>1.02889761339711</v>
      </c>
      <c r="O57" s="23" t="n">
        <f aca="false">IF(ISNUMBER(Tabelle1!H64),(0.5*Tabelle1!H52+SUM(Tabelle1!H53:H63)+0.5*Tabelle1!H64)/12,"")</f>
        <v>132.2238825</v>
      </c>
      <c r="P57" s="24" t="n">
        <f aca="false">IFERROR(Tabelle1!H58/O57,"")</f>
        <v>0.980636610787767</v>
      </c>
      <c r="Q57" s="24" t="n">
        <f aca="false">IFERROR(AVERAGEIFS($P$7:$P$294,$B$7:$B$294,$B57,$A$7:$A$294,"&gt;="&amp;EDATE($A57,-12*'Seasonal Factors'!$E$4),$A$7:$A$294,"&lt;="&amp;EDATE($A57,12*'Seasonal Factors'!$E$4)),"")</f>
        <v>1.01394918945677</v>
      </c>
      <c r="R57" s="24" t="n">
        <f aca="false">IFERROR(Q57/AVERAGE(Q52:Q63),"")</f>
        <v>1.01437470091541</v>
      </c>
      <c r="S57" s="23" t="n">
        <f aca="false">IF(ISNUMBER(Tabelle1!I64),(0.5*Tabelle1!I52+SUM(Tabelle1!I53:I63)+0.5*Tabelle1!I64)/12,"")</f>
        <v>119.638070416667</v>
      </c>
      <c r="T57" s="24" t="n">
        <f aca="false">IFERROR(Tabelle1!I58/S57,"")</f>
        <v>1.0051053112208</v>
      </c>
      <c r="U57" s="24" t="n">
        <f aca="false">IFERROR(AVERAGEIFS($T$7:$T$294,$B$7:$B$294,$B57,$A$7:$A$294,"&gt;="&amp;EDATE($A57,-12*'Seasonal Factors'!$E$4),$A$7:$A$294,"&lt;="&amp;EDATE($A57,12*'Seasonal Factors'!$E$4)),"")</f>
        <v>1.01509323419634</v>
      </c>
      <c r="V57" s="24" t="n">
        <f aca="false">IFERROR(U57/AVERAGE(U52:U63),"")</f>
        <v>1.01542867803133</v>
      </c>
      <c r="W57" s="23" t="n">
        <f aca="false">IF(ISNUMBER(Tabelle1!J64),(0.5*Tabelle1!J52+SUM(Tabelle1!J53:J63)+0.5*Tabelle1!J64)/12,"")</f>
        <v>147.342295833333</v>
      </c>
      <c r="X57" s="24" t="n">
        <f aca="false">IFERROR(Tabelle1!J58/W57,"")</f>
        <v>1.02685694656979</v>
      </c>
      <c r="Y57" s="24" t="n">
        <f aca="false">IFERROR(AVERAGEIFS($X$7:$X$294,$B$7:$B$294,$B57,$A$7:$A$294,"&gt;="&amp;EDATE($A57,-12*'Seasonal Factors'!$E$4),$A$7:$A$294,"&lt;="&amp;EDATE($A57,12*'Seasonal Factors'!$E$4)),"")</f>
        <v>1.0279412962101</v>
      </c>
      <c r="Z57" s="24" t="n">
        <f aca="false">IFERROR(Y57/AVERAGE(Y52:Y63),"")</f>
        <v>1.02836882731599</v>
      </c>
      <c r="AA57" s="23" t="n">
        <f aca="false">IF(ISNUMBER(Tabelle1!K64),(0.5*Tabelle1!K52+SUM(Tabelle1!K53:K63)+0.5*Tabelle1!K64)/12,"")</f>
        <v>144.7667575</v>
      </c>
      <c r="AB57" s="24" t="n">
        <f aca="false">IFERROR(Tabelle1!K58/AA57,"")</f>
        <v>1.02295846475666</v>
      </c>
      <c r="AC57" s="24" t="n">
        <f aca="false">IFERROR(AVERAGEIFS($AB$7:$AB$294,$B$7:$B$294,$B57,$A$7:$A$294,"&gt;="&amp;EDATE($A57,-12*'Seasonal Factors'!$E$4),$A$7:$A$294,"&lt;="&amp;EDATE($A57,12*'Seasonal Factors'!$E$4)),"")</f>
        <v>1.06899046827291</v>
      </c>
      <c r="AD57" s="24" t="n">
        <f aca="false">IFERROR(AC57/AVERAGE(AC52:AC63),"")</f>
        <v>1.07021335951367</v>
      </c>
      <c r="AE57" s="23" t="n">
        <f aca="false">IF(ISNUMBER(Tabelle1!L64),(0.5*Tabelle1!L52+SUM(Tabelle1!L53:L63)+0.5*Tabelle1!L64)/12,"")</f>
        <v>141.182819166667</v>
      </c>
      <c r="AF57" s="24" t="n">
        <f aca="false">IFERROR(Tabelle1!L58/AE57,"")</f>
        <v>1.03515307926721</v>
      </c>
      <c r="AG57" s="24" t="n">
        <f aca="false">IFERROR(AVERAGEIFS($AF$7:$AF$294,$B$7:$B$294,$B57,$A$7:$A$294,"&gt;="&amp;EDATE($A57,-12*'Seasonal Factors'!$E$4),$A$7:$A$294,"&lt;="&amp;EDATE($A57,12*'Seasonal Factors'!$E$4)),"")</f>
        <v>1.0165366038934</v>
      </c>
      <c r="AH57" s="24" t="n">
        <f aca="false">IFERROR(AG57/AVERAGE(AG52:AG63),"")</f>
        <v>1.01610258663424</v>
      </c>
      <c r="AI57" s="23" t="n">
        <f aca="false">IF(ISNUMBER(Tabelle1!M64),(0.5*Tabelle1!M52+SUM(Tabelle1!M53:M63)+0.5*Tabelle1!M64)/12,"")</f>
        <v>153.025341666667</v>
      </c>
      <c r="AJ57" s="24" t="n">
        <f aca="false">IFERROR(Tabelle1!M58/AI57,"")</f>
        <v>0.982295274513628</v>
      </c>
      <c r="AK57" s="24" t="n">
        <f aca="false">IFERROR(AVERAGEIFS($AJ$7:$AJ$294,$B$7:$B$294,$B57,$A$7:$A$294,"&gt;="&amp;EDATE($A57,-12*'Seasonal Factors'!$E$4),$A$7:$A$294,"&lt;="&amp;EDATE($A57,12*'Seasonal Factors'!$E$4)),"")</f>
        <v>1.00008891888192</v>
      </c>
      <c r="AL57" s="24" t="n">
        <f aca="false">IFERROR(AK57/AVERAGE(AK52:AK63),"")</f>
        <v>0.99994403768876</v>
      </c>
      <c r="AM57" s="23" t="n">
        <f aca="false">IF(ISNUMBER(Tabelle1!N64),(0.5*Tabelle1!N52+SUM(Tabelle1!N53:N63)+0.5*Tabelle1!N64)/12,"")</f>
        <v>148.276942083333</v>
      </c>
      <c r="AN57" s="24" t="n">
        <f aca="false">IFERROR(Tabelle1!N58/AM57,"")</f>
        <v>0.976608081913478</v>
      </c>
      <c r="AO57" s="24" t="n">
        <f aca="false">IFERROR(AVERAGEIFS($AN$7:$AN$294,$B$7:$B$294,$B57,$A$7:$A$294,"&gt;="&amp;EDATE($A57,-12*'Seasonal Factors'!$E$4),$A$7:$A$294,"&lt;="&amp;EDATE($A57,12*'Seasonal Factors'!$E$4)),"")</f>
        <v>0.999541228978313</v>
      </c>
      <c r="AP57" s="24" t="n">
        <f aca="false">IFERROR(AO57/AVERAGE(AO52:AO63),"")</f>
        <v>0.999663948101129</v>
      </c>
      <c r="AQ57" s="23" t="n">
        <f aca="false">IF(ISNUMBER(Tabelle1!O64),(0.5*Tabelle1!O52+SUM(Tabelle1!O53:O63)+0.5*Tabelle1!O64)/12,"")</f>
        <v>124.344839583333</v>
      </c>
      <c r="AR57" s="24" t="n">
        <f aca="false">IFERROR(Tabelle1!O58/AQ57,"")</f>
        <v>0.976229656226687</v>
      </c>
      <c r="AS57" s="24" t="n">
        <f aca="false">IFERROR(AVERAGEIFS($AR$7:$AR$294,$B$7:$B$294,$B57,$A$7:$A$294,"&gt;="&amp;EDATE($A57,-12*'Seasonal Factors'!$E$4),$A$7:$A$294,"&lt;="&amp;EDATE($A57,12*'Seasonal Factors'!$E$4)),"")</f>
        <v>0.99164142622495</v>
      </c>
      <c r="AT57" s="24" t="n">
        <f aca="false">IFERROR(AS57/AVERAGE(AS52:AS63),"")</f>
        <v>0.991642928684621</v>
      </c>
      <c r="AU57" s="23" t="n">
        <f aca="false">IF(ISNUMBER(Tabelle1!P64),(0.5*Tabelle1!P52+SUM(Tabelle1!P53:P63)+0.5*Tabelle1!P64)/12,"")</f>
        <v>118.382259166667</v>
      </c>
      <c r="AV57" s="24" t="n">
        <f aca="false">IFERROR(Tabelle1!P58/AU57,"")</f>
        <v>0.990253022920924</v>
      </c>
      <c r="AW57" s="24" t="n">
        <f aca="false">IFERROR(AVERAGEIFS($AV$7:$AV$294,$B$7:$B$294,$B57,$A$7:$A$294,"&gt;="&amp;EDATE($A57,-12*'Seasonal Factors'!$E$4),$A$7:$A$294,"&lt;="&amp;EDATE($A57,12*'Seasonal Factors'!$E$4)),"")</f>
        <v>0.994463051429802</v>
      </c>
      <c r="AX57" s="24" t="n">
        <f aca="false">IFERROR(AW57/AVERAGE(AW52:AW63),"")</f>
        <v>0.994490514856304</v>
      </c>
      <c r="AY57" s="23" t="n">
        <f aca="false">IF(ISNUMBER(Tabelle1!Q64),(0.5*Tabelle1!Q52+SUM(Tabelle1!Q53:Q63)+0.5*Tabelle1!Q64)/12,"")</f>
        <v>120.053579583333</v>
      </c>
      <c r="AZ57" s="24" t="n">
        <f aca="false">IFERROR(Tabelle1!Q58/AY57,"")</f>
        <v>0.97441242823417</v>
      </c>
      <c r="BA57" s="24" t="n">
        <f aca="false">IFERROR(AVERAGEIFS($AZ$7:$AZ$294,$B$7:$B$294,$B57,$A$7:$A$294,"&gt;="&amp;EDATE($A57,-12*'Seasonal Factors'!$E$4),$A$7:$A$294,"&lt;="&amp;EDATE($A57,12*'Seasonal Factors'!$E$4)),"")</f>
        <v>0.98419853671368</v>
      </c>
      <c r="BB57" s="24" t="n">
        <f aca="false">IFERROR(BA57/AVERAGE(BA52:BA63),"")</f>
        <v>0.984318118424948</v>
      </c>
      <c r="BC57" s="23" t="n">
        <f aca="false">IF(ISNUMBER(Tabelle1!R64),(0.5*Tabelle1!R52+SUM(Tabelle1!R53:R63)+0.5*Tabelle1!R64)/12,"")</f>
        <v>125.615669166667</v>
      </c>
      <c r="BD57" s="24" t="n">
        <f aca="false">IFERROR(Tabelle1!R58/BC57,"")</f>
        <v>0.993661943832737</v>
      </c>
      <c r="BE57" s="24" t="n">
        <f aca="false">IFERROR(AVERAGEIFS($BD$7:$BD$294,$B$7:$B$294,$B57,$A$7:$A$294,"&gt;="&amp;EDATE($A57,-12*'Seasonal Factors'!$E$4),$A$7:$A$294,"&lt;="&amp;EDATE($A57,12*'Seasonal Factors'!$E$4)),"")</f>
        <v>1.00519223346489</v>
      </c>
      <c r="BF57" s="24" t="n">
        <f aca="false">IFERROR(BE57/AVERAGE(BE52:BE63),"")</f>
        <v>1.00488288307901</v>
      </c>
      <c r="BG57" s="23" t="n">
        <f aca="false">IF(ISNUMBER(Tabelle1!S64),(0.5*Tabelle1!S52+SUM(Tabelle1!S53:S63)+0.5*Tabelle1!S64)/12,"")</f>
        <v>136.0830175</v>
      </c>
      <c r="BH57" s="24" t="n">
        <f aca="false">IFERROR(Tabelle1!S58/BG57,"")</f>
        <v>0.988912889148714</v>
      </c>
      <c r="BI57" s="24" t="n">
        <f aca="false">IFERROR(AVERAGEIFS($BH$7:$BH$294,$B$7:$B$294,$B57,$A$7:$A$294,"&gt;="&amp;EDATE($A57,-12*'Seasonal Factors'!$E$4),$A$7:$A$294,"&lt;="&amp;EDATE($A57,12*'Seasonal Factors'!$E$4)),"")</f>
        <v>0.977484243127072</v>
      </c>
      <c r="BJ57" s="24" t="n">
        <f aca="false">IFERROR(BI57/AVERAGE(BI52:BI63),"")</f>
        <v>0.977377290785132</v>
      </c>
    </row>
    <row r="58" customFormat="false" ht="15" hidden="false" customHeight="false" outlineLevel="0" collapsed="false">
      <c r="A58" s="20" t="n">
        <v>39568</v>
      </c>
      <c r="B58" s="22" t="n">
        <f aca="false">MONTH(A58)</f>
        <v>4</v>
      </c>
      <c r="C58" s="23" t="n">
        <f aca="false">IF(ISNUMBER(Tabelle1!E65),(0.5*Tabelle1!E53+SUM(Tabelle1!E54:E64)+0.5*Tabelle1!E65)/12,"")</f>
        <v>126.61556625</v>
      </c>
      <c r="D58" s="24" t="n">
        <f aca="false">IFERROR(Tabelle1!E59/C58,"")</f>
        <v>1.73942767483378</v>
      </c>
      <c r="E58" s="24" t="n">
        <f aca="false">IFERROR(AVERAGEIFS($D$7:$D$294,$B$7:$B$294,$B58,$A$7:$A$294,"&gt;="&amp;EDATE($A58,-12*'Seasonal Factors'!$E$4),$A$7:$A$294,"&lt;="&amp;EDATE($A58,12*'Seasonal Factors'!$E$4)),"")</f>
        <v>1.66296094452612</v>
      </c>
      <c r="F58" s="24" t="n">
        <f aca="false">IFERROR(E58/AVERAGE(E53:E64),"")</f>
        <v>1.65928817651017</v>
      </c>
      <c r="G58" s="23" t="n">
        <f aca="false">IF(ISNUMBER(Tabelle1!F65),(0.5*Tabelle1!F53+SUM(Tabelle1!F54:F64)+0.5*Tabelle1!F65)/12,"")</f>
        <v>136.441816666667</v>
      </c>
      <c r="H58" s="24" t="n">
        <f aca="false">IFERROR(Tabelle1!F59/G58,"")</f>
        <v>1.7583563885412</v>
      </c>
      <c r="I58" s="24" t="n">
        <f aca="false">IFERROR(AVERAGEIFS($H$7:$H$294,$B$7:$B$294,$B58,$A$7:$A$294,"&gt;="&amp;EDATE($A58,-12*'Seasonal Factors'!$E$4),$A$7:$A$294,"&lt;="&amp;EDATE($A58,12*'Seasonal Factors'!$E$4)),"")</f>
        <v>1.32653971721038</v>
      </c>
      <c r="J58" s="24" t="n">
        <f aca="false">IFERROR(I58/AVERAGE(I53:I64),"")</f>
        <v>1.33635885620792</v>
      </c>
      <c r="K58" s="23" t="n">
        <f aca="false">IF(ISNUMBER(Tabelle1!G65),(0.5*Tabelle1!G53+SUM(Tabelle1!G54:G64)+0.5*Tabelle1!G65)/12,"")</f>
        <v>100.892164166667</v>
      </c>
      <c r="L58" s="24" t="n">
        <f aca="false">IFERROR(Tabelle1!G59/K58,"")</f>
        <v>0.996961467035634</v>
      </c>
      <c r="M58" s="24" t="n">
        <f aca="false">IFERROR(AVERAGEIFS($L$7:$L$294,$B$7:$B$294,$B58,$A$7:$A$294,"&gt;="&amp;EDATE($A58,-12*'Seasonal Factors'!$E$4),$A$7:$A$294,"&lt;="&amp;EDATE($A58,12*'Seasonal Factors'!$E$4)),"")</f>
        <v>0.984964734948256</v>
      </c>
      <c r="N58" s="24" t="n">
        <f aca="false">IFERROR(M58/AVERAGE(M53:M64),"")</f>
        <v>0.984855951933678</v>
      </c>
      <c r="O58" s="23" t="n">
        <f aca="false">IF(ISNUMBER(Tabelle1!H65),(0.5*Tabelle1!H53+SUM(Tabelle1!H54:H64)+0.5*Tabelle1!H65)/12,"")</f>
        <v>132.561874166667</v>
      </c>
      <c r="P58" s="24" t="n">
        <f aca="false">IFERROR(Tabelle1!H59/O58,"")</f>
        <v>1.03584534288765</v>
      </c>
      <c r="Q58" s="24" t="n">
        <f aca="false">IFERROR(AVERAGEIFS($P$7:$P$294,$B$7:$B$294,$B58,$A$7:$A$294,"&gt;="&amp;EDATE($A58,-12*'Seasonal Factors'!$E$4),$A$7:$A$294,"&lt;="&amp;EDATE($A58,12*'Seasonal Factors'!$E$4)),"")</f>
        <v>1.00733937602105</v>
      </c>
      <c r="R58" s="24" t="n">
        <f aca="false">IFERROR(Q58/AVERAGE(Q53:Q64),"")</f>
        <v>1.00752850445554</v>
      </c>
      <c r="S58" s="23" t="n">
        <f aca="false">IF(ISNUMBER(Tabelle1!I65),(0.5*Tabelle1!I53+SUM(Tabelle1!I54:I64)+0.5*Tabelle1!I65)/12,"")</f>
        <v>120.01227125</v>
      </c>
      <c r="T58" s="24" t="n">
        <f aca="false">IFERROR(Tabelle1!I59/S58,"")</f>
        <v>0.958057945261994</v>
      </c>
      <c r="U58" s="24" t="n">
        <f aca="false">IFERROR(AVERAGEIFS($T$7:$T$294,$B$7:$B$294,$B58,$A$7:$A$294,"&gt;="&amp;EDATE($A58,-12*'Seasonal Factors'!$E$4),$A$7:$A$294,"&lt;="&amp;EDATE($A58,12*'Seasonal Factors'!$E$4)),"")</f>
        <v>0.954648787198372</v>
      </c>
      <c r="V58" s="24" t="n">
        <f aca="false">IFERROR(U58/AVERAGE(U53:U64),"")</f>
        <v>0.954899461798031</v>
      </c>
      <c r="W58" s="23" t="n">
        <f aca="false">IF(ISNUMBER(Tabelle1!J65),(0.5*Tabelle1!J53+SUM(Tabelle1!J54:J64)+0.5*Tabelle1!J65)/12,"")</f>
        <v>147.3793575</v>
      </c>
      <c r="X58" s="24" t="n">
        <f aca="false">IFERROR(Tabelle1!J59/W58,"")</f>
        <v>1.00885587047019</v>
      </c>
      <c r="Y58" s="24" t="n">
        <f aca="false">IFERROR(AVERAGEIFS($X$7:$X$294,$B$7:$B$294,$B58,$A$7:$A$294,"&gt;="&amp;EDATE($A58,-12*'Seasonal Factors'!$E$4),$A$7:$A$294,"&lt;="&amp;EDATE($A58,12*'Seasonal Factors'!$E$4)),"")</f>
        <v>0.986418338257697</v>
      </c>
      <c r="Z58" s="24" t="n">
        <f aca="false">IFERROR(Y58/AVERAGE(Y53:Y64),"")</f>
        <v>0.986715894561767</v>
      </c>
      <c r="AA58" s="23" t="n">
        <f aca="false">IF(ISNUMBER(Tabelle1!K65),(0.5*Tabelle1!K53+SUM(Tabelle1!K54:K64)+0.5*Tabelle1!K65)/12,"")</f>
        <v>145.16894375</v>
      </c>
      <c r="AB58" s="24" t="n">
        <f aca="false">IFERROR(Tabelle1!K59/AA58,"")</f>
        <v>1.0787239057803</v>
      </c>
      <c r="AC58" s="24" t="n">
        <f aca="false">IFERROR(AVERAGEIFS($AB$7:$AB$294,$B$7:$B$294,$B58,$A$7:$A$294,"&gt;="&amp;EDATE($A58,-12*'Seasonal Factors'!$E$4),$A$7:$A$294,"&lt;="&amp;EDATE($A58,12*'Seasonal Factors'!$E$4)),"")</f>
        <v>1.00702085120939</v>
      </c>
      <c r="AD58" s="24" t="n">
        <f aca="false">IFERROR(AC58/AVERAGE(AC53:AC64),"")</f>
        <v>1.00772478066111</v>
      </c>
      <c r="AE58" s="23" t="n">
        <f aca="false">IF(ISNUMBER(Tabelle1!L65),(0.5*Tabelle1!L53+SUM(Tabelle1!L54:L64)+0.5*Tabelle1!L65)/12,"")</f>
        <v>141.080847083333</v>
      </c>
      <c r="AF58" s="24" t="n">
        <f aca="false">IFERROR(Tabelle1!L59/AE58,"")</f>
        <v>0.964399157028263</v>
      </c>
      <c r="AG58" s="24" t="n">
        <f aca="false">IFERROR(AVERAGEIFS($AF$7:$AF$294,$B$7:$B$294,$B58,$A$7:$A$294,"&gt;="&amp;EDATE($A58,-12*'Seasonal Factors'!$E$4),$A$7:$A$294,"&lt;="&amp;EDATE($A58,12*'Seasonal Factors'!$E$4)),"")</f>
        <v>0.973838876749776</v>
      </c>
      <c r="AH58" s="24" t="n">
        <f aca="false">IFERROR(AG58/AVERAGE(AG53:AG64),"")</f>
        <v>0.973359888861406</v>
      </c>
      <c r="AI58" s="23" t="n">
        <f aca="false">IF(ISNUMBER(Tabelle1!M65),(0.5*Tabelle1!M53+SUM(Tabelle1!M54:M64)+0.5*Tabelle1!M65)/12,"")</f>
        <v>153.623277916667</v>
      </c>
      <c r="AJ58" s="24" t="n">
        <f aca="false">IFERROR(Tabelle1!M59/AI58,"")</f>
        <v>1.033313649811</v>
      </c>
      <c r="AK58" s="24" t="n">
        <f aca="false">IFERROR(AVERAGEIFS($AJ$7:$AJ$294,$B$7:$B$294,$B58,$A$7:$A$294,"&gt;="&amp;EDATE($A58,-12*'Seasonal Factors'!$E$4),$A$7:$A$294,"&lt;="&amp;EDATE($A58,12*'Seasonal Factors'!$E$4)),"")</f>
        <v>1.02348280672306</v>
      </c>
      <c r="AL58" s="24" t="n">
        <f aca="false">IFERROR(AK58/AVERAGE(AK53:AK64),"")</f>
        <v>1.02327613074165</v>
      </c>
      <c r="AM58" s="23" t="n">
        <f aca="false">IF(ISNUMBER(Tabelle1!N65),(0.5*Tabelle1!N53+SUM(Tabelle1!N54:N64)+0.5*Tabelle1!N65)/12,"")</f>
        <v>149.277869583333</v>
      </c>
      <c r="AN58" s="24" t="n">
        <f aca="false">IFERROR(Tabelle1!N59/AM58,"")</f>
        <v>1.0022408573863</v>
      </c>
      <c r="AO58" s="24" t="n">
        <f aca="false">IFERROR(AVERAGEIFS($AN$7:$AN$294,$B$7:$B$294,$B58,$A$7:$A$294,"&gt;="&amp;EDATE($A58,-12*'Seasonal Factors'!$E$4),$A$7:$A$294,"&lt;="&amp;EDATE($A58,12*'Seasonal Factors'!$E$4)),"")</f>
        <v>0.9853976075545</v>
      </c>
      <c r="AP58" s="24" t="n">
        <f aca="false">IFERROR(AO58/AVERAGE(AO53:AO64),"")</f>
        <v>0.985290784621584</v>
      </c>
      <c r="AQ58" s="23" t="n">
        <f aca="false">IF(ISNUMBER(Tabelle1!O65),(0.5*Tabelle1!O53+SUM(Tabelle1!O54:O64)+0.5*Tabelle1!O65)/12,"")</f>
        <v>124.781052916667</v>
      </c>
      <c r="AR58" s="24" t="n">
        <f aca="false">IFERROR(Tabelle1!O59/AQ58,"")</f>
        <v>1.0083403454211</v>
      </c>
      <c r="AS58" s="24" t="n">
        <f aca="false">IFERROR(AVERAGEIFS($AR$7:$AR$294,$B$7:$B$294,$B58,$A$7:$A$294,"&gt;="&amp;EDATE($A58,-12*'Seasonal Factors'!$E$4),$A$7:$A$294,"&lt;="&amp;EDATE($A58,12*'Seasonal Factors'!$E$4)),"")</f>
        <v>0.987848227139816</v>
      </c>
      <c r="AT58" s="24" t="n">
        <f aca="false">IFERROR(AS58/AVERAGE(AS53:AS64),"")</f>
        <v>0.987811509972936</v>
      </c>
      <c r="AU58" s="23" t="n">
        <f aca="false">IF(ISNUMBER(Tabelle1!P65),(0.5*Tabelle1!P53+SUM(Tabelle1!P54:P64)+0.5*Tabelle1!P65)/12,"")</f>
        <v>118.85984375</v>
      </c>
      <c r="AV58" s="24" t="n">
        <f aca="false">IFERROR(Tabelle1!P59/AU58,"")</f>
        <v>0.992988264802426</v>
      </c>
      <c r="AW58" s="24" t="n">
        <f aca="false">IFERROR(AVERAGEIFS($AV$7:$AV$294,$B$7:$B$294,$B58,$A$7:$A$294,"&gt;="&amp;EDATE($A58,-12*'Seasonal Factors'!$E$4),$A$7:$A$294,"&lt;="&amp;EDATE($A58,12*'Seasonal Factors'!$E$4)),"")</f>
        <v>0.987613530124674</v>
      </c>
      <c r="AX58" s="24" t="n">
        <f aca="false">IFERROR(AW58/AVERAGE(AW53:AW64),"")</f>
        <v>0.987625288629026</v>
      </c>
      <c r="AY58" s="23" t="n">
        <f aca="false">IF(ISNUMBER(Tabelle1!Q65),(0.5*Tabelle1!Q53+SUM(Tabelle1!Q54:Q64)+0.5*Tabelle1!Q65)/12,"")</f>
        <v>120.608628333333</v>
      </c>
      <c r="AZ58" s="24" t="n">
        <f aca="false">IFERROR(Tabelle1!Q59/AY58,"")</f>
        <v>0.988773868403583</v>
      </c>
      <c r="BA58" s="24" t="n">
        <f aca="false">IFERROR(AVERAGEIFS($AZ$7:$AZ$294,$B$7:$B$294,$B58,$A$7:$A$294,"&gt;="&amp;EDATE($A58,-12*'Seasonal Factors'!$E$4),$A$7:$A$294,"&lt;="&amp;EDATE($A58,12*'Seasonal Factors'!$E$4)),"")</f>
        <v>0.981782838320633</v>
      </c>
      <c r="BB58" s="24" t="n">
        <f aca="false">IFERROR(BA58/AVERAGE(BA53:BA64),"")</f>
        <v>0.981865342264565</v>
      </c>
      <c r="BC58" s="23" t="n">
        <f aca="false">IF(ISNUMBER(Tabelle1!R65),(0.5*Tabelle1!R53+SUM(Tabelle1!R54:R64)+0.5*Tabelle1!R65)/12,"")</f>
        <v>126.290114166667</v>
      </c>
      <c r="BD58" s="24" t="n">
        <f aca="false">IFERROR(Tabelle1!R59/BC58,"")</f>
        <v>1.039269628237</v>
      </c>
      <c r="BE58" s="24" t="n">
        <f aca="false">IFERROR(AVERAGEIFS($BD$7:$BD$294,$B$7:$B$294,$B58,$A$7:$A$294,"&gt;="&amp;EDATE($A58,-12*'Seasonal Factors'!$E$4),$A$7:$A$294,"&lt;="&amp;EDATE($A58,12*'Seasonal Factors'!$E$4)),"")</f>
        <v>1.03696559758446</v>
      </c>
      <c r="BF58" s="24" t="n">
        <f aca="false">IFERROR(BE58/AVERAGE(BE53:BE64),"")</f>
        <v>1.03673969017597</v>
      </c>
      <c r="BG58" s="23" t="n">
        <f aca="false">IF(ISNUMBER(Tabelle1!S65),(0.5*Tabelle1!S53+SUM(Tabelle1!S54:S64)+0.5*Tabelle1!S65)/12,"")</f>
        <v>136.730164583333</v>
      </c>
      <c r="BH58" s="24" t="n">
        <f aca="false">IFERROR(Tabelle1!S59/BG58,"")</f>
        <v>0.996656958727971</v>
      </c>
      <c r="BI58" s="24" t="n">
        <f aca="false">IFERROR(AVERAGEIFS($BH$7:$BH$294,$B$7:$B$294,$B58,$A$7:$A$294,"&gt;="&amp;EDATE($A58,-12*'Seasonal Factors'!$E$4),$A$7:$A$294,"&lt;="&amp;EDATE($A58,12*'Seasonal Factors'!$E$4)),"")</f>
        <v>0.994796802160181</v>
      </c>
      <c r="BJ58" s="24" t="n">
        <f aca="false">IFERROR(BI58/AVERAGE(BI53:BI64),"")</f>
        <v>0.994302456252856</v>
      </c>
    </row>
    <row r="59" customFormat="false" ht="15" hidden="false" customHeight="false" outlineLevel="0" collapsed="false">
      <c r="A59" s="20" t="n">
        <v>39599</v>
      </c>
      <c r="B59" s="22" t="n">
        <f aca="false">MONTH(A59)</f>
        <v>5</v>
      </c>
      <c r="C59" s="23" t="n">
        <f aca="false">IF(ISNUMBER(Tabelle1!E66),(0.5*Tabelle1!E54+SUM(Tabelle1!E55:E65)+0.5*Tabelle1!E66)/12,"")</f>
        <v>126.4498625</v>
      </c>
      <c r="D59" s="24" t="n">
        <f aca="false">IFERROR(Tabelle1!E60/C59,"")</f>
        <v>2.54425575195861</v>
      </c>
      <c r="E59" s="24" t="n">
        <f aca="false">IFERROR(AVERAGEIFS($D$7:$D$294,$B$7:$B$294,$B59,$A$7:$A$294,"&gt;="&amp;EDATE($A59,-12*'Seasonal Factors'!$E$4),$A$7:$A$294,"&lt;="&amp;EDATE($A59,12*'Seasonal Factors'!$E$4)),"")</f>
        <v>2.42628200817719</v>
      </c>
      <c r="F59" s="24" t="n">
        <f aca="false">IFERROR(E59/AVERAGE(E54:E65),"")</f>
        <v>2.42002670440163</v>
      </c>
      <c r="G59" s="23" t="n">
        <f aca="false">IF(ISNUMBER(Tabelle1!F66),(0.5*Tabelle1!F54+SUM(Tabelle1!F55:F65)+0.5*Tabelle1!F66)/12,"")</f>
        <v>138.509107083333</v>
      </c>
      <c r="H59" s="24" t="n">
        <f aca="false">IFERROR(Tabelle1!F60/G59,"")</f>
        <v>1.99646258519036</v>
      </c>
      <c r="I59" s="24" t="n">
        <f aca="false">IFERROR(AVERAGEIFS($H$7:$H$294,$B$7:$B$294,$B59,$A$7:$A$294,"&gt;="&amp;EDATE($A59,-12*'Seasonal Factors'!$E$4),$A$7:$A$294,"&lt;="&amp;EDATE($A59,12*'Seasonal Factors'!$E$4)),"")</f>
        <v>1.60637121616712</v>
      </c>
      <c r="J59" s="24" t="n">
        <f aca="false">IFERROR(I59/AVERAGE(I54:I65),"")</f>
        <v>1.61392800216072</v>
      </c>
      <c r="K59" s="23" t="n">
        <f aca="false">IF(ISNUMBER(Tabelle1!G66),(0.5*Tabelle1!G54+SUM(Tabelle1!G55:G65)+0.5*Tabelle1!G66)/12,"")</f>
        <v>101.131009166667</v>
      </c>
      <c r="L59" s="24" t="n">
        <f aca="false">IFERROR(Tabelle1!G60/K59,"")</f>
        <v>0.899340674531487</v>
      </c>
      <c r="M59" s="24" t="n">
        <f aca="false">IFERROR(AVERAGEIFS($L$7:$L$294,$B$7:$B$294,$B59,$A$7:$A$294,"&gt;="&amp;EDATE($A59,-12*'Seasonal Factors'!$E$4),$A$7:$A$294,"&lt;="&amp;EDATE($A59,12*'Seasonal Factors'!$E$4)),"")</f>
        <v>1.00710994840324</v>
      </c>
      <c r="N59" s="24" t="n">
        <f aca="false">IFERROR(M59/AVERAGE(M54:M65),"")</f>
        <v>1.00701488969865</v>
      </c>
      <c r="O59" s="23" t="n">
        <f aca="false">IF(ISNUMBER(Tabelle1!H66),(0.5*Tabelle1!H54+SUM(Tabelle1!H55:H65)+0.5*Tabelle1!H66)/12,"")</f>
        <v>132.05791625</v>
      </c>
      <c r="P59" s="24" t="n">
        <f aca="false">IFERROR(Tabelle1!H60/O59,"")</f>
        <v>1.04111085426884</v>
      </c>
      <c r="Q59" s="24" t="n">
        <f aca="false">IFERROR(AVERAGEIFS($P$7:$P$294,$B$7:$B$294,$B59,$A$7:$A$294,"&gt;="&amp;EDATE($A59,-12*'Seasonal Factors'!$E$4),$A$7:$A$294,"&lt;="&amp;EDATE($A59,12*'Seasonal Factors'!$E$4)),"")</f>
        <v>1.0268438934697</v>
      </c>
      <c r="R59" s="24" t="n">
        <f aca="false">IFERROR(Q59/AVERAGE(Q54:Q65),"")</f>
        <v>1.02689412527074</v>
      </c>
      <c r="S59" s="23" t="n">
        <f aca="false">IF(ISNUMBER(Tabelle1!I66),(0.5*Tabelle1!I54+SUM(Tabelle1!I55:I65)+0.5*Tabelle1!I66)/12,"")</f>
        <v>120.371567083333</v>
      </c>
      <c r="T59" s="24" t="n">
        <f aca="false">IFERROR(Tabelle1!I60/S59,"")</f>
        <v>0.982633215351545</v>
      </c>
      <c r="U59" s="24" t="n">
        <f aca="false">IFERROR(AVERAGEIFS($T$7:$T$294,$B$7:$B$294,$B59,$A$7:$A$294,"&gt;="&amp;EDATE($A59,-12*'Seasonal Factors'!$E$4),$A$7:$A$294,"&lt;="&amp;EDATE($A59,12*'Seasonal Factors'!$E$4)),"")</f>
        <v>1.0107402426347</v>
      </c>
      <c r="V59" s="24" t="n">
        <f aca="false">IFERROR(U59/AVERAGE(U54:U65),"")</f>
        <v>1.0106361218912</v>
      </c>
      <c r="W59" s="23" t="n">
        <f aca="false">IF(ISNUMBER(Tabelle1!J66),(0.5*Tabelle1!J54+SUM(Tabelle1!J55:J65)+0.5*Tabelle1!J66)/12,"")</f>
        <v>146.900738333333</v>
      </c>
      <c r="X59" s="24" t="n">
        <f aca="false">IFERROR(Tabelle1!J60/W59,"")</f>
        <v>1.01496603551221</v>
      </c>
      <c r="Y59" s="24" t="n">
        <f aca="false">IFERROR(AVERAGEIFS($X$7:$X$294,$B$7:$B$294,$B59,$A$7:$A$294,"&gt;="&amp;EDATE($A59,-12*'Seasonal Factors'!$E$4),$A$7:$A$294,"&lt;="&amp;EDATE($A59,12*'Seasonal Factors'!$E$4)),"")</f>
        <v>0.993099389008349</v>
      </c>
      <c r="Z59" s="24" t="n">
        <f aca="false">IFERROR(Y59/AVERAGE(Y54:Y65),"")</f>
        <v>0.993362326108222</v>
      </c>
      <c r="AA59" s="23" t="n">
        <f aca="false">IF(ISNUMBER(Tabelle1!K66),(0.5*Tabelle1!K54+SUM(Tabelle1!K55:K65)+0.5*Tabelle1!K66)/12,"")</f>
        <v>144.563287083333</v>
      </c>
      <c r="AB59" s="24" t="n">
        <f aca="false">IFERROR(Tabelle1!K60/AA59,"")</f>
        <v>1.061516537816</v>
      </c>
      <c r="AC59" s="24" t="n">
        <f aca="false">IFERROR(AVERAGEIFS($AB$7:$AB$294,$B$7:$B$294,$B59,$A$7:$A$294,"&gt;="&amp;EDATE($A59,-12*'Seasonal Factors'!$E$4),$A$7:$A$294,"&lt;="&amp;EDATE($A59,12*'Seasonal Factors'!$E$4)),"")</f>
        <v>1.02623091430498</v>
      </c>
      <c r="AD59" s="24" t="n">
        <f aca="false">IFERROR(AC59/AVERAGE(AC54:AC65),"")</f>
        <v>1.02675445395119</v>
      </c>
      <c r="AE59" s="23" t="n">
        <f aca="false">IF(ISNUMBER(Tabelle1!L66),(0.5*Tabelle1!L54+SUM(Tabelle1!L55:L65)+0.5*Tabelle1!L66)/12,"")</f>
        <v>140.590205416667</v>
      </c>
      <c r="AF59" s="24" t="n">
        <f aca="false">IFERROR(Tabelle1!L60/AE59,"")</f>
        <v>0.934522284896133</v>
      </c>
      <c r="AG59" s="24" t="n">
        <f aca="false">IFERROR(AVERAGEIFS($AF$7:$AF$294,$B$7:$B$294,$B59,$A$7:$A$294,"&gt;="&amp;EDATE($A59,-12*'Seasonal Factors'!$E$4),$A$7:$A$294,"&lt;="&amp;EDATE($A59,12*'Seasonal Factors'!$E$4)),"")</f>
        <v>0.935011953254587</v>
      </c>
      <c r="AH59" s="24" t="n">
        <f aca="false">IFERROR(AG59/AVERAGE(AG54:AG65),"")</f>
        <v>0.934487041610199</v>
      </c>
      <c r="AI59" s="23" t="n">
        <f aca="false">IF(ISNUMBER(Tabelle1!M66),(0.5*Tabelle1!M54+SUM(Tabelle1!M55:M65)+0.5*Tabelle1!M66)/12,"")</f>
        <v>153.805506666667</v>
      </c>
      <c r="AJ59" s="24" t="n">
        <f aca="false">IFERROR(Tabelle1!M60/AI59,"")</f>
        <v>1.078561448125</v>
      </c>
      <c r="AK59" s="24" t="n">
        <f aca="false">IFERROR(AVERAGEIFS($AJ$7:$AJ$294,$B$7:$B$294,$B59,$A$7:$A$294,"&gt;="&amp;EDATE($A59,-12*'Seasonal Factors'!$E$4),$A$7:$A$294,"&lt;="&amp;EDATE($A59,12*'Seasonal Factors'!$E$4)),"")</f>
        <v>1.0801431172881</v>
      </c>
      <c r="AL59" s="24" t="n">
        <f aca="false">IFERROR(AK59/AVERAGE(AK54:AK65),"")</f>
        <v>1.07987675125598</v>
      </c>
      <c r="AM59" s="23" t="n">
        <f aca="false">IF(ISNUMBER(Tabelle1!N66),(0.5*Tabelle1!N54+SUM(Tabelle1!N55:N65)+0.5*Tabelle1!N66)/12,"")</f>
        <v>150.03673625</v>
      </c>
      <c r="AN59" s="24" t="n">
        <f aca="false">IFERROR(Tabelle1!N60/AM59,"")</f>
        <v>1.00785830043674</v>
      </c>
      <c r="AO59" s="24" t="n">
        <f aca="false">IFERROR(AVERAGEIFS($AN$7:$AN$294,$B$7:$B$294,$B59,$A$7:$A$294,"&gt;="&amp;EDATE($A59,-12*'Seasonal Factors'!$E$4),$A$7:$A$294,"&lt;="&amp;EDATE($A59,12*'Seasonal Factors'!$E$4)),"")</f>
        <v>1.00109994659672</v>
      </c>
      <c r="AP59" s="24" t="n">
        <f aca="false">IFERROR(AO59/AVERAGE(AO54:AO65),"")</f>
        <v>1.00083016332128</v>
      </c>
      <c r="AQ59" s="23" t="n">
        <f aca="false">IF(ISNUMBER(Tabelle1!O66),(0.5*Tabelle1!O54+SUM(Tabelle1!O55:O65)+0.5*Tabelle1!O66)/12,"")</f>
        <v>125.040831666667</v>
      </c>
      <c r="AR59" s="24" t="n">
        <f aca="false">IFERROR(Tabelle1!O60/AQ59,"")</f>
        <v>1.02041883678557</v>
      </c>
      <c r="AS59" s="24" t="n">
        <f aca="false">IFERROR(AVERAGEIFS($AR$7:$AR$294,$B$7:$B$294,$B59,$A$7:$A$294,"&gt;="&amp;EDATE($A59,-12*'Seasonal Factors'!$E$4),$A$7:$A$294,"&lt;="&amp;EDATE($A59,12*'Seasonal Factors'!$E$4)),"")</f>
        <v>1.00710306492879</v>
      </c>
      <c r="AT59" s="24" t="n">
        <f aca="false">IFERROR(AS59/AVERAGE(AS54:AS65),"")</f>
        <v>1.00708075393119</v>
      </c>
      <c r="AU59" s="23" t="n">
        <f aca="false">IF(ISNUMBER(Tabelle1!P66),(0.5*Tabelle1!P54+SUM(Tabelle1!P55:P65)+0.5*Tabelle1!P66)/12,"")</f>
        <v>119.222282916667</v>
      </c>
      <c r="AV59" s="24" t="n">
        <f aca="false">IFERROR(Tabelle1!P60/AU59,"")</f>
        <v>0.99941308860261</v>
      </c>
      <c r="AW59" s="24" t="n">
        <f aca="false">IFERROR(AVERAGEIFS($AV$7:$AV$294,$B$7:$B$294,$B59,$A$7:$A$294,"&gt;="&amp;EDATE($A59,-12*'Seasonal Factors'!$E$4),$A$7:$A$294,"&lt;="&amp;EDATE($A59,12*'Seasonal Factors'!$E$4)),"")</f>
        <v>0.996623220562143</v>
      </c>
      <c r="AX59" s="24" t="n">
        <f aca="false">IFERROR(AW59/AVERAGE(AW54:AW65),"")</f>
        <v>0.996665771990094</v>
      </c>
      <c r="AY59" s="23" t="n">
        <f aca="false">IF(ISNUMBER(Tabelle1!Q66),(0.5*Tabelle1!Q54+SUM(Tabelle1!Q55:Q65)+0.5*Tabelle1!Q66)/12,"")</f>
        <v>121.05229625</v>
      </c>
      <c r="AZ59" s="24" t="n">
        <f aca="false">IFERROR(Tabelle1!Q60/AY59,"")</f>
        <v>0.999399051052697</v>
      </c>
      <c r="BA59" s="24" t="n">
        <f aca="false">IFERROR(AVERAGEIFS($AZ$7:$AZ$294,$B$7:$B$294,$B59,$A$7:$A$294,"&gt;="&amp;EDATE($A59,-12*'Seasonal Factors'!$E$4),$A$7:$A$294,"&lt;="&amp;EDATE($A59,12*'Seasonal Factors'!$E$4)),"")</f>
        <v>0.996580762099278</v>
      </c>
      <c r="BB59" s="24" t="n">
        <f aca="false">IFERROR(BA59/AVERAGE(BA54:BA65),"")</f>
        <v>0.996685770097777</v>
      </c>
      <c r="BC59" s="23" t="n">
        <f aca="false">IF(ISNUMBER(Tabelle1!R66),(0.5*Tabelle1!R54+SUM(Tabelle1!R55:R65)+0.5*Tabelle1!R66)/12,"")</f>
        <v>126.861485833333</v>
      </c>
      <c r="BD59" s="24" t="n">
        <f aca="false">IFERROR(Tabelle1!R60/BC59,"")</f>
        <v>1.05509208819963</v>
      </c>
      <c r="BE59" s="24" t="n">
        <f aca="false">IFERROR(AVERAGEIFS($BD$7:$BD$294,$B$7:$B$294,$B59,$A$7:$A$294,"&gt;="&amp;EDATE($A59,-12*'Seasonal Factors'!$E$4),$A$7:$A$294,"&lt;="&amp;EDATE($A59,12*'Seasonal Factors'!$E$4)),"")</f>
        <v>1.05175869217763</v>
      </c>
      <c r="BF59" s="24" t="n">
        <f aca="false">IFERROR(BE59/AVERAGE(BE54:BE65),"")</f>
        <v>1.051610223196</v>
      </c>
      <c r="BG59" s="23" t="n">
        <f aca="false">IF(ISNUMBER(Tabelle1!S66),(0.5*Tabelle1!S54+SUM(Tabelle1!S55:S65)+0.5*Tabelle1!S66)/12,"")</f>
        <v>137.2560525</v>
      </c>
      <c r="BH59" s="24" t="n">
        <f aca="false">IFERROR(Tabelle1!S60/BG59,"")</f>
        <v>1.01700251069074</v>
      </c>
      <c r="BI59" s="24" t="n">
        <f aca="false">IFERROR(AVERAGEIFS($BH$7:$BH$294,$B$7:$B$294,$B59,$A$7:$A$294,"&gt;="&amp;EDATE($A59,-12*'Seasonal Factors'!$E$4),$A$7:$A$294,"&lt;="&amp;EDATE($A59,12*'Seasonal Factors'!$E$4)),"")</f>
        <v>1.00575716598814</v>
      </c>
      <c r="BJ59" s="24" t="n">
        <f aca="false">IFERROR(BI59/AVERAGE(BI54:BI65),"")</f>
        <v>1.00494717037457</v>
      </c>
    </row>
    <row r="60" customFormat="false" ht="15" hidden="false" customHeight="false" outlineLevel="0" collapsed="false">
      <c r="A60" s="20" t="n">
        <v>39629</v>
      </c>
      <c r="B60" s="22" t="n">
        <f aca="false">MONTH(A60)</f>
        <v>6</v>
      </c>
      <c r="C60" s="23" t="n">
        <f aca="false">IF(ISNUMBER(Tabelle1!E67),(0.5*Tabelle1!E55+SUM(Tabelle1!E56:E66)+0.5*Tabelle1!E67)/12,"")</f>
        <v>125.6069375</v>
      </c>
      <c r="D60" s="24" t="n">
        <f aca="false">IFERROR(Tabelle1!E61/C60,"")</f>
        <v>1.68666965548778</v>
      </c>
      <c r="E60" s="24" t="n">
        <f aca="false">IFERROR(AVERAGEIFS($D$7:$D$294,$B$7:$B$294,$B60,$A$7:$A$294,"&gt;="&amp;EDATE($A60,-12*'Seasonal Factors'!$E$4),$A$7:$A$294,"&lt;="&amp;EDATE($A60,12*'Seasonal Factors'!$E$4)),"")</f>
        <v>1.62549597563606</v>
      </c>
      <c r="F60" s="24" t="n">
        <f aca="false">IFERROR(E60/AVERAGE(E55:E66),"")</f>
        <v>1.62289855060622</v>
      </c>
      <c r="G60" s="23" t="n">
        <f aca="false">IF(ISNUMBER(Tabelle1!F67),(0.5*Tabelle1!F55+SUM(Tabelle1!F56:F66)+0.5*Tabelle1!F67)/12,"")</f>
        <v>139.349017916667</v>
      </c>
      <c r="H60" s="24" t="n">
        <f aca="false">IFERROR(Tabelle1!F61/G60,"")</f>
        <v>1.62031762674515</v>
      </c>
      <c r="I60" s="24" t="n">
        <f aca="false">IFERROR(AVERAGEIFS($H$7:$H$294,$B$7:$B$294,$B60,$A$7:$A$294,"&gt;="&amp;EDATE($A60,-12*'Seasonal Factors'!$E$4),$A$7:$A$294,"&lt;="&amp;EDATE($A60,12*'Seasonal Factors'!$E$4)),"")</f>
        <v>1.3092760335573</v>
      </c>
      <c r="J60" s="24" t="n">
        <f aca="false">IFERROR(I60/AVERAGE(I55:I66),"")</f>
        <v>1.31726323636185</v>
      </c>
      <c r="K60" s="23" t="n">
        <f aca="false">IF(ISNUMBER(Tabelle1!G67),(0.5*Tabelle1!G55+SUM(Tabelle1!G56:G66)+0.5*Tabelle1!G67)/12,"")</f>
        <v>101.349093333333</v>
      </c>
      <c r="L60" s="24" t="n">
        <f aca="false">IFERROR(Tabelle1!G61/K60,"")</f>
        <v>0.967658681241944</v>
      </c>
      <c r="M60" s="24" t="n">
        <f aca="false">IFERROR(AVERAGEIFS($L$7:$L$294,$B$7:$B$294,$B60,$A$7:$A$294,"&gt;="&amp;EDATE($A60,-12*'Seasonal Factors'!$E$4),$A$7:$A$294,"&lt;="&amp;EDATE($A60,12*'Seasonal Factors'!$E$4)),"")</f>
        <v>0.989063656001846</v>
      </c>
      <c r="N60" s="24" t="n">
        <f aca="false">IFERROR(M60/AVERAGE(M55:M66),"")</f>
        <v>0.988763060575198</v>
      </c>
      <c r="O60" s="23" t="n">
        <f aca="false">IF(ISNUMBER(Tabelle1!H67),(0.5*Tabelle1!H55+SUM(Tabelle1!H56:H66)+0.5*Tabelle1!H67)/12,"")</f>
        <v>131.10582875</v>
      </c>
      <c r="P60" s="24" t="n">
        <f aca="false">IFERROR(Tabelle1!H61/O60,"")</f>
        <v>0.978851903256818</v>
      </c>
      <c r="Q60" s="24" t="n">
        <f aca="false">IFERROR(AVERAGEIFS($P$7:$P$294,$B$7:$B$294,$B60,$A$7:$A$294,"&gt;="&amp;EDATE($A60,-12*'Seasonal Factors'!$E$4),$A$7:$A$294,"&lt;="&amp;EDATE($A60,12*'Seasonal Factors'!$E$4)),"")</f>
        <v>0.999417139461633</v>
      </c>
      <c r="R60" s="24" t="n">
        <f aca="false">IFERROR(Q60/AVERAGE(Q55:Q66),"")</f>
        <v>0.999311077436953</v>
      </c>
      <c r="S60" s="23" t="n">
        <f aca="false">IF(ISNUMBER(Tabelle1!I67),(0.5*Tabelle1!I55+SUM(Tabelle1!I56:I66)+0.5*Tabelle1!I67)/12,"")</f>
        <v>120.73521375</v>
      </c>
      <c r="T60" s="24" t="n">
        <f aca="false">IFERROR(Tabelle1!I61/S60,"")</f>
        <v>1.06359028167124</v>
      </c>
      <c r="U60" s="24" t="n">
        <f aca="false">IFERROR(AVERAGEIFS($T$7:$T$294,$B$7:$B$294,$B60,$A$7:$A$294,"&gt;="&amp;EDATE($A60,-12*'Seasonal Factors'!$E$4),$A$7:$A$294,"&lt;="&amp;EDATE($A60,12*'Seasonal Factors'!$E$4)),"")</f>
        <v>1.03256452810757</v>
      </c>
      <c r="V60" s="24" t="n">
        <f aca="false">IFERROR(U60/AVERAGE(U55:U66),"")</f>
        <v>1.03218765680332</v>
      </c>
      <c r="W60" s="23" t="n">
        <f aca="false">IF(ISNUMBER(Tabelle1!J67),(0.5*Tabelle1!J55+SUM(Tabelle1!J56:J66)+0.5*Tabelle1!J67)/12,"")</f>
        <v>146.237792083333</v>
      </c>
      <c r="X60" s="24" t="n">
        <f aca="false">IFERROR(Tabelle1!J61/W60,"")</f>
        <v>1.00565974024139</v>
      </c>
      <c r="Y60" s="24" t="n">
        <f aca="false">IFERROR(AVERAGEIFS($X$7:$X$294,$B$7:$B$294,$B60,$A$7:$A$294,"&gt;="&amp;EDATE($A60,-12*'Seasonal Factors'!$E$4),$A$7:$A$294,"&lt;="&amp;EDATE($A60,12*'Seasonal Factors'!$E$4)),"")</f>
        <v>0.985151159542495</v>
      </c>
      <c r="Z60" s="24" t="n">
        <f aca="false">IFERROR(Y60/AVERAGE(Y55:Y66),"")</f>
        <v>0.985487445744138</v>
      </c>
      <c r="AA60" s="23" t="n">
        <f aca="false">IF(ISNUMBER(Tabelle1!K67),(0.5*Tabelle1!K55+SUM(Tabelle1!K56:K66)+0.5*Tabelle1!K67)/12,"")</f>
        <v>143.686420416667</v>
      </c>
      <c r="AB60" s="24" t="n">
        <f aca="false">IFERROR(Tabelle1!K61/AA60,"")</f>
        <v>0.993202486262555</v>
      </c>
      <c r="AC60" s="24" t="n">
        <f aca="false">IFERROR(AVERAGEIFS($AB$7:$AB$294,$B$7:$B$294,$B60,$A$7:$A$294,"&gt;="&amp;EDATE($A60,-12*'Seasonal Factors'!$E$4),$A$7:$A$294,"&lt;="&amp;EDATE($A60,12*'Seasonal Factors'!$E$4)),"")</f>
        <v>1.01479677678641</v>
      </c>
      <c r="AD60" s="24" t="n">
        <f aca="false">IFERROR(AC60/AVERAGE(AC55:AC66),"")</f>
        <v>1.01519430507624</v>
      </c>
      <c r="AE60" s="23" t="n">
        <f aca="false">IF(ISNUMBER(Tabelle1!L67),(0.5*Tabelle1!L55+SUM(Tabelle1!L56:L66)+0.5*Tabelle1!L67)/12,"")</f>
        <v>139.809283333333</v>
      </c>
      <c r="AF60" s="24" t="n">
        <f aca="false">IFERROR(Tabelle1!L61/AE60,"")</f>
        <v>0.895680866208575</v>
      </c>
      <c r="AG60" s="24" t="n">
        <f aca="false">IFERROR(AVERAGEIFS($AF$7:$AF$294,$B$7:$B$294,$B60,$A$7:$A$294,"&gt;="&amp;EDATE($A60,-12*'Seasonal Factors'!$E$4),$A$7:$A$294,"&lt;="&amp;EDATE($A60,12*'Seasonal Factors'!$E$4)),"")</f>
        <v>0.917126656244042</v>
      </c>
      <c r="AH60" s="24" t="n">
        <f aca="false">IFERROR(AG60/AVERAGE(AG55:AG66),"")</f>
        <v>0.916590390238836</v>
      </c>
      <c r="AI60" s="23" t="n">
        <f aca="false">IF(ISNUMBER(Tabelle1!M67),(0.5*Tabelle1!M55+SUM(Tabelle1!M56:M66)+0.5*Tabelle1!M67)/12,"")</f>
        <v>153.753935</v>
      </c>
      <c r="AJ60" s="24" t="n">
        <f aca="false">IFERROR(Tabelle1!M61/AI60,"")</f>
        <v>1.00581926569879</v>
      </c>
      <c r="AK60" s="24" t="n">
        <f aca="false">IFERROR(AVERAGEIFS($AJ$7:$AJ$294,$B$7:$B$294,$B60,$A$7:$A$294,"&gt;="&amp;EDATE($A60,-12*'Seasonal Factors'!$E$4),$A$7:$A$294,"&lt;="&amp;EDATE($A60,12*'Seasonal Factors'!$E$4)),"")</f>
        <v>1.03013708698385</v>
      </c>
      <c r="AL60" s="24" t="n">
        <f aca="false">IFERROR(AK60/AVERAGE(AK55:AK66),"")</f>
        <v>1.02999232238212</v>
      </c>
      <c r="AM60" s="23" t="n">
        <f aca="false">IF(ISNUMBER(Tabelle1!N67),(0.5*Tabelle1!N55+SUM(Tabelle1!N56:N66)+0.5*Tabelle1!N67)/12,"")</f>
        <v>150.3404775</v>
      </c>
      <c r="AN60" s="24" t="n">
        <f aca="false">IFERROR(Tabelle1!N61/AM60,"")</f>
        <v>0.999296746280455</v>
      </c>
      <c r="AO60" s="24" t="n">
        <f aca="false">IFERROR(AVERAGEIFS($AN$7:$AN$294,$B$7:$B$294,$B60,$A$7:$A$294,"&gt;="&amp;EDATE($A60,-12*'Seasonal Factors'!$E$4),$A$7:$A$294,"&lt;="&amp;EDATE($A60,12*'Seasonal Factors'!$E$4)),"")</f>
        <v>1.01531606198701</v>
      </c>
      <c r="AP60" s="24" t="n">
        <f aca="false">IFERROR(AO60/AVERAGE(AO55:AO66),"")</f>
        <v>1.01479566152411</v>
      </c>
      <c r="AQ60" s="23" t="n">
        <f aca="false">IF(ISNUMBER(Tabelle1!O67),(0.5*Tabelle1!O55+SUM(Tabelle1!O56:O66)+0.5*Tabelle1!O67)/12,"")</f>
        <v>125.3525775</v>
      </c>
      <c r="AR60" s="24" t="n">
        <f aca="false">IFERROR(Tabelle1!O61/AQ60,"")</f>
        <v>1.01743771483279</v>
      </c>
      <c r="AS60" s="24" t="n">
        <f aca="false">IFERROR(AVERAGEIFS($AR$7:$AR$294,$B$7:$B$294,$B60,$A$7:$A$294,"&gt;="&amp;EDATE($A60,-12*'Seasonal Factors'!$E$4),$A$7:$A$294,"&lt;="&amp;EDATE($A60,12*'Seasonal Factors'!$E$4)),"")</f>
        <v>1.01874794449219</v>
      </c>
      <c r="AT60" s="24" t="n">
        <f aca="false">IFERROR(AS60/AVERAGE(AS55:AS66),"")</f>
        <v>1.01869545108906</v>
      </c>
      <c r="AU60" s="23" t="n">
        <f aca="false">IF(ISNUMBER(Tabelle1!P67),(0.5*Tabelle1!P55+SUM(Tabelle1!P56:P66)+0.5*Tabelle1!P67)/12,"")</f>
        <v>119.559575</v>
      </c>
      <c r="AV60" s="24" t="n">
        <f aca="false">IFERROR(Tabelle1!P61/AU60,"")</f>
        <v>1.01523085875807</v>
      </c>
      <c r="AW60" s="24" t="n">
        <f aca="false">IFERROR(AVERAGEIFS($AV$7:$AV$294,$B$7:$B$294,$B60,$A$7:$A$294,"&gt;="&amp;EDATE($A60,-12*'Seasonal Factors'!$E$4),$A$7:$A$294,"&lt;="&amp;EDATE($A60,12*'Seasonal Factors'!$E$4)),"")</f>
        <v>1.00777682065011</v>
      </c>
      <c r="AX60" s="24" t="n">
        <f aca="false">IFERROR(AW60/AVERAGE(AW55:AW66),"")</f>
        <v>1.0078517260054</v>
      </c>
      <c r="AY60" s="23" t="n">
        <f aca="false">IF(ISNUMBER(Tabelle1!Q67),(0.5*Tabelle1!Q55+SUM(Tabelle1!Q56:Q66)+0.5*Tabelle1!Q67)/12,"")</f>
        <v>121.47114</v>
      </c>
      <c r="AZ60" s="24" t="n">
        <f aca="false">IFERROR(Tabelle1!Q61/AY60,"")</f>
        <v>1.02594402258841</v>
      </c>
      <c r="BA60" s="24" t="n">
        <f aca="false">IFERROR(AVERAGEIFS($AZ$7:$AZ$294,$B$7:$B$294,$B60,$A$7:$A$294,"&gt;="&amp;EDATE($A60,-12*'Seasonal Factors'!$E$4),$A$7:$A$294,"&lt;="&amp;EDATE($A60,12*'Seasonal Factors'!$E$4)),"")</f>
        <v>1.01874817232803</v>
      </c>
      <c r="BB60" s="24" t="n">
        <f aca="false">IFERROR(BA60/AVERAGE(BA55:BA66),"")</f>
        <v>1.01887018245421</v>
      </c>
      <c r="BC60" s="23" t="n">
        <f aca="false">IF(ISNUMBER(Tabelle1!R67),(0.5*Tabelle1!R55+SUM(Tabelle1!R56:R66)+0.5*Tabelle1!R67)/12,"")</f>
        <v>127.399604166667</v>
      </c>
      <c r="BD60" s="24" t="n">
        <f aca="false">IFERROR(Tabelle1!R61/BC60,"")</f>
        <v>1.0646147677395</v>
      </c>
      <c r="BE60" s="24" t="n">
        <f aca="false">IFERROR(AVERAGEIFS($BD$7:$BD$294,$B$7:$B$294,$B60,$A$7:$A$294,"&gt;="&amp;EDATE($A60,-12*'Seasonal Factors'!$E$4),$A$7:$A$294,"&lt;="&amp;EDATE($A60,12*'Seasonal Factors'!$E$4)),"")</f>
        <v>1.07554826732804</v>
      </c>
      <c r="BF60" s="24" t="n">
        <f aca="false">IFERROR(BE60/AVERAGE(BE55:BE66),"")</f>
        <v>1.07549650327128</v>
      </c>
      <c r="BG60" s="23" t="n">
        <f aca="false">IF(ISNUMBER(Tabelle1!S67),(0.5*Tabelle1!S55+SUM(Tabelle1!S56:S66)+0.5*Tabelle1!S67)/12,"")</f>
        <v>137.61270625</v>
      </c>
      <c r="BH60" s="24" t="n">
        <f aca="false">IFERROR(Tabelle1!S61/BG60,"")</f>
        <v>1.02946184157322</v>
      </c>
      <c r="BI60" s="24" t="n">
        <f aca="false">IFERROR(AVERAGEIFS($BH$7:$BH$294,$B$7:$B$294,$B60,$A$7:$A$294,"&gt;="&amp;EDATE($A60,-12*'Seasonal Factors'!$E$4),$A$7:$A$294,"&lt;="&amp;EDATE($A60,12*'Seasonal Factors'!$E$4)),"")</f>
        <v>1.00457799305441</v>
      </c>
      <c r="BJ60" s="24" t="n">
        <f aca="false">IFERROR(BI60/AVERAGE(BI55:BI66),"")</f>
        <v>1.00374153486722</v>
      </c>
    </row>
    <row r="61" customFormat="false" ht="15" hidden="false" customHeight="false" outlineLevel="0" collapsed="false">
      <c r="A61" s="20" t="n">
        <v>39660</v>
      </c>
      <c r="B61" s="22" t="n">
        <f aca="false">MONTH(A61)</f>
        <v>7</v>
      </c>
      <c r="C61" s="23" t="n">
        <f aca="false">IF(ISNUMBER(Tabelle1!E68),(0.5*Tabelle1!E56+SUM(Tabelle1!E57:E67)+0.5*Tabelle1!E68)/12,"")</f>
        <v>124.58959375</v>
      </c>
      <c r="D61" s="24" t="n">
        <f aca="false">IFERROR(Tabelle1!E62/C61,"")</f>
        <v>0.890754890995862</v>
      </c>
      <c r="E61" s="24" t="n">
        <f aca="false">IFERROR(AVERAGEIFS($D$7:$D$294,$B$7:$B$294,$B61,$A$7:$A$294,"&gt;="&amp;EDATE($A61,-12*'Seasonal Factors'!$E$4),$A$7:$A$294,"&lt;="&amp;EDATE($A61,12*'Seasonal Factors'!$E$4)),"")</f>
        <v>0.886811140418762</v>
      </c>
      <c r="F61" s="24" t="n">
        <f aca="false">IFERROR(E61/AVERAGE(E56:E67),"")</f>
        <v>0.885683791505056</v>
      </c>
      <c r="G61" s="23" t="n">
        <f aca="false">IF(ISNUMBER(Tabelle1!F68),(0.5*Tabelle1!F56+SUM(Tabelle1!F57:F67)+0.5*Tabelle1!F68)/12,"")</f>
        <v>139.833084166667</v>
      </c>
      <c r="H61" s="24" t="n">
        <f aca="false">IFERROR(Tabelle1!F62/G61,"")</f>
        <v>1.23283285230645</v>
      </c>
      <c r="I61" s="24" t="n">
        <f aca="false">IFERROR(AVERAGEIFS($H$7:$H$294,$B$7:$B$294,$B61,$A$7:$A$294,"&gt;="&amp;EDATE($A61,-12*'Seasonal Factors'!$E$4),$A$7:$A$294,"&lt;="&amp;EDATE($A61,12*'Seasonal Factors'!$E$4)),"")</f>
        <v>1.11046190935009</v>
      </c>
      <c r="J61" s="24" t="n">
        <f aca="false">IFERROR(I61/AVERAGE(I56:I67),"")</f>
        <v>1.11714468003033</v>
      </c>
      <c r="K61" s="23" t="n">
        <f aca="false">IF(ISNUMBER(Tabelle1!G68),(0.5*Tabelle1!G56+SUM(Tabelle1!G57:G67)+0.5*Tabelle1!G68)/12,"")</f>
        <v>101.4849675</v>
      </c>
      <c r="L61" s="24" t="n">
        <f aca="false">IFERROR(Tabelle1!G62/K61,"")</f>
        <v>1.0216180046567</v>
      </c>
      <c r="M61" s="24" t="n">
        <f aca="false">IFERROR(AVERAGEIFS($L$7:$L$294,$B$7:$B$294,$B61,$A$7:$A$294,"&gt;="&amp;EDATE($A61,-12*'Seasonal Factors'!$E$4),$A$7:$A$294,"&lt;="&amp;EDATE($A61,12*'Seasonal Factors'!$E$4)),"")</f>
        <v>1.02097562815752</v>
      </c>
      <c r="N61" s="24" t="n">
        <f aca="false">IFERROR(M61/AVERAGE(M56:M67),"")</f>
        <v>1.02084203715141</v>
      </c>
      <c r="O61" s="23" t="n">
        <f aca="false">IF(ISNUMBER(Tabelle1!H68),(0.5*Tabelle1!H56+SUM(Tabelle1!H57:H67)+0.5*Tabelle1!H68)/12,"")</f>
        <v>129.897842916667</v>
      </c>
      <c r="P61" s="24" t="n">
        <f aca="false">IFERROR(Tabelle1!H62/O61,"")</f>
        <v>1.05278607349725</v>
      </c>
      <c r="Q61" s="24" t="n">
        <f aca="false">IFERROR(AVERAGEIFS($P$7:$P$294,$B$7:$B$294,$B61,$A$7:$A$294,"&gt;="&amp;EDATE($A61,-12*'Seasonal Factors'!$E$4),$A$7:$A$294,"&lt;="&amp;EDATE($A61,12*'Seasonal Factors'!$E$4)),"")</f>
        <v>1.01955627965754</v>
      </c>
      <c r="R61" s="24" t="n">
        <f aca="false">IFERROR(Q61/AVERAGE(Q56:Q67),"")</f>
        <v>1.01967989574553</v>
      </c>
      <c r="S61" s="23" t="n">
        <f aca="false">IF(ISNUMBER(Tabelle1!I68),(0.5*Tabelle1!I56+SUM(Tabelle1!I57:I67)+0.5*Tabelle1!I68)/12,"")</f>
        <v>120.72156125</v>
      </c>
      <c r="T61" s="24" t="n">
        <f aca="false">IFERROR(Tabelle1!I62/S61,"")</f>
        <v>1.02464504864909</v>
      </c>
      <c r="U61" s="24" t="n">
        <f aca="false">IFERROR(AVERAGEIFS($T$7:$T$294,$B$7:$B$294,$B61,$A$7:$A$294,"&gt;="&amp;EDATE($A61,-12*'Seasonal Factors'!$E$4),$A$7:$A$294,"&lt;="&amp;EDATE($A61,12*'Seasonal Factors'!$E$4)),"")</f>
        <v>1.05318302840363</v>
      </c>
      <c r="V61" s="24" t="n">
        <f aca="false">IFERROR(U61/AVERAGE(U56:U67),"")</f>
        <v>1.05269580277055</v>
      </c>
      <c r="W61" s="23" t="n">
        <f aca="false">IF(ISNUMBER(Tabelle1!J68),(0.5*Tabelle1!J56+SUM(Tabelle1!J57:J67)+0.5*Tabelle1!J68)/12,"")</f>
        <v>144.953960833333</v>
      </c>
      <c r="X61" s="24" t="n">
        <f aca="false">IFERROR(Tabelle1!J62/W61,"")</f>
        <v>1.0495475192632</v>
      </c>
      <c r="Y61" s="24" t="n">
        <f aca="false">IFERROR(AVERAGEIFS($X$7:$X$294,$B$7:$B$294,$B61,$A$7:$A$294,"&gt;="&amp;EDATE($A61,-12*'Seasonal Factors'!$E$4),$A$7:$A$294,"&lt;="&amp;EDATE($A61,12*'Seasonal Factors'!$E$4)),"")</f>
        <v>1.0121860893491</v>
      </c>
      <c r="Z61" s="24" t="n">
        <f aca="false">IFERROR(Y61/AVERAGE(Y56:Y67),"")</f>
        <v>1.01256329210345</v>
      </c>
      <c r="AA61" s="23" t="n">
        <f aca="false">IF(ISNUMBER(Tabelle1!K68),(0.5*Tabelle1!K56+SUM(Tabelle1!K57:K67)+0.5*Tabelle1!K68)/12,"")</f>
        <v>142.667252083333</v>
      </c>
      <c r="AB61" s="24" t="n">
        <f aca="false">IFERROR(Tabelle1!K62/AA61,"")</f>
        <v>1.06683564572406</v>
      </c>
      <c r="AC61" s="24" t="n">
        <f aca="false">IFERROR(AVERAGEIFS($AB$7:$AB$294,$B$7:$B$294,$B61,$A$7:$A$294,"&gt;="&amp;EDATE($A61,-12*'Seasonal Factors'!$E$4),$A$7:$A$294,"&lt;="&amp;EDATE($A61,12*'Seasonal Factors'!$E$4)),"")</f>
        <v>1.01216329212817</v>
      </c>
      <c r="AD61" s="24" t="n">
        <f aca="false">IFERROR(AC61/AVERAGE(AC56:AC67),"")</f>
        <v>1.01281925175921</v>
      </c>
      <c r="AE61" s="23" t="n">
        <f aca="false">IF(ISNUMBER(Tabelle1!L68),(0.5*Tabelle1!L56+SUM(Tabelle1!L57:L67)+0.5*Tabelle1!L68)/12,"")</f>
        <v>138.943922083333</v>
      </c>
      <c r="AF61" s="24" t="n">
        <f aca="false">IFERROR(Tabelle1!L62/AE61,"")</f>
        <v>1.00010319211126</v>
      </c>
      <c r="AG61" s="24" t="n">
        <f aca="false">IFERROR(AVERAGEIFS($AF$7:$AF$294,$B$7:$B$294,$B61,$A$7:$A$294,"&gt;="&amp;EDATE($A61,-12*'Seasonal Factors'!$E$4),$A$7:$A$294,"&lt;="&amp;EDATE($A61,12*'Seasonal Factors'!$E$4)),"")</f>
        <v>1.00029736940294</v>
      </c>
      <c r="AH61" s="24" t="n">
        <f aca="false">IFERROR(AG61/AVERAGE(AG56:AG67),"")</f>
        <v>1.00016697038712</v>
      </c>
      <c r="AI61" s="23" t="n">
        <f aca="false">IF(ISNUMBER(Tabelle1!M68),(0.5*Tabelle1!M56+SUM(Tabelle1!M57:M67)+0.5*Tabelle1!M68)/12,"")</f>
        <v>153.48511</v>
      </c>
      <c r="AJ61" s="24" t="n">
        <f aca="false">IFERROR(Tabelle1!M62/AI61,"")</f>
        <v>1.02374705924242</v>
      </c>
      <c r="AK61" s="24" t="n">
        <f aca="false">IFERROR(AVERAGEIFS($AJ$7:$AJ$294,$B$7:$B$294,$B61,$A$7:$A$294,"&gt;="&amp;EDATE($A61,-12*'Seasonal Factors'!$E$4),$A$7:$A$294,"&lt;="&amp;EDATE($A61,12*'Seasonal Factors'!$E$4)),"")</f>
        <v>1.0086129168255</v>
      </c>
      <c r="AL61" s="24" t="n">
        <f aca="false">IFERROR(AK61/AVERAGE(AK56:AK67),"")</f>
        <v>1.00865093039232</v>
      </c>
      <c r="AM61" s="23" t="n">
        <f aca="false">IF(ISNUMBER(Tabelle1!N68),(0.5*Tabelle1!N56+SUM(Tabelle1!N57:N67)+0.5*Tabelle1!N68)/12,"")</f>
        <v>150.407980416667</v>
      </c>
      <c r="AN61" s="24" t="n">
        <f aca="false">IFERROR(Tabelle1!N62/AM61,"")</f>
        <v>0.976359363334203</v>
      </c>
      <c r="AO61" s="24" t="n">
        <f aca="false">IFERROR(AVERAGEIFS($AN$7:$AN$294,$B$7:$B$294,$B61,$A$7:$A$294,"&gt;="&amp;EDATE($A61,-12*'Seasonal Factors'!$E$4),$A$7:$A$294,"&lt;="&amp;EDATE($A61,12*'Seasonal Factors'!$E$4)),"")</f>
        <v>0.988615712003976</v>
      </c>
      <c r="AP61" s="24" t="n">
        <f aca="false">IFERROR(AO61/AVERAGE(AO56:AO67),"")</f>
        <v>0.988214724853392</v>
      </c>
      <c r="AQ61" s="23" t="n">
        <f aca="false">IF(ISNUMBER(Tabelle1!O68),(0.5*Tabelle1!O56+SUM(Tabelle1!O57:O67)+0.5*Tabelle1!O68)/12,"")</f>
        <v>125.502133333333</v>
      </c>
      <c r="AR61" s="24" t="n">
        <f aca="false">IFERROR(Tabelle1!O62/AQ61,"")</f>
        <v>1.02665936090329</v>
      </c>
      <c r="AS61" s="24" t="n">
        <f aca="false">IFERROR(AVERAGEIFS($AR$7:$AR$294,$B$7:$B$294,$B61,$A$7:$A$294,"&gt;="&amp;EDATE($A61,-12*'Seasonal Factors'!$E$4),$A$7:$A$294,"&lt;="&amp;EDATE($A61,12*'Seasonal Factors'!$E$4)),"")</f>
        <v>1.00220722752496</v>
      </c>
      <c r="AT61" s="24" t="n">
        <f aca="false">IFERROR(AS61/AVERAGE(AS56:AS67),"")</f>
        <v>1.00206780528538</v>
      </c>
      <c r="AU61" s="23" t="n">
        <f aca="false">IF(ISNUMBER(Tabelle1!P68),(0.5*Tabelle1!P56+SUM(Tabelle1!P57:P67)+0.5*Tabelle1!P68)/12,"")</f>
        <v>119.96637625</v>
      </c>
      <c r="AV61" s="24" t="n">
        <f aca="false">IFERROR(Tabelle1!P62/AU61,"")</f>
        <v>1.00667123384916</v>
      </c>
      <c r="AW61" s="24" t="n">
        <f aca="false">IFERROR(AVERAGEIFS($AV$7:$AV$294,$B$7:$B$294,$B61,$A$7:$A$294,"&gt;="&amp;EDATE($A61,-12*'Seasonal Factors'!$E$4),$A$7:$A$294,"&lt;="&amp;EDATE($A61,12*'Seasonal Factors'!$E$4)),"")</f>
        <v>1.0011233139017</v>
      </c>
      <c r="AX61" s="24" t="n">
        <f aca="false">IFERROR(AW61/AVERAGE(AW56:AW67),"")</f>
        <v>1.00115935369808</v>
      </c>
      <c r="AY61" s="23" t="n">
        <f aca="false">IF(ISNUMBER(Tabelle1!Q68),(0.5*Tabelle1!Q56+SUM(Tabelle1!Q57:Q67)+0.5*Tabelle1!Q68)/12,"")</f>
        <v>122.069769166667</v>
      </c>
      <c r="AZ61" s="24" t="n">
        <f aca="false">IFERROR(Tabelle1!Q62/AY61,"")</f>
        <v>1.01243740234538</v>
      </c>
      <c r="BA61" s="24" t="n">
        <f aca="false">IFERROR(AVERAGEIFS($AZ$7:$AZ$294,$B$7:$B$294,$B61,$A$7:$A$294,"&gt;="&amp;EDATE($A61,-12*'Seasonal Factors'!$E$4),$A$7:$A$294,"&lt;="&amp;EDATE($A61,12*'Seasonal Factors'!$E$4)),"")</f>
        <v>1.00569488253213</v>
      </c>
      <c r="BB61" s="24" t="n">
        <f aca="false">IFERROR(BA61/AVERAGE(BA56:BA67),"")</f>
        <v>1.00576183590232</v>
      </c>
      <c r="BC61" s="23" t="n">
        <f aca="false">IF(ISNUMBER(Tabelle1!R68),(0.5*Tabelle1!R56+SUM(Tabelle1!R57:R67)+0.5*Tabelle1!R68)/12,"")</f>
        <v>128.02147</v>
      </c>
      <c r="BD61" s="24" t="n">
        <f aca="false">IFERROR(Tabelle1!R62/BC61,"")</f>
        <v>1.015310791229</v>
      </c>
      <c r="BE61" s="24" t="n">
        <f aca="false">IFERROR(AVERAGEIFS($BD$7:$BD$294,$B$7:$B$294,$B61,$A$7:$A$294,"&gt;="&amp;EDATE($A61,-12*'Seasonal Factors'!$E$4),$A$7:$A$294,"&lt;="&amp;EDATE($A61,12*'Seasonal Factors'!$E$4)),"")</f>
        <v>1.01346414785778</v>
      </c>
      <c r="BF61" s="24" t="n">
        <f aca="false">IFERROR(BE61/AVERAGE(BE56:BE67),"")</f>
        <v>1.01328940124918</v>
      </c>
      <c r="BG61" s="23" t="n">
        <f aca="false">IF(ISNUMBER(Tabelle1!S68),(0.5*Tabelle1!S56+SUM(Tabelle1!S57:S67)+0.5*Tabelle1!S68)/12,"")</f>
        <v>137.85311875</v>
      </c>
      <c r="BH61" s="24" t="n">
        <f aca="false">IFERROR(Tabelle1!S62/BG61,"")</f>
        <v>1.09171255147973</v>
      </c>
      <c r="BI61" s="24" t="n">
        <f aca="false">IFERROR(AVERAGEIFS($BH$7:$BH$294,$B$7:$B$294,$B61,$A$7:$A$294,"&gt;="&amp;EDATE($A61,-12*'Seasonal Factors'!$E$4),$A$7:$A$294,"&lt;="&amp;EDATE($A61,12*'Seasonal Factors'!$E$4)),"")</f>
        <v>1.09187971737262</v>
      </c>
      <c r="BJ61" s="24" t="n">
        <f aca="false">IFERROR(BI61/AVERAGE(BI56:BI67),"")</f>
        <v>1.09128218382417</v>
      </c>
    </row>
    <row r="62" customFormat="false" ht="15" hidden="false" customHeight="false" outlineLevel="0" collapsed="false">
      <c r="A62" s="20" t="n">
        <v>39691</v>
      </c>
      <c r="B62" s="22" t="n">
        <f aca="false">MONTH(A62)</f>
        <v>8</v>
      </c>
      <c r="C62" s="23" t="n">
        <f aca="false">IF(ISNUMBER(Tabelle1!E69),(0.5*Tabelle1!E57+SUM(Tabelle1!E58:E68)+0.5*Tabelle1!E69)/12,"")</f>
        <v>124.010202083333</v>
      </c>
      <c r="D62" s="24" t="n">
        <f aca="false">IFERROR(Tabelle1!E63/C62,"")</f>
        <v>0.571031405564633</v>
      </c>
      <c r="E62" s="24" t="n">
        <f aca="false">IFERROR(AVERAGEIFS($D$7:$D$294,$B$7:$B$294,$B62,$A$7:$A$294,"&gt;="&amp;EDATE($A62,-12*'Seasonal Factors'!$E$4),$A$7:$A$294,"&lt;="&amp;EDATE($A62,12*'Seasonal Factors'!$E$4)),"")</f>
        <v>0.592712986647201</v>
      </c>
      <c r="F62" s="24" t="n">
        <f aca="false">IFERROR(E62/AVERAGE(E57:E68),"")</f>
        <v>0.591843296922007</v>
      </c>
      <c r="G62" s="23" t="n">
        <f aca="false">IF(ISNUMBER(Tabelle1!F69),(0.5*Tabelle1!F57+SUM(Tabelle1!F58:F68)+0.5*Tabelle1!F69)/12,"")</f>
        <v>139.62059875</v>
      </c>
      <c r="H62" s="24" t="n">
        <f aca="false">IFERROR(Tabelle1!F63/G62,"")</f>
        <v>1.26362479161049</v>
      </c>
      <c r="I62" s="24" t="n">
        <f aca="false">IFERROR(AVERAGEIFS($H$7:$H$294,$B$7:$B$294,$B62,$A$7:$A$294,"&gt;="&amp;EDATE($A62,-12*'Seasonal Factors'!$E$4),$A$7:$A$294,"&lt;="&amp;EDATE($A62,12*'Seasonal Factors'!$E$4)),"")</f>
        <v>1.15649702289088</v>
      </c>
      <c r="J62" s="24" t="n">
        <f aca="false">IFERROR(I62/AVERAGE(I57:I68),"")</f>
        <v>1.16192283010917</v>
      </c>
      <c r="K62" s="23" t="n">
        <f aca="false">IF(ISNUMBER(Tabelle1!G69),(0.5*Tabelle1!G57+SUM(Tabelle1!G58:G68)+0.5*Tabelle1!G69)/12,"")</f>
        <v>101.627554583333</v>
      </c>
      <c r="L62" s="24" t="n">
        <f aca="false">IFERROR(Tabelle1!G63/K62,"")</f>
        <v>1.03091214217981</v>
      </c>
      <c r="M62" s="24" t="n">
        <f aca="false">IFERROR(AVERAGEIFS($L$7:$L$294,$B$7:$B$294,$B62,$A$7:$A$294,"&gt;="&amp;EDATE($A62,-12*'Seasonal Factors'!$E$4),$A$7:$A$294,"&lt;="&amp;EDATE($A62,12*'Seasonal Factors'!$E$4)),"")</f>
        <v>1.01986826826376</v>
      </c>
      <c r="N62" s="24" t="n">
        <f aca="false">IFERROR(M62/AVERAGE(M57:M68),"")</f>
        <v>1.01998296342696</v>
      </c>
      <c r="O62" s="23" t="n">
        <f aca="false">IF(ISNUMBER(Tabelle1!H69),(0.5*Tabelle1!H57+SUM(Tabelle1!H58:H68)+0.5*Tabelle1!H69)/12,"")</f>
        <v>128.545382083333</v>
      </c>
      <c r="P62" s="24" t="n">
        <f aca="false">IFERROR(Tabelle1!H63/O62,"")</f>
        <v>1.04318286527841</v>
      </c>
      <c r="Q62" s="24" t="n">
        <f aca="false">IFERROR(AVERAGEIFS($P$7:$P$294,$B$7:$B$294,$B62,$A$7:$A$294,"&gt;="&amp;EDATE($A62,-12*'Seasonal Factors'!$E$4),$A$7:$A$294,"&lt;="&amp;EDATE($A62,12*'Seasonal Factors'!$E$4)),"")</f>
        <v>1.0259614462674</v>
      </c>
      <c r="R62" s="24" t="n">
        <f aca="false">IFERROR(Q62/AVERAGE(Q57:Q68),"")</f>
        <v>1.02646448477759</v>
      </c>
      <c r="S62" s="23" t="n">
        <f aca="false">IF(ISNUMBER(Tabelle1!I69),(0.5*Tabelle1!I57+SUM(Tabelle1!I58:I68)+0.5*Tabelle1!I69)/12,"")</f>
        <v>120.422384166667</v>
      </c>
      <c r="T62" s="24" t="n">
        <f aca="false">IFERROR(Tabelle1!I63/S62,"")</f>
        <v>1.04898213794845</v>
      </c>
      <c r="U62" s="24" t="n">
        <f aca="false">IFERROR(AVERAGEIFS($T$7:$T$294,$B$7:$B$294,$B62,$A$7:$A$294,"&gt;="&amp;EDATE($A62,-12*'Seasonal Factors'!$E$4),$A$7:$A$294,"&lt;="&amp;EDATE($A62,12*'Seasonal Factors'!$E$4)),"")</f>
        <v>1.03474313193745</v>
      </c>
      <c r="V62" s="24" t="n">
        <f aca="false">IFERROR(U62/AVERAGE(U57:U68),"")</f>
        <v>1.03447854638294</v>
      </c>
      <c r="W62" s="23" t="n">
        <f aca="false">IF(ISNUMBER(Tabelle1!J69),(0.5*Tabelle1!J57+SUM(Tabelle1!J58:J68)+0.5*Tabelle1!J69)/12,"")</f>
        <v>143.037812083333</v>
      </c>
      <c r="X62" s="24" t="n">
        <f aca="false">IFERROR(Tabelle1!J63/W62,"")</f>
        <v>1.04596699167096</v>
      </c>
      <c r="Y62" s="24" t="n">
        <f aca="false">IFERROR(AVERAGEIFS($X$7:$X$294,$B$7:$B$294,$B62,$A$7:$A$294,"&gt;="&amp;EDATE($A62,-12*'Seasonal Factors'!$E$4),$A$7:$A$294,"&lt;="&amp;EDATE($A62,12*'Seasonal Factors'!$E$4)),"")</f>
        <v>1.01929414148964</v>
      </c>
      <c r="Z62" s="24" t="n">
        <f aca="false">IFERROR(Y62/AVERAGE(Y57:Y68),"")</f>
        <v>1.01978001043232</v>
      </c>
      <c r="AA62" s="23" t="n">
        <f aca="false">IF(ISNUMBER(Tabelle1!K69),(0.5*Tabelle1!K57+SUM(Tabelle1!K58:K68)+0.5*Tabelle1!K69)/12,"")</f>
        <v>141.234915833333</v>
      </c>
      <c r="AB62" s="24" t="n">
        <f aca="false">IFERROR(Tabelle1!K63/AA62,"")</f>
        <v>1.01136789835002</v>
      </c>
      <c r="AC62" s="24" t="n">
        <f aca="false">IFERROR(AVERAGEIFS($AB$7:$AB$294,$B$7:$B$294,$B62,$A$7:$A$294,"&gt;="&amp;EDATE($A62,-12*'Seasonal Factors'!$E$4),$A$7:$A$294,"&lt;="&amp;EDATE($A62,12*'Seasonal Factors'!$E$4)),"")</f>
        <v>1.0177924732465</v>
      </c>
      <c r="AD62" s="24" t="n">
        <f aca="false">IFERROR(AC62/AVERAGE(AC57:AC68),"")</f>
        <v>1.01870772084587</v>
      </c>
      <c r="AE62" s="23" t="n">
        <f aca="false">IF(ISNUMBER(Tabelle1!L69),(0.5*Tabelle1!L57+SUM(Tabelle1!L58:L68)+0.5*Tabelle1!L69)/12,"")</f>
        <v>138.067230416667</v>
      </c>
      <c r="AF62" s="24" t="n">
        <f aca="false">IFERROR(Tabelle1!L63/AE62,"")</f>
        <v>1.00996825661803</v>
      </c>
      <c r="AG62" s="24" t="n">
        <f aca="false">IFERROR(AVERAGEIFS($AF$7:$AF$294,$B$7:$B$294,$B62,$A$7:$A$294,"&gt;="&amp;EDATE($A62,-12*'Seasonal Factors'!$E$4),$A$7:$A$294,"&lt;="&amp;EDATE($A62,12*'Seasonal Factors'!$E$4)),"")</f>
        <v>0.986577536409573</v>
      </c>
      <c r="AH62" s="24" t="n">
        <f aca="false">IFERROR(AG62/AVERAGE(AG57:AG68),"")</f>
        <v>0.986890437621219</v>
      </c>
      <c r="AI62" s="23" t="n">
        <f aca="false">IF(ISNUMBER(Tabelle1!M69),(0.5*Tabelle1!M57+SUM(Tabelle1!M58:M68)+0.5*Tabelle1!M69)/12,"")</f>
        <v>153.1034625</v>
      </c>
      <c r="AJ62" s="24" t="n">
        <f aca="false">IFERROR(Tabelle1!M63/AI62,"")</f>
        <v>1.00617926913312</v>
      </c>
      <c r="AK62" s="24" t="n">
        <f aca="false">IFERROR(AVERAGEIFS($AJ$7:$AJ$294,$B$7:$B$294,$B62,$A$7:$A$294,"&gt;="&amp;EDATE($A62,-12*'Seasonal Factors'!$E$4),$A$7:$A$294,"&lt;="&amp;EDATE($A62,12*'Seasonal Factors'!$E$4)),"")</f>
        <v>0.995464081757274</v>
      </c>
      <c r="AL62" s="24" t="n">
        <f aca="false">IFERROR(AK62/AVERAGE(AK57:AK68),"")</f>
        <v>0.995715260315819</v>
      </c>
      <c r="AM62" s="23" t="n">
        <f aca="false">IF(ISNUMBER(Tabelle1!N69),(0.5*Tabelle1!N57+SUM(Tabelle1!N58:N68)+0.5*Tabelle1!N69)/12,"")</f>
        <v>150.342362083333</v>
      </c>
      <c r="AN62" s="24" t="n">
        <f aca="false">IFERROR(Tabelle1!N63/AM62,"")</f>
        <v>1.03193230337838</v>
      </c>
      <c r="AO62" s="24" t="n">
        <f aca="false">IFERROR(AVERAGEIFS($AN$7:$AN$294,$B$7:$B$294,$B62,$A$7:$A$294,"&gt;="&amp;EDATE($A62,-12*'Seasonal Factors'!$E$4),$A$7:$A$294,"&lt;="&amp;EDATE($A62,12*'Seasonal Factors'!$E$4)),"")</f>
        <v>1.01069149210126</v>
      </c>
      <c r="AP62" s="24" t="n">
        <f aca="false">IFERROR(AO62/AVERAGE(AO57:AO68),"")</f>
        <v>1.01043193492518</v>
      </c>
      <c r="AQ62" s="23" t="n">
        <f aca="false">IF(ISNUMBER(Tabelle1!O69),(0.5*Tabelle1!O57+SUM(Tabelle1!O58:O68)+0.5*Tabelle1!O69)/12,"")</f>
        <v>125.262654166667</v>
      </c>
      <c r="AR62" s="24" t="n">
        <f aca="false">IFERROR(Tabelle1!O63/AQ62,"")</f>
        <v>1.00592272164652</v>
      </c>
      <c r="AS62" s="24" t="n">
        <f aca="false">IFERROR(AVERAGEIFS($AR$7:$AR$294,$B$7:$B$294,$B62,$A$7:$A$294,"&gt;="&amp;EDATE($A62,-12*'Seasonal Factors'!$E$4),$A$7:$A$294,"&lt;="&amp;EDATE($A62,12*'Seasonal Factors'!$E$4)),"")</f>
        <v>1.00930073380796</v>
      </c>
      <c r="AT62" s="24" t="n">
        <f aca="false">IFERROR(AS62/AVERAGE(AS57:AS68),"")</f>
        <v>1.0092253056683</v>
      </c>
      <c r="AU62" s="23" t="n">
        <f aca="false">IF(ISNUMBER(Tabelle1!P69),(0.5*Tabelle1!P57+SUM(Tabelle1!P58:P68)+0.5*Tabelle1!P69)/12,"")</f>
        <v>120.340763333333</v>
      </c>
      <c r="AV62" s="24" t="n">
        <f aca="false">IFERROR(Tabelle1!P63/AU62,"")</f>
        <v>1.00767467848038</v>
      </c>
      <c r="AW62" s="24" t="n">
        <f aca="false">IFERROR(AVERAGEIFS($AV$7:$AV$294,$B$7:$B$294,$B62,$A$7:$A$294,"&gt;="&amp;EDATE($A62,-12*'Seasonal Factors'!$E$4),$A$7:$A$294,"&lt;="&amp;EDATE($A62,12*'Seasonal Factors'!$E$4)),"")</f>
        <v>1.00149859158103</v>
      </c>
      <c r="AX62" s="24" t="n">
        <f aca="false">IFERROR(AW62/AVERAGE(AW57:AW68),"")</f>
        <v>1.00141181292206</v>
      </c>
      <c r="AY62" s="23" t="n">
        <f aca="false">IF(ISNUMBER(Tabelle1!Q69),(0.5*Tabelle1!Q57+SUM(Tabelle1!Q58:Q68)+0.5*Tabelle1!Q69)/12,"")</f>
        <v>122.61171875</v>
      </c>
      <c r="AZ62" s="24" t="n">
        <f aca="false">IFERROR(Tabelle1!Q63/AY62,"")</f>
        <v>1.01366950294056</v>
      </c>
      <c r="BA62" s="24" t="n">
        <f aca="false">IFERROR(AVERAGEIFS($AZ$7:$AZ$294,$B$7:$B$294,$B62,$A$7:$A$294,"&gt;="&amp;EDATE($A62,-12*'Seasonal Factors'!$E$4),$A$7:$A$294,"&lt;="&amp;EDATE($A62,12*'Seasonal Factors'!$E$4)),"")</f>
        <v>1.00695116738519</v>
      </c>
      <c r="BB62" s="24" t="n">
        <f aca="false">IFERROR(BA62/AVERAGE(BA57:BA68),"")</f>
        <v>1.00696158871134</v>
      </c>
      <c r="BC62" s="23" t="n">
        <f aca="false">IF(ISNUMBER(Tabelle1!R69),(0.5*Tabelle1!R57+SUM(Tabelle1!R58:R68)+0.5*Tabelle1!R69)/12,"")</f>
        <v>128.7225475</v>
      </c>
      <c r="BD62" s="24" t="n">
        <f aca="false">IFERROR(Tabelle1!R63/BC62,"")</f>
        <v>1.03391319224785</v>
      </c>
      <c r="BE62" s="24" t="n">
        <f aca="false">IFERROR(AVERAGEIFS($BD$7:$BD$294,$B$7:$B$294,$B62,$A$7:$A$294,"&gt;="&amp;EDATE($A62,-12*'Seasonal Factors'!$E$4),$A$7:$A$294,"&lt;="&amp;EDATE($A62,12*'Seasonal Factors'!$E$4)),"")</f>
        <v>1.03059665813276</v>
      </c>
      <c r="BF62" s="24" t="n">
        <f aca="false">IFERROR(BE62/AVERAGE(BE57:BE68),"")</f>
        <v>1.03031668804393</v>
      </c>
      <c r="BG62" s="23" t="n">
        <f aca="false">IF(ISNUMBER(Tabelle1!S69),(0.5*Tabelle1!S57+SUM(Tabelle1!S58:S68)+0.5*Tabelle1!S69)/12,"")</f>
        <v>137.881105833333</v>
      </c>
      <c r="BH62" s="24" t="n">
        <f aca="false">IFERROR(Tabelle1!S63/BG62,"")</f>
        <v>1.04303935721142</v>
      </c>
      <c r="BI62" s="24" t="n">
        <f aca="false">IFERROR(AVERAGEIFS($BH$7:$BH$294,$B$7:$B$294,$B62,$A$7:$A$294,"&gt;="&amp;EDATE($A62,-12*'Seasonal Factors'!$E$4),$A$7:$A$294,"&lt;="&amp;EDATE($A62,12*'Seasonal Factors'!$E$4)),"")</f>
        <v>1.01531685915492</v>
      </c>
      <c r="BJ62" s="24" t="n">
        <f aca="false">IFERROR(BI62/AVERAGE(BI57:BI68),"")</f>
        <v>1.01501353843831</v>
      </c>
    </row>
    <row r="63" customFormat="false" ht="15" hidden="false" customHeight="false" outlineLevel="0" collapsed="false">
      <c r="A63" s="20" t="n">
        <v>39721</v>
      </c>
      <c r="B63" s="22" t="n">
        <f aca="false">MONTH(A63)</f>
        <v>9</v>
      </c>
      <c r="C63" s="23" t="n">
        <f aca="false">IF(ISNUMBER(Tabelle1!E70),(0.5*Tabelle1!E58+SUM(Tabelle1!E59:E69)+0.5*Tabelle1!E70)/12,"")</f>
        <v>122.598602916667</v>
      </c>
      <c r="D63" s="24" t="n">
        <f aca="false">IFERROR(Tabelle1!E64/C63,"")</f>
        <v>0.547814236069649</v>
      </c>
      <c r="E63" s="24" t="n">
        <f aca="false">IFERROR(AVERAGEIFS($D$7:$D$294,$B$7:$B$294,$B63,$A$7:$A$294,"&gt;="&amp;EDATE($A63,-12*'Seasonal Factors'!$E$4),$A$7:$A$294,"&lt;="&amp;EDATE($A63,12*'Seasonal Factors'!$E$4)),"")</f>
        <v>0.559545175394608</v>
      </c>
      <c r="F63" s="24" t="n">
        <f aca="false">IFERROR(E63/AVERAGE(E58:E69),"")</f>
        <v>0.55846075336326</v>
      </c>
      <c r="G63" s="23" t="n">
        <f aca="false">IF(ISNUMBER(Tabelle1!F70),(0.5*Tabelle1!F58+SUM(Tabelle1!F59:F69)+0.5*Tabelle1!F70)/12,"")</f>
        <v>138.255084583333</v>
      </c>
      <c r="H63" s="24" t="n">
        <f aca="false">IFERROR(Tabelle1!F64/G63,"")</f>
        <v>0.62842354233729</v>
      </c>
      <c r="I63" s="24" t="n">
        <f aca="false">IFERROR(AVERAGEIFS($H$7:$H$294,$B$7:$B$294,$B63,$A$7:$A$294,"&gt;="&amp;EDATE($A63,-12*'Seasonal Factors'!$E$4),$A$7:$A$294,"&lt;="&amp;EDATE($A63,12*'Seasonal Factors'!$E$4)),"")</f>
        <v>0.963026462183172</v>
      </c>
      <c r="J63" s="24" t="n">
        <f aca="false">IFERROR(I63/AVERAGE(I58:I69),"")</f>
        <v>0.972740189634377</v>
      </c>
      <c r="K63" s="23" t="n">
        <f aca="false">IF(ISNUMBER(Tabelle1!G70),(0.5*Tabelle1!G58+SUM(Tabelle1!G59:G69)+0.5*Tabelle1!G70)/12,"")</f>
        <v>101.73957125</v>
      </c>
      <c r="L63" s="24" t="n">
        <f aca="false">IFERROR(Tabelle1!G64/K63,"")</f>
        <v>1.00717133698359</v>
      </c>
      <c r="M63" s="24" t="n">
        <f aca="false">IFERROR(AVERAGEIFS($L$7:$L$294,$B$7:$B$294,$B63,$A$7:$A$294,"&gt;="&amp;EDATE($A63,-12*'Seasonal Factors'!$E$4),$A$7:$A$294,"&lt;="&amp;EDATE($A63,12*'Seasonal Factors'!$E$4)),"")</f>
        <v>1.00698330951763</v>
      </c>
      <c r="N63" s="24" t="n">
        <f aca="false">IFERROR(M63/AVERAGE(M58:M69),"")</f>
        <v>1.00733871052093</v>
      </c>
      <c r="O63" s="23" t="n">
        <f aca="false">IF(ISNUMBER(Tabelle1!H70),(0.5*Tabelle1!H58+SUM(Tabelle1!H59:H69)+0.5*Tabelle1!H70)/12,"")</f>
        <v>127.369190833333</v>
      </c>
      <c r="P63" s="24" t="n">
        <f aca="false">IFERROR(Tabelle1!H64/O63,"")</f>
        <v>1.10528715051833</v>
      </c>
      <c r="Q63" s="24" t="n">
        <f aca="false">IFERROR(AVERAGEIFS($P$7:$P$294,$B$7:$B$294,$B63,$A$7:$A$294,"&gt;="&amp;EDATE($A63,-12*'Seasonal Factors'!$E$4),$A$7:$A$294,"&lt;="&amp;EDATE($A63,12*'Seasonal Factors'!$E$4)),"")</f>
        <v>1.03292852112499</v>
      </c>
      <c r="R63" s="24" t="n">
        <f aca="false">IFERROR(Q63/AVERAGE(Q58:Q69),"")</f>
        <v>1.03358368789737</v>
      </c>
      <c r="S63" s="23" t="n">
        <f aca="false">IF(ISNUMBER(Tabelle1!I70),(0.5*Tabelle1!I58+SUM(Tabelle1!I59:I69)+0.5*Tabelle1!I70)/12,"")</f>
        <v>120.320625416667</v>
      </c>
      <c r="T63" s="24" t="n">
        <f aca="false">IFERROR(Tabelle1!I64/S63,"")</f>
        <v>0.998196772864874</v>
      </c>
      <c r="U63" s="24" t="n">
        <f aca="false">IFERROR(AVERAGEIFS($T$7:$T$294,$B$7:$B$294,$B63,$A$7:$A$294,"&gt;="&amp;EDATE($A63,-12*'Seasonal Factors'!$E$4),$A$7:$A$294,"&lt;="&amp;EDATE($A63,12*'Seasonal Factors'!$E$4)),"")</f>
        <v>0.962422361014924</v>
      </c>
      <c r="V63" s="24" t="n">
        <f aca="false">IFERROR(U63/AVERAGE(U58:U69),"")</f>
        <v>0.962586521058888</v>
      </c>
      <c r="W63" s="23" t="n">
        <f aca="false">IF(ISNUMBER(Tabelle1!J70),(0.5*Tabelle1!J58+SUM(Tabelle1!J59:J69)+0.5*Tabelle1!J70)/12,"")</f>
        <v>141.042903333333</v>
      </c>
      <c r="X63" s="24" t="n">
        <f aca="false">IFERROR(Tabelle1!J64/W63,"")</f>
        <v>1.06342408200096</v>
      </c>
      <c r="Y63" s="24" t="n">
        <f aca="false">IFERROR(AVERAGEIFS($X$7:$X$294,$B$7:$B$294,$B63,$A$7:$A$294,"&gt;="&amp;EDATE($A63,-12*'Seasonal Factors'!$E$4),$A$7:$A$294,"&lt;="&amp;EDATE($A63,12*'Seasonal Factors'!$E$4)),"")</f>
        <v>1.03160126385591</v>
      </c>
      <c r="Z63" s="24" t="n">
        <f aca="false">IFERROR(Y63/AVERAGE(Y58:Y69),"")</f>
        <v>1.03222918918517</v>
      </c>
      <c r="AA63" s="23" t="n">
        <f aca="false">IF(ISNUMBER(Tabelle1!K70),(0.5*Tabelle1!K58+SUM(Tabelle1!K59:K69)+0.5*Tabelle1!K70)/12,"")</f>
        <v>140.07196875</v>
      </c>
      <c r="AB63" s="24" t="n">
        <f aca="false">IFERROR(Tabelle1!K64/AA63,"")</f>
        <v>1.05947893303956</v>
      </c>
      <c r="AC63" s="24" t="n">
        <f aca="false">IFERROR(AVERAGEIFS($AB$7:$AB$294,$B$7:$B$294,$B63,$A$7:$A$294,"&gt;="&amp;EDATE($A63,-12*'Seasonal Factors'!$E$4),$A$7:$A$294,"&lt;="&amp;EDATE($A63,12*'Seasonal Factors'!$E$4)),"")</f>
        <v>1.01781872675399</v>
      </c>
      <c r="AD63" s="24" t="n">
        <f aca="false">IFERROR(AC63/AVERAGE(AC58:AC69),"")</f>
        <v>1.0188879612381</v>
      </c>
      <c r="AE63" s="23" t="n">
        <f aca="false">IF(ISNUMBER(Tabelle1!L70),(0.5*Tabelle1!L58+SUM(Tabelle1!L59:L69)+0.5*Tabelle1!L70)/12,"")</f>
        <v>137.081789583333</v>
      </c>
      <c r="AF63" s="24" t="n">
        <f aca="false">IFERROR(Tabelle1!L64/AE63,"")</f>
        <v>1.01000855343979</v>
      </c>
      <c r="AG63" s="24" t="n">
        <f aca="false">IFERROR(AVERAGEIFS($AF$7:$AF$294,$B$7:$B$294,$B63,$A$7:$A$294,"&gt;="&amp;EDATE($A63,-12*'Seasonal Factors'!$E$4),$A$7:$A$294,"&lt;="&amp;EDATE($A63,12*'Seasonal Factors'!$E$4)),"")</f>
        <v>0.996731078365805</v>
      </c>
      <c r="AH63" s="24" t="n">
        <f aca="false">IFERROR(AG63/AVERAGE(AG58:AG69),"")</f>
        <v>0.997249780443507</v>
      </c>
      <c r="AI63" s="23" t="n">
        <f aca="false">IF(ISNUMBER(Tabelle1!M70),(0.5*Tabelle1!M58+SUM(Tabelle1!M59:M69)+0.5*Tabelle1!M70)/12,"")</f>
        <v>152.971669166667</v>
      </c>
      <c r="AJ63" s="24" t="n">
        <f aca="false">IFERROR(Tabelle1!M64/AI63,"")</f>
        <v>1.00444017403375</v>
      </c>
      <c r="AK63" s="24" t="n">
        <f aca="false">IFERROR(AVERAGEIFS($AJ$7:$AJ$294,$B$7:$B$294,$B63,$A$7:$A$294,"&gt;="&amp;EDATE($A63,-12*'Seasonal Factors'!$E$4),$A$7:$A$294,"&lt;="&amp;EDATE($A63,12*'Seasonal Factors'!$E$4)),"")</f>
        <v>0.981084781565967</v>
      </c>
      <c r="AL63" s="24" t="n">
        <f aca="false">IFERROR(AK63/AVERAGE(AK58:AK69),"")</f>
        <v>0.981342531394959</v>
      </c>
      <c r="AM63" s="23" t="n">
        <f aca="false">IF(ISNUMBER(Tabelle1!N70),(0.5*Tabelle1!N58+SUM(Tabelle1!N59:N69)+0.5*Tabelle1!N70)/12,"")</f>
        <v>150.52117625</v>
      </c>
      <c r="AN63" s="24" t="n">
        <f aca="false">IFERROR(Tabelle1!N64/AM63,"")</f>
        <v>1.00105309933093</v>
      </c>
      <c r="AO63" s="24" t="n">
        <f aca="false">IFERROR(AVERAGEIFS($AN$7:$AN$294,$B$7:$B$294,$B63,$A$7:$A$294,"&gt;="&amp;EDATE($A63,-12*'Seasonal Factors'!$E$4),$A$7:$A$294,"&lt;="&amp;EDATE($A63,12*'Seasonal Factors'!$E$4)),"")</f>
        <v>0.99506309287365</v>
      </c>
      <c r="AP63" s="24" t="n">
        <f aca="false">IFERROR(AO63/AVERAGE(AO58:AO69),"")</f>
        <v>0.994935737793932</v>
      </c>
      <c r="AQ63" s="23" t="n">
        <f aca="false">IF(ISNUMBER(Tabelle1!O70),(0.5*Tabelle1!O58+SUM(Tabelle1!O59:O69)+0.5*Tabelle1!O70)/12,"")</f>
        <v>125.088526666667</v>
      </c>
      <c r="AR63" s="24" t="n">
        <f aca="false">IFERROR(Tabelle1!O64/AQ63,"")</f>
        <v>1.01793180712177</v>
      </c>
      <c r="AS63" s="24" t="n">
        <f aca="false">IFERROR(AVERAGEIFS($AR$7:$AR$294,$B$7:$B$294,$B63,$A$7:$A$294,"&gt;="&amp;EDATE($A63,-12*'Seasonal Factors'!$E$4),$A$7:$A$294,"&lt;="&amp;EDATE($A63,12*'Seasonal Factors'!$E$4)),"")</f>
        <v>1.00992141597491</v>
      </c>
      <c r="AT63" s="24" t="n">
        <f aca="false">IFERROR(AS63/AVERAGE(AS58:AS69),"")</f>
        <v>1.00990564590048</v>
      </c>
      <c r="AU63" s="23" t="n">
        <f aca="false">IF(ISNUMBER(Tabelle1!P70),(0.5*Tabelle1!P58+SUM(Tabelle1!P59:P69)+0.5*Tabelle1!P70)/12,"")</f>
        <v>120.663828333333</v>
      </c>
      <c r="AV63" s="24" t="n">
        <f aca="false">IFERROR(Tabelle1!P64/AU63,"")</f>
        <v>1.00920318609152</v>
      </c>
      <c r="AW63" s="24" t="n">
        <f aca="false">IFERROR(AVERAGEIFS($AV$7:$AV$294,$B$7:$B$294,$B63,$A$7:$A$294,"&gt;="&amp;EDATE($A63,-12*'Seasonal Factors'!$E$4),$A$7:$A$294,"&lt;="&amp;EDATE($A63,12*'Seasonal Factors'!$E$4)),"")</f>
        <v>1.00397126581607</v>
      </c>
      <c r="AX63" s="24" t="n">
        <f aca="false">IFERROR(AW63/AVERAGE(AW58:AW69),"")</f>
        <v>1.003910038834</v>
      </c>
      <c r="AY63" s="23" t="n">
        <f aca="false">IF(ISNUMBER(Tabelle1!Q70),(0.5*Tabelle1!Q58+SUM(Tabelle1!Q59:Q69)+0.5*Tabelle1!Q70)/12,"")</f>
        <v>122.99909</v>
      </c>
      <c r="AZ63" s="24" t="n">
        <f aca="false">IFERROR(Tabelle1!Q64/AY63,"")</f>
        <v>1.0145902705459</v>
      </c>
      <c r="BA63" s="24" t="n">
        <f aca="false">IFERROR(AVERAGEIFS($AZ$7:$AZ$294,$B$7:$B$294,$B63,$A$7:$A$294,"&gt;="&amp;EDATE($A63,-12*'Seasonal Factors'!$E$4),$A$7:$A$294,"&lt;="&amp;EDATE($A63,12*'Seasonal Factors'!$E$4)),"")</f>
        <v>1.00906925680693</v>
      </c>
      <c r="BB63" s="24" t="n">
        <f aca="false">IFERROR(BA63/AVERAGE(BA58:BA69),"")</f>
        <v>1.0090393782337</v>
      </c>
      <c r="BC63" s="23" t="n">
        <f aca="false">IF(ISNUMBER(Tabelle1!R70),(0.5*Tabelle1!R58+SUM(Tabelle1!R59:R69)+0.5*Tabelle1!R70)/12,"")</f>
        <v>129.39709375</v>
      </c>
      <c r="BD63" s="24" t="n">
        <f aca="false">IFERROR(Tabelle1!R64/BC63,"")</f>
        <v>1.01321781038842</v>
      </c>
      <c r="BE63" s="24" t="n">
        <f aca="false">IFERROR(AVERAGEIFS($BD$7:$BD$294,$B$7:$B$294,$B63,$A$7:$A$294,"&gt;="&amp;EDATE($A63,-12*'Seasonal Factors'!$E$4),$A$7:$A$294,"&lt;="&amp;EDATE($A63,12*'Seasonal Factors'!$E$4)),"")</f>
        <v>1.00956877278236</v>
      </c>
      <c r="BF63" s="24" t="n">
        <f aca="false">IFERROR(BE63/AVERAGE(BE58:BE69),"")</f>
        <v>1.00912648815862</v>
      </c>
      <c r="BG63" s="23" t="n">
        <f aca="false">IF(ISNUMBER(Tabelle1!S70),(0.5*Tabelle1!S58+SUM(Tabelle1!S59:S69)+0.5*Tabelle1!S70)/12,"")</f>
        <v>137.73365125</v>
      </c>
      <c r="BH63" s="24" t="n">
        <f aca="false">IFERROR(Tabelle1!S64/BG63,"")</f>
        <v>0.986202128290707</v>
      </c>
      <c r="BI63" s="24" t="n">
        <f aca="false">IFERROR(AVERAGEIFS($BH$7:$BH$294,$B$7:$B$294,$B63,$A$7:$A$294,"&gt;="&amp;EDATE($A63,-12*'Seasonal Factors'!$E$4),$A$7:$A$294,"&lt;="&amp;EDATE($A63,12*'Seasonal Factors'!$E$4)),"")</f>
        <v>0.977407742172285</v>
      </c>
      <c r="BJ63" s="24" t="n">
        <f aca="false">IFERROR(BI63/AVERAGE(BI58:BI69),"")</f>
        <v>0.977359529008739</v>
      </c>
    </row>
    <row r="64" customFormat="false" ht="15" hidden="false" customHeight="false" outlineLevel="0" collapsed="false">
      <c r="A64" s="20" t="n">
        <v>39752</v>
      </c>
      <c r="B64" s="22" t="n">
        <f aca="false">MONTH(A64)</f>
        <v>10</v>
      </c>
      <c r="C64" s="23" t="n">
        <f aca="false">IF(ISNUMBER(Tabelle1!E71),(0.5*Tabelle1!E59+SUM(Tabelle1!E60:E70)+0.5*Tabelle1!E71)/12,"")</f>
        <v>117.720803333333</v>
      </c>
      <c r="D64" s="24" t="n">
        <f aca="false">IFERROR(Tabelle1!E65/C64,"")</f>
        <v>0.564832112228479</v>
      </c>
      <c r="E64" s="24" t="n">
        <f aca="false">IFERROR(AVERAGEIFS($D$7:$D$294,$B$7:$B$294,$B64,$A$7:$A$294,"&gt;="&amp;EDATE($A64,-12*'Seasonal Factors'!$E$4),$A$7:$A$294,"&lt;="&amp;EDATE($A64,12*'Seasonal Factors'!$E$4)),"")</f>
        <v>0.562048878990701</v>
      </c>
      <c r="F64" s="24" t="n">
        <f aca="false">IFERROR(E64/AVERAGE(E59:E70),"")</f>
        <v>0.560950695902654</v>
      </c>
      <c r="G64" s="23" t="n">
        <f aca="false">IF(ISNUMBER(Tabelle1!F71),(0.5*Tabelle1!F59+SUM(Tabelle1!F60:F70)+0.5*Tabelle1!F71)/12,"")</f>
        <v>133.55718875</v>
      </c>
      <c r="H64" s="24" t="n">
        <f aca="false">IFERROR(Tabelle1!F65/G64,"")</f>
        <v>0.805636304620106</v>
      </c>
      <c r="I64" s="24" t="n">
        <f aca="false">IFERROR(AVERAGEIFS($H$7:$H$294,$B$7:$B$294,$B64,$A$7:$A$294,"&gt;="&amp;EDATE($A64,-12*'Seasonal Factors'!$E$4),$A$7:$A$294,"&lt;="&amp;EDATE($A64,12*'Seasonal Factors'!$E$4)),"")</f>
        <v>0.868402571464222</v>
      </c>
      <c r="J64" s="24" t="n">
        <f aca="false">IFERROR(I64/AVERAGE(I59:I70),"")</f>
        <v>0.878755771474156</v>
      </c>
      <c r="K64" s="23" t="n">
        <f aca="false">IF(ISNUMBER(Tabelle1!G71),(0.5*Tabelle1!G59+SUM(Tabelle1!G60:G70)+0.5*Tabelle1!G71)/12,"")</f>
        <v>101.913925833333</v>
      </c>
      <c r="L64" s="24" t="n">
        <f aca="false">IFERROR(Tabelle1!G65/K64,"")</f>
        <v>1.02949434183884</v>
      </c>
      <c r="M64" s="24" t="n">
        <f aca="false">IFERROR(AVERAGEIFS($L$7:$L$294,$B$7:$B$294,$B64,$A$7:$A$294,"&gt;="&amp;EDATE($A64,-12*'Seasonal Factors'!$E$4),$A$7:$A$294,"&lt;="&amp;EDATE($A64,12*'Seasonal Factors'!$E$4)),"")</f>
        <v>1.02153643393613</v>
      </c>
      <c r="N64" s="24" t="n">
        <f aca="false">IFERROR(M64/AVERAGE(M59:M70),"")</f>
        <v>1.0219500539648</v>
      </c>
      <c r="O64" s="23" t="n">
        <f aca="false">IF(ISNUMBER(Tabelle1!H71),(0.5*Tabelle1!H59+SUM(Tabelle1!H60:H70)+0.5*Tabelle1!H71)/12,"")</f>
        <v>126.103300416667</v>
      </c>
      <c r="P64" s="24" t="n">
        <f aca="false">IFERROR(Tabelle1!H65/O64,"")</f>
        <v>1.08781316227842</v>
      </c>
      <c r="Q64" s="24" t="n">
        <f aca="false">IFERROR(AVERAGEIFS($P$7:$P$294,$B$7:$B$294,$B64,$A$7:$A$294,"&gt;="&amp;EDATE($A64,-12*'Seasonal Factors'!$E$4),$A$7:$A$294,"&lt;="&amp;EDATE($A64,12*'Seasonal Factors'!$E$4)),"")</f>
        <v>1.06332416672041</v>
      </c>
      <c r="R64" s="24" t="n">
        <f aca="false">IFERROR(Q64/AVERAGE(Q59:Q70),"")</f>
        <v>1.06390265462656</v>
      </c>
      <c r="S64" s="23" t="n">
        <f aca="false">IF(ISNUMBER(Tabelle1!I71),(0.5*Tabelle1!I59+SUM(Tabelle1!I60:I70)+0.5*Tabelle1!I71)/12,"")</f>
        <v>120.478975416667</v>
      </c>
      <c r="T64" s="24" t="n">
        <f aca="false">IFERROR(Tabelle1!I65/S64,"")</f>
        <v>0.936730575685057</v>
      </c>
      <c r="U64" s="24" t="n">
        <f aca="false">IFERROR(AVERAGEIFS($T$7:$T$294,$B$7:$B$294,$B64,$A$7:$A$294,"&gt;="&amp;EDATE($A64,-12*'Seasonal Factors'!$E$4),$A$7:$A$294,"&lt;="&amp;EDATE($A64,12*'Seasonal Factors'!$E$4)),"")</f>
        <v>0.951106145853166</v>
      </c>
      <c r="V64" s="24" t="n">
        <f aca="false">IFERROR(U64/AVERAGE(U59:U70),"")</f>
        <v>0.951270307182999</v>
      </c>
      <c r="W64" s="23" t="n">
        <f aca="false">IF(ISNUMBER(Tabelle1!J71),(0.5*Tabelle1!J59+SUM(Tabelle1!J60:J70)+0.5*Tabelle1!J71)/12,"")</f>
        <v>138.94159875</v>
      </c>
      <c r="X64" s="24" t="n">
        <f aca="false">IFERROR(Tabelle1!J65/W64,"")</f>
        <v>0.995245421414874</v>
      </c>
      <c r="Y64" s="24" t="n">
        <f aca="false">IFERROR(AVERAGEIFS($X$7:$X$294,$B$7:$B$294,$B64,$A$7:$A$294,"&gt;="&amp;EDATE($A64,-12*'Seasonal Factors'!$E$4),$A$7:$A$294,"&lt;="&amp;EDATE($A64,12*'Seasonal Factors'!$E$4)),"")</f>
        <v>0.981357901355603</v>
      </c>
      <c r="Z64" s="24" t="n">
        <f aca="false">IFERROR(Y64/AVERAGE(Y59:Y70),"")</f>
        <v>0.981740205878449</v>
      </c>
      <c r="AA64" s="23" t="n">
        <f aca="false">IF(ISNUMBER(Tabelle1!K71),(0.5*Tabelle1!K59+SUM(Tabelle1!K60:K70)+0.5*Tabelle1!K71)/12,"")</f>
        <v>138.497647083333</v>
      </c>
      <c r="AB64" s="24" t="n">
        <f aca="false">IFERROR(Tabelle1!K65/AA64,"")</f>
        <v>1.04651185816024</v>
      </c>
      <c r="AC64" s="24" t="n">
        <f aca="false">IFERROR(AVERAGEIFS($AB$7:$AB$294,$B$7:$B$294,$B64,$A$7:$A$294,"&gt;="&amp;EDATE($A64,-12*'Seasonal Factors'!$E$4),$A$7:$A$294,"&lt;="&amp;EDATE($A64,12*'Seasonal Factors'!$E$4)),"")</f>
        <v>1.02058670129263</v>
      </c>
      <c r="AD64" s="24" t="n">
        <f aca="false">IFERROR(AC64/AVERAGE(AC59:AC70),"")</f>
        <v>1.02133165367436</v>
      </c>
      <c r="AE64" s="23" t="n">
        <f aca="false">IF(ISNUMBER(Tabelle1!L71),(0.5*Tabelle1!L59+SUM(Tabelle1!L60:L70)+0.5*Tabelle1!L71)/12,"")</f>
        <v>136.42093</v>
      </c>
      <c r="AF64" s="24" t="n">
        <f aca="false">IFERROR(Tabelle1!L65/AE64,"")</f>
        <v>1.01052037982735</v>
      </c>
      <c r="AG64" s="24" t="n">
        <f aca="false">IFERROR(AVERAGEIFS($AF$7:$AF$294,$B$7:$B$294,$B64,$A$7:$A$294,"&gt;="&amp;EDATE($A64,-12*'Seasonal Factors'!$E$4),$A$7:$A$294,"&lt;="&amp;EDATE($A64,12*'Seasonal Factors'!$E$4)),"")</f>
        <v>1.01110008008798</v>
      </c>
      <c r="AH64" s="24" t="n">
        <f aca="false">IFERROR(AG64/AVERAGE(AG59:AG70),"")</f>
        <v>1.01166751820169</v>
      </c>
      <c r="AI64" s="23" t="n">
        <f aca="false">IF(ISNUMBER(Tabelle1!M71),(0.5*Tabelle1!M59+SUM(Tabelle1!M60:M70)+0.5*Tabelle1!M71)/12,"")</f>
        <v>152.8305925</v>
      </c>
      <c r="AJ64" s="24" t="n">
        <f aca="false">IFERROR(Tabelle1!M65/AI64,"")</f>
        <v>1.00515981445273</v>
      </c>
      <c r="AK64" s="24" t="n">
        <f aca="false">IFERROR(AVERAGEIFS($AJ$7:$AJ$294,$B$7:$B$294,$B64,$A$7:$A$294,"&gt;="&amp;EDATE($A64,-12*'Seasonal Factors'!$E$4),$A$7:$A$294,"&lt;="&amp;EDATE($A64,12*'Seasonal Factors'!$E$4)),"")</f>
        <v>0.990230995304088</v>
      </c>
      <c r="AL64" s="24" t="n">
        <f aca="false">IFERROR(AK64/AVERAGE(AK59:AK70),"")</f>
        <v>0.990463310781457</v>
      </c>
      <c r="AM64" s="23" t="n">
        <f aca="false">IF(ISNUMBER(Tabelle1!N71),(0.5*Tabelle1!N59+SUM(Tabelle1!N60:N70)+0.5*Tabelle1!N71)/12,"")</f>
        <v>150.723113333333</v>
      </c>
      <c r="AN64" s="24" t="n">
        <f aca="false">IFERROR(Tabelle1!N65/AM64,"")</f>
        <v>1.04287163742681</v>
      </c>
      <c r="AO64" s="24" t="n">
        <f aca="false">IFERROR(AVERAGEIFS($AN$7:$AN$294,$B$7:$B$294,$B64,$A$7:$A$294,"&gt;="&amp;EDATE($A64,-12*'Seasonal Factors'!$E$4),$A$7:$A$294,"&lt;="&amp;EDATE($A64,12*'Seasonal Factors'!$E$4)),"")</f>
        <v>1.0014848267547</v>
      </c>
      <c r="AP64" s="24" t="n">
        <f aca="false">IFERROR(AO64/AVERAGE(AO59:AO70),"")</f>
        <v>1.00137801056333</v>
      </c>
      <c r="AQ64" s="23" t="n">
        <f aca="false">IF(ISNUMBER(Tabelle1!O71),(0.5*Tabelle1!O59+SUM(Tabelle1!O60:O70)+0.5*Tabelle1!O71)/12,"")</f>
        <v>124.853762916667</v>
      </c>
      <c r="AR64" s="24" t="n">
        <f aca="false">IFERROR(Tabelle1!O65/AQ64,"")</f>
        <v>1.02465770363195</v>
      </c>
      <c r="AS64" s="24" t="n">
        <f aca="false">IFERROR(AVERAGEIFS($AR$7:$AR$294,$B$7:$B$294,$B64,$A$7:$A$294,"&gt;="&amp;EDATE($A64,-12*'Seasonal Factors'!$E$4),$A$7:$A$294,"&lt;="&amp;EDATE($A64,12*'Seasonal Factors'!$E$4)),"")</f>
        <v>1.00839475229881</v>
      </c>
      <c r="AT64" s="24" t="n">
        <f aca="false">IFERROR(AS64/AVERAGE(AS59:AS70),"")</f>
        <v>1.00835703377272</v>
      </c>
      <c r="AU64" s="23" t="n">
        <f aca="false">IF(ISNUMBER(Tabelle1!P71),(0.5*Tabelle1!P59+SUM(Tabelle1!P60:P70)+0.5*Tabelle1!P71)/12,"")</f>
        <v>120.87330125</v>
      </c>
      <c r="AV64" s="24" t="n">
        <f aca="false">IFERROR(Tabelle1!P65/AU64,"")</f>
        <v>1.0015174463517</v>
      </c>
      <c r="AW64" s="24" t="n">
        <f aca="false">IFERROR(AVERAGEIFS($AV$7:$AV$294,$B$7:$B$294,$B64,$A$7:$A$294,"&gt;="&amp;EDATE($A64,-12*'Seasonal Factors'!$E$4),$A$7:$A$294,"&lt;="&amp;EDATE($A64,12*'Seasonal Factors'!$E$4)),"")</f>
        <v>1.00100706408251</v>
      </c>
      <c r="AX64" s="24" t="n">
        <f aca="false">IFERROR(AW64/AVERAGE(AW59:AW70),"")</f>
        <v>1.00092494938299</v>
      </c>
      <c r="AY64" s="23" t="n">
        <f aca="false">IF(ISNUMBER(Tabelle1!Q71),(0.5*Tabelle1!Q59+SUM(Tabelle1!Q60:Q70)+0.5*Tabelle1!Q71)/12,"")</f>
        <v>123.26049375</v>
      </c>
      <c r="AZ64" s="24" t="n">
        <f aca="false">IFERROR(Tabelle1!Q65/AY64,"")</f>
        <v>1.01224184817124</v>
      </c>
      <c r="BA64" s="24" t="n">
        <f aca="false">IFERROR(AVERAGEIFS($AZ$7:$AZ$294,$B$7:$B$294,$B64,$A$7:$A$294,"&gt;="&amp;EDATE($A64,-12*'Seasonal Factors'!$E$4),$A$7:$A$294,"&lt;="&amp;EDATE($A64,12*'Seasonal Factors'!$E$4)),"")</f>
        <v>1.0076479095436</v>
      </c>
      <c r="BB64" s="24" t="n">
        <f aca="false">IFERROR(BA64/AVERAGE(BA59:BA70),"")</f>
        <v>1.00756516540907</v>
      </c>
      <c r="BC64" s="23" t="n">
        <f aca="false">IF(ISNUMBER(Tabelle1!R71),(0.5*Tabelle1!R59+SUM(Tabelle1!R60:R70)+0.5*Tabelle1!R71)/12,"")</f>
        <v>130.155242083333</v>
      </c>
      <c r="BD64" s="24" t="n">
        <f aca="false">IFERROR(Tabelle1!R65/BC64,"")</f>
        <v>0.964691148740741</v>
      </c>
      <c r="BE64" s="24" t="n">
        <f aca="false">IFERROR(AVERAGEIFS($BD$7:$BD$294,$B$7:$B$294,$B64,$A$7:$A$294,"&gt;="&amp;EDATE($A64,-12*'Seasonal Factors'!$E$4),$A$7:$A$294,"&lt;="&amp;EDATE($A64,12*'Seasonal Factors'!$E$4)),"")</f>
        <v>0.96773735683519</v>
      </c>
      <c r="BF64" s="24" t="n">
        <f aca="false">IFERROR(BE64/AVERAGE(BE59:BE70),"")</f>
        <v>0.967188047757218</v>
      </c>
      <c r="BG64" s="23" t="n">
        <f aca="false">IF(ISNUMBER(Tabelle1!S71),(0.5*Tabelle1!S59+SUM(Tabelle1!S60:S70)+0.5*Tabelle1!S71)/12,"")</f>
        <v>137.595961666667</v>
      </c>
      <c r="BH64" s="24" t="n">
        <f aca="false">IFERROR(Tabelle1!S65/BG64,"")</f>
        <v>0.992329631960977</v>
      </c>
      <c r="BI64" s="24" t="n">
        <f aca="false">IFERROR(AVERAGEIFS($BH$7:$BH$294,$B$7:$B$294,$B64,$A$7:$A$294,"&gt;="&amp;EDATE($A64,-12*'Seasonal Factors'!$E$4),$A$7:$A$294,"&lt;="&amp;EDATE($A64,12*'Seasonal Factors'!$E$4)),"")</f>
        <v>0.983095109529118</v>
      </c>
      <c r="BJ64" s="24" t="n">
        <f aca="false">IFERROR(BI64/AVERAGE(BI59:BI70),"")</f>
        <v>0.9832953097744</v>
      </c>
    </row>
    <row r="65" customFormat="false" ht="15" hidden="false" customHeight="false" outlineLevel="0" collapsed="false">
      <c r="A65" s="20" t="n">
        <v>39782</v>
      </c>
      <c r="B65" s="22" t="n">
        <f aca="false">MONTH(A65)</f>
        <v>11</v>
      </c>
      <c r="C65" s="23" t="n">
        <f aca="false">IF(ISNUMBER(Tabelle1!E72),(0.5*Tabelle1!E60+SUM(Tabelle1!E61:E71)+0.5*Tabelle1!E72)/12,"")</f>
        <v>108.392738333333</v>
      </c>
      <c r="D65" s="24" t="n">
        <f aca="false">IFERROR(Tabelle1!E66/C65,"")</f>
        <v>0.740113602013591</v>
      </c>
      <c r="E65" s="24" t="n">
        <f aca="false">IFERROR(AVERAGEIFS($D$7:$D$294,$B$7:$B$294,$B65,$A$7:$A$294,"&gt;="&amp;EDATE($A65,-12*'Seasonal Factors'!$E$4),$A$7:$A$294,"&lt;="&amp;EDATE($A65,12*'Seasonal Factors'!$E$4)),"")</f>
        <v>0.695762264578813</v>
      </c>
      <c r="F65" s="24" t="n">
        <f aca="false">IFERROR(E65/AVERAGE(E60:E71),"")</f>
        <v>0.694195519429936</v>
      </c>
      <c r="G65" s="23" t="n">
        <f aca="false">IF(ISNUMBER(Tabelle1!F72),(0.5*Tabelle1!F60+SUM(Tabelle1!F61:F71)+0.5*Tabelle1!F72)/12,"")</f>
        <v>125.937427916667</v>
      </c>
      <c r="H65" s="24" t="n">
        <f aca="false">IFERROR(Tabelle1!F66/G65,"")</f>
        <v>0.495446119808697</v>
      </c>
      <c r="I65" s="24" t="n">
        <f aca="false">IFERROR(AVERAGEIFS($H$7:$H$294,$B$7:$B$294,$B65,$A$7:$A$294,"&gt;="&amp;EDATE($A65,-12*'Seasonal Factors'!$E$4),$A$7:$A$294,"&lt;="&amp;EDATE($A65,12*'Seasonal Factors'!$E$4)),"")</f>
        <v>0.621414965046662</v>
      </c>
      <c r="J65" s="24" t="n">
        <f aca="false">IFERROR(I65/AVERAGE(I60:I71),"")</f>
        <v>0.632907187776426</v>
      </c>
      <c r="K65" s="23" t="n">
        <f aca="false">IF(ISNUMBER(Tabelle1!G72),(0.5*Tabelle1!G60+SUM(Tabelle1!G61:G71)+0.5*Tabelle1!G72)/12,"")</f>
        <v>102.520849166667</v>
      </c>
      <c r="L65" s="24" t="n">
        <f aca="false">IFERROR(Tabelle1!G66/K65,"")</f>
        <v>1.00195229394762</v>
      </c>
      <c r="M65" s="24" t="n">
        <f aca="false">IFERROR(AVERAGEIFS($L$7:$L$294,$B$7:$B$294,$B65,$A$7:$A$294,"&gt;="&amp;EDATE($A65,-12*'Seasonal Factors'!$E$4),$A$7:$A$294,"&lt;="&amp;EDATE($A65,12*'Seasonal Factors'!$E$4)),"")</f>
        <v>0.978303951332662</v>
      </c>
      <c r="N65" s="24" t="n">
        <f aca="false">IFERROR(M65/AVERAGE(M60:M71),"")</f>
        <v>0.978555833615766</v>
      </c>
      <c r="O65" s="23" t="n">
        <f aca="false">IF(ISNUMBER(Tabelle1!H72),(0.5*Tabelle1!H60+SUM(Tabelle1!H61:H71)+0.5*Tabelle1!H72)/12,"")</f>
        <v>124.6573275</v>
      </c>
      <c r="P65" s="24" t="n">
        <f aca="false">IFERROR(Tabelle1!H66/O65,"")</f>
        <v>1.01159059422319</v>
      </c>
      <c r="Q65" s="24" t="n">
        <f aca="false">IFERROR(AVERAGEIFS($P$7:$P$294,$B$7:$B$294,$B65,$A$7:$A$294,"&gt;="&amp;EDATE($A65,-12*'Seasonal Factors'!$E$4),$A$7:$A$294,"&lt;="&amp;EDATE($A65,12*'Seasonal Factors'!$E$4)),"")</f>
        <v>1.03360640806821</v>
      </c>
      <c r="R65" s="24" t="n">
        <f aca="false">IFERROR(Q65/AVERAGE(Q60:Q71),"")</f>
        <v>1.03400548370244</v>
      </c>
      <c r="S65" s="23" t="n">
        <f aca="false">IF(ISNUMBER(Tabelle1!I72),(0.5*Tabelle1!I60+SUM(Tabelle1!I61:I71)+0.5*Tabelle1!I72)/12,"")</f>
        <v>120.652479166667</v>
      </c>
      <c r="T65" s="24" t="n">
        <f aca="false">IFERROR(Tabelle1!I66/S65,"")</f>
        <v>0.979116557039942</v>
      </c>
      <c r="U65" s="24" t="n">
        <f aca="false">IFERROR(AVERAGEIFS($T$7:$T$294,$B$7:$B$294,$B65,$A$7:$A$294,"&gt;="&amp;EDATE($A65,-12*'Seasonal Factors'!$E$4),$A$7:$A$294,"&lt;="&amp;EDATE($A65,12*'Seasonal Factors'!$E$4)),"")</f>
        <v>0.96139473096344</v>
      </c>
      <c r="V65" s="24" t="n">
        <f aca="false">IFERROR(U65/AVERAGE(U60:U71),"")</f>
        <v>0.961684597163761</v>
      </c>
      <c r="W65" s="23" t="n">
        <f aca="false">IF(ISNUMBER(Tabelle1!J72),(0.5*Tabelle1!J60+SUM(Tabelle1!J61:J71)+0.5*Tabelle1!J72)/12,"")</f>
        <v>136.688437083333</v>
      </c>
      <c r="X65" s="24" t="n">
        <f aca="false">IFERROR(Tabelle1!J66/W65,"")</f>
        <v>0.99638354864624</v>
      </c>
      <c r="Y65" s="24" t="n">
        <f aca="false">IFERROR(AVERAGEIFS($X$7:$X$294,$B$7:$B$294,$B65,$A$7:$A$294,"&gt;="&amp;EDATE($A65,-12*'Seasonal Factors'!$E$4),$A$7:$A$294,"&lt;="&amp;EDATE($A65,12*'Seasonal Factors'!$E$4)),"")</f>
        <v>0.990758367984305</v>
      </c>
      <c r="Z65" s="24" t="n">
        <f aca="false">IFERROR(Y65/AVERAGE(Y60:Y71),"")</f>
        <v>0.99096289759179</v>
      </c>
      <c r="AA65" s="23" t="n">
        <f aca="false">IF(ISNUMBER(Tabelle1!K72),(0.5*Tabelle1!K60+SUM(Tabelle1!K61:K71)+0.5*Tabelle1!K72)/12,"")</f>
        <v>136.334785833333</v>
      </c>
      <c r="AB65" s="24" t="n">
        <f aca="false">IFERROR(Tabelle1!K66/AA65,"")</f>
        <v>0.975663321630993</v>
      </c>
      <c r="AC65" s="24" t="n">
        <f aca="false">IFERROR(AVERAGEIFS($AB$7:$AB$294,$B$7:$B$294,$B65,$A$7:$A$294,"&gt;="&amp;EDATE($A65,-12*'Seasonal Factors'!$E$4),$A$7:$A$294,"&lt;="&amp;EDATE($A65,12*'Seasonal Factors'!$E$4)),"")</f>
        <v>1.02111175497449</v>
      </c>
      <c r="AD65" s="24" t="n">
        <f aca="false">IFERROR(AC65/AVERAGE(AC60:AC71),"")</f>
        <v>1.02175135873288</v>
      </c>
      <c r="AE65" s="23" t="n">
        <f aca="false">IF(ISNUMBER(Tabelle1!L72),(0.5*Tabelle1!L60+SUM(Tabelle1!L61:L71)+0.5*Tabelle1!L72)/12,"")</f>
        <v>136.207653333333</v>
      </c>
      <c r="AF65" s="24" t="n">
        <f aca="false">IFERROR(Tabelle1!L66/AE65,"")</f>
        <v>1.00383698458843</v>
      </c>
      <c r="AG65" s="24" t="n">
        <f aca="false">IFERROR(AVERAGEIFS($AF$7:$AF$294,$B$7:$B$294,$B65,$A$7:$A$294,"&gt;="&amp;EDATE($A65,-12*'Seasonal Factors'!$E$4),$A$7:$A$294,"&lt;="&amp;EDATE($A65,12*'Seasonal Factors'!$E$4)),"")</f>
        <v>1.01974605638673</v>
      </c>
      <c r="AH65" s="24" t="n">
        <f aca="false">IFERROR(AG65/AVERAGE(AG60:AG71),"")</f>
        <v>1.02015751712769</v>
      </c>
      <c r="AI65" s="23" t="n">
        <f aca="false">IF(ISNUMBER(Tabelle1!M72),(0.5*Tabelle1!M60+SUM(Tabelle1!M61:M71)+0.5*Tabelle1!M72)/12,"")</f>
        <v>152.4059525</v>
      </c>
      <c r="AJ65" s="24" t="n">
        <f aca="false">IFERROR(Tabelle1!M66/AI65,"")</f>
        <v>0.975484405702592</v>
      </c>
      <c r="AK65" s="24" t="n">
        <f aca="false">IFERROR(AVERAGEIFS($AJ$7:$AJ$294,$B$7:$B$294,$B65,$A$7:$A$294,"&gt;="&amp;EDATE($A65,-12*'Seasonal Factors'!$E$4),$A$7:$A$294,"&lt;="&amp;EDATE($A65,12*'Seasonal Factors'!$E$4)),"")</f>
        <v>0.984507976762679</v>
      </c>
      <c r="AL65" s="24" t="n">
        <f aca="false">IFERROR(AK65/AVERAGE(AK60:AK71),"")</f>
        <v>0.984668205816284</v>
      </c>
      <c r="AM65" s="23" t="n">
        <f aca="false">IF(ISNUMBER(Tabelle1!N72),(0.5*Tabelle1!N60+SUM(Tabelle1!N61:N71)+0.5*Tabelle1!N72)/12,"")</f>
        <v>150.618707916667</v>
      </c>
      <c r="AN65" s="24" t="n">
        <f aca="false">IFERROR(Tabelle1!N66/AM65,"")</f>
        <v>0.991077549825947</v>
      </c>
      <c r="AO65" s="24" t="n">
        <f aca="false">IFERROR(AVERAGEIFS($AN$7:$AN$294,$B$7:$B$294,$B65,$A$7:$A$294,"&gt;="&amp;EDATE($A65,-12*'Seasonal Factors'!$E$4),$A$7:$A$294,"&lt;="&amp;EDATE($A65,12*'Seasonal Factors'!$E$4)),"")</f>
        <v>0.99837386748643</v>
      </c>
      <c r="AP65" s="24" t="n">
        <f aca="false">IFERROR(AO65/AVERAGE(AO60:AO71),"")</f>
        <v>0.99844853351121</v>
      </c>
      <c r="AQ65" s="23" t="n">
        <f aca="false">IF(ISNUMBER(Tabelle1!O72),(0.5*Tabelle1!O60+SUM(Tabelle1!O61:O71)+0.5*Tabelle1!O72)/12,"")</f>
        <v>124.360027916667</v>
      </c>
      <c r="AR65" s="24" t="n">
        <f aca="false">IFERROR(Tabelle1!O66/AQ65,"")</f>
        <v>1.01669436810294</v>
      </c>
      <c r="AS65" s="24" t="n">
        <f aca="false">IFERROR(AVERAGEIFS($AR$7:$AR$294,$B$7:$B$294,$B65,$A$7:$A$294,"&gt;="&amp;EDATE($A65,-12*'Seasonal Factors'!$E$4),$A$7:$A$294,"&lt;="&amp;EDATE($A65,12*'Seasonal Factors'!$E$4)),"")</f>
        <v>1.01906247343767</v>
      </c>
      <c r="AT65" s="24" t="n">
        <f aca="false">IFERROR(AS65/AVERAGE(AS60:AS71),"")</f>
        <v>1.01889624181565</v>
      </c>
      <c r="AU65" s="23" t="n">
        <f aca="false">IF(ISNUMBER(Tabelle1!P72),(0.5*Tabelle1!P60+SUM(Tabelle1!P61:P71)+0.5*Tabelle1!P72)/12,"")</f>
        <v>120.995470833333</v>
      </c>
      <c r="AV65" s="24" t="n">
        <f aca="false">IFERROR(Tabelle1!P66/AU65,"")</f>
        <v>1.00716629441329</v>
      </c>
      <c r="AW65" s="24" t="n">
        <f aca="false">IFERROR(AVERAGEIFS($AV$7:$AV$294,$B$7:$B$294,$B65,$A$7:$A$294,"&gt;="&amp;EDATE($A65,-12*'Seasonal Factors'!$E$4),$A$7:$A$294,"&lt;="&amp;EDATE($A65,12*'Seasonal Factors'!$E$4)),"")</f>
        <v>1.00509092235704</v>
      </c>
      <c r="AX65" s="24" t="n">
        <f aca="false">IFERROR(AW65/AVERAGE(AW60:AW71),"")</f>
        <v>1.00503766800741</v>
      </c>
      <c r="AY65" s="23" t="n">
        <f aca="false">IF(ISNUMBER(Tabelle1!Q72),(0.5*Tabelle1!Q60+SUM(Tabelle1!Q61:Q71)+0.5*Tabelle1!Q72)/12,"")</f>
        <v>123.41658875</v>
      </c>
      <c r="AZ65" s="24" t="n">
        <f aca="false">IFERROR(Tabelle1!Q66/AY65,"")</f>
        <v>1.01467267300402</v>
      </c>
      <c r="BA65" s="24" t="n">
        <f aca="false">IFERROR(AVERAGEIFS($AZ$7:$AZ$294,$B$7:$B$294,$B65,$A$7:$A$294,"&gt;="&amp;EDATE($A65,-12*'Seasonal Factors'!$E$4),$A$7:$A$294,"&lt;="&amp;EDATE($A65,12*'Seasonal Factors'!$E$4)),"")</f>
        <v>1.01137304034682</v>
      </c>
      <c r="BB65" s="24" t="n">
        <f aca="false">IFERROR(BA65/AVERAGE(BA60:BA71),"")</f>
        <v>1.01132174640891</v>
      </c>
      <c r="BC65" s="23" t="n">
        <f aca="false">IF(ISNUMBER(Tabelle1!R72),(0.5*Tabelle1!R60+SUM(Tabelle1!R61:R71)+0.5*Tabelle1!R72)/12,"")</f>
        <v>130.97843375</v>
      </c>
      <c r="BD65" s="24" t="n">
        <f aca="false">IFERROR(Tabelle1!R66/BC65,"")</f>
        <v>0.962266965572109</v>
      </c>
      <c r="BE65" s="24" t="n">
        <f aca="false">IFERROR(AVERAGEIFS($BD$7:$BD$294,$B$7:$B$294,$B65,$A$7:$A$294,"&gt;="&amp;EDATE($A65,-12*'Seasonal Factors'!$E$4),$A$7:$A$294,"&lt;="&amp;EDATE($A65,12*'Seasonal Factors'!$E$4)),"")</f>
        <v>0.962480439433599</v>
      </c>
      <c r="BF65" s="24" t="n">
        <f aca="false">IFERROR(BE65/AVERAGE(BE60:BE71),"")</f>
        <v>0.961802813204118</v>
      </c>
      <c r="BG65" s="23" t="n">
        <f aca="false">IF(ISNUMBER(Tabelle1!S72),(0.5*Tabelle1!S60+SUM(Tabelle1!S61:S71)+0.5*Tabelle1!S72)/12,"")</f>
        <v>137.515260416667</v>
      </c>
      <c r="BH65" s="24" t="n">
        <f aca="false">IFERROR(Tabelle1!S66/BG65,"")</f>
        <v>0.952808870833654</v>
      </c>
      <c r="BI65" s="24" t="n">
        <f aca="false">IFERROR(AVERAGEIFS($BH$7:$BH$294,$B$7:$B$294,$B65,$A$7:$A$294,"&gt;="&amp;EDATE($A65,-12*'Seasonal Factors'!$E$4),$A$7:$A$294,"&lt;="&amp;EDATE($A65,12*'Seasonal Factors'!$E$4)),"")</f>
        <v>0.972401684675774</v>
      </c>
      <c r="BJ65" s="24" t="n">
        <f aca="false">IFERROR(BI65/AVERAGE(BI60:BI71),"")</f>
        <v>0.97278206622217</v>
      </c>
    </row>
    <row r="66" customFormat="false" ht="15" hidden="false" customHeight="false" outlineLevel="0" collapsed="false">
      <c r="A66" s="20" t="n">
        <v>39813</v>
      </c>
      <c r="B66" s="22" t="n">
        <f aca="false">MONTH(A66)</f>
        <v>12</v>
      </c>
      <c r="C66" s="23" t="n">
        <f aca="false">IF(ISNUMBER(Tabelle1!E73),(0.5*Tabelle1!E61+SUM(Tabelle1!E62:E72)+0.5*Tabelle1!E73)/12,"")</f>
        <v>99.3456566666667</v>
      </c>
      <c r="D66" s="24" t="n">
        <f aca="false">IFERROR(Tabelle1!E67/C66,"")</f>
        <v>0.799194073137974</v>
      </c>
      <c r="E66" s="24" t="n">
        <f aca="false">IFERROR(AVERAGEIFS($D$7:$D$294,$B$7:$B$294,$B66,$A$7:$A$294,"&gt;="&amp;EDATE($A66,-12*'Seasonal Factors'!$E$4),$A$7:$A$294,"&lt;="&amp;EDATE($A66,12*'Seasonal Factors'!$E$4)),"")</f>
        <v>0.769873617796829</v>
      </c>
      <c r="F66" s="24" t="n">
        <f aca="false">IFERROR(E66/AVERAGE(E61:E72),"")</f>
        <v>0.768084991318286</v>
      </c>
      <c r="G66" s="23" t="n">
        <f aca="false">IF(ISNUMBER(Tabelle1!F73),(0.5*Tabelle1!F61+SUM(Tabelle1!F62:F72)+0.5*Tabelle1!F73)/12,"")</f>
        <v>117.695200416667</v>
      </c>
      <c r="H66" s="24" t="n">
        <f aca="false">IFERROR(Tabelle1!F67/G66,"")</f>
        <v>0.675838179623305</v>
      </c>
      <c r="I66" s="24" t="n">
        <f aca="false">IFERROR(AVERAGEIFS($H$7:$H$294,$B$7:$B$294,$B66,$A$7:$A$294,"&gt;="&amp;EDATE($A66,-12*'Seasonal Factors'!$E$4),$A$7:$A$294,"&lt;="&amp;EDATE($A66,12*'Seasonal Factors'!$E$4)),"")</f>
        <v>0.657268592258354</v>
      </c>
      <c r="J66" s="24" t="n">
        <f aca="false">IFERROR(I66/AVERAGE(I61:I72),"")</f>
        <v>0.668270199740504</v>
      </c>
      <c r="K66" s="23" t="n">
        <f aca="false">IF(ISNUMBER(Tabelle1!G73),(0.5*Tabelle1!G61+SUM(Tabelle1!G62:G72)+0.5*Tabelle1!G73)/12,"")</f>
        <v>103.159745416667</v>
      </c>
      <c r="L66" s="24" t="n">
        <f aca="false">IFERROR(Tabelle1!G67/K66,"")</f>
        <v>1.0118799690556</v>
      </c>
      <c r="M66" s="24" t="n">
        <f aca="false">IFERROR(AVERAGEIFS($L$7:$L$294,$B$7:$B$294,$B66,$A$7:$A$294,"&gt;="&amp;EDATE($A66,-12*'Seasonal Factors'!$E$4),$A$7:$A$294,"&lt;="&amp;EDATE($A66,12*'Seasonal Factors'!$E$4)),"")</f>
        <v>0.999499221117819</v>
      </c>
      <c r="N66" s="24" t="n">
        <f aca="false">IFERROR(M66/AVERAGE(M61:M72),"")</f>
        <v>0.999735386403018</v>
      </c>
      <c r="O66" s="23" t="n">
        <f aca="false">IF(ISNUMBER(Tabelle1!H73),(0.5*Tabelle1!H61+SUM(Tabelle1!H62:H72)+0.5*Tabelle1!H73)/12,"")</f>
        <v>123.6139625</v>
      </c>
      <c r="P66" s="24" t="n">
        <f aca="false">IFERROR(Tabelle1!H67/O66,"")</f>
        <v>0.958543983249465</v>
      </c>
      <c r="Q66" s="24" t="n">
        <f aca="false">IFERROR(AVERAGEIFS($P$7:$P$294,$B$7:$B$294,$B66,$A$7:$A$294,"&gt;="&amp;EDATE($A66,-12*'Seasonal Factors'!$E$4),$A$7:$A$294,"&lt;="&amp;EDATE($A66,12*'Seasonal Factors'!$E$4)),"")</f>
        <v>0.988377051649917</v>
      </c>
      <c r="R66" s="24" t="n">
        <f aca="false">IFERROR(Q66/AVERAGE(Q61:Q72),"")</f>
        <v>0.988771226605425</v>
      </c>
      <c r="S66" s="23" t="n">
        <f aca="false">IF(ISNUMBER(Tabelle1!I73),(0.5*Tabelle1!I61+SUM(Tabelle1!I62:I72)+0.5*Tabelle1!I73)/12,"")</f>
        <v>120.864971666667</v>
      </c>
      <c r="T66" s="24" t="n">
        <f aca="false">IFERROR(Tabelle1!I67/S66,"")</f>
        <v>1.00417994003032</v>
      </c>
      <c r="U66" s="24" t="n">
        <f aca="false">IFERROR(AVERAGEIFS($T$7:$T$294,$B$7:$B$294,$B66,$A$7:$A$294,"&gt;="&amp;EDATE($A66,-12*'Seasonal Factors'!$E$4),$A$7:$A$294,"&lt;="&amp;EDATE($A66,12*'Seasonal Factors'!$E$4)),"")</f>
        <v>1.01554511201423</v>
      </c>
      <c r="V66" s="24" t="n">
        <f aca="false">IFERROR(U66/AVERAGE(U61:U72),"")</f>
        <v>1.01615203938639</v>
      </c>
      <c r="W66" s="23" t="n">
        <f aca="false">IF(ISNUMBER(Tabelle1!J73),(0.5*Tabelle1!J61+SUM(Tabelle1!J62:J72)+0.5*Tabelle1!J73)/12,"")</f>
        <v>134.489441666667</v>
      </c>
      <c r="X66" s="24" t="n">
        <f aca="false">IFERROR(Tabelle1!J67/W66,"")</f>
        <v>0.96293893702808</v>
      </c>
      <c r="Y66" s="24" t="n">
        <f aca="false">IFERROR(AVERAGEIFS($X$7:$X$294,$B$7:$B$294,$B66,$A$7:$A$294,"&gt;="&amp;EDATE($A66,-12*'Seasonal Factors'!$E$4),$A$7:$A$294,"&lt;="&amp;EDATE($A66,12*'Seasonal Factors'!$E$4)),"")</f>
        <v>0.962480676678993</v>
      </c>
      <c r="Z66" s="24" t="n">
        <f aca="false">IFERROR(Y66/AVERAGE(Y61:Y72),"")</f>
        <v>0.962598329096998</v>
      </c>
      <c r="AA66" s="23" t="n">
        <f aca="false">IF(ISNUMBER(Tabelle1!K73),(0.5*Tabelle1!K61+SUM(Tabelle1!K62:K72)+0.5*Tabelle1!K73)/12,"")</f>
        <v>134.891607083333</v>
      </c>
      <c r="AB66" s="24" t="n">
        <f aca="false">IFERROR(Tabelle1!K67/AA66,"")</f>
        <v>0.934334112589665</v>
      </c>
      <c r="AC66" s="24" t="n">
        <f aca="false">IFERROR(AVERAGEIFS($AB$7:$AB$294,$B$7:$B$294,$B66,$A$7:$A$294,"&gt;="&amp;EDATE($A66,-12*'Seasonal Factors'!$E$4),$A$7:$A$294,"&lt;="&amp;EDATE($A66,12*'Seasonal Factors'!$E$4)),"")</f>
        <v>0.948580654500094</v>
      </c>
      <c r="AD66" s="24" t="n">
        <f aca="false">IFERROR(AC66/AVERAGE(AC61:AC72),"")</f>
        <v>0.94928472491704</v>
      </c>
      <c r="AE66" s="23" t="n">
        <f aca="false">IF(ISNUMBER(Tabelle1!L73),(0.5*Tabelle1!L61+SUM(Tabelle1!L62:L72)+0.5*Tabelle1!L73)/12,"")</f>
        <v>136.19022</v>
      </c>
      <c r="AF66" s="24" t="n">
        <f aca="false">IFERROR(Tabelle1!L67/AE66,"")</f>
        <v>0.987894652053577</v>
      </c>
      <c r="AG66" s="24" t="n">
        <f aca="false">IFERROR(AVERAGEIFS($AF$7:$AF$294,$B$7:$B$294,$B66,$A$7:$A$294,"&gt;="&amp;EDATE($A66,-12*'Seasonal Factors'!$E$4),$A$7:$A$294,"&lt;="&amp;EDATE($A66,12*'Seasonal Factors'!$E$4)),"")</f>
        <v>1.0043209224055</v>
      </c>
      <c r="AH66" s="24" t="n">
        <f aca="false">IFERROR(AG66/AVERAGE(AG61:AG72),"")</f>
        <v>1.00438597528253</v>
      </c>
      <c r="AI66" s="23" t="n">
        <f aca="false">IF(ISNUMBER(Tabelle1!M73),(0.5*Tabelle1!M61+SUM(Tabelle1!M62:M72)+0.5*Tabelle1!M73)/12,"")</f>
        <v>152.235533333333</v>
      </c>
      <c r="AJ66" s="24" t="n">
        <f aca="false">IFERROR(Tabelle1!M67/AI66,"")</f>
        <v>0.980971240617061</v>
      </c>
      <c r="AK66" s="24" t="n">
        <f aca="false">IFERROR(AVERAGEIFS($AJ$7:$AJ$294,$B$7:$B$294,$B66,$A$7:$A$294,"&gt;="&amp;EDATE($A66,-12*'Seasonal Factors'!$E$4),$A$7:$A$294,"&lt;="&amp;EDATE($A66,12*'Seasonal Factors'!$E$4)),"")</f>
        <v>0.984055356711156</v>
      </c>
      <c r="AL66" s="24" t="n">
        <f aca="false">IFERROR(AK66/AVERAGE(AK61:AK72),"")</f>
        <v>0.98414376193075</v>
      </c>
      <c r="AM66" s="23" t="n">
        <f aca="false">IF(ISNUMBER(Tabelle1!N73),(0.5*Tabelle1!N61+SUM(Tabelle1!N62:N72)+0.5*Tabelle1!N73)/12,"")</f>
        <v>150.6801</v>
      </c>
      <c r="AN66" s="24" t="n">
        <f aca="false">IFERROR(Tabelle1!N67/AM66,"")</f>
        <v>0.998572007849743</v>
      </c>
      <c r="AO66" s="24" t="n">
        <f aca="false">IFERROR(AVERAGEIFS($AN$7:$AN$294,$B$7:$B$294,$B66,$A$7:$A$294,"&gt;="&amp;EDATE($A66,-12*'Seasonal Factors'!$E$4),$A$7:$A$294,"&lt;="&amp;EDATE($A66,12*'Seasonal Factors'!$E$4)),"")</f>
        <v>1.01822140110235</v>
      </c>
      <c r="AP66" s="24" t="n">
        <f aca="false">IFERROR(AO66/AVERAGE(AO61:AO72),"")</f>
        <v>1.01816959472011</v>
      </c>
      <c r="AQ66" s="23" t="n">
        <f aca="false">IF(ISNUMBER(Tabelle1!O73),(0.5*Tabelle1!O61+SUM(Tabelle1!O62:O72)+0.5*Tabelle1!O73)/12,"")</f>
        <v>123.941115416667</v>
      </c>
      <c r="AR66" s="24" t="n">
        <f aca="false">IFERROR(Tabelle1!O67/AQ66,"")</f>
        <v>1.03798815725924</v>
      </c>
      <c r="AS66" s="24" t="n">
        <f aca="false">IFERROR(AVERAGEIFS($AR$7:$AR$294,$B$7:$B$294,$B66,$A$7:$A$294,"&gt;="&amp;EDATE($A66,-12*'Seasonal Factors'!$E$4),$A$7:$A$294,"&lt;="&amp;EDATE($A66,12*'Seasonal Factors'!$E$4)),"")</f>
        <v>1.04031210473117</v>
      </c>
      <c r="AT66" s="24" t="n">
        <f aca="false">IFERROR(AS66/AVERAGE(AS61:AS72),"")</f>
        <v>1.04023811603651</v>
      </c>
      <c r="AU66" s="23" t="n">
        <f aca="false">IF(ISNUMBER(Tabelle1!P73),(0.5*Tabelle1!P61+SUM(Tabelle1!P62:P72)+0.5*Tabelle1!P73)/12,"")</f>
        <v>121.126646666667</v>
      </c>
      <c r="AV66" s="24" t="n">
        <f aca="false">IFERROR(Tabelle1!P67/AU66,"")</f>
        <v>1.02050237005378</v>
      </c>
      <c r="AW66" s="24" t="n">
        <f aca="false">IFERROR(AVERAGEIFS($AV$7:$AV$294,$B$7:$B$294,$B66,$A$7:$A$294,"&gt;="&amp;EDATE($A66,-12*'Seasonal Factors'!$E$4),$A$7:$A$294,"&lt;="&amp;EDATE($A66,12*'Seasonal Factors'!$E$4)),"")</f>
        <v>1.01307933350523</v>
      </c>
      <c r="AX66" s="24" t="n">
        <f aca="false">IFERROR(AW66/AVERAGE(AW61:AW72),"")</f>
        <v>1.01304689414107</v>
      </c>
      <c r="AY66" s="23" t="n">
        <f aca="false">IF(ISNUMBER(Tabelle1!Q73),(0.5*Tabelle1!Q61+SUM(Tabelle1!Q62:Q72)+0.5*Tabelle1!Q73)/12,"")</f>
        <v>123.574656666667</v>
      </c>
      <c r="AZ66" s="24" t="n">
        <f aca="false">IFERROR(Tabelle1!Q67/AY66,"")</f>
        <v>1.02475558836943</v>
      </c>
      <c r="BA66" s="24" t="n">
        <f aca="false">IFERROR(AVERAGEIFS($AZ$7:$AZ$294,$B$7:$B$294,$B66,$A$7:$A$294,"&gt;="&amp;EDATE($A66,-12*'Seasonal Factors'!$E$4),$A$7:$A$294,"&lt;="&amp;EDATE($A66,12*'Seasonal Factors'!$E$4)),"")</f>
        <v>1.01864643862261</v>
      </c>
      <c r="BB66" s="24" t="n">
        <f aca="false">IFERROR(BA66/AVERAGE(BA61:BA72),"")</f>
        <v>1.01865273962352</v>
      </c>
      <c r="BC66" s="23" t="n">
        <f aca="false">IF(ISNUMBER(Tabelle1!R73),(0.5*Tabelle1!R61+SUM(Tabelle1!R62:R72)+0.5*Tabelle1!R73)/12,"")</f>
        <v>131.750176666667</v>
      </c>
      <c r="BD66" s="24" t="n">
        <f aca="false">IFERROR(Tabelle1!R67/BC66,"")</f>
        <v>0.926322173432633</v>
      </c>
      <c r="BE66" s="24" t="n">
        <f aca="false">IFERROR(AVERAGEIFS($BD$7:$BD$294,$B$7:$B$294,$B66,$A$7:$A$294,"&gt;="&amp;EDATE($A66,-12*'Seasonal Factors'!$E$4),$A$7:$A$294,"&lt;="&amp;EDATE($A66,12*'Seasonal Factors'!$E$4)),"")</f>
        <v>0.931074302140814</v>
      </c>
      <c r="BF66" s="24" t="n">
        <f aca="false">IFERROR(BE66/AVERAGE(BE61:BE72),"")</f>
        <v>0.93026558225928</v>
      </c>
      <c r="BG66" s="23" t="n">
        <f aca="false">IF(ISNUMBER(Tabelle1!S73),(0.5*Tabelle1!S61+SUM(Tabelle1!S62:S72)+0.5*Tabelle1!S73)/12,"")</f>
        <v>137.259094166667</v>
      </c>
      <c r="BH66" s="24" t="n">
        <f aca="false">IFERROR(Tabelle1!S67/BG66,"")</f>
        <v>0.977367298061179</v>
      </c>
      <c r="BI66" s="24" t="n">
        <f aca="false">IFERROR(AVERAGEIFS($BH$7:$BH$294,$B$7:$B$294,$B66,$A$7:$A$294,"&gt;="&amp;EDATE($A66,-12*'Seasonal Factors'!$E$4),$A$7:$A$294,"&lt;="&amp;EDATE($A66,12*'Seasonal Factors'!$E$4)),"")</f>
        <v>0.984203288457519</v>
      </c>
      <c r="BJ66" s="24" t="n">
        <f aca="false">IFERROR(BI66/AVERAGE(BI61:BI72),"")</f>
        <v>0.984344533620633</v>
      </c>
    </row>
    <row r="67" customFormat="false" ht="15" hidden="false" customHeight="false" outlineLevel="0" collapsed="false">
      <c r="A67" s="20" t="n">
        <v>39844</v>
      </c>
      <c r="B67" s="22" t="n">
        <f aca="false">MONTH(A67)</f>
        <v>1</v>
      </c>
      <c r="C67" s="23" t="n">
        <f aca="false">IF(ISNUMBER(Tabelle1!E74),(0.5*Tabelle1!E62+SUM(Tabelle1!E63:E73)+0.5*Tabelle1!E74)/12,"")</f>
        <v>95.0071608333333</v>
      </c>
      <c r="D67" s="24" t="n">
        <f aca="false">IFERROR(Tabelle1!E68/C67,"")</f>
        <v>0.616270494628418</v>
      </c>
      <c r="E67" s="24" t="n">
        <f aca="false">IFERROR(AVERAGEIFS($D$7:$D$294,$B$7:$B$294,$B67,$A$7:$A$294,"&gt;="&amp;EDATE($A67,-12*'Seasonal Factors'!$E$4),$A$7:$A$294,"&lt;="&amp;EDATE($A67,12*'Seasonal Factors'!$E$4)),"")</f>
        <v>0.557121621860711</v>
      </c>
      <c r="F67" s="24" t="n">
        <f aca="false">IFERROR(E67/AVERAGE(E62:E73),"")</f>
        <v>0.55617874193513</v>
      </c>
      <c r="G67" s="23" t="n">
        <f aca="false">IF(ISNUMBER(Tabelle1!F74),(0.5*Tabelle1!F62+SUM(Tabelle1!F63:F73)+0.5*Tabelle1!F74)/12,"")</f>
        <v>110.333019166667</v>
      </c>
      <c r="H67" s="24" t="n">
        <f aca="false">IFERROR(Tabelle1!F68/G67,"")</f>
        <v>0.315820053354684</v>
      </c>
      <c r="I67" s="24" t="n">
        <f aca="false">IFERROR(AVERAGEIFS($H$7:$H$294,$B$7:$B$294,$B67,$A$7:$A$294,"&gt;="&amp;EDATE($A67,-12*'Seasonal Factors'!$E$4),$A$7:$A$294,"&lt;="&amp;EDATE($A67,12*'Seasonal Factors'!$E$4)),"")</f>
        <v>0.316660564162107</v>
      </c>
      <c r="J67" s="24" t="n">
        <f aca="false">IFERROR(I67/AVERAGE(I62:I73),"")</f>
        <v>0.319718110700344</v>
      </c>
      <c r="K67" s="23" t="n">
        <f aca="false">IF(ISNUMBER(Tabelle1!G74),(0.5*Tabelle1!G62+SUM(Tabelle1!G63:G73)+0.5*Tabelle1!G74)/12,"")</f>
        <v>103.2329675</v>
      </c>
      <c r="L67" s="24" t="n">
        <f aca="false">IFERROR(Tabelle1!G68/K67,"")</f>
        <v>1.0163441247584</v>
      </c>
      <c r="M67" s="24" t="n">
        <f aca="false">IFERROR(AVERAGEIFS($L$7:$L$294,$B$7:$B$294,$B67,$A$7:$A$294,"&gt;="&amp;EDATE($A67,-12*'Seasonal Factors'!$E$4),$A$7:$A$294,"&lt;="&amp;EDATE($A67,12*'Seasonal Factors'!$E$4)),"")</f>
        <v>1.00155680866424</v>
      </c>
      <c r="N67" s="24" t="n">
        <f aca="false">IFERROR(M67/AVERAGE(M62:M73),"")</f>
        <v>1.00163646012173</v>
      </c>
      <c r="O67" s="23" t="n">
        <f aca="false">IF(ISNUMBER(Tabelle1!H74),(0.5*Tabelle1!H62+SUM(Tabelle1!H63:H73)+0.5*Tabelle1!H74)/12,"")</f>
        <v>122.775388333333</v>
      </c>
      <c r="P67" s="24" t="n">
        <f aca="false">IFERROR(Tabelle1!H68/O67,"")</f>
        <v>0.856777823535833</v>
      </c>
      <c r="Q67" s="24" t="n">
        <f aca="false">IFERROR(AVERAGEIFS($P$7:$P$294,$B$7:$B$294,$B67,$A$7:$A$294,"&gt;="&amp;EDATE($A67,-12*'Seasonal Factors'!$E$4),$A$7:$A$294,"&lt;="&amp;EDATE($A67,12*'Seasonal Factors'!$E$4)),"")</f>
        <v>0.902630606801472</v>
      </c>
      <c r="R67" s="24" t="n">
        <f aca="false">IFERROR(Q67/AVERAGE(Q62:Q73),"")</f>
        <v>0.90307341398934</v>
      </c>
      <c r="S67" s="23" t="n">
        <f aca="false">IF(ISNUMBER(Tabelle1!I74),(0.5*Tabelle1!I62+SUM(Tabelle1!I63:I73)+0.5*Tabelle1!I74)/12,"")</f>
        <v>121.222243333333</v>
      </c>
      <c r="T67" s="24" t="n">
        <f aca="false">IFERROR(Tabelle1!I68/S67,"")</f>
        <v>1.02546097631752</v>
      </c>
      <c r="U67" s="24" t="n">
        <f aca="false">IFERROR(AVERAGEIFS($T$7:$T$294,$B$7:$B$294,$B67,$A$7:$A$294,"&gt;="&amp;EDATE($A67,-12*'Seasonal Factors'!$E$4),$A$7:$A$294,"&lt;="&amp;EDATE($A67,12*'Seasonal Factors'!$E$4)),"")</f>
        <v>1.04671744641251</v>
      </c>
      <c r="V67" s="24" t="n">
        <f aca="false">IFERROR(U67/AVERAGE(U62:U73),"")</f>
        <v>1.04728369902504</v>
      </c>
      <c r="W67" s="23" t="n">
        <f aca="false">IF(ISNUMBER(Tabelle1!J74),(0.5*Tabelle1!J62+SUM(Tabelle1!J63:J73)+0.5*Tabelle1!J74)/12,"")</f>
        <v>132.642721666667</v>
      </c>
      <c r="X67" s="24" t="n">
        <f aca="false">IFERROR(Tabelle1!J68/W67,"")</f>
        <v>0.949864481193484</v>
      </c>
      <c r="Y67" s="24" t="n">
        <f aca="false">IFERROR(AVERAGEIFS($X$7:$X$294,$B$7:$B$294,$B67,$A$7:$A$294,"&gt;="&amp;EDATE($A67,-12*'Seasonal Factors'!$E$4),$A$7:$A$294,"&lt;="&amp;EDATE($A67,12*'Seasonal Factors'!$E$4)),"")</f>
        <v>0.996664667798912</v>
      </c>
      <c r="Z67" s="24" t="n">
        <f aca="false">IFERROR(Y67/AVERAGE(Y62:Y73),"")</f>
        <v>0.996474238175021</v>
      </c>
      <c r="AA67" s="23" t="n">
        <f aca="false">IF(ISNUMBER(Tabelle1!K74),(0.5*Tabelle1!K62+SUM(Tabelle1!K63:K73)+0.5*Tabelle1!K74)/12,"")</f>
        <v>133.782629166667</v>
      </c>
      <c r="AB67" s="24" t="n">
        <f aca="false">IFERROR(Tabelle1!K68/AA67,"")</f>
        <v>0.898966635273494</v>
      </c>
      <c r="AC67" s="24" t="n">
        <f aca="false">IFERROR(AVERAGEIFS($AB$7:$AB$294,$B$7:$B$294,$B67,$A$7:$A$294,"&gt;="&amp;EDATE($A67,-12*'Seasonal Factors'!$E$4),$A$7:$A$294,"&lt;="&amp;EDATE($A67,12*'Seasonal Factors'!$E$4)),"")</f>
        <v>0.926924797190499</v>
      </c>
      <c r="AD67" s="24" t="n">
        <f aca="false">IFERROR(AC67/AVERAGE(AC62:AC73),"")</f>
        <v>0.927412092937682</v>
      </c>
      <c r="AE67" s="23" t="n">
        <f aca="false">IF(ISNUMBER(Tabelle1!L74),(0.5*Tabelle1!L62+SUM(Tabelle1!L63:L73)+0.5*Tabelle1!L74)/12,"")</f>
        <v>135.81340375</v>
      </c>
      <c r="AF67" s="24" t="n">
        <f aca="false">IFERROR(Tabelle1!L68/AE67,"")</f>
        <v>1.07807304696905</v>
      </c>
      <c r="AG67" s="24" t="n">
        <f aca="false">IFERROR(AVERAGEIFS($AF$7:$AF$294,$B$7:$B$294,$B67,$A$7:$A$294,"&gt;="&amp;EDATE($A67,-12*'Seasonal Factors'!$E$4),$A$7:$A$294,"&lt;="&amp;EDATE($A67,12*'Seasonal Factors'!$E$4)),"")</f>
        <v>1.09336608546912</v>
      </c>
      <c r="AH67" s="24" t="n">
        <f aca="false">IFERROR(AG67/AVERAGE(AG62:AG73),"")</f>
        <v>1.09287242097609</v>
      </c>
      <c r="AI67" s="23" t="n">
        <f aca="false">IF(ISNUMBER(Tabelle1!M74),(0.5*Tabelle1!M62+SUM(Tabelle1!M63:M73)+0.5*Tabelle1!M74)/12,"")</f>
        <v>152.149945833333</v>
      </c>
      <c r="AJ67" s="24" t="n">
        <f aca="false">IFERROR(Tabelle1!M68/AI67,"")</f>
        <v>0.964986804272879</v>
      </c>
      <c r="AK67" s="24" t="n">
        <f aca="false">IFERROR(AVERAGEIFS($AJ$7:$AJ$294,$B$7:$B$294,$B67,$A$7:$A$294,"&gt;="&amp;EDATE($A67,-12*'Seasonal Factors'!$E$4),$A$7:$A$294,"&lt;="&amp;EDATE($A67,12*'Seasonal Factors'!$E$4)),"")</f>
        <v>0.982168774193953</v>
      </c>
      <c r="AL67" s="24" t="n">
        <f aca="false">IFERROR(AK67/AVERAGE(AK62:AK73),"")</f>
        <v>0.981983458623786</v>
      </c>
      <c r="AM67" s="23" t="n">
        <f aca="false">IF(ISNUMBER(Tabelle1!N74),(0.5*Tabelle1!N62+SUM(Tabelle1!N63:N73)+0.5*Tabelle1!N74)/12,"")</f>
        <v>150.892129166667</v>
      </c>
      <c r="AN67" s="24" t="n">
        <f aca="false">IFERROR(Tabelle1!N68/AM67,"")</f>
        <v>1.01013148162052</v>
      </c>
      <c r="AO67" s="24" t="n">
        <f aca="false">IFERROR(AVERAGEIFS($AN$7:$AN$294,$B$7:$B$294,$B67,$A$7:$A$294,"&gt;="&amp;EDATE($A67,-12*'Seasonal Factors'!$E$4),$A$7:$A$294,"&lt;="&amp;EDATE($A67,12*'Seasonal Factors'!$E$4)),"")</f>
        <v>1.01688365940307</v>
      </c>
      <c r="AP67" s="24" t="n">
        <f aca="false">IFERROR(AO67/AVERAGE(AO62:AO73),"")</f>
        <v>1.01677731216961</v>
      </c>
      <c r="AQ67" s="23" t="n">
        <f aca="false">IF(ISNUMBER(Tabelle1!O74),(0.5*Tabelle1!O62+SUM(Tabelle1!O63:O73)+0.5*Tabelle1!O74)/12,"")</f>
        <v>123.486866666667</v>
      </c>
      <c r="AR67" s="24" t="n">
        <f aca="false">IFERROR(Tabelle1!O68/AQ67,"")</f>
        <v>0.941257504846669</v>
      </c>
      <c r="AS67" s="24" t="n">
        <f aca="false">IFERROR(AVERAGEIFS($AR$7:$AR$294,$B$7:$B$294,$B67,$A$7:$A$294,"&gt;="&amp;EDATE($A67,-12*'Seasonal Factors'!$E$4),$A$7:$A$294,"&lt;="&amp;EDATE($A67,12*'Seasonal Factors'!$E$4)),"")</f>
        <v>0.947659849592676</v>
      </c>
      <c r="AT67" s="24" t="n">
        <f aca="false">IFERROR(AS67/AVERAGE(AS62:AS73),"")</f>
        <v>0.947563415094556</v>
      </c>
      <c r="AU67" s="23" t="n">
        <f aca="false">IF(ISNUMBER(Tabelle1!P74),(0.5*Tabelle1!P62+SUM(Tabelle1!P63:P73)+0.5*Tabelle1!P74)/12,"")</f>
        <v>121.368598333333</v>
      </c>
      <c r="AV67" s="24" t="n">
        <f aca="false">IFERROR(Tabelle1!P68/AU67,"")</f>
        <v>0.98039148209657</v>
      </c>
      <c r="AW67" s="24" t="n">
        <f aca="false">IFERROR(AVERAGEIFS($AV$7:$AV$294,$B$7:$B$294,$B67,$A$7:$A$294,"&gt;="&amp;EDATE($A67,-12*'Seasonal Factors'!$E$4),$A$7:$A$294,"&lt;="&amp;EDATE($A67,12*'Seasonal Factors'!$E$4)),"")</f>
        <v>0.990802390565315</v>
      </c>
      <c r="AX67" s="24" t="n">
        <f aca="false">IFERROR(AW67/AVERAGE(AW62:AW73),"")</f>
        <v>0.990783969507526</v>
      </c>
      <c r="AY67" s="23" t="n">
        <f aca="false">IF(ISNUMBER(Tabelle1!Q74),(0.5*Tabelle1!Q62+SUM(Tabelle1!Q63:Q73)+0.5*Tabelle1!Q74)/12,"")</f>
        <v>123.82963</v>
      </c>
      <c r="AZ67" s="24" t="n">
        <f aca="false">IFERROR(Tabelle1!Q68/AY67,"")</f>
        <v>0.978975468149263</v>
      </c>
      <c r="BA67" s="24" t="n">
        <f aca="false">IFERROR(AVERAGEIFS($AZ$7:$AZ$294,$B$7:$B$294,$B67,$A$7:$A$294,"&gt;="&amp;EDATE($A67,-12*'Seasonal Factors'!$E$4),$A$7:$A$294,"&lt;="&amp;EDATE($A67,12*'Seasonal Factors'!$E$4)),"")</f>
        <v>0.977217191710148</v>
      </c>
      <c r="BB67" s="24" t="n">
        <f aca="false">IFERROR(BA67/AVERAGE(BA62:BA73),"")</f>
        <v>0.977173473171339</v>
      </c>
      <c r="BC67" s="23" t="n">
        <f aca="false">IF(ISNUMBER(Tabelle1!R74),(0.5*Tabelle1!R62+SUM(Tabelle1!R63:R73)+0.5*Tabelle1!R74)/12,"")</f>
        <v>132.50456875</v>
      </c>
      <c r="BD67" s="24" t="n">
        <f aca="false">IFERROR(Tabelle1!R68/BC67,"")</f>
        <v>0.994330091731271</v>
      </c>
      <c r="BE67" s="24" t="n">
        <f aca="false">IFERROR(AVERAGEIFS($BD$7:$BD$294,$B$7:$B$294,$B67,$A$7:$A$294,"&gt;="&amp;EDATE($A67,-12*'Seasonal Factors'!$E$4),$A$7:$A$294,"&lt;="&amp;EDATE($A67,12*'Seasonal Factors'!$E$4)),"")</f>
        <v>0.985577192180835</v>
      </c>
      <c r="BF67" s="24" t="n">
        <f aca="false">IFERROR(BE67/AVERAGE(BE62:BE73),"")</f>
        <v>0.984797323708287</v>
      </c>
      <c r="BG67" s="23" t="n">
        <f aca="false">IF(ISNUMBER(Tabelle1!S74),(0.5*Tabelle1!S62+SUM(Tabelle1!S63:S73)+0.5*Tabelle1!S74)/12,"")</f>
        <v>136.768559166667</v>
      </c>
      <c r="BH67" s="24" t="n">
        <f aca="false">IFERROR(Tabelle1!S68/BG67,"")</f>
        <v>0.996811846455622</v>
      </c>
      <c r="BI67" s="24" t="n">
        <f aca="false">IFERROR(AVERAGEIFS($BH$7:$BH$294,$B$7:$B$294,$B67,$A$7:$A$294,"&gt;="&amp;EDATE($A67,-12*'Seasonal Factors'!$E$4),$A$7:$A$294,"&lt;="&amp;EDATE($A67,12*'Seasonal Factors'!$E$4)),"")</f>
        <v>1.00920176160697</v>
      </c>
      <c r="BJ67" s="24" t="n">
        <f aca="false">IFERROR(BI67/AVERAGE(BI62:BI73),"")</f>
        <v>1.00906470563843</v>
      </c>
    </row>
    <row r="68" customFormat="false" ht="15" hidden="false" customHeight="false" outlineLevel="0" collapsed="false">
      <c r="A68" s="20" t="n">
        <v>39872</v>
      </c>
      <c r="B68" s="22" t="n">
        <f aca="false">MONTH(A68)</f>
        <v>2</v>
      </c>
      <c r="C68" s="23" t="n">
        <f aca="false">IF(ISNUMBER(Tabelle1!E75),(0.5*Tabelle1!E63+SUM(Tabelle1!E64:E74)+0.5*Tabelle1!E75)/12,"")</f>
        <v>93.8488470833333</v>
      </c>
      <c r="D68" s="24" t="n">
        <f aca="false">IFERROR(Tabelle1!E69/C68,"")</f>
        <v>0.66817027538249</v>
      </c>
      <c r="E68" s="24" t="n">
        <f aca="false">IFERROR(AVERAGEIFS($D$7:$D$294,$B$7:$B$294,$B68,$A$7:$A$294,"&gt;="&amp;EDATE($A68,-12*'Seasonal Factors'!$E$4),$A$7:$A$294,"&lt;="&amp;EDATE($A68,12*'Seasonal Factors'!$E$4)),"")</f>
        <v>0.57883330295192</v>
      </c>
      <c r="F68" s="24" t="n">
        <f aca="false">IFERROR(E68/AVERAGE(E63:E74),"")</f>
        <v>0.578252432316682</v>
      </c>
      <c r="G68" s="23" t="n">
        <f aca="false">IF(ISNUMBER(Tabelle1!F75),(0.5*Tabelle1!F63+SUM(Tabelle1!F64:F74)+0.5*Tabelle1!F75)/12,"")</f>
        <v>105.987163333333</v>
      </c>
      <c r="H68" s="24" t="n">
        <f aca="false">IFERROR(Tabelle1!F69/G68,"")</f>
        <v>0.501791710687983</v>
      </c>
      <c r="I68" s="24" t="n">
        <f aca="false">IFERROR(AVERAGEIFS($H$7:$H$294,$B$7:$B$294,$B68,$A$7:$A$294,"&gt;="&amp;EDATE($A68,-12*'Seasonal Factors'!$E$4),$A$7:$A$294,"&lt;="&amp;EDATE($A68,12*'Seasonal Factors'!$E$4)),"")</f>
        <v>0.676430519717349</v>
      </c>
      <c r="J68" s="24" t="n">
        <f aca="false">IFERROR(I68/AVERAGE(I63:I74),"")</f>
        <v>0.681433418221669</v>
      </c>
      <c r="K68" s="23" t="n">
        <f aca="false">IF(ISNUMBER(Tabelle1!G75),(0.5*Tabelle1!G63+SUM(Tabelle1!G64:G74)+0.5*Tabelle1!G75)/12,"")</f>
        <v>102.757370416667</v>
      </c>
      <c r="L68" s="24" t="n">
        <f aca="false">IFERROR(Tabelle1!G69/K68,"")</f>
        <v>0.950476249090145</v>
      </c>
      <c r="M68" s="24" t="n">
        <f aca="false">IFERROR(AVERAGEIFS($L$7:$L$294,$B$7:$B$294,$B68,$A$7:$A$294,"&gt;="&amp;EDATE($A68,-12*'Seasonal Factors'!$E$4),$A$7:$A$294,"&lt;="&amp;EDATE($A68,12*'Seasonal Factors'!$E$4)),"")</f>
        <v>0.93982723128872</v>
      </c>
      <c r="N68" s="24" t="n">
        <f aca="false">IFERROR(M68/AVERAGE(M63:M74),"")</f>
        <v>0.939931834826218</v>
      </c>
      <c r="O68" s="23" t="n">
        <f aca="false">IF(ISNUMBER(Tabelle1!H75),(0.5*Tabelle1!H63+SUM(Tabelle1!H64:H74)+0.5*Tabelle1!H75)/12,"")</f>
        <v>121.920545416667</v>
      </c>
      <c r="P68" s="24" t="n">
        <f aca="false">IFERROR(Tabelle1!H69/O68,"")</f>
        <v>0.846898032215373</v>
      </c>
      <c r="Q68" s="24" t="n">
        <f aca="false">IFERROR(AVERAGEIFS($P$7:$P$294,$B$7:$B$294,$B68,$A$7:$A$294,"&gt;="&amp;EDATE($A68,-12*'Seasonal Factors'!$E$4),$A$7:$A$294,"&lt;="&amp;EDATE($A68,12*'Seasonal Factors'!$E$4)),"")</f>
        <v>0.880185092288502</v>
      </c>
      <c r="R68" s="24" t="n">
        <f aca="false">IFERROR(Q68/AVERAGE(Q63:Q74),"")</f>
        <v>0.8802488055797</v>
      </c>
      <c r="S68" s="23" t="n">
        <f aca="false">IF(ISNUMBER(Tabelle1!I75),(0.5*Tabelle1!I63+SUM(Tabelle1!I64:I74)+0.5*Tabelle1!I75)/12,"")</f>
        <v>121.284965</v>
      </c>
      <c r="T68" s="24" t="n">
        <f aca="false">IFERROR(Tabelle1!I69/S68,"")</f>
        <v>0.935741045891385</v>
      </c>
      <c r="U68" s="24" t="n">
        <f aca="false">IFERROR(AVERAGEIFS($T$7:$T$294,$B$7:$B$294,$B68,$A$7:$A$294,"&gt;="&amp;EDATE($A68,-12*'Seasonal Factors'!$E$4),$A$7:$A$294,"&lt;="&amp;EDATE($A68,12*'Seasonal Factors'!$E$4)),"")</f>
        <v>0.964910456193194</v>
      </c>
      <c r="V68" s="24" t="n">
        <f aca="false">IFERROR(U68/AVERAGE(U63:U74),"")</f>
        <v>0.965273979718144</v>
      </c>
      <c r="W68" s="23" t="n">
        <f aca="false">IF(ISNUMBER(Tabelle1!J75),(0.5*Tabelle1!J63+SUM(Tabelle1!J64:J74)+0.5*Tabelle1!J75)/12,"")</f>
        <v>131.15315375</v>
      </c>
      <c r="X68" s="24" t="n">
        <f aca="false">IFERROR(Tabelle1!J69/W68,"")</f>
        <v>0.96499684819817</v>
      </c>
      <c r="Y68" s="24" t="n">
        <f aca="false">IFERROR(AVERAGEIFS($X$7:$X$294,$B$7:$B$294,$B68,$A$7:$A$294,"&gt;="&amp;EDATE($A68,-12*'Seasonal Factors'!$E$4),$A$7:$A$294,"&lt;="&amp;EDATE($A68,12*'Seasonal Factors'!$E$4)),"")</f>
        <v>1.00732937016798</v>
      </c>
      <c r="Z68" s="24" t="n">
        <f aca="false">IFERROR(Y68/AVERAGE(Y63:Y74),"")</f>
        <v>1.00701207208454</v>
      </c>
      <c r="AA68" s="23" t="n">
        <f aca="false">IF(ISNUMBER(Tabelle1!K75),(0.5*Tabelle1!K63+SUM(Tabelle1!K64:K74)+0.5*Tabelle1!K75)/12,"")</f>
        <v>132.63392375</v>
      </c>
      <c r="AB68" s="24" t="n">
        <f aca="false">IFERROR(Tabelle1!K69/AA68,"")</f>
        <v>0.887035810097566</v>
      </c>
      <c r="AC68" s="24" t="n">
        <f aca="false">IFERROR(AVERAGEIFS($AB$7:$AB$294,$B$7:$B$294,$B68,$A$7:$A$294,"&gt;="&amp;EDATE($A68,-12*'Seasonal Factors'!$E$4),$A$7:$A$294,"&lt;="&amp;EDATE($A68,12*'Seasonal Factors'!$E$4)),"")</f>
        <v>0.90720131128761</v>
      </c>
      <c r="AD68" s="24" t="n">
        <f aca="false">IFERROR(AC68/AVERAGE(AC63:AC74),"")</f>
        <v>0.907296116578637</v>
      </c>
      <c r="AE68" s="23" t="n">
        <f aca="false">IF(ISNUMBER(Tabelle1!L75),(0.5*Tabelle1!L63+SUM(Tabelle1!L64:L74)+0.5*Tabelle1!L75)/12,"")</f>
        <v>134.956281666667</v>
      </c>
      <c r="AF68" s="24" t="n">
        <f aca="false">IFERROR(Tabelle1!L69/AE68,"")</f>
        <v>1.03889406457047</v>
      </c>
      <c r="AG68" s="24" t="n">
        <f aca="false">IFERROR(AVERAGEIFS($AF$7:$AF$294,$B$7:$B$294,$B68,$A$7:$A$294,"&gt;="&amp;EDATE($A68,-12*'Seasonal Factors'!$E$4),$A$7:$A$294,"&lt;="&amp;EDATE($A68,12*'Seasonal Factors'!$E$4)),"")</f>
        <v>1.04154208893857</v>
      </c>
      <c r="AH68" s="24" t="n">
        <f aca="false">IFERROR(AG68/AVERAGE(AG63:AG74),"")</f>
        <v>1.04068256457209</v>
      </c>
      <c r="AI68" s="23" t="n">
        <f aca="false">IF(ISNUMBER(Tabelle1!M75),(0.5*Tabelle1!M63+SUM(Tabelle1!M64:M74)+0.5*Tabelle1!M75)/12,"")</f>
        <v>151.857850833333</v>
      </c>
      <c r="AJ68" s="24" t="n">
        <f aca="false">IFERROR(Tabelle1!M69/AI68,"")</f>
        <v>0.938347600852005</v>
      </c>
      <c r="AK68" s="24" t="n">
        <f aca="false">IFERROR(AVERAGEIFS($AJ$7:$AJ$294,$B$7:$B$294,$B68,$A$7:$A$294,"&gt;="&amp;EDATE($A68,-12*'Seasonal Factors'!$E$4),$A$7:$A$294,"&lt;="&amp;EDATE($A68,12*'Seasonal Factors'!$E$4)),"")</f>
        <v>0.936996073908315</v>
      </c>
      <c r="AL68" s="24" t="n">
        <f aca="false">IFERROR(AK68/AVERAGE(AK63:AK74),"")</f>
        <v>0.936516252807936</v>
      </c>
      <c r="AM68" s="23" t="n">
        <f aca="false">IF(ISNUMBER(Tabelle1!N75),(0.5*Tabelle1!N63+SUM(Tabelle1!N64:N74)+0.5*Tabelle1!N75)/12,"")</f>
        <v>150.749844166667</v>
      </c>
      <c r="AN68" s="24" t="n">
        <f aca="false">IFERROR(Tabelle1!N69/AM68,"")</f>
        <v>0.966960601556841</v>
      </c>
      <c r="AO68" s="24" t="n">
        <f aca="false">IFERROR(AVERAGEIFS($AN$7:$AN$294,$B$7:$B$294,$B68,$A$7:$A$294,"&gt;="&amp;EDATE($A68,-12*'Seasonal Factors'!$E$4),$A$7:$A$294,"&lt;="&amp;EDATE($A68,12*'Seasonal Factors'!$E$4)),"")</f>
        <v>0.972393632525256</v>
      </c>
      <c r="AP68" s="24" t="n">
        <f aca="false">IFERROR(AO68/AVERAGE(AO63:AO74),"")</f>
        <v>0.97219045877564</v>
      </c>
      <c r="AQ68" s="23" t="n">
        <f aca="false">IF(ISNUMBER(Tabelle1!O75),(0.5*Tabelle1!O63+SUM(Tabelle1!O64:O74)+0.5*Tabelle1!O75)/12,"")</f>
        <v>123.045536666667</v>
      </c>
      <c r="AR68" s="24" t="n">
        <f aca="false">IFERROR(Tabelle1!O69/AQ68,"")</f>
        <v>0.954167807955976</v>
      </c>
      <c r="AS68" s="24" t="n">
        <f aca="false">IFERROR(AVERAGEIFS($AR$7:$AR$294,$B$7:$B$294,$B68,$A$7:$A$294,"&gt;="&amp;EDATE($A68,-12*'Seasonal Factors'!$E$4),$A$7:$A$294,"&lt;="&amp;EDATE($A68,12*'Seasonal Factors'!$E$4)),"")</f>
        <v>0.958697643678992</v>
      </c>
      <c r="AT68" s="24" t="n">
        <f aca="false">IFERROR(AS68/AVERAGE(AS63:AS74),"")</f>
        <v>0.958640943951447</v>
      </c>
      <c r="AU68" s="23" t="n">
        <f aca="false">IF(ISNUMBER(Tabelle1!P75),(0.5*Tabelle1!P63+SUM(Tabelle1!P64:P74)+0.5*Tabelle1!P75)/12,"")</f>
        <v>121.734085833333</v>
      </c>
      <c r="AV68" s="24" t="n">
        <f aca="false">IFERROR(Tabelle1!P69/AU68,"")</f>
        <v>0.992989590158818</v>
      </c>
      <c r="AW68" s="24" t="n">
        <f aca="false">IFERROR(AVERAGEIFS($AV$7:$AV$294,$B$7:$B$294,$B68,$A$7:$A$294,"&gt;="&amp;EDATE($A68,-12*'Seasonal Factors'!$E$4),$A$7:$A$294,"&lt;="&amp;EDATE($A68,12*'Seasonal Factors'!$E$4)),"")</f>
        <v>0.997990371221919</v>
      </c>
      <c r="AX68" s="24" t="n">
        <f aca="false">IFERROR(AW68/AVERAGE(AW63:AW74),"")</f>
        <v>0.997952176310484</v>
      </c>
      <c r="AY68" s="23" t="n">
        <f aca="false">IF(ISNUMBER(Tabelle1!Q75),(0.5*Tabelle1!Q63+SUM(Tabelle1!Q64:Q74)+0.5*Tabelle1!Q75)/12,"")</f>
        <v>124.194159166667</v>
      </c>
      <c r="AZ68" s="24" t="n">
        <f aca="false">IFERROR(Tabelle1!Q69/AY68,"")</f>
        <v>0.976513636500793</v>
      </c>
      <c r="BA68" s="24" t="n">
        <f aca="false">IFERROR(AVERAGEIFS($AZ$7:$AZ$294,$B$7:$B$294,$B68,$A$7:$A$294,"&gt;="&amp;EDATE($A68,-12*'Seasonal Factors'!$E$4),$A$7:$A$294,"&lt;="&amp;EDATE($A68,12*'Seasonal Factors'!$E$4)),"")</f>
        <v>0.981965612246237</v>
      </c>
      <c r="BB68" s="24" t="n">
        <f aca="false">IFERROR(BA68/AVERAGE(BA63:BA74),"")</f>
        <v>0.981906359658671</v>
      </c>
      <c r="BC68" s="23" t="n">
        <f aca="false">IF(ISNUMBER(Tabelle1!R75),(0.5*Tabelle1!R63+SUM(Tabelle1!R64:R74)+0.5*Tabelle1!R75)/12,"")</f>
        <v>133.314655833333</v>
      </c>
      <c r="BD68" s="24" t="n">
        <f aca="false">IFERROR(Tabelle1!R69/BC68,"")</f>
        <v>0.925745329562947</v>
      </c>
      <c r="BE68" s="24" t="n">
        <f aca="false">IFERROR(AVERAGEIFS($BD$7:$BD$294,$B$7:$B$294,$B68,$A$7:$A$294,"&gt;="&amp;EDATE($A68,-12*'Seasonal Factors'!$E$4),$A$7:$A$294,"&lt;="&amp;EDATE($A68,12*'Seasonal Factors'!$E$4)),"")</f>
        <v>0.933297124950064</v>
      </c>
      <c r="BF68" s="24" t="n">
        <f aca="false">IFERROR(BE68/AVERAGE(BE63:BE74),"")</f>
        <v>0.932780146887582</v>
      </c>
      <c r="BG68" s="23" t="n">
        <f aca="false">IF(ISNUMBER(Tabelle1!S75),(0.5*Tabelle1!S63+SUM(Tabelle1!S64:S74)+0.5*Tabelle1!S75)/12,"")</f>
        <v>136.40107875</v>
      </c>
      <c r="BH68" s="24" t="n">
        <f aca="false">IFERROR(Tabelle1!S69/BG68,"")</f>
        <v>0.98416582354192</v>
      </c>
      <c r="BI68" s="24" t="n">
        <f aca="false">IFERROR(AVERAGEIFS($BH$7:$BH$294,$B$7:$B$294,$B68,$A$7:$A$294,"&gt;="&amp;EDATE($A68,-12*'Seasonal Factors'!$E$4),$A$7:$A$294,"&lt;="&amp;EDATE($A68,12*'Seasonal Factors'!$E$4)),"")</f>
        <v>0.9874636426028</v>
      </c>
      <c r="BJ68" s="24" t="n">
        <f aca="false">IFERROR(BI68/AVERAGE(BI63:BI74),"")</f>
        <v>0.987054103964263</v>
      </c>
    </row>
    <row r="69" customFormat="false" ht="15" hidden="false" customHeight="false" outlineLevel="0" collapsed="false">
      <c r="A69" s="20" t="n">
        <v>39903</v>
      </c>
      <c r="B69" s="22" t="n">
        <f aca="false">MONTH(A69)</f>
        <v>3</v>
      </c>
      <c r="C69" s="23" t="n">
        <f aca="false">IF(ISNUMBER(Tabelle1!E76),(0.5*Tabelle1!E64+SUM(Tabelle1!E65:E75)+0.5*Tabelle1!E76)/12,"")</f>
        <v>93.42371</v>
      </c>
      <c r="D69" s="24" t="n">
        <f aca="false">IFERROR(Tabelle1!E70/C69,"")</f>
        <v>1.14631703236791</v>
      </c>
      <c r="E69" s="24" t="n">
        <f aca="false">IFERROR(AVERAGEIFS($D$7:$D$294,$B$7:$B$294,$B69,$A$7:$A$294,"&gt;="&amp;EDATE($A69,-12*'Seasonal Factors'!$E$4),$A$7:$A$294,"&lt;="&amp;EDATE($A69,12*'Seasonal Factors'!$E$4)),"")</f>
        <v>1.10585374620477</v>
      </c>
      <c r="F69" s="24" t="n">
        <f aca="false">IFERROR(E69/AVERAGE(E64:E75),"")</f>
        <v>1.10520930282954</v>
      </c>
      <c r="G69" s="23" t="n">
        <f aca="false">IF(ISNUMBER(Tabelle1!F76),(0.5*Tabelle1!F64+SUM(Tabelle1!F65:F75)+0.5*Tabelle1!F76)/12,"")</f>
        <v>107.379282083333</v>
      </c>
      <c r="H69" s="24" t="n">
        <f aca="false">IFERROR(Tabelle1!F70/G69,"")</f>
        <v>1.2113251967829</v>
      </c>
      <c r="I69" s="24" t="n">
        <f aca="false">IFERROR(AVERAGEIFS($H$7:$H$294,$B$7:$B$294,$B69,$A$7:$A$294,"&gt;="&amp;EDATE($A69,-12*'Seasonal Factors'!$E$4),$A$7:$A$294,"&lt;="&amp;EDATE($A69,12*'Seasonal Factors'!$E$4)),"")</f>
        <v>1.26781911784185</v>
      </c>
      <c r="J69" s="24" t="n">
        <f aca="false">IFERROR(I69/AVERAGE(I64:I75),"")</f>
        <v>1.27029604321612</v>
      </c>
      <c r="K69" s="23" t="n">
        <f aca="false">IF(ISNUMBER(Tabelle1!G76),(0.5*Tabelle1!G64+SUM(Tabelle1!G65:G75)+0.5*Tabelle1!G76)/12,"")</f>
        <v>102.20872125</v>
      </c>
      <c r="L69" s="24" t="n">
        <f aca="false">IFERROR(Tabelle1!G70/K69,"")</f>
        <v>1.04758281573746</v>
      </c>
      <c r="M69" s="24" t="n">
        <f aca="false">IFERROR(AVERAGEIFS($L$7:$L$294,$B$7:$B$294,$B69,$A$7:$A$294,"&gt;="&amp;EDATE($A69,-12*'Seasonal Factors'!$E$4),$A$7:$A$294,"&lt;="&amp;EDATE($A69,12*'Seasonal Factors'!$E$4)),"")</f>
        <v>1.02607706653439</v>
      </c>
      <c r="N69" s="24" t="n">
        <f aca="false">IFERROR(M69/AVERAGE(M64:M75),"")</f>
        <v>1.02635842014242</v>
      </c>
      <c r="O69" s="23" t="n">
        <f aca="false">IF(ISNUMBER(Tabelle1!H76),(0.5*Tabelle1!H64+SUM(Tabelle1!H65:H75)+0.5*Tabelle1!H76)/12,"")</f>
        <v>120.968131666667</v>
      </c>
      <c r="P69" s="24" t="n">
        <f aca="false">IFERROR(Tabelle1!H70/O69,"")</f>
        <v>0.969186498829809</v>
      </c>
      <c r="Q69" s="24" t="n">
        <f aca="false">IFERROR(AVERAGEIFS($P$7:$P$294,$B$7:$B$294,$B69,$A$7:$A$294,"&gt;="&amp;EDATE($A69,-12*'Seasonal Factors'!$E$4),$A$7:$A$294,"&lt;="&amp;EDATE($A69,12*'Seasonal Factors'!$E$4)),"")</f>
        <v>1.01222347304794</v>
      </c>
      <c r="R69" s="24" t="n">
        <f aca="false">IFERROR(Q69/AVERAGE(Q64:Q75),"")</f>
        <v>1.01186619523454</v>
      </c>
      <c r="S69" s="23" t="n">
        <f aca="false">IF(ISNUMBER(Tabelle1!I76),(0.5*Tabelle1!I64+SUM(Tabelle1!I65:I75)+0.5*Tabelle1!I76)/12,"")</f>
        <v>120.894564166667</v>
      </c>
      <c r="T69" s="24" t="n">
        <f aca="false">IFERROR(Tabelle1!I70/S69,"")</f>
        <v>1.02187828585648</v>
      </c>
      <c r="U69" s="24" t="n">
        <f aca="false">IFERROR(AVERAGEIFS($T$7:$T$294,$B$7:$B$294,$B69,$A$7:$A$294,"&gt;="&amp;EDATE($A69,-12*'Seasonal Factors'!$E$4),$A$7:$A$294,"&lt;="&amp;EDATE($A69,12*'Seasonal Factors'!$E$4)),"")</f>
        <v>1.00997754255162</v>
      </c>
      <c r="V69" s="24" t="n">
        <f aca="false">IFERROR(U69/AVERAGE(U64:U75),"")</f>
        <v>1.01024901247103</v>
      </c>
      <c r="W69" s="23" t="n">
        <f aca="false">IF(ISNUMBER(Tabelle1!J76),(0.5*Tabelle1!J64+SUM(Tabelle1!J65:J75)+0.5*Tabelle1!J76)/12,"")</f>
        <v>129.760201666667</v>
      </c>
      <c r="X69" s="24" t="n">
        <f aca="false">IFERROR(Tabelle1!J70/W69,"")</f>
        <v>0.982478898479928</v>
      </c>
      <c r="Y69" s="24" t="n">
        <f aca="false">IFERROR(AVERAGEIFS($X$7:$X$294,$B$7:$B$294,$B69,$A$7:$A$294,"&gt;="&amp;EDATE($A69,-12*'Seasonal Factors'!$E$4),$A$7:$A$294,"&lt;="&amp;EDATE($A69,12*'Seasonal Factors'!$E$4)),"")</f>
        <v>1.02635879836031</v>
      </c>
      <c r="Z69" s="24" t="n">
        <f aca="false">IFERROR(Y69/AVERAGE(Y64:Y75),"")</f>
        <v>1.02620842536789</v>
      </c>
      <c r="AA69" s="23" t="n">
        <f aca="false">IF(ISNUMBER(Tabelle1!K76),(0.5*Tabelle1!K64+SUM(Tabelle1!K65:K75)+0.5*Tabelle1!K76)/12,"")</f>
        <v>131.765998333333</v>
      </c>
      <c r="AB69" s="24" t="n">
        <f aca="false">IFERROR(Tabelle1!K70/AA69,"")</f>
        <v>1.04278274925224</v>
      </c>
      <c r="AC69" s="24" t="n">
        <f aca="false">IFERROR(AVERAGEIFS($AB$7:$AB$294,$B$7:$B$294,$B69,$A$7:$A$294,"&gt;="&amp;EDATE($A69,-12*'Seasonal Factors'!$E$4),$A$7:$A$294,"&lt;="&amp;EDATE($A69,12*'Seasonal Factors'!$E$4)),"")</f>
        <v>1.06717878782798</v>
      </c>
      <c r="AD69" s="24" t="n">
        <f aca="false">IFERROR(AC69/AVERAGE(AC64:AC75),"")</f>
        <v>1.0667568664163</v>
      </c>
      <c r="AE69" s="23" t="n">
        <f aca="false">IF(ISNUMBER(Tabelle1!L76),(0.5*Tabelle1!L64+SUM(Tabelle1!L65:L75)+0.5*Tabelle1!L76)/12,"")</f>
        <v>134.3555075</v>
      </c>
      <c r="AF69" s="24" t="n">
        <f aca="false">IFERROR(Tabelle1!L70/AE69,"")</f>
        <v>0.991928373312125</v>
      </c>
      <c r="AG69" s="24" t="n">
        <f aca="false">IFERROR(AVERAGEIFS($AF$7:$AF$294,$B$7:$B$294,$B69,$A$7:$A$294,"&gt;="&amp;EDATE($A69,-12*'Seasonal Factors'!$E$4),$A$7:$A$294,"&lt;="&amp;EDATE($A69,12*'Seasonal Factors'!$E$4)),"")</f>
        <v>1.01409970560822</v>
      </c>
      <c r="AH69" s="24" t="n">
        <f aca="false">IFERROR(AG69/AVERAGE(AG64:AG75),"")</f>
        <v>1.01290628517787</v>
      </c>
      <c r="AI69" s="23" t="n">
        <f aca="false">IF(ISNUMBER(Tabelle1!M76),(0.5*Tabelle1!M64+SUM(Tabelle1!M65:M75)+0.5*Tabelle1!M76)/12,"")</f>
        <v>151.663322083333</v>
      </c>
      <c r="AJ69" s="24" t="n">
        <f aca="false">IFERROR(Tabelle1!M70/AI69,"")</f>
        <v>0.994935808653121</v>
      </c>
      <c r="AK69" s="24" t="n">
        <f aca="false">IFERROR(AVERAGEIFS($AJ$7:$AJ$294,$B$7:$B$294,$B69,$A$7:$A$294,"&gt;="&amp;EDATE($A69,-12*'Seasonal Factors'!$E$4),$A$7:$A$294,"&lt;="&amp;EDATE($A69,12*'Seasonal Factors'!$E$4)),"")</f>
        <v>0.999964229369982</v>
      </c>
      <c r="AL69" s="24" t="n">
        <f aca="false">IFERROR(AK69/AVERAGE(AK64:AK75),"")</f>
        <v>0.999223829156445</v>
      </c>
      <c r="AM69" s="23" t="n">
        <f aca="false">IF(ISNUMBER(Tabelle1!N76),(0.5*Tabelle1!N64+SUM(Tabelle1!N65:N75)+0.5*Tabelle1!N76)/12,"")</f>
        <v>150.648150416667</v>
      </c>
      <c r="AN69" s="24" t="n">
        <f aca="false">IFERROR(Tabelle1!N70/AM69,"")</f>
        <v>0.995661145424894</v>
      </c>
      <c r="AO69" s="24" t="n">
        <f aca="false">IFERROR(AVERAGEIFS($AN$7:$AN$294,$B$7:$B$294,$B69,$A$7:$A$294,"&gt;="&amp;EDATE($A69,-12*'Seasonal Factors'!$E$4),$A$7:$A$294,"&lt;="&amp;EDATE($A69,12*'Seasonal Factors'!$E$4)),"")</f>
        <v>0.997994739476325</v>
      </c>
      <c r="AP69" s="24" t="n">
        <f aca="false">IFERROR(AO69/AVERAGE(AO64:AO75),"")</f>
        <v>0.997705906571749</v>
      </c>
      <c r="AQ69" s="23" t="n">
        <f aca="false">IF(ISNUMBER(Tabelle1!O76),(0.5*Tabelle1!O64+SUM(Tabelle1!O65:O75)+0.5*Tabelle1!O76)/12,"")</f>
        <v>122.758591666667</v>
      </c>
      <c r="AR69" s="24" t="n">
        <f aca="false">IFERROR(Tabelle1!O70/AQ69,"")</f>
        <v>0.986855570394224</v>
      </c>
      <c r="AS69" s="24" t="n">
        <f aca="false">IFERROR(AVERAGEIFS($AR$7:$AR$294,$B$7:$B$294,$B69,$A$7:$A$294,"&gt;="&amp;EDATE($A69,-12*'Seasonal Factors'!$E$4),$A$7:$A$294,"&lt;="&amp;EDATE($A69,12*'Seasonal Factors'!$E$4)),"")</f>
        <v>0.990931947118458</v>
      </c>
      <c r="AT69" s="24" t="n">
        <f aca="false">IFERROR(AS69/AVERAGE(AS64:AS75),"")</f>
        <v>0.991035594907618</v>
      </c>
      <c r="AU69" s="23" t="n">
        <f aca="false">IF(ISNUMBER(Tabelle1!P76),(0.5*Tabelle1!P64+SUM(Tabelle1!P65:P75)+0.5*Tabelle1!P76)/12,"")</f>
        <v>122.127424166667</v>
      </c>
      <c r="AV69" s="24" t="n">
        <f aca="false">IFERROR(Tabelle1!P70/AU69,"")</f>
        <v>0.992215227880601</v>
      </c>
      <c r="AW69" s="24" t="n">
        <f aca="false">IFERROR(AVERAGEIFS($AV$7:$AV$294,$B$7:$B$294,$B69,$A$7:$A$294,"&gt;="&amp;EDATE($A69,-12*'Seasonal Factors'!$E$4),$A$7:$A$294,"&lt;="&amp;EDATE($A69,12*'Seasonal Factors'!$E$4)),"")</f>
        <v>0.994155037807601</v>
      </c>
      <c r="AX69" s="24" t="n">
        <f aca="false">IFERROR(AW69/AVERAGE(AW64:AW75),"")</f>
        <v>0.994152971821666</v>
      </c>
      <c r="AY69" s="23" t="n">
        <f aca="false">IF(ISNUMBER(Tabelle1!Q76),(0.5*Tabelle1!Q64+SUM(Tabelle1!Q65:Q75)+0.5*Tabelle1!Q76)/12,"")</f>
        <v>124.607955833333</v>
      </c>
      <c r="AZ69" s="24" t="n">
        <f aca="false">IFERROR(Tabelle1!Q70/AY69,"")</f>
        <v>0.976467988631036</v>
      </c>
      <c r="BA69" s="24" t="n">
        <f aca="false">IFERROR(AVERAGEIFS($AZ$7:$AZ$294,$B$7:$B$294,$B69,$A$7:$A$294,"&gt;="&amp;EDATE($A69,-12*'Seasonal Factors'!$E$4),$A$7:$A$294,"&lt;="&amp;EDATE($A69,12*'Seasonal Factors'!$E$4)),"")</f>
        <v>0.984678058966747</v>
      </c>
      <c r="BB69" s="24" t="n">
        <f aca="false">IFERROR(BA69/AVERAGE(BA64:BA75),"")</f>
        <v>0.98456154607548</v>
      </c>
      <c r="BC69" s="23" t="n">
        <f aca="false">IF(ISNUMBER(Tabelle1!R76),(0.5*Tabelle1!R64+SUM(Tabelle1!R65:R75)+0.5*Tabelle1!R76)/12,"")</f>
        <v>134.123702083333</v>
      </c>
      <c r="BD69" s="24" t="n">
        <f aca="false">IFERROR(Tabelle1!R70/BC69,"")</f>
        <v>0.99369819002753</v>
      </c>
      <c r="BE69" s="24" t="n">
        <f aca="false">IFERROR(AVERAGEIFS($BD$7:$BD$294,$B$7:$B$294,$B69,$A$7:$A$294,"&gt;="&amp;EDATE($A69,-12*'Seasonal Factors'!$E$4),$A$7:$A$294,"&lt;="&amp;EDATE($A69,12*'Seasonal Factors'!$E$4)),"")</f>
        <v>1.00719086408819</v>
      </c>
      <c r="BF69" s="24" t="n">
        <f aca="false">IFERROR(BE69/AVERAGE(BE64:BE75),"")</f>
        <v>1.00697061229081</v>
      </c>
      <c r="BG69" s="23" t="n">
        <f aca="false">IF(ISNUMBER(Tabelle1!S76),(0.5*Tabelle1!S64+SUM(Tabelle1!S65:S75)+0.5*Tabelle1!S76)/12,"")</f>
        <v>136.579232083333</v>
      </c>
      <c r="BH69" s="24" t="n">
        <f aca="false">IFERROR(Tabelle1!S70/BG69,"")</f>
        <v>0.959875948929119</v>
      </c>
      <c r="BI69" s="24" t="n">
        <f aca="false">IFERROR(AVERAGEIFS($BH$7:$BH$294,$B$7:$B$294,$B69,$A$7:$A$294,"&gt;="&amp;EDATE($A69,-12*'Seasonal Factors'!$E$4),$A$7:$A$294,"&lt;="&amp;EDATE($A69,12*'Seasonal Factors'!$E$4)),"")</f>
        <v>0.974490193446026</v>
      </c>
      <c r="BJ69" s="24" t="n">
        <f aca="false">IFERROR(BI69/AVERAGE(BI64:BI75),"")</f>
        <v>0.973945349098243</v>
      </c>
    </row>
    <row r="70" customFormat="false" ht="15" hidden="false" customHeight="false" outlineLevel="0" collapsed="false">
      <c r="A70" s="20" t="n">
        <v>39933</v>
      </c>
      <c r="B70" s="22" t="n">
        <f aca="false">MONTH(A70)</f>
        <v>4</v>
      </c>
      <c r="C70" s="23" t="n">
        <f aca="false">IF(ISNUMBER(Tabelle1!E77),(0.5*Tabelle1!E65+SUM(Tabelle1!E66:E76)+0.5*Tabelle1!E77)/12,"")</f>
        <v>93.0761641666667</v>
      </c>
      <c r="D70" s="24" t="n">
        <f aca="false">IFERROR(Tabelle1!E71/C70,"")</f>
        <v>1.40822649035359</v>
      </c>
      <c r="E70" s="24" t="n">
        <f aca="false">IFERROR(AVERAGEIFS($D$7:$D$294,$B$7:$B$294,$B70,$A$7:$A$294,"&gt;="&amp;EDATE($A70,-12*'Seasonal Factors'!$E$4),$A$7:$A$294,"&lt;="&amp;EDATE($A70,12*'Seasonal Factors'!$E$4)),"")</f>
        <v>1.6631518933542</v>
      </c>
      <c r="F70" s="24" t="n">
        <f aca="false">IFERROR(E70/AVERAGE(E65:E76),"")</f>
        <v>1.66240340002745</v>
      </c>
      <c r="G70" s="23" t="n">
        <f aca="false">IF(ISNUMBER(Tabelle1!F77),(0.5*Tabelle1!F65+SUM(Tabelle1!F66:F76)+0.5*Tabelle1!F77)/12,"")</f>
        <v>110.31143875</v>
      </c>
      <c r="H70" s="24" t="n">
        <f aca="false">IFERROR(Tabelle1!F71/G70,"")</f>
        <v>1.39737684275286</v>
      </c>
      <c r="I70" s="24" t="n">
        <f aca="false">IFERROR(AVERAGEIFS($H$7:$H$294,$B$7:$B$294,$B70,$A$7:$A$294,"&gt;="&amp;EDATE($A70,-12*'Seasonal Factors'!$E$4),$A$7:$A$294,"&lt;="&amp;EDATE($A70,12*'Seasonal Factors'!$E$4)),"")</f>
        <v>1.30499112874776</v>
      </c>
      <c r="J70" s="24" t="n">
        <f aca="false">IFERROR(I70/AVERAGE(I65:I76),"")</f>
        <v>1.30246297032429</v>
      </c>
      <c r="K70" s="23" t="n">
        <f aca="false">IF(ISNUMBER(Tabelle1!G77),(0.5*Tabelle1!G65+SUM(Tabelle1!G66:G76)+0.5*Tabelle1!G77)/12,"")</f>
        <v>102.114133333333</v>
      </c>
      <c r="L70" s="24" t="n">
        <f aca="false">IFERROR(Tabelle1!G71/K70,"")</f>
        <v>0.999817916161785</v>
      </c>
      <c r="M70" s="24" t="n">
        <f aca="false">IFERROR(AVERAGEIFS($L$7:$L$294,$B$7:$B$294,$B70,$A$7:$A$294,"&gt;="&amp;EDATE($A70,-12*'Seasonal Factors'!$E$4),$A$7:$A$294,"&lt;="&amp;EDATE($A70,12*'Seasonal Factors'!$E$4)),"")</f>
        <v>0.984341644175796</v>
      </c>
      <c r="N70" s="24" t="n">
        <f aca="false">IFERROR(M70/AVERAGE(M65:M76),"")</f>
        <v>0.984545313134068</v>
      </c>
      <c r="O70" s="23" t="n">
        <f aca="false">IF(ISNUMBER(Tabelle1!H77),(0.5*Tabelle1!H65+SUM(Tabelle1!H66:H76)+0.5*Tabelle1!H77)/12,"")</f>
        <v>120.234942083333</v>
      </c>
      <c r="P70" s="24" t="n">
        <f aca="false">IFERROR(Tabelle1!H71/O70,"")</f>
        <v>0.992682559095645</v>
      </c>
      <c r="Q70" s="24" t="n">
        <f aca="false">IFERROR(AVERAGEIFS($P$7:$P$294,$B$7:$B$294,$B70,$A$7:$A$294,"&gt;="&amp;EDATE($A70,-12*'Seasonal Factors'!$E$4),$A$7:$A$294,"&lt;="&amp;EDATE($A70,12*'Seasonal Factors'!$E$4)),"")</f>
        <v>1.00842102478592</v>
      </c>
      <c r="R70" s="24" t="n">
        <f aca="false">IFERROR(Q70/AVERAGE(Q65:Q76),"")</f>
        <v>1.00756598292059</v>
      </c>
      <c r="S70" s="23" t="n">
        <f aca="false">IF(ISNUMBER(Tabelle1!I77),(0.5*Tabelle1!I65+SUM(Tabelle1!I66:I76)+0.5*Tabelle1!I77)/12,"")</f>
        <v>120.83859625</v>
      </c>
      <c r="T70" s="24" t="n">
        <f aca="false">IFERROR(Tabelle1!I71/S70,"")</f>
        <v>0.955724773242721</v>
      </c>
      <c r="U70" s="24" t="n">
        <f aca="false">IFERROR(AVERAGEIFS($T$7:$T$294,$B$7:$B$294,$B70,$A$7:$A$294,"&gt;="&amp;EDATE($A70,-12*'Seasonal Factors'!$E$4),$A$7:$A$294,"&lt;="&amp;EDATE($A70,12*'Seasonal Factors'!$E$4)),"")</f>
        <v>0.954624426181727</v>
      </c>
      <c r="V70" s="24" t="n">
        <f aca="false">IFERROR(U70/AVERAGE(U65:U76),"")</f>
        <v>0.954768055639601</v>
      </c>
      <c r="W70" s="23" t="n">
        <f aca="false">IF(ISNUMBER(Tabelle1!J77),(0.5*Tabelle1!J65+SUM(Tabelle1!J66:J76)+0.5*Tabelle1!J77)/12,"")</f>
        <v>128.778879583333</v>
      </c>
      <c r="X70" s="24" t="n">
        <f aca="false">IFERROR(Tabelle1!J71/W70,"")</f>
        <v>0.947872977268843</v>
      </c>
      <c r="Y70" s="24" t="n">
        <f aca="false">IFERROR(AVERAGEIFS($X$7:$X$294,$B$7:$B$294,$B70,$A$7:$A$294,"&gt;="&amp;EDATE($A70,-12*'Seasonal Factors'!$E$4),$A$7:$A$294,"&lt;="&amp;EDATE($A70,12*'Seasonal Factors'!$E$4)),"")</f>
        <v>0.989045192445687</v>
      </c>
      <c r="Z70" s="24" t="n">
        <f aca="false">IFERROR(Y70/AVERAGE(Y65:Y76),"")</f>
        <v>0.988532516254496</v>
      </c>
      <c r="AA70" s="23" t="n">
        <f aca="false">IF(ISNUMBER(Tabelle1!K77),(0.5*Tabelle1!K65+SUM(Tabelle1!K66:K76)+0.5*Tabelle1!K77)/12,"")</f>
        <v>131.12145125</v>
      </c>
      <c r="AB70" s="24" t="n">
        <f aca="false">IFERROR(Tabelle1!K71/AA70,"")</f>
        <v>0.987638245042685</v>
      </c>
      <c r="AC70" s="24" t="n">
        <f aca="false">IFERROR(AVERAGEIFS($AB$7:$AB$294,$B$7:$B$294,$B70,$A$7:$A$294,"&gt;="&amp;EDATE($A70,-12*'Seasonal Factors'!$E$4),$A$7:$A$294,"&lt;="&amp;EDATE($A70,12*'Seasonal Factors'!$E$4)),"")</f>
        <v>1.01086109108817</v>
      </c>
      <c r="AD70" s="24" t="n">
        <f aca="false">IFERROR(AC70/AVERAGE(AC65:AC76),"")</f>
        <v>1.00963670495949</v>
      </c>
      <c r="AE70" s="23" t="n">
        <f aca="false">IF(ISNUMBER(Tabelle1!L77),(0.5*Tabelle1!L65+SUM(Tabelle1!L66:L76)+0.5*Tabelle1!L77)/12,"")</f>
        <v>134.35378125</v>
      </c>
      <c r="AF70" s="24" t="n">
        <f aca="false">IFERROR(Tabelle1!L71/AE70,"")</f>
        <v>0.990462707948534</v>
      </c>
      <c r="AG70" s="24" t="n">
        <f aca="false">IFERROR(AVERAGEIFS($AF$7:$AF$294,$B$7:$B$294,$B70,$A$7:$A$294,"&gt;="&amp;EDATE($A70,-12*'Seasonal Factors'!$E$4),$A$7:$A$294,"&lt;="&amp;EDATE($A70,12*'Seasonal Factors'!$E$4)),"")</f>
        <v>0.973349740936249</v>
      </c>
      <c r="AH70" s="24" t="n">
        <f aca="false">IFERROR(AG70/AVERAGE(AG65:AG76),"")</f>
        <v>0.972073872250428</v>
      </c>
      <c r="AI70" s="23" t="n">
        <f aca="false">IF(ISNUMBER(Tabelle1!M77),(0.5*Tabelle1!M65+SUM(Tabelle1!M66:M76)+0.5*Tabelle1!M77)/12,"")</f>
        <v>151.635907083333</v>
      </c>
      <c r="AJ70" s="24" t="n">
        <f aca="false">IFERROR(Tabelle1!M71/AI70,"")</f>
        <v>1.02070804321394</v>
      </c>
      <c r="AK70" s="24" t="n">
        <f aca="false">IFERROR(AVERAGEIFS($AJ$7:$AJ$294,$B$7:$B$294,$B70,$A$7:$A$294,"&gt;="&amp;EDATE($A70,-12*'Seasonal Factors'!$E$4),$A$7:$A$294,"&lt;="&amp;EDATE($A70,12*'Seasonal Factors'!$E$4)),"")</f>
        <v>1.02381998136858</v>
      </c>
      <c r="AL70" s="24" t="n">
        <f aca="false">IFERROR(AK70/AVERAGE(AK65:AK76),"")</f>
        <v>1.02290385238777</v>
      </c>
      <c r="AM70" s="23" t="n">
        <f aca="false">IF(ISNUMBER(Tabelle1!N77),(0.5*Tabelle1!N65+SUM(Tabelle1!N66:N76)+0.5*Tabelle1!N77)/12,"")</f>
        <v>150.4257075</v>
      </c>
      <c r="AN70" s="24" t="n">
        <f aca="false">IFERROR(Tabelle1!N71/AM70,"")</f>
        <v>0.992335834617896</v>
      </c>
      <c r="AO70" s="24" t="n">
        <f aca="false">IFERROR(AVERAGEIFS($AN$7:$AN$294,$B$7:$B$294,$B70,$A$7:$A$294,"&gt;="&amp;EDATE($A70,-12*'Seasonal Factors'!$E$4),$A$7:$A$294,"&lt;="&amp;EDATE($A70,12*'Seasonal Factors'!$E$4)),"")</f>
        <v>0.985141598090281</v>
      </c>
      <c r="AP70" s="24" t="n">
        <f aca="false">IFERROR(AO70/AVERAGE(AO65:AO76),"")</f>
        <v>0.98481171263282</v>
      </c>
      <c r="AQ70" s="23" t="n">
        <f aca="false">IF(ISNUMBER(Tabelle1!O77),(0.5*Tabelle1!O65+SUM(Tabelle1!O66:O76)+0.5*Tabelle1!O77)/12,"")</f>
        <v>122.421431666667</v>
      </c>
      <c r="AR70" s="24" t="n">
        <f aca="false">IFERROR(Tabelle1!O71/AQ70,"")</f>
        <v>0.983745724587793</v>
      </c>
      <c r="AS70" s="24" t="n">
        <f aca="false">IFERROR(AVERAGEIFS($AR$7:$AR$294,$B$7:$B$294,$B70,$A$7:$A$294,"&gt;="&amp;EDATE($A70,-12*'Seasonal Factors'!$E$4),$A$7:$A$294,"&lt;="&amp;EDATE($A70,12*'Seasonal Factors'!$E$4)),"")</f>
        <v>0.988109713495793</v>
      </c>
      <c r="AT70" s="24" t="n">
        <f aca="false">IFERROR(AS70/AVERAGE(AS65:AS76),"")</f>
        <v>0.987972375735777</v>
      </c>
      <c r="AU70" s="23" t="n">
        <f aca="false">IF(ISNUMBER(Tabelle1!P77),(0.5*Tabelle1!P65+SUM(Tabelle1!P66:P76)+0.5*Tabelle1!P77)/12,"")</f>
        <v>122.56265625</v>
      </c>
      <c r="AV70" s="24" t="n">
        <f aca="false">IFERROR(Tabelle1!P71/AU70,"")</f>
        <v>0.971792580580596</v>
      </c>
      <c r="AW70" s="24" t="n">
        <f aca="false">IFERROR(AVERAGEIFS($AV$7:$AV$294,$B$7:$B$294,$B70,$A$7:$A$294,"&gt;="&amp;EDATE($A70,-12*'Seasonal Factors'!$E$4),$A$7:$A$294,"&lt;="&amp;EDATE($A70,12*'Seasonal Factors'!$E$4)),"")</f>
        <v>0.987866133762514</v>
      </c>
      <c r="AX70" s="24" t="n">
        <f aca="false">IFERROR(AW70/AVERAGE(AW65:AW76),"")</f>
        <v>0.987887595045656</v>
      </c>
      <c r="AY70" s="23" t="n">
        <f aca="false">IF(ISNUMBER(Tabelle1!Q77),(0.5*Tabelle1!Q65+SUM(Tabelle1!Q66:Q76)+0.5*Tabelle1!Q77)/12,"")</f>
        <v>125.069768333333</v>
      </c>
      <c r="AZ70" s="24" t="n">
        <f aca="false">IFERROR(Tabelle1!Q71/AY70,"")</f>
        <v>0.966135714571365</v>
      </c>
      <c r="BA70" s="24" t="n">
        <f aca="false">IFERROR(AVERAGEIFS($AZ$7:$AZ$294,$B$7:$B$294,$B70,$A$7:$A$294,"&gt;="&amp;EDATE($A70,-12*'Seasonal Factors'!$E$4),$A$7:$A$294,"&lt;="&amp;EDATE($A70,12*'Seasonal Factors'!$E$4)),"")</f>
        <v>0.982412981750202</v>
      </c>
      <c r="BB70" s="24" t="n">
        <f aca="false">IFERROR(BA70/AVERAGE(BA65:BA76),"")</f>
        <v>0.982293337444219</v>
      </c>
      <c r="BC70" s="23" t="n">
        <f aca="false">IF(ISNUMBER(Tabelle1!R77),(0.5*Tabelle1!R65+SUM(Tabelle1!R66:R76)+0.5*Tabelle1!R77)/12,"")</f>
        <v>134.88132625</v>
      </c>
      <c r="BD70" s="24" t="n">
        <f aca="false">IFERROR(Tabelle1!R71/BC70,"")</f>
        <v>1.04526011064486</v>
      </c>
      <c r="BE70" s="24" t="n">
        <f aca="false">IFERROR(AVERAGEIFS($BD$7:$BD$294,$B$7:$B$294,$B70,$A$7:$A$294,"&gt;="&amp;EDATE($A70,-12*'Seasonal Factors'!$E$4),$A$7:$A$294,"&lt;="&amp;EDATE($A70,12*'Seasonal Factors'!$E$4)),"")</f>
        <v>1.03852151542004</v>
      </c>
      <c r="BF70" s="24" t="n">
        <f aca="false">IFERROR(BE70/AVERAGE(BE65:BE76),"")</f>
        <v>1.03846805822689</v>
      </c>
      <c r="BG70" s="23" t="n">
        <f aca="false">IF(ISNUMBER(Tabelle1!S77),(0.5*Tabelle1!S65+SUM(Tabelle1!S66:S76)+0.5*Tabelle1!S77)/12,"")</f>
        <v>136.885515416667</v>
      </c>
      <c r="BH70" s="24" t="n">
        <f aca="false">IFERROR(Tabelle1!S71/BG70,"")</f>
        <v>0.996772007503338</v>
      </c>
      <c r="BI70" s="24" t="n">
        <f aca="false">IFERROR(AVERAGEIFS($BH$7:$BH$294,$B$7:$B$294,$B70,$A$7:$A$294,"&gt;="&amp;EDATE($A70,-12*'Seasonal Factors'!$E$4),$A$7:$A$294,"&lt;="&amp;EDATE($A70,12*'Seasonal Factors'!$E$4)),"")</f>
        <v>0.991761625827734</v>
      </c>
      <c r="BJ70" s="24" t="n">
        <f aca="false">IFERROR(BI70/AVERAGE(BI65:BI76),"")</f>
        <v>0.99118839406788</v>
      </c>
    </row>
    <row r="71" customFormat="false" ht="15" hidden="false" customHeight="false" outlineLevel="0" collapsed="false">
      <c r="A71" s="20" t="n">
        <v>39964</v>
      </c>
      <c r="B71" s="22" t="n">
        <f aca="false">MONTH(A71)</f>
        <v>5</v>
      </c>
      <c r="C71" s="23" t="n">
        <f aca="false">IF(ISNUMBER(Tabelle1!E78),(0.5*Tabelle1!E66+SUM(Tabelle1!E67:E77)+0.5*Tabelle1!E78)/12,"")</f>
        <v>92.7362629166667</v>
      </c>
      <c r="D71" s="24" t="n">
        <f aca="false">IFERROR(Tabelle1!E72/C71,"")</f>
        <v>2.0166170613113</v>
      </c>
      <c r="E71" s="24" t="n">
        <f aca="false">IFERROR(AVERAGEIFS($D$7:$D$294,$B$7:$B$294,$B71,$A$7:$A$294,"&gt;="&amp;EDATE($A71,-12*'Seasonal Factors'!$E$4),$A$7:$A$294,"&lt;="&amp;EDATE($A71,12*'Seasonal Factors'!$E$4)),"")</f>
        <v>2.4298724603171</v>
      </c>
      <c r="F71" s="24" t="n">
        <f aca="false">IFERROR(E71/AVERAGE(E66:E77),"")</f>
        <v>2.42917037188784</v>
      </c>
      <c r="G71" s="23" t="n">
        <f aca="false">IF(ISNUMBER(Tabelle1!F78),(0.5*Tabelle1!F66+SUM(Tabelle1!F67:F77)+0.5*Tabelle1!F78)/12,"")</f>
        <v>111.44082625</v>
      </c>
      <c r="H71" s="24" t="n">
        <f aca="false">IFERROR(Tabelle1!F72/G71,"")</f>
        <v>1.61000852234798</v>
      </c>
      <c r="I71" s="24" t="n">
        <f aca="false">IFERROR(AVERAGEIFS($H$7:$H$294,$B$7:$B$294,$B71,$A$7:$A$294,"&gt;="&amp;EDATE($A71,-12*'Seasonal Factors'!$E$4),$A$7:$A$294,"&lt;="&amp;EDATE($A71,12*'Seasonal Factors'!$E$4)),"")</f>
        <v>1.5298571222859</v>
      </c>
      <c r="J71" s="24" t="n">
        <f aca="false">IFERROR(I71/AVERAGE(I66:I77),"")</f>
        <v>1.52419575533536</v>
      </c>
      <c r="K71" s="23" t="n">
        <f aca="false">IF(ISNUMBER(Tabelle1!G78),(0.5*Tabelle1!G66+SUM(Tabelle1!G67:G77)+0.5*Tabelle1!G78)/12,"")</f>
        <v>101.958797916667</v>
      </c>
      <c r="L71" s="24" t="n">
        <f aca="false">IFERROR(Tabelle1!G72/K71,"")</f>
        <v>1.02009294072894</v>
      </c>
      <c r="M71" s="24" t="n">
        <f aca="false">IFERROR(AVERAGEIFS($L$7:$L$294,$B$7:$B$294,$B71,$A$7:$A$294,"&gt;="&amp;EDATE($A71,-12*'Seasonal Factors'!$E$4),$A$7:$A$294,"&lt;="&amp;EDATE($A71,12*'Seasonal Factors'!$E$4)),"")</f>
        <v>1.00887795634213</v>
      </c>
      <c r="N71" s="24" t="n">
        <f aca="false">IFERROR(M71/AVERAGE(M66:M77),"")</f>
        <v>1.00893448569578</v>
      </c>
      <c r="O71" s="23" t="n">
        <f aca="false">IF(ISNUMBER(Tabelle1!H78),(0.5*Tabelle1!H66+SUM(Tabelle1!H67:H77)+0.5*Tabelle1!H78)/12,"")</f>
        <v>120.280501666667</v>
      </c>
      <c r="P71" s="24" t="n">
        <f aca="false">IFERROR(Tabelle1!H72/O71,"")</f>
        <v>1.00383726644749</v>
      </c>
      <c r="Q71" s="24" t="n">
        <f aca="false">IFERROR(AVERAGEIFS($P$7:$P$294,$B$7:$B$294,$B71,$A$7:$A$294,"&gt;="&amp;EDATE($A71,-12*'Seasonal Factors'!$E$4),$A$7:$A$294,"&lt;="&amp;EDATE($A71,12*'Seasonal Factors'!$E$4)),"")</f>
        <v>1.02873737599315</v>
      </c>
      <c r="R71" s="24" t="n">
        <f aca="false">IFERROR(Q71/AVERAGE(Q66:Q77),"")</f>
        <v>1.02755021246235</v>
      </c>
      <c r="S71" s="23" t="n">
        <f aca="false">IF(ISNUMBER(Tabelle1!I78),(0.5*Tabelle1!I66+SUM(Tabelle1!I67:I77)+0.5*Tabelle1!I78)/12,"")</f>
        <v>120.781700416667</v>
      </c>
      <c r="T71" s="24" t="n">
        <f aca="false">IFERROR(Tabelle1!I72/S71,"")</f>
        <v>1.00955243699462</v>
      </c>
      <c r="U71" s="24" t="n">
        <f aca="false">IFERROR(AVERAGEIFS($T$7:$T$294,$B$7:$B$294,$B71,$A$7:$A$294,"&gt;="&amp;EDATE($A71,-12*'Seasonal Factors'!$E$4),$A$7:$A$294,"&lt;="&amp;EDATE($A71,12*'Seasonal Factors'!$E$4)),"")</f>
        <v>1.00919410989903</v>
      </c>
      <c r="V71" s="24" t="n">
        <f aca="false">IFERROR(U71/AVERAGE(U66:U77),"")</f>
        <v>1.00923275316406</v>
      </c>
      <c r="W71" s="23" t="n">
        <f aca="false">IF(ISNUMBER(Tabelle1!J78),(0.5*Tabelle1!J66+SUM(Tabelle1!J67:J77)+0.5*Tabelle1!J78)/12,"")</f>
        <v>128.294337916667</v>
      </c>
      <c r="X71" s="24" t="n">
        <f aca="false">IFERROR(Tabelle1!J72/W71,"")</f>
        <v>0.948146987429892</v>
      </c>
      <c r="Y71" s="24" t="n">
        <f aca="false">IFERROR(AVERAGEIFS($X$7:$X$294,$B$7:$B$294,$B71,$A$7:$A$294,"&gt;="&amp;EDATE($A71,-12*'Seasonal Factors'!$E$4),$A$7:$A$294,"&lt;="&amp;EDATE($A71,12*'Seasonal Factors'!$E$4)),"")</f>
        <v>0.995295633147904</v>
      </c>
      <c r="Z71" s="24" t="n">
        <f aca="false">IFERROR(Y71/AVERAGE(Y66:Y77),"")</f>
        <v>0.994754491263508</v>
      </c>
      <c r="AA71" s="23" t="n">
        <f aca="false">IF(ISNUMBER(Tabelle1!K78),(0.5*Tabelle1!K66+SUM(Tabelle1!K67:K77)+0.5*Tabelle1!K78)/12,"")</f>
        <v>131.120858333333</v>
      </c>
      <c r="AB71" s="24" t="n">
        <f aca="false">IFERROR(Tabelle1!K72/AA71,"")</f>
        <v>0.981112399927726</v>
      </c>
      <c r="AC71" s="24" t="n">
        <f aca="false">IFERROR(AVERAGEIFS($AB$7:$AB$294,$B$7:$B$294,$B71,$A$7:$A$294,"&gt;="&amp;EDATE($A71,-12*'Seasonal Factors'!$E$4),$A$7:$A$294,"&lt;="&amp;EDATE($A71,12*'Seasonal Factors'!$E$4)),"")</f>
        <v>1.02747178081272</v>
      </c>
      <c r="AD71" s="24" t="n">
        <f aca="false">IFERROR(AC71/AVERAGE(AC66:AC77),"")</f>
        <v>1.02581205089773</v>
      </c>
      <c r="AE71" s="23" t="n">
        <f aca="false">IF(ISNUMBER(Tabelle1!L78),(0.5*Tabelle1!L66+SUM(Tabelle1!L67:L77)+0.5*Tabelle1!L78)/12,"")</f>
        <v>134.78837875</v>
      </c>
      <c r="AF71" s="24" t="n">
        <f aca="false">IFERROR(Tabelle1!L72/AE71,"")</f>
        <v>0.958924509654732</v>
      </c>
      <c r="AG71" s="24" t="n">
        <f aca="false">IFERROR(AVERAGEIFS($AF$7:$AF$294,$B$7:$B$294,$B71,$A$7:$A$294,"&gt;="&amp;EDATE($A71,-12*'Seasonal Factors'!$E$4),$A$7:$A$294,"&lt;="&amp;EDATE($A71,12*'Seasonal Factors'!$E$4)),"")</f>
        <v>0.936902712574816</v>
      </c>
      <c r="AH71" s="24" t="n">
        <f aca="false">IFERROR(AG71/AVERAGE(AG66:AG77),"")</f>
        <v>0.93574639799774</v>
      </c>
      <c r="AI71" s="23" t="n">
        <f aca="false">IF(ISNUMBER(Tabelle1!M78),(0.5*Tabelle1!M66+SUM(Tabelle1!M67:M77)+0.5*Tabelle1!M78)/12,"")</f>
        <v>151.923252916667</v>
      </c>
      <c r="AJ71" s="24" t="n">
        <f aca="false">IFERROR(Tabelle1!M72/AI71,"")</f>
        <v>1.05094096482767</v>
      </c>
      <c r="AK71" s="24" t="n">
        <f aca="false">IFERROR(AVERAGEIFS($AJ$7:$AJ$294,$B$7:$B$294,$B71,$A$7:$A$294,"&gt;="&amp;EDATE($A71,-12*'Seasonal Factors'!$E$4),$A$7:$A$294,"&lt;="&amp;EDATE($A71,12*'Seasonal Factors'!$E$4)),"")</f>
        <v>1.08100505841272</v>
      </c>
      <c r="AL71" s="24" t="n">
        <f aca="false">IFERROR(AK71/AVERAGE(AK66:AK77),"")</f>
        <v>1.0800577802915</v>
      </c>
      <c r="AM71" s="23" t="n">
        <f aca="false">IF(ISNUMBER(Tabelle1!N78),(0.5*Tabelle1!N66+SUM(Tabelle1!N67:N77)+0.5*Tabelle1!N78)/12,"")</f>
        <v>150.110072916667</v>
      </c>
      <c r="AN71" s="24" t="n">
        <f aca="false">IFERROR(Tabelle1!N72/AM71,"")</f>
        <v>0.99293536472229</v>
      </c>
      <c r="AO71" s="24" t="n">
        <f aca="false">IFERROR(AVERAGEIFS($AN$7:$AN$294,$B$7:$B$294,$B71,$A$7:$A$294,"&gt;="&amp;EDATE($A71,-12*'Seasonal Factors'!$E$4),$A$7:$A$294,"&lt;="&amp;EDATE($A71,12*'Seasonal Factors'!$E$4)),"")</f>
        <v>0.998922531636257</v>
      </c>
      <c r="AP71" s="24" t="n">
        <f aca="false">IFERROR(AO71/AVERAGE(AO66:AO77),"")</f>
        <v>0.998820949400021</v>
      </c>
      <c r="AQ71" s="23" t="n">
        <f aca="false">IF(ISNUMBER(Tabelle1!O78),(0.5*Tabelle1!O66+SUM(Tabelle1!O67:O77)+0.5*Tabelle1!O78)/12,"")</f>
        <v>122.158142916667</v>
      </c>
      <c r="AR71" s="24" t="n">
        <f aca="false">IFERROR(Tabelle1!O72/AQ71,"")</f>
        <v>0.991621083194062</v>
      </c>
      <c r="AS71" s="24" t="n">
        <f aca="false">IFERROR(AVERAGEIFS($AR$7:$AR$294,$B$7:$B$294,$B71,$A$7:$A$294,"&gt;="&amp;EDATE($A71,-12*'Seasonal Factors'!$E$4),$A$7:$A$294,"&lt;="&amp;EDATE($A71,12*'Seasonal Factors'!$E$4)),"")</f>
        <v>1.00861197853769</v>
      </c>
      <c r="AT71" s="24" t="n">
        <f aca="false">IFERROR(AS71/AVERAGE(AS66:AS77),"")</f>
        <v>1.00839030230041</v>
      </c>
      <c r="AU71" s="23" t="n">
        <f aca="false">IF(ISNUMBER(Tabelle1!P78),(0.5*Tabelle1!P66+SUM(Tabelle1!P67:P77)+0.5*Tabelle1!P78)/12,"")</f>
        <v>123.0071675</v>
      </c>
      <c r="AV71" s="24" t="n">
        <f aca="false">IFERROR(Tabelle1!P72/AU71,"")</f>
        <v>0.983725846707266</v>
      </c>
      <c r="AW71" s="24" t="n">
        <f aca="false">IFERROR(AVERAGEIFS($AV$7:$AV$294,$B$7:$B$294,$B71,$A$7:$A$294,"&gt;="&amp;EDATE($A71,-12*'Seasonal Factors'!$E$4),$A$7:$A$294,"&lt;="&amp;EDATE($A71,12*'Seasonal Factors'!$E$4)),"")</f>
        <v>0.996274603748345</v>
      </c>
      <c r="AX71" s="24" t="n">
        <f aca="false">IFERROR(AW71/AVERAGE(AW66:AW77),"")</f>
        <v>0.996290906754422</v>
      </c>
      <c r="AY71" s="23" t="n">
        <f aca="false">IF(ISNUMBER(Tabelle1!Q78),(0.5*Tabelle1!Q66+SUM(Tabelle1!Q67:Q77)+0.5*Tabelle1!Q78)/12,"")</f>
        <v>125.536007083333</v>
      </c>
      <c r="AZ71" s="24" t="n">
        <f aca="false">IFERROR(Tabelle1!Q72/AY71,"")</f>
        <v>0.980962537053238</v>
      </c>
      <c r="BA71" s="24" t="n">
        <f aca="false">IFERROR(AVERAGEIFS($AZ$7:$AZ$294,$B$7:$B$294,$B71,$A$7:$A$294,"&gt;="&amp;EDATE($A71,-12*'Seasonal Factors'!$E$4),$A$7:$A$294,"&lt;="&amp;EDATE($A71,12*'Seasonal Factors'!$E$4)),"")</f>
        <v>0.99620392418903</v>
      </c>
      <c r="BB71" s="24" t="n">
        <f aca="false">IFERROR(BA71/AVERAGE(BA66:BA77),"")</f>
        <v>0.996043111917012</v>
      </c>
      <c r="BC71" s="23" t="n">
        <f aca="false">IF(ISNUMBER(Tabelle1!R78),(0.5*Tabelle1!R66+SUM(Tabelle1!R67:R77)+0.5*Tabelle1!R78)/12,"")</f>
        <v>135.593085</v>
      </c>
      <c r="BD71" s="24" t="n">
        <f aca="false">IFERROR(Tabelle1!R72/BC71,"")</f>
        <v>1.06104643905698</v>
      </c>
      <c r="BE71" s="24" t="n">
        <f aca="false">IFERROR(AVERAGEIFS($BD$7:$BD$294,$B$7:$B$294,$B71,$A$7:$A$294,"&gt;="&amp;EDATE($A71,-12*'Seasonal Factors'!$E$4),$A$7:$A$294,"&lt;="&amp;EDATE($A71,12*'Seasonal Factors'!$E$4)),"")</f>
        <v>1.05339780984811</v>
      </c>
      <c r="BF71" s="24" t="n">
        <f aca="false">IFERROR(BE71/AVERAGE(BE66:BE77),"")</f>
        <v>1.05342259379463</v>
      </c>
      <c r="BG71" s="23" t="n">
        <f aca="false">IF(ISNUMBER(Tabelle1!S78),(0.5*Tabelle1!S66+SUM(Tabelle1!S67:S77)+0.5*Tabelle1!S78)/12,"")</f>
        <v>137.276640416667</v>
      </c>
      <c r="BH71" s="24" t="n">
        <f aca="false">IFERROR(Tabelle1!S72/BG71,"")</f>
        <v>1.00149843107108</v>
      </c>
      <c r="BI71" s="24" t="n">
        <f aca="false">IFERROR(AVERAGEIFS($BH$7:$BH$294,$B$7:$B$294,$B71,$A$7:$A$294,"&gt;="&amp;EDATE($A71,-12*'Seasonal Factors'!$E$4),$A$7:$A$294,"&lt;="&amp;EDATE($A71,12*'Seasonal Factors'!$E$4)),"")</f>
        <v>1.00350808902079</v>
      </c>
      <c r="BJ71" s="24" t="n">
        <f aca="false">IFERROR(BI71/AVERAGE(BI66:BI77),"")</f>
        <v>1.00261769996901</v>
      </c>
    </row>
    <row r="72" customFormat="false" ht="15" hidden="false" customHeight="false" outlineLevel="0" collapsed="false">
      <c r="A72" s="20" t="n">
        <v>39994</v>
      </c>
      <c r="B72" s="22" t="n">
        <f aca="false">MONTH(A72)</f>
        <v>6</v>
      </c>
      <c r="C72" s="23" t="n">
        <f aca="false">IF(ISNUMBER(Tabelle1!E79),(0.5*Tabelle1!E67+SUM(Tabelle1!E68:E78)+0.5*Tabelle1!E79)/12,"")</f>
        <v>92.2846066666667</v>
      </c>
      <c r="D72" s="24" t="n">
        <f aca="false">IFERROR(Tabelle1!E73/C72,"")</f>
        <v>1.40256013083005</v>
      </c>
      <c r="E72" s="24" t="n">
        <f aca="false">IFERROR(AVERAGEIFS($D$7:$D$294,$B$7:$B$294,$B72,$A$7:$A$294,"&gt;="&amp;EDATE($A72,-12*'Seasonal Factors'!$E$4),$A$7:$A$294,"&lt;="&amp;EDATE($A72,12*'Seasonal Factors'!$E$4)),"")</f>
        <v>1.62635710774538</v>
      </c>
      <c r="F72" s="24" t="n">
        <f aca="false">IFERROR(E72/AVERAGE(E67:E78),"")</f>
        <v>1.62750315036302</v>
      </c>
      <c r="G72" s="23" t="n">
        <f aca="false">IF(ISNUMBER(Tabelle1!F79),(0.5*Tabelle1!F67+SUM(Tabelle1!F68:F78)+0.5*Tabelle1!F79)/12,"")</f>
        <v>112.069602916667</v>
      </c>
      <c r="H72" s="24" t="n">
        <f aca="false">IFERROR(Tabelle1!F73/G72,"")</f>
        <v>1.11612584273195</v>
      </c>
      <c r="I72" s="24" t="n">
        <f aca="false">IFERROR(AVERAGEIFS($H$7:$H$294,$B$7:$B$294,$B72,$A$7:$A$294,"&gt;="&amp;EDATE($A72,-12*'Seasonal Factors'!$E$4),$A$7:$A$294,"&lt;="&amp;EDATE($A72,12*'Seasonal Factors'!$E$4)),"")</f>
        <v>1.32961626535186</v>
      </c>
      <c r="J72" s="24" t="n">
        <f aca="false">IFERROR(I72/AVERAGE(I67:I78),"")</f>
        <v>1.32781713137313</v>
      </c>
      <c r="K72" s="23" t="n">
        <f aca="false">IF(ISNUMBER(Tabelle1!G79),(0.5*Tabelle1!G67+SUM(Tabelle1!G68:G78)+0.5*Tabelle1!G79)/12,"")</f>
        <v>101.699453333333</v>
      </c>
      <c r="L72" s="24" t="n">
        <f aca="false">IFERROR(Tabelle1!G73/K72,"")</f>
        <v>0.986717398284278</v>
      </c>
      <c r="M72" s="24" t="n">
        <f aca="false">IFERROR(AVERAGEIFS($L$7:$L$294,$B$7:$B$294,$B72,$A$7:$A$294,"&gt;="&amp;EDATE($A72,-12*'Seasonal Factors'!$E$4),$A$7:$A$294,"&lt;="&amp;EDATE($A72,12*'Seasonal Factors'!$E$4)),"")</f>
        <v>0.989317747137779</v>
      </c>
      <c r="N72" s="24" t="n">
        <f aca="false">IFERROR(M72/AVERAGE(M67:M78),"")</f>
        <v>0.989429616552261</v>
      </c>
      <c r="O72" s="23" t="n">
        <f aca="false">IF(ISNUMBER(Tabelle1!H79),(0.5*Tabelle1!H67+SUM(Tabelle1!H68:H78)+0.5*Tabelle1!H79)/12,"")</f>
        <v>120.789885416667</v>
      </c>
      <c r="P72" s="24" t="n">
        <f aca="false">IFERROR(Tabelle1!H73/O72,"")</f>
        <v>0.993769549378488</v>
      </c>
      <c r="Q72" s="24" t="n">
        <f aca="false">IFERROR(AVERAGEIFS($P$7:$P$294,$B$7:$B$294,$B72,$A$7:$A$294,"&gt;="&amp;EDATE($A72,-12*'Seasonal Factors'!$E$4),$A$7:$A$294,"&lt;="&amp;EDATE($A72,12*'Seasonal Factors'!$E$4)),"")</f>
        <v>0.999264737744315</v>
      </c>
      <c r="R72" s="24" t="n">
        <f aca="false">IFERROR(Q72/AVERAGE(Q67:Q78),"")</f>
        <v>0.997897388952734</v>
      </c>
      <c r="S72" s="23" t="n">
        <f aca="false">IF(ISNUMBER(Tabelle1!I79),(0.5*Tabelle1!I67+SUM(Tabelle1!I68:I78)+0.5*Tabelle1!I79)/12,"")</f>
        <v>120.386245</v>
      </c>
      <c r="T72" s="24" t="n">
        <f aca="false">IFERROR(Tabelle1!I73/S72,"")</f>
        <v>1.07868020968675</v>
      </c>
      <c r="U72" s="24" t="n">
        <f aca="false">IFERROR(AVERAGEIFS($T$7:$T$294,$B$7:$B$294,$B72,$A$7:$A$294,"&gt;="&amp;EDATE($A72,-12*'Seasonal Factors'!$E$4),$A$7:$A$294,"&lt;="&amp;EDATE($A72,12*'Seasonal Factors'!$E$4)),"")</f>
        <v>1.02901414760589</v>
      </c>
      <c r="V72" s="24" t="n">
        <f aca="false">IFERROR(U72/AVERAGE(U67:U78),"")</f>
        <v>1.02815930855491</v>
      </c>
      <c r="W72" s="23" t="n">
        <f aca="false">IF(ISNUMBER(Tabelle1!J79),(0.5*Tabelle1!J67+SUM(Tabelle1!J68:J78)+0.5*Tabelle1!J79)/12,"")</f>
        <v>128.0068925</v>
      </c>
      <c r="X72" s="24" t="n">
        <f aca="false">IFERROR(Tabelle1!J73/W72,"")</f>
        <v>0.951096754418908</v>
      </c>
      <c r="Y72" s="24" t="n">
        <f aca="false">IFERROR(AVERAGEIFS($X$7:$X$294,$B$7:$B$294,$B72,$A$7:$A$294,"&gt;="&amp;EDATE($A72,-12*'Seasonal Factors'!$E$4),$A$7:$A$294,"&lt;="&amp;EDATE($A72,12*'Seasonal Factors'!$E$4)),"")</f>
        <v>0.986161211861045</v>
      </c>
      <c r="Z72" s="24" t="n">
        <f aca="false">IFERROR(Y72/AVERAGE(Y67:Y78),"")</f>
        <v>0.985821044754595</v>
      </c>
      <c r="AA72" s="23" t="n">
        <f aca="false">IF(ISNUMBER(Tabelle1!K79),(0.5*Tabelle1!K67+SUM(Tabelle1!K68:K78)+0.5*Tabelle1!K79)/12,"")</f>
        <v>131.576245833333</v>
      </c>
      <c r="AB72" s="24" t="n">
        <f aca="false">IFERROR(Tabelle1!K73/AA72,"")</f>
        <v>1.00995007995839</v>
      </c>
      <c r="AC72" s="24" t="n">
        <f aca="false">IFERROR(AVERAGEIFS($AB$7:$AB$294,$B$7:$B$294,$B72,$A$7:$A$294,"&gt;="&amp;EDATE($A72,-12*'Seasonal Factors'!$E$4),$A$7:$A$294,"&lt;="&amp;EDATE($A72,12*'Seasonal Factors'!$E$4)),"")</f>
        <v>1.01340840667552</v>
      </c>
      <c r="AD72" s="24" t="n">
        <f aca="false">IFERROR(AC72/AVERAGE(AC67:AC78),"")</f>
        <v>1.01170472859539</v>
      </c>
      <c r="AE72" s="23" t="n">
        <f aca="false">IF(ISNUMBER(Tabelle1!L79),(0.5*Tabelle1!L67+SUM(Tabelle1!L68:L78)+0.5*Tabelle1!L79)/12,"")</f>
        <v>135.34571875</v>
      </c>
      <c r="AF72" s="24" t="n">
        <f aca="false">IFERROR(Tabelle1!L73/AE72,"")</f>
        <v>0.937886334140141</v>
      </c>
      <c r="AG72" s="24" t="n">
        <f aca="false">IFERROR(AVERAGEIFS($AF$7:$AF$294,$B$7:$B$294,$B72,$A$7:$A$294,"&gt;="&amp;EDATE($A72,-12*'Seasonal Factors'!$E$4),$A$7:$A$294,"&lt;="&amp;EDATE($A72,12*'Seasonal Factors'!$E$4)),"")</f>
        <v>0.921189397782523</v>
      </c>
      <c r="AH72" s="24" t="n">
        <f aca="false">IFERROR(AG72/AVERAGE(AG67:AG78),"")</f>
        <v>0.92014246979819</v>
      </c>
      <c r="AI72" s="23" t="n">
        <f aca="false">IF(ISNUMBER(Tabelle1!M79),(0.5*Tabelle1!M67+SUM(Tabelle1!M68:M78)+0.5*Tabelle1!M79)/12,"")</f>
        <v>152.424015416667</v>
      </c>
      <c r="AJ72" s="24" t="n">
        <f aca="false">IFERROR(Tabelle1!M73/AI72,"")</f>
        <v>1.02861041661586</v>
      </c>
      <c r="AK72" s="24" t="n">
        <f aca="false">IFERROR(AVERAGEIFS($AJ$7:$AJ$294,$B$7:$B$294,$B72,$A$7:$A$294,"&gt;="&amp;EDATE($A72,-12*'Seasonal Factors'!$E$4),$A$7:$A$294,"&lt;="&amp;EDATE($A72,12*'Seasonal Factors'!$E$4)),"")</f>
        <v>1.03101181887442</v>
      </c>
      <c r="AL72" s="24" t="n">
        <f aca="false">IFERROR(AK72/AVERAGE(AK67:AK78),"")</f>
        <v>1.03031299679147</v>
      </c>
      <c r="AM72" s="23" t="n">
        <f aca="false">IF(ISNUMBER(Tabelle1!N79),(0.5*Tabelle1!N67+SUM(Tabelle1!N68:N78)+0.5*Tabelle1!N79)/12,"")</f>
        <v>150.156437083333</v>
      </c>
      <c r="AN72" s="24" t="n">
        <f aca="false">IFERROR(Tabelle1!N73/AM72,"")</f>
        <v>1.02476013009421</v>
      </c>
      <c r="AO72" s="24" t="n">
        <f aca="false">IFERROR(AVERAGEIFS($AN$7:$AN$294,$B$7:$B$294,$B72,$A$7:$A$294,"&gt;="&amp;EDATE($A72,-12*'Seasonal Factors'!$E$4),$A$7:$A$294,"&lt;="&amp;EDATE($A72,12*'Seasonal Factors'!$E$4)),"")</f>
        <v>1.01682402909592</v>
      </c>
      <c r="AP72" s="24" t="n">
        <f aca="false">IFERROR(AO72/AVERAGE(AO67:AO78),"")</f>
        <v>1.01656288323241</v>
      </c>
      <c r="AQ72" s="23" t="n">
        <f aca="false">IF(ISNUMBER(Tabelle1!O79),(0.5*Tabelle1!O67+SUM(Tabelle1!O68:O78)+0.5*Tabelle1!O79)/12,"")</f>
        <v>122.089085</v>
      </c>
      <c r="AR72" s="24" t="n">
        <f aca="false">IFERROR(Tabelle1!O73/AQ72,"")</f>
        <v>1.01519288149305</v>
      </c>
      <c r="AS72" s="24" t="n">
        <f aca="false">IFERROR(AVERAGEIFS($AR$7:$AR$294,$B$7:$B$294,$B72,$A$7:$A$294,"&gt;="&amp;EDATE($A72,-12*'Seasonal Factors'!$E$4),$A$7:$A$294,"&lt;="&amp;EDATE($A72,12*'Seasonal Factors'!$E$4)),"")</f>
        <v>1.01764368008854</v>
      </c>
      <c r="AT72" s="24" t="n">
        <f aca="false">IFERROR(AS72/AVERAGE(AS67:AS78),"")</f>
        <v>1.01735332068804</v>
      </c>
      <c r="AU72" s="23" t="n">
        <f aca="false">IF(ISNUMBER(Tabelle1!P79),(0.5*Tabelle1!P67+SUM(Tabelle1!P68:P78)+0.5*Tabelle1!P79)/12,"")</f>
        <v>123.4400675</v>
      </c>
      <c r="AV72" s="24" t="n">
        <f aca="false">IFERROR(Tabelle1!P73/AU72,"")</f>
        <v>0.993808351571098</v>
      </c>
      <c r="AW72" s="24" t="n">
        <f aca="false">IFERROR(AVERAGEIFS($AV$7:$AV$294,$B$7:$B$294,$B72,$A$7:$A$294,"&gt;="&amp;EDATE($A72,-12*'Seasonal Factors'!$E$4),$A$7:$A$294,"&lt;="&amp;EDATE($A72,12*'Seasonal Factors'!$E$4)),"")</f>
        <v>1.00752523063441</v>
      </c>
      <c r="AX72" s="24" t="n">
        <f aca="false">IFERROR(AW72/AVERAGE(AW67:AW78),"")</f>
        <v>1.00749171357652</v>
      </c>
      <c r="AY72" s="23" t="n">
        <f aca="false">IF(ISNUMBER(Tabelle1!Q79),(0.5*Tabelle1!Q67+SUM(Tabelle1!Q68:Q78)+0.5*Tabelle1!Q79)/12,"")</f>
        <v>126.009245416667</v>
      </c>
      <c r="AZ72" s="24" t="n">
        <f aca="false">IFERROR(Tabelle1!Q73/AY72,"")</f>
        <v>1.00190783289384</v>
      </c>
      <c r="BA72" s="24" t="n">
        <f aca="false">IFERROR(AVERAGEIFS($AZ$7:$AZ$294,$B$7:$B$294,$B72,$A$7:$A$294,"&gt;="&amp;EDATE($A72,-12*'Seasonal Factors'!$E$4),$A$7:$A$294,"&lt;="&amp;EDATE($A72,12*'Seasonal Factors'!$E$4)),"")</f>
        <v>1.01806530843503</v>
      </c>
      <c r="BB72" s="24" t="n">
        <f aca="false">IFERROR(BA72/AVERAGE(BA67:BA78),"")</f>
        <v>1.01791579066323</v>
      </c>
      <c r="BC72" s="23" t="n">
        <f aca="false">IF(ISNUMBER(Tabelle1!R79),(0.5*Tabelle1!R67+SUM(Tabelle1!R68:R78)+0.5*Tabelle1!R79)/12,"")</f>
        <v>136.280124583333</v>
      </c>
      <c r="BD72" s="24" t="n">
        <f aca="false">IFERROR(Tabelle1!R73/BC72,"")</f>
        <v>1.05762539064796</v>
      </c>
      <c r="BE72" s="24" t="n">
        <f aca="false">IFERROR(AVERAGEIFS($BD$7:$BD$294,$B$7:$B$294,$B72,$A$7:$A$294,"&gt;="&amp;EDATE($A72,-12*'Seasonal Factors'!$E$4),$A$7:$A$294,"&lt;="&amp;EDATE($A72,12*'Seasonal Factors'!$E$4)),"")</f>
        <v>1.07752593245221</v>
      </c>
      <c r="BF72" s="24" t="n">
        <f aca="false">IFERROR(BE72/AVERAGE(BE67:BE78),"")</f>
        <v>1.07762450849648</v>
      </c>
      <c r="BG72" s="23" t="n">
        <f aca="false">IF(ISNUMBER(Tabelle1!S79),(0.5*Tabelle1!S67+SUM(Tabelle1!S68:S78)+0.5*Tabelle1!S79)/12,"")</f>
        <v>137.863917083333</v>
      </c>
      <c r="BH72" s="24" t="n">
        <f aca="false">IFERROR(Tabelle1!S73/BG72,"")</f>
        <v>0.998277525487762</v>
      </c>
      <c r="BI72" s="24" t="n">
        <f aca="false">IFERROR(AVERAGEIFS($BH$7:$BH$294,$B$7:$B$294,$B72,$A$7:$A$294,"&gt;="&amp;EDATE($A72,-12*'Seasonal Factors'!$E$4),$A$7:$A$294,"&lt;="&amp;EDATE($A72,12*'Seasonal Factors'!$E$4)),"")</f>
        <v>1.00754838704276</v>
      </c>
      <c r="BJ72" s="24" t="n">
        <f aca="false">IFERROR(BI72/AVERAGE(BI67:BI78),"")</f>
        <v>1.00684770646804</v>
      </c>
    </row>
    <row r="73" customFormat="false" ht="15" hidden="false" customHeight="false" outlineLevel="0" collapsed="false">
      <c r="A73" s="20" t="n">
        <v>40025</v>
      </c>
      <c r="B73" s="22" t="n">
        <f aca="false">MONTH(A73)</f>
        <v>7</v>
      </c>
      <c r="C73" s="23" t="n">
        <f aca="false">IF(ISNUMBER(Tabelle1!E80),(0.5*Tabelle1!E68+SUM(Tabelle1!E69:E79)+0.5*Tabelle1!E80)/12,"")</f>
        <v>91.8908758333333</v>
      </c>
      <c r="D73" s="24" t="n">
        <f aca="false">IFERROR(Tabelle1!E74/C73,"")</f>
        <v>0.971560986772254</v>
      </c>
      <c r="E73" s="24" t="n">
        <f aca="false">IFERROR(AVERAGEIFS($D$7:$D$294,$B$7:$B$294,$B73,$A$7:$A$294,"&gt;="&amp;EDATE($A73,-12*'Seasonal Factors'!$E$4),$A$7:$A$294,"&lt;="&amp;EDATE($A73,12*'Seasonal Factors'!$E$4)),"")</f>
        <v>0.879210330651832</v>
      </c>
      <c r="F73" s="24" t="n">
        <f aca="false">IFERROR(E73/AVERAGE(E68:E79),"")</f>
        <v>0.8800880173621</v>
      </c>
      <c r="G73" s="23" t="n">
        <f aca="false">IF(ISNUMBER(Tabelle1!F80),(0.5*Tabelle1!F68+SUM(Tabelle1!F69:F79)+0.5*Tabelle1!F80)/12,"")</f>
        <v>111.38888375</v>
      </c>
      <c r="H73" s="24" t="n">
        <f aca="false">IFERROR(Tabelle1!F74/G73,"")</f>
        <v>0.865475591050619</v>
      </c>
      <c r="I73" s="24" t="n">
        <f aca="false">IFERROR(AVERAGEIFS($H$7:$H$294,$B$7:$B$294,$B73,$A$7:$A$294,"&gt;="&amp;EDATE($A73,-12*'Seasonal Factors'!$E$4),$A$7:$A$294,"&lt;="&amp;EDATE($A73,12*'Seasonal Factors'!$E$4)),"")</f>
        <v>1.19325658112025</v>
      </c>
      <c r="J73" s="24" t="n">
        <f aca="false">IFERROR(I73/AVERAGE(I68:I79),"")</f>
        <v>1.19211341474326</v>
      </c>
      <c r="K73" s="23" t="n">
        <f aca="false">IF(ISNUMBER(Tabelle1!G80),(0.5*Tabelle1!G68+SUM(Tabelle1!G69:G79)+0.5*Tabelle1!G80)/12,"")</f>
        <v>101.541570416667</v>
      </c>
      <c r="L73" s="24" t="n">
        <f aca="false">IFERROR(Tabelle1!G74/K73,"")</f>
        <v>1.01592785670634</v>
      </c>
      <c r="M73" s="24" t="n">
        <f aca="false">IFERROR(AVERAGEIFS($L$7:$L$294,$B$7:$B$294,$B73,$A$7:$A$294,"&gt;="&amp;EDATE($A73,-12*'Seasonal Factors'!$E$4),$A$7:$A$294,"&lt;="&amp;EDATE($A73,12*'Seasonal Factors'!$E$4)),"")</f>
        <v>1.02285610580076</v>
      </c>
      <c r="N73" s="24" t="n">
        <f aca="false">IFERROR(M73/AVERAGE(M68:M79),"")</f>
        <v>1.0230361998284</v>
      </c>
      <c r="O73" s="23" t="n">
        <f aca="false">IF(ISNUMBER(Tabelle1!H80),(0.5*Tabelle1!H68+SUM(Tabelle1!H69:H79)+0.5*Tabelle1!H80)/12,"")</f>
        <v>121.526161666667</v>
      </c>
      <c r="P73" s="24" t="n">
        <f aca="false">IFERROR(Tabelle1!H74/O73,"")</f>
        <v>1.02796581646885</v>
      </c>
      <c r="Q73" s="24" t="n">
        <f aca="false">IFERROR(AVERAGEIFS($P$7:$P$294,$B$7:$B$294,$B73,$A$7:$A$294,"&gt;="&amp;EDATE($A73,-12*'Seasonal Factors'!$E$4),$A$7:$A$294,"&lt;="&amp;EDATE($A73,12*'Seasonal Factors'!$E$4)),"")</f>
        <v>1.01845609297587</v>
      </c>
      <c r="R73" s="24" t="n">
        <f aca="false">IFERROR(Q73/AVERAGE(Q68:Q79),"")</f>
        <v>1.01750743728424</v>
      </c>
      <c r="S73" s="23" t="n">
        <f aca="false">IF(ISNUMBER(Tabelle1!I80),(0.5*Tabelle1!I68+SUM(Tabelle1!I69:I79)+0.5*Tabelle1!I80)/12,"")</f>
        <v>120.14040875</v>
      </c>
      <c r="T73" s="24" t="n">
        <f aca="false">IFERROR(Tabelle1!I74/S73,"")</f>
        <v>1.08894094302805</v>
      </c>
      <c r="U73" s="24" t="n">
        <f aca="false">IFERROR(AVERAGEIFS($T$7:$T$294,$B$7:$B$294,$B73,$A$7:$A$294,"&gt;="&amp;EDATE($A73,-12*'Seasonal Factors'!$E$4),$A$7:$A$294,"&lt;="&amp;EDATE($A73,12*'Seasonal Factors'!$E$4)),"")</f>
        <v>1.05386214616176</v>
      </c>
      <c r="V73" s="24" t="n">
        <f aca="false">IFERROR(U73/AVERAGE(U68:U79),"")</f>
        <v>1.05259266098682</v>
      </c>
      <c r="W73" s="23" t="n">
        <f aca="false">IF(ISNUMBER(Tabelle1!J80),(0.5*Tabelle1!J68+SUM(Tabelle1!J69:J79)+0.5*Tabelle1!J80)/12,"")</f>
        <v>128.219321666667</v>
      </c>
      <c r="X73" s="24" t="n">
        <f aca="false">IFERROR(Tabelle1!J74/W73,"")</f>
        <v>1.0383248660924</v>
      </c>
      <c r="Y73" s="24" t="n">
        <f aca="false">IFERROR(AVERAGEIFS($X$7:$X$294,$B$7:$B$294,$B73,$A$7:$A$294,"&gt;="&amp;EDATE($A73,-12*'Seasonal Factors'!$E$4),$A$7:$A$294,"&lt;="&amp;EDATE($A73,12*'Seasonal Factors'!$E$4)),"")</f>
        <v>1.01594601576166</v>
      </c>
      <c r="Z73" s="24" t="n">
        <f aca="false">IFERROR(Y73/AVERAGE(Y68:Y79),"")</f>
        <v>1.01542613171499</v>
      </c>
      <c r="AA73" s="23" t="n">
        <f aca="false">IF(ISNUMBER(Tabelle1!K80),(0.5*Tabelle1!K68+SUM(Tabelle1!K69:K79)+0.5*Tabelle1!K80)/12,"")</f>
        <v>132.051265</v>
      </c>
      <c r="AB73" s="24" t="n">
        <f aca="false">IFERROR(Tabelle1!K74/AA73,"")</f>
        <v>1.02544500425649</v>
      </c>
      <c r="AC73" s="24" t="n">
        <f aca="false">IFERROR(AVERAGEIFS($AB$7:$AB$294,$B$7:$B$294,$B73,$A$7:$A$294,"&gt;="&amp;EDATE($A73,-12*'Seasonal Factors'!$E$4),$A$7:$A$294,"&lt;="&amp;EDATE($A73,12*'Seasonal Factors'!$E$4)),"")</f>
        <v>1.0147582817453</v>
      </c>
      <c r="AD73" s="24" t="n">
        <f aca="false">IFERROR(AC73/AVERAGE(AC68:AC79),"")</f>
        <v>1.01330123022246</v>
      </c>
      <c r="AE73" s="23" t="n">
        <f aca="false">IF(ISNUMBER(Tabelle1!L80),(0.5*Tabelle1!L68+SUM(Tabelle1!L69:L79)+0.5*Tabelle1!L80)/12,"")</f>
        <v>136.088890416667</v>
      </c>
      <c r="AF73" s="24" t="n">
        <f aca="false">IFERROR(Tabelle1!L74/AE73,"")</f>
        <v>0.942033325479296</v>
      </c>
      <c r="AG73" s="24" t="n">
        <f aca="false">IFERROR(AVERAGEIFS($AF$7:$AF$294,$B$7:$B$294,$B73,$A$7:$A$294,"&gt;="&amp;EDATE($A73,-12*'Seasonal Factors'!$E$4),$A$7:$A$294,"&lt;="&amp;EDATE($A73,12*'Seasonal Factors'!$E$4)),"")</f>
        <v>1.00649514898312</v>
      </c>
      <c r="AH73" s="24" t="n">
        <f aca="false">IFERROR(AG73/AVERAGE(AG68:AG79),"")</f>
        <v>1.00590379212263</v>
      </c>
      <c r="AI73" s="23" t="n">
        <f aca="false">IF(ISNUMBER(Tabelle1!M80),(0.5*Tabelle1!M68+SUM(Tabelle1!M69:M79)+0.5*Tabelle1!M80)/12,"")</f>
        <v>153.0741275</v>
      </c>
      <c r="AJ73" s="24" t="n">
        <f aca="false">IFERROR(Tabelle1!M74/AI73,"")</f>
        <v>0.999120965102349</v>
      </c>
      <c r="AK73" s="24" t="n">
        <f aca="false">IFERROR(AVERAGEIFS($AJ$7:$AJ$294,$B$7:$B$294,$B73,$A$7:$A$294,"&gt;="&amp;EDATE($A73,-12*'Seasonal Factors'!$E$4),$A$7:$A$294,"&lt;="&amp;EDATE($A73,12*'Seasonal Factors'!$E$4)),"")</f>
        <v>1.01195545863583</v>
      </c>
      <c r="AL73" s="24" t="n">
        <f aca="false">IFERROR(AK73/AVERAGE(AK68:AK79),"")</f>
        <v>1.01152703393009</v>
      </c>
      <c r="AM73" s="23" t="n">
        <f aca="false">IF(ISNUMBER(Tabelle1!N80),(0.5*Tabelle1!N68+SUM(Tabelle1!N69:N79)+0.5*Tabelle1!N80)/12,"")</f>
        <v>150.042665416667</v>
      </c>
      <c r="AN73" s="24" t="n">
        <f aca="false">IFERROR(Tabelle1!N74/AM73,"")</f>
        <v>0.988394598217573</v>
      </c>
      <c r="AO73" s="24" t="n">
        <f aca="false">IFERROR(AVERAGEIFS($AN$7:$AN$294,$B$7:$B$294,$B73,$A$7:$A$294,"&gt;="&amp;EDATE($A73,-12*'Seasonal Factors'!$E$4),$A$7:$A$294,"&lt;="&amp;EDATE($A73,12*'Seasonal Factors'!$E$4)),"")</f>
        <v>0.989260238893197</v>
      </c>
      <c r="AP73" s="24" t="n">
        <f aca="false">IFERROR(AO73/AVERAGE(AO68:AO79),"")</f>
        <v>0.988498388312413</v>
      </c>
      <c r="AQ73" s="23" t="n">
        <f aca="false">IF(ISNUMBER(Tabelle1!O80),(0.5*Tabelle1!O68+SUM(Tabelle1!O69:O79)+0.5*Tabelle1!O80)/12,"")</f>
        <v>122.264207083333</v>
      </c>
      <c r="AR73" s="24" t="n">
        <f aca="false">IFERROR(Tabelle1!O74/AQ73,"")</f>
        <v>0.994080302808163</v>
      </c>
      <c r="AS73" s="24" t="n">
        <f aca="false">IFERROR(AVERAGEIFS($AR$7:$AR$294,$B$7:$B$294,$B73,$A$7:$A$294,"&gt;="&amp;EDATE($A73,-12*'Seasonal Factors'!$E$4),$A$7:$A$294,"&lt;="&amp;EDATE($A73,12*'Seasonal Factors'!$E$4)),"")</f>
        <v>1.00257495951343</v>
      </c>
      <c r="AT73" s="24" t="n">
        <f aca="false">IFERROR(AS73/AVERAGE(AS68:AS79),"")</f>
        <v>1.00209526509346</v>
      </c>
      <c r="AU73" s="23" t="n">
        <f aca="false">IF(ISNUMBER(Tabelle1!P80),(0.5*Tabelle1!P68+SUM(Tabelle1!P69:P79)+0.5*Tabelle1!P80)/12,"")</f>
        <v>123.965912916667</v>
      </c>
      <c r="AV73" s="24" t="n">
        <f aca="false">IFERROR(Tabelle1!P74/AU73,"")</f>
        <v>1.01058699970383</v>
      </c>
      <c r="AW73" s="24" t="n">
        <f aca="false">IFERROR(AVERAGEIFS($AV$7:$AV$294,$B$7:$B$294,$B73,$A$7:$A$294,"&gt;="&amp;EDATE($A73,-12*'Seasonal Factors'!$E$4),$A$7:$A$294,"&lt;="&amp;EDATE($A73,12*'Seasonal Factors'!$E$4)),"")</f>
        <v>1.00096216378964</v>
      </c>
      <c r="AX73" s="24" t="n">
        <f aca="false">IFERROR(AW73/AVERAGE(AW68:AW79),"")</f>
        <v>1.00088216365099</v>
      </c>
      <c r="AY73" s="23" t="n">
        <f aca="false">IF(ISNUMBER(Tabelle1!Q80),(0.5*Tabelle1!Q68+SUM(Tabelle1!Q69:Q79)+0.5*Tabelle1!Q80)/12,"")</f>
        <v>126.506674583333</v>
      </c>
      <c r="AZ73" s="24" t="n">
        <f aca="false">IFERROR(Tabelle1!Q74/AY73,"")</f>
        <v>1.01243907028502</v>
      </c>
      <c r="BA73" s="24" t="n">
        <f aca="false">IFERROR(AVERAGEIFS($AZ$7:$AZ$294,$B$7:$B$294,$B73,$A$7:$A$294,"&gt;="&amp;EDATE($A73,-12*'Seasonal Factors'!$E$4),$A$7:$A$294,"&lt;="&amp;EDATE($A73,12*'Seasonal Factors'!$E$4)),"")</f>
        <v>1.00630598751216</v>
      </c>
      <c r="BB73" s="24" t="n">
        <f aca="false">IFERROR(BA73/AVERAGE(BA68:BA79),"")</f>
        <v>1.00619779514229</v>
      </c>
      <c r="BC73" s="23" t="n">
        <f aca="false">IF(ISNUMBER(Tabelle1!R80),(0.5*Tabelle1!R68+SUM(Tabelle1!R69:R79)+0.5*Tabelle1!R80)/12,"")</f>
        <v>136.808385833333</v>
      </c>
      <c r="BD73" s="24" t="n">
        <f aca="false">IFERROR(Tabelle1!R74/BC73,"")</f>
        <v>1.02029688567519</v>
      </c>
      <c r="BE73" s="24" t="n">
        <f aca="false">IFERROR(AVERAGEIFS($BD$7:$BD$294,$B$7:$B$294,$B73,$A$7:$A$294,"&gt;="&amp;EDATE($A73,-12*'Seasonal Factors'!$E$4),$A$7:$A$294,"&lt;="&amp;EDATE($A73,12*'Seasonal Factors'!$E$4)),"")</f>
        <v>1.01253492278281</v>
      </c>
      <c r="BF73" s="24" t="n">
        <f aca="false">IFERROR(BE73/AVERAGE(BE68:BE79),"")</f>
        <v>1.01249253815623</v>
      </c>
      <c r="BG73" s="23" t="n">
        <f aca="false">IF(ISNUMBER(Tabelle1!S80),(0.5*Tabelle1!S68+SUM(Tabelle1!S69:S79)+0.5*Tabelle1!S80)/12,"")</f>
        <v>138.53501</v>
      </c>
      <c r="BH73" s="24" t="n">
        <f aca="false">IFERROR(Tabelle1!S74/BG73,"")</f>
        <v>1.03052448619306</v>
      </c>
      <c r="BI73" s="24" t="n">
        <f aca="false">IFERROR(AVERAGEIFS($BH$7:$BH$294,$B$7:$B$294,$B73,$A$7:$A$294,"&gt;="&amp;EDATE($A73,-12*'Seasonal Factors'!$E$4),$A$7:$A$294,"&lt;="&amp;EDATE($A73,12*'Seasonal Factors'!$E$4)),"")</f>
        <v>1.09523151354849</v>
      </c>
      <c r="BJ73" s="24" t="n">
        <f aca="false">IFERROR(BI73/AVERAGE(BI68:BI79),"")</f>
        <v>1.0944660608327</v>
      </c>
    </row>
    <row r="74" customFormat="false" ht="15" hidden="false" customHeight="false" outlineLevel="0" collapsed="false">
      <c r="A74" s="20" t="n">
        <v>40056</v>
      </c>
      <c r="B74" s="22" t="n">
        <f aca="false">MONTH(A74)</f>
        <v>8</v>
      </c>
      <c r="C74" s="23" t="n">
        <f aca="false">IF(ISNUMBER(Tabelle1!E81),(0.5*Tabelle1!E69+SUM(Tabelle1!E70:E80)+0.5*Tabelle1!E81)/12,"")</f>
        <v>91.8674616666667</v>
      </c>
      <c r="D74" s="24" t="n">
        <f aca="false">IFERROR(Tabelle1!E75/C74,"")</f>
        <v>0.704442996746926</v>
      </c>
      <c r="E74" s="24" t="n">
        <f aca="false">IFERROR(AVERAGEIFS($D$7:$D$294,$B$7:$B$294,$B74,$A$7:$A$294,"&gt;="&amp;EDATE($A74,-12*'Seasonal Factors'!$E$4),$A$7:$A$294,"&lt;="&amp;EDATE($A74,12*'Seasonal Factors'!$E$4)),"")</f>
        <v>0.584423933577964</v>
      </c>
      <c r="F74" s="24" t="n">
        <f aca="false">IFERROR(E74/AVERAGE(E69:E80),"")</f>
        <v>0.585169944713452</v>
      </c>
      <c r="G74" s="23" t="n">
        <f aca="false">IF(ISNUMBER(Tabelle1!F81),(0.5*Tabelle1!F69+SUM(Tabelle1!F70:F80)+0.5*Tabelle1!F81)/12,"")</f>
        <v>111.007669166667</v>
      </c>
      <c r="H74" s="24" t="n">
        <f aca="false">IFERROR(Tabelle1!F75/G74,"")</f>
        <v>1.33426790339703</v>
      </c>
      <c r="I74" s="24" t="n">
        <f aca="false">IFERROR(AVERAGEIFS($H$7:$H$294,$B$7:$B$294,$B74,$A$7:$A$294,"&gt;="&amp;EDATE($A74,-12*'Seasonal Factors'!$E$4),$A$7:$A$294,"&lt;="&amp;EDATE($A74,12*'Seasonal Factors'!$E$4)),"")</f>
        <v>1.18315537914531</v>
      </c>
      <c r="J74" s="24" t="n">
        <f aca="false">IFERROR(I74/AVERAGE(I69:I80),"")</f>
        <v>1.1861872510265</v>
      </c>
      <c r="K74" s="23" t="n">
        <f aca="false">IF(ISNUMBER(Tabelle1!G81),(0.5*Tabelle1!G69+SUM(Tabelle1!G70:G80)+0.5*Tabelle1!G81)/12,"")</f>
        <v>101.525997083333</v>
      </c>
      <c r="L74" s="24" t="n">
        <f aca="false">IFERROR(Tabelle1!G75/K74,"")</f>
        <v>0.92463716384826</v>
      </c>
      <c r="M74" s="24" t="n">
        <f aca="false">IFERROR(AVERAGEIFS($L$7:$L$294,$B$7:$B$294,$B74,$A$7:$A$294,"&gt;="&amp;EDATE($A74,-12*'Seasonal Factors'!$E$4),$A$7:$A$294,"&lt;="&amp;EDATE($A74,12*'Seasonal Factors'!$E$4)),"")</f>
        <v>1.01948706300097</v>
      </c>
      <c r="N74" s="24" t="n">
        <f aca="false">IFERROR(M74/AVERAGE(M69:M80),"")</f>
        <v>1.01960927436527</v>
      </c>
      <c r="O74" s="23" t="n">
        <f aca="false">IF(ISNUMBER(Tabelle1!H81),(0.5*Tabelle1!H69+SUM(Tabelle1!H70:H80)+0.5*Tabelle1!H81)/12,"")</f>
        <v>122.282338333333</v>
      </c>
      <c r="P74" s="24" t="n">
        <f aca="false">IFERROR(Tabelle1!H75/O74,"")</f>
        <v>1.02557746040267</v>
      </c>
      <c r="Q74" s="24" t="n">
        <f aca="false">IFERROR(AVERAGEIFS($P$7:$P$294,$B$7:$B$294,$B74,$A$7:$A$294,"&gt;="&amp;EDATE($A74,-12*'Seasonal Factors'!$E$4),$A$7:$A$294,"&lt;="&amp;EDATE($A74,12*'Seasonal Factors'!$E$4)),"")</f>
        <v>1.03097687676658</v>
      </c>
      <c r="R74" s="24" t="n">
        <f aca="false">IFERROR(Q74/AVERAGE(Q69:Q80),"")</f>
        <v>1.03045096090528</v>
      </c>
      <c r="S74" s="23" t="n">
        <f aca="false">IF(ISNUMBER(Tabelle1!I81),(0.5*Tabelle1!I69+SUM(Tabelle1!I70:I80)+0.5*Tabelle1!I81)/12,"")</f>
        <v>120.195740416667</v>
      </c>
      <c r="T74" s="24" t="n">
        <f aca="false">IFERROR(Tabelle1!I75/S74,"")</f>
        <v>1.00417194138158</v>
      </c>
      <c r="U74" s="24" t="n">
        <f aca="false">IFERROR(AVERAGEIFS($T$7:$T$294,$B$7:$B$294,$B74,$A$7:$A$294,"&gt;="&amp;EDATE($A74,-12*'Seasonal Factors'!$E$4),$A$7:$A$294,"&lt;="&amp;EDATE($A74,12*'Seasonal Factors'!$E$4)),"")</f>
        <v>1.03671215843796</v>
      </c>
      <c r="V74" s="24" t="n">
        <f aca="false">IFERROR(U74/AVERAGE(U69:U80),"")</f>
        <v>1.03579266479902</v>
      </c>
      <c r="W74" s="23" t="n">
        <f aca="false">IF(ISNUMBER(Tabelle1!J81),(0.5*Tabelle1!J69+SUM(Tabelle1!J70:J80)+0.5*Tabelle1!J81)/12,"")</f>
        <v>128.8928275</v>
      </c>
      <c r="X74" s="24" t="n">
        <f aca="false">IFERROR(Tabelle1!J75/W74,"")</f>
        <v>1.03082508605842</v>
      </c>
      <c r="Y74" s="24" t="n">
        <f aca="false">IFERROR(AVERAGEIFS($X$7:$X$294,$B$7:$B$294,$B74,$A$7:$A$294,"&gt;="&amp;EDATE($A74,-12*'Seasonal Factors'!$E$4),$A$7:$A$294,"&lt;="&amp;EDATE($A74,12*'Seasonal Factors'!$E$4)),"")</f>
        <v>1.02078196449031</v>
      </c>
      <c r="Z74" s="24" t="n">
        <f aca="false">IFERROR(Y74/AVERAGE(Y69:Y80),"")</f>
        <v>1.02036157282247</v>
      </c>
      <c r="AA74" s="23" t="n">
        <f aca="false">IF(ISNUMBER(Tabelle1!K81),(0.5*Tabelle1!K69+SUM(Tabelle1!K70:K80)+0.5*Tabelle1!K81)/12,"")</f>
        <v>132.62316375</v>
      </c>
      <c r="AB74" s="24" t="n">
        <f aca="false">IFERROR(Tabelle1!K75/AA74,"")</f>
        <v>0.995774239324765</v>
      </c>
      <c r="AC74" s="24" t="n">
        <f aca="false">IFERROR(AVERAGEIFS($AB$7:$AB$294,$B$7:$B$294,$B74,$A$7:$A$294,"&gt;="&amp;EDATE($A74,-12*'Seasonal Factors'!$E$4),$A$7:$A$294,"&lt;="&amp;EDATE($A74,12*'Seasonal Factors'!$E$4)),"")</f>
        <v>1.02284380045943</v>
      </c>
      <c r="AD74" s="24" t="n">
        <f aca="false">IFERROR(AC74/AVERAGE(AC69:AC80),"")</f>
        <v>1.02171128058839</v>
      </c>
      <c r="AE74" s="23" t="n">
        <f aca="false">IF(ISNUMBER(Tabelle1!L81),(0.5*Tabelle1!L69+SUM(Tabelle1!L70:L80)+0.5*Tabelle1!L81)/12,"")</f>
        <v>136.937514583333</v>
      </c>
      <c r="AF74" s="24" t="n">
        <f aca="false">IFERROR(Tabelle1!L75/AE74,"")</f>
        <v>0.946640373855429</v>
      </c>
      <c r="AG74" s="24" t="n">
        <f aca="false">IFERROR(AVERAGEIFS($AF$7:$AF$294,$B$7:$B$294,$B74,$A$7:$A$294,"&gt;="&amp;EDATE($A74,-12*'Seasonal Factors'!$E$4),$A$7:$A$294,"&lt;="&amp;EDATE($A74,12*'Seasonal Factors'!$E$4)),"")</f>
        <v>0.991068066541051</v>
      </c>
      <c r="AH74" s="24" t="n">
        <f aca="false">IFERROR(AG74/AVERAGE(AG69:AG80),"")</f>
        <v>0.990995337880534</v>
      </c>
      <c r="AI74" s="23" t="n">
        <f aca="false">IF(ISNUMBER(Tabelle1!M81),(0.5*Tabelle1!M69+SUM(Tabelle1!M70:M80)+0.5*Tabelle1!M81)/12,"")</f>
        <v>153.787262083333</v>
      </c>
      <c r="AJ74" s="24" t="n">
        <f aca="false">IFERROR(Tabelle1!M75/AI74,"")</f>
        <v>0.983368895130291</v>
      </c>
      <c r="AK74" s="24" t="n">
        <f aca="false">IFERROR(AVERAGEIFS($AJ$7:$AJ$294,$B$7:$B$294,$B74,$A$7:$A$294,"&gt;="&amp;EDATE($A74,-12*'Seasonal Factors'!$E$4),$A$7:$A$294,"&lt;="&amp;EDATE($A74,12*'Seasonal Factors'!$E$4)),"")</f>
        <v>0.999347656429584</v>
      </c>
      <c r="AL74" s="24" t="n">
        <f aca="false">IFERROR(AK74/AVERAGE(AK69:AK80),"")</f>
        <v>0.998907262791157</v>
      </c>
      <c r="AM74" s="23" t="n">
        <f aca="false">IF(ISNUMBER(Tabelle1!N81),(0.5*Tabelle1!N69+SUM(Tabelle1!N70:N80)+0.5*Tabelle1!N81)/12,"")</f>
        <v>149.811907916667</v>
      </c>
      <c r="AN74" s="24" t="n">
        <f aca="false">IFERROR(Tabelle1!N75/AM74,"")</f>
        <v>1.00311905835678</v>
      </c>
      <c r="AO74" s="24" t="n">
        <f aca="false">IFERROR(AVERAGEIFS($AN$7:$AN$294,$B$7:$B$294,$B74,$A$7:$A$294,"&gt;="&amp;EDATE($A74,-12*'Seasonal Factors'!$E$4),$A$7:$A$294,"&lt;="&amp;EDATE($A74,12*'Seasonal Factors'!$E$4)),"")</f>
        <v>1.01194420916239</v>
      </c>
      <c r="AP74" s="24" t="n">
        <f aca="false">IFERROR(AO74/AVERAGE(AO69:AO80),"")</f>
        <v>1.01097301551835</v>
      </c>
      <c r="AQ74" s="23" t="n">
        <f aca="false">IF(ISNUMBER(Tabelle1!O81),(0.5*Tabelle1!O69+SUM(Tabelle1!O70:O80)+0.5*Tabelle1!O81)/12,"")</f>
        <v>122.636832916667</v>
      </c>
      <c r="AR74" s="24" t="n">
        <f aca="false">IFERROR(Tabelle1!O75/AQ74,"")</f>
        <v>1.00067921750222</v>
      </c>
      <c r="AS74" s="24" t="n">
        <f aca="false">IFERROR(AVERAGEIFS($AR$7:$AR$294,$B$7:$B$294,$B74,$A$7:$A$294,"&gt;="&amp;EDATE($A74,-12*'Seasonal Factors'!$E$4),$A$7:$A$294,"&lt;="&amp;EDATE($A74,12*'Seasonal Factors'!$E$4)),"")</f>
        <v>1.0087892329094</v>
      </c>
      <c r="AT74" s="24" t="n">
        <f aca="false">IFERROR(AS74/AVERAGE(AS69:AS80),"")</f>
        <v>1.00827399430763</v>
      </c>
      <c r="AU74" s="23" t="n">
        <f aca="false">IF(ISNUMBER(Tabelle1!P81),(0.5*Tabelle1!P69+SUM(Tabelle1!P70:P80)+0.5*Tabelle1!P81)/12,"")</f>
        <v>124.551417083333</v>
      </c>
      <c r="AV74" s="24" t="n">
        <f aca="false">IFERROR(Tabelle1!P75/AU74,"")</f>
        <v>1.00781189760383</v>
      </c>
      <c r="AW74" s="24" t="n">
        <f aca="false">IFERROR(AVERAGEIFS($AV$7:$AV$294,$B$7:$B$294,$B74,$A$7:$A$294,"&gt;="&amp;EDATE($A74,-12*'Seasonal Factors'!$E$4),$A$7:$A$294,"&lt;="&amp;EDATE($A74,12*'Seasonal Factors'!$E$4)),"")</f>
        <v>1.00173476216998</v>
      </c>
      <c r="AX74" s="24" t="n">
        <f aca="false">IFERROR(AW74/AVERAGE(AW69:AW80),"")</f>
        <v>1.00164794472354</v>
      </c>
      <c r="AY74" s="23" t="n">
        <f aca="false">IF(ISNUMBER(Tabelle1!Q81),(0.5*Tabelle1!Q69+SUM(Tabelle1!Q70:Q80)+0.5*Tabelle1!Q81)/12,"")</f>
        <v>127.064586666667</v>
      </c>
      <c r="AZ74" s="24" t="n">
        <f aca="false">IFERROR(Tabelle1!Q75/AY74,"")</f>
        <v>1.01164426196274</v>
      </c>
      <c r="BA74" s="24" t="n">
        <f aca="false">IFERROR(AVERAGEIFS($AZ$7:$AZ$294,$B$7:$B$294,$B74,$A$7:$A$294,"&gt;="&amp;EDATE($A74,-12*'Seasonal Factors'!$E$4),$A$7:$A$294,"&lt;="&amp;EDATE($A74,12*'Seasonal Factors'!$E$4)),"")</f>
        <v>1.00713842312801</v>
      </c>
      <c r="BB74" s="24" t="n">
        <f aca="false">IFERROR(BA74/AVERAGE(BA69:BA80),"")</f>
        <v>1.00700615747608</v>
      </c>
      <c r="BC74" s="23" t="n">
        <f aca="false">IF(ISNUMBER(Tabelle1!R81),(0.5*Tabelle1!R69+SUM(Tabelle1!R70:R80)+0.5*Tabelle1!R81)/12,"")</f>
        <v>137.264232083333</v>
      </c>
      <c r="BD74" s="24" t="n">
        <f aca="false">IFERROR(Tabelle1!R75/BC74,"")</f>
        <v>1.04125042504321</v>
      </c>
      <c r="BE74" s="24" t="n">
        <f aca="false">IFERROR(AVERAGEIFS($BD$7:$BD$294,$B$7:$B$294,$B74,$A$7:$A$294,"&gt;="&amp;EDATE($A74,-12*'Seasonal Factors'!$E$4),$A$7:$A$294,"&lt;="&amp;EDATE($A74,12*'Seasonal Factors'!$E$4)),"")</f>
        <v>1.02774456981831</v>
      </c>
      <c r="BF74" s="24" t="n">
        <f aca="false">IFERROR(BE74/AVERAGE(BE69:BE80),"")</f>
        <v>1.02768577752019</v>
      </c>
      <c r="BG74" s="23" t="n">
        <f aca="false">IF(ISNUMBER(Tabelle1!S81),(0.5*Tabelle1!S69+SUM(Tabelle1!S70:S80)+0.5*Tabelle1!S81)/12,"")</f>
        <v>139.288624166667</v>
      </c>
      <c r="BH74" s="24" t="n">
        <f aca="false">IFERROR(Tabelle1!S75/BG74,"")</f>
        <v>1.02469351574051</v>
      </c>
      <c r="BI74" s="24" t="n">
        <f aca="false">IFERROR(AVERAGEIFS($BH$7:$BH$294,$B$7:$B$294,$B74,$A$7:$A$294,"&gt;="&amp;EDATE($A74,-12*'Seasonal Factors'!$E$4),$A$7:$A$294,"&lt;="&amp;EDATE($A74,12*'Seasonal Factors'!$E$4)),"")</f>
        <v>1.01866588231606</v>
      </c>
      <c r="BJ74" s="24" t="n">
        <f aca="false">IFERROR(BI74/AVERAGE(BI69:BI80),"")</f>
        <v>1.01817021243698</v>
      </c>
    </row>
    <row r="75" customFormat="false" ht="15" hidden="false" customHeight="false" outlineLevel="0" collapsed="false">
      <c r="A75" s="20" t="n">
        <v>40086</v>
      </c>
      <c r="B75" s="22" t="n">
        <f aca="false">MONTH(A75)</f>
        <v>9</v>
      </c>
      <c r="C75" s="23" t="n">
        <f aca="false">IF(ISNUMBER(Tabelle1!E82),(0.5*Tabelle1!E70+SUM(Tabelle1!E71:E81)+0.5*Tabelle1!E82)/12,"")</f>
        <v>93.0157704166667</v>
      </c>
      <c r="D75" s="24" t="n">
        <f aca="false">IFERROR(Tabelle1!E76/C75,"")</f>
        <v>0.677909775057903</v>
      </c>
      <c r="E75" s="24" t="n">
        <f aca="false">IFERROR(AVERAGEIFS($D$7:$D$294,$B$7:$B$294,$B75,$A$7:$A$294,"&gt;="&amp;EDATE($A75,-12*'Seasonal Factors'!$E$4),$A$7:$A$294,"&lt;="&amp;EDATE($A75,12*'Seasonal Factors'!$E$4)),"")</f>
        <v>0.554487996701442</v>
      </c>
      <c r="F75" s="24" t="n">
        <f aca="false">IFERROR(E75/AVERAGE(E70:E81),"")</f>
        <v>0.555790808537052</v>
      </c>
      <c r="G75" s="23" t="n">
        <f aca="false">IF(ISNUMBER(Tabelle1!F82),(0.5*Tabelle1!F70+SUM(Tabelle1!F71:F81)+0.5*Tabelle1!F82)/12,"")</f>
        <v>110.231514166667</v>
      </c>
      <c r="H75" s="24" t="n">
        <f aca="false">IFERROR(Tabelle1!F76/G75,"")</f>
        <v>1.34814151037887</v>
      </c>
      <c r="I75" s="24" t="n">
        <f aca="false">IFERROR(AVERAGEIFS($H$7:$H$294,$B$7:$B$294,$B75,$A$7:$A$294,"&gt;="&amp;EDATE($A75,-12*'Seasonal Factors'!$E$4),$A$7:$A$294,"&lt;="&amp;EDATE($A75,12*'Seasonal Factors'!$E$4)),"")</f>
        <v>1.02772862789393</v>
      </c>
      <c r="J75" s="24" t="n">
        <f aca="false">IFERROR(I75/AVERAGE(I70:I81),"")</f>
        <v>1.03500689711713</v>
      </c>
      <c r="K75" s="23" t="n">
        <f aca="false">IF(ISNUMBER(Tabelle1!G82),(0.5*Tabelle1!G70+SUM(Tabelle1!G71:G81)+0.5*Tabelle1!G82)/12,"")</f>
        <v>101.549754166667</v>
      </c>
      <c r="L75" s="24" t="n">
        <f aca="false">IFERROR(Tabelle1!G76/K75,"")</f>
        <v>0.986668759784048</v>
      </c>
      <c r="M75" s="24" t="n">
        <f aca="false">IFERROR(AVERAGEIFS($L$7:$L$294,$B$7:$B$294,$B75,$A$7:$A$294,"&gt;="&amp;EDATE($A75,-12*'Seasonal Factors'!$E$4),$A$7:$A$294,"&lt;="&amp;EDATE($A75,12*'Seasonal Factors'!$E$4)),"")</f>
        <v>1.00502923435256</v>
      </c>
      <c r="N75" s="24" t="n">
        <f aca="false">IFERROR(M75/AVERAGE(M70:M81),"")</f>
        <v>1.00498958347698</v>
      </c>
      <c r="O75" s="23" t="n">
        <f aca="false">IF(ISNUMBER(Tabelle1!H82),(0.5*Tabelle1!H70+SUM(Tabelle1!H71:H81)+0.5*Tabelle1!H82)/12,"")</f>
        <v>123.251835416667</v>
      </c>
      <c r="P75" s="24" t="n">
        <f aca="false">IFERROR(Tabelle1!H76/O75,"")</f>
        <v>1.02722957083753</v>
      </c>
      <c r="Q75" s="24" t="n">
        <f aca="false">IFERROR(AVERAGEIFS($P$7:$P$294,$B$7:$B$294,$B75,$A$7:$A$294,"&gt;="&amp;EDATE($A75,-12*'Seasonal Factors'!$E$4),$A$7:$A$294,"&lt;="&amp;EDATE($A75,12*'Seasonal Factors'!$E$4)),"")</f>
        <v>1.03803414918449</v>
      </c>
      <c r="R75" s="24" t="n">
        <f aca="false">IFERROR(Q75/AVERAGE(Q70:Q81),"")</f>
        <v>1.03792061657072</v>
      </c>
      <c r="S75" s="23" t="n">
        <f aca="false">IF(ISNUMBER(Tabelle1!I82),(0.5*Tabelle1!I70+SUM(Tabelle1!I71:I81)+0.5*Tabelle1!I82)/12,"")</f>
        <v>120.321195416667</v>
      </c>
      <c r="T75" s="24" t="n">
        <f aca="false">IFERROR(Tabelle1!I76/S75,"")</f>
        <v>0.96705970712025</v>
      </c>
      <c r="U75" s="24" t="n">
        <f aca="false">IFERROR(AVERAGEIFS($T$7:$T$294,$B$7:$B$294,$B75,$A$7:$A$294,"&gt;="&amp;EDATE($A75,-12*'Seasonal Factors'!$E$4),$A$7:$A$294,"&lt;="&amp;EDATE($A75,12*'Seasonal Factors'!$E$4)),"")</f>
        <v>0.963716987557319</v>
      </c>
      <c r="V75" s="24" t="n">
        <f aca="false">IFERROR(U75/AVERAGE(U70:U81),"")</f>
        <v>0.963513827142765</v>
      </c>
      <c r="W75" s="23" t="n">
        <f aca="false">IF(ISNUMBER(Tabelle1!J82),(0.5*Tabelle1!J70+SUM(Tabelle1!J71:J81)+0.5*Tabelle1!J82)/12,"")</f>
        <v>129.7265775</v>
      </c>
      <c r="X75" s="24" t="n">
        <f aca="false">IFERROR(Tabelle1!J76/W75,"")</f>
        <v>1.02758002692239</v>
      </c>
      <c r="Y75" s="24" t="n">
        <f aca="false">IFERROR(AVERAGEIFS($X$7:$X$294,$B$7:$B$294,$B75,$A$7:$A$294,"&gt;="&amp;EDATE($A75,-12*'Seasonal Factors'!$E$4),$A$7:$A$294,"&lt;="&amp;EDATE($A75,12*'Seasonal Factors'!$E$4)),"")</f>
        <v>1.02957859119062</v>
      </c>
      <c r="Z75" s="24" t="n">
        <f aca="false">IFERROR(Y75/AVERAGE(Y70:Y81),"")</f>
        <v>1.02950955960486</v>
      </c>
      <c r="AA75" s="23" t="n">
        <f aca="false">IF(ISNUMBER(Tabelle1!K82),(0.5*Tabelle1!K70+SUM(Tabelle1!K71:K81)+0.5*Tabelle1!K82)/12,"")</f>
        <v>133.591909166667</v>
      </c>
      <c r="AB75" s="24" t="n">
        <f aca="false">IFERROR(Tabelle1!K76/AA75,"")</f>
        <v>1.03562274738806</v>
      </c>
      <c r="AC75" s="24" t="n">
        <f aca="false">IFERROR(AVERAGEIFS($AB$7:$AB$294,$B$7:$B$294,$B75,$A$7:$A$294,"&gt;="&amp;EDATE($A75,-12*'Seasonal Factors'!$E$4),$A$7:$A$294,"&lt;="&amp;EDATE($A75,12*'Seasonal Factors'!$E$4)),"")</f>
        <v>1.02381884667637</v>
      </c>
      <c r="AD75" s="24" t="n">
        <f aca="false">IFERROR(AC75/AVERAGE(AC70:AC81),"")</f>
        <v>1.02355163031107</v>
      </c>
      <c r="AE75" s="23" t="n">
        <f aca="false">IF(ISNUMBER(Tabelle1!L82),(0.5*Tabelle1!L70+SUM(Tabelle1!L71:L81)+0.5*Tabelle1!L82)/12,"")</f>
        <v>137.844580416667</v>
      </c>
      <c r="AF75" s="24" t="n">
        <f aca="false">IFERROR(Tabelle1!L76/AE75,"")</f>
        <v>0.9710076347972</v>
      </c>
      <c r="AG75" s="24" t="n">
        <f aca="false">IFERROR(AVERAGEIFS($AF$7:$AF$294,$B$7:$B$294,$B75,$A$7:$A$294,"&gt;="&amp;EDATE($A75,-12*'Seasonal Factors'!$E$4),$A$7:$A$294,"&lt;="&amp;EDATE($A75,12*'Seasonal Factors'!$E$4)),"")</f>
        <v>1.00095856304987</v>
      </c>
      <c r="AH75" s="24" t="n">
        <f aca="false">IFERROR(AG75/AVERAGE(AG70:AG81),"")</f>
        <v>1.00144008407239</v>
      </c>
      <c r="AI75" s="23" t="n">
        <f aca="false">IF(ISNUMBER(Tabelle1!M82),(0.5*Tabelle1!M70+SUM(Tabelle1!M71:M81)+0.5*Tabelle1!M82)/12,"")</f>
        <v>154.591750833333</v>
      </c>
      <c r="AJ75" s="24" t="n">
        <f aca="false">IFERROR(Tabelle1!M76/AI75,"")</f>
        <v>0.981954853229259</v>
      </c>
      <c r="AK75" s="24" t="n">
        <f aca="false">IFERROR(AVERAGEIFS($AJ$7:$AJ$294,$B$7:$B$294,$B75,$A$7:$A$294,"&gt;="&amp;EDATE($A75,-12*'Seasonal Factors'!$E$4),$A$7:$A$294,"&lt;="&amp;EDATE($A75,12*'Seasonal Factors'!$E$4)),"")</f>
        <v>0.983828324072569</v>
      </c>
      <c r="AL75" s="24" t="n">
        <f aca="false">IFERROR(AK75/AVERAGE(AK70:AK81),"")</f>
        <v>0.983616465935382</v>
      </c>
      <c r="AM75" s="23" t="n">
        <f aca="false">IF(ISNUMBER(Tabelle1!N82),(0.5*Tabelle1!N70+SUM(Tabelle1!N71:N81)+0.5*Tabelle1!N82)/12,"")</f>
        <v>149.782295833333</v>
      </c>
      <c r="AN75" s="24" t="n">
        <f aca="false">IFERROR(Tabelle1!N76/AM75,"")</f>
        <v>1.02217020475078</v>
      </c>
      <c r="AO75" s="24" t="n">
        <f aca="false">IFERROR(AVERAGEIFS($AN$7:$AN$294,$B$7:$B$294,$B75,$A$7:$A$294,"&gt;="&amp;EDATE($A75,-12*'Seasonal Factors'!$E$4),$A$7:$A$294,"&lt;="&amp;EDATE($A75,12*'Seasonal Factors'!$E$4)),"")</f>
        <v>0.996029230827756</v>
      </c>
      <c r="AP75" s="24" t="n">
        <f aca="false">IFERROR(AO75/AVERAGE(AO70:AO81),"")</f>
        <v>0.995233215048849</v>
      </c>
      <c r="AQ75" s="23" t="n">
        <f aca="false">IF(ISNUMBER(Tabelle1!O82),(0.5*Tabelle1!O70+SUM(Tabelle1!O71:O81)+0.5*Tabelle1!O82)/12,"")</f>
        <v>123.077314166667</v>
      </c>
      <c r="AR75" s="24" t="n">
        <f aca="false">IFERROR(Tabelle1!O76/AQ75,"")</f>
        <v>1.00529761181212</v>
      </c>
      <c r="AS75" s="24" t="n">
        <f aca="false">IFERROR(AVERAGEIFS($AR$7:$AR$294,$B$7:$B$294,$B75,$A$7:$A$294,"&gt;="&amp;EDATE($A75,-12*'Seasonal Factors'!$E$4),$A$7:$A$294,"&lt;="&amp;EDATE($A75,12*'Seasonal Factors'!$E$4)),"")</f>
        <v>1.00795664058378</v>
      </c>
      <c r="AT75" s="24" t="n">
        <f aca="false">IFERROR(AS75/AVERAGE(AS70:AS81),"")</f>
        <v>1.00772357037286</v>
      </c>
      <c r="AU75" s="23" t="n">
        <f aca="false">IF(ISNUMBER(Tabelle1!P82),(0.5*Tabelle1!P70+SUM(Tabelle1!P71:P81)+0.5*Tabelle1!P82)/12,"")</f>
        <v>125.058464583333</v>
      </c>
      <c r="AV75" s="24" t="n">
        <f aca="false">IFERROR(Tabelle1!P76/AU75,"")</f>
        <v>1.01516023263986</v>
      </c>
      <c r="AW75" s="24" t="n">
        <f aca="false">IFERROR(AVERAGEIFS($AV$7:$AV$294,$B$7:$B$294,$B75,$A$7:$A$294,"&gt;="&amp;EDATE($A75,-12*'Seasonal Factors'!$E$4),$A$7:$A$294,"&lt;="&amp;EDATE($A75,12*'Seasonal Factors'!$E$4)),"")</f>
        <v>1.00353692399781</v>
      </c>
      <c r="AX75" s="24" t="n">
        <f aca="false">IFERROR(AW75/AVERAGE(AW70:AW81),"")</f>
        <v>1.00346190724545</v>
      </c>
      <c r="AY75" s="23" t="n">
        <f aca="false">IF(ISNUMBER(Tabelle1!Q82),(0.5*Tabelle1!Q70+SUM(Tabelle1!Q71:Q81)+0.5*Tabelle1!Q82)/12,"")</f>
        <v>127.65642375</v>
      </c>
      <c r="AZ75" s="24" t="n">
        <f aca="false">IFERROR(Tabelle1!Q76/AY75,"")</f>
        <v>1.02202769094885</v>
      </c>
      <c r="BA75" s="24" t="n">
        <f aca="false">IFERROR(AVERAGEIFS($AZ$7:$AZ$294,$B$7:$B$294,$B75,$A$7:$A$294,"&gt;="&amp;EDATE($A75,-12*'Seasonal Factors'!$E$4),$A$7:$A$294,"&lt;="&amp;EDATE($A75,12*'Seasonal Factors'!$E$4)),"")</f>
        <v>1.00976520206129</v>
      </c>
      <c r="BB75" s="24" t="n">
        <f aca="false">IFERROR(BA75/AVERAGE(BA70:BA81),"")</f>
        <v>1.00975474194156</v>
      </c>
      <c r="BC75" s="23" t="n">
        <f aca="false">IF(ISNUMBER(Tabelle1!R82),(0.5*Tabelle1!R70+SUM(Tabelle1!R71:R81)+0.5*Tabelle1!R82)/12,"")</f>
        <v>137.794942916667</v>
      </c>
      <c r="BD75" s="24" t="n">
        <f aca="false">IFERROR(Tabelle1!R76/BC75,"")</f>
        <v>1.02098122777323</v>
      </c>
      <c r="BE75" s="24" t="n">
        <f aca="false">IFERROR(AVERAGEIFS($BD$7:$BD$294,$B$7:$B$294,$B75,$A$7:$A$294,"&gt;="&amp;EDATE($A75,-12*'Seasonal Factors'!$E$4),$A$7:$A$294,"&lt;="&amp;EDATE($A75,12*'Seasonal Factors'!$E$4)),"")</f>
        <v>1.0055426956737</v>
      </c>
      <c r="BF75" s="24" t="n">
        <f aca="false">IFERROR(BE75/AVERAGE(BE70:BE81),"")</f>
        <v>1.00558921051268</v>
      </c>
      <c r="BG75" s="23" t="n">
        <f aca="false">IF(ISNUMBER(Tabelle1!S82),(0.5*Tabelle1!S70+SUM(Tabelle1!S71:S81)+0.5*Tabelle1!S82)/12,"")</f>
        <v>140.035242916667</v>
      </c>
      <c r="BH75" s="24" t="n">
        <f aca="false">IFERROR(Tabelle1!S76/BG75,"")</f>
        <v>1.00829024936261</v>
      </c>
      <c r="BI75" s="24" t="n">
        <f aca="false">IFERROR(AVERAGEIFS($BH$7:$BH$294,$B$7:$B$294,$B75,$A$7:$A$294,"&gt;="&amp;EDATE($A75,-12*'Seasonal Factors'!$E$4),$A$7:$A$294,"&lt;="&amp;EDATE($A75,12*'Seasonal Factors'!$E$4)),"")</f>
        <v>0.979141859961873</v>
      </c>
      <c r="BJ75" s="24" t="n">
        <f aca="false">IFERROR(BI75/AVERAGE(BI70:BI81),"")</f>
        <v>0.978610194950541</v>
      </c>
    </row>
    <row r="76" customFormat="false" ht="15" hidden="false" customHeight="false" outlineLevel="0" collapsed="false">
      <c r="A76" s="20" t="n">
        <v>40117</v>
      </c>
      <c r="B76" s="22" t="n">
        <f aca="false">MONTH(A76)</f>
        <v>10</v>
      </c>
      <c r="C76" s="23" t="n">
        <f aca="false">IF(ISNUMBER(Tabelle1!E83),(0.5*Tabelle1!E71+SUM(Tabelle1!E72:E82)+0.5*Tabelle1!E83)/12,"")</f>
        <v>98.3060358333333</v>
      </c>
      <c r="D76" s="24" t="n">
        <f aca="false">IFERROR(Tabelle1!E77/C76,"")</f>
        <v>0.63329122644665</v>
      </c>
      <c r="E76" s="24" t="n">
        <f aca="false">IFERROR(AVERAGEIFS($D$7:$D$294,$B$7:$B$294,$B76,$A$7:$A$294,"&gt;="&amp;EDATE($A76,-12*'Seasonal Factors'!$E$4),$A$7:$A$294,"&lt;="&amp;EDATE($A76,12*'Seasonal Factors'!$E$4)),"")</f>
        <v>0.560454696799199</v>
      </c>
      <c r="F76" s="24" t="n">
        <f aca="false">IFERROR(E76/AVERAGE(E71:E82),"")</f>
        <v>0.562019006992032</v>
      </c>
      <c r="G76" s="23" t="n">
        <f aca="false">IF(ISNUMBER(Tabelle1!F83),(0.5*Tabelle1!F71+SUM(Tabelle1!F72:F82)+0.5*Tabelle1!F83)/12,"")</f>
        <v>106.709147083333</v>
      </c>
      <c r="H76" s="24" t="n">
        <f aca="false">IFERROR(Tabelle1!F77/G76,"")</f>
        <v>1.08936631186096</v>
      </c>
      <c r="I76" s="24" t="n">
        <f aca="false">IFERROR(AVERAGEIFS($H$7:$H$294,$B$7:$B$294,$B76,$A$7:$A$294,"&gt;="&amp;EDATE($A76,-12*'Seasonal Factors'!$E$4),$A$7:$A$294,"&lt;="&amp;EDATE($A76,12*'Seasonal Factors'!$E$4)),"")</f>
        <v>0.915093853206693</v>
      </c>
      <c r="J76" s="24" t="n">
        <f aca="false">IFERROR(I76/AVERAGE(I71:I82),"")</f>
        <v>0.925371001181967</v>
      </c>
      <c r="K76" s="23" t="n">
        <f aca="false">IF(ISNUMBER(Tabelle1!G83),(0.5*Tabelle1!G71+SUM(Tabelle1!G72:G82)+0.5*Tabelle1!G83)/12,"")</f>
        <v>101.603810416667</v>
      </c>
      <c r="L76" s="24" t="n">
        <f aca="false">IFERROR(Tabelle1!G77/K76,"")</f>
        <v>1.03266707783618</v>
      </c>
      <c r="M76" s="24" t="n">
        <f aca="false">IFERROR(AVERAGEIFS($L$7:$L$294,$B$7:$B$294,$B76,$A$7:$A$294,"&gt;="&amp;EDATE($A76,-12*'Seasonal Factors'!$E$4),$A$7:$A$294,"&lt;="&amp;EDATE($A76,12*'Seasonal Factors'!$E$4)),"")</f>
        <v>1.02234357816045</v>
      </c>
      <c r="N76" s="24" t="n">
        <f aca="false">IFERROR(M76/AVERAGE(M71:M82),"")</f>
        <v>1.02255981743735</v>
      </c>
      <c r="O76" s="23" t="n">
        <f aca="false">IF(ISNUMBER(Tabelle1!H83),(0.5*Tabelle1!H71+SUM(Tabelle1!H72:H82)+0.5*Tabelle1!H83)/12,"")</f>
        <v>124.4480375</v>
      </c>
      <c r="P76" s="24" t="n">
        <f aca="false">IFERROR(Tabelle1!H77/O76,"")</f>
        <v>1.07476086153629</v>
      </c>
      <c r="Q76" s="24" t="n">
        <f aca="false">IFERROR(AVERAGEIFS($P$7:$P$294,$B$7:$B$294,$B76,$A$7:$A$294,"&gt;="&amp;EDATE($A76,-12*'Seasonal Factors'!$E$4),$A$7:$A$294,"&lt;="&amp;EDATE($A76,12*'Seasonal Factors'!$E$4)),"")</f>
        <v>1.06927056523441</v>
      </c>
      <c r="R76" s="24" t="n">
        <f aca="false">IFERROR(Q76/AVERAGE(Q71:Q82),"")</f>
        <v>1.0694294460618</v>
      </c>
      <c r="S76" s="23" t="n">
        <f aca="false">IF(ISNUMBER(Tabelle1!I83),(0.5*Tabelle1!I71+SUM(Tabelle1!I72:I82)+0.5*Tabelle1!I83)/12,"")</f>
        <v>120.350996666667</v>
      </c>
      <c r="T76" s="24" t="n">
        <f aca="false">IFERROR(Tabelle1!I77/S76,"")</f>
        <v>0.957690365616416</v>
      </c>
      <c r="U76" s="24" t="n">
        <f aca="false">IFERROR(AVERAGEIFS($T$7:$T$294,$B$7:$B$294,$B76,$A$7:$A$294,"&gt;="&amp;EDATE($A76,-12*'Seasonal Factors'!$E$4),$A$7:$A$294,"&lt;="&amp;EDATE($A76,12*'Seasonal Factors'!$E$4)),"")</f>
        <v>0.952525529527123</v>
      </c>
      <c r="V76" s="24" t="n">
        <f aca="false">IFERROR(U76/AVERAGE(U71:U82),"")</f>
        <v>0.952717565141907</v>
      </c>
      <c r="W76" s="23" t="n">
        <f aca="false">IF(ISNUMBER(Tabelle1!J83),(0.5*Tabelle1!J71+SUM(Tabelle1!J72:J82)+0.5*Tabelle1!J83)/12,"")</f>
        <v>130.926347083333</v>
      </c>
      <c r="X76" s="24" t="n">
        <f aca="false">IFERROR(Tabelle1!J77/W76,"")</f>
        <v>1.00371883068239</v>
      </c>
      <c r="Y76" s="24" t="n">
        <f aca="false">IFERROR(AVERAGEIFS($X$7:$X$294,$B$7:$B$294,$B76,$A$7:$A$294,"&gt;="&amp;EDATE($A76,-12*'Seasonal Factors'!$E$4),$A$7:$A$294,"&lt;="&amp;EDATE($A76,12*'Seasonal Factors'!$E$4)),"")</f>
        <v>0.985822992084942</v>
      </c>
      <c r="Z76" s="24" t="n">
        <f aca="false">IFERROR(Y76/AVERAGE(Y71:Y82),"")</f>
        <v>0.985781395597448</v>
      </c>
      <c r="AA76" s="23" t="n">
        <f aca="false">IF(ISNUMBER(Tabelle1!K83),(0.5*Tabelle1!K71+SUM(Tabelle1!K72:K82)+0.5*Tabelle1!K83)/12,"")</f>
        <v>134.888204166667</v>
      </c>
      <c r="AB76" s="24" t="n">
        <f aca="false">IFERROR(Tabelle1!K77/AA76,"")</f>
        <v>1.03435864434526</v>
      </c>
      <c r="AC76" s="24" t="n">
        <f aca="false">IFERROR(AVERAGEIFS($AB$7:$AB$294,$B$7:$B$294,$B76,$A$7:$A$294,"&gt;="&amp;EDATE($A76,-12*'Seasonal Factors'!$E$4),$A$7:$A$294,"&lt;="&amp;EDATE($A76,12*'Seasonal Factors'!$E$4)),"")</f>
        <v>1.03039288315549</v>
      </c>
      <c r="AD76" s="24" t="n">
        <f aca="false">IFERROR(AC76/AVERAGE(AC71:AC82),"")</f>
        <v>1.03059773481573</v>
      </c>
      <c r="AE76" s="23" t="n">
        <f aca="false">IF(ISNUMBER(Tabelle1!L83),(0.5*Tabelle1!L71+SUM(Tabelle1!L72:L82)+0.5*Tabelle1!L83)/12,"")</f>
        <v>138.704444166667</v>
      </c>
      <c r="AF76" s="24" t="n">
        <f aca="false">IFERROR(Tabelle1!L77/AE76,"")</f>
        <v>1.02679002720971</v>
      </c>
      <c r="AG76" s="24" t="n">
        <f aca="false">IFERROR(AVERAGEIFS($AF$7:$AF$294,$B$7:$B$294,$B76,$A$7:$A$294,"&gt;="&amp;EDATE($A76,-12*'Seasonal Factors'!$E$4),$A$7:$A$294,"&lt;="&amp;EDATE($A76,12*'Seasonal Factors'!$E$4)),"")</f>
        <v>1.01271177955684</v>
      </c>
      <c r="AH76" s="24" t="n">
        <f aca="false">IFERROR(AG76/AVERAGE(AG71:AG82),"")</f>
        <v>1.01306432905684</v>
      </c>
      <c r="AI76" s="23" t="n">
        <f aca="false">IF(ISNUMBER(Tabelle1!M83),(0.5*Tabelle1!M71+SUM(Tabelle1!M72:M82)+0.5*Tabelle1!M83)/12,"")</f>
        <v>155.690045416667</v>
      </c>
      <c r="AJ76" s="24" t="n">
        <f aca="false">IFERROR(Tabelle1!M77/AI76,"")</f>
        <v>0.994347323784823</v>
      </c>
      <c r="AK76" s="24" t="n">
        <f aca="false">IFERROR(AVERAGEIFS($AJ$7:$AJ$294,$B$7:$B$294,$B76,$A$7:$A$294,"&gt;="&amp;EDATE($A76,-12*'Seasonal Factors'!$E$4),$A$7:$A$294,"&lt;="&amp;EDATE($A76,12*'Seasonal Factors'!$E$4)),"")</f>
        <v>0.992086682370416</v>
      </c>
      <c r="AL76" s="24" t="n">
        <f aca="false">IFERROR(AK76/AVERAGE(AK71:AK82),"")</f>
        <v>0.991935406560335</v>
      </c>
      <c r="AM76" s="23" t="n">
        <f aca="false">IF(ISNUMBER(Tabelle1!N83),(0.5*Tabelle1!N71+SUM(Tabelle1!N72:N82)+0.5*Tabelle1!N83)/12,"")</f>
        <v>149.8305975</v>
      </c>
      <c r="AN76" s="24" t="n">
        <f aca="false">IFERROR(Tabelle1!N77/AM76,"")</f>
        <v>0.997279077125752</v>
      </c>
      <c r="AO76" s="24" t="n">
        <f aca="false">IFERROR(AVERAGEIFS($AN$7:$AN$294,$B$7:$B$294,$B76,$A$7:$A$294,"&gt;="&amp;EDATE($A76,-12*'Seasonal Factors'!$E$4),$A$7:$A$294,"&lt;="&amp;EDATE($A76,12*'Seasonal Factors'!$E$4)),"")</f>
        <v>1.00203053980739</v>
      </c>
      <c r="AP76" s="24" t="n">
        <f aca="false">IFERROR(AO76/AVERAGE(AO71:AO82),"")</f>
        <v>1.00136999706509</v>
      </c>
      <c r="AQ76" s="23" t="n">
        <f aca="false">IF(ISNUMBER(Tabelle1!O83),(0.5*Tabelle1!O71+SUM(Tabelle1!O72:O82)+0.5*Tabelle1!O83)/12,"")</f>
        <v>123.561729583333</v>
      </c>
      <c r="AR76" s="24" t="n">
        <f aca="false">IFERROR(Tabelle1!O77/AQ76,"")</f>
        <v>0.999037407587815</v>
      </c>
      <c r="AS76" s="24" t="n">
        <f aca="false">IFERROR(AVERAGEIFS($AR$7:$AR$294,$B$7:$B$294,$B76,$A$7:$A$294,"&gt;="&amp;EDATE($A76,-12*'Seasonal Factors'!$E$4),$A$7:$A$294,"&lt;="&amp;EDATE($A76,12*'Seasonal Factors'!$E$4)),"")</f>
        <v>1.01131789291229</v>
      </c>
      <c r="AT76" s="24" t="n">
        <f aca="false">IFERROR(AS76/AVERAGE(AS71:AS82),"")</f>
        <v>1.0112768749054</v>
      </c>
      <c r="AU76" s="23" t="n">
        <f aca="false">IF(ISNUMBER(Tabelle1!P83),(0.5*Tabelle1!P71+SUM(Tabelle1!P72:P82)+0.5*Tabelle1!P83)/12,"")</f>
        <v>125.6106875</v>
      </c>
      <c r="AV76" s="24" t="n">
        <f aca="false">IFERROR(Tabelle1!P77/AU76,"")</f>
        <v>1.00566466527779</v>
      </c>
      <c r="AW76" s="24" t="n">
        <f aca="false">IFERROR(AVERAGEIFS($AV$7:$AV$294,$B$7:$B$294,$B76,$A$7:$A$294,"&gt;="&amp;EDATE($A76,-12*'Seasonal Factors'!$E$4),$A$7:$A$294,"&lt;="&amp;EDATE($A76,12*'Seasonal Factors'!$E$4)),"")</f>
        <v>1.00072143342309</v>
      </c>
      <c r="AX76" s="24" t="n">
        <f aca="false">IFERROR(AW76/AVERAGE(AW71:AW82),"")</f>
        <v>1.00066754487877</v>
      </c>
      <c r="AY76" s="23" t="n">
        <f aca="false">IF(ISNUMBER(Tabelle1!Q83),(0.5*Tabelle1!Q71+SUM(Tabelle1!Q72:Q82)+0.5*Tabelle1!Q83)/12,"")</f>
        <v>128.309374583333</v>
      </c>
      <c r="AZ76" s="24" t="n">
        <f aca="false">IFERROR(Tabelle1!Q77/AY76,"")</f>
        <v>1.01456507307229</v>
      </c>
      <c r="BA76" s="24" t="n">
        <f aca="false">IFERROR(AVERAGEIFS($AZ$7:$AZ$294,$B$7:$B$294,$B76,$A$7:$A$294,"&gt;="&amp;EDATE($A76,-12*'Seasonal Factors'!$E$4),$A$7:$A$294,"&lt;="&amp;EDATE($A76,12*'Seasonal Factors'!$E$4)),"")</f>
        <v>1.00768944297295</v>
      </c>
      <c r="BB76" s="24" t="n">
        <f aca="false">IFERROR(BA76/AVERAGE(BA71:BA82),"")</f>
        <v>1.00767408730987</v>
      </c>
      <c r="BC76" s="23" t="n">
        <f aca="false">IF(ISNUMBER(Tabelle1!R83),(0.5*Tabelle1!R71+SUM(Tabelle1!R72:R82)+0.5*Tabelle1!R83)/12,"")</f>
        <v>138.319062916667</v>
      </c>
      <c r="BD76" s="24" t="n">
        <f aca="false">IFERROR(Tabelle1!R77/BC76,"")</f>
        <v>0.969960157124763</v>
      </c>
      <c r="BE76" s="24" t="n">
        <f aca="false">IFERROR(AVERAGEIFS($BD$7:$BD$294,$B$7:$B$294,$B76,$A$7:$A$294,"&gt;="&amp;EDATE($A76,-12*'Seasonal Factors'!$E$4),$A$7:$A$294,"&lt;="&amp;EDATE($A76,12*'Seasonal Factors'!$E$4)),"")</f>
        <v>0.965730354898436</v>
      </c>
      <c r="BF76" s="24" t="n">
        <f aca="false">IFERROR(BE76/AVERAGE(BE71:BE82),"")</f>
        <v>0.965448123246537</v>
      </c>
      <c r="BG76" s="23" t="n">
        <f aca="false">IF(ISNUMBER(Tabelle1!S83),(0.5*Tabelle1!S71+SUM(Tabelle1!S72:S82)+0.5*Tabelle1!S83)/12,"")</f>
        <v>140.63106</v>
      </c>
      <c r="BH76" s="24" t="n">
        <f aca="false">IFERROR(Tabelle1!S77/BG76,"")</f>
        <v>0.985048395425591</v>
      </c>
      <c r="BI76" s="24" t="n">
        <f aca="false">IFERROR(AVERAGEIFS($BH$7:$BH$294,$B$7:$B$294,$B76,$A$7:$A$294,"&gt;="&amp;EDATE($A76,-12*'Seasonal Factors'!$E$4),$A$7:$A$294,"&lt;="&amp;EDATE($A76,12*'Seasonal Factors'!$E$4)),"")</f>
        <v>0.983322004566887</v>
      </c>
      <c r="BJ76" s="24" t="n">
        <f aca="false">IFERROR(BI76/AVERAGE(BI71:BI82),"")</f>
        <v>0.98273612502359</v>
      </c>
    </row>
    <row r="77" customFormat="false" ht="15" hidden="false" customHeight="false" outlineLevel="0" collapsed="false">
      <c r="A77" s="20" t="n">
        <v>40147</v>
      </c>
      <c r="B77" s="22" t="n">
        <f aca="false">MONTH(A77)</f>
        <v>11</v>
      </c>
      <c r="C77" s="23" t="n">
        <f aca="false">IF(ISNUMBER(Tabelle1!E84),(0.5*Tabelle1!E72+SUM(Tabelle1!E73:E83)+0.5*Tabelle1!E84)/12,"")</f>
        <v>109.363570416667</v>
      </c>
      <c r="D77" s="24" t="n">
        <f aca="false">IFERROR(Tabelle1!E78/C77,"")</f>
        <v>0.697686164682604</v>
      </c>
      <c r="E77" s="24" t="n">
        <f aca="false">IFERROR(AVERAGEIFS($D$7:$D$294,$B$7:$B$294,$B77,$A$7:$A$294,"&gt;="&amp;EDATE($A77,-12*'Seasonal Factors'!$E$4),$A$7:$A$294,"&lt;="&amp;EDATE($A77,12*'Seasonal Factors'!$E$4)),"")</f>
        <v>0.693827579503645</v>
      </c>
      <c r="F77" s="24" t="n">
        <f aca="false">IFERROR(E77/AVERAGE(E72:E83),"")</f>
        <v>0.695058490666537</v>
      </c>
      <c r="G77" s="23" t="n">
        <f aca="false">IF(ISNUMBER(Tabelle1!F84),(0.5*Tabelle1!F72+SUM(Tabelle1!F73:F83)+0.5*Tabelle1!F84)/12,"")</f>
        <v>103.532290833333</v>
      </c>
      <c r="H77" s="24" t="n">
        <f aca="false">IFERROR(Tabelle1!F78/G77,"")</f>
        <v>0.78095132783412</v>
      </c>
      <c r="I77" s="24" t="n">
        <f aca="false">IFERROR(AVERAGEIFS($H$7:$H$294,$B$7:$B$294,$B77,$A$7:$A$294,"&gt;="&amp;EDATE($A77,-12*'Seasonal Factors'!$E$4),$A$7:$A$294,"&lt;="&amp;EDATE($A77,12*'Seasonal Factors'!$E$4)),"")</f>
        <v>0.642694215595425</v>
      </c>
      <c r="J77" s="24" t="n">
        <f aca="false">IFERROR(I77/AVERAGE(I72:I83),"")</f>
        <v>0.655899359664464</v>
      </c>
      <c r="K77" s="23" t="n">
        <f aca="false">IF(ISNUMBER(Tabelle1!G84),(0.5*Tabelle1!G72+SUM(Tabelle1!G73:G83)+0.5*Tabelle1!G84)/12,"")</f>
        <v>101.75535125</v>
      </c>
      <c r="L77" s="24" t="n">
        <f aca="false">IFERROR(Tabelle1!G78/K77,"")</f>
        <v>0.972822055881803</v>
      </c>
      <c r="M77" s="24" t="n">
        <f aca="false">IFERROR(AVERAGEIFS($L$7:$L$294,$B$7:$B$294,$B77,$A$7:$A$294,"&gt;="&amp;EDATE($A77,-12*'Seasonal Factors'!$E$4),$A$7:$A$294,"&lt;="&amp;EDATE($A77,12*'Seasonal Factors'!$E$4)),"")</f>
        <v>0.980113998239124</v>
      </c>
      <c r="N77" s="24" t="n">
        <f aca="false">IFERROR(M77/AVERAGE(M72:M83),"")</f>
        <v>0.98025526243195</v>
      </c>
      <c r="O77" s="23" t="n">
        <f aca="false">IF(ISNUMBER(Tabelle1!H84),(0.5*Tabelle1!H72+SUM(Tabelle1!H73:H83)+0.5*Tabelle1!H84)/12,"")</f>
        <v>125.644839583333</v>
      </c>
      <c r="P77" s="24" t="n">
        <f aca="false">IFERROR(Tabelle1!H78/O77,"")</f>
        <v>1.03960147056709</v>
      </c>
      <c r="Q77" s="24" t="n">
        <f aca="false">IFERROR(AVERAGEIFS($P$7:$P$294,$B$7:$B$294,$B77,$A$7:$A$294,"&gt;="&amp;EDATE($A77,-12*'Seasonal Factors'!$E$4),$A$7:$A$294,"&lt;="&amp;EDATE($A77,12*'Seasonal Factors'!$E$4)),"")</f>
        <v>1.03728695958451</v>
      </c>
      <c r="R77" s="24" t="n">
        <f aca="false">IFERROR(Q77/AVERAGE(Q72:Q83),"")</f>
        <v>1.03742911974552</v>
      </c>
      <c r="S77" s="23" t="n">
        <f aca="false">IF(ISNUMBER(Tabelle1!I84),(0.5*Tabelle1!I72+SUM(Tabelle1!I73:I83)+0.5*Tabelle1!I84)/12,"")</f>
        <v>120.330207083333</v>
      </c>
      <c r="T77" s="24" t="n">
        <f aca="false">IFERROR(Tabelle1!I78/S77,"")</f>
        <v>0.950423777803341</v>
      </c>
      <c r="U77" s="24" t="n">
        <f aca="false">IFERROR(AVERAGEIFS($T$7:$T$294,$B$7:$B$294,$B77,$A$7:$A$294,"&gt;="&amp;EDATE($A77,-12*'Seasonal Factors'!$E$4),$A$7:$A$294,"&lt;="&amp;EDATE($A77,12*'Seasonal Factors'!$E$4)),"")</f>
        <v>0.962740460514436</v>
      </c>
      <c r="V77" s="24" t="n">
        <f aca="false">IFERROR(U77/AVERAGE(U72:U83),"")</f>
        <v>0.963053167409385</v>
      </c>
      <c r="W77" s="23" t="n">
        <f aca="false">IF(ISNUMBER(Tabelle1!J84),(0.5*Tabelle1!J72+SUM(Tabelle1!J73:J83)+0.5*Tabelle1!J84)/12,"")</f>
        <v>132.394812083333</v>
      </c>
      <c r="X77" s="24" t="n">
        <f aca="false">IFERROR(Tabelle1!J78/W77,"")</f>
        <v>0.992734216181161</v>
      </c>
      <c r="Y77" s="24" t="n">
        <f aca="false">IFERROR(AVERAGEIFS($X$7:$X$294,$B$7:$B$294,$B77,$A$7:$A$294,"&gt;="&amp;EDATE($A77,-12*'Seasonal Factors'!$E$4),$A$7:$A$294,"&lt;="&amp;EDATE($A77,12*'Seasonal Factors'!$E$4)),"")</f>
        <v>0.991062831016964</v>
      </c>
      <c r="Z77" s="24" t="n">
        <f aca="false">IFERROR(Y77/AVERAGE(Y72:Y83),"")</f>
        <v>0.990996586144023</v>
      </c>
      <c r="AA77" s="23" t="n">
        <f aca="false">IF(ISNUMBER(Tabelle1!K84),(0.5*Tabelle1!K72+SUM(Tabelle1!K73:K83)+0.5*Tabelle1!K84)/12,"")</f>
        <v>136.316083333333</v>
      </c>
      <c r="AB77" s="24" t="n">
        <f aca="false">IFERROR(Tabelle1!K78/AA77,"")</f>
        <v>1.01542874923661</v>
      </c>
      <c r="AC77" s="24" t="n">
        <f aca="false">IFERROR(AVERAGEIFS($AB$7:$AB$294,$B$7:$B$294,$B77,$A$7:$A$294,"&gt;="&amp;EDATE($A77,-12*'Seasonal Factors'!$E$4),$A$7:$A$294,"&lt;="&amp;EDATE($A77,12*'Seasonal Factors'!$E$4)),"")</f>
        <v>1.02597496104172</v>
      </c>
      <c r="AD77" s="24" t="n">
        <f aca="false">IFERROR(AC77/AVERAGE(AC72:AC83),"")</f>
        <v>1.02656164601388</v>
      </c>
      <c r="AE77" s="23" t="n">
        <f aca="false">IF(ISNUMBER(Tabelle1!L84),(0.5*Tabelle1!L72+SUM(Tabelle1!L73:L83)+0.5*Tabelle1!L84)/12,"")</f>
        <v>139.4546675</v>
      </c>
      <c r="AF77" s="24" t="n">
        <f aca="false">IFERROR(Tabelle1!L78/AE77,"")</f>
        <v>1.02252877265653</v>
      </c>
      <c r="AG77" s="24" t="n">
        <f aca="false">IFERROR(AVERAGEIFS($AF$7:$AF$294,$B$7:$B$294,$B77,$A$7:$A$294,"&gt;="&amp;EDATE($A77,-12*'Seasonal Factors'!$E$4),$A$7:$A$294,"&lt;="&amp;EDATE($A77,12*'Seasonal Factors'!$E$4)),"")</f>
        <v>1.01882435169935</v>
      </c>
      <c r="AH77" s="24" t="n">
        <f aca="false">IFERROR(AG77/AVERAGE(AG72:AG83),"")</f>
        <v>1.0188717423049</v>
      </c>
      <c r="AI77" s="23" t="n">
        <f aca="false">IF(ISNUMBER(Tabelle1!M84),(0.5*Tabelle1!M72+SUM(Tabelle1!M73:M83)+0.5*Tabelle1!M84)/12,"")</f>
        <v>157.20753125</v>
      </c>
      <c r="AJ77" s="24" t="n">
        <f aca="false">IFERROR(Tabelle1!M78/AI77,"")</f>
        <v>0.981982979902561</v>
      </c>
      <c r="AK77" s="24" t="n">
        <f aca="false">IFERROR(AVERAGEIFS($AJ$7:$AJ$294,$B$7:$B$294,$B77,$A$7:$A$294,"&gt;="&amp;EDATE($A77,-12*'Seasonal Factors'!$E$4),$A$7:$A$294,"&lt;="&amp;EDATE($A77,12*'Seasonal Factors'!$E$4)),"")</f>
        <v>0.984285335033533</v>
      </c>
      <c r="AL77" s="24" t="n">
        <f aca="false">IFERROR(AK77/AVERAGE(AK72:AK83),"")</f>
        <v>0.984283202176332</v>
      </c>
      <c r="AM77" s="23" t="n">
        <f aca="false">IF(ISNUMBER(Tabelle1!N84),(0.5*Tabelle1!N72+SUM(Tabelle1!N73:N83)+0.5*Tabelle1!N84)/12,"")</f>
        <v>149.91466</v>
      </c>
      <c r="AN77" s="24" t="n">
        <f aca="false">IFERROR(Tabelle1!N78/AM77,"")</f>
        <v>0.996977413683225</v>
      </c>
      <c r="AO77" s="24" t="n">
        <f aca="false">IFERROR(AVERAGEIFS($AN$7:$AN$294,$B$7:$B$294,$B77,$A$7:$A$294,"&gt;="&amp;EDATE($A77,-12*'Seasonal Factors'!$E$4),$A$7:$A$294,"&lt;="&amp;EDATE($A77,12*'Seasonal Factors'!$E$4)),"")</f>
        <v>0.995574615758377</v>
      </c>
      <c r="AP77" s="24" t="n">
        <f aca="false">IFERROR(AO77/AVERAGE(AO72:AO83),"")</f>
        <v>0.995231517473963</v>
      </c>
      <c r="AQ77" s="23" t="n">
        <f aca="false">IF(ISNUMBER(Tabelle1!O84),(0.5*Tabelle1!O72+SUM(Tabelle1!O73:O83)+0.5*Tabelle1!O84)/12,"")</f>
        <v>124.048483333333</v>
      </c>
      <c r="AR77" s="24" t="n">
        <f aca="false">IFERROR(Tabelle1!O78/AQ77,"")</f>
        <v>1.00450071336355</v>
      </c>
      <c r="AS77" s="24" t="n">
        <f aca="false">IFERROR(AVERAGEIFS($AR$7:$AR$294,$B$7:$B$294,$B77,$A$7:$A$294,"&gt;="&amp;EDATE($A77,-12*'Seasonal Factors'!$E$4),$A$7:$A$294,"&lt;="&amp;EDATE($A77,12*'Seasonal Factors'!$E$4)),"")</f>
        <v>1.02003233822388</v>
      </c>
      <c r="AT77" s="24" t="n">
        <f aca="false">IFERROR(AS77/AVERAGE(AS72:AS83),"")</f>
        <v>1.02008341093687</v>
      </c>
      <c r="AU77" s="23" t="n">
        <f aca="false">IF(ISNUMBER(Tabelle1!P84),(0.5*Tabelle1!P72+SUM(Tabelle1!P73:P83)+0.5*Tabelle1!P84)/12,"")</f>
        <v>126.191864166667</v>
      </c>
      <c r="AV77" s="24" t="n">
        <f aca="false">IFERROR(Tabelle1!P78/AU77,"")</f>
        <v>1.00850653756819</v>
      </c>
      <c r="AW77" s="24" t="n">
        <f aca="false">IFERROR(AVERAGEIFS($AV$7:$AV$294,$B$7:$B$294,$B77,$A$7:$A$294,"&gt;="&amp;EDATE($A77,-12*'Seasonal Factors'!$E$4),$A$7:$A$294,"&lt;="&amp;EDATE($A77,12*'Seasonal Factors'!$E$4)),"")</f>
        <v>1.00515525096733</v>
      </c>
      <c r="AX77" s="24" t="n">
        <f aca="false">IFERROR(AW77/AVERAGE(AW72:AW83),"")</f>
        <v>1.0051414865363</v>
      </c>
      <c r="AY77" s="23" t="n">
        <f aca="false">IF(ISNUMBER(Tabelle1!Q84),(0.5*Tabelle1!Q72+SUM(Tabelle1!Q73:Q83)+0.5*Tabelle1!Q84)/12,"")</f>
        <v>128.977205416667</v>
      </c>
      <c r="AZ77" s="24" t="n">
        <f aca="false">IFERROR(Tabelle1!Q78/AY77,"")</f>
        <v>1.01574839970188</v>
      </c>
      <c r="BA77" s="24" t="n">
        <f aca="false">IFERROR(AVERAGEIFS($AZ$7:$AZ$294,$B$7:$B$294,$B77,$A$7:$A$294,"&gt;="&amp;EDATE($A77,-12*'Seasonal Factors'!$E$4),$A$7:$A$294,"&lt;="&amp;EDATE($A77,12*'Seasonal Factors'!$E$4)),"")</f>
        <v>1.01184884179778</v>
      </c>
      <c r="BB77" s="24" t="n">
        <f aca="false">IFERROR(BA77/AVERAGE(BA72:BA83),"")</f>
        <v>1.01185035371362</v>
      </c>
      <c r="BC77" s="23" t="n">
        <f aca="false">IF(ISNUMBER(Tabelle1!R84),(0.5*Tabelle1!R72+SUM(Tabelle1!R73:R83)+0.5*Tabelle1!R84)/12,"")</f>
        <v>138.809739166667</v>
      </c>
      <c r="BD77" s="24" t="n">
        <f aca="false">IFERROR(Tabelle1!R78/BC77,"")</f>
        <v>0.969053474255802</v>
      </c>
      <c r="BE77" s="24" t="n">
        <f aca="false">IFERROR(AVERAGEIFS($BD$7:$BD$294,$B$7:$B$294,$B77,$A$7:$A$294,"&gt;="&amp;EDATE($A77,-12*'Seasonal Factors'!$E$4),$A$7:$A$294,"&lt;="&amp;EDATE($A77,12*'Seasonal Factors'!$E$4)),"")</f>
        <v>0.961580390913151</v>
      </c>
      <c r="BF77" s="24" t="n">
        <f aca="false">IFERROR(BE77/AVERAGE(BE72:BE83),"")</f>
        <v>0.960967792168679</v>
      </c>
      <c r="BG77" s="23" t="n">
        <f aca="false">IF(ISNUMBER(Tabelle1!S84),(0.5*Tabelle1!S72+SUM(Tabelle1!S73:S83)+0.5*Tabelle1!S84)/12,"")</f>
        <v>141.13650625</v>
      </c>
      <c r="BH77" s="24" t="n">
        <f aca="false">IFERROR(Tabelle1!S78/BG77,"")</f>
        <v>0.980787421185013</v>
      </c>
      <c r="BI77" s="24" t="n">
        <f aca="false">IFERROR(AVERAGEIFS($BH$7:$BH$294,$B$7:$B$294,$B77,$A$7:$A$294,"&gt;="&amp;EDATE($A77,-12*'Seasonal Factors'!$E$4),$A$7:$A$294,"&lt;="&amp;EDATE($A77,12*'Seasonal Factors'!$E$4)),"")</f>
        <v>0.9761185239907</v>
      </c>
      <c r="BJ77" s="24" t="n">
        <f aca="false">IFERROR(BI77/AVERAGE(BI72:BI83),"")</f>
        <v>0.975573881064065</v>
      </c>
    </row>
    <row r="78" customFormat="false" ht="15" hidden="false" customHeight="false" outlineLevel="0" collapsed="false">
      <c r="A78" s="20" t="n">
        <v>40178</v>
      </c>
      <c r="B78" s="22" t="n">
        <f aca="false">MONTH(A78)</f>
        <v>12</v>
      </c>
      <c r="C78" s="23" t="n">
        <f aca="false">IF(ISNUMBER(Tabelle1!E85),(0.5*Tabelle1!E73+SUM(Tabelle1!E74:E84)+0.5*Tabelle1!E85)/12,"")</f>
        <v>120.441942916667</v>
      </c>
      <c r="D78" s="24" t="n">
        <f aca="false">IFERROR(Tabelle1!E79/C78,"")</f>
        <v>0.601768771283833</v>
      </c>
      <c r="E78" s="24" t="n">
        <f aca="false">IFERROR(AVERAGEIFS($D$7:$D$294,$B$7:$B$294,$B78,$A$7:$A$294,"&gt;="&amp;EDATE($A78,-12*'Seasonal Factors'!$E$4),$A$7:$A$294,"&lt;="&amp;EDATE($A78,12*'Seasonal Factors'!$E$4)),"")</f>
        <v>0.757955262872014</v>
      </c>
      <c r="F78" s="24" t="n">
        <f aca="false">IFERROR(E78/AVERAGE(E73:E84),"")</f>
        <v>0.758880729583553</v>
      </c>
      <c r="G78" s="23" t="n">
        <f aca="false">IF(ISNUMBER(Tabelle1!F85),(0.5*Tabelle1!F73+SUM(Tabelle1!F74:F84)+0.5*Tabelle1!F85)/12,"")</f>
        <v>104.611334583333</v>
      </c>
      <c r="H78" s="24" t="n">
        <f aca="false">IFERROR(Tabelle1!F79/G78,"")</f>
        <v>0.72817233718894</v>
      </c>
      <c r="I78" s="24" t="n">
        <f aca="false">IFERROR(AVERAGEIFS($H$7:$H$294,$B$7:$B$294,$B78,$A$7:$A$294,"&gt;="&amp;EDATE($A78,-12*'Seasonal Factors'!$E$4),$A$7:$A$294,"&lt;="&amp;EDATE($A78,12*'Seasonal Factors'!$E$4)),"")</f>
        <v>0.628956098645745</v>
      </c>
      <c r="J78" s="24" t="n">
        <f aca="false">IFERROR(I78/AVERAGE(I73:I84),"")</f>
        <v>0.640266820504437</v>
      </c>
      <c r="K78" s="23" t="n">
        <f aca="false">IF(ISNUMBER(Tabelle1!G85),(0.5*Tabelle1!G73+SUM(Tabelle1!G74:G84)+0.5*Tabelle1!G85)/12,"")</f>
        <v>102.045535833333</v>
      </c>
      <c r="L78" s="24" t="n">
        <f aca="false">IFERROR(Tabelle1!G79/K78,"")</f>
        <v>0.998496986349468</v>
      </c>
      <c r="M78" s="24" t="n">
        <f aca="false">IFERROR(AVERAGEIFS($L$7:$L$294,$B$7:$B$294,$B78,$A$7:$A$294,"&gt;="&amp;EDATE($A78,-12*'Seasonal Factors'!$E$4),$A$7:$A$294,"&lt;="&amp;EDATE($A78,12*'Seasonal Factors'!$E$4)),"")</f>
        <v>0.998814791701502</v>
      </c>
      <c r="N78" s="24" t="n">
        <f aca="false">IFERROR(M78/AVERAGE(M73:M84),"")</f>
        <v>0.998995969894317</v>
      </c>
      <c r="O78" s="23" t="n">
        <f aca="false">IF(ISNUMBER(Tabelle1!H85),(0.5*Tabelle1!H73+SUM(Tabelle1!H74:H84)+0.5*Tabelle1!H85)/12,"")</f>
        <v>126.89439875</v>
      </c>
      <c r="P78" s="24" t="n">
        <f aca="false">IFERROR(Tabelle1!H79/O78,"")</f>
        <v>0.994498190961325</v>
      </c>
      <c r="Q78" s="24" t="n">
        <f aca="false">IFERROR(AVERAGEIFS($P$7:$P$294,$B$7:$B$294,$B78,$A$7:$A$294,"&gt;="&amp;EDATE($A78,-12*'Seasonal Factors'!$E$4),$A$7:$A$294,"&lt;="&amp;EDATE($A78,12*'Seasonal Factors'!$E$4)),"")</f>
        <v>0.99095580381692</v>
      </c>
      <c r="R78" s="24" t="n">
        <f aca="false">IFERROR(Q78/AVERAGE(Q73:Q84),"")</f>
        <v>0.991115062147145</v>
      </c>
      <c r="S78" s="23" t="n">
        <f aca="false">IF(ISNUMBER(Tabelle1!I85),(0.5*Tabelle1!I73+SUM(Tabelle1!I74:I84)+0.5*Tabelle1!I85)/12,"")</f>
        <v>120.067508333333</v>
      </c>
      <c r="T78" s="24" t="n">
        <f aca="false">IFERROR(Tabelle1!I79/S78,"")</f>
        <v>0.963186474053729</v>
      </c>
      <c r="U78" s="24" t="n">
        <f aca="false">IFERROR(AVERAGEIFS($T$7:$T$294,$B$7:$B$294,$B78,$A$7:$A$294,"&gt;="&amp;EDATE($A78,-12*'Seasonal Factors'!$E$4),$A$7:$A$294,"&lt;="&amp;EDATE($A78,12*'Seasonal Factors'!$E$4)),"")</f>
        <v>1.0259817087738</v>
      </c>
      <c r="V78" s="24" t="n">
        <f aca="false">IFERROR(U78/AVERAGE(U73:U84),"")</f>
        <v>1.02598247348587</v>
      </c>
      <c r="W78" s="23" t="n">
        <f aca="false">IF(ISNUMBER(Tabelle1!J85),(0.5*Tabelle1!J73+SUM(Tabelle1!J74:J84)+0.5*Tabelle1!J85)/12,"")</f>
        <v>133.852802916667</v>
      </c>
      <c r="X78" s="24" t="n">
        <f aca="false">IFERROR(Tabelle1!J79/W78,"")</f>
        <v>0.951550339063844</v>
      </c>
      <c r="Y78" s="24" t="n">
        <f aca="false">IFERROR(AVERAGEIFS($X$7:$X$294,$B$7:$B$294,$B78,$A$7:$A$294,"&gt;="&amp;EDATE($A78,-12*'Seasonal Factors'!$E$4),$A$7:$A$294,"&lt;="&amp;EDATE($A78,12*'Seasonal Factors'!$E$4)),"")</f>
        <v>0.960093447982298</v>
      </c>
      <c r="Z78" s="24" t="n">
        <f aca="false">IFERROR(Y78/AVERAGE(Y73:Y84),"")</f>
        <v>0.959961770312625</v>
      </c>
      <c r="AA78" s="23" t="n">
        <f aca="false">IF(ISNUMBER(Tabelle1!K85),(0.5*Tabelle1!K73+SUM(Tabelle1!K74:K84)+0.5*Tabelle1!K85)/12,"")</f>
        <v>137.84590625</v>
      </c>
      <c r="AB78" s="24" t="n">
        <f aca="false">IFERROR(Tabelle1!K79/AA78,"")</f>
        <v>0.954404186377497</v>
      </c>
      <c r="AC78" s="24" t="n">
        <f aca="false">IFERROR(AVERAGEIFS($AB$7:$AB$294,$B$7:$B$294,$B78,$A$7:$A$294,"&gt;="&amp;EDATE($A78,-12*'Seasonal Factors'!$E$4),$A$7:$A$294,"&lt;="&amp;EDATE($A78,12*'Seasonal Factors'!$E$4)),"")</f>
        <v>0.949372664382782</v>
      </c>
      <c r="AD78" s="24" t="n">
        <f aca="false">IFERROR(AC78/AVERAGE(AC73:AC84),"")</f>
        <v>0.950199711317096</v>
      </c>
      <c r="AE78" s="23" t="n">
        <f aca="false">IF(ISNUMBER(Tabelle1!L85),(0.5*Tabelle1!L73+SUM(Tabelle1!L74:L84)+0.5*Tabelle1!L85)/12,"")</f>
        <v>140.224461666667</v>
      </c>
      <c r="AF78" s="24" t="n">
        <f aca="false">IFERROR(Tabelle1!L79/AE78,"")</f>
        <v>1.01303023960025</v>
      </c>
      <c r="AG78" s="24" t="n">
        <f aca="false">IFERROR(AVERAGEIFS($AF$7:$AF$294,$B$7:$B$294,$B78,$A$7:$A$294,"&gt;="&amp;EDATE($A78,-12*'Seasonal Factors'!$E$4),$A$7:$A$294,"&lt;="&amp;EDATE($A78,12*'Seasonal Factors'!$E$4)),"")</f>
        <v>1.00314582690937</v>
      </c>
      <c r="AH78" s="24" t="n">
        <f aca="false">IFERROR(AG78/AVERAGE(AG73:AG84),"")</f>
        <v>1.00299450356869</v>
      </c>
      <c r="AI78" s="23" t="n">
        <f aca="false">IF(ISNUMBER(Tabelle1!M85),(0.5*Tabelle1!M73+SUM(Tabelle1!M74:M84)+0.5*Tabelle1!M85)/12,"")</f>
        <v>158.829604583333</v>
      </c>
      <c r="AJ78" s="24" t="n">
        <f aca="false">IFERROR(Tabelle1!M79/AI78,"")</f>
        <v>0.979990414308021</v>
      </c>
      <c r="AK78" s="24" t="n">
        <f aca="false">IFERROR(AVERAGEIFS($AJ$7:$AJ$294,$B$7:$B$294,$B78,$A$7:$A$294,"&gt;="&amp;EDATE($A78,-12*'Seasonal Factors'!$E$4),$A$7:$A$294,"&lt;="&amp;EDATE($A78,12*'Seasonal Factors'!$E$4)),"")</f>
        <v>0.98166975050462</v>
      </c>
      <c r="AL78" s="24" t="n">
        <f aca="false">IFERROR(AK78/AVERAGE(AK73:AK84),"")</f>
        <v>0.981584800524505</v>
      </c>
      <c r="AM78" s="23" t="n">
        <f aca="false">IF(ISNUMBER(Tabelle1!N85),(0.5*Tabelle1!N73+SUM(Tabelle1!N74:N84)+0.5*Tabelle1!N85)/12,"")</f>
        <v>150.15418625</v>
      </c>
      <c r="AN78" s="24" t="n">
        <f aca="false">IFERROR(Tabelle1!N79/AM78,"")</f>
        <v>1.00823669176922</v>
      </c>
      <c r="AO78" s="24" t="n">
        <f aca="false">IFERROR(AVERAGEIFS($AN$7:$AN$294,$B$7:$B$294,$B78,$A$7:$A$294,"&gt;="&amp;EDATE($A78,-12*'Seasonal Factors'!$E$4),$A$7:$A$294,"&lt;="&amp;EDATE($A78,12*'Seasonal Factors'!$E$4)),"")</f>
        <v>1.02008366741667</v>
      </c>
      <c r="AP78" s="24" t="n">
        <f aca="false">IFERROR(AO78/AVERAGE(AO73:AO84),"")</f>
        <v>1.01978204462634</v>
      </c>
      <c r="AQ78" s="23" t="n">
        <f aca="false">IF(ISNUMBER(Tabelle1!O85),(0.5*Tabelle1!O73+SUM(Tabelle1!O74:O84)+0.5*Tabelle1!O85)/12,"")</f>
        <v>124.529651666667</v>
      </c>
      <c r="AR78" s="24" t="n">
        <f aca="false">IFERROR(Tabelle1!O79/AQ78,"")</f>
        <v>1.03446342518343</v>
      </c>
      <c r="AS78" s="24" t="n">
        <f aca="false">IFERROR(AVERAGEIFS($AR$7:$AR$294,$B$7:$B$294,$B78,$A$7:$A$294,"&gt;="&amp;EDATE($A78,-12*'Seasonal Factors'!$E$4),$A$7:$A$294,"&lt;="&amp;EDATE($A78,12*'Seasonal Factors'!$E$4)),"")</f>
        <v>1.04109900311407</v>
      </c>
      <c r="AT78" s="24" t="n">
        <f aca="false">IFERROR(AS78/AVERAGE(AS73:AS84),"")</f>
        <v>1.04097804687791</v>
      </c>
      <c r="AU78" s="23" t="n">
        <f aca="false">IF(ISNUMBER(Tabelle1!P85),(0.5*Tabelle1!P73+SUM(Tabelle1!P74:P84)+0.5*Tabelle1!P85)/12,"")</f>
        <v>126.73014625</v>
      </c>
      <c r="AV78" s="24" t="n">
        <f aca="false">IFERROR(Tabelle1!P79/AU78,"")</f>
        <v>1.01472991080053</v>
      </c>
      <c r="AW78" s="24" t="n">
        <f aca="false">IFERROR(AVERAGEIFS($AV$7:$AV$294,$B$7:$B$294,$B78,$A$7:$A$294,"&gt;="&amp;EDATE($A78,-12*'Seasonal Factors'!$E$4),$A$7:$A$294,"&lt;="&amp;EDATE($A78,12*'Seasonal Factors'!$E$4)),"")</f>
        <v>1.01367491181052</v>
      </c>
      <c r="AX78" s="24" t="n">
        <f aca="false">IFERROR(AW78/AVERAGE(AW73:AW84),"")</f>
        <v>1.01372407242891</v>
      </c>
      <c r="AY78" s="23" t="n">
        <f aca="false">IF(ISNUMBER(Tabelle1!Q85),(0.5*Tabelle1!Q73+SUM(Tabelle1!Q74:Q84)+0.5*Tabelle1!Q85)/12,"")</f>
        <v>129.598585833333</v>
      </c>
      <c r="AZ78" s="24" t="n">
        <f aca="false">IFERROR(Tabelle1!Q79/AY78,"")</f>
        <v>1.02015457306012</v>
      </c>
      <c r="BA78" s="24" t="n">
        <f aca="false">IFERROR(AVERAGEIFS($AZ$7:$AZ$294,$B$7:$B$294,$B78,$A$7:$A$294,"&gt;="&amp;EDATE($A78,-12*'Seasonal Factors'!$E$4),$A$7:$A$294,"&lt;="&amp;EDATE($A78,12*'Seasonal Factors'!$E$4)),"")</f>
        <v>1.01847165950537</v>
      </c>
      <c r="BB78" s="24" t="n">
        <f aca="false">IFERROR(BA78/AVERAGE(BA73:BA84),"")</f>
        <v>1.01857696932615</v>
      </c>
      <c r="BC78" s="23" t="n">
        <f aca="false">IF(ISNUMBER(Tabelle1!R85),(0.5*Tabelle1!R73+SUM(Tabelle1!R74:R84)+0.5*Tabelle1!R85)/12,"")</f>
        <v>139.441284166667</v>
      </c>
      <c r="BD78" s="24" t="n">
        <f aca="false">IFERROR(Tabelle1!R79/BC78,"")</f>
        <v>0.932680882690045</v>
      </c>
      <c r="BE78" s="24" t="n">
        <f aca="false">IFERROR(AVERAGEIFS($BD$7:$BD$294,$B$7:$B$294,$B78,$A$7:$A$294,"&gt;="&amp;EDATE($A78,-12*'Seasonal Factors'!$E$4),$A$7:$A$294,"&lt;="&amp;EDATE($A78,12*'Seasonal Factors'!$E$4)),"")</f>
        <v>0.930258923161867</v>
      </c>
      <c r="BF78" s="24" t="n">
        <f aca="false">IFERROR(BE78/AVERAGE(BE73:BE84),"")</f>
        <v>0.929535026092288</v>
      </c>
      <c r="BG78" s="23" t="n">
        <f aca="false">IF(ISNUMBER(Tabelle1!S85),(0.5*Tabelle1!S73+SUM(Tabelle1!S74:S84)+0.5*Tabelle1!S85)/12,"")</f>
        <v>141.72765625</v>
      </c>
      <c r="BH78" s="24" t="n">
        <f aca="false">IFERROR(Tabelle1!S79/BG78,"")</f>
        <v>0.993793616057205</v>
      </c>
      <c r="BI78" s="24" t="n">
        <f aca="false">IFERROR(AVERAGEIFS($BH$7:$BH$294,$B$7:$B$294,$B78,$A$7:$A$294,"&gt;="&amp;EDATE($A78,-12*'Seasonal Factors'!$E$4),$A$7:$A$294,"&lt;="&amp;EDATE($A78,12*'Seasonal Factors'!$E$4)),"")</f>
        <v>0.981897497893287</v>
      </c>
      <c r="BJ78" s="24" t="n">
        <f aca="false">IFERROR(BI78/AVERAGE(BI73:BI84),"")</f>
        <v>0.981551262224678</v>
      </c>
    </row>
    <row r="79" customFormat="false" ht="15" hidden="false" customHeight="false" outlineLevel="0" collapsed="false">
      <c r="A79" s="20" t="n">
        <v>40209</v>
      </c>
      <c r="B79" s="22" t="n">
        <f aca="false">MONTH(A79)</f>
        <v>1</v>
      </c>
      <c r="C79" s="23" t="n">
        <f aca="false">IF(ISNUMBER(Tabelle1!E86),(0.5*Tabelle1!E74+SUM(Tabelle1!E75:E85)+0.5*Tabelle1!E86)/12,"")</f>
        <v>125.500224166667</v>
      </c>
      <c r="D79" s="24" t="n">
        <f aca="false">IFERROR(Tabelle1!E80/C79,"")</f>
        <v>0.446364381991907</v>
      </c>
      <c r="E79" s="24" t="n">
        <f aca="false">IFERROR(AVERAGEIFS($D$7:$D$294,$B$7:$B$294,$B79,$A$7:$A$294,"&gt;="&amp;EDATE($A79,-12*'Seasonal Factors'!$E$4),$A$7:$A$294,"&lt;="&amp;EDATE($A79,12*'Seasonal Factors'!$E$4)),"")</f>
        <v>0.553604431142453</v>
      </c>
      <c r="F79" s="24" t="n">
        <f aca="false">IFERROR(E79/AVERAGE(E74:E85),"")</f>
        <v>0.553969268517815</v>
      </c>
      <c r="G79" s="23" t="n">
        <f aca="false">IF(ISNUMBER(Tabelle1!F86),(0.5*Tabelle1!F74+SUM(Tabelle1!F75:F85)+0.5*Tabelle1!F86)/12,"")</f>
        <v>109.852899583333</v>
      </c>
      <c r="H79" s="24" t="n">
        <f aca="false">IFERROR(Tabelle1!F80/G79,"")</f>
        <v>0.19913857606831</v>
      </c>
      <c r="I79" s="24" t="n">
        <f aca="false">IFERROR(AVERAGEIFS($H$7:$H$294,$B$7:$B$294,$B79,$A$7:$A$294,"&gt;="&amp;EDATE($A79,-12*'Seasonal Factors'!$E$4),$A$7:$A$294,"&lt;="&amp;EDATE($A79,12*'Seasonal Factors'!$E$4)),"")</f>
        <v>0.311908381913834</v>
      </c>
      <c r="J79" s="24" t="n">
        <f aca="false">IFERROR(I79/AVERAGE(I74:I85),"")</f>
        <v>0.316406032586237</v>
      </c>
      <c r="K79" s="23" t="n">
        <f aca="false">IF(ISNUMBER(Tabelle1!G86),(0.5*Tabelle1!G74+SUM(Tabelle1!G75:G85)+0.5*Tabelle1!G86)/12,"")</f>
        <v>102.416037083333</v>
      </c>
      <c r="L79" s="24" t="n">
        <f aca="false">IFERROR(Tabelle1!G80/K79,"")</f>
        <v>1.01179613028459</v>
      </c>
      <c r="M79" s="24" t="n">
        <f aca="false">IFERROR(AVERAGEIFS($L$7:$L$294,$B$7:$B$294,$B79,$A$7:$A$294,"&gt;="&amp;EDATE($A79,-12*'Seasonal Factors'!$E$4),$A$7:$A$294,"&lt;="&amp;EDATE($A79,12*'Seasonal Factors'!$E$4)),"")</f>
        <v>1.00080111810377</v>
      </c>
      <c r="N79" s="24" t="n">
        <f aca="false">IFERROR(M79/AVERAGE(M74:M85),"")</f>
        <v>1.0012402487669</v>
      </c>
      <c r="O79" s="23" t="n">
        <f aca="false">IF(ISNUMBER(Tabelle1!H86),(0.5*Tabelle1!H74+SUM(Tabelle1!H75:H85)+0.5*Tabelle1!H86)/12,"")</f>
        <v>128.041664166667</v>
      </c>
      <c r="P79" s="24" t="n">
        <f aca="false">IFERROR(Tabelle1!H80/O79,"")</f>
        <v>0.899355930348635</v>
      </c>
      <c r="Q79" s="24" t="n">
        <f aca="false">IFERROR(AVERAGEIFS($P$7:$P$294,$B$7:$B$294,$B79,$A$7:$A$294,"&gt;="&amp;EDATE($A79,-12*'Seasonal Factors'!$E$4),$A$7:$A$294,"&lt;="&amp;EDATE($A79,12*'Seasonal Factors'!$E$4)),"")</f>
        <v>0.897375843752993</v>
      </c>
      <c r="R79" s="24" t="n">
        <f aca="false">IFERROR(Q79/AVERAGE(Q74:Q85),"")</f>
        <v>0.897447613159197</v>
      </c>
      <c r="S79" s="23" t="n">
        <f aca="false">IF(ISNUMBER(Tabelle1!I86),(0.5*Tabelle1!I74+SUM(Tabelle1!I75:I85)+0.5*Tabelle1!I86)/12,"")</f>
        <v>119.787959166667</v>
      </c>
      <c r="T79" s="24" t="n">
        <f aca="false">IFERROR(Tabelle1!I80/S79,"")</f>
        <v>1.03625932742781</v>
      </c>
      <c r="U79" s="24" t="n">
        <f aca="false">IFERROR(AVERAGEIFS($T$7:$T$294,$B$7:$B$294,$B79,$A$7:$A$294,"&gt;="&amp;EDATE($A79,-12*'Seasonal Factors'!$E$4),$A$7:$A$294,"&lt;="&amp;EDATE($A79,12*'Seasonal Factors'!$E$4)),"")</f>
        <v>1.05121299267479</v>
      </c>
      <c r="V79" s="24" t="n">
        <f aca="false">IFERROR(U79/AVERAGE(U74:U85),"")</f>
        <v>1.05108675754774</v>
      </c>
      <c r="W79" s="23" t="n">
        <f aca="false">IF(ISNUMBER(Tabelle1!J86),(0.5*Tabelle1!J74+SUM(Tabelle1!J75:J85)+0.5*Tabelle1!J86)/12,"")</f>
        <v>135.02080125</v>
      </c>
      <c r="X79" s="24" t="n">
        <f aca="false">IFERROR(Tabelle1!J80/W79,"")</f>
        <v>0.986724628846772</v>
      </c>
      <c r="Y79" s="24" t="n">
        <f aca="false">IFERROR(AVERAGEIFS($X$7:$X$294,$B$7:$B$294,$B79,$A$7:$A$294,"&gt;="&amp;EDATE($A79,-12*'Seasonal Factors'!$E$4),$A$7:$A$294,"&lt;="&amp;EDATE($A79,12*'Seasonal Factors'!$E$4)),"")</f>
        <v>0.998667784473391</v>
      </c>
      <c r="Z79" s="24" t="n">
        <f aca="false">IFERROR(Y79/AVERAGE(Y74:Y85),"")</f>
        <v>0.998160735348893</v>
      </c>
      <c r="AA79" s="23" t="n">
        <f aca="false">IF(ISNUMBER(Tabelle1!K86),(0.5*Tabelle1!K74+SUM(Tabelle1!K75:K85)+0.5*Tabelle1!K86)/12,"")</f>
        <v>139.244592916667</v>
      </c>
      <c r="AB79" s="24" t="n">
        <f aca="false">IFERROR(Tabelle1!K80/AA79,"")</f>
        <v>0.905885803949964</v>
      </c>
      <c r="AC79" s="24" t="n">
        <f aca="false">IFERROR(AVERAGEIFS($AB$7:$AB$294,$B$7:$B$294,$B79,$A$7:$A$294,"&gt;="&amp;EDATE($A79,-12*'Seasonal Factors'!$E$4),$A$7:$A$294,"&lt;="&amp;EDATE($A79,12*'Seasonal Factors'!$E$4)),"")</f>
        <v>0.923972289008009</v>
      </c>
      <c r="AD79" s="24" t="n">
        <f aca="false">IFERROR(AC79/AVERAGE(AC74:AC85),"")</f>
        <v>0.924574467687275</v>
      </c>
      <c r="AE79" s="23" t="n">
        <f aca="false">IF(ISNUMBER(Tabelle1!L86),(0.5*Tabelle1!L74+SUM(Tabelle1!L75:L85)+0.5*Tabelle1!L86)/12,"")</f>
        <v>141.57868875</v>
      </c>
      <c r="AF79" s="24" t="n">
        <f aca="false">IFERROR(Tabelle1!L80/AE79,"")</f>
        <v>1.10710772492587</v>
      </c>
      <c r="AG79" s="24" t="n">
        <f aca="false">IFERROR(AVERAGEIFS($AF$7:$AF$294,$B$7:$B$294,$B79,$A$7:$A$294,"&gt;="&amp;EDATE($A79,-12*'Seasonal Factors'!$E$4),$A$7:$A$294,"&lt;="&amp;EDATE($A79,12*'Seasonal Factors'!$E$4)),"")</f>
        <v>1.08676725065774</v>
      </c>
      <c r="AH79" s="24" t="n">
        <f aca="false">IFERROR(AG79/AVERAGE(AG74:AG85),"")</f>
        <v>1.08641785114986</v>
      </c>
      <c r="AI79" s="23" t="n">
        <f aca="false">IF(ISNUMBER(Tabelle1!M86),(0.5*Tabelle1!M74+SUM(Tabelle1!M75:M85)+0.5*Tabelle1!M86)/12,"")</f>
        <v>160.217592916667</v>
      </c>
      <c r="AJ79" s="24" t="n">
        <f aca="false">IFERROR(Tabelle1!M80/AI79,"")</f>
        <v>0.974378450943263</v>
      </c>
      <c r="AK79" s="24" t="n">
        <f aca="false">IFERROR(AVERAGEIFS($AJ$7:$AJ$294,$B$7:$B$294,$B79,$A$7:$A$294,"&gt;="&amp;EDATE($A79,-12*'Seasonal Factors'!$E$4),$A$7:$A$294,"&lt;="&amp;EDATE($A79,12*'Seasonal Factors'!$E$4)),"")</f>
        <v>0.979112141220762</v>
      </c>
      <c r="AL79" s="24" t="n">
        <f aca="false">IFERROR(AK79/AVERAGE(AK74:AK85),"")</f>
        <v>0.978946140726795</v>
      </c>
      <c r="AM79" s="23" t="n">
        <f aca="false">IF(ISNUMBER(Tabelle1!N86),(0.5*Tabelle1!N74+SUM(Tabelle1!N75:N85)+0.5*Tabelle1!N86)/12,"")</f>
        <v>150.223784166667</v>
      </c>
      <c r="AN79" s="24" t="n">
        <f aca="false">IFERROR(Tabelle1!N80/AM79,"")</f>
        <v>0.990284866176401</v>
      </c>
      <c r="AO79" s="24" t="n">
        <f aca="false">IFERROR(AVERAGEIFS($AN$7:$AN$294,$B$7:$B$294,$B79,$A$7:$A$294,"&gt;="&amp;EDATE($A79,-12*'Seasonal Factors'!$E$4),$A$7:$A$294,"&lt;="&amp;EDATE($A79,12*'Seasonal Factors'!$E$4)),"")</f>
        <v>1.02304954786176</v>
      </c>
      <c r="AP79" s="24" t="n">
        <f aca="false">IFERROR(AO79/AVERAGE(AO74:AO85),"")</f>
        <v>1.0229664372171</v>
      </c>
      <c r="AQ79" s="23" t="n">
        <f aca="false">IF(ISNUMBER(Tabelle1!O86),(0.5*Tabelle1!O74+SUM(Tabelle1!O75:O85)+0.5*Tabelle1!O86)/12,"")</f>
        <v>125.046872083333</v>
      </c>
      <c r="AR79" s="24" t="n">
        <f aca="false">IFERROR(Tabelle1!O80/AQ79,"")</f>
        <v>0.961750645948618</v>
      </c>
      <c r="AS79" s="24" t="n">
        <f aca="false">IFERROR(AVERAGEIFS($AR$7:$AR$294,$B$7:$B$294,$B79,$A$7:$A$294,"&gt;="&amp;EDATE($A79,-12*'Seasonal Factors'!$E$4),$A$7:$A$294,"&lt;="&amp;EDATE($A79,12*'Seasonal Factors'!$E$4)),"")</f>
        <v>0.949979267037906</v>
      </c>
      <c r="AT79" s="24" t="n">
        <f aca="false">IFERROR(AS79/AVERAGE(AS74:AS85),"")</f>
        <v>0.949641575994314</v>
      </c>
      <c r="AU79" s="23" t="n">
        <f aca="false">IF(ISNUMBER(Tabelle1!P86),(0.5*Tabelle1!P74+SUM(Tabelle1!P75:P85)+0.5*Tabelle1!P86)/12,"")</f>
        <v>127.0870425</v>
      </c>
      <c r="AV79" s="24" t="n">
        <f aca="false">IFERROR(Tabelle1!P80/AU79,"")</f>
        <v>0.996342251020595</v>
      </c>
      <c r="AW79" s="24" t="n">
        <f aca="false">IFERROR(AVERAGEIFS($AV$7:$AV$294,$B$7:$B$294,$B79,$A$7:$A$294,"&gt;="&amp;EDATE($A79,-12*'Seasonal Factors'!$E$4),$A$7:$A$294,"&lt;="&amp;EDATE($A79,12*'Seasonal Factors'!$E$4)),"")</f>
        <v>0.991362332198397</v>
      </c>
      <c r="AX79" s="24" t="n">
        <f aca="false">IFERROR(AW79/AVERAGE(AW74:AW85),"")</f>
        <v>0.991365607452921</v>
      </c>
      <c r="AY79" s="23" t="n">
        <f aca="false">IF(ISNUMBER(Tabelle1!Q86),(0.5*Tabelle1!Q74+SUM(Tabelle1!Q75:Q85)+0.5*Tabelle1!Q86)/12,"")</f>
        <v>130.047172916667</v>
      </c>
      <c r="AZ79" s="24" t="n">
        <f aca="false">IFERROR(Tabelle1!Q80/AY79,"")</f>
        <v>0.981087840192861</v>
      </c>
      <c r="BA79" s="24" t="n">
        <f aca="false">IFERROR(AVERAGEIFS($AZ$7:$AZ$294,$B$7:$B$294,$B79,$A$7:$A$294,"&gt;="&amp;EDATE($A79,-12*'Seasonal Factors'!$E$4),$A$7:$A$294,"&lt;="&amp;EDATE($A79,12*'Seasonal Factors'!$E$4)),"")</f>
        <v>0.976744868788134</v>
      </c>
      <c r="BB79" s="24" t="n">
        <f aca="false">IFERROR(BA79/AVERAGE(BA74:BA85),"")</f>
        <v>0.97680575086685</v>
      </c>
      <c r="BC79" s="23" t="n">
        <f aca="false">IF(ISNUMBER(Tabelle1!R86),(0.5*Tabelle1!R74+SUM(Tabelle1!R75:R85)+0.5*Tabelle1!R86)/12,"")</f>
        <v>140.179425833333</v>
      </c>
      <c r="BD79" s="24" t="n">
        <f aca="false">IFERROR(Tabelle1!R80/BC79,"")</f>
        <v>0.973184468327024</v>
      </c>
      <c r="BE79" s="24" t="n">
        <f aca="false">IFERROR(AVERAGEIFS($BD$7:$BD$294,$B$7:$B$294,$B79,$A$7:$A$294,"&gt;="&amp;EDATE($A79,-12*'Seasonal Factors'!$E$4),$A$7:$A$294,"&lt;="&amp;EDATE($A79,12*'Seasonal Factors'!$E$4)),"")</f>
        <v>0.987177236010176</v>
      </c>
      <c r="BF79" s="24" t="n">
        <f aca="false">IFERROR(BE79/AVERAGE(BE74:BE85),"")</f>
        <v>0.986512261877266</v>
      </c>
      <c r="BG79" s="23" t="n">
        <f aca="false">IF(ISNUMBER(Tabelle1!S86),(0.5*Tabelle1!S74+SUM(Tabelle1!S75:S85)+0.5*Tabelle1!S86)/12,"")</f>
        <v>142.79665375</v>
      </c>
      <c r="BH79" s="24" t="n">
        <f aca="false">IFERROR(Tabelle1!S80/BG79,"")</f>
        <v>1.02063498109107</v>
      </c>
      <c r="BI79" s="24" t="n">
        <f aca="false">IFERROR(AVERAGEIFS($BH$7:$BH$294,$B$7:$B$294,$B79,$A$7:$A$294,"&gt;="&amp;EDATE($A79,-12*'Seasonal Factors'!$E$4),$A$7:$A$294,"&lt;="&amp;EDATE($A79,12*'Seasonal Factors'!$E$4)),"")</f>
        <v>1.00924339506619</v>
      </c>
      <c r="BJ79" s="24" t="n">
        <f aca="false">IFERROR(BI79/AVERAGE(BI74:BI85),"")</f>
        <v>1.00931369827725</v>
      </c>
    </row>
    <row r="80" customFormat="false" ht="15" hidden="false" customHeight="false" outlineLevel="0" collapsed="false">
      <c r="A80" s="20" t="n">
        <v>40237</v>
      </c>
      <c r="B80" s="22" t="n">
        <f aca="false">MONTH(A80)</f>
        <v>2</v>
      </c>
      <c r="C80" s="23" t="n">
        <f aca="false">IF(ISNUMBER(Tabelle1!E87),(0.5*Tabelle1!E75+SUM(Tabelle1!E76:E86)+0.5*Tabelle1!E87)/12,"")</f>
        <v>126.362313333333</v>
      </c>
      <c r="D80" s="24" t="n">
        <f aca="false">IFERROR(Tabelle1!E81/C80,"")</f>
        <v>0.51183258911531</v>
      </c>
      <c r="E80" s="24" t="n">
        <f aca="false">IFERROR(AVERAGEIFS($D$7:$D$294,$B$7:$B$294,$B80,$A$7:$A$294,"&gt;="&amp;EDATE($A80,-12*'Seasonal Factors'!$E$4),$A$7:$A$294,"&lt;="&amp;EDATE($A80,12*'Seasonal Factors'!$E$4)),"")</f>
        <v>0.575502212835239</v>
      </c>
      <c r="F80" s="24" t="n">
        <f aca="false">IFERROR(E80/AVERAGE(E75:E86),"")</f>
        <v>0.575795829163321</v>
      </c>
      <c r="G80" s="23" t="n">
        <f aca="false">IF(ISNUMBER(Tabelle1!F87),(0.5*Tabelle1!F75+SUM(Tabelle1!F76:F86)+0.5*Tabelle1!F87)/12,"")</f>
        <v>114.109308333333</v>
      </c>
      <c r="H80" s="24" t="n">
        <f aca="false">IFERROR(Tabelle1!F81/G80,"")</f>
        <v>0.499553987598295</v>
      </c>
      <c r="I80" s="24" t="n">
        <f aca="false">IFERROR(AVERAGEIFS($H$7:$H$294,$B$7:$B$294,$B80,$A$7:$A$294,"&gt;="&amp;EDATE($A80,-12*'Seasonal Factors'!$E$4),$A$7:$A$294,"&lt;="&amp;EDATE($A80,12*'Seasonal Factors'!$E$4)),"")</f>
        <v>0.634251458222924</v>
      </c>
      <c r="J80" s="24" t="n">
        <f aca="false">IFERROR(I80/AVERAGE(I75:I86),"")</f>
        <v>0.640018941867595</v>
      </c>
      <c r="K80" s="23" t="n">
        <f aca="false">IF(ISNUMBER(Tabelle1!G87),(0.5*Tabelle1!G75+SUM(Tabelle1!G76:G86)+0.5*Tabelle1!G87)/12,"")</f>
        <v>103.12468125</v>
      </c>
      <c r="L80" s="24" t="n">
        <f aca="false">IFERROR(Tabelle1!G81/K80,"")</f>
        <v>0.95603447016715</v>
      </c>
      <c r="M80" s="24" t="n">
        <f aca="false">IFERROR(AVERAGEIFS($L$7:$L$294,$B$7:$B$294,$B80,$A$7:$A$294,"&gt;="&amp;EDATE($A80,-12*'Seasonal Factors'!$E$4),$A$7:$A$294,"&lt;="&amp;EDATE($A80,12*'Seasonal Factors'!$E$4)),"")</f>
        <v>0.940501364720597</v>
      </c>
      <c r="N80" s="24" t="n">
        <f aca="false">IFERROR(M80/AVERAGE(M75:M86),"")</f>
        <v>0.941132688593701</v>
      </c>
      <c r="O80" s="23" t="n">
        <f aca="false">IF(ISNUMBER(Tabelle1!H87),(0.5*Tabelle1!H75+SUM(Tabelle1!H76:H86)+0.5*Tabelle1!H87)/12,"")</f>
        <v>129.259692916667</v>
      </c>
      <c r="P80" s="24" t="n">
        <f aca="false">IFERROR(Tabelle1!H81/O80,"")</f>
        <v>0.862130394134885</v>
      </c>
      <c r="Q80" s="24" t="n">
        <f aca="false">IFERROR(AVERAGEIFS($P$7:$P$294,$B$7:$B$294,$B80,$A$7:$A$294,"&gt;="&amp;EDATE($A80,-12*'Seasonal Factors'!$E$4),$A$7:$A$294,"&lt;="&amp;EDATE($A80,12*'Seasonal Factors'!$E$4)),"")</f>
        <v>0.87512159073271</v>
      </c>
      <c r="R80" s="24" t="n">
        <f aca="false">IFERROR(Q80/AVERAGE(Q75:Q86),"")</f>
        <v>0.875161675682371</v>
      </c>
      <c r="S80" s="23" t="n">
        <f aca="false">IF(ISNUMBER(Tabelle1!I87),(0.5*Tabelle1!I75+SUM(Tabelle1!I76:I86)+0.5*Tabelle1!I87)/12,"")</f>
        <v>120.085324166667</v>
      </c>
      <c r="T80" s="24" t="n">
        <f aca="false">IFERROR(Tabelle1!I81/S80,"")</f>
        <v>0.957623846194528</v>
      </c>
      <c r="U80" s="24" t="n">
        <f aca="false">IFERROR(AVERAGEIFS($T$7:$T$294,$B$7:$B$294,$B80,$A$7:$A$294,"&gt;="&amp;EDATE($A80,-12*'Seasonal Factors'!$E$4),$A$7:$A$294,"&lt;="&amp;EDATE($A80,12*'Seasonal Factors'!$E$4)),"")</f>
        <v>0.961090427502595</v>
      </c>
      <c r="V80" s="24" t="n">
        <f aca="false">IFERROR(U80/AVERAGE(U75:U86),"")</f>
        <v>0.961464586012028</v>
      </c>
      <c r="W80" s="23" t="n">
        <f aca="false">IF(ISNUMBER(Tabelle1!J87),(0.5*Tabelle1!J75+SUM(Tabelle1!J76:J86)+0.5*Tabelle1!J87)/12,"")</f>
        <v>136.023776666667</v>
      </c>
      <c r="X80" s="24" t="n">
        <f aca="false">IFERROR(Tabelle1!J81/W80,"")</f>
        <v>0.996081591911885</v>
      </c>
      <c r="Y80" s="24" t="n">
        <f aca="false">IFERROR(AVERAGEIFS($X$7:$X$294,$B$7:$B$294,$B80,$A$7:$A$294,"&gt;="&amp;EDATE($A80,-12*'Seasonal Factors'!$E$4),$A$7:$A$294,"&lt;="&amp;EDATE($A80,12*'Seasonal Factors'!$E$4)),"")</f>
        <v>1.00612956893635</v>
      </c>
      <c r="Z80" s="24" t="n">
        <f aca="false">IFERROR(Y80/AVERAGE(Y75:Y86),"")</f>
        <v>1.00551043749552</v>
      </c>
      <c r="AA80" s="23" t="n">
        <f aca="false">IF(ISNUMBER(Tabelle1!K87),(0.5*Tabelle1!K75+SUM(Tabelle1!K76:K86)+0.5*Tabelle1!K87)/12,"")</f>
        <v>140.871210416667</v>
      </c>
      <c r="AB80" s="24" t="n">
        <f aca="false">IFERROR(Tabelle1!K81/AA80,"")</f>
        <v>0.890906166198112</v>
      </c>
      <c r="AC80" s="24" t="n">
        <f aca="false">IFERROR(AVERAGEIFS($AB$7:$AB$294,$B$7:$B$294,$B80,$A$7:$A$294,"&gt;="&amp;EDATE($A80,-12*'Seasonal Factors'!$E$4),$A$7:$A$294,"&lt;="&amp;EDATE($A80,12*'Seasonal Factors'!$E$4)),"")</f>
        <v>0.903247654130856</v>
      </c>
      <c r="AD80" s="24" t="n">
        <f aca="false">IFERROR(AC80/AVERAGE(AC75:AC86),"")</f>
        <v>0.903844005878535</v>
      </c>
      <c r="AE80" s="23" t="n">
        <f aca="false">IF(ISNUMBER(Tabelle1!L87),(0.5*Tabelle1!L75+SUM(Tabelle1!L76:L86)+0.5*Tabelle1!L87)/12,"")</f>
        <v>143.30855875</v>
      </c>
      <c r="AF80" s="24" t="n">
        <f aca="false">IFERROR(Tabelle1!L81/AE80,"")</f>
        <v>1.04841030647794</v>
      </c>
      <c r="AG80" s="24" t="n">
        <f aca="false">IFERROR(AVERAGEIFS($AF$7:$AF$294,$B$7:$B$294,$B80,$A$7:$A$294,"&gt;="&amp;EDATE($A80,-12*'Seasonal Factors'!$E$4),$A$7:$A$294,"&lt;="&amp;EDATE($A80,12*'Seasonal Factors'!$E$4)),"")</f>
        <v>1.03536812979976</v>
      </c>
      <c r="AH80" s="24" t="n">
        <f aca="false">IFERROR(AG80/AVERAGE(AG75:AG86),"")</f>
        <v>1.03503758486798</v>
      </c>
      <c r="AI80" s="23" t="n">
        <f aca="false">IF(ISNUMBER(Tabelle1!M87),(0.5*Tabelle1!M75+SUM(Tabelle1!M76:M86)+0.5*Tabelle1!M87)/12,"")</f>
        <v>161.563626666667</v>
      </c>
      <c r="AJ80" s="24" t="n">
        <f aca="false">IFERROR(Tabelle1!M81/AI80,"")</f>
        <v>0.930412389851445</v>
      </c>
      <c r="AK80" s="24" t="n">
        <f aca="false">IFERROR(AVERAGEIFS($AJ$7:$AJ$294,$B$7:$B$294,$B80,$A$7:$A$294,"&gt;="&amp;EDATE($A80,-12*'Seasonal Factors'!$E$4),$A$7:$A$294,"&lt;="&amp;EDATE($A80,12*'Seasonal Factors'!$E$4)),"")</f>
        <v>0.937204068499545</v>
      </c>
      <c r="AL80" s="24" t="n">
        <f aca="false">IFERROR(AK80/AVERAGE(AK75:AK86),"")</f>
        <v>0.937021701819367</v>
      </c>
      <c r="AM80" s="23" t="n">
        <f aca="false">IF(ISNUMBER(Tabelle1!N87),(0.5*Tabelle1!N75+SUM(Tabelle1!N76:N86)+0.5*Tabelle1!N87)/12,"")</f>
        <v>150.176735833333</v>
      </c>
      <c r="AN80" s="24" t="n">
        <f aca="false">IFERROR(Tabelle1!N81/AM80,"")</f>
        <v>0.958121304219096</v>
      </c>
      <c r="AO80" s="24" t="n">
        <f aca="false">IFERROR(AVERAGEIFS($AN$7:$AN$294,$B$7:$B$294,$B80,$A$7:$A$294,"&gt;="&amp;EDATE($A80,-12*'Seasonal Factors'!$E$4),$A$7:$A$294,"&lt;="&amp;EDATE($A80,12*'Seasonal Factors'!$E$4)),"")</f>
        <v>0.974672880659066</v>
      </c>
      <c r="AP80" s="24" t="n">
        <f aca="false">IFERROR(AO80/AVERAGE(AO75:AO86),"")</f>
        <v>0.974468131678469</v>
      </c>
      <c r="AQ80" s="23" t="n">
        <f aca="false">IF(ISNUMBER(Tabelle1!O87),(0.5*Tabelle1!O75+SUM(Tabelle1!O76:O86)+0.5*Tabelle1!O87)/12,"")</f>
        <v>125.609667083333</v>
      </c>
      <c r="AR80" s="24" t="n">
        <f aca="false">IFERROR(Tabelle1!O81/AQ80,"")</f>
        <v>0.973795591057895</v>
      </c>
      <c r="AS80" s="24" t="n">
        <f aca="false">IFERROR(AVERAGEIFS($AR$7:$AR$294,$B$7:$B$294,$B80,$A$7:$A$294,"&gt;="&amp;EDATE($A80,-12*'Seasonal Factors'!$E$4),$A$7:$A$294,"&lt;="&amp;EDATE($A80,12*'Seasonal Factors'!$E$4)),"")</f>
        <v>0.959085472510005</v>
      </c>
      <c r="AT80" s="24" t="n">
        <f aca="false">IFERROR(AS80/AVERAGE(AS75:AS86),"")</f>
        <v>0.958839274191453</v>
      </c>
      <c r="AU80" s="23" t="n">
        <f aca="false">IF(ISNUMBER(Tabelle1!P87),(0.5*Tabelle1!P75+SUM(Tabelle1!P76:P86)+0.5*Tabelle1!P87)/12,"")</f>
        <v>127.25721625</v>
      </c>
      <c r="AV80" s="24" t="n">
        <f aca="false">IFERROR(Tabelle1!P81/AU80,"")</f>
        <v>1.0003309340817</v>
      </c>
      <c r="AW80" s="24" t="n">
        <f aca="false">IFERROR(AVERAGEIFS($AV$7:$AV$294,$B$7:$B$294,$B80,$A$7:$A$294,"&gt;="&amp;EDATE($A80,-12*'Seasonal Factors'!$E$4),$A$7:$A$294,"&lt;="&amp;EDATE($A80,12*'Seasonal Factors'!$E$4)),"")</f>
        <v>0.998071311028034</v>
      </c>
      <c r="AX80" s="24" t="n">
        <f aca="false">IFERROR(AW80/AVERAGE(AW75:AW86),"")</f>
        <v>0.998028200746682</v>
      </c>
      <c r="AY80" s="23" t="n">
        <f aca="false">IF(ISNUMBER(Tabelle1!Q87),(0.5*Tabelle1!Q75+SUM(Tabelle1!Q76:Q86)+0.5*Tabelle1!Q87)/12,"")</f>
        <v>130.31662375</v>
      </c>
      <c r="AZ80" s="24" t="n">
        <f aca="false">IFERROR(Tabelle1!Q81/AY80,"")</f>
        <v>0.98456855547564</v>
      </c>
      <c r="BA80" s="24" t="n">
        <f aca="false">IFERROR(AVERAGEIFS($AZ$7:$AZ$294,$B$7:$B$294,$B80,$A$7:$A$294,"&gt;="&amp;EDATE($A80,-12*'Seasonal Factors'!$E$4),$A$7:$A$294,"&lt;="&amp;EDATE($A80,12*'Seasonal Factors'!$E$4)),"")</f>
        <v>0.982251445995627</v>
      </c>
      <c r="BB80" s="24" t="n">
        <f aca="false">IFERROR(BA80/AVERAGE(BA75:BA86),"")</f>
        <v>0.982252326664002</v>
      </c>
      <c r="BC80" s="23" t="n">
        <f aca="false">IF(ISNUMBER(Tabelle1!R87),(0.5*Tabelle1!R75+SUM(Tabelle1!R76:R86)+0.5*Tabelle1!R87)/12,"")</f>
        <v>140.680335416667</v>
      </c>
      <c r="BD80" s="24" t="n">
        <f aca="false">IFERROR(Tabelle1!R81/BC80,"")</f>
        <v>0.921867079829521</v>
      </c>
      <c r="BE80" s="24" t="n">
        <f aca="false">IFERROR(AVERAGEIFS($BD$7:$BD$294,$B$7:$B$294,$B80,$A$7:$A$294,"&gt;="&amp;EDATE($A80,-12*'Seasonal Factors'!$E$4),$A$7:$A$294,"&lt;="&amp;EDATE($A80,12*'Seasonal Factors'!$E$4)),"")</f>
        <v>0.93348128618934</v>
      </c>
      <c r="BF80" s="24" t="n">
        <f aca="false">IFERROR(BE80/AVERAGE(BE75:BE86),"")</f>
        <v>0.933203821407282</v>
      </c>
      <c r="BG80" s="23" t="n">
        <f aca="false">IF(ISNUMBER(Tabelle1!S87),(0.5*Tabelle1!S75+SUM(Tabelle1!S76:S86)+0.5*Tabelle1!S87)/12,"")</f>
        <v>143.802939583333</v>
      </c>
      <c r="BH80" s="24" t="n">
        <f aca="false">IFERROR(Tabelle1!S81/BG80,"")</f>
        <v>0.99384115800484</v>
      </c>
      <c r="BI80" s="24" t="n">
        <f aca="false">IFERROR(AVERAGEIFS($BH$7:$BH$294,$B$7:$B$294,$B80,$A$7:$A$294,"&gt;="&amp;EDATE($A80,-12*'Seasonal Factors'!$E$4),$A$7:$A$294,"&lt;="&amp;EDATE($A80,12*'Seasonal Factors'!$E$4)),"")</f>
        <v>0.984912917482876</v>
      </c>
      <c r="BJ80" s="24" t="n">
        <f aca="false">IFERROR(BI80/AVERAGE(BI75:BI86),"")</f>
        <v>0.984816377047675</v>
      </c>
    </row>
    <row r="81" customFormat="false" ht="15" hidden="false" customHeight="false" outlineLevel="0" collapsed="false">
      <c r="A81" s="20" t="n">
        <v>40268</v>
      </c>
      <c r="B81" s="22" t="n">
        <f aca="false">MONTH(A81)</f>
        <v>3</v>
      </c>
      <c r="C81" s="23" t="n">
        <f aca="false">IF(ISNUMBER(Tabelle1!E88),(0.5*Tabelle1!E76+SUM(Tabelle1!E77:E87)+0.5*Tabelle1!E88)/12,"")</f>
        <v>126.377139166667</v>
      </c>
      <c r="D81" s="24" t="n">
        <f aca="false">IFERROR(Tabelle1!E82/C81,"")</f>
        <v>1.04989922129046</v>
      </c>
      <c r="E81" s="24" t="n">
        <f aca="false">IFERROR(AVERAGEIFS($D$7:$D$294,$B$7:$B$294,$B81,$A$7:$A$294,"&gt;="&amp;EDATE($A81,-12*'Seasonal Factors'!$E$4),$A$7:$A$294,"&lt;="&amp;EDATE($A81,12*'Seasonal Factors'!$E$4)),"")</f>
        <v>1.09302327015198</v>
      </c>
      <c r="F81" s="24" t="n">
        <f aca="false">IFERROR(E81/AVERAGE(E76:E87),"")</f>
        <v>1.09321699710599</v>
      </c>
      <c r="G81" s="23" t="n">
        <f aca="false">IF(ISNUMBER(Tabelle1!F88),(0.5*Tabelle1!F76+SUM(Tabelle1!F77:F87)+0.5*Tabelle1!F88)/12,"")</f>
        <v>116.157519583333</v>
      </c>
      <c r="H81" s="24" t="n">
        <f aca="false">IFERROR(Tabelle1!F82/G81,"")</f>
        <v>0.926528307302476</v>
      </c>
      <c r="I81" s="24" t="n">
        <f aca="false">IFERROR(AVERAGEIFS($H$7:$H$294,$B$7:$B$294,$B81,$A$7:$A$294,"&gt;="&amp;EDATE($A81,-12*'Seasonal Factors'!$E$4),$A$7:$A$294,"&lt;="&amp;EDATE($A81,12*'Seasonal Factors'!$E$4)),"")</f>
        <v>1.21410572007905</v>
      </c>
      <c r="J81" s="24" t="n">
        <f aca="false">IFERROR(I81/AVERAGE(I76:I87),"")</f>
        <v>1.2149755647257</v>
      </c>
      <c r="K81" s="23" t="n">
        <f aca="false">IF(ISNUMBER(Tabelle1!G88),(0.5*Tabelle1!G76+SUM(Tabelle1!G77:G87)+0.5*Tabelle1!G88)/12,"")</f>
        <v>103.7963075</v>
      </c>
      <c r="L81" s="24" t="n">
        <f aca="false">IFERROR(Tabelle1!G82/K81,"")</f>
        <v>1.02816721105421</v>
      </c>
      <c r="M81" s="24" t="n">
        <f aca="false">IFERROR(AVERAGEIFS($L$7:$L$294,$B$7:$B$294,$B81,$A$7:$A$294,"&gt;="&amp;EDATE($A81,-12*'Seasonal Factors'!$E$4),$A$7:$A$294,"&lt;="&amp;EDATE($A81,12*'Seasonal Factors'!$E$4)),"")</f>
        <v>1.02798884646222</v>
      </c>
      <c r="N81" s="24" t="n">
        <f aca="false">IFERROR(M81/AVERAGE(M76:M87),"")</f>
        <v>1.02852607611391</v>
      </c>
      <c r="O81" s="23" t="n">
        <f aca="false">IF(ISNUMBER(Tabelle1!H88),(0.5*Tabelle1!H76+SUM(Tabelle1!H77:H87)+0.5*Tabelle1!H88)/12,"")</f>
        <v>130.577013333333</v>
      </c>
      <c r="P81" s="24" t="n">
        <f aca="false">IFERROR(Tabelle1!H82/O81,"")</f>
        <v>1.01338027744751</v>
      </c>
      <c r="Q81" s="24" t="n">
        <f aca="false">IFERROR(AVERAGEIFS($P$7:$P$294,$B$7:$B$294,$B81,$A$7:$A$294,"&gt;="&amp;EDATE($A81,-12*'Seasonal Factors'!$E$4),$A$7:$A$294,"&lt;="&amp;EDATE($A81,12*'Seasonal Factors'!$E$4)),"")</f>
        <v>1.00741159557966</v>
      </c>
      <c r="R81" s="24" t="n">
        <f aca="false">IFERROR(Q81/AVERAGE(Q76:Q87),"")</f>
        <v>1.00707326638262</v>
      </c>
      <c r="S81" s="23" t="n">
        <f aca="false">IF(ISNUMBER(Tabelle1!I88),(0.5*Tabelle1!I76+SUM(Tabelle1!I77:I87)+0.5*Tabelle1!I88)/12,"")</f>
        <v>120.459627916667</v>
      </c>
      <c r="T81" s="24" t="n">
        <f aca="false">IFERROR(Tabelle1!I82/S81,"")</f>
        <v>1.0380672941021</v>
      </c>
      <c r="U81" s="24" t="n">
        <f aca="false">IFERROR(AVERAGEIFS($T$7:$T$294,$B$7:$B$294,$B81,$A$7:$A$294,"&gt;="&amp;EDATE($A81,-12*'Seasonal Factors'!$E$4),$A$7:$A$294,"&lt;="&amp;EDATE($A81,12*'Seasonal Factors'!$E$4)),"")</f>
        <v>1.00185514905419</v>
      </c>
      <c r="V81" s="24" t="n">
        <f aca="false">IFERROR(U81/AVERAGE(U76:U87),"")</f>
        <v>1.00277301896193</v>
      </c>
      <c r="W81" s="23" t="n">
        <f aca="false">IF(ISNUMBER(Tabelle1!J88),(0.5*Tabelle1!J76+SUM(Tabelle1!J77:J87)+0.5*Tabelle1!J88)/12,"")</f>
        <v>137.229570833333</v>
      </c>
      <c r="X81" s="24" t="n">
        <f aca="false">IFERROR(Tabelle1!J82/W81,"")</f>
        <v>1.009755107143</v>
      </c>
      <c r="Y81" s="24" t="n">
        <f aca="false">IFERROR(AVERAGEIFS($X$7:$X$294,$B$7:$B$294,$B81,$A$7:$A$294,"&gt;="&amp;EDATE($A81,-12*'Seasonal Factors'!$E$4),$A$7:$A$294,"&lt;="&amp;EDATE($A81,12*'Seasonal Factors'!$E$4)),"")</f>
        <v>1.02221940122485</v>
      </c>
      <c r="Z81" s="24" t="n">
        <f aca="false">IFERROR(Y81/AVERAGE(Y76:Y87),"")</f>
        <v>1.02158208898275</v>
      </c>
      <c r="AA81" s="23" t="n">
        <f aca="false">IF(ISNUMBER(Tabelle1!K88),(0.5*Tabelle1!K76+SUM(Tabelle1!K77:K87)+0.5*Tabelle1!K88)/12,"")</f>
        <v>142.6210975</v>
      </c>
      <c r="AB81" s="24" t="n">
        <f aca="false">IFERROR(Tabelle1!K82/AA81,"")</f>
        <v>1.07137872782111</v>
      </c>
      <c r="AC81" s="24" t="n">
        <f aca="false">IFERROR(AVERAGEIFS($AB$7:$AB$294,$B$7:$B$294,$B81,$A$7:$A$294,"&gt;="&amp;EDATE($A81,-12*'Seasonal Factors'!$E$4),$A$7:$A$294,"&lt;="&amp;EDATE($A81,12*'Seasonal Factors'!$E$4)),"")</f>
        <v>1.05701015434143</v>
      </c>
      <c r="AD81" s="24" t="n">
        <f aca="false">IFERROR(AC81/AVERAGE(AC76:AC87),"")</f>
        <v>1.05717909428704</v>
      </c>
      <c r="AE81" s="23" t="n">
        <f aca="false">IF(ISNUMBER(Tabelle1!L88),(0.5*Tabelle1!L76+SUM(Tabelle1!L77:L87)+0.5*Tabelle1!L88)/12,"")</f>
        <v>144.765269166667</v>
      </c>
      <c r="AF81" s="24" t="n">
        <f aca="false">IFERROR(Tabelle1!L82/AE81,"")</f>
        <v>1.00161959311569</v>
      </c>
      <c r="AG81" s="24" t="n">
        <f aca="false">IFERROR(AVERAGEIFS($AF$7:$AF$294,$B$7:$B$294,$B81,$A$7:$A$294,"&gt;="&amp;EDATE($A81,-12*'Seasonal Factors'!$E$4),$A$7:$A$294,"&lt;="&amp;EDATE($A81,12*'Seasonal Factors'!$E$4)),"")</f>
        <v>1.00744908844208</v>
      </c>
      <c r="AH81" s="24" t="n">
        <f aca="false">IFERROR(AG81/AVERAGE(AG76:AG87),"")</f>
        <v>1.00727759254635</v>
      </c>
      <c r="AI81" s="23" t="n">
        <f aca="false">IF(ISNUMBER(Tabelle1!M88),(0.5*Tabelle1!M76+SUM(Tabelle1!M77:M87)+0.5*Tabelle1!M88)/12,"")</f>
        <v>162.825462083333</v>
      </c>
      <c r="AJ81" s="24" t="n">
        <f aca="false">IFERROR(Tabelle1!M82/AI81,"")</f>
        <v>0.997249741670599</v>
      </c>
      <c r="AK81" s="24" t="n">
        <f aca="false">IFERROR(AVERAGEIFS($AJ$7:$AJ$294,$B$7:$B$294,$B81,$A$7:$A$294,"&gt;="&amp;EDATE($A81,-12*'Seasonal Factors'!$E$4),$A$7:$A$294,"&lt;="&amp;EDATE($A81,12*'Seasonal Factors'!$E$4)),"")</f>
        <v>0.99725836781418</v>
      </c>
      <c r="AL81" s="24" t="n">
        <f aca="false">IFERROR(AK81/AVERAGE(AK76:AK87),"")</f>
        <v>0.996965022194307</v>
      </c>
      <c r="AM81" s="23" t="n">
        <f aca="false">IF(ISNUMBER(Tabelle1!N88),(0.5*Tabelle1!N76+SUM(Tabelle1!N77:N87)+0.5*Tabelle1!N88)/12,"")</f>
        <v>150.11847</v>
      </c>
      <c r="AN81" s="24" t="n">
        <f aca="false">IFERROR(Tabelle1!N82/AM81,"")</f>
        <v>1.00697435831847</v>
      </c>
      <c r="AO81" s="24" t="n">
        <f aca="false">IFERROR(AVERAGEIFS($AN$7:$AN$294,$B$7:$B$294,$B81,$A$7:$A$294,"&gt;="&amp;EDATE($A81,-12*'Seasonal Factors'!$E$4),$A$7:$A$294,"&lt;="&amp;EDATE($A81,12*'Seasonal Factors'!$E$4)),"")</f>
        <v>0.996064851456956</v>
      </c>
      <c r="AP81" s="24" t="n">
        <f aca="false">IFERROR(AO81/AVERAGE(AO76:AO87),"")</f>
        <v>0.99553783670927</v>
      </c>
      <c r="AQ81" s="23" t="n">
        <f aca="false">IF(ISNUMBER(Tabelle1!O88),(0.5*Tabelle1!O76+SUM(Tabelle1!O77:O87)+0.5*Tabelle1!O88)/12,"")</f>
        <v>126.20306375</v>
      </c>
      <c r="AR81" s="24" t="n">
        <f aca="false">IFERROR(Tabelle1!O82/AQ81,"")</f>
        <v>1.00476562321174</v>
      </c>
      <c r="AS81" s="24" t="n">
        <f aca="false">IFERROR(AVERAGEIFS($AR$7:$AR$294,$B$7:$B$294,$B81,$A$7:$A$294,"&gt;="&amp;EDATE($A81,-12*'Seasonal Factors'!$E$4),$A$7:$A$294,"&lt;="&amp;EDATE($A81,12*'Seasonal Factors'!$E$4)),"")</f>
        <v>0.987575227557023</v>
      </c>
      <c r="AT81" s="24" t="n">
        <f aca="false">IFERROR(AS81/AVERAGE(AS76:AS87),"")</f>
        <v>0.987394040389719</v>
      </c>
      <c r="AU81" s="23" t="n">
        <f aca="false">IF(ISNUMBER(Tabelle1!P88),(0.5*Tabelle1!P76+SUM(Tabelle1!P77:P87)+0.5*Tabelle1!P88)/12,"")</f>
        <v>127.378975416667</v>
      </c>
      <c r="AV81" s="24" t="n">
        <f aca="false">IFERROR(Tabelle1!P82/AU81,"")</f>
        <v>0.996453139812212</v>
      </c>
      <c r="AW81" s="24" t="n">
        <f aca="false">IFERROR(AVERAGEIFS($AV$7:$AV$294,$B$7:$B$294,$B81,$A$7:$A$294,"&gt;="&amp;EDATE($A81,-12*'Seasonal Factors'!$E$4),$A$7:$A$294,"&lt;="&amp;EDATE($A81,12*'Seasonal Factors'!$E$4)),"")</f>
        <v>0.99401203783734</v>
      </c>
      <c r="AX81" s="24" t="n">
        <f aca="false">IFERROR(AW81/AVERAGE(AW76:AW87),"")</f>
        <v>0.993981943625357</v>
      </c>
      <c r="AY81" s="23" t="n">
        <f aca="false">IF(ISNUMBER(Tabelle1!Q88),(0.5*Tabelle1!Q76+SUM(Tabelle1!Q77:Q87)+0.5*Tabelle1!Q88)/12,"")</f>
        <v>130.498661666667</v>
      </c>
      <c r="AZ81" s="24" t="n">
        <f aca="false">IFERROR(Tabelle1!Q82/AY81,"")</f>
        <v>0.987377252412946</v>
      </c>
      <c r="BA81" s="24" t="n">
        <f aca="false">IFERROR(AVERAGEIFS($AZ$7:$AZ$294,$B$7:$B$294,$B81,$A$7:$A$294,"&gt;="&amp;EDATE($A81,-12*'Seasonal Factors'!$E$4),$A$7:$A$294,"&lt;="&amp;EDATE($A81,12*'Seasonal Factors'!$E$4)),"")</f>
        <v>0.983226222700514</v>
      </c>
      <c r="BB81" s="24" t="n">
        <f aca="false">IFERROR(BA81/AVERAGE(BA76:BA87),"")</f>
        <v>0.983200642614576</v>
      </c>
      <c r="BC81" s="23" t="n">
        <f aca="false">IF(ISNUMBER(Tabelle1!R88),(0.5*Tabelle1!R76+SUM(Tabelle1!R77:R87)+0.5*Tabelle1!R88)/12,"")</f>
        <v>141.0000275</v>
      </c>
      <c r="BD81" s="24" t="n">
        <f aca="false">IFERROR(Tabelle1!R82/BC81,"")</f>
        <v>0.991080586845985</v>
      </c>
      <c r="BE81" s="24" t="n">
        <f aca="false">IFERROR(AVERAGEIFS($BD$7:$BD$294,$B$7:$B$294,$B81,$A$7:$A$294,"&gt;="&amp;EDATE($A81,-12*'Seasonal Factors'!$E$4),$A$7:$A$294,"&lt;="&amp;EDATE($A81,12*'Seasonal Factors'!$E$4)),"")</f>
        <v>1.00594928719873</v>
      </c>
      <c r="BF81" s="24" t="n">
        <f aca="false">IFERROR(BE81/AVERAGE(BE76:BE87),"")</f>
        <v>1.0060911863953</v>
      </c>
      <c r="BG81" s="23" t="n">
        <f aca="false">IF(ISNUMBER(Tabelle1!S88),(0.5*Tabelle1!S76+SUM(Tabelle1!S77:S87)+0.5*Tabelle1!S88)/12,"")</f>
        <v>144.143562916667</v>
      </c>
      <c r="BH81" s="24" t="n">
        <f aca="false">IFERROR(Tabelle1!S82/BG81,"")</f>
        <v>0.973626342795034</v>
      </c>
      <c r="BI81" s="24" t="n">
        <f aca="false">IFERROR(AVERAGEIFS($BH$7:$BH$294,$B$7:$B$294,$B81,$A$7:$A$294,"&gt;="&amp;EDATE($A81,-12*'Seasonal Factors'!$E$4),$A$7:$A$294,"&lt;="&amp;EDATE($A81,12*'Seasonal Factors'!$E$4)),"")</f>
        <v>0.975167732743549</v>
      </c>
      <c r="BJ81" s="24" t="n">
        <f aca="false">IFERROR(BI81/AVERAGE(BI76:BI87),"")</f>
        <v>0.97490782646046</v>
      </c>
    </row>
    <row r="82" customFormat="false" ht="15" hidden="false" customHeight="false" outlineLevel="0" collapsed="false">
      <c r="A82" s="20" t="n">
        <v>40298</v>
      </c>
      <c r="B82" s="22" t="n">
        <f aca="false">MONTH(A82)</f>
        <v>4</v>
      </c>
      <c r="C82" s="23" t="n">
        <f aca="false">IF(ISNUMBER(Tabelle1!E89),(0.5*Tabelle1!E77+SUM(Tabelle1!E78:E88)+0.5*Tabelle1!E89)/12,"")</f>
        <v>126.508332916667</v>
      </c>
      <c r="D82" s="24" t="n">
        <f aca="false">IFERROR(Tabelle1!E83/C82,"")</f>
        <v>1.83741746208227</v>
      </c>
      <c r="E82" s="24" t="n">
        <f aca="false">IFERROR(AVERAGEIFS($D$7:$D$294,$B$7:$B$294,$B82,$A$7:$A$294,"&gt;="&amp;EDATE($A82,-12*'Seasonal Factors'!$E$4),$A$7:$A$294,"&lt;="&amp;EDATE($A82,12*'Seasonal Factors'!$E$4)),"")</f>
        <v>1.65788020618797</v>
      </c>
      <c r="F82" s="24" t="n">
        <f aca="false">IFERROR(E82/AVERAGE(E77:E88),"")</f>
        <v>1.65770839703219</v>
      </c>
      <c r="G82" s="23" t="n">
        <f aca="false">IF(ISNUMBER(Tabelle1!F89),(0.5*Tabelle1!F77+SUM(Tabelle1!F78:F88)+0.5*Tabelle1!F89)/12,"")</f>
        <v>116.56563</v>
      </c>
      <c r="H82" s="24" t="n">
        <f aca="false">IFERROR(Tabelle1!F83/G82,"")</f>
        <v>0.78975114705767</v>
      </c>
      <c r="I82" s="24" t="n">
        <f aca="false">IFERROR(AVERAGEIFS($H$7:$H$294,$B$7:$B$294,$B82,$A$7:$A$294,"&gt;="&amp;EDATE($A82,-12*'Seasonal Factors'!$E$4),$A$7:$A$294,"&lt;="&amp;EDATE($A82,12*'Seasonal Factors'!$E$4)),"")</f>
        <v>1.25610458654842</v>
      </c>
      <c r="J82" s="24" t="n">
        <f aca="false">IFERROR(I82/AVERAGE(I77:I88),"")</f>
        <v>1.24689447124924</v>
      </c>
      <c r="K82" s="23" t="n">
        <f aca="false">IF(ISNUMBER(Tabelle1!G89),(0.5*Tabelle1!G77+SUM(Tabelle1!G78:G88)+0.5*Tabelle1!G89)/12,"")</f>
        <v>103.85372625</v>
      </c>
      <c r="L82" s="24" t="n">
        <f aca="false">IFERROR(Tabelle1!G83/K82,"")</f>
        <v>0.998953371689926</v>
      </c>
      <c r="M82" s="24" t="n">
        <f aca="false">IFERROR(AVERAGEIFS($L$7:$L$294,$B$7:$B$294,$B82,$A$7:$A$294,"&gt;="&amp;EDATE($A82,-12*'Seasonal Factors'!$E$4),$A$7:$A$294,"&lt;="&amp;EDATE($A82,12*'Seasonal Factors'!$E$4)),"")</f>
        <v>0.981330572967225</v>
      </c>
      <c r="N82" s="24" t="n">
        <f aca="false">IFERROR(M82/AVERAGE(M77:M88),"")</f>
        <v>0.981265207832796</v>
      </c>
      <c r="O82" s="23" t="n">
        <f aca="false">IF(ISNUMBER(Tabelle1!H89),(0.5*Tabelle1!H77+SUM(Tabelle1!H78:H88)+0.5*Tabelle1!H89)/12,"")</f>
        <v>131.69529</v>
      </c>
      <c r="P82" s="24" t="n">
        <f aca="false">IFERROR(Tabelle1!H83/O82,"")</f>
        <v>1.00975889114941</v>
      </c>
      <c r="Q82" s="24" t="n">
        <f aca="false">IFERROR(AVERAGEIFS($P$7:$P$294,$B$7:$B$294,$B82,$A$7:$A$294,"&gt;="&amp;EDATE($A82,-12*'Seasonal Factors'!$E$4),$A$7:$A$294,"&lt;="&amp;EDATE($A82,12*'Seasonal Factors'!$E$4)),"")</f>
        <v>1.00532561694514</v>
      </c>
      <c r="R82" s="24" t="n">
        <f aca="false">IFERROR(Q82/AVERAGE(Q77:Q88),"")</f>
        <v>1.00465137755511</v>
      </c>
      <c r="S82" s="23" t="n">
        <f aca="false">IF(ISNUMBER(Tabelle1!I89),(0.5*Tabelle1!I77+SUM(Tabelle1!I78:I88)+0.5*Tabelle1!I89)/12,"")</f>
        <v>120.66452375</v>
      </c>
      <c r="T82" s="24" t="n">
        <f aca="false">IFERROR(Tabelle1!I83/S82,"")</f>
        <v>0.950552792448244</v>
      </c>
      <c r="U82" s="24" t="n">
        <f aca="false">IFERROR(AVERAGEIFS($T$7:$T$294,$B$7:$B$294,$B82,$A$7:$A$294,"&gt;="&amp;EDATE($A82,-12*'Seasonal Factors'!$E$4),$A$7:$A$294,"&lt;="&amp;EDATE($A82,12*'Seasonal Factors'!$E$4)),"")</f>
        <v>0.949675388451547</v>
      </c>
      <c r="V82" s="24" t="n">
        <f aca="false">IFERROR(U82/AVERAGE(U77:U88),"")</f>
        <v>0.949961533142052</v>
      </c>
      <c r="W82" s="23" t="n">
        <f aca="false">IF(ISNUMBER(Tabelle1!J89),(0.5*Tabelle1!J77+SUM(Tabelle1!J78:J88)+0.5*Tabelle1!J89)/12,"")</f>
        <v>138.178085833333</v>
      </c>
      <c r="X82" s="24" t="n">
        <f aca="false">IFERROR(Tabelle1!J83/W82,"")</f>
        <v>1.01158507991345</v>
      </c>
      <c r="Y82" s="24" t="n">
        <f aca="false">IFERROR(AVERAGEIFS($X$7:$X$294,$B$7:$B$294,$B82,$A$7:$A$294,"&gt;="&amp;EDATE($A82,-12*'Seasonal Factors'!$E$4),$A$7:$A$294,"&lt;="&amp;EDATE($A82,12*'Seasonal Factors'!$E$4)),"")</f>
        <v>0.988746915377258</v>
      </c>
      <c r="Z82" s="24" t="n">
        <f aca="false">IFERROR(Y82/AVERAGE(Y77:Y88),"")</f>
        <v>0.988174026890363</v>
      </c>
      <c r="AA82" s="23" t="n">
        <f aca="false">IF(ISNUMBER(Tabelle1!K89),(0.5*Tabelle1!K77+SUM(Tabelle1!K78:K88)+0.5*Tabelle1!K89)/12,"")</f>
        <v>144.048296666667</v>
      </c>
      <c r="AB82" s="24" t="n">
        <f aca="false">IFERROR(Tabelle1!K83/AA82,"")</f>
        <v>1.00809064293228</v>
      </c>
      <c r="AC82" s="24" t="n">
        <f aca="false">IFERROR(AVERAGEIFS($AB$7:$AB$294,$B$7:$B$294,$B82,$A$7:$A$294,"&gt;="&amp;EDATE($A82,-12*'Seasonal Factors'!$E$4),$A$7:$A$294,"&lt;="&amp;EDATE($A82,12*'Seasonal Factors'!$E$4)),"")</f>
        <v>1.00534304049882</v>
      </c>
      <c r="AD82" s="24" t="n">
        <f aca="false">IFERROR(AC82/AVERAGE(AC77:AC88),"")</f>
        <v>1.00464595113559</v>
      </c>
      <c r="AE82" s="23" t="n">
        <f aca="false">IF(ISNUMBER(Tabelle1!L89),(0.5*Tabelle1!L77+SUM(Tabelle1!L78:L88)+0.5*Tabelle1!L89)/12,"")</f>
        <v>145.946179166667</v>
      </c>
      <c r="AF82" s="24" t="n">
        <f aca="false">IFERROR(Tabelle1!L83/AE82,"")</f>
        <v>0.972827454686992</v>
      </c>
      <c r="AG82" s="24" t="n">
        <f aca="false">IFERROR(AVERAGEIFS($AF$7:$AF$294,$B$7:$B$294,$B82,$A$7:$A$294,"&gt;="&amp;EDATE($A82,-12*'Seasonal Factors'!$E$4),$A$7:$A$294,"&lt;="&amp;EDATE($A82,12*'Seasonal Factors'!$E$4)),"")</f>
        <v>0.974943647123476</v>
      </c>
      <c r="AH82" s="24" t="n">
        <f aca="false">IFERROR(AG82/AVERAGE(AG77:AG88),"")</f>
        <v>0.974431545199793</v>
      </c>
      <c r="AI82" s="23" t="n">
        <f aca="false">IF(ISNUMBER(Tabelle1!M89),(0.5*Tabelle1!M77+SUM(Tabelle1!M78:M88)+0.5*Tabelle1!M89)/12,"")</f>
        <v>163.90087875</v>
      </c>
      <c r="AJ82" s="24" t="n">
        <f aca="false">IFERROR(Tabelle1!M83/AI82,"")</f>
        <v>1.03509316907796</v>
      </c>
      <c r="AK82" s="24" t="n">
        <f aca="false">IFERROR(AVERAGEIFS($AJ$7:$AJ$294,$B$7:$B$294,$B82,$A$7:$A$294,"&gt;="&amp;EDATE($A82,-12*'Seasonal Factors'!$E$4),$A$7:$A$294,"&lt;="&amp;EDATE($A82,12*'Seasonal Factors'!$E$4)),"")</f>
        <v>1.02306540661105</v>
      </c>
      <c r="AL82" s="24" t="n">
        <f aca="false">IFERROR(AK82/AVERAGE(AK77:AK88),"")</f>
        <v>1.02261057675431</v>
      </c>
      <c r="AM82" s="23" t="n">
        <f aca="false">IF(ISNUMBER(Tabelle1!N89),(0.5*Tabelle1!N77+SUM(Tabelle1!N78:N88)+0.5*Tabelle1!N89)/12,"")</f>
        <v>150.014229583333</v>
      </c>
      <c r="AN82" s="24" t="n">
        <f aca="false">IFERROR(Tabelle1!N83/AM82,"")</f>
        <v>0.994979745685292</v>
      </c>
      <c r="AO82" s="24" t="n">
        <f aca="false">IFERROR(AVERAGEIFS($AN$7:$AN$294,$B$7:$B$294,$B82,$A$7:$A$294,"&gt;="&amp;EDATE($A82,-12*'Seasonal Factors'!$E$4),$A$7:$A$294,"&lt;="&amp;EDATE($A82,12*'Seasonal Factors'!$E$4)),"")</f>
        <v>0.98345932588933</v>
      </c>
      <c r="AP82" s="24" t="n">
        <f aca="false">IFERROR(AO82/AVERAGE(AO77:AO88),"")</f>
        <v>0.982580489536017</v>
      </c>
      <c r="AQ82" s="23" t="n">
        <f aca="false">IF(ISNUMBER(Tabelle1!O89),(0.5*Tabelle1!O77+SUM(Tabelle1!O78:O88)+0.5*Tabelle1!O89)/12,"")</f>
        <v>126.768294583333</v>
      </c>
      <c r="AR82" s="24" t="n">
        <f aca="false">IFERROR(Tabelle1!O83/AQ82,"")</f>
        <v>0.997079201983822</v>
      </c>
      <c r="AS82" s="24" t="n">
        <f aca="false">IFERROR(AVERAGEIFS($AR$7:$AR$294,$B$7:$B$294,$B82,$A$7:$A$294,"&gt;="&amp;EDATE($A82,-12*'Seasonal Factors'!$E$4),$A$7:$A$294,"&lt;="&amp;EDATE($A82,12*'Seasonal Factors'!$E$4)),"")</f>
        <v>0.985821034331522</v>
      </c>
      <c r="AT82" s="24" t="n">
        <f aca="false">IFERROR(AS82/AVERAGE(AS77:AS88),"")</f>
        <v>0.985511322370649</v>
      </c>
      <c r="AU82" s="23" t="n">
        <f aca="false">IF(ISNUMBER(Tabelle1!P89),(0.5*Tabelle1!P77+SUM(Tabelle1!P78:P88)+0.5*Tabelle1!P89)/12,"")</f>
        <v>127.4979075</v>
      </c>
      <c r="AV82" s="24" t="n">
        <f aca="false">IFERROR(Tabelle1!P83/AU82,"")</f>
        <v>0.993022885493238</v>
      </c>
      <c r="AW82" s="24" t="n">
        <f aca="false">IFERROR(AVERAGEIFS($AV$7:$AV$294,$B$7:$B$294,$B82,$A$7:$A$294,"&gt;="&amp;EDATE($A82,-12*'Seasonal Factors'!$E$4),$A$7:$A$294,"&lt;="&amp;EDATE($A82,12*'Seasonal Factors'!$E$4)),"")</f>
        <v>0.987615269538636</v>
      </c>
      <c r="AX82" s="24" t="n">
        <f aca="false">IFERROR(AW82/AVERAGE(AW77:AW88),"")</f>
        <v>0.987645025113649</v>
      </c>
      <c r="AY82" s="23" t="n">
        <f aca="false">IF(ISNUMBER(Tabelle1!Q89),(0.5*Tabelle1!Q77+SUM(Tabelle1!Q78:Q88)+0.5*Tabelle1!Q89)/12,"")</f>
        <v>130.608038333333</v>
      </c>
      <c r="AZ82" s="24" t="n">
        <f aca="false">IFERROR(Tabelle1!Q83/AY82,"")</f>
        <v>0.990210569352017</v>
      </c>
      <c r="BA82" s="24" t="n">
        <f aca="false">IFERROR(AVERAGEIFS($AZ$7:$AZ$294,$B$7:$B$294,$B82,$A$7:$A$294,"&gt;="&amp;EDATE($A82,-12*'Seasonal Factors'!$E$4),$A$7:$A$294,"&lt;="&amp;EDATE($A82,12*'Seasonal Factors'!$E$4)),"")</f>
        <v>0.982471537551911</v>
      </c>
      <c r="BB82" s="24" t="n">
        <f aca="false">IFERROR(BA82/AVERAGE(BA77:BA88),"")</f>
        <v>0.982388012154676</v>
      </c>
      <c r="BC82" s="23" t="n">
        <f aca="false">IF(ISNUMBER(Tabelle1!R89),(0.5*Tabelle1!R77+SUM(Tabelle1!R78:R88)+0.5*Tabelle1!R89)/12,"")</f>
        <v>141.371152083333</v>
      </c>
      <c r="BD82" s="24" t="n">
        <f aca="false">IFERROR(Tabelle1!R83/BC82,"")</f>
        <v>1.04053081432971</v>
      </c>
      <c r="BE82" s="24" t="n">
        <f aca="false">IFERROR(AVERAGEIFS($BD$7:$BD$294,$B$7:$B$294,$B82,$A$7:$A$294,"&gt;="&amp;EDATE($A82,-12*'Seasonal Factors'!$E$4),$A$7:$A$294,"&lt;="&amp;EDATE($A82,12*'Seasonal Factors'!$E$4)),"")</f>
        <v>1.04258457842322</v>
      </c>
      <c r="BF82" s="24" t="n">
        <f aca="false">IFERROR(BE82/AVERAGE(BE77:BE88),"")</f>
        <v>1.04301100361791</v>
      </c>
      <c r="BG82" s="23" t="n">
        <f aca="false">IF(ISNUMBER(Tabelle1!S89),(0.5*Tabelle1!S77+SUM(Tabelle1!S78:S88)+0.5*Tabelle1!S89)/12,"")</f>
        <v>144.42459875</v>
      </c>
      <c r="BH82" s="24" t="n">
        <f aca="false">IFERROR(Tabelle1!S83/BG82,"")</f>
        <v>0.979752834521896</v>
      </c>
      <c r="BI82" s="24" t="n">
        <f aca="false">IFERROR(AVERAGEIFS($BH$7:$BH$294,$B$7:$B$294,$B82,$A$7:$A$294,"&gt;="&amp;EDATE($A82,-12*'Seasonal Factors'!$E$4),$A$7:$A$294,"&lt;="&amp;EDATE($A82,12*'Seasonal Factors'!$E$4)),"")</f>
        <v>0.99239625770665</v>
      </c>
      <c r="BJ82" s="24" t="n">
        <f aca="false">IFERROR(BI82/AVERAGE(BI77:BI88),"")</f>
        <v>0.991998875552011</v>
      </c>
    </row>
    <row r="83" customFormat="false" ht="15" hidden="false" customHeight="false" outlineLevel="0" collapsed="false">
      <c r="A83" s="20" t="n">
        <v>40329</v>
      </c>
      <c r="B83" s="22" t="n">
        <f aca="false">MONTH(A83)</f>
        <v>5</v>
      </c>
      <c r="C83" s="23" t="n">
        <f aca="false">IF(ISNUMBER(Tabelle1!E90),(0.5*Tabelle1!E78+SUM(Tabelle1!E79:E89)+0.5*Tabelle1!E90)/12,"")</f>
        <v>127.070842916667</v>
      </c>
      <c r="D83" s="24" t="n">
        <f aca="false">IFERROR(Tabelle1!E84/C83,"")</f>
        <v>2.76238082586891</v>
      </c>
      <c r="E83" s="24" t="n">
        <f aca="false">IFERROR(AVERAGEIFS($D$7:$D$294,$B$7:$B$294,$B83,$A$7:$A$294,"&gt;="&amp;EDATE($A83,-12*'Seasonal Factors'!$E$4),$A$7:$A$294,"&lt;="&amp;EDATE($A83,12*'Seasonal Factors'!$E$4)),"")</f>
        <v>2.44202161794764</v>
      </c>
      <c r="F83" s="24" t="n">
        <f aca="false">IFERROR(E83/AVERAGE(E78:E89),"")</f>
        <v>2.44257465383264</v>
      </c>
      <c r="G83" s="23" t="n">
        <f aca="false">IF(ISNUMBER(Tabelle1!F90),(0.5*Tabelle1!F78+SUM(Tabelle1!F79:F89)+0.5*Tabelle1!F90)/12,"")</f>
        <v>115.271747916667</v>
      </c>
      <c r="H83" s="24" t="n">
        <f aca="false">IFERROR(Tabelle1!F84/G83,"")</f>
        <v>1.43369856870284</v>
      </c>
      <c r="I83" s="24" t="n">
        <f aca="false">IFERROR(AVERAGEIFS($H$7:$H$294,$B$7:$B$294,$B83,$A$7:$A$294,"&gt;="&amp;EDATE($A83,-12*'Seasonal Factors'!$E$4),$A$7:$A$294,"&lt;="&amp;EDATE($A83,12*'Seasonal Factors'!$E$4)),"")</f>
        <v>1.4215342545512</v>
      </c>
      <c r="J83" s="24" t="n">
        <f aca="false">IFERROR(I83/AVERAGE(I78:I89),"")</f>
        <v>1.40630396214346</v>
      </c>
      <c r="K83" s="23" t="n">
        <f aca="false">IF(ISNUMBER(Tabelle1!G90),(0.5*Tabelle1!G78+SUM(Tabelle1!G79:G89)+0.5*Tabelle1!G90)/12,"")</f>
        <v>103.889927083333</v>
      </c>
      <c r="L83" s="24" t="n">
        <f aca="false">IFERROR(Tabelle1!G84/K83,"")</f>
        <v>1.02026195393301</v>
      </c>
      <c r="M83" s="24" t="n">
        <f aca="false">IFERROR(AVERAGEIFS($L$7:$L$294,$B$7:$B$294,$B83,$A$7:$A$294,"&gt;="&amp;EDATE($A83,-12*'Seasonal Factors'!$E$4),$A$7:$A$294,"&lt;="&amp;EDATE($A83,12*'Seasonal Factors'!$E$4)),"")</f>
        <v>1.00968626416457</v>
      </c>
      <c r="N83" s="24" t="n">
        <f aca="false">IFERROR(M83/AVERAGE(M78:M89),"")</f>
        <v>1.00944586563067</v>
      </c>
      <c r="O83" s="23" t="n">
        <f aca="false">IF(ISNUMBER(Tabelle1!H90),(0.5*Tabelle1!H78+SUM(Tabelle1!H79:H89)+0.5*Tabelle1!H90)/12,"")</f>
        <v>132.790173333333</v>
      </c>
      <c r="P83" s="24" t="n">
        <f aca="false">IFERROR(Tabelle1!H84/O83,"")</f>
        <v>1.02296680989346</v>
      </c>
      <c r="Q83" s="24" t="n">
        <f aca="false">IFERROR(AVERAGEIFS($P$7:$P$294,$B$7:$B$294,$B83,$A$7:$A$294,"&gt;="&amp;EDATE($A83,-12*'Seasonal Factors'!$E$4),$A$7:$A$294,"&lt;="&amp;EDATE($A83,12*'Seasonal Factors'!$E$4)),"")</f>
        <v>1.02887579323829</v>
      </c>
      <c r="R83" s="24" t="n">
        <f aca="false">IFERROR(Q83/AVERAGE(Q78:Q89),"")</f>
        <v>1.02805718853515</v>
      </c>
      <c r="S83" s="23" t="n">
        <f aca="false">IF(ISNUMBER(Tabelle1!I90),(0.5*Tabelle1!I78+SUM(Tabelle1!I79:I89)+0.5*Tabelle1!I90)/12,"")</f>
        <v>120.90699375</v>
      </c>
      <c r="T83" s="24" t="n">
        <f aca="false">IFERROR(Tabelle1!I84/S83,"")</f>
        <v>1.01091712074762</v>
      </c>
      <c r="U83" s="24" t="n">
        <f aca="false">IFERROR(AVERAGEIFS($T$7:$T$294,$B$7:$B$294,$B83,$A$7:$A$294,"&gt;="&amp;EDATE($A83,-12*'Seasonal Factors'!$E$4),$A$7:$A$294,"&lt;="&amp;EDATE($A83,12*'Seasonal Factors'!$E$4)),"")</f>
        <v>1.00771645973489</v>
      </c>
      <c r="V83" s="24" t="n">
        <f aca="false">IFERROR(U83/AVERAGE(U78:U89),"")</f>
        <v>1.00822175949604</v>
      </c>
      <c r="W83" s="23" t="n">
        <f aca="false">IF(ISNUMBER(Tabelle1!J90),(0.5*Tabelle1!J78+SUM(Tabelle1!J79:J89)+0.5*Tabelle1!J90)/12,"")</f>
        <v>138.926602916667</v>
      </c>
      <c r="X83" s="24" t="n">
        <f aca="false">IFERROR(Tabelle1!J84/W83,"")</f>
        <v>1.00176767500376</v>
      </c>
      <c r="Y83" s="24" t="n">
        <f aca="false">IFERROR(AVERAGEIFS($X$7:$X$294,$B$7:$B$294,$B83,$A$7:$A$294,"&gt;="&amp;EDATE($A83,-12*'Seasonal Factors'!$E$4),$A$7:$A$294,"&lt;="&amp;EDATE($A83,12*'Seasonal Factors'!$E$4)),"")</f>
        <v>0.995591436260013</v>
      </c>
      <c r="Z83" s="24" t="n">
        <f aca="false">IFERROR(Y83/AVERAGE(Y78:Y89),"")</f>
        <v>0.995271819014527</v>
      </c>
      <c r="AA83" s="23" t="n">
        <f aca="false">IF(ISNUMBER(Tabelle1!K90),(0.5*Tabelle1!K78+SUM(Tabelle1!K79:K89)+0.5*Tabelle1!K90)/12,"")</f>
        <v>145.814126666667</v>
      </c>
      <c r="AB83" s="24" t="n">
        <f aca="false">IFERROR(Tabelle1!K84/AA83,"")</f>
        <v>1.00950589195313</v>
      </c>
      <c r="AC83" s="24" t="n">
        <f aca="false">IFERROR(AVERAGEIFS($AB$7:$AB$294,$B$7:$B$294,$B83,$A$7:$A$294,"&gt;="&amp;EDATE($A83,-12*'Seasonal Factors'!$E$4),$A$7:$A$294,"&lt;="&amp;EDATE($A83,12*'Seasonal Factors'!$E$4)),"")</f>
        <v>1.02299895953657</v>
      </c>
      <c r="AD83" s="24" t="n">
        <f aca="false">IFERROR(AC83/AVERAGE(AC78:AC89),"")</f>
        <v>1.0222788038537</v>
      </c>
      <c r="AE83" s="23" t="n">
        <f aca="false">IF(ISNUMBER(Tabelle1!L90),(0.5*Tabelle1!L78+SUM(Tabelle1!L79:L89)+0.5*Tabelle1!L90)/12,"")</f>
        <v>146.993009583333</v>
      </c>
      <c r="AF83" s="24" t="n">
        <f aca="false">IFERROR(Tabelle1!L84/AE83,"")</f>
        <v>0.941195777895595</v>
      </c>
      <c r="AG83" s="24" t="n">
        <f aca="false">IFERROR(AVERAGEIFS($AF$7:$AF$294,$B$7:$B$294,$B83,$A$7:$A$294,"&gt;="&amp;EDATE($A83,-12*'Seasonal Factors'!$E$4),$A$7:$A$294,"&lt;="&amp;EDATE($A83,12*'Seasonal Factors'!$E$4)),"")</f>
        <v>0.940520595525251</v>
      </c>
      <c r="AH83" s="24" t="n">
        <f aca="false">IFERROR(AG83/AVERAGE(AG78:AG89),"")</f>
        <v>0.939796035743846</v>
      </c>
      <c r="AI83" s="23" t="n">
        <f aca="false">IF(ISNUMBER(Tabelle1!M90),(0.5*Tabelle1!M78+SUM(Tabelle1!M79:M89)+0.5*Tabelle1!M90)/12,"")</f>
        <v>164.911015</v>
      </c>
      <c r="AJ83" s="24" t="n">
        <f aca="false">IFERROR(Tabelle1!M84/AI83,"")</f>
        <v>1.09880677163984</v>
      </c>
      <c r="AK83" s="24" t="n">
        <f aca="false">IFERROR(AVERAGEIFS($AJ$7:$AJ$294,$B$7:$B$294,$B83,$A$7:$A$294,"&gt;="&amp;EDATE($A83,-12*'Seasonal Factors'!$E$4),$A$7:$A$294,"&lt;="&amp;EDATE($A83,12*'Seasonal Factors'!$E$4)),"")</f>
        <v>1.07920099290332</v>
      </c>
      <c r="AL83" s="24" t="n">
        <f aca="false">IFERROR(AK83/AVERAGE(AK78:AK89),"")</f>
        <v>1.07866893088157</v>
      </c>
      <c r="AM83" s="23" t="n">
        <f aca="false">IF(ISNUMBER(Tabelle1!N90),(0.5*Tabelle1!N78+SUM(Tabelle1!N79:N89)+0.5*Tabelle1!N90)/12,"")</f>
        <v>150.211522916667</v>
      </c>
      <c r="AN83" s="24" t="n">
        <f aca="false">IFERROR(Tabelle1!N84/AM83,"")</f>
        <v>1.00577370541549</v>
      </c>
      <c r="AO83" s="24" t="n">
        <f aca="false">IFERROR(AVERAGEIFS($AN$7:$AN$294,$B$7:$B$294,$B83,$A$7:$A$294,"&gt;="&amp;EDATE($A83,-12*'Seasonal Factors'!$E$4),$A$7:$A$294,"&lt;="&amp;EDATE($A83,12*'Seasonal Factors'!$E$4)),"")</f>
        <v>0.995143769348986</v>
      </c>
      <c r="AP83" s="24" t="n">
        <f aca="false">IFERROR(AO83/AVERAGE(AO78:AO89),"")</f>
        <v>0.994530393951411</v>
      </c>
      <c r="AQ83" s="23" t="n">
        <f aca="false">IF(ISNUMBER(Tabelle1!O90),(0.5*Tabelle1!O78+SUM(Tabelle1!O79:O89)+0.5*Tabelle1!O90)/12,"")</f>
        <v>127.401697916667</v>
      </c>
      <c r="AR83" s="24" t="n">
        <f aca="false">IFERROR(Tabelle1!O84/AQ83,"")</f>
        <v>0.995671267136272</v>
      </c>
      <c r="AS83" s="24" t="n">
        <f aca="false">IFERROR(AVERAGEIFS($AR$7:$AR$294,$B$7:$B$294,$B83,$A$7:$A$294,"&gt;="&amp;EDATE($A83,-12*'Seasonal Factors'!$E$4),$A$7:$A$294,"&lt;="&amp;EDATE($A83,12*'Seasonal Factors'!$E$4)),"")</f>
        <v>1.00752444490238</v>
      </c>
      <c r="AT83" s="24" t="n">
        <f aca="false">IFERROR(AS83/AVERAGE(AS78:AS89),"")</f>
        <v>1.00729819198552</v>
      </c>
      <c r="AU83" s="23" t="n">
        <f aca="false">IF(ISNUMBER(Tabelle1!P90),(0.5*Tabelle1!P78+SUM(Tabelle1!P79:P89)+0.5*Tabelle1!P90)/12,"")</f>
        <v>127.660332916667</v>
      </c>
      <c r="AV83" s="24" t="n">
        <f aca="false">IFERROR(Tabelle1!P84/AU83,"")</f>
        <v>0.998357963575079</v>
      </c>
      <c r="AW83" s="24" t="n">
        <f aca="false">IFERROR(AVERAGEIFS($AV$7:$AV$294,$B$7:$B$294,$B83,$A$7:$A$294,"&gt;="&amp;EDATE($A83,-12*'Seasonal Factors'!$E$4),$A$7:$A$294,"&lt;="&amp;EDATE($A83,12*'Seasonal Factors'!$E$4)),"")</f>
        <v>0.995792700885579</v>
      </c>
      <c r="AX83" s="24" t="n">
        <f aca="false">IFERROR(AW83/AVERAGE(AW78:AW89),"")</f>
        <v>0.99593119106646</v>
      </c>
      <c r="AY83" s="23" t="n">
        <f aca="false">IF(ISNUMBER(Tabelle1!Q90),(0.5*Tabelle1!Q78+SUM(Tabelle1!Q79:Q89)+0.5*Tabelle1!Q90)/12,"")</f>
        <v>130.720790833333</v>
      </c>
      <c r="AZ83" s="24" t="n">
        <f aca="false">IFERROR(Tabelle1!Q84/AY83,"")</f>
        <v>0.999680075119905</v>
      </c>
      <c r="BA83" s="24" t="n">
        <f aca="false">IFERROR(AVERAGEIFS($AZ$7:$AZ$294,$B$7:$B$294,$B83,$A$7:$A$294,"&gt;="&amp;EDATE($A83,-12*'Seasonal Factors'!$E$4),$A$7:$A$294,"&lt;="&amp;EDATE($A83,12*'Seasonal Factors'!$E$4)),"")</f>
        <v>0.99600312904403</v>
      </c>
      <c r="BB83" s="24" t="n">
        <f aca="false">IFERROR(BA83/AVERAGE(BA78:BA89),"")</f>
        <v>0.995966451841184</v>
      </c>
      <c r="BC83" s="23" t="n">
        <f aca="false">IF(ISNUMBER(Tabelle1!R90),(0.5*Tabelle1!R78+SUM(Tabelle1!R79:R89)+0.5*Tabelle1!R90)/12,"")</f>
        <v>141.795270416667</v>
      </c>
      <c r="BD83" s="24" t="n">
        <f aca="false">IFERROR(Tabelle1!R84/BC83,"")</f>
        <v>1.05456140787065</v>
      </c>
      <c r="BE83" s="24" t="n">
        <f aca="false">IFERROR(AVERAGEIFS($BD$7:$BD$294,$B$7:$B$294,$B83,$A$7:$A$294,"&gt;="&amp;EDATE($A83,-12*'Seasonal Factors'!$E$4),$A$7:$A$294,"&lt;="&amp;EDATE($A83,12*'Seasonal Factors'!$E$4)),"")</f>
        <v>1.05753959491952</v>
      </c>
      <c r="BF83" s="24" t="n">
        <f aca="false">IFERROR(BE83/AVERAGE(BE78:BE89),"")</f>
        <v>1.05824116024881</v>
      </c>
      <c r="BG83" s="23" t="n">
        <f aca="false">IF(ISNUMBER(Tabelle1!S90),(0.5*Tabelle1!S78+SUM(Tabelle1!S79:S89)+0.5*Tabelle1!S90)/12,"")</f>
        <v>144.889099166667</v>
      </c>
      <c r="BH83" s="24" t="n">
        <f aca="false">IFERROR(Tabelle1!S84/BG83,"")</f>
        <v>0.997703007551425</v>
      </c>
      <c r="BI83" s="24" t="n">
        <f aca="false">IFERROR(AVERAGEIFS($BH$7:$BH$294,$B$7:$B$294,$B83,$A$7:$A$294,"&gt;="&amp;EDATE($A83,-12*'Seasonal Factors'!$E$4),$A$7:$A$294,"&lt;="&amp;EDATE($A83,12*'Seasonal Factors'!$E$4)),"")</f>
        <v>1.00305338202634</v>
      </c>
      <c r="BJ83" s="24" t="n">
        <f aca="false">IFERROR(BI83/AVERAGE(BI78:BI89),"")</f>
        <v>1.00238565752578</v>
      </c>
    </row>
    <row r="84" customFormat="false" ht="15" hidden="false" customHeight="false" outlineLevel="0" collapsed="false">
      <c r="A84" s="20" t="n">
        <v>40359</v>
      </c>
      <c r="B84" s="22" t="n">
        <f aca="false">MONTH(A84)</f>
        <v>6</v>
      </c>
      <c r="C84" s="23" t="n">
        <f aca="false">IF(ISNUMBER(Tabelle1!E91),(0.5*Tabelle1!E79+SUM(Tabelle1!E80:E90)+0.5*Tabelle1!E91)/12,"")</f>
        <v>128.671827083333</v>
      </c>
      <c r="D84" s="24" t="n">
        <f aca="false">IFERROR(Tabelle1!E85/C84,"")</f>
        <v>1.7976827192342</v>
      </c>
      <c r="E84" s="24" t="n">
        <f aca="false">IFERROR(AVERAGEIFS($D$7:$D$294,$B$7:$B$294,$B84,$A$7:$A$294,"&gt;="&amp;EDATE($A84,-12*'Seasonal Factors'!$E$4),$A$7:$A$294,"&lt;="&amp;EDATE($A84,12*'Seasonal Factors'!$E$4)),"")</f>
        <v>1.63297427722317</v>
      </c>
      <c r="F84" s="24" t="n">
        <f aca="false">IFERROR(E84/AVERAGE(E79:E90),"")</f>
        <v>1.63647352207972</v>
      </c>
      <c r="G84" s="23" t="n">
        <f aca="false">IF(ISNUMBER(Tabelle1!F91),(0.5*Tabelle1!F79+SUM(Tabelle1!F80:F90)+0.5*Tabelle1!F91)/12,"")</f>
        <v>114.959685833333</v>
      </c>
      <c r="H84" s="24" t="n">
        <f aca="false">IFERROR(Tabelle1!F85/G84,"")</f>
        <v>1.43647374123319</v>
      </c>
      <c r="I84" s="24" t="n">
        <f aca="false">IFERROR(AVERAGEIFS($H$7:$H$294,$B$7:$B$294,$B84,$A$7:$A$294,"&gt;="&amp;EDATE($A84,-12*'Seasonal Factors'!$E$4),$A$7:$A$294,"&lt;="&amp;EDATE($A84,12*'Seasonal Factors'!$E$4)),"")</f>
        <v>1.35922318737241</v>
      </c>
      <c r="J84" s="24" t="n">
        <f aca="false">IFERROR(I84/AVERAGE(I79:I90),"")</f>
        <v>1.34923047725144</v>
      </c>
      <c r="K84" s="23" t="n">
        <f aca="false">IF(ISNUMBER(Tabelle1!G91),(0.5*Tabelle1!G79+SUM(Tabelle1!G80:G90)+0.5*Tabelle1!G91)/12,"")</f>
        <v>103.594714166667</v>
      </c>
      <c r="L84" s="24" t="n">
        <f aca="false">IFERROR(Tabelle1!G85/K84,"")</f>
        <v>1.01670785857422</v>
      </c>
      <c r="M84" s="24" t="n">
        <f aca="false">IFERROR(AVERAGEIFS($L$7:$L$294,$B$7:$B$294,$B84,$A$7:$A$294,"&gt;="&amp;EDATE($A84,-12*'Seasonal Factors'!$E$4),$A$7:$A$294,"&lt;="&amp;EDATE($A84,12*'Seasonal Factors'!$E$4)),"")</f>
        <v>0.988870738918241</v>
      </c>
      <c r="N84" s="24" t="n">
        <f aca="false">IFERROR(M84/AVERAGE(M79:M90),"")</f>
        <v>0.98836669118283</v>
      </c>
      <c r="O84" s="23" t="n">
        <f aca="false">IF(ISNUMBER(Tabelle1!H91),(0.5*Tabelle1!H79+SUM(Tabelle1!H80:H90)+0.5*Tabelle1!H91)/12,"")</f>
        <v>133.857289583333</v>
      </c>
      <c r="P84" s="24" t="n">
        <f aca="false">IFERROR(Tabelle1!H85/O84,"")</f>
        <v>1.0080051704319</v>
      </c>
      <c r="Q84" s="24" t="n">
        <f aca="false">IFERROR(AVERAGEIFS($P$7:$P$294,$B$7:$B$294,$B84,$A$7:$A$294,"&gt;="&amp;EDATE($A84,-12*'Seasonal Factors'!$E$4),$A$7:$A$294,"&lt;="&amp;EDATE($A84,12*'Seasonal Factors'!$E$4)),"")</f>
        <v>0.998980880002612</v>
      </c>
      <c r="R84" s="24" t="n">
        <f aca="false">IFERROR(Q84/AVERAGE(Q79:Q90),"")</f>
        <v>0.998126950230355</v>
      </c>
      <c r="S84" s="23" t="n">
        <f aca="false">IF(ISNUMBER(Tabelle1!I91),(0.5*Tabelle1!I79+SUM(Tabelle1!I80:I90)+0.5*Tabelle1!I91)/12,"")</f>
        <v>121.628585</v>
      </c>
      <c r="T84" s="24" t="n">
        <f aca="false">IFERROR(Tabelle1!I85/S84,"")</f>
        <v>1.01342953221071</v>
      </c>
      <c r="U84" s="24" t="n">
        <f aca="false">IFERROR(AVERAGEIFS($T$7:$T$294,$B$7:$B$294,$B84,$A$7:$A$294,"&gt;="&amp;EDATE($A84,-12*'Seasonal Factors'!$E$4),$A$7:$A$294,"&lt;="&amp;EDATE($A84,12*'Seasonal Factors'!$E$4)),"")</f>
        <v>1.03290164745599</v>
      </c>
      <c r="V84" s="24" t="n">
        <f aca="false">IFERROR(U84/AVERAGE(U79:U90),"")</f>
        <v>1.03313391286768</v>
      </c>
      <c r="W84" s="23" t="n">
        <f aca="false">IF(ISNUMBER(Tabelle1!J91),(0.5*Tabelle1!J79+SUM(Tabelle1!J80:J90)+0.5*Tabelle1!J91)/12,"")</f>
        <v>139.897403333333</v>
      </c>
      <c r="X84" s="24" t="n">
        <f aca="false">IFERROR(Tabelle1!J85/W84,"")</f>
        <v>0.995075152812582</v>
      </c>
      <c r="Y84" s="24" t="n">
        <f aca="false">IFERROR(AVERAGEIFS($X$7:$X$294,$B$7:$B$294,$B84,$A$7:$A$294,"&gt;="&amp;EDATE($A84,-12*'Seasonal Factors'!$E$4),$A$7:$A$294,"&lt;="&amp;EDATE($A84,12*'Seasonal Factors'!$E$4)),"")</f>
        <v>0.9870050876217</v>
      </c>
      <c r="Z84" s="24" t="n">
        <f aca="false">IFERROR(Y84/AVERAGE(Y79:Y90),"")</f>
        <v>0.987037860232725</v>
      </c>
      <c r="AA84" s="23" t="n">
        <f aca="false">IF(ISNUMBER(Tabelle1!K91),(0.5*Tabelle1!K79+SUM(Tabelle1!K80:K90)+0.5*Tabelle1!K91)/12,"")</f>
        <v>147.715295</v>
      </c>
      <c r="AB84" s="24" t="n">
        <f aca="false">IFERROR(Tabelle1!K85/AA84,"")</f>
        <v>1.02254319703318</v>
      </c>
      <c r="AC84" s="24" t="n">
        <f aca="false">IFERROR(AVERAGEIFS($AB$7:$AB$294,$B$7:$B$294,$B84,$A$7:$A$294,"&gt;="&amp;EDATE($A84,-12*'Seasonal Factors'!$E$4),$A$7:$A$294,"&lt;="&amp;EDATE($A84,12*'Seasonal Factors'!$E$4)),"")</f>
        <v>1.00982175209229</v>
      </c>
      <c r="AD84" s="24" t="n">
        <f aca="false">IFERROR(AC84/AVERAGE(AC79:AC90),"")</f>
        <v>1.00899038118619</v>
      </c>
      <c r="AE84" s="23" t="n">
        <f aca="false">IF(ISNUMBER(Tabelle1!L91),(0.5*Tabelle1!L79+SUM(Tabelle1!L80:L90)+0.5*Tabelle1!L91)/12,"")</f>
        <v>148.019615</v>
      </c>
      <c r="AF84" s="24" t="n">
        <f aca="false">IFERROR(Tabelle1!L85/AE84,"")</f>
        <v>0.92093632320284</v>
      </c>
      <c r="AG84" s="24" t="n">
        <f aca="false">IFERROR(AVERAGEIFS($AF$7:$AF$294,$B$7:$B$294,$B84,$A$7:$A$294,"&gt;="&amp;EDATE($A84,-12*'Seasonal Factors'!$E$4),$A$7:$A$294,"&lt;="&amp;EDATE($A84,12*'Seasonal Factors'!$E$4)),"")</f>
        <v>0.923558010375358</v>
      </c>
      <c r="AH84" s="24" t="n">
        <f aca="false">IFERROR(AG84/AVERAGE(AG79:AG90),"")</f>
        <v>0.922428386357952</v>
      </c>
      <c r="AI84" s="23" t="n">
        <f aca="false">IF(ISNUMBER(Tabelle1!M91),(0.5*Tabelle1!M79+SUM(Tabelle1!M80:M90)+0.5*Tabelle1!M91)/12,"")</f>
        <v>165.84461625</v>
      </c>
      <c r="AJ84" s="24" t="n">
        <f aca="false">IFERROR(Tabelle1!M85/AI84,"")</f>
        <v>1.05021027476374</v>
      </c>
      <c r="AK84" s="24" t="n">
        <f aca="false">IFERROR(AVERAGEIFS($AJ$7:$AJ$294,$B$7:$B$294,$B84,$A$7:$A$294,"&gt;="&amp;EDATE($A84,-12*'Seasonal Factors'!$E$4),$A$7:$A$294,"&lt;="&amp;EDATE($A84,12*'Seasonal Factors'!$E$4)),"")</f>
        <v>1.03202434029987</v>
      </c>
      <c r="AL84" s="24" t="n">
        <f aca="false">IFERROR(AK84/AVERAGE(AK79:AK90),"")</f>
        <v>1.03165518330386</v>
      </c>
      <c r="AM84" s="23" t="n">
        <f aca="false">IF(ISNUMBER(Tabelle1!N91),(0.5*Tabelle1!N79+SUM(Tabelle1!N80:N90)+0.5*Tabelle1!N91)/12,"")</f>
        <v>150.683025</v>
      </c>
      <c r="AN84" s="24" t="n">
        <f aca="false">IFERROR(Tabelle1!N85/AM84,"")</f>
        <v>1.04586273072232</v>
      </c>
      <c r="AO84" s="24" t="n">
        <f aca="false">IFERROR(AVERAGEIFS($AN$7:$AN$294,$B$7:$B$294,$B84,$A$7:$A$294,"&gt;="&amp;EDATE($A84,-12*'Seasonal Factors'!$E$4),$A$7:$A$294,"&lt;="&amp;EDATE($A84,12*'Seasonal Factors'!$E$4)),"")</f>
        <v>1.01623638474622</v>
      </c>
      <c r="AP84" s="24" t="n">
        <f aca="false">IFERROR(AO84/AVERAGE(AO79:AO90),"")</f>
        <v>1.01592825496792</v>
      </c>
      <c r="AQ84" s="23" t="n">
        <f aca="false">IF(ISNUMBER(Tabelle1!O91),(0.5*Tabelle1!O79+SUM(Tabelle1!O80:O90)+0.5*Tabelle1!O91)/12,"")</f>
        <v>128.12181875</v>
      </c>
      <c r="AR84" s="24" t="n">
        <f aca="false">IFERROR(Tabelle1!O85/AQ84,"")</f>
        <v>1.01291404747562</v>
      </c>
      <c r="AS84" s="24" t="n">
        <f aca="false">IFERROR(AVERAGEIFS($AR$7:$AR$294,$B$7:$B$294,$B84,$A$7:$A$294,"&gt;="&amp;EDATE($A84,-12*'Seasonal Factors'!$E$4),$A$7:$A$294,"&lt;="&amp;EDATE($A84,12*'Seasonal Factors'!$E$4)),"")</f>
        <v>1.01963882400657</v>
      </c>
      <c r="AT84" s="24" t="n">
        <f aca="false">IFERROR(AS84/AVERAGE(AS79:AS90),"")</f>
        <v>1.01959894451409</v>
      </c>
      <c r="AU84" s="23" t="n">
        <f aca="false">IF(ISNUMBER(Tabelle1!P91),(0.5*Tabelle1!P79+SUM(Tabelle1!P80:P90)+0.5*Tabelle1!P91)/12,"")</f>
        <v>127.830119166667</v>
      </c>
      <c r="AV84" s="24" t="n">
        <f aca="false">IFERROR(Tabelle1!P85/AU84,"")</f>
        <v>1.01031870142915</v>
      </c>
      <c r="AW84" s="24" t="n">
        <f aca="false">IFERROR(AVERAGEIFS($AV$7:$AV$294,$B$7:$B$294,$B84,$A$7:$A$294,"&gt;="&amp;EDATE($A84,-12*'Seasonal Factors'!$E$4),$A$7:$A$294,"&lt;="&amp;EDATE($A84,12*'Seasonal Factors'!$E$4)),"")</f>
        <v>1.00677896153104</v>
      </c>
      <c r="AX84" s="24" t="n">
        <f aca="false">IFERROR(AW84/AVERAGE(AW79:AW90),"")</f>
        <v>1.00707643040461</v>
      </c>
      <c r="AY84" s="23" t="n">
        <f aca="false">IF(ISNUMBER(Tabelle1!Q91),(0.5*Tabelle1!Q79+SUM(Tabelle1!Q80:Q90)+0.5*Tabelle1!Q91)/12,"")</f>
        <v>130.846891666667</v>
      </c>
      <c r="AZ84" s="24" t="n">
        <f aca="false">IFERROR(Tabelle1!Q85/AY84,"")</f>
        <v>1.0212694264104</v>
      </c>
      <c r="BA84" s="24" t="n">
        <f aca="false">IFERROR(AVERAGEIFS($AZ$7:$AZ$294,$B$7:$B$294,$B84,$A$7:$A$294,"&gt;="&amp;EDATE($A84,-12*'Seasonal Factors'!$E$4),$A$7:$A$294,"&lt;="&amp;EDATE($A84,12*'Seasonal Factors'!$E$4)),"")</f>
        <v>1.01684256898069</v>
      </c>
      <c r="BB84" s="24" t="n">
        <f aca="false">IFERROR(BA84/AVERAGE(BA79:BA90),"")</f>
        <v>1.01699115809875</v>
      </c>
      <c r="BC84" s="23" t="n">
        <f aca="false">IF(ISNUMBER(Tabelle1!R91),(0.5*Tabelle1!R79+SUM(Tabelle1!R80:R90)+0.5*Tabelle1!R91)/12,"")</f>
        <v>142.236895416667</v>
      </c>
      <c r="BD84" s="24" t="n">
        <f aca="false">IFERROR(Tabelle1!R85/BC84,"")</f>
        <v>1.08009345641271</v>
      </c>
      <c r="BE84" s="24" t="n">
        <f aca="false">IFERROR(AVERAGEIFS($BD$7:$BD$294,$B$7:$B$294,$B84,$A$7:$A$294,"&gt;="&amp;EDATE($A84,-12*'Seasonal Factors'!$E$4),$A$7:$A$294,"&lt;="&amp;EDATE($A84,12*'Seasonal Factors'!$E$4)),"")</f>
        <v>1.07922143973783</v>
      </c>
      <c r="BF84" s="24" t="n">
        <f aca="false">IFERROR(BE84/AVERAGE(BE79:BE90),"")</f>
        <v>1.08030309360843</v>
      </c>
      <c r="BG84" s="23" t="n">
        <f aca="false">IF(ISNUMBER(Tabelle1!S91),(0.5*Tabelle1!S79+SUM(Tabelle1!S80:S90)+0.5*Tabelle1!S91)/12,"")</f>
        <v>145.375017916667</v>
      </c>
      <c r="BH84" s="24" t="n">
        <f aca="false">IFERROR(Tabelle1!S85/BG84,"")</f>
        <v>0.99563255141244</v>
      </c>
      <c r="BI84" s="24" t="n">
        <f aca="false">IFERROR(AVERAGEIFS($BH$7:$BH$294,$B$7:$B$294,$B84,$A$7:$A$294,"&gt;="&amp;EDATE($A84,-12*'Seasonal Factors'!$E$4),$A$7:$A$294,"&lt;="&amp;EDATE($A84,12*'Seasonal Factors'!$E$4)),"")</f>
        <v>1.00508195275254</v>
      </c>
      <c r="BJ84" s="24" t="n">
        <f aca="false">IFERROR(BI84/AVERAGE(BI79:BI90),"")</f>
        <v>1.00452328015136</v>
      </c>
    </row>
    <row r="85" customFormat="false" ht="15" hidden="false" customHeight="false" outlineLevel="0" collapsed="false">
      <c r="A85" s="20" t="n">
        <v>40390</v>
      </c>
      <c r="B85" s="22" t="n">
        <f aca="false">MONTH(A85)</f>
        <v>7</v>
      </c>
      <c r="C85" s="23" t="n">
        <f aca="false">IF(ISNUMBER(Tabelle1!E92),(0.5*Tabelle1!E80+SUM(Tabelle1!E81:E91)+0.5*Tabelle1!E92)/12,"")</f>
        <v>130.49657875</v>
      </c>
      <c r="D85" s="24" t="n">
        <f aca="false">IFERROR(Tabelle1!E86/C85,"")</f>
        <v>0.833737796363493</v>
      </c>
      <c r="E85" s="24" t="n">
        <f aca="false">IFERROR(AVERAGEIFS($D$7:$D$294,$B$7:$B$294,$B85,$A$7:$A$294,"&gt;="&amp;EDATE($A85,-12*'Seasonal Factors'!$E$4),$A$7:$A$294,"&lt;="&amp;EDATE($A85,12*'Seasonal Factors'!$E$4)),"")</f>
        <v>0.885941462030412</v>
      </c>
      <c r="F85" s="24" t="n">
        <f aca="false">IFERROR(E85/AVERAGE(E80:E91),"")</f>
        <v>0.889026398873589</v>
      </c>
      <c r="G85" s="23" t="n">
        <f aca="false">IF(ISNUMBER(Tabelle1!F92),(0.5*Tabelle1!F80+SUM(Tabelle1!F81:F91)+0.5*Tabelle1!F92)/12,"")</f>
        <v>115.756764166667</v>
      </c>
      <c r="H85" s="24" t="n">
        <f aca="false">IFERROR(Tabelle1!F86/G85,"")</f>
        <v>1.57355063707328</v>
      </c>
      <c r="I85" s="24" t="n">
        <f aca="false">IFERROR(AVERAGEIFS($H$7:$H$294,$B$7:$B$294,$B85,$A$7:$A$294,"&gt;="&amp;EDATE($A85,-12*'Seasonal Factors'!$E$4),$A$7:$A$294,"&lt;="&amp;EDATE($A85,12*'Seasonal Factors'!$E$4)),"")</f>
        <v>1.23466655337295</v>
      </c>
      <c r="J85" s="24" t="n">
        <f aca="false">IFERROR(I85/AVERAGE(I80:I91),"")</f>
        <v>1.22572442546366</v>
      </c>
      <c r="K85" s="23" t="n">
        <f aca="false">IF(ISNUMBER(Tabelle1!G92),(0.5*Tabelle1!G80+SUM(Tabelle1!G81:G91)+0.5*Tabelle1!G92)/12,"")</f>
        <v>103.019737916667</v>
      </c>
      <c r="L85" s="24" t="n">
        <f aca="false">IFERROR(Tabelle1!G86/K85,"")</f>
        <v>1.03935422633877</v>
      </c>
      <c r="M85" s="24" t="n">
        <f aca="false">IFERROR(AVERAGEIFS($L$7:$L$294,$B$7:$B$294,$B85,$A$7:$A$294,"&gt;="&amp;EDATE($A85,-12*'Seasonal Factors'!$E$4),$A$7:$A$294,"&lt;="&amp;EDATE($A85,12*'Seasonal Factors'!$E$4)),"")</f>
        <v>1.01976938873064</v>
      </c>
      <c r="N85" s="24" t="n">
        <f aca="false">IFERROR(M85/AVERAGE(M80:M91),"")</f>
        <v>1.01940045059132</v>
      </c>
      <c r="O85" s="23" t="n">
        <f aca="false">IF(ISNUMBER(Tabelle1!H92),(0.5*Tabelle1!H80+SUM(Tabelle1!H81:H91)+0.5*Tabelle1!H92)/12,"")</f>
        <v>134.82053</v>
      </c>
      <c r="P85" s="24" t="n">
        <f aca="false">IFERROR(Tabelle1!H86/O85,"")</f>
        <v>1.02037560600007</v>
      </c>
      <c r="Q85" s="24" t="n">
        <f aca="false">IFERROR(AVERAGEIFS($P$7:$P$294,$B$7:$B$294,$B85,$A$7:$A$294,"&gt;="&amp;EDATE($A85,-12*'Seasonal Factors'!$E$4),$A$7:$A$294,"&lt;="&amp;EDATE($A85,12*'Seasonal Factors'!$E$4)),"")</f>
        <v>1.0194246782009</v>
      </c>
      <c r="R85" s="24" t="n">
        <f aca="false">IFERROR(Q85/AVERAGE(Q80:Q91),"")</f>
        <v>1.01911250238036</v>
      </c>
      <c r="S85" s="23" t="n">
        <f aca="false">IF(ISNUMBER(Tabelle1!I92),(0.5*Tabelle1!I80+SUM(Tabelle1!I81:I91)+0.5*Tabelle1!I92)/12,"")</f>
        <v>122.593089166667</v>
      </c>
      <c r="T85" s="24" t="n">
        <f aca="false">IFERROR(Tabelle1!I86/S85,"")</f>
        <v>1.06623375663774</v>
      </c>
      <c r="U85" s="24" t="n">
        <f aca="false">IFERROR(AVERAGEIFS($T$7:$T$294,$B$7:$B$294,$B85,$A$7:$A$294,"&gt;="&amp;EDATE($A85,-12*'Seasonal Factors'!$E$4),$A$7:$A$294,"&lt;="&amp;EDATE($A85,12*'Seasonal Factors'!$E$4)),"")</f>
        <v>1.05531228583388</v>
      </c>
      <c r="V85" s="24" t="n">
        <f aca="false">IFERROR(U85/AVERAGE(U80:U91),"")</f>
        <v>1.0551989384414</v>
      </c>
      <c r="W85" s="23" t="n">
        <f aca="false">IF(ISNUMBER(Tabelle1!J92),(0.5*Tabelle1!J80+SUM(Tabelle1!J81:J91)+0.5*Tabelle1!J92)/12,"")</f>
        <v>141.094102916667</v>
      </c>
      <c r="X85" s="24" t="n">
        <f aca="false">IFERROR(Tabelle1!J86/W85,"")</f>
        <v>1.01849600393912</v>
      </c>
      <c r="Y85" s="24" t="n">
        <f aca="false">IFERROR(AVERAGEIFS($X$7:$X$294,$B$7:$B$294,$B85,$A$7:$A$294,"&gt;="&amp;EDATE($A85,-12*'Seasonal Factors'!$E$4),$A$7:$A$294,"&lt;="&amp;EDATE($A85,12*'Seasonal Factors'!$E$4)),"")</f>
        <v>1.02039578062712</v>
      </c>
      <c r="Z85" s="24" t="n">
        <f aca="false">IFERROR(Y85/AVERAGE(Y80:Y91),"")</f>
        <v>1.02070649199715</v>
      </c>
      <c r="AA85" s="23" t="n">
        <f aca="false">IF(ISNUMBER(Tabelle1!K92),(0.5*Tabelle1!K80+SUM(Tabelle1!K81:K91)+0.5*Tabelle1!K92)/12,"")</f>
        <v>149.322788333333</v>
      </c>
      <c r="AB85" s="24" t="n">
        <f aca="false">IFERROR(Tabelle1!K86/AA85,"")</f>
        <v>1.01002641112838</v>
      </c>
      <c r="AC85" s="24" t="n">
        <f aca="false">IFERROR(AVERAGEIFS($AB$7:$AB$294,$B$7:$B$294,$B85,$A$7:$A$294,"&gt;="&amp;EDATE($A85,-12*'Seasonal Factors'!$E$4),$A$7:$A$294,"&lt;="&amp;EDATE($A85,12*'Seasonal Factors'!$E$4)),"")</f>
        <v>1.01738735147633</v>
      </c>
      <c r="AD85" s="24" t="n">
        <f aca="false">IFERROR(AC85/AVERAGE(AC80:AC91),"")</f>
        <v>1.01739800332799</v>
      </c>
      <c r="AE85" s="23" t="n">
        <f aca="false">IF(ISNUMBER(Tabelle1!L92),(0.5*Tabelle1!L80+SUM(Tabelle1!L81:L91)+0.5*Tabelle1!L92)/12,"")</f>
        <v>148.84232625</v>
      </c>
      <c r="AF85" s="24" t="n">
        <f aca="false">IFERROR(Tabelle1!L86/AE85,"")</f>
        <v>1.01667303792224</v>
      </c>
      <c r="AG85" s="24" t="n">
        <f aca="false">IFERROR(AVERAGEIFS($AF$7:$AF$294,$B$7:$B$294,$B85,$A$7:$A$294,"&gt;="&amp;EDATE($A85,-12*'Seasonal Factors'!$E$4),$A$7:$A$294,"&lt;="&amp;EDATE($A85,12*'Seasonal Factors'!$E$4)),"")</f>
        <v>1.00854397345862</v>
      </c>
      <c r="AH85" s="24" t="n">
        <f aca="false">IFERROR(AG85/AVERAGE(AG80:AG91),"")</f>
        <v>1.00745265075378</v>
      </c>
      <c r="AI85" s="23" t="n">
        <f aca="false">IF(ISNUMBER(Tabelle1!M92),(0.5*Tabelle1!M80+SUM(Tabelle1!M81:M91)+0.5*Tabelle1!M92)/12,"")</f>
        <v>166.808847083333</v>
      </c>
      <c r="AJ85" s="24" t="n">
        <f aca="false">IFERROR(Tabelle1!M86/AI85,"")</f>
        <v>1.01232340461918</v>
      </c>
      <c r="AK85" s="24" t="n">
        <f aca="false">IFERROR(AVERAGEIFS($AJ$7:$AJ$294,$B$7:$B$294,$B85,$A$7:$A$294,"&gt;="&amp;EDATE($A85,-12*'Seasonal Factors'!$E$4),$A$7:$A$294,"&lt;="&amp;EDATE($A85,12*'Seasonal Factors'!$E$4)),"")</f>
        <v>1.0129517815572</v>
      </c>
      <c r="AL85" s="24" t="n">
        <f aca="false">IFERROR(AK85/AVERAGE(AK80:AK91),"")</f>
        <v>1.01273650285449</v>
      </c>
      <c r="AM85" s="23" t="n">
        <f aca="false">IF(ISNUMBER(Tabelle1!N92),(0.5*Tabelle1!N80+SUM(Tabelle1!N81:N91)+0.5*Tabelle1!N92)/12,"")</f>
        <v>151.38637375</v>
      </c>
      <c r="AN85" s="24" t="n">
        <f aca="false">IFERROR(Tabelle1!N86/AM85,"")</f>
        <v>0.966086156746984</v>
      </c>
      <c r="AO85" s="24" t="n">
        <f aca="false">IFERROR(AVERAGEIFS($AN$7:$AN$294,$B$7:$B$294,$B85,$A$7:$A$294,"&gt;="&amp;EDATE($A85,-12*'Seasonal Factors'!$E$4),$A$7:$A$294,"&lt;="&amp;EDATE($A85,12*'Seasonal Factors'!$E$4)),"")</f>
        <v>0.986685913973761</v>
      </c>
      <c r="AP85" s="24" t="n">
        <f aca="false">IFERROR(AO85/AVERAGE(AO80:AO91),"")</f>
        <v>0.986761386338234</v>
      </c>
      <c r="AQ85" s="23" t="n">
        <f aca="false">IF(ISNUMBER(Tabelle1!O92),(0.5*Tabelle1!O80+SUM(Tabelle1!O81:O91)+0.5*Tabelle1!O92)/12,"")</f>
        <v>128.628615416667</v>
      </c>
      <c r="AR85" s="24" t="n">
        <f aca="false">IFERROR(Tabelle1!O86/AQ85,"")</f>
        <v>0.996056045421749</v>
      </c>
      <c r="AS85" s="24" t="n">
        <f aca="false">IFERROR(AVERAGEIFS($AR$7:$AR$294,$B$7:$B$294,$B85,$A$7:$A$294,"&gt;="&amp;EDATE($A85,-12*'Seasonal Factors'!$E$4),$A$7:$A$294,"&lt;="&amp;EDATE($A85,12*'Seasonal Factors'!$E$4)),"")</f>
        <v>1.00544780294615</v>
      </c>
      <c r="AT85" s="24" t="n">
        <f aca="false">IFERROR(AS85/AVERAGE(AS80:AS91),"")</f>
        <v>1.00531464942904</v>
      </c>
      <c r="AU85" s="23" t="n">
        <f aca="false">IF(ISNUMBER(Tabelle1!P92),(0.5*Tabelle1!P80+SUM(Tabelle1!P81:P91)+0.5*Tabelle1!P92)/12,"")</f>
        <v>128.032850833333</v>
      </c>
      <c r="AV85" s="24" t="n">
        <f aca="false">IFERROR(Tabelle1!P86/AU85,"")</f>
        <v>0.994826399404356</v>
      </c>
      <c r="AW85" s="24" t="n">
        <f aca="false">IFERROR(AVERAGEIFS($AV$7:$AV$294,$B$7:$B$294,$B85,$A$7:$A$294,"&gt;="&amp;EDATE($A85,-12*'Seasonal Factors'!$E$4),$A$7:$A$294,"&lt;="&amp;EDATE($A85,12*'Seasonal Factors'!$E$4)),"")</f>
        <v>1.00150445924428</v>
      </c>
      <c r="AX85" s="24" t="n">
        <f aca="false">IFERROR(AW85/AVERAGE(AW80:AW91),"")</f>
        <v>1.00172807676169</v>
      </c>
      <c r="AY85" s="23" t="n">
        <f aca="false">IF(ISNUMBER(Tabelle1!Q92),(0.5*Tabelle1!Q80+SUM(Tabelle1!Q81:Q91)+0.5*Tabelle1!Q92)/12,"")</f>
        <v>131.022535416667</v>
      </c>
      <c r="AZ85" s="24" t="n">
        <f aca="false">IFERROR(Tabelle1!Q86/AY85,"")</f>
        <v>1.00338548313023</v>
      </c>
      <c r="BA85" s="24" t="n">
        <f aca="false">IFERROR(AVERAGEIFS($AZ$7:$AZ$294,$B$7:$B$294,$B85,$A$7:$A$294,"&gt;="&amp;EDATE($A85,-12*'Seasonal Factors'!$E$4),$A$7:$A$294,"&lt;="&amp;EDATE($A85,12*'Seasonal Factors'!$E$4)),"")</f>
        <v>1.00679872479216</v>
      </c>
      <c r="BB85" s="24" t="n">
        <f aca="false">IFERROR(BA85/AVERAGE(BA80:BA91),"")</f>
        <v>1.00692507774319</v>
      </c>
      <c r="BC85" s="23" t="n">
        <f aca="false">IF(ISNUMBER(Tabelle1!R92),(0.5*Tabelle1!R80+SUM(Tabelle1!R81:R91)+0.5*Tabelle1!R92)/12,"")</f>
        <v>142.838257083333</v>
      </c>
      <c r="BD85" s="24" t="n">
        <f aca="false">IFERROR(Tabelle1!R86/BC85,"")</f>
        <v>1.03477004703137</v>
      </c>
      <c r="BE85" s="24" t="n">
        <f aca="false">IFERROR(AVERAGEIFS($BD$7:$BD$294,$B$7:$B$294,$B85,$A$7:$A$294,"&gt;="&amp;EDATE($A85,-12*'Seasonal Factors'!$E$4),$A$7:$A$294,"&lt;="&amp;EDATE($A85,12*'Seasonal Factors'!$E$4)),"")</f>
        <v>1.01127843211927</v>
      </c>
      <c r="BF85" s="24" t="n">
        <f aca="false">IFERROR(BE85/AVERAGE(BE80:BE91),"")</f>
        <v>1.01196104426589</v>
      </c>
      <c r="BG85" s="23" t="n">
        <f aca="false">IF(ISNUMBER(Tabelle1!S92),(0.5*Tabelle1!S80+SUM(Tabelle1!S81:S91)+0.5*Tabelle1!S92)/12,"")</f>
        <v>145.875556666667</v>
      </c>
      <c r="BH85" s="24" t="n">
        <f aca="false">IFERROR(Tabelle1!S86/BG85,"")</f>
        <v>1.10577819674473</v>
      </c>
      <c r="BI85" s="24" t="n">
        <f aca="false">IFERROR(AVERAGEIFS($BH$7:$BH$294,$B$7:$B$294,$B85,$A$7:$A$294,"&gt;="&amp;EDATE($A85,-12*'Seasonal Factors'!$E$4),$A$7:$A$294,"&lt;="&amp;EDATE($A85,12*'Seasonal Factors'!$E$4)),"")</f>
        <v>1.0901627398489</v>
      </c>
      <c r="BJ85" s="24" t="n">
        <f aca="false">IFERROR(BI85/AVERAGE(BI80:BI91),"")</f>
        <v>1.08969402596551</v>
      </c>
    </row>
    <row r="86" customFormat="false" ht="15" hidden="false" customHeight="false" outlineLevel="0" collapsed="false">
      <c r="A86" s="20" t="n">
        <v>40421</v>
      </c>
      <c r="B86" s="22" t="n">
        <f aca="false">MONTH(A86)</f>
        <v>8</v>
      </c>
      <c r="C86" s="23" t="n">
        <f aca="false">IF(ISNUMBER(Tabelle1!E93),(0.5*Tabelle1!E81+SUM(Tabelle1!E82:E92)+0.5*Tabelle1!E93)/12,"")</f>
        <v>131.39794125</v>
      </c>
      <c r="D86" s="24" t="n">
        <f aca="false">IFERROR(Tabelle1!E87/C86,"")</f>
        <v>0.501401995900754</v>
      </c>
      <c r="E86" s="24" t="n">
        <f aca="false">IFERROR(AVERAGEIFS($D$7:$D$294,$B$7:$B$294,$B86,$A$7:$A$294,"&gt;="&amp;EDATE($A86,-12*'Seasonal Factors'!$E$4),$A$7:$A$294,"&lt;="&amp;EDATE($A86,12*'Seasonal Factors'!$E$4)),"")</f>
        <v>0.586207810746776</v>
      </c>
      <c r="F86" s="24" t="n">
        <f aca="false">IFERROR(E86/AVERAGE(E81:E92),"")</f>
        <v>0.588544879569547</v>
      </c>
      <c r="G86" s="23" t="n">
        <f aca="false">IF(ISNUMBER(Tabelle1!F93),(0.5*Tabelle1!F81+SUM(Tabelle1!F82:F92)+0.5*Tabelle1!F93)/12,"")</f>
        <v>117.1157275</v>
      </c>
      <c r="H86" s="24" t="n">
        <f aca="false">IFERROR(Tabelle1!F87/G86,"")</f>
        <v>1.40479006118115</v>
      </c>
      <c r="I86" s="24" t="n">
        <f aca="false">IFERROR(AVERAGEIFS($H$7:$H$294,$B$7:$B$294,$B86,$A$7:$A$294,"&gt;="&amp;EDATE($A86,-12*'Seasonal Factors'!$E$4),$A$7:$A$294,"&lt;="&amp;EDATE($A86,12*'Seasonal Factors'!$E$4)),"")</f>
        <v>1.24559594475821</v>
      </c>
      <c r="J86" s="24" t="n">
        <f aca="false">IFERROR(I86/AVERAGE(I81:I92),"")</f>
        <v>1.24307298445383</v>
      </c>
      <c r="K86" s="23" t="n">
        <f aca="false">IF(ISNUMBER(Tabelle1!G93),(0.5*Tabelle1!G81+SUM(Tabelle1!G82:G92)+0.5*Tabelle1!G93)/12,"")</f>
        <v>102.649372083333</v>
      </c>
      <c r="L86" s="24" t="n">
        <f aca="false">IFERROR(Tabelle1!G87/K86,"")</f>
        <v>1.04206268220678</v>
      </c>
      <c r="M86" s="24" t="n">
        <f aca="false">IFERROR(AVERAGEIFS($L$7:$L$294,$B$7:$B$294,$B86,$A$7:$A$294,"&gt;="&amp;EDATE($A86,-12*'Seasonal Factors'!$E$4),$A$7:$A$294,"&lt;="&amp;EDATE($A86,12*'Seasonal Factors'!$E$4)),"")</f>
        <v>1.01670034963561</v>
      </c>
      <c r="N86" s="24" t="n">
        <f aca="false">IFERROR(M86/AVERAGE(M81:M92),"")</f>
        <v>1.01627078146123</v>
      </c>
      <c r="O86" s="23" t="n">
        <f aca="false">IF(ISNUMBER(Tabelle1!H93),(0.5*Tabelle1!H81+SUM(Tabelle1!H82:H92)+0.5*Tabelle1!H93)/12,"")</f>
        <v>135.850675416667</v>
      </c>
      <c r="P86" s="24" t="n">
        <f aca="false">IFERROR(Tabelle1!H87/O86,"")</f>
        <v>1.04526429157951</v>
      </c>
      <c r="Q86" s="24" t="n">
        <f aca="false">IFERROR(AVERAGEIFS($P$7:$P$294,$B$7:$B$294,$B86,$A$7:$A$294,"&gt;="&amp;EDATE($A86,-12*'Seasonal Factors'!$E$4),$A$7:$A$294,"&lt;="&amp;EDATE($A86,12*'Seasonal Factors'!$E$4)),"")</f>
        <v>1.03138688883213</v>
      </c>
      <c r="R86" s="24" t="n">
        <f aca="false">IFERROR(Q86/AVERAGE(Q81:Q92),"")</f>
        <v>1.03151779443367</v>
      </c>
      <c r="S86" s="23" t="n">
        <f aca="false">IF(ISNUMBER(Tabelle1!I93),(0.5*Tabelle1!I81+SUM(Tabelle1!I82:I92)+0.5*Tabelle1!I93)/12,"")</f>
        <v>123.191399583333</v>
      </c>
      <c r="T86" s="24" t="n">
        <f aca="false">IFERROR(Tabelle1!I87/S86,"")</f>
        <v>1.03860229230897</v>
      </c>
      <c r="U86" s="24" t="n">
        <f aca="false">IFERROR(AVERAGEIFS($T$7:$T$294,$B$7:$B$294,$B86,$A$7:$A$294,"&gt;="&amp;EDATE($A86,-12*'Seasonal Factors'!$E$4),$A$7:$A$294,"&lt;="&amp;EDATE($A86,12*'Seasonal Factors'!$E$4)),"")</f>
        <v>1.03060110593405</v>
      </c>
      <c r="V86" s="24" t="n">
        <f aca="false">IFERROR(U86/AVERAGE(U81:U92),"")</f>
        <v>1.03051948438061</v>
      </c>
      <c r="W86" s="23" t="n">
        <f aca="false">IF(ISNUMBER(Tabelle1!J93),(0.5*Tabelle1!J81+SUM(Tabelle1!J82:J92)+0.5*Tabelle1!J93)/12,"")</f>
        <v>142.44183125</v>
      </c>
      <c r="X86" s="24" t="n">
        <f aca="false">IFERROR(Tabelle1!J87/W86,"")</f>
        <v>1.02755559034559</v>
      </c>
      <c r="Y86" s="24" t="n">
        <f aca="false">IFERROR(AVERAGEIFS($X$7:$X$294,$B$7:$B$294,$B86,$A$7:$A$294,"&gt;="&amp;EDATE($A86,-12*'Seasonal Factors'!$E$4),$A$7:$A$294,"&lt;="&amp;EDATE($A86,12*'Seasonal Factors'!$E$4)),"")</f>
        <v>1.02207502463542</v>
      </c>
      <c r="Z86" s="24" t="n">
        <f aca="false">IFERROR(Y86/AVERAGE(Y81:Y92),"")</f>
        <v>1.02268738705596</v>
      </c>
      <c r="AA86" s="23" t="n">
        <f aca="false">IF(ISNUMBER(Tabelle1!K93),(0.5*Tabelle1!K81+SUM(Tabelle1!K82:K92)+0.5*Tabelle1!K93)/12,"")</f>
        <v>150.785143333333</v>
      </c>
      <c r="AB86" s="24" t="n">
        <f aca="false">IFERROR(Tabelle1!K87/AA86,"")</f>
        <v>1.03254801207979</v>
      </c>
      <c r="AC86" s="24" t="n">
        <f aca="false">IFERROR(AVERAGEIFS($AB$7:$AB$294,$B$7:$B$294,$B86,$A$7:$A$294,"&gt;="&amp;EDATE($A86,-12*'Seasonal Factors'!$E$4),$A$7:$A$294,"&lt;="&amp;EDATE($A86,12*'Seasonal Factors'!$E$4)),"")</f>
        <v>1.02274190376793</v>
      </c>
      <c r="AD86" s="24" t="n">
        <f aca="false">IFERROR(AC86/AVERAGE(AC81:AC92),"")</f>
        <v>1.023004161369</v>
      </c>
      <c r="AE86" s="23" t="n">
        <f aca="false">IF(ISNUMBER(Tabelle1!L93),(0.5*Tabelle1!L81+SUM(Tabelle1!L82:L92)+0.5*Tabelle1!L93)/12,"")</f>
        <v>149.386667083333</v>
      </c>
      <c r="AF86" s="24" t="n">
        <f aca="false">IFERROR(Tabelle1!L87/AE86,"")</f>
        <v>0.990876581491888</v>
      </c>
      <c r="AG86" s="24" t="n">
        <f aca="false">IFERROR(AVERAGEIFS($AF$7:$AF$294,$B$7:$B$294,$B86,$A$7:$A$294,"&gt;="&amp;EDATE($A86,-12*'Seasonal Factors'!$E$4),$A$7:$A$294,"&lt;="&amp;EDATE($A86,12*'Seasonal Factors'!$E$4)),"")</f>
        <v>0.991041049243993</v>
      </c>
      <c r="AH86" s="24" t="n">
        <f aca="false">IFERROR(AG86/AVERAGE(AG81:AG92),"")</f>
        <v>0.99031494535</v>
      </c>
      <c r="AI86" s="23" t="n">
        <f aca="false">IF(ISNUMBER(Tabelle1!M93),(0.5*Tabelle1!M81+SUM(Tabelle1!M82:M92)+0.5*Tabelle1!M93)/12,"")</f>
        <v>167.825613333333</v>
      </c>
      <c r="AJ86" s="24" t="n">
        <f aca="false">IFERROR(Tabelle1!M87/AI86,"")</f>
        <v>0.998712214845871</v>
      </c>
      <c r="AK86" s="24" t="n">
        <f aca="false">IFERROR(AVERAGEIFS($AJ$7:$AJ$294,$B$7:$B$294,$B86,$A$7:$A$294,"&gt;="&amp;EDATE($A86,-12*'Seasonal Factors'!$E$4),$A$7:$A$294,"&lt;="&amp;EDATE($A86,12*'Seasonal Factors'!$E$4)),"")</f>
        <v>0.999648294148006</v>
      </c>
      <c r="AL86" s="24" t="n">
        <f aca="false">IFERROR(AK86/AVERAGE(AK81:AK92),"")</f>
        <v>0.999464458548789</v>
      </c>
      <c r="AM86" s="23" t="n">
        <f aca="false">IF(ISNUMBER(Tabelle1!N93),(0.5*Tabelle1!N81+SUM(Tabelle1!N82:N92)+0.5*Tabelle1!N93)/12,"")</f>
        <v>152.32556625</v>
      </c>
      <c r="AN86" s="24" t="n">
        <f aca="false">IFERROR(Tabelle1!N87/AM86,"")</f>
        <v>0.992604877318157</v>
      </c>
      <c r="AO86" s="24" t="n">
        <f aca="false">IFERROR(AVERAGEIFS($AN$7:$AN$294,$B$7:$B$294,$B86,$A$7:$A$294,"&gt;="&amp;EDATE($A86,-12*'Seasonal Factors'!$E$4),$A$7:$A$294,"&lt;="&amp;EDATE($A86,12*'Seasonal Factors'!$E$4)),"")</f>
        <v>1.01349063512573</v>
      </c>
      <c r="AP86" s="24" t="n">
        <f aca="false">IFERROR(AO86/AVERAGE(AO81:AO92),"")</f>
        <v>1.01360400573067</v>
      </c>
      <c r="AQ86" s="23" t="n">
        <f aca="false">IF(ISNUMBER(Tabelle1!O93),(0.5*Tabelle1!O81+SUM(Tabelle1!O82:O92)+0.5*Tabelle1!O93)/12,"")</f>
        <v>128.921857916667</v>
      </c>
      <c r="AR86" s="24" t="n">
        <f aca="false">IFERROR(Tabelle1!O87/AQ86,"")</f>
        <v>1.00561954423432</v>
      </c>
      <c r="AS86" s="24" t="n">
        <f aca="false">IFERROR(AVERAGEIFS($AR$7:$AR$294,$B$7:$B$294,$B86,$A$7:$A$294,"&gt;="&amp;EDATE($A86,-12*'Seasonal Factors'!$E$4),$A$7:$A$294,"&lt;="&amp;EDATE($A86,12*'Seasonal Factors'!$E$4)),"")</f>
        <v>1.0076032563079</v>
      </c>
      <c r="AT86" s="24" t="n">
        <f aca="false">IFERROR(AS86/AVERAGE(AS81:AS92),"")</f>
        <v>1.00750193973538</v>
      </c>
      <c r="AU86" s="23" t="n">
        <f aca="false">IF(ISNUMBER(Tabelle1!P93),(0.5*Tabelle1!P81+SUM(Tabelle1!P82:P92)+0.5*Tabelle1!P93)/12,"")</f>
        <v>128.260435</v>
      </c>
      <c r="AV86" s="24" t="n">
        <f aca="false">IFERROR(Tabelle1!P87/AU86,"")</f>
        <v>0.994199419329897</v>
      </c>
      <c r="AW86" s="24" t="n">
        <f aca="false">IFERROR(AVERAGEIFS($AV$7:$AV$294,$B$7:$B$294,$B86,$A$7:$A$294,"&gt;="&amp;EDATE($A86,-12*'Seasonal Factors'!$E$4),$A$7:$A$294,"&lt;="&amp;EDATE($A86,12*'Seasonal Factors'!$E$4)),"")</f>
        <v>1.00229275298733</v>
      </c>
      <c r="AX86" s="24" t="n">
        <f aca="false">IFERROR(AW86/AVERAGE(AW81:AW92),"")</f>
        <v>1.00247728293742</v>
      </c>
      <c r="AY86" s="23" t="n">
        <f aca="false">IF(ISNUMBER(Tabelle1!Q93),(0.5*Tabelle1!Q81+SUM(Tabelle1!Q82:Q92)+0.5*Tabelle1!Q93)/12,"")</f>
        <v>131.243639166667</v>
      </c>
      <c r="AZ86" s="24" t="n">
        <f aca="false">IFERROR(Tabelle1!Q87/AY86,"")</f>
        <v>1.00290704247273</v>
      </c>
      <c r="BA86" s="24" t="n">
        <f aca="false">IFERROR(AVERAGEIFS($AZ$7:$AZ$294,$B$7:$B$294,$B86,$A$7:$A$294,"&gt;="&amp;EDATE($A86,-12*'Seasonal Factors'!$E$4),$A$7:$A$294,"&lt;="&amp;EDATE($A86,12*'Seasonal Factors'!$E$4)),"")</f>
        <v>1.00787559684243</v>
      </c>
      <c r="BB86" s="24" t="n">
        <f aca="false">IFERROR(BA86/AVERAGE(BA81:BA92),"")</f>
        <v>1.00801473001252</v>
      </c>
      <c r="BC86" s="23" t="n">
        <f aca="false">IF(ISNUMBER(Tabelle1!R93),(0.5*Tabelle1!R81+SUM(Tabelle1!R82:R92)+0.5*Tabelle1!R93)/12,"")</f>
        <v>143.563215833333</v>
      </c>
      <c r="BD86" s="24" t="n">
        <f aca="false">IFERROR(Tabelle1!R87/BC86,"")</f>
        <v>1.02204934006453</v>
      </c>
      <c r="BE86" s="24" t="n">
        <f aca="false">IFERROR(AVERAGEIFS($BD$7:$BD$294,$B$7:$B$294,$B86,$A$7:$A$294,"&gt;="&amp;EDATE($A86,-12*'Seasonal Factors'!$E$4),$A$7:$A$294,"&lt;="&amp;EDATE($A86,12*'Seasonal Factors'!$E$4)),"")</f>
        <v>1.02322368018714</v>
      </c>
      <c r="BF86" s="24" t="n">
        <f aca="false">IFERROR(BE86/AVERAGE(BE81:BE92),"")</f>
        <v>1.02374869718959</v>
      </c>
      <c r="BG86" s="23" t="n">
        <f aca="false">IF(ISNUMBER(Tabelle1!S93),(0.5*Tabelle1!S81+SUM(Tabelle1!S82:S92)+0.5*Tabelle1!S93)/12,"")</f>
        <v>146.408270833333</v>
      </c>
      <c r="BH86" s="24" t="n">
        <f aca="false">IFERROR(Tabelle1!S87/BG86,"")</f>
        <v>1.01317172285206</v>
      </c>
      <c r="BI86" s="24" t="n">
        <f aca="false">IFERROR(AVERAGEIFS($BH$7:$BH$294,$B$7:$B$294,$B86,$A$7:$A$294,"&gt;="&amp;EDATE($A86,-12*'Seasonal Factors'!$E$4),$A$7:$A$294,"&lt;="&amp;EDATE($A86,12*'Seasonal Factors'!$E$4)),"")</f>
        <v>1.02067808238317</v>
      </c>
      <c r="BJ86" s="24" t="n">
        <f aca="false">IFERROR(BI86/AVERAGE(BI81:BI92),"")</f>
        <v>1.02005307428776</v>
      </c>
    </row>
    <row r="87" customFormat="false" ht="15" hidden="false" customHeight="false" outlineLevel="0" collapsed="false">
      <c r="A87" s="20" t="n">
        <v>40451</v>
      </c>
      <c r="B87" s="22" t="n">
        <f aca="false">MONTH(A87)</f>
        <v>9</v>
      </c>
      <c r="C87" s="23" t="n">
        <f aca="false">IF(ISNUMBER(Tabelle1!E94),(0.5*Tabelle1!E82+SUM(Tabelle1!E83:E93)+0.5*Tabelle1!E94)/12,"")</f>
        <v>131.973160833333</v>
      </c>
      <c r="D87" s="24" t="n">
        <f aca="false">IFERROR(Tabelle1!E88/C87,"")</f>
        <v>0.471643776711594</v>
      </c>
      <c r="E87" s="24" t="n">
        <f aca="false">IFERROR(AVERAGEIFS($D$7:$D$294,$B$7:$B$294,$B87,$A$7:$A$294,"&gt;="&amp;EDATE($A87,-12*'Seasonal Factors'!$E$4),$A$7:$A$294,"&lt;="&amp;EDATE($A87,12*'Seasonal Factors'!$E$4)),"")</f>
        <v>0.558480674842942</v>
      </c>
      <c r="F87" s="24" t="n">
        <f aca="false">IFERROR(E87/AVERAGE(E82:E93),"")</f>
        <v>0.560791972950554</v>
      </c>
      <c r="G87" s="23" t="n">
        <f aca="false">IF(ISNUMBER(Tabelle1!F94),(0.5*Tabelle1!F82+SUM(Tabelle1!F83:F93)+0.5*Tabelle1!F94)/12,"")</f>
        <v>118.468770416667</v>
      </c>
      <c r="H87" s="24" t="n">
        <f aca="false">IFERROR(Tabelle1!F88/G87,"")</f>
        <v>1.53083136899415</v>
      </c>
      <c r="I87" s="24" t="n">
        <f aca="false">IFERROR(AVERAGEIFS($H$7:$H$294,$B$7:$B$294,$B87,$A$7:$A$294,"&gt;="&amp;EDATE($A87,-12*'Seasonal Factors'!$E$4),$A$7:$A$294,"&lt;="&amp;EDATE($A87,12*'Seasonal Factors'!$E$4)),"")</f>
        <v>1.12727451471349</v>
      </c>
      <c r="J87" s="24" t="n">
        <f aca="false">IFERROR(I87/AVERAGE(I82:I93),"")</f>
        <v>1.13257851574592</v>
      </c>
      <c r="K87" s="23" t="n">
        <f aca="false">IF(ISNUMBER(Tabelle1!G94),(0.5*Tabelle1!G82+SUM(Tabelle1!G83:G93)+0.5*Tabelle1!G94)/12,"")</f>
        <v>102.2391425</v>
      </c>
      <c r="L87" s="24" t="n">
        <f aca="false">IFERROR(Tabelle1!G88/K87,"")</f>
        <v>1.00961948111018</v>
      </c>
      <c r="M87" s="24" t="n">
        <f aca="false">IFERROR(AVERAGEIFS($L$7:$L$294,$B$7:$B$294,$B87,$A$7:$A$294,"&gt;="&amp;EDATE($A87,-12*'Seasonal Factors'!$E$4),$A$7:$A$294,"&lt;="&amp;EDATE($A87,12*'Seasonal Factors'!$E$4)),"")</f>
        <v>1.00681103255547</v>
      </c>
      <c r="N87" s="24" t="n">
        <f aca="false">IFERROR(M87/AVERAGE(M82:M93),"")</f>
        <v>1.00647034962842</v>
      </c>
      <c r="O87" s="23" t="n">
        <f aca="false">IF(ISNUMBER(Tabelle1!H94),(0.5*Tabelle1!H82+SUM(Tabelle1!H83:H93)+0.5*Tabelle1!H94)/12,"")</f>
        <v>136.91998875</v>
      </c>
      <c r="P87" s="24" t="n">
        <f aca="false">IFERROR(Tabelle1!H88/O87,"")</f>
        <v>1.03442726875041</v>
      </c>
      <c r="Q87" s="24" t="n">
        <f aca="false">IFERROR(AVERAGEIFS($P$7:$P$294,$B$7:$B$294,$B87,$A$7:$A$294,"&gt;="&amp;EDATE($A87,-12*'Seasonal Factors'!$E$4),$A$7:$A$294,"&lt;="&amp;EDATE($A87,12*'Seasonal Factors'!$E$4)),"")</f>
        <v>1.04261521903084</v>
      </c>
      <c r="R87" s="24" t="n">
        <f aca="false">IFERROR(Q87/AVERAGE(Q82:Q93),"")</f>
        <v>1.04318882612711</v>
      </c>
      <c r="S87" s="23" t="n">
        <f aca="false">IF(ISNUMBER(Tabelle1!I94),(0.5*Tabelle1!I82+SUM(Tabelle1!I83:I93)+0.5*Tabelle1!I94)/12,"")</f>
        <v>123.635997083333</v>
      </c>
      <c r="T87" s="24" t="n">
        <f aca="false">IFERROR(Tabelle1!I88/S87,"")</f>
        <v>0.95515378033797</v>
      </c>
      <c r="U87" s="24" t="n">
        <f aca="false">IFERROR(AVERAGEIFS($T$7:$T$294,$B$7:$B$294,$B87,$A$7:$A$294,"&gt;="&amp;EDATE($A87,-12*'Seasonal Factors'!$E$4),$A$7:$A$294,"&lt;="&amp;EDATE($A87,12*'Seasonal Factors'!$E$4)),"")</f>
        <v>0.957402864434907</v>
      </c>
      <c r="V87" s="24" t="n">
        <f aca="false">IFERROR(U87/AVERAGE(U82:U93),"")</f>
        <v>0.95661461414278</v>
      </c>
      <c r="W87" s="23" t="n">
        <f aca="false">IF(ISNUMBER(Tabelle1!J94),(0.5*Tabelle1!J82+SUM(Tabelle1!J83:J93)+0.5*Tabelle1!J94)/12,"")</f>
        <v>143.79175</v>
      </c>
      <c r="X87" s="24" t="n">
        <f aca="false">IFERROR(Tabelle1!J88/W87,"")</f>
        <v>1.03443041760045</v>
      </c>
      <c r="Y87" s="24" t="n">
        <f aca="false">IFERROR(AVERAGEIFS($X$7:$X$294,$B$7:$B$294,$B87,$A$7:$A$294,"&gt;="&amp;EDATE($A87,-12*'Seasonal Factors'!$E$4),$A$7:$A$294,"&lt;="&amp;EDATE($A87,12*'Seasonal Factors'!$E$4)),"")</f>
        <v>1.02967590927248</v>
      </c>
      <c r="Z87" s="24" t="n">
        <f aca="false">IFERROR(Y87/AVERAGE(Y82:Y93),"")</f>
        <v>1.03062257843573</v>
      </c>
      <c r="AA87" s="23" t="n">
        <f aca="false">IF(ISNUMBER(Tabelle1!K94),(0.5*Tabelle1!K82+SUM(Tabelle1!K83:K93)+0.5*Tabelle1!K94)/12,"")</f>
        <v>152.211620416667</v>
      </c>
      <c r="AB87" s="24" t="n">
        <f aca="false">IFERROR(Tabelle1!K88/AA87,"")</f>
        <v>1.02960562124625</v>
      </c>
      <c r="AC87" s="24" t="n">
        <f aca="false">IFERROR(AVERAGEIFS($AB$7:$AB$294,$B$7:$B$294,$B87,$A$7:$A$294,"&gt;="&amp;EDATE($A87,-12*'Seasonal Factors'!$E$4),$A$7:$A$294,"&lt;="&amp;EDATE($A87,12*'Seasonal Factors'!$E$4)),"")</f>
        <v>1.02981875562115</v>
      </c>
      <c r="AD87" s="24" t="n">
        <f aca="false">IFERROR(AC87/AVERAGE(AC82:AC93),"")</f>
        <v>1.03026850608685</v>
      </c>
      <c r="AE87" s="23" t="n">
        <f aca="false">IF(ISNUMBER(Tabelle1!L94),(0.5*Tabelle1!L82+SUM(Tabelle1!L83:L93)+0.5*Tabelle1!L94)/12,"")</f>
        <v>149.957621666667</v>
      </c>
      <c r="AF87" s="24" t="n">
        <f aca="false">IFERROR(Tabelle1!L88/AE87,"")</f>
        <v>1.00305685251766</v>
      </c>
      <c r="AG87" s="24" t="n">
        <f aca="false">IFERROR(AVERAGEIFS($AF$7:$AF$294,$B$7:$B$294,$B87,$A$7:$A$294,"&gt;="&amp;EDATE($A87,-12*'Seasonal Factors'!$E$4),$A$7:$A$294,"&lt;="&amp;EDATE($A87,12*'Seasonal Factors'!$E$4)),"")</f>
        <v>0.999169379238359</v>
      </c>
      <c r="AH87" s="24" t="n">
        <f aca="false">IFERROR(AG87/AVERAGE(AG82:AG93),"")</f>
        <v>0.999167525851769</v>
      </c>
      <c r="AI87" s="23" t="n">
        <f aca="false">IF(ISNUMBER(Tabelle1!M94),(0.5*Tabelle1!M82+SUM(Tabelle1!M83:M93)+0.5*Tabelle1!M94)/12,"")</f>
        <v>168.79468875</v>
      </c>
      <c r="AJ87" s="24" t="n">
        <f aca="false">IFERROR(Tabelle1!M88/AI87,"")</f>
        <v>0.981703223170877</v>
      </c>
      <c r="AK87" s="24" t="n">
        <f aca="false">IFERROR(AVERAGEIFS($AJ$7:$AJ$294,$B$7:$B$294,$B87,$A$7:$A$294,"&gt;="&amp;EDATE($A87,-12*'Seasonal Factors'!$E$4),$A$7:$A$294,"&lt;="&amp;EDATE($A87,12*'Seasonal Factors'!$E$4)),"")</f>
        <v>0.985023702568418</v>
      </c>
      <c r="AL87" s="24" t="n">
        <f aca="false">IFERROR(AK87/AVERAGE(AK82:AK93),"")</f>
        <v>0.985061201875587</v>
      </c>
      <c r="AM87" s="23" t="n">
        <f aca="false">IF(ISNUMBER(Tabelle1!N94),(0.5*Tabelle1!N82+SUM(Tabelle1!N83:N93)+0.5*Tabelle1!N94)/12,"")</f>
        <v>153.20343625</v>
      </c>
      <c r="AN87" s="24" t="n">
        <f aca="false">IFERROR(Tabelle1!N88/AM87,"")</f>
        <v>0.984212258489731</v>
      </c>
      <c r="AO87" s="24" t="n">
        <f aca="false">IFERROR(AVERAGEIFS($AN$7:$AN$294,$B$7:$B$294,$B87,$A$7:$A$294,"&gt;="&amp;EDATE($A87,-12*'Seasonal Factors'!$E$4),$A$7:$A$294,"&lt;="&amp;EDATE($A87,12*'Seasonal Factors'!$E$4)),"")</f>
        <v>0.999860390922782</v>
      </c>
      <c r="AP87" s="24" t="n">
        <f aca="false">IFERROR(AO87/AVERAGE(AO82:AO93),"")</f>
        <v>0.999977414089433</v>
      </c>
      <c r="AQ87" s="23" t="n">
        <f aca="false">IF(ISNUMBER(Tabelle1!O94),(0.5*Tabelle1!O82+SUM(Tabelle1!O83:O93)+0.5*Tabelle1!O94)/12,"")</f>
        <v>129.142154583333</v>
      </c>
      <c r="AR87" s="24" t="n">
        <f aca="false">IFERROR(Tabelle1!O88/AQ87,"")</f>
        <v>1.01473171500665</v>
      </c>
      <c r="AS87" s="24" t="n">
        <f aca="false">IFERROR(AVERAGEIFS($AR$7:$AR$294,$B$7:$B$294,$B87,$A$7:$A$294,"&gt;="&amp;EDATE($A87,-12*'Seasonal Factors'!$E$4),$A$7:$A$294,"&lt;="&amp;EDATE($A87,12*'Seasonal Factors'!$E$4)),"")</f>
        <v>1.0070774405363</v>
      </c>
      <c r="AT87" s="24" t="n">
        <f aca="false">IFERROR(AS87/AVERAGE(AS82:AS93),"")</f>
        <v>1.00715407887173</v>
      </c>
      <c r="AU87" s="23" t="n">
        <f aca="false">IF(ISNUMBER(Tabelle1!P94),(0.5*Tabelle1!P82+SUM(Tabelle1!P83:P93)+0.5*Tabelle1!P94)/12,"")</f>
        <v>128.492825</v>
      </c>
      <c r="AV87" s="24" t="n">
        <f aca="false">IFERROR(Tabelle1!P88/AU87,"")</f>
        <v>0.995266078086461</v>
      </c>
      <c r="AW87" s="24" t="n">
        <f aca="false">IFERROR(AVERAGEIFS($AV$7:$AV$294,$B$7:$B$294,$B87,$A$7:$A$294,"&gt;="&amp;EDATE($A87,-12*'Seasonal Factors'!$E$4),$A$7:$A$294,"&lt;="&amp;EDATE($A87,12*'Seasonal Factors'!$E$4)),"")</f>
        <v>1.00338189555444</v>
      </c>
      <c r="AX87" s="24" t="n">
        <f aca="false">IFERROR(AW87/AVERAGE(AW82:AW93),"")</f>
        <v>1.00342683125076</v>
      </c>
      <c r="AY87" s="23" t="n">
        <f aca="false">IF(ISNUMBER(Tabelle1!Q94),(0.5*Tabelle1!Q82+SUM(Tabelle1!Q83:Q93)+0.5*Tabelle1!Q94)/12,"")</f>
        <v>131.467634166667</v>
      </c>
      <c r="AZ87" s="24" t="n">
        <f aca="false">IFERROR(Tabelle1!Q88/AY87,"")</f>
        <v>1.00219571786747</v>
      </c>
      <c r="BA87" s="24" t="n">
        <f aca="false">IFERROR(AVERAGEIFS($AZ$7:$AZ$294,$B$7:$B$294,$B87,$A$7:$A$294,"&gt;="&amp;EDATE($A87,-12*'Seasonal Factors'!$E$4),$A$7:$A$294,"&lt;="&amp;EDATE($A87,12*'Seasonal Factors'!$E$4)),"")</f>
        <v>1.01008816691799</v>
      </c>
      <c r="BB87" s="24" t="n">
        <f aca="false">IFERROR(BA87/AVERAGE(BA82:BA93),"")</f>
        <v>1.01022749341601</v>
      </c>
      <c r="BC87" s="23" t="n">
        <f aca="false">IF(ISNUMBER(Tabelle1!R94),(0.5*Tabelle1!R82+SUM(Tabelle1!R83:R93)+0.5*Tabelle1!R94)/12,"")</f>
        <v>144.320179583333</v>
      </c>
      <c r="BD87" s="24" t="n">
        <f aca="false">IFERROR(Tabelle1!R88/BC87,"")</f>
        <v>1.00163684951993</v>
      </c>
      <c r="BE87" s="24" t="n">
        <f aca="false">IFERROR(AVERAGEIFS($BD$7:$BD$294,$B$7:$B$294,$B87,$A$7:$A$294,"&gt;="&amp;EDATE($A87,-12*'Seasonal Factors'!$E$4),$A$7:$A$294,"&lt;="&amp;EDATE($A87,12*'Seasonal Factors'!$E$4)),"")</f>
        <v>1.00028231510055</v>
      </c>
      <c r="BF87" s="24" t="n">
        <f aca="false">IFERROR(BE87/AVERAGE(BE82:BE93),"")</f>
        <v>1.0005081054699</v>
      </c>
      <c r="BG87" s="23" t="n">
        <f aca="false">IF(ISNUMBER(Tabelle1!S94),(0.5*Tabelle1!S82+SUM(Tabelle1!S83:S93)+0.5*Tabelle1!S94)/12,"")</f>
        <v>146.932122916667</v>
      </c>
      <c r="BH87" s="24" t="n">
        <f aca="false">IFERROR(Tabelle1!S88/BG87,"")</f>
        <v>0.978428386837749</v>
      </c>
      <c r="BI87" s="24" t="n">
        <f aca="false">IFERROR(AVERAGEIFS($BH$7:$BH$294,$B$7:$B$294,$B87,$A$7:$A$294,"&gt;="&amp;EDATE($A87,-12*'Seasonal Factors'!$E$4),$A$7:$A$294,"&lt;="&amp;EDATE($A87,12*'Seasonal Factors'!$E$4)),"")</f>
        <v>0.981164662537851</v>
      </c>
      <c r="BJ87" s="24" t="n">
        <f aca="false">IFERROR(BI87/AVERAGE(BI82:BI93),"")</f>
        <v>0.980823204357924</v>
      </c>
    </row>
    <row r="88" customFormat="false" ht="15" hidden="false" customHeight="false" outlineLevel="0" collapsed="false">
      <c r="A88" s="20" t="n">
        <v>40482</v>
      </c>
      <c r="B88" s="22" t="n">
        <f aca="false">MONTH(A88)</f>
        <v>10</v>
      </c>
      <c r="C88" s="23" t="n">
        <f aca="false">IF(ISNUMBER(Tabelle1!E95),(0.5*Tabelle1!E83+SUM(Tabelle1!E84:E94)+0.5*Tabelle1!E95)/12,"")</f>
        <v>131.55132</v>
      </c>
      <c r="D88" s="24" t="n">
        <f aca="false">IFERROR(Tabelle1!E89/C88,"")</f>
        <v>0.50335473638729</v>
      </c>
      <c r="E88" s="24" t="n">
        <f aca="false">IFERROR(AVERAGEIFS($D$7:$D$294,$B$7:$B$294,$B88,$A$7:$A$294,"&gt;="&amp;EDATE($A88,-12*'Seasonal Factors'!$E$4),$A$7:$A$294,"&lt;="&amp;EDATE($A88,12*'Seasonal Factors'!$E$4)),"")</f>
        <v>0.563824905335499</v>
      </c>
      <c r="F88" s="24" t="n">
        <f aca="false">IFERROR(E88/AVERAGE(E83:E94),"")</f>
        <v>0.565329553102071</v>
      </c>
      <c r="G88" s="23" t="n">
        <f aca="false">IF(ISNUMBER(Tabelle1!F95),(0.5*Tabelle1!F83+SUM(Tabelle1!F84:F94)+0.5*Tabelle1!F95)/12,"")</f>
        <v>120.478656666667</v>
      </c>
      <c r="H88" s="24" t="n">
        <f aca="false">IFERROR(Tabelle1!F89/G88,"")</f>
        <v>0.774344374191645</v>
      </c>
      <c r="I88" s="24" t="n">
        <f aca="false">IFERROR(AVERAGEIFS($H$7:$H$294,$B$7:$B$294,$B88,$A$7:$A$294,"&gt;="&amp;EDATE($A88,-12*'Seasonal Factors'!$E$4),$A$7:$A$294,"&lt;="&amp;EDATE($A88,12*'Seasonal Factors'!$E$4)),"")</f>
        <v>1.01232240369363</v>
      </c>
      <c r="J88" s="24" t="n">
        <f aca="false">IFERROR(I88/AVERAGE(I83:I94),"")</f>
        <v>1.02159193714467</v>
      </c>
      <c r="K88" s="23" t="n">
        <f aca="false">IF(ISNUMBER(Tabelle1!G95),(0.5*Tabelle1!G83+SUM(Tabelle1!G84:G94)+0.5*Tabelle1!G95)/12,"")</f>
        <v>101.36292125</v>
      </c>
      <c r="L88" s="24" t="n">
        <f aca="false">IFERROR(Tabelle1!G89/K88,"")</f>
        <v>1.01885678437864</v>
      </c>
      <c r="M88" s="24" t="n">
        <f aca="false">IFERROR(AVERAGEIFS($L$7:$L$294,$B$7:$B$294,$B88,$A$7:$A$294,"&gt;="&amp;EDATE($A88,-12*'Seasonal Factors'!$E$4),$A$7:$A$294,"&lt;="&amp;EDATE($A88,12*'Seasonal Factors'!$E$4)),"")</f>
        <v>1.02941089120909</v>
      </c>
      <c r="N88" s="24" t="n">
        <f aca="false">IFERROR(M88/AVERAGE(M83:M94),"")</f>
        <v>1.02921435753204</v>
      </c>
      <c r="O88" s="23" t="n">
        <f aca="false">IF(ISNUMBER(Tabelle1!H95),(0.5*Tabelle1!H83+SUM(Tabelle1!H84:H94)+0.5*Tabelle1!H95)/12,"")</f>
        <v>137.887134166667</v>
      </c>
      <c r="P88" s="24" t="n">
        <f aca="false">IFERROR(Tabelle1!H89/O88,"")</f>
        <v>1.05567992894865</v>
      </c>
      <c r="Q88" s="24" t="n">
        <f aca="false">IFERROR(AVERAGEIFS($P$7:$P$294,$B$7:$B$294,$B88,$A$7:$A$294,"&gt;="&amp;EDATE($A88,-12*'Seasonal Factors'!$E$4),$A$7:$A$294,"&lt;="&amp;EDATE($A88,12*'Seasonal Factors'!$E$4)),"")</f>
        <v>1.07329254349817</v>
      </c>
      <c r="R88" s="24" t="n">
        <f aca="false">IFERROR(Q88/AVERAGE(Q83:Q94),"")</f>
        <v>1.07390105799458</v>
      </c>
      <c r="S88" s="23" t="n">
        <f aca="false">IF(ISNUMBER(Tabelle1!I95),(0.5*Tabelle1!I83+SUM(Tabelle1!I84:I94)+0.5*Tabelle1!I95)/12,"")</f>
        <v>123.970702083333</v>
      </c>
      <c r="T88" s="24" t="n">
        <f aca="false">IFERROR(Tabelle1!I89/S88,"")</f>
        <v>0.955410254274292</v>
      </c>
      <c r="U88" s="24" t="n">
        <f aca="false">IFERROR(AVERAGEIFS($T$7:$T$294,$B$7:$B$294,$B88,$A$7:$A$294,"&gt;="&amp;EDATE($A88,-12*'Seasonal Factors'!$E$4),$A$7:$A$294,"&lt;="&amp;EDATE($A88,12*'Seasonal Factors'!$E$4)),"")</f>
        <v>0.959894904025889</v>
      </c>
      <c r="V88" s="24" t="n">
        <f aca="false">IFERROR(U88/AVERAGE(U83:U94),"")</f>
        <v>0.959216373973964</v>
      </c>
      <c r="W88" s="23" t="n">
        <f aca="false">IF(ISNUMBER(Tabelle1!J95),(0.5*Tabelle1!J83+SUM(Tabelle1!J84:J94)+0.5*Tabelle1!J95)/12,"")</f>
        <v>144.894520833333</v>
      </c>
      <c r="X88" s="24" t="n">
        <f aca="false">IFERROR(Tabelle1!J89/W88,"")</f>
        <v>0.95752054116378</v>
      </c>
      <c r="Y88" s="24" t="n">
        <f aca="false">IFERROR(AVERAGEIFS($X$7:$X$294,$B$7:$B$294,$B88,$A$7:$A$294,"&gt;="&amp;EDATE($A88,-12*'Seasonal Factors'!$E$4),$A$7:$A$294,"&lt;="&amp;EDATE($A88,12*'Seasonal Factors'!$E$4)),"")</f>
        <v>0.985293746933569</v>
      </c>
      <c r="Z88" s="24" t="n">
        <f aca="false">IFERROR(Y88/AVERAGE(Y83:Y94),"")</f>
        <v>0.985927696306618</v>
      </c>
      <c r="AA88" s="23" t="n">
        <f aca="false">IF(ISNUMBER(Tabelle1!K95),(0.5*Tabelle1!K83+SUM(Tabelle1!K84:K94)+0.5*Tabelle1!K95)/12,"")</f>
        <v>153.64285875</v>
      </c>
      <c r="AB88" s="24" t="n">
        <f aca="false">IFERROR(Tabelle1!K89/AA88,"")</f>
        <v>1.01149146315269</v>
      </c>
      <c r="AC88" s="24" t="n">
        <f aca="false">IFERROR(AVERAGEIFS($AB$7:$AB$294,$B$7:$B$294,$B88,$A$7:$A$294,"&gt;="&amp;EDATE($A88,-12*'Seasonal Factors'!$E$4),$A$7:$A$294,"&lt;="&amp;EDATE($A88,12*'Seasonal Factors'!$E$4)),"")</f>
        <v>1.04063690246731</v>
      </c>
      <c r="AD88" s="24" t="n">
        <f aca="false">IFERROR(AC88/AVERAGE(AC83:AC94),"")</f>
        <v>1.04131954819059</v>
      </c>
      <c r="AE88" s="23" t="n">
        <f aca="false">IF(ISNUMBER(Tabelle1!L95),(0.5*Tabelle1!L83+SUM(Tabelle1!L84:L94)+0.5*Tabelle1!L95)/12,"")</f>
        <v>150.745513333333</v>
      </c>
      <c r="AF88" s="24" t="n">
        <f aca="false">IFERROR(Tabelle1!L89/AE88,"")</f>
        <v>1.02287820440162</v>
      </c>
      <c r="AG88" s="24" t="n">
        <f aca="false">IFERROR(AVERAGEIFS($AF$7:$AF$294,$B$7:$B$294,$B88,$A$7:$A$294,"&gt;="&amp;EDATE($A88,-12*'Seasonal Factors'!$E$4),$A$7:$A$294,"&lt;="&amp;EDATE($A88,12*'Seasonal Factors'!$E$4)),"")</f>
        <v>1.01697516729814</v>
      </c>
      <c r="AH88" s="24" t="n">
        <f aca="false">IFERROR(AG88/AVERAGE(AG83:AG94),"")</f>
        <v>1.01736522478911</v>
      </c>
      <c r="AI88" s="23" t="n">
        <f aca="false">IF(ISNUMBER(Tabelle1!M95),(0.5*Tabelle1!M83+SUM(Tabelle1!M84:M94)+0.5*Tabelle1!M95)/12,"")</f>
        <v>169.657037916667</v>
      </c>
      <c r="AJ88" s="24" t="n">
        <f aca="false">IFERROR(Tabelle1!M89/AI88,"")</f>
        <v>0.982663684614656</v>
      </c>
      <c r="AK88" s="24" t="n">
        <f aca="false">IFERROR(AVERAGEIFS($AJ$7:$AJ$294,$B$7:$B$294,$B88,$A$7:$A$294,"&gt;="&amp;EDATE($A88,-12*'Seasonal Factors'!$E$4),$A$7:$A$294,"&lt;="&amp;EDATE($A88,12*'Seasonal Factors'!$E$4)),"")</f>
        <v>0.993893098156715</v>
      </c>
      <c r="AL88" s="24" t="n">
        <f aca="false">IFERROR(AK88/AVERAGE(AK83:AK94),"")</f>
        <v>0.993882330899709</v>
      </c>
      <c r="AM88" s="23" t="n">
        <f aca="false">IF(ISNUMBER(Tabelle1!N95),(0.5*Tabelle1!N83+SUM(Tabelle1!N84:N94)+0.5*Tabelle1!N95)/12,"")</f>
        <v>153.9795975</v>
      </c>
      <c r="AN88" s="24" t="n">
        <f aca="false">IFERROR(Tabelle1!N89/AM88,"")</f>
        <v>0.969215743014265</v>
      </c>
      <c r="AO88" s="24" t="n">
        <f aca="false">IFERROR(AVERAGEIFS($AN$7:$AN$294,$B$7:$B$294,$B88,$A$7:$A$294,"&gt;="&amp;EDATE($A88,-12*'Seasonal Factors'!$E$4),$A$7:$A$294,"&lt;="&amp;EDATE($A88,12*'Seasonal Factors'!$E$4)),"")</f>
        <v>1.00641101668319</v>
      </c>
      <c r="AP88" s="24" t="n">
        <f aca="false">IFERROR(AO88/AVERAGE(AO83:AO94),"")</f>
        <v>1.00630773992271</v>
      </c>
      <c r="AQ88" s="23" t="n">
        <f aca="false">IF(ISNUMBER(Tabelle1!O95),(0.5*Tabelle1!O83+SUM(Tabelle1!O84:O94)+0.5*Tabelle1!O95)/12,"")</f>
        <v>129.423057916667</v>
      </c>
      <c r="AR88" s="24" t="n">
        <f aca="false">IFERROR(Tabelle1!O89/AQ88,"")</f>
        <v>1.00208588861737</v>
      </c>
      <c r="AS88" s="24" t="n">
        <f aca="false">IFERROR(AVERAGEIFS($AR$7:$AR$294,$B$7:$B$294,$B88,$A$7:$A$294,"&gt;="&amp;EDATE($A88,-12*'Seasonal Factors'!$E$4),$A$7:$A$294,"&lt;="&amp;EDATE($A88,12*'Seasonal Factors'!$E$4)),"")</f>
        <v>1.01288707151132</v>
      </c>
      <c r="AT88" s="24" t="n">
        <f aca="false">IFERROR(AS88/AVERAGE(AS83:AS94),"")</f>
        <v>1.01283106272861</v>
      </c>
      <c r="AU88" s="23" t="n">
        <f aca="false">IF(ISNUMBER(Tabelle1!P95),(0.5*Tabelle1!P83+SUM(Tabelle1!P84:P94)+0.5*Tabelle1!P95)/12,"")</f>
        <v>128.737184583333</v>
      </c>
      <c r="AV88" s="24" t="n">
        <f aca="false">IFERROR(Tabelle1!P89/AU88,"")</f>
        <v>0.996187934473465</v>
      </c>
      <c r="AW88" s="24" t="n">
        <f aca="false">IFERROR(AVERAGEIFS($AV$7:$AV$294,$B$7:$B$294,$B88,$A$7:$A$294,"&gt;="&amp;EDATE($A88,-12*'Seasonal Factors'!$E$4),$A$7:$A$294,"&lt;="&amp;EDATE($A88,12*'Seasonal Factors'!$E$4)),"")</f>
        <v>0.999996582777889</v>
      </c>
      <c r="AX88" s="24" t="n">
        <f aca="false">IFERROR(AW88/AVERAGE(AW83:AW94),"")</f>
        <v>0.999928142583116</v>
      </c>
      <c r="AY88" s="23" t="n">
        <f aca="false">IF(ISNUMBER(Tabelle1!Q95),(0.5*Tabelle1!Q83+SUM(Tabelle1!Q84:Q94)+0.5*Tabelle1!Q95)/12,"")</f>
        <v>131.677018333333</v>
      </c>
      <c r="AZ88" s="24" t="n">
        <f aca="false">IFERROR(Tabelle1!Q89/AY88,"")</f>
        <v>0.998772235767641</v>
      </c>
      <c r="BA88" s="24" t="n">
        <f aca="false">IFERROR(AVERAGEIFS($AZ$7:$AZ$294,$B$7:$B$294,$B88,$A$7:$A$294,"&gt;="&amp;EDATE($A88,-12*'Seasonal Factors'!$E$4),$A$7:$A$294,"&lt;="&amp;EDATE($A88,12*'Seasonal Factors'!$E$4)),"")</f>
        <v>1.00839751090026</v>
      </c>
      <c r="BB88" s="24" t="n">
        <f aca="false">IFERROR(BA88/AVERAGE(BA83:BA94),"")</f>
        <v>1.00835439549868</v>
      </c>
      <c r="BC88" s="23" t="n">
        <f aca="false">IF(ISNUMBER(Tabelle1!R95),(0.5*Tabelle1!R83+SUM(Tabelle1!R84:R94)+0.5*Tabelle1!R95)/12,"")</f>
        <v>145.150245833333</v>
      </c>
      <c r="BD88" s="24" t="n">
        <f aca="false">IFERROR(Tabelle1!R89/BC88,"")</f>
        <v>0.959010501159158</v>
      </c>
      <c r="BE88" s="24" t="n">
        <f aca="false">IFERROR(AVERAGEIFS($BD$7:$BD$294,$B$7:$B$294,$B88,$A$7:$A$294,"&gt;="&amp;EDATE($A88,-12*'Seasonal Factors'!$E$4),$A$7:$A$294,"&lt;="&amp;EDATE($A88,12*'Seasonal Factors'!$E$4)),"")</f>
        <v>0.962516749412535</v>
      </c>
      <c r="BF88" s="24" t="n">
        <f aca="false">IFERROR(BE88/AVERAGE(BE83:BE94),"")</f>
        <v>0.962435537937964</v>
      </c>
      <c r="BG88" s="23" t="n">
        <f aca="false">IF(ISNUMBER(Tabelle1!S95),(0.5*Tabelle1!S83+SUM(Tabelle1!S84:S94)+0.5*Tabelle1!S95)/12,"")</f>
        <v>147.67621125</v>
      </c>
      <c r="BH88" s="24" t="n">
        <f aca="false">IFERROR(Tabelle1!S89/BG88,"")</f>
        <v>0.966349751202735</v>
      </c>
      <c r="BI88" s="24" t="n">
        <f aca="false">IFERROR(AVERAGEIFS($BH$7:$BH$294,$B$7:$B$294,$B88,$A$7:$A$294,"&gt;="&amp;EDATE($A88,-12*'Seasonal Factors'!$E$4),$A$7:$A$294,"&lt;="&amp;EDATE($A88,12*'Seasonal Factors'!$E$4)),"")</f>
        <v>0.984929903210043</v>
      </c>
      <c r="BJ88" s="24" t="n">
        <f aca="false">IFERROR(BI88/AVERAGE(BI83:BI94),"")</f>
        <v>0.984879094731816</v>
      </c>
    </row>
    <row r="89" customFormat="false" ht="15" hidden="false" customHeight="false" outlineLevel="0" collapsed="false">
      <c r="A89" s="20" t="n">
        <v>40512</v>
      </c>
      <c r="B89" s="22" t="n">
        <f aca="false">MONTH(A89)</f>
        <v>11</v>
      </c>
      <c r="C89" s="23" t="n">
        <f aca="false">IF(ISNUMBER(Tabelle1!E96),(0.5*Tabelle1!E84+SUM(Tabelle1!E85:E95)+0.5*Tabelle1!E96)/12,"")</f>
        <v>129.365392083333</v>
      </c>
      <c r="D89" s="24" t="n">
        <f aca="false">IFERROR(Tabelle1!E90/C89,"")</f>
        <v>0.663555056090301</v>
      </c>
      <c r="E89" s="24" t="n">
        <f aca="false">IFERROR(AVERAGEIFS($D$7:$D$294,$B$7:$B$294,$B89,$A$7:$A$294,"&gt;="&amp;EDATE($A89,-12*'Seasonal Factors'!$E$4),$A$7:$A$294,"&lt;="&amp;EDATE($A89,12*'Seasonal Factors'!$E$4)),"")</f>
        <v>0.689866886990201</v>
      </c>
      <c r="F89" s="24" t="n">
        <f aca="false">IFERROR(E89/AVERAGE(E84:E95),"")</f>
        <v>0.68963641491228</v>
      </c>
      <c r="G89" s="23" t="n">
        <f aca="false">IF(ISNUMBER(Tabelle1!F96),(0.5*Tabelle1!F84+SUM(Tabelle1!F85:F95)+0.5*Tabelle1!F96)/12,"")</f>
        <v>119.593325416667</v>
      </c>
      <c r="H89" s="24" t="n">
        <f aca="false">IFERROR(Tabelle1!F90/G89,"")</f>
        <v>0.608344067250604</v>
      </c>
      <c r="I89" s="24" t="n">
        <f aca="false">IFERROR(AVERAGEIFS($H$7:$H$294,$B$7:$B$294,$B89,$A$7:$A$294,"&gt;="&amp;EDATE($A89,-12*'Seasonal Factors'!$E$4),$A$7:$A$294,"&lt;="&amp;EDATE($A89,12*'Seasonal Factors'!$E$4)),"")</f>
        <v>0.684017071035363</v>
      </c>
      <c r="J89" s="24" t="n">
        <f aca="false">IFERROR(I89/AVERAGE(I84:I95),"")</f>
        <v>0.693986621140356</v>
      </c>
      <c r="K89" s="23" t="n">
        <f aca="false">IF(ISNUMBER(Tabelle1!G96),(0.5*Tabelle1!G84+SUM(Tabelle1!G85:G95)+0.5*Tabelle1!G96)/12,"")</f>
        <v>100.182997916667</v>
      </c>
      <c r="L89" s="24" t="n">
        <f aca="false">IFERROR(Tabelle1!G90/K89,"")</f>
        <v>1.01321863101397</v>
      </c>
      <c r="M89" s="24" t="n">
        <f aca="false">IFERROR(AVERAGEIFS($L$7:$L$294,$B$7:$B$294,$B89,$A$7:$A$294,"&gt;="&amp;EDATE($A89,-12*'Seasonal Factors'!$E$4),$A$7:$A$294,"&lt;="&amp;EDATE($A89,12*'Seasonal Factors'!$E$4)),"")</f>
        <v>0.982172428955276</v>
      </c>
      <c r="N89" s="24" t="n">
        <f aca="false">IFERROR(M89/AVERAGE(M84:M95),"")</f>
        <v>0.981868358612666</v>
      </c>
      <c r="O89" s="23" t="n">
        <f aca="false">IF(ISNUMBER(Tabelle1!H96),(0.5*Tabelle1!H84+SUM(Tabelle1!H85:H95)+0.5*Tabelle1!H96)/12,"")</f>
        <v>138.968665416667</v>
      </c>
      <c r="P89" s="24" t="n">
        <f aca="false">IFERROR(Tabelle1!H90/O89,"")</f>
        <v>1.04401204087983</v>
      </c>
      <c r="Q89" s="24" t="n">
        <f aca="false">IFERROR(AVERAGEIFS($P$7:$P$294,$B$7:$B$294,$B89,$A$7:$A$294,"&gt;="&amp;EDATE($A89,-12*'Seasonal Factors'!$E$4),$A$7:$A$294,"&lt;="&amp;EDATE($A89,12*'Seasonal Factors'!$E$4)),"")</f>
        <v>1.03878871173129</v>
      </c>
      <c r="R89" s="24" t="n">
        <f aca="false">IFERROR(Q89/AVERAGE(Q84:Q95),"")</f>
        <v>1.03940751552444</v>
      </c>
      <c r="S89" s="23" t="n">
        <f aca="false">IF(ISNUMBER(Tabelle1!I96),(0.5*Tabelle1!I84+SUM(Tabelle1!I85:I95)+0.5*Tabelle1!I96)/12,"")</f>
        <v>124.32723375</v>
      </c>
      <c r="T89" s="24" t="n">
        <f aca="false">IFERROR(Tabelle1!I90/S89,"")</f>
        <v>0.941065577275421</v>
      </c>
      <c r="U89" s="24" t="n">
        <f aca="false">IFERROR(AVERAGEIFS($T$7:$T$294,$B$7:$B$294,$B89,$A$7:$A$294,"&gt;="&amp;EDATE($A89,-12*'Seasonal Factors'!$E$4),$A$7:$A$294,"&lt;="&amp;EDATE($A89,12*'Seasonal Factors'!$E$4)),"")</f>
        <v>0.960340915886578</v>
      </c>
      <c r="V89" s="24" t="n">
        <f aca="false">IFERROR(U89/AVERAGE(U84:U95),"")</f>
        <v>0.959829214344815</v>
      </c>
      <c r="W89" s="23" t="n">
        <f aca="false">IF(ISNUMBER(Tabelle1!J96),(0.5*Tabelle1!J84+SUM(Tabelle1!J85:J95)+0.5*Tabelle1!J96)/12,"")</f>
        <v>145.899136666667</v>
      </c>
      <c r="X89" s="24" t="n">
        <f aca="false">IFERROR(Tabelle1!J90/W89,"")</f>
        <v>0.973761964915442</v>
      </c>
      <c r="Y89" s="24" t="n">
        <f aca="false">IFERROR(AVERAGEIFS($X$7:$X$294,$B$7:$B$294,$B89,$A$7:$A$294,"&gt;="&amp;EDATE($A89,-12*'Seasonal Factors'!$E$4),$A$7:$A$294,"&lt;="&amp;EDATE($A89,12*'Seasonal Factors'!$E$4)),"")</f>
        <v>0.987959524250106</v>
      </c>
      <c r="Z89" s="24" t="n">
        <f aca="false">IFERROR(Y89/AVERAGE(Y84:Y95),"")</f>
        <v>0.988374267047605</v>
      </c>
      <c r="AA89" s="23" t="n">
        <f aca="false">IF(ISNUMBER(Tabelle1!K96),(0.5*Tabelle1!K84+SUM(Tabelle1!K85:K95)+0.5*Tabelle1!K96)/12,"")</f>
        <v>155.233696666667</v>
      </c>
      <c r="AB89" s="24" t="n">
        <f aca="false">IFERROR(Tabelle1!K90/AA89,"")</f>
        <v>1.06235652143309</v>
      </c>
      <c r="AC89" s="24" t="n">
        <f aca="false">IFERROR(AVERAGEIFS($AB$7:$AB$294,$B$7:$B$294,$B89,$A$7:$A$294,"&gt;="&amp;EDATE($A89,-12*'Seasonal Factors'!$E$4),$A$7:$A$294,"&lt;="&amp;EDATE($A89,12*'Seasonal Factors'!$E$4)),"")</f>
        <v>1.02610210625446</v>
      </c>
      <c r="AD89" s="24" t="n">
        <f aca="false">IFERROR(AC89/AVERAGE(AC84:AC95),"")</f>
        <v>1.02721216059117</v>
      </c>
      <c r="AE89" s="23" t="n">
        <f aca="false">IF(ISNUMBER(Tabelle1!L96),(0.5*Tabelle1!L84+SUM(Tabelle1!L85:L95)+0.5*Tabelle1!L96)/12,"")</f>
        <v>151.5819725</v>
      </c>
      <c r="AF89" s="24" t="n">
        <f aca="false">IFERROR(Tabelle1!L90/AE89,"")</f>
        <v>1.02879239152268</v>
      </c>
      <c r="AG89" s="24" t="n">
        <f aca="false">IFERROR(AVERAGEIFS($AF$7:$AF$294,$B$7:$B$294,$B89,$A$7:$A$294,"&gt;="&amp;EDATE($A89,-12*'Seasonal Factors'!$E$4),$A$7:$A$294,"&lt;="&amp;EDATE($A89,12*'Seasonal Factors'!$E$4)),"")</f>
        <v>1.02176958873037</v>
      </c>
      <c r="AH89" s="24" t="n">
        <f aca="false">IFERROR(AG89/AVERAGE(AG84:AG95),"")</f>
        <v>1.02223332864806</v>
      </c>
      <c r="AI89" s="23" t="n">
        <f aca="false">IF(ISNUMBER(Tabelle1!M96),(0.5*Tabelle1!M84+SUM(Tabelle1!M85:M95)+0.5*Tabelle1!M96)/12,"")</f>
        <v>170.345890416667</v>
      </c>
      <c r="AJ89" s="24" t="n">
        <f aca="false">IFERROR(Tabelle1!M90/AI89,"")</f>
        <v>0.978670865450411</v>
      </c>
      <c r="AK89" s="24" t="n">
        <f aca="false">IFERROR(AVERAGEIFS($AJ$7:$AJ$294,$B$7:$B$294,$B89,$A$7:$A$294,"&gt;="&amp;EDATE($A89,-12*'Seasonal Factors'!$E$4),$A$7:$A$294,"&lt;="&amp;EDATE($A89,12*'Seasonal Factors'!$E$4)),"")</f>
        <v>0.984867151073833</v>
      </c>
      <c r="AL89" s="24" t="n">
        <f aca="false">IFERROR(AK89/AVERAGE(AK84:AK95),"")</f>
        <v>0.984993065878552</v>
      </c>
      <c r="AM89" s="23" t="n">
        <f aca="false">IF(ISNUMBER(Tabelle1!N96),(0.5*Tabelle1!N84+SUM(Tabelle1!N85:N95)+0.5*Tabelle1!N96)/12,"")</f>
        <v>154.9122675</v>
      </c>
      <c r="AN89" s="24" t="n">
        <f aca="false">IFERROR(Tabelle1!N90/AM89,"")</f>
        <v>0.996564329548659</v>
      </c>
      <c r="AO89" s="24" t="n">
        <f aca="false">IFERROR(AVERAGEIFS($AN$7:$AN$294,$B$7:$B$294,$B89,$A$7:$A$294,"&gt;="&amp;EDATE($A89,-12*'Seasonal Factors'!$E$4),$A$7:$A$294,"&lt;="&amp;EDATE($A89,12*'Seasonal Factors'!$E$4)),"")</f>
        <v>0.99224260116011</v>
      </c>
      <c r="AP89" s="24" t="n">
        <f aca="false">IFERROR(AO89/AVERAGE(AO84:AO95),"")</f>
        <v>0.992340260534716</v>
      </c>
      <c r="AQ89" s="23" t="n">
        <f aca="false">IF(ISNUMBER(Tabelle1!O96),(0.5*Tabelle1!O84+SUM(Tabelle1!O85:O95)+0.5*Tabelle1!O96)/12,"")</f>
        <v>129.936309583333</v>
      </c>
      <c r="AR89" s="24" t="n">
        <f aca="false">IFERROR(Tabelle1!O90/AQ89,"")</f>
        <v>1.02787465973354</v>
      </c>
      <c r="AS89" s="24" t="n">
        <f aca="false">IFERROR(AVERAGEIFS($AR$7:$AR$294,$B$7:$B$294,$B89,$A$7:$A$294,"&gt;="&amp;EDATE($A89,-12*'Seasonal Factors'!$E$4),$A$7:$A$294,"&lt;="&amp;EDATE($A89,12*'Seasonal Factors'!$E$4)),"")</f>
        <v>1.01895651895923</v>
      </c>
      <c r="AT89" s="24" t="n">
        <f aca="false">IFERROR(AS89/AVERAGE(AS84:AS95),"")</f>
        <v>1.01893712881675</v>
      </c>
      <c r="AU89" s="23" t="n">
        <f aca="false">IF(ISNUMBER(Tabelle1!P96),(0.5*Tabelle1!P84+SUM(Tabelle1!P85:P95)+0.5*Tabelle1!P96)/12,"")</f>
        <v>128.974355833333</v>
      </c>
      <c r="AV89" s="24" t="n">
        <f aca="false">IFERROR(Tabelle1!P90/AU89,"")</f>
        <v>1.00205447172001</v>
      </c>
      <c r="AW89" s="24" t="n">
        <f aca="false">IFERROR(AVERAGEIFS($AV$7:$AV$294,$B$7:$B$294,$B89,$A$7:$A$294,"&gt;="&amp;EDATE($A89,-12*'Seasonal Factors'!$E$4),$A$7:$A$294,"&lt;="&amp;EDATE($A89,12*'Seasonal Factors'!$E$4)),"")</f>
        <v>1.00384811292972</v>
      </c>
      <c r="AX89" s="24" t="n">
        <f aca="false">IFERROR(AW89/AVERAGE(AW84:AW95),"")</f>
        <v>1.00382217925076</v>
      </c>
      <c r="AY89" s="23" t="n">
        <f aca="false">IF(ISNUMBER(Tabelle1!Q96),(0.5*Tabelle1!Q84+SUM(Tabelle1!Q85:Q95)+0.5*Tabelle1!Q96)/12,"")</f>
        <v>131.866980416667</v>
      </c>
      <c r="AZ89" s="24" t="n">
        <f aca="false">IFERROR(Tabelle1!Q90/AY89,"")</f>
        <v>1.00387003313279</v>
      </c>
      <c r="BA89" s="24" t="n">
        <f aca="false">IFERROR(AVERAGEIFS($AZ$7:$AZ$294,$B$7:$B$294,$B89,$A$7:$A$294,"&gt;="&amp;EDATE($A89,-12*'Seasonal Factors'!$E$4),$A$7:$A$294,"&lt;="&amp;EDATE($A89,12*'Seasonal Factors'!$E$4)),"")</f>
        <v>1.01127047687587</v>
      </c>
      <c r="BB89" s="24" t="n">
        <f aca="false">IFERROR(BA89/AVERAGE(BA84:BA95),"")</f>
        <v>1.01121258231253</v>
      </c>
      <c r="BC89" s="23" t="n">
        <f aca="false">IF(ISNUMBER(Tabelle1!R96),(0.5*Tabelle1!R84+SUM(Tabelle1!R85:R95)+0.5*Tabelle1!R96)/12,"")</f>
        <v>146.029823333333</v>
      </c>
      <c r="BD89" s="24" t="n">
        <f aca="false">IFERROR(Tabelle1!R90/BC89,"")</f>
        <v>0.956354440566672</v>
      </c>
      <c r="BE89" s="24" t="n">
        <f aca="false">IFERROR(AVERAGEIFS($BD$7:$BD$294,$B$7:$B$294,$B89,$A$7:$A$294,"&gt;="&amp;EDATE($A89,-12*'Seasonal Factors'!$E$4),$A$7:$A$294,"&lt;="&amp;EDATE($A89,12*'Seasonal Factors'!$E$4)),"")</f>
        <v>0.958531028188813</v>
      </c>
      <c r="BF89" s="24" t="n">
        <f aca="false">IFERROR(BE89/AVERAGE(BE84:BE95),"")</f>
        <v>0.958137542562875</v>
      </c>
      <c r="BG89" s="23" t="n">
        <f aca="false">IF(ISNUMBER(Tabelle1!S96),(0.5*Tabelle1!S84+SUM(Tabelle1!S85:S95)+0.5*Tabelle1!S96)/12,"")</f>
        <v>148.5918975</v>
      </c>
      <c r="BH89" s="24" t="n">
        <f aca="false">IFERROR(Tabelle1!S90/BG89,"")</f>
        <v>0.978481683363657</v>
      </c>
      <c r="BI89" s="24" t="n">
        <f aca="false">IFERROR(AVERAGEIFS($BH$7:$BH$294,$B$7:$B$294,$B89,$A$7:$A$294,"&gt;="&amp;EDATE($A89,-12*'Seasonal Factors'!$E$4),$A$7:$A$294,"&lt;="&amp;EDATE($A89,12*'Seasonal Factors'!$E$4)),"")</f>
        <v>0.979305100306177</v>
      </c>
      <c r="BJ89" s="24" t="n">
        <f aca="false">IFERROR(BI89/AVERAGE(BI84:BI95),"")</f>
        <v>0.979679364811659</v>
      </c>
    </row>
    <row r="90" customFormat="false" ht="15" hidden="false" customHeight="false" outlineLevel="0" collapsed="false">
      <c r="A90" s="20" t="n">
        <v>40543</v>
      </c>
      <c r="B90" s="22" t="n">
        <f aca="false">MONTH(A90)</f>
        <v>12</v>
      </c>
      <c r="C90" s="23" t="n">
        <f aca="false">IF(ISNUMBER(Tabelle1!E97),(0.5*Tabelle1!E85+SUM(Tabelle1!E86:E96)+0.5*Tabelle1!E97)/12,"")</f>
        <v>127.058642916667</v>
      </c>
      <c r="D90" s="24" t="n">
        <f aca="false">IFERROR(Tabelle1!E91/C90,"")</f>
        <v>0.797759268265441</v>
      </c>
      <c r="E90" s="24" t="n">
        <f aca="false">IFERROR(AVERAGEIFS($D$7:$D$294,$B$7:$B$294,$B90,$A$7:$A$294,"&gt;="&amp;EDATE($A90,-12*'Seasonal Factors'!$E$4),$A$7:$A$294,"&lt;="&amp;EDATE($A90,12*'Seasonal Factors'!$E$4)),"")</f>
        <v>0.735012838707959</v>
      </c>
      <c r="F90" s="24" t="n">
        <f aca="false">IFERROR(E90/AVERAGE(E85:E96),"")</f>
        <v>0.733421379449908</v>
      </c>
      <c r="G90" s="23" t="n">
        <f aca="false">IF(ISNUMBER(Tabelle1!F97),(0.5*Tabelle1!F85+SUM(Tabelle1!F86:F96)+0.5*Tabelle1!F97)/12,"")</f>
        <v>118.67008625</v>
      </c>
      <c r="H90" s="24" t="n">
        <f aca="false">IFERROR(Tabelle1!F91/G90,"")</f>
        <v>0.64704916315842</v>
      </c>
      <c r="I90" s="24" t="n">
        <f aca="false">IFERROR(AVERAGEIFS($H$7:$H$294,$B$7:$B$294,$B90,$A$7:$A$294,"&gt;="&amp;EDATE($A90,-12*'Seasonal Factors'!$E$4),$A$7:$A$294,"&lt;="&amp;EDATE($A90,12*'Seasonal Factors'!$E$4)),"")</f>
        <v>0.587870673807867</v>
      </c>
      <c r="J90" s="24" t="n">
        <f aca="false">IFERROR(I90/AVERAGE(I85:I96),"")</f>
        <v>0.597158866730421</v>
      </c>
      <c r="K90" s="23" t="n">
        <f aca="false">IF(ISNUMBER(Tabelle1!G97),(0.5*Tabelle1!G85+SUM(Tabelle1!G86:G96)+0.5*Tabelle1!G97)/12,"")</f>
        <v>99.1077179166667</v>
      </c>
      <c r="L90" s="24" t="n">
        <f aca="false">IFERROR(Tabelle1!G91/K90,"")</f>
        <v>0.931205176953024</v>
      </c>
      <c r="M90" s="24" t="n">
        <f aca="false">IFERROR(AVERAGEIFS($L$7:$L$294,$B$7:$B$294,$B90,$A$7:$A$294,"&gt;="&amp;EDATE($A90,-12*'Seasonal Factors'!$E$4),$A$7:$A$294,"&lt;="&amp;EDATE($A90,12*'Seasonal Factors'!$E$4)),"")</f>
        <v>1.00207676952943</v>
      </c>
      <c r="N90" s="24" t="n">
        <f aca="false">IFERROR(M90/AVERAGE(M85:M96),"")</f>
        <v>1.00196634500445</v>
      </c>
      <c r="O90" s="23" t="n">
        <f aca="false">IF(ISNUMBER(Tabelle1!H97),(0.5*Tabelle1!H85+SUM(Tabelle1!H86:H96)+0.5*Tabelle1!H97)/12,"")</f>
        <v>140.223505416667</v>
      </c>
      <c r="P90" s="24" t="n">
        <f aca="false">IFERROR(Tabelle1!H91/O90,"")</f>
        <v>0.979455188999117</v>
      </c>
      <c r="Q90" s="24" t="n">
        <f aca="false">IFERROR(AVERAGEIFS($P$7:$P$294,$B$7:$B$294,$B90,$A$7:$A$294,"&gt;="&amp;EDATE($A90,-12*'Seasonal Factors'!$E$4),$A$7:$A$294,"&lt;="&amp;EDATE($A90,12*'Seasonal Factors'!$E$4)),"")</f>
        <v>0.991667025175638</v>
      </c>
      <c r="R90" s="24" t="n">
        <f aca="false">IFERROR(Q90/AVERAGE(Q85:Q96),"")</f>
        <v>0.991819703366352</v>
      </c>
      <c r="S90" s="23" t="n">
        <f aca="false">IF(ISNUMBER(Tabelle1!I97),(0.5*Tabelle1!I85+SUM(Tabelle1!I86:I96)+0.5*Tabelle1!I97)/12,"")</f>
        <v>124.845597916667</v>
      </c>
      <c r="T90" s="24" t="n">
        <f aca="false">IFERROR(Tabelle1!I91/S90,"")</f>
        <v>1.04393108107019</v>
      </c>
      <c r="U90" s="24" t="n">
        <f aca="false">IFERROR(AVERAGEIFS($T$7:$T$294,$B$7:$B$294,$B90,$A$7:$A$294,"&gt;="&amp;EDATE($A90,-12*'Seasonal Factors'!$E$4),$A$7:$A$294,"&lt;="&amp;EDATE($A90,12*'Seasonal Factors'!$E$4)),"")</f>
        <v>1.02929806262093</v>
      </c>
      <c r="V90" s="24" t="n">
        <f aca="false">IFERROR(U90/AVERAGE(U85:U96),"")</f>
        <v>1.02900601430043</v>
      </c>
      <c r="W90" s="23" t="n">
        <f aca="false">IF(ISNUMBER(Tabelle1!J97),(0.5*Tabelle1!J85+SUM(Tabelle1!J86:J96)+0.5*Tabelle1!J97)/12,"")</f>
        <v>147.02475125</v>
      </c>
      <c r="X90" s="24" t="n">
        <f aca="false">IFERROR(Tabelle1!J91/W90,"")</f>
        <v>0.952415962683018</v>
      </c>
      <c r="Y90" s="24" t="n">
        <f aca="false">IFERROR(AVERAGEIFS($X$7:$X$294,$B$7:$B$294,$B90,$A$7:$A$294,"&gt;="&amp;EDATE($A90,-12*'Seasonal Factors'!$E$4),$A$7:$A$294,"&lt;="&amp;EDATE($A90,12*'Seasonal Factors'!$E$4)),"")</f>
        <v>0.955841384473429</v>
      </c>
      <c r="Z90" s="24" t="n">
        <f aca="false">IFERROR(Y90/AVERAGE(Y85:Y96),"")</f>
        <v>0.955791960695105</v>
      </c>
      <c r="AA90" s="23" t="n">
        <f aca="false">IF(ISNUMBER(Tabelle1!K97),(0.5*Tabelle1!K85+SUM(Tabelle1!K86:K96)+0.5*Tabelle1!K97)/12,"")</f>
        <v>156.989146666667</v>
      </c>
      <c r="AB90" s="24" t="n">
        <f aca="false">IFERROR(Tabelle1!K91/AA90,"")</f>
        <v>0.959903873609607</v>
      </c>
      <c r="AC90" s="24" t="n">
        <f aca="false">IFERROR(AVERAGEIFS($AB$7:$AB$294,$B$7:$B$294,$B90,$A$7:$A$294,"&gt;="&amp;EDATE($A90,-12*'Seasonal Factors'!$E$4),$A$7:$A$294,"&lt;="&amp;EDATE($A90,12*'Seasonal Factors'!$E$4)),"")</f>
        <v>0.950806688762979</v>
      </c>
      <c r="AD90" s="24" t="n">
        <f aca="false">IFERROR(AC90/AVERAGE(AC85:AC96),"")</f>
        <v>0.951292913059917</v>
      </c>
      <c r="AE90" s="23" t="n">
        <f aca="false">IF(ISNUMBER(Tabelle1!L97),(0.5*Tabelle1!L85+SUM(Tabelle1!L86:L96)+0.5*Tabelle1!L97)/12,"")</f>
        <v>152.423858333333</v>
      </c>
      <c r="AF90" s="24" t="n">
        <f aca="false">IFERROR(Tabelle1!L91/AE90,"")</f>
        <v>1.0060116682302</v>
      </c>
      <c r="AG90" s="24" t="n">
        <f aca="false">IFERROR(AVERAGEIFS($AF$7:$AF$294,$B$7:$B$294,$B90,$A$7:$A$294,"&gt;="&amp;EDATE($A90,-12*'Seasonal Factors'!$E$4),$A$7:$A$294,"&lt;="&amp;EDATE($A90,12*'Seasonal Factors'!$E$4)),"")</f>
        <v>1.00858955707447</v>
      </c>
      <c r="AH90" s="24" t="n">
        <f aca="false">IFERROR(AG90/AVERAGE(AG85:AG96),"")</f>
        <v>1.00897588690846</v>
      </c>
      <c r="AI90" s="23" t="n">
        <f aca="false">IF(ISNUMBER(Tabelle1!M97),(0.5*Tabelle1!M85+SUM(Tabelle1!M86:M96)+0.5*Tabelle1!M97)/12,"")</f>
        <v>170.961676666667</v>
      </c>
      <c r="AJ90" s="24" t="n">
        <f aca="false">IFERROR(Tabelle1!M91/AI90,"")</f>
        <v>0.969342856429247</v>
      </c>
      <c r="AK90" s="24" t="n">
        <f aca="false">IFERROR(AVERAGEIFS($AJ$7:$AJ$294,$B$7:$B$294,$B90,$A$7:$A$294,"&gt;="&amp;EDATE($A90,-12*'Seasonal Factors'!$E$4),$A$7:$A$294,"&lt;="&amp;EDATE($A90,12*'Seasonal Factors'!$E$4)),"")</f>
        <v>0.980044613073901</v>
      </c>
      <c r="AL90" s="24" t="n">
        <f aca="false">IFERROR(AK90/AVERAGE(AK85:AK96),"")</f>
        <v>0.979971150114429</v>
      </c>
      <c r="AM90" s="23" t="n">
        <f aca="false">IF(ISNUMBER(Tabelle1!N97),(0.5*Tabelle1!N85+SUM(Tabelle1!N86:N96)+0.5*Tabelle1!N97)/12,"")</f>
        <v>155.919680416667</v>
      </c>
      <c r="AN90" s="24" t="n">
        <f aca="false">IFERROR(Tabelle1!N91/AM90,"")</f>
        <v>1.01198578382369</v>
      </c>
      <c r="AO90" s="24" t="n">
        <f aca="false">IFERROR(AVERAGEIFS($AN$7:$AN$294,$B$7:$B$294,$B90,$A$7:$A$294,"&gt;="&amp;EDATE($A90,-12*'Seasonal Factors'!$E$4),$A$7:$A$294,"&lt;="&amp;EDATE($A90,12*'Seasonal Factors'!$E$4)),"")</f>
        <v>1.01632226727222</v>
      </c>
      <c r="AP90" s="24" t="n">
        <f aca="false">IFERROR(AO90/AVERAGE(AO85:AO96),"")</f>
        <v>1.01619491846218</v>
      </c>
      <c r="AQ90" s="23" t="n">
        <f aca="false">IF(ISNUMBER(Tabelle1!O97),(0.5*Tabelle1!O85+SUM(Tabelle1!O86:O96)+0.5*Tabelle1!O97)/12,"")</f>
        <v>130.5963775</v>
      </c>
      <c r="AR90" s="24" t="n">
        <f aca="false">IFERROR(Tabelle1!O91/AQ90,"")</f>
        <v>1.05020386189502</v>
      </c>
      <c r="AS90" s="24" t="n">
        <f aca="false">IFERROR(AVERAGEIFS($AR$7:$AR$294,$B$7:$B$294,$B90,$A$7:$A$294,"&gt;="&amp;EDATE($A90,-12*'Seasonal Factors'!$E$4),$A$7:$A$294,"&lt;="&amp;EDATE($A90,12*'Seasonal Factors'!$E$4)),"")</f>
        <v>1.03887299443997</v>
      </c>
      <c r="AT90" s="24" t="n">
        <f aca="false">IFERROR(AS90/AVERAGE(AS85:AS96),"")</f>
        <v>1.03881489002117</v>
      </c>
      <c r="AU90" s="23" t="n">
        <f aca="false">IF(ISNUMBER(Tabelle1!P97),(0.5*Tabelle1!P85+SUM(Tabelle1!P86:P96)+0.5*Tabelle1!P97)/12,"")</f>
        <v>129.216669166667</v>
      </c>
      <c r="AV90" s="24" t="n">
        <f aca="false">IFERROR(Tabelle1!P91/AU90,"")</f>
        <v>1.01146184035608</v>
      </c>
      <c r="AW90" s="24" t="n">
        <f aca="false">IFERROR(AVERAGEIFS($AV$7:$AV$294,$B$7:$B$294,$B90,$A$7:$A$294,"&gt;="&amp;EDATE($A90,-12*'Seasonal Factors'!$E$4),$A$7:$A$294,"&lt;="&amp;EDATE($A90,12*'Seasonal Factors'!$E$4)),"")</f>
        <v>1.01179903972172</v>
      </c>
      <c r="AX90" s="24" t="n">
        <f aca="false">IFERROR(AW90/AVERAGE(AW85:AW96),"")</f>
        <v>1.01183144054639</v>
      </c>
      <c r="AY90" s="23" t="n">
        <f aca="false">IF(ISNUMBER(Tabelle1!Q97),(0.5*Tabelle1!Q85+SUM(Tabelle1!Q86:Q96)+0.5*Tabelle1!Q97)/12,"")</f>
        <v>132.062748333333</v>
      </c>
      <c r="AZ90" s="24" t="n">
        <f aca="false">IFERROR(Tabelle1!Q91/AY90,"")</f>
        <v>1.01367033239464</v>
      </c>
      <c r="BA90" s="24" t="n">
        <f aca="false">IFERROR(AVERAGEIFS($AZ$7:$AZ$294,$B$7:$B$294,$B90,$A$7:$A$294,"&gt;="&amp;EDATE($A90,-12*'Seasonal Factors'!$E$4),$A$7:$A$294,"&lt;="&amp;EDATE($A90,12*'Seasonal Factors'!$E$4)),"")</f>
        <v>1.01627647143726</v>
      </c>
      <c r="BB90" s="24" t="n">
        <f aca="false">IFERROR(BA90/AVERAGE(BA85:BA96),"")</f>
        <v>1.01634113211346</v>
      </c>
      <c r="BC90" s="23" t="n">
        <f aca="false">IF(ISNUMBER(Tabelle1!R97),(0.5*Tabelle1!R85+SUM(Tabelle1!R86:R96)+0.5*Tabelle1!R97)/12,"")</f>
        <v>146.934365</v>
      </c>
      <c r="BD90" s="24" t="n">
        <f aca="false">IFERROR(Tabelle1!R91/BC90,"")</f>
        <v>0.922255389336593</v>
      </c>
      <c r="BE90" s="24" t="n">
        <f aca="false">IFERROR(AVERAGEIFS($BD$7:$BD$294,$B$7:$B$294,$B90,$A$7:$A$294,"&gt;="&amp;EDATE($A90,-12*'Seasonal Factors'!$E$4),$A$7:$A$294,"&lt;="&amp;EDATE($A90,12*'Seasonal Factors'!$E$4)),"")</f>
        <v>0.926199368090511</v>
      </c>
      <c r="BF90" s="24" t="n">
        <f aca="false">IFERROR(BE90/AVERAGE(BE85:BE96),"")</f>
        <v>0.925541177912332</v>
      </c>
      <c r="BG90" s="23" t="n">
        <f aca="false">IF(ISNUMBER(Tabelle1!S97),(0.5*Tabelle1!S85+SUM(Tabelle1!S86:S96)+0.5*Tabelle1!S97)/12,"")</f>
        <v>149.410479166667</v>
      </c>
      <c r="BH90" s="24" t="n">
        <f aca="false">IFERROR(Tabelle1!S91/BG90,"")</f>
        <v>0.974098676423159</v>
      </c>
      <c r="BI90" s="24" t="n">
        <f aca="false">IFERROR(AVERAGEIFS($BH$7:$BH$294,$B$7:$B$294,$B90,$A$7:$A$294,"&gt;="&amp;EDATE($A90,-12*'Seasonal Factors'!$E$4),$A$7:$A$294,"&lt;="&amp;EDATE($A90,12*'Seasonal Factors'!$E$4)),"")</f>
        <v>0.980577757305671</v>
      </c>
      <c r="BJ90" s="24" t="n">
        <f aca="false">IFERROR(BI90/AVERAGE(BI85:BI96),"")</f>
        <v>0.980638394856623</v>
      </c>
    </row>
    <row r="91" customFormat="false" ht="15" hidden="false" customHeight="false" outlineLevel="0" collapsed="false">
      <c r="A91" s="20" t="n">
        <v>40574</v>
      </c>
      <c r="B91" s="22" t="n">
        <f aca="false">MONTH(A91)</f>
        <v>1</v>
      </c>
      <c r="C91" s="23" t="n">
        <f aca="false">IF(ISNUMBER(Tabelle1!E98),(0.5*Tabelle1!E86+SUM(Tabelle1!E87:E97)+0.5*Tabelle1!E98)/12,"")</f>
        <v>126.120427916667</v>
      </c>
      <c r="D91" s="24" t="n">
        <f aca="false">IFERROR(Tabelle1!E92/C91,"")</f>
        <v>0.562389940881471</v>
      </c>
      <c r="E91" s="24" t="n">
        <f aca="false">IFERROR(AVERAGEIFS($D$7:$D$294,$B$7:$B$294,$B91,$A$7:$A$294,"&gt;="&amp;EDATE($A91,-12*'Seasonal Factors'!$E$4),$A$7:$A$294,"&lt;="&amp;EDATE($A91,12*'Seasonal Factors'!$E$4)),"")</f>
        <v>0.537623631304379</v>
      </c>
      <c r="F91" s="24" t="n">
        <f aca="false">IFERROR(E91/AVERAGE(E86:E97),"")</f>
        <v>0.536619422070541</v>
      </c>
      <c r="G91" s="23" t="n">
        <f aca="false">IF(ISNUMBER(Tabelle1!F98),(0.5*Tabelle1!F86+SUM(Tabelle1!F87:F97)+0.5*Tabelle1!F98)/12,"")</f>
        <v>118.690694166667</v>
      </c>
      <c r="H91" s="24" t="n">
        <f aca="false">IFERROR(Tabelle1!F92/G91,"")</f>
        <v>0.340342857404441</v>
      </c>
      <c r="I91" s="24" t="n">
        <f aca="false">IFERROR(AVERAGEIFS($H$7:$H$294,$B$7:$B$294,$B91,$A$7:$A$294,"&gt;="&amp;EDATE($A91,-12*'Seasonal Factors'!$E$4),$A$7:$A$294,"&lt;="&amp;EDATE($A91,12*'Seasonal Factors'!$E$4)),"")</f>
        <v>0.310578215832839</v>
      </c>
      <c r="J91" s="24" t="n">
        <f aca="false">IFERROR(I91/AVERAGE(I86:I97),"")</f>
        <v>0.314825782422026</v>
      </c>
      <c r="K91" s="23" t="n">
        <f aca="false">IF(ISNUMBER(Tabelle1!G98),(0.5*Tabelle1!G86+SUM(Tabelle1!G87:G97)+0.5*Tabelle1!G98)/12,"")</f>
        <v>98.1536858333333</v>
      </c>
      <c r="L91" s="24" t="n">
        <f aca="false">IFERROR(Tabelle1!G92/K91,"")</f>
        <v>1.01297530659041</v>
      </c>
      <c r="M91" s="24" t="n">
        <f aca="false">IFERROR(AVERAGEIFS($L$7:$L$294,$B$7:$B$294,$B91,$A$7:$A$294,"&gt;="&amp;EDATE($A91,-12*'Seasonal Factors'!$E$4),$A$7:$A$294,"&lt;="&amp;EDATE($A91,12*'Seasonal Factors'!$E$4)),"")</f>
        <v>0.999024353637679</v>
      </c>
      <c r="N91" s="24" t="n">
        <f aca="false">IFERROR(M91/AVERAGE(M86:M97),"")</f>
        <v>0.998950287548864</v>
      </c>
      <c r="O91" s="23" t="n">
        <f aca="false">IF(ISNUMBER(Tabelle1!H98),(0.5*Tabelle1!H86+SUM(Tabelle1!H87:H97)+0.5*Tabelle1!H98)/12,"")</f>
        <v>141.255079166667</v>
      </c>
      <c r="P91" s="24" t="n">
        <f aca="false">IFERROR(Tabelle1!H92/O91,"")</f>
        <v>0.899977620273773</v>
      </c>
      <c r="Q91" s="24" t="n">
        <f aca="false">IFERROR(AVERAGEIFS($P$7:$P$294,$B$7:$B$294,$B91,$A$7:$A$294,"&gt;="&amp;EDATE($A91,-12*'Seasonal Factors'!$E$4),$A$7:$A$294,"&lt;="&amp;EDATE($A91,12*'Seasonal Factors'!$E$4)),"")</f>
        <v>0.890785312090514</v>
      </c>
      <c r="R91" s="24" t="n">
        <f aca="false">IFERROR(Q91/AVERAGE(Q86:Q97),"")</f>
        <v>0.890743091590092</v>
      </c>
      <c r="S91" s="23" t="n">
        <f aca="false">IF(ISNUMBER(Tabelle1!I98),(0.5*Tabelle1!I86+SUM(Tabelle1!I87:I97)+0.5*Tabelle1!I98)/12,"")</f>
        <v>125.344308333333</v>
      </c>
      <c r="T91" s="24" t="n">
        <f aca="false">IFERROR(Tabelle1!I92/S91,"")</f>
        <v>1.0578596807713</v>
      </c>
      <c r="U91" s="24" t="n">
        <f aca="false">IFERROR(AVERAGEIFS($T$7:$T$294,$B$7:$B$294,$B91,$A$7:$A$294,"&gt;="&amp;EDATE($A91,-12*'Seasonal Factors'!$E$4),$A$7:$A$294,"&lt;="&amp;EDATE($A91,12*'Seasonal Factors'!$E$4)),"")</f>
        <v>1.05519980543881</v>
      </c>
      <c r="V91" s="24" t="n">
        <f aca="false">IFERROR(U91/AVERAGE(U86:U97),"")</f>
        <v>1.05488394045279</v>
      </c>
      <c r="W91" s="23" t="n">
        <f aca="false">IF(ISNUMBER(Tabelle1!J98),(0.5*Tabelle1!J86+SUM(Tabelle1!J87:J97)+0.5*Tabelle1!J98)/12,"")</f>
        <v>148.191462916667</v>
      </c>
      <c r="X91" s="24" t="n">
        <f aca="false">IFERROR(Tabelle1!J92/W91,"")</f>
        <v>1.00740013669984</v>
      </c>
      <c r="Y91" s="24" t="n">
        <f aca="false">IFERROR(AVERAGEIFS($X$7:$X$294,$B$7:$B$294,$B91,$A$7:$A$294,"&gt;="&amp;EDATE($A91,-12*'Seasonal Factors'!$E$4),$A$7:$A$294,"&lt;="&amp;EDATE($A91,12*'Seasonal Factors'!$E$4)),"")</f>
        <v>0.995413322645258</v>
      </c>
      <c r="Z91" s="24" t="n">
        <f aca="false">IFERROR(Y91/AVERAGE(Y86:Y97),"")</f>
        <v>0.994909285084007</v>
      </c>
      <c r="AA91" s="23" t="n">
        <f aca="false">IF(ISNUMBER(Tabelle1!K98),(0.5*Tabelle1!K86+SUM(Tabelle1!K87:K97)+0.5*Tabelle1!K98)/12,"")</f>
        <v>158.356090416667</v>
      </c>
      <c r="AB91" s="24" t="n">
        <f aca="false">IFERROR(Tabelle1!K92/AA91,"")</f>
        <v>0.9193568723308</v>
      </c>
      <c r="AC91" s="24" t="n">
        <f aca="false">IFERROR(AVERAGEIFS($AB$7:$AB$294,$B$7:$B$294,$B91,$A$7:$A$294,"&gt;="&amp;EDATE($A91,-12*'Seasonal Factors'!$E$4),$A$7:$A$294,"&lt;="&amp;EDATE($A91,12*'Seasonal Factors'!$E$4)),"")</f>
        <v>0.913959094652477</v>
      </c>
      <c r="AD91" s="24" t="n">
        <f aca="false">IFERROR(AC91/AVERAGE(AC86:AC97),"")</f>
        <v>0.914120535518223</v>
      </c>
      <c r="AE91" s="23" t="n">
        <f aca="false">IF(ISNUMBER(Tabelle1!L98),(0.5*Tabelle1!L86+SUM(Tabelle1!L87:L97)+0.5*Tabelle1!L98)/12,"")</f>
        <v>153.153042916667</v>
      </c>
      <c r="AF91" s="24" t="n">
        <f aca="false">IFERROR(Tabelle1!L92/AE91,"")</f>
        <v>1.07865548639401</v>
      </c>
      <c r="AG91" s="24" t="n">
        <f aca="false">IFERROR(AVERAGEIFS($AF$7:$AF$294,$B$7:$B$294,$B91,$A$7:$A$294,"&gt;="&amp;EDATE($A91,-12*'Seasonal Factors'!$E$4),$A$7:$A$294,"&lt;="&amp;EDATE($A91,12*'Seasonal Factors'!$E$4)),"")</f>
        <v>1.08507080917477</v>
      </c>
      <c r="AH91" s="24" t="n">
        <f aca="false">IFERROR(AG91/AVERAGE(AG86:AG97),"")</f>
        <v>1.0851823126096</v>
      </c>
      <c r="AI91" s="23" t="n">
        <f aca="false">IF(ISNUMBER(Tabelle1!M98),(0.5*Tabelle1!M86+SUM(Tabelle1!M87:M97)+0.5*Tabelle1!M98)/12,"")</f>
        <v>171.545152083333</v>
      </c>
      <c r="AJ91" s="24" t="n">
        <f aca="false">IFERROR(Tabelle1!M92/AI91,"")</f>
        <v>0.986242502019603</v>
      </c>
      <c r="AK91" s="24" t="n">
        <f aca="false">IFERROR(AVERAGEIFS($AJ$7:$AJ$294,$B$7:$B$294,$B91,$A$7:$A$294,"&gt;="&amp;EDATE($A91,-12*'Seasonal Factors'!$E$4),$A$7:$A$294,"&lt;="&amp;EDATE($A91,12*'Seasonal Factors'!$E$4)),"")</f>
        <v>0.977369038748676</v>
      </c>
      <c r="AL91" s="24" t="n">
        <f aca="false">IFERROR(AK91/AVERAGE(AK86:AK97),"")</f>
        <v>0.977033247028328</v>
      </c>
      <c r="AM91" s="23" t="n">
        <f aca="false">IF(ISNUMBER(Tabelle1!N98),(0.5*Tabelle1!N86+SUM(Tabelle1!N87:N97)+0.5*Tabelle1!N98)/12,"")</f>
        <v>157.08436125</v>
      </c>
      <c r="AN91" s="24" t="n">
        <f aca="false">IFERROR(Tabelle1!N92/AM91,"")</f>
        <v>1.01376845366903</v>
      </c>
      <c r="AO91" s="24" t="n">
        <f aca="false">IFERROR(AVERAGEIFS($AN$7:$AN$294,$B$7:$B$294,$B91,$A$7:$A$294,"&gt;="&amp;EDATE($A91,-12*'Seasonal Factors'!$E$4),$A$7:$A$294,"&lt;="&amp;EDATE($A91,12*'Seasonal Factors'!$E$4)),"")</f>
        <v>1.01849214373648</v>
      </c>
      <c r="AP91" s="24" t="n">
        <f aca="false">IFERROR(AO91/AVERAGE(AO86:AO97),"")</f>
        <v>1.01813730278974</v>
      </c>
      <c r="AQ91" s="23" t="n">
        <f aca="false">IF(ISNUMBER(Tabelle1!O98),(0.5*Tabelle1!O86+SUM(Tabelle1!O87:O97)+0.5*Tabelle1!O98)/12,"")</f>
        <v>131.226932083333</v>
      </c>
      <c r="AR91" s="24" t="n">
        <f aca="false">IFERROR(Tabelle1!O92/AQ91,"")</f>
        <v>0.945656337688329</v>
      </c>
      <c r="AS91" s="24" t="n">
        <f aca="false">IFERROR(AVERAGEIFS($AR$7:$AR$294,$B$7:$B$294,$B91,$A$7:$A$294,"&gt;="&amp;EDATE($A91,-12*'Seasonal Factors'!$E$4),$A$7:$A$294,"&lt;="&amp;EDATE($A91,12*'Seasonal Factors'!$E$4)),"")</f>
        <v>0.951099307119114</v>
      </c>
      <c r="AT91" s="24" t="n">
        <f aca="false">IFERROR(AS91/AVERAGE(AS86:AS97),"")</f>
        <v>0.95078817619076</v>
      </c>
      <c r="AU91" s="23" t="n">
        <f aca="false">IF(ISNUMBER(Tabelle1!P98),(0.5*Tabelle1!P86+SUM(Tabelle1!P87:P97)+0.5*Tabelle1!P98)/12,"")</f>
        <v>129.569385</v>
      </c>
      <c r="AV91" s="24" t="n">
        <f aca="false">IFERROR(Tabelle1!P92/AU91,"")</f>
        <v>0.998591526848723</v>
      </c>
      <c r="AW91" s="24" t="n">
        <f aca="false">IFERROR(AVERAGEIFS($AV$7:$AV$294,$B$7:$B$294,$B91,$A$7:$A$294,"&gt;="&amp;EDATE($A91,-12*'Seasonal Factors'!$E$4),$A$7:$A$294,"&lt;="&amp;EDATE($A91,12*'Seasonal Factors'!$E$4)),"")</f>
        <v>0.992228094894428</v>
      </c>
      <c r="AX91" s="24" t="n">
        <f aca="false">IFERROR(AW91/AVERAGE(AW86:AW97),"")</f>
        <v>0.992225553784313</v>
      </c>
      <c r="AY91" s="23" t="n">
        <f aca="false">IF(ISNUMBER(Tabelle1!Q98),(0.5*Tabelle1!Q86+SUM(Tabelle1!Q87:Q97)+0.5*Tabelle1!Q98)/12,"")</f>
        <v>132.359751666667</v>
      </c>
      <c r="AZ91" s="24" t="n">
        <f aca="false">IFERROR(Tabelle1!Q92/AY91,"")</f>
        <v>0.983272092620402</v>
      </c>
      <c r="BA91" s="24" t="n">
        <f aca="false">IFERROR(AVERAGEIFS($AZ$7:$AZ$294,$B$7:$B$294,$B91,$A$7:$A$294,"&gt;="&amp;EDATE($A91,-12*'Seasonal Factors'!$E$4),$A$7:$A$294,"&lt;="&amp;EDATE($A91,12*'Seasonal Factors'!$E$4)),"")</f>
        <v>0.976992340383377</v>
      </c>
      <c r="BB91" s="24" t="n">
        <f aca="false">IFERROR(BA91/AVERAGE(BA86:BA97),"")</f>
        <v>0.97701633553132</v>
      </c>
      <c r="BC91" s="23" t="n">
        <f aca="false">IF(ISNUMBER(Tabelle1!R98),(0.5*Tabelle1!R86+SUM(Tabelle1!R87:R97)+0.5*Tabelle1!R98)/12,"")</f>
        <v>147.578756666667</v>
      </c>
      <c r="BD91" s="24" t="n">
        <f aca="false">IFERROR(Tabelle1!R92/BC91,"")</f>
        <v>0.985211783077994</v>
      </c>
      <c r="BE91" s="24" t="n">
        <f aca="false">IFERROR(AVERAGEIFS($BD$7:$BD$294,$B$7:$B$294,$B91,$A$7:$A$294,"&gt;="&amp;EDATE($A91,-12*'Seasonal Factors'!$E$4),$A$7:$A$294,"&lt;="&amp;EDATE($A91,12*'Seasonal Factors'!$E$4)),"")</f>
        <v>0.991097713665991</v>
      </c>
      <c r="BF91" s="24" t="n">
        <f aca="false">IFERROR(BE91/AVERAGE(BE86:BE97),"")</f>
        <v>0.990391254886968</v>
      </c>
      <c r="BG91" s="23" t="n">
        <f aca="false">IF(ISNUMBER(Tabelle1!S98),(0.5*Tabelle1!S86+SUM(Tabelle1!S87:S97)+0.5*Tabelle1!S98)/12,"")</f>
        <v>149.840070416667</v>
      </c>
      <c r="BH91" s="24" t="n">
        <f aca="false">IFERROR(Tabelle1!S92/BG91,"")</f>
        <v>1.02151366836901</v>
      </c>
      <c r="BI91" s="24" t="n">
        <f aca="false">IFERROR(AVERAGEIFS($BH$7:$BH$294,$B$7:$B$294,$B91,$A$7:$A$294,"&gt;="&amp;EDATE($A91,-12*'Seasonal Factors'!$E$4),$A$7:$A$294,"&lt;="&amp;EDATE($A91,12*'Seasonal Factors'!$E$4)),"")</f>
        <v>1.00773111345474</v>
      </c>
      <c r="BJ91" s="24" t="n">
        <f aca="false">IFERROR(BI91/AVERAGE(BI86:BI97),"")</f>
        <v>1.00741867296385</v>
      </c>
    </row>
    <row r="92" customFormat="false" ht="15" hidden="false" customHeight="false" outlineLevel="0" collapsed="false">
      <c r="A92" s="20" t="n">
        <v>40602</v>
      </c>
      <c r="B92" s="22" t="n">
        <f aca="false">MONTH(A92)</f>
        <v>2</v>
      </c>
      <c r="C92" s="23" t="n">
        <f aca="false">IF(ISNUMBER(Tabelle1!E99),(0.5*Tabelle1!E87+SUM(Tabelle1!E88:E98)+0.5*Tabelle1!E99)/12,"")</f>
        <v>126.15902625</v>
      </c>
      <c r="D92" s="24" t="n">
        <f aca="false">IFERROR(Tabelle1!E93/C92,"")</f>
        <v>0.565944602794523</v>
      </c>
      <c r="E92" s="24" t="n">
        <f aca="false">IFERROR(AVERAGEIFS($D$7:$D$294,$B$7:$B$294,$B92,$A$7:$A$294,"&gt;="&amp;EDATE($A92,-12*'Seasonal Factors'!$E$4),$A$7:$A$294,"&lt;="&amp;EDATE($A92,12*'Seasonal Factors'!$E$4)),"")</f>
        <v>0.569491293108365</v>
      </c>
      <c r="F92" s="24" t="n">
        <f aca="false">IFERROR(E92/AVERAGE(E87:E98),"")</f>
        <v>0.568951630599012</v>
      </c>
      <c r="G92" s="23" t="n">
        <f aca="false">IF(ISNUMBER(Tabelle1!F99),(0.5*Tabelle1!F87+SUM(Tabelle1!F88:F98)+0.5*Tabelle1!F99)/12,"")</f>
        <v>118.05145875</v>
      </c>
      <c r="H92" s="24" t="n">
        <f aca="false">IFERROR(Tabelle1!F93/G92,"")</f>
        <v>0.602273794435429</v>
      </c>
      <c r="I92" s="24" t="n">
        <f aca="false">IFERROR(AVERAGEIFS($H$7:$H$294,$B$7:$B$294,$B92,$A$7:$A$294,"&gt;="&amp;EDATE($A92,-12*'Seasonal Factors'!$E$4),$A$7:$A$294,"&lt;="&amp;EDATE($A92,12*'Seasonal Factors'!$E$4)),"")</f>
        <v>0.571062261272342</v>
      </c>
      <c r="J92" s="24" t="n">
        <f aca="false">IFERROR(I92/AVERAGE(I87:I98),"")</f>
        <v>0.577586597623559</v>
      </c>
      <c r="K92" s="23" t="n">
        <f aca="false">IF(ISNUMBER(Tabelle1!G99),(0.5*Tabelle1!G87+SUM(Tabelle1!G88:G98)+0.5*Tabelle1!G99)/12,"")</f>
        <v>97.52635125</v>
      </c>
      <c r="L92" s="24" t="n">
        <f aca="false">IFERROR(Tabelle1!G93/K92,"")</f>
        <v>0.962805014198663</v>
      </c>
      <c r="M92" s="24" t="n">
        <f aca="false">IFERROR(AVERAGEIFS($L$7:$L$294,$B$7:$B$294,$B92,$A$7:$A$294,"&gt;="&amp;EDATE($A92,-12*'Seasonal Factors'!$E$4),$A$7:$A$294,"&lt;="&amp;EDATE($A92,12*'Seasonal Factors'!$E$4)),"")</f>
        <v>0.941230651237522</v>
      </c>
      <c r="N92" s="24" t="n">
        <f aca="false">IFERROR(M92/AVERAGE(M87:M98),"")</f>
        <v>0.941194040499485</v>
      </c>
      <c r="O92" s="23" t="n">
        <f aca="false">IF(ISNUMBER(Tabelle1!H99),(0.5*Tabelle1!H87+SUM(Tabelle1!H88:H98)+0.5*Tabelle1!H99)/12,"")</f>
        <v>142.04072875</v>
      </c>
      <c r="P92" s="24" t="n">
        <f aca="false">IFERROR(Tabelle1!H93/O92,"")</f>
        <v>0.874332461491261</v>
      </c>
      <c r="Q92" s="24" t="n">
        <f aca="false">IFERROR(AVERAGEIFS($P$7:$P$294,$B$7:$B$294,$B92,$A$7:$A$294,"&gt;="&amp;EDATE($A92,-12*'Seasonal Factors'!$E$4),$A$7:$A$294,"&lt;="&amp;EDATE($A92,12*'Seasonal Factors'!$E$4)),"")</f>
        <v>0.869922865951246</v>
      </c>
      <c r="R92" s="24" t="n">
        <f aca="false">IFERROR(Q92/AVERAGE(Q87:Q98),"")</f>
        <v>0.869614992655781</v>
      </c>
      <c r="S92" s="23" t="n">
        <f aca="false">IF(ISNUMBER(Tabelle1!I99),(0.5*Tabelle1!I87+SUM(Tabelle1!I88:I98)+0.5*Tabelle1!I99)/12,"")</f>
        <v>125.789145</v>
      </c>
      <c r="T92" s="24" t="n">
        <f aca="false">IFERROR(Tabelle1!I93/S92,"")</f>
        <v>0.96105844427196</v>
      </c>
      <c r="U92" s="24" t="n">
        <f aca="false">IFERROR(AVERAGEIFS($T$7:$T$294,$B$7:$B$294,$B92,$A$7:$A$294,"&gt;="&amp;EDATE($A92,-12*'Seasonal Factors'!$E$4),$A$7:$A$294,"&lt;="&amp;EDATE($A92,12*'Seasonal Factors'!$E$4)),"")</f>
        <v>0.960751862484235</v>
      </c>
      <c r="V92" s="24" t="n">
        <f aca="false">IFERROR(U92/AVERAGE(U87:U98),"")</f>
        <v>0.960820140615516</v>
      </c>
      <c r="W92" s="23" t="n">
        <f aca="false">IF(ISNUMBER(Tabelle1!J99),(0.5*Tabelle1!J87+SUM(Tabelle1!J88:J98)+0.5*Tabelle1!J99)/12,"")</f>
        <v>149.385792916667</v>
      </c>
      <c r="X92" s="24" t="n">
        <f aca="false">IFERROR(Tabelle1!J93/W92,"")</f>
        <v>1.0160036442332</v>
      </c>
      <c r="Y92" s="24" t="n">
        <f aca="false">IFERROR(AVERAGEIFS($X$7:$X$294,$B$7:$B$294,$B92,$A$7:$A$294,"&gt;="&amp;EDATE($A92,-12*'Seasonal Factors'!$E$4),$A$7:$A$294,"&lt;="&amp;EDATE($A92,12*'Seasonal Factors'!$E$4)),"")</f>
        <v>1.00259713405469</v>
      </c>
      <c r="Z92" s="24" t="n">
        <f aca="false">IFERROR(Y92/AVERAGE(Y87:Y98),"")</f>
        <v>1.00172535728958</v>
      </c>
      <c r="AA92" s="23" t="n">
        <f aca="false">IF(ISNUMBER(Tabelle1!K99),(0.5*Tabelle1!K87+SUM(Tabelle1!K88:K98)+0.5*Tabelle1!K99)/12,"")</f>
        <v>159.651146666667</v>
      </c>
      <c r="AB92" s="24" t="n">
        <f aca="false">IFERROR(Tabelle1!K93/AA92,"")</f>
        <v>0.884137025928867</v>
      </c>
      <c r="AC92" s="24" t="n">
        <f aca="false">IFERROR(AVERAGEIFS($AB$7:$AB$294,$B$7:$B$294,$B92,$A$7:$A$294,"&gt;="&amp;EDATE($A92,-12*'Seasonal Factors'!$E$4),$A$7:$A$294,"&lt;="&amp;EDATE($A92,12*'Seasonal Factors'!$E$4)),"")</f>
        <v>0.900296967545739</v>
      </c>
      <c r="AD92" s="24" t="n">
        <f aca="false">IFERROR(AC92/AVERAGE(AC87:AC98),"")</f>
        <v>0.90023103104044</v>
      </c>
      <c r="AE92" s="23" t="n">
        <f aca="false">IF(ISNUMBER(Tabelle1!L99),(0.5*Tabelle1!L87+SUM(Tabelle1!L88:L98)+0.5*Tabelle1!L99)/12,"")</f>
        <v>153.747320833333</v>
      </c>
      <c r="AF92" s="24" t="n">
        <f aca="false">IFERROR(Tabelle1!L93/AE92,"")</f>
        <v>1.00719699803983</v>
      </c>
      <c r="AG92" s="24" t="n">
        <f aca="false">IFERROR(AVERAGEIFS($AF$7:$AF$294,$B$7:$B$294,$B92,$A$7:$A$294,"&gt;="&amp;EDATE($A92,-12*'Seasonal Factors'!$E$4),$A$7:$A$294,"&lt;="&amp;EDATE($A92,12*'Seasonal Factors'!$E$4)),"")</f>
        <v>1.03116759461184</v>
      </c>
      <c r="AH92" s="24" t="n">
        <f aca="false">IFERROR(AG92/AVERAGE(AG87:AG98),"")</f>
        <v>1.03116906866441</v>
      </c>
      <c r="AI92" s="23" t="n">
        <f aca="false">IF(ISNUMBER(Tabelle1!M99),(0.5*Tabelle1!M87+SUM(Tabelle1!M88:M98)+0.5*Tabelle1!M99)/12,"")</f>
        <v>172.212377916667</v>
      </c>
      <c r="AJ92" s="24" t="n">
        <f aca="false">IFERROR(Tabelle1!M93/AI92,"")</f>
        <v>0.938670274201907</v>
      </c>
      <c r="AK92" s="24" t="n">
        <f aca="false">IFERROR(AVERAGEIFS($AJ$7:$AJ$294,$B$7:$B$294,$B92,$A$7:$A$294,"&gt;="&amp;EDATE($A92,-12*'Seasonal Factors'!$E$4),$A$7:$A$294,"&lt;="&amp;EDATE($A92,12*'Seasonal Factors'!$E$4)),"")</f>
        <v>0.936860422287473</v>
      </c>
      <c r="AL92" s="24" t="n">
        <f aca="false">IFERROR(AK92/AVERAGE(AK87:AK98),"")</f>
        <v>0.936474297693323</v>
      </c>
      <c r="AM92" s="23" t="n">
        <f aca="false">IF(ISNUMBER(Tabelle1!N99),(0.5*Tabelle1!N87+SUM(Tabelle1!N88:N98)+0.5*Tabelle1!N99)/12,"")</f>
        <v>158.64762125</v>
      </c>
      <c r="AN92" s="24" t="n">
        <f aca="false">IFERROR(Tabelle1!N93/AM92,"")</f>
        <v>0.982966645016747</v>
      </c>
      <c r="AO92" s="24" t="n">
        <f aca="false">IFERROR(AVERAGEIFS($AN$7:$AN$294,$B$7:$B$294,$B92,$A$7:$A$294,"&gt;="&amp;EDATE($A92,-12*'Seasonal Factors'!$E$4),$A$7:$A$294,"&lt;="&amp;EDATE($A92,12*'Seasonal Factors'!$E$4)),"")</f>
        <v>0.974248511559899</v>
      </c>
      <c r="AP92" s="24" t="n">
        <f aca="false">IFERROR(AO92/AVERAGE(AO87:AO98),"")</f>
        <v>0.973795804205827</v>
      </c>
      <c r="AQ92" s="23" t="n">
        <f aca="false">IF(ISNUMBER(Tabelle1!O99),(0.5*Tabelle1!O87+SUM(Tabelle1!O88:O98)+0.5*Tabelle1!O99)/12,"")</f>
        <v>131.798132916667</v>
      </c>
      <c r="AR92" s="24" t="n">
        <f aca="false">IFERROR(Tabelle1!O93/AQ92,"")</f>
        <v>0.952398089579664</v>
      </c>
      <c r="AS92" s="24" t="n">
        <f aca="false">IFERROR(AVERAGEIFS($AR$7:$AR$294,$B$7:$B$294,$B92,$A$7:$A$294,"&gt;="&amp;EDATE($A92,-12*'Seasonal Factors'!$E$4),$A$7:$A$294,"&lt;="&amp;EDATE($A92,12*'Seasonal Factors'!$E$4)),"")</f>
        <v>0.958702823317535</v>
      </c>
      <c r="AT92" s="24" t="n">
        <f aca="false">IFERROR(AS92/AVERAGE(AS87:AS98),"")</f>
        <v>0.958450740815396</v>
      </c>
      <c r="AU92" s="23" t="n">
        <f aca="false">IF(ISNUMBER(Tabelle1!P99),(0.5*Tabelle1!P87+SUM(Tabelle1!P88:P98)+0.5*Tabelle1!P99)/12,"")</f>
        <v>130.038199583333</v>
      </c>
      <c r="AV92" s="24" t="n">
        <f aca="false">IFERROR(Tabelle1!P93/AU92,"")</f>
        <v>0.99968048170871</v>
      </c>
      <c r="AW92" s="24" t="n">
        <f aca="false">IFERROR(AVERAGEIFS($AV$7:$AV$294,$B$7:$B$294,$B92,$A$7:$A$294,"&gt;="&amp;EDATE($A92,-12*'Seasonal Factors'!$E$4),$A$7:$A$294,"&lt;="&amp;EDATE($A92,12*'Seasonal Factors'!$E$4)),"")</f>
        <v>0.998541204735451</v>
      </c>
      <c r="AX92" s="24" t="n">
        <f aca="false">IFERROR(AW92/AVERAGE(AW87:AW98),"")</f>
        <v>0.998508986773423</v>
      </c>
      <c r="AY92" s="23" t="n">
        <f aca="false">IF(ISNUMBER(Tabelle1!Q99),(0.5*Tabelle1!Q87+SUM(Tabelle1!Q88:Q98)+0.5*Tabelle1!Q99)/12,"")</f>
        <v>132.773723333333</v>
      </c>
      <c r="AZ92" s="24" t="n">
        <f aca="false">IFERROR(Tabelle1!Q93/AY92,"")</f>
        <v>0.98704914428726</v>
      </c>
      <c r="BA92" s="24" t="n">
        <f aca="false">IFERROR(AVERAGEIFS($AZ$7:$AZ$294,$B$7:$B$294,$B92,$A$7:$A$294,"&gt;="&amp;EDATE($A92,-12*'Seasonal Factors'!$E$4),$A$7:$A$294,"&lt;="&amp;EDATE($A92,12*'Seasonal Factors'!$E$4)),"")</f>
        <v>0.982100930514528</v>
      </c>
      <c r="BB92" s="24" t="n">
        <f aca="false">IFERROR(BA92/AVERAGE(BA87:BA98),"")</f>
        <v>0.982043973018288</v>
      </c>
      <c r="BC92" s="23" t="n">
        <f aca="false">IF(ISNUMBER(Tabelle1!R99),(0.5*Tabelle1!R87+SUM(Tabelle1!R88:R98)+0.5*Tabelle1!R99)/12,"")</f>
        <v>148.02278375</v>
      </c>
      <c r="BD92" s="24" t="n">
        <f aca="false">IFERROR(Tabelle1!R93/BC92,"")</f>
        <v>0.933043457912945</v>
      </c>
      <c r="BE92" s="24" t="n">
        <f aca="false">IFERROR(AVERAGEIFS($BD$7:$BD$294,$B$7:$B$294,$B92,$A$7:$A$294,"&gt;="&amp;EDATE($A92,-12*'Seasonal Factors'!$E$4),$A$7:$A$294,"&lt;="&amp;EDATE($A92,12*'Seasonal Factors'!$E$4)),"")</f>
        <v>0.935421759674402</v>
      </c>
      <c r="BF92" s="24" t="n">
        <f aca="false">IFERROR(BE92/AVERAGE(BE87:BE98),"")</f>
        <v>0.935120217363872</v>
      </c>
      <c r="BG92" s="23" t="n">
        <f aca="false">IF(ISNUMBER(Tabelle1!S99),(0.5*Tabelle1!S87+SUM(Tabelle1!S88:S98)+0.5*Tabelle1!S99)/12,"")</f>
        <v>149.998447916667</v>
      </c>
      <c r="BH92" s="24" t="n">
        <f aca="false">IFERROR(Tabelle1!S93/BG92,"")</f>
        <v>0.98922356904943</v>
      </c>
      <c r="BI92" s="24" t="n">
        <f aca="false">IFERROR(AVERAGEIFS($BH$7:$BH$294,$B$7:$B$294,$B92,$A$7:$A$294,"&gt;="&amp;EDATE($A92,-12*'Seasonal Factors'!$E$4),$A$7:$A$294,"&lt;="&amp;EDATE($A92,12*'Seasonal Factors'!$E$4)),"")</f>
        <v>0.987103969555763</v>
      </c>
      <c r="BJ92" s="24" t="n">
        <f aca="false">IFERROR(BI92/AVERAGE(BI87:BI98),"")</f>
        <v>0.986774818549382</v>
      </c>
    </row>
    <row r="93" customFormat="false" ht="15" hidden="false" customHeight="false" outlineLevel="0" collapsed="false">
      <c r="A93" s="20" t="n">
        <v>40633</v>
      </c>
      <c r="B93" s="22" t="n">
        <f aca="false">MONTH(A93)</f>
        <v>3</v>
      </c>
      <c r="C93" s="23" t="n">
        <f aca="false">IF(ISNUMBER(Tabelle1!E100),(0.5*Tabelle1!E88+SUM(Tabelle1!E89:E99)+0.5*Tabelle1!E100)/12,"")</f>
        <v>126.454906666667</v>
      </c>
      <c r="D93" s="24" t="n">
        <f aca="false">IFERROR(Tabelle1!E94/C93,"")</f>
        <v>1.10526245034066</v>
      </c>
      <c r="E93" s="24" t="n">
        <f aca="false">IFERROR(AVERAGEIFS($D$7:$D$294,$B$7:$B$294,$B93,$A$7:$A$294,"&gt;="&amp;EDATE($A93,-12*'Seasonal Factors'!$E$4),$A$7:$A$294,"&lt;="&amp;EDATE($A93,12*'Seasonal Factors'!$E$4)),"")</f>
        <v>1.09121652415505</v>
      </c>
      <c r="F93" s="24" t="n">
        <f aca="false">IFERROR(E93/AVERAGE(E88:E99),"")</f>
        <v>1.09109885689825</v>
      </c>
      <c r="G93" s="23" t="n">
        <f aca="false">IF(ISNUMBER(Tabelle1!F100),(0.5*Tabelle1!F88+SUM(Tabelle1!F89:F99)+0.5*Tabelle1!F100)/12,"")</f>
        <v>117.350819166667</v>
      </c>
      <c r="H93" s="24" t="n">
        <f aca="false">IFERROR(Tabelle1!F94/G93,"")</f>
        <v>1.07370976099492</v>
      </c>
      <c r="I93" s="24" t="n">
        <f aca="false">IFERROR(AVERAGEIFS($H$7:$H$294,$B$7:$B$294,$B93,$A$7:$A$294,"&gt;="&amp;EDATE($A93,-12*'Seasonal Factors'!$E$4),$A$7:$A$294,"&lt;="&amp;EDATE($A93,12*'Seasonal Factors'!$E$4)),"")</f>
        <v>1.13355289374301</v>
      </c>
      <c r="J93" s="24" t="n">
        <f aca="false">IFERROR(I93/AVERAGE(I88:I99),"")</f>
        <v>1.14007077414426</v>
      </c>
      <c r="K93" s="23" t="n">
        <f aca="false">IF(ISNUMBER(Tabelle1!G100),(0.5*Tabelle1!G88+SUM(Tabelle1!G89:G99)+0.5*Tabelle1!G100)/12,"")</f>
        <v>97.125925</v>
      </c>
      <c r="L93" s="24" t="n">
        <f aca="false">IFERROR(Tabelle1!G94/K93,"")</f>
        <v>1.04571812314786</v>
      </c>
      <c r="M93" s="24" t="n">
        <f aca="false">IFERROR(AVERAGEIFS($L$7:$L$294,$B$7:$B$294,$B93,$A$7:$A$294,"&gt;="&amp;EDATE($A93,-12*'Seasonal Factors'!$E$4),$A$7:$A$294,"&lt;="&amp;EDATE($A93,12*'Seasonal Factors'!$E$4)),"")</f>
        <v>1.02697847158567</v>
      </c>
      <c r="N93" s="24" t="n">
        <f aca="false">IFERROR(M93/AVERAGE(M88:M99),"")</f>
        <v>1.02714868687286</v>
      </c>
      <c r="O93" s="23" t="n">
        <f aca="false">IF(ISNUMBER(Tabelle1!H100),(0.5*Tabelle1!H88+SUM(Tabelle1!H89:H99)+0.5*Tabelle1!H100)/12,"")</f>
        <v>142.86986625</v>
      </c>
      <c r="P93" s="24" t="n">
        <f aca="false">IFERROR(Tabelle1!H94/O93,"")</f>
        <v>1.01655852148598</v>
      </c>
      <c r="Q93" s="24" t="n">
        <f aca="false">IFERROR(AVERAGEIFS($P$7:$P$294,$B$7:$B$294,$B93,$A$7:$A$294,"&gt;="&amp;EDATE($A93,-12*'Seasonal Factors'!$E$4),$A$7:$A$294,"&lt;="&amp;EDATE($A93,12*'Seasonal Factors'!$E$4)),"")</f>
        <v>1.00233615348971</v>
      </c>
      <c r="R93" s="24" t="n">
        <f aca="false">IFERROR(Q93/AVERAGE(Q88:Q99),"")</f>
        <v>1.00173887244349</v>
      </c>
      <c r="S93" s="23" t="n">
        <f aca="false">IF(ISNUMBER(Tabelle1!I100),(0.5*Tabelle1!I88+SUM(Tabelle1!I89:I99)+0.5*Tabelle1!I100)/12,"")</f>
        <v>126.1129375</v>
      </c>
      <c r="T93" s="24" t="n">
        <f aca="false">IFERROR(Tabelle1!I94/S93,"")</f>
        <v>1.02940580541152</v>
      </c>
      <c r="U93" s="24" t="n">
        <f aca="false">IFERROR(AVERAGEIFS($T$7:$T$294,$B$7:$B$294,$B93,$A$7:$A$294,"&gt;="&amp;EDATE($A93,-12*'Seasonal Factors'!$E$4),$A$7:$A$294,"&lt;="&amp;EDATE($A93,12*'Seasonal Factors'!$E$4)),"")</f>
        <v>1.01079269581759</v>
      </c>
      <c r="V93" s="24" t="n">
        <f aca="false">IFERROR(U93/AVERAGE(U88:U99),"")</f>
        <v>1.01083919030758</v>
      </c>
      <c r="W93" s="23" t="n">
        <f aca="false">IF(ISNUMBER(Tabelle1!J100),(0.5*Tabelle1!J88+SUM(Tabelle1!J89:J99)+0.5*Tabelle1!J100)/12,"")</f>
        <v>150.543584166667</v>
      </c>
      <c r="X93" s="24" t="n">
        <f aca="false">IFERROR(Tabelle1!J94/W93,"")</f>
        <v>1.02748038620333</v>
      </c>
      <c r="Y93" s="24" t="n">
        <f aca="false">IFERROR(AVERAGEIFS($X$7:$X$294,$B$7:$B$294,$B93,$A$7:$A$294,"&gt;="&amp;EDATE($A93,-12*'Seasonal Factors'!$E$4),$A$7:$A$294,"&lt;="&amp;EDATE($A93,12*'Seasonal Factors'!$E$4)),"")</f>
        <v>1.01838224104057</v>
      </c>
      <c r="Z93" s="24" t="n">
        <f aca="false">IFERROR(Y93/AVERAGE(Y88:Y99),"")</f>
        <v>1.01719939715558</v>
      </c>
      <c r="AA93" s="23" t="n">
        <f aca="false">IF(ISNUMBER(Tabelle1!K100),(0.5*Tabelle1!K88+SUM(Tabelle1!K89:K99)+0.5*Tabelle1!K100)/12,"")</f>
        <v>161.239190416667</v>
      </c>
      <c r="AB93" s="24" t="n">
        <f aca="false">IFERROR(Tabelle1!K94/AA93,"")</f>
        <v>1.06293140989552</v>
      </c>
      <c r="AC93" s="24" t="n">
        <f aca="false">IFERROR(AVERAGEIFS($AB$7:$AB$294,$B$7:$B$294,$B93,$A$7:$A$294,"&gt;="&amp;EDATE($A93,-12*'Seasonal Factors'!$E$4),$A$7:$A$294,"&lt;="&amp;EDATE($A93,12*'Seasonal Factors'!$E$4)),"")</f>
        <v>1.05484803166002</v>
      </c>
      <c r="AD93" s="24" t="n">
        <f aca="false">IFERROR(AC93/AVERAGE(AC88:AC99),"")</f>
        <v>1.05432763034947</v>
      </c>
      <c r="AE93" s="23" t="n">
        <f aca="false">IF(ISNUMBER(Tabelle1!L100),(0.5*Tabelle1!L88+SUM(Tabelle1!L89:L99)+0.5*Tabelle1!L100)/12,"")</f>
        <v>154.3916575</v>
      </c>
      <c r="AF93" s="24" t="n">
        <f aca="false">IFERROR(Tabelle1!L94/AE93,"")</f>
        <v>0.998078345003842</v>
      </c>
      <c r="AG93" s="24" t="n">
        <f aca="false">IFERROR(AVERAGEIFS($AF$7:$AF$294,$B$7:$B$294,$B93,$A$7:$A$294,"&gt;="&amp;EDATE($A93,-12*'Seasonal Factors'!$E$4),$A$7:$A$294,"&lt;="&amp;EDATE($A93,12*'Seasonal Factors'!$E$4)),"")</f>
        <v>0.998672887314622</v>
      </c>
      <c r="AH93" s="24" t="n">
        <f aca="false">IFERROR(AG93/AVERAGE(AG88:AG99),"")</f>
        <v>0.998469392952605</v>
      </c>
      <c r="AI93" s="23" t="n">
        <f aca="false">IF(ISNUMBER(Tabelle1!M100),(0.5*Tabelle1!M88+SUM(Tabelle1!M89:M99)+0.5*Tabelle1!M100)/12,"")</f>
        <v>173.005429166667</v>
      </c>
      <c r="AJ93" s="24" t="n">
        <f aca="false">IFERROR(Tabelle1!M94/AI93,"")</f>
        <v>1.00751531810069</v>
      </c>
      <c r="AK93" s="24" t="n">
        <f aca="false">IFERROR(AVERAGEIFS($AJ$7:$AJ$294,$B$7:$B$294,$B93,$A$7:$A$294,"&gt;="&amp;EDATE($A93,-12*'Seasonal Factors'!$E$4),$A$7:$A$294,"&lt;="&amp;EDATE($A93,12*'Seasonal Factors'!$E$4)),"")</f>
        <v>0.99459434260398</v>
      </c>
      <c r="AL93" s="24" t="n">
        <f aca="false">IFERROR(AK93/AVERAGE(AK88:AK99),"")</f>
        <v>0.994045223459004</v>
      </c>
      <c r="AM93" s="23" t="n">
        <f aca="false">IF(ISNUMBER(Tabelle1!N100),(0.5*Tabelle1!N88+SUM(Tabelle1!N89:N99)+0.5*Tabelle1!N100)/12,"")</f>
        <v>160.426155416667</v>
      </c>
      <c r="AN93" s="24" t="n">
        <f aca="false">IFERROR(Tabelle1!N94/AM93,"")</f>
        <v>0.998444047879734</v>
      </c>
      <c r="AO93" s="24" t="n">
        <f aca="false">IFERROR(AVERAGEIFS($AN$7:$AN$294,$B$7:$B$294,$B93,$A$7:$A$294,"&gt;="&amp;EDATE($A93,-12*'Seasonal Factors'!$E$4),$A$7:$A$294,"&lt;="&amp;EDATE($A93,12*'Seasonal Factors'!$E$4)),"")</f>
        <v>0.996002729863867</v>
      </c>
      <c r="AP93" s="24" t="n">
        <f aca="false">IFERROR(AO93/AVERAGE(AO88:AO99),"")</f>
        <v>0.995290260110025</v>
      </c>
      <c r="AQ93" s="23" t="n">
        <f aca="false">IF(ISNUMBER(Tabelle1!O100),(0.5*Tabelle1!O88+SUM(Tabelle1!O89:O99)+0.5*Tabelle1!O100)/12,"")</f>
        <v>132.31692</v>
      </c>
      <c r="AR93" s="24" t="n">
        <f aca="false">IFERROR(Tabelle1!O94/AQ93,"")</f>
        <v>0.974066430808698</v>
      </c>
      <c r="AS93" s="24" t="n">
        <f aca="false">IFERROR(AVERAGEIFS($AR$7:$AR$294,$B$7:$B$294,$B93,$A$7:$A$294,"&gt;="&amp;EDATE($A93,-12*'Seasonal Factors'!$E$4),$A$7:$A$294,"&lt;="&amp;EDATE($A93,12*'Seasonal Factors'!$E$4)),"")</f>
        <v>0.985455354182589</v>
      </c>
      <c r="AT93" s="24" t="n">
        <f aca="false">IFERROR(AS93/AVERAGE(AS88:AS99),"")</f>
        <v>0.985152598489091</v>
      </c>
      <c r="AU93" s="23" t="n">
        <f aca="false">IF(ISNUMBER(Tabelle1!P100),(0.5*Tabelle1!P88+SUM(Tabelle1!P89:P99)+0.5*Tabelle1!P100)/12,"")</f>
        <v>130.533613333333</v>
      </c>
      <c r="AV93" s="24" t="n">
        <f aca="false">IFERROR(Tabelle1!P94/AU93,"")</f>
        <v>0.994435200905085</v>
      </c>
      <c r="AW93" s="24" t="n">
        <f aca="false">IFERROR(AVERAGEIFS($AV$7:$AV$294,$B$7:$B$294,$B93,$A$7:$A$294,"&gt;="&amp;EDATE($A93,-12*'Seasonal Factors'!$E$4),$A$7:$A$294,"&lt;="&amp;EDATE($A93,12*'Seasonal Factors'!$E$4)),"")</f>
        <v>0.995683538377621</v>
      </c>
      <c r="AX93" s="24" t="n">
        <f aca="false">IFERROR(AW93/AVERAGE(AW88:AW99),"")</f>
        <v>0.995730614040941</v>
      </c>
      <c r="AY93" s="23" t="n">
        <f aca="false">IF(ISNUMBER(Tabelle1!Q100),(0.5*Tabelle1!Q88+SUM(Tabelle1!Q89:Q99)+0.5*Tabelle1!Q100)/12,"")</f>
        <v>133.2355075</v>
      </c>
      <c r="AZ93" s="24" t="n">
        <f aca="false">IFERROR(Tabelle1!Q94/AY93,"")</f>
        <v>0.986814644737252</v>
      </c>
      <c r="BA93" s="24" t="n">
        <f aca="false">IFERROR(AVERAGEIFS($AZ$7:$AZ$294,$B$7:$B$294,$B93,$A$7:$A$294,"&gt;="&amp;EDATE($A93,-12*'Seasonal Factors'!$E$4),$A$7:$A$294,"&lt;="&amp;EDATE($A93,12*'Seasonal Factors'!$E$4)),"")</f>
        <v>0.983227554198599</v>
      </c>
      <c r="BB93" s="24" t="n">
        <f aca="false">IFERROR(BA93/AVERAGE(BA88:BA99),"")</f>
        <v>0.983158212461329</v>
      </c>
      <c r="BC93" s="23" t="n">
        <f aca="false">IF(ISNUMBER(Tabelle1!R100),(0.5*Tabelle1!R88+SUM(Tabelle1!R89:R99)+0.5*Tabelle1!R100)/12,"")</f>
        <v>148.512630416667</v>
      </c>
      <c r="BD93" s="24" t="n">
        <f aca="false">IFERROR(Tabelle1!R94/BC93,"")</f>
        <v>1.00655681325286</v>
      </c>
      <c r="BE93" s="24" t="n">
        <f aca="false">IFERROR(AVERAGEIFS($BD$7:$BD$294,$B$7:$B$294,$B93,$A$7:$A$294,"&gt;="&amp;EDATE($A93,-12*'Seasonal Factors'!$E$4),$A$7:$A$294,"&lt;="&amp;EDATE($A93,12*'Seasonal Factors'!$E$4)),"")</f>
        <v>1.00939523205271</v>
      </c>
      <c r="BF93" s="24" t="n">
        <f aca="false">IFERROR(BE93/AVERAGE(BE88:BE99),"")</f>
        <v>1.00935847204522</v>
      </c>
      <c r="BG93" s="23" t="n">
        <f aca="false">IF(ISNUMBER(Tabelle1!S100),(0.5*Tabelle1!S88+SUM(Tabelle1!S89:S99)+0.5*Tabelle1!S100)/12,"")</f>
        <v>150.07184875</v>
      </c>
      <c r="BH93" s="24" t="n">
        <f aca="false">IFERROR(Tabelle1!S94/BG93,"")</f>
        <v>0.98252737757387</v>
      </c>
      <c r="BI93" s="24" t="n">
        <f aca="false">IFERROR(AVERAGEIFS($BH$7:$BH$294,$B$7:$B$294,$B93,$A$7:$A$294,"&gt;="&amp;EDATE($A93,-12*'Seasonal Factors'!$E$4),$A$7:$A$294,"&lt;="&amp;EDATE($A93,12*'Seasonal Factors'!$E$4)),"")</f>
        <v>0.971992690270576</v>
      </c>
      <c r="BJ93" s="24" t="n">
        <f aca="false">IFERROR(BI93/AVERAGE(BI88:BI99),"")</f>
        <v>0.971663787004033</v>
      </c>
    </row>
    <row r="94" customFormat="false" ht="15" hidden="false" customHeight="false" outlineLevel="0" collapsed="false">
      <c r="A94" s="20" t="n">
        <v>40663</v>
      </c>
      <c r="B94" s="22" t="n">
        <f aca="false">MONTH(A94)</f>
        <v>4</v>
      </c>
      <c r="C94" s="23" t="n">
        <f aca="false">IF(ISNUMBER(Tabelle1!E101),(0.5*Tabelle1!E89+SUM(Tabelle1!E90:E100)+0.5*Tabelle1!E101)/12,"")</f>
        <v>126.697959583333</v>
      </c>
      <c r="D94" s="24" t="n">
        <f aca="false">IFERROR(Tabelle1!E95/C94,"")</f>
        <v>1.69885798246363</v>
      </c>
      <c r="E94" s="24" t="n">
        <f aca="false">IFERROR(AVERAGEIFS($D$7:$D$294,$B$7:$B$294,$B94,$A$7:$A$294,"&gt;="&amp;EDATE($A94,-12*'Seasonal Factors'!$E$4),$A$7:$A$294,"&lt;="&amp;EDATE($A94,12*'Seasonal Factors'!$E$4)),"")</f>
        <v>1.6753995859795</v>
      </c>
      <c r="F94" s="24" t="n">
        <f aca="false">IFERROR(E94/AVERAGE(E89:E100),"")</f>
        <v>1.67530279063655</v>
      </c>
      <c r="G94" s="23" t="n">
        <f aca="false">IF(ISNUMBER(Tabelle1!F101),(0.5*Tabelle1!F89+SUM(Tabelle1!F90:F100)+0.5*Tabelle1!F101)/12,"")</f>
        <v>118.44706625</v>
      </c>
      <c r="H94" s="24" t="n">
        <f aca="false">IFERROR(Tabelle1!F95/G94,"")</f>
        <v>1.02930046188459</v>
      </c>
      <c r="I94" s="24" t="n">
        <f aca="false">IFERROR(AVERAGEIFS($H$7:$H$294,$B$7:$B$294,$B94,$A$7:$A$294,"&gt;="&amp;EDATE($A94,-12*'Seasonal Factors'!$E$4),$A$7:$A$294,"&lt;="&amp;EDATE($A94,12*'Seasonal Factors'!$E$4)),"")</f>
        <v>1.20341862791835</v>
      </c>
      <c r="J94" s="24" t="n">
        <f aca="false">IFERROR(I94/AVERAGE(I89:I100),"")</f>
        <v>1.20362253358789</v>
      </c>
      <c r="K94" s="23" t="n">
        <f aca="false">IF(ISNUMBER(Tabelle1!G101),(0.5*Tabelle1!G89+SUM(Tabelle1!G90:G100)+0.5*Tabelle1!G101)/12,"")</f>
        <v>96.8906879166667</v>
      </c>
      <c r="L94" s="24" t="n">
        <f aca="false">IFERROR(Tabelle1!G95/K94,"")</f>
        <v>0.906891486574791</v>
      </c>
      <c r="M94" s="24" t="n">
        <f aca="false">IFERROR(AVERAGEIFS($L$7:$L$294,$B$7:$B$294,$B94,$A$7:$A$294,"&gt;="&amp;EDATE($A94,-12*'Seasonal Factors'!$E$4),$A$7:$A$294,"&lt;="&amp;EDATE($A94,12*'Seasonal Factors'!$E$4)),"")</f>
        <v>0.979560120416889</v>
      </c>
      <c r="N94" s="24" t="n">
        <f aca="false">IFERROR(M94/AVERAGE(M89:M100),"")</f>
        <v>0.979932799761695</v>
      </c>
      <c r="O94" s="23" t="n">
        <f aca="false">IF(ISNUMBER(Tabelle1!H101),(0.5*Tabelle1!H89+SUM(Tabelle1!H90:H100)+0.5*Tabelle1!H101)/12,"")</f>
        <v>143.685581666667</v>
      </c>
      <c r="P94" s="24" t="n">
        <f aca="false">IFERROR(Tabelle1!H95/O94,"")</f>
        <v>0.997181264383185</v>
      </c>
      <c r="Q94" s="24" t="n">
        <f aca="false">IFERROR(AVERAGEIFS($P$7:$P$294,$B$7:$B$294,$B94,$A$7:$A$294,"&gt;="&amp;EDATE($A94,-12*'Seasonal Factors'!$E$4),$A$7:$A$294,"&lt;="&amp;EDATE($A94,12*'Seasonal Factors'!$E$4)),"")</f>
        <v>1.00512425768787</v>
      </c>
      <c r="R94" s="24" t="n">
        <f aca="false">IFERROR(Q94/AVERAGE(Q89:Q100),"")</f>
        <v>1.0041782933266</v>
      </c>
      <c r="S94" s="23" t="n">
        <f aca="false">IF(ISNUMBER(Tabelle1!I101),(0.5*Tabelle1!I89+SUM(Tabelle1!I90:I100)+0.5*Tabelle1!I101)/12,"")</f>
        <v>126.3949575</v>
      </c>
      <c r="T94" s="24" t="n">
        <f aca="false">IFERROR(Tabelle1!I95/S94,"")</f>
        <v>0.933223384326863</v>
      </c>
      <c r="U94" s="24" t="n">
        <f aca="false">IFERROR(AVERAGEIFS($T$7:$T$294,$B$7:$B$294,$B94,$A$7:$A$294,"&gt;="&amp;EDATE($A94,-12*'Seasonal Factors'!$E$4),$A$7:$A$294,"&lt;="&amp;EDATE($A94,12*'Seasonal Factors'!$E$4)),"")</f>
        <v>0.948275944994187</v>
      </c>
      <c r="V94" s="24" t="n">
        <f aca="false">IFERROR(U94/AVERAGE(U89:U100),"")</f>
        <v>0.948374911674005</v>
      </c>
      <c r="W94" s="23" t="n">
        <f aca="false">IF(ISNUMBER(Tabelle1!J101),(0.5*Tabelle1!J89+SUM(Tabelle1!J90:J100)+0.5*Tabelle1!J101)/12,"")</f>
        <v>151.656897916667</v>
      </c>
      <c r="X94" s="24" t="n">
        <f aca="false">IFERROR(Tabelle1!J95/W94,"")</f>
        <v>0.989952135790724</v>
      </c>
      <c r="Y94" s="24" t="n">
        <f aca="false">IFERROR(AVERAGEIFS($X$7:$X$294,$B$7:$B$294,$B94,$A$7:$A$294,"&gt;="&amp;EDATE($A94,-12*'Seasonal Factors'!$E$4),$A$7:$A$294,"&lt;="&amp;EDATE($A94,12*'Seasonal Factors'!$E$4)),"")</f>
        <v>0.99205343417955</v>
      </c>
      <c r="Z94" s="24" t="n">
        <f aca="false">IFERROR(Y94/AVERAGE(Y89:Y100),"")</f>
        <v>0.990598893346671</v>
      </c>
      <c r="AA94" s="23" t="n">
        <f aca="false">IF(ISNUMBER(Tabelle1!K101),(0.5*Tabelle1!K89+SUM(Tabelle1!K90:K100)+0.5*Tabelle1!K101)/12,"")</f>
        <v>162.75363</v>
      </c>
      <c r="AB94" s="24" t="n">
        <f aca="false">IFERROR(Tabelle1!K95/AA94,"")</f>
        <v>0.989092962166189</v>
      </c>
      <c r="AC94" s="24" t="n">
        <f aca="false">IFERROR(AVERAGEIFS($AB$7:$AB$294,$B$7:$B$294,$B94,$A$7:$A$294,"&gt;="&amp;EDATE($A94,-12*'Seasonal Factors'!$E$4),$A$7:$A$294,"&lt;="&amp;EDATE($A94,12*'Seasonal Factors'!$E$4)),"")</f>
        <v>1.00271478598059</v>
      </c>
      <c r="AD94" s="24" t="n">
        <f aca="false">IFERROR(AC94/AVERAGE(AC89:AC100),"")</f>
        <v>1.00167087686776</v>
      </c>
      <c r="AE94" s="23" t="n">
        <f aca="false">IF(ISNUMBER(Tabelle1!L101),(0.5*Tabelle1!L89+SUM(Tabelle1!L90:L100)+0.5*Tabelle1!L101)/12,"")</f>
        <v>154.988162083333</v>
      </c>
      <c r="AF94" s="24" t="n">
        <f aca="false">IFERROR(Tabelle1!L95/AE94,"")</f>
        <v>0.979394864482513</v>
      </c>
      <c r="AG94" s="24" t="n">
        <f aca="false">IFERROR(AVERAGEIFS($AF$7:$AF$294,$B$7:$B$294,$B94,$A$7:$A$294,"&gt;="&amp;EDATE($A94,-12*'Seasonal Factors'!$E$4),$A$7:$A$294,"&lt;="&amp;EDATE($A94,12*'Seasonal Factors'!$E$4)),"")</f>
        <v>0.970320591919852</v>
      </c>
      <c r="AH94" s="24" t="n">
        <f aca="false">IFERROR(AG94/AVERAGE(AG89:AG100),"")</f>
        <v>0.969611170515491</v>
      </c>
      <c r="AI94" s="23" t="n">
        <f aca="false">IF(ISNUMBER(Tabelle1!M101),(0.5*Tabelle1!M89+SUM(Tabelle1!M90:M100)+0.5*Tabelle1!M101)/12,"")</f>
        <v>173.752213333333</v>
      </c>
      <c r="AJ94" s="24" t="n">
        <f aca="false">IFERROR(Tabelle1!M95/AI94,"")</f>
        <v>1.02687089031614</v>
      </c>
      <c r="AK94" s="24" t="n">
        <f aca="false">IFERROR(AVERAGEIFS($AJ$7:$AJ$294,$B$7:$B$294,$B94,$A$7:$A$294,"&gt;="&amp;EDATE($A94,-12*'Seasonal Factors'!$E$4),$A$7:$A$294,"&lt;="&amp;EDATE($A94,12*'Seasonal Factors'!$E$4)),"")</f>
        <v>1.02365222497433</v>
      </c>
      <c r="AL94" s="24" t="n">
        <f aca="false">IFERROR(AK94/AVERAGE(AK89:AK100),"")</f>
        <v>1.02304950565438</v>
      </c>
      <c r="AM94" s="23" t="n">
        <f aca="false">IF(ISNUMBER(Tabelle1!N101),(0.5*Tabelle1!N89+SUM(Tabelle1!N90:N100)+0.5*Tabelle1!N101)/12,"")</f>
        <v>162.222820416667</v>
      </c>
      <c r="AN94" s="24" t="n">
        <f aca="false">IFERROR(Tabelle1!N95/AM94,"")</f>
        <v>0.979380703602149</v>
      </c>
      <c r="AO94" s="24" t="n">
        <f aca="false">IFERROR(AVERAGEIFS($AN$7:$AN$294,$B$7:$B$294,$B94,$A$7:$A$294,"&gt;="&amp;EDATE($A94,-12*'Seasonal Factors'!$E$4),$A$7:$A$294,"&lt;="&amp;EDATE($A94,12*'Seasonal Factors'!$E$4)),"")</f>
        <v>0.986095188417736</v>
      </c>
      <c r="AP94" s="24" t="n">
        <f aca="false">IFERROR(AO94/AVERAGE(AO89:AO100),"")</f>
        <v>0.985164244040281</v>
      </c>
      <c r="AQ94" s="23" t="n">
        <f aca="false">IF(ISNUMBER(Tabelle1!O101),(0.5*Tabelle1!O89+SUM(Tabelle1!O90:O100)+0.5*Tabelle1!O101)/12,"")</f>
        <v>132.877614583333</v>
      </c>
      <c r="AR94" s="24" t="n">
        <f aca="false">IFERROR(Tabelle1!O95/AQ94,"")</f>
        <v>0.986311655360184</v>
      </c>
      <c r="AS94" s="24" t="n">
        <f aca="false">IFERROR(AVERAGEIFS($AR$7:$AR$294,$B$7:$B$294,$B94,$A$7:$A$294,"&gt;="&amp;EDATE($A94,-12*'Seasonal Factors'!$E$4),$A$7:$A$294,"&lt;="&amp;EDATE($A94,12*'Seasonal Factors'!$E$4)),"")</f>
        <v>0.987397752588025</v>
      </c>
      <c r="AT94" s="24" t="n">
        <f aca="false">IFERROR(AS94/AVERAGE(AS89:AS100),"")</f>
        <v>0.987078046004242</v>
      </c>
      <c r="AU94" s="23" t="n">
        <f aca="false">IF(ISNUMBER(Tabelle1!P101),(0.5*Tabelle1!P89+SUM(Tabelle1!P90:P100)+0.5*Tabelle1!P101)/12,"")</f>
        <v>130.994852083333</v>
      </c>
      <c r="AV94" s="24" t="n">
        <f aca="false">IFERROR(Tabelle1!P95/AU94,"")</f>
        <v>0.989297884145543</v>
      </c>
      <c r="AW94" s="24" t="n">
        <f aca="false">IFERROR(AVERAGEIFS($AV$7:$AV$294,$B$7:$B$294,$B94,$A$7:$A$294,"&gt;="&amp;EDATE($A94,-12*'Seasonal Factors'!$E$4),$A$7:$A$294,"&lt;="&amp;EDATE($A94,12*'Seasonal Factors'!$E$4)),"")</f>
        <v>0.988973997717252</v>
      </c>
      <c r="AX94" s="24" t="n">
        <f aca="false">IFERROR(AW94/AVERAGE(AW89:AW100),"")</f>
        <v>0.988994966185981</v>
      </c>
      <c r="AY94" s="23" t="n">
        <f aca="false">IF(ISNUMBER(Tabelle1!Q101),(0.5*Tabelle1!Q89+SUM(Tabelle1!Q90:Q100)+0.5*Tabelle1!Q101)/12,"")</f>
        <v>133.719740416667</v>
      </c>
      <c r="AZ94" s="24" t="n">
        <f aca="false">IFERROR(Tabelle1!Q95/AY94,"")</f>
        <v>0.985100177352585</v>
      </c>
      <c r="BA94" s="24" t="n">
        <f aca="false">IFERROR(AVERAGEIFS($AZ$7:$AZ$294,$B$7:$B$294,$B94,$A$7:$A$294,"&gt;="&amp;EDATE($A94,-12*'Seasonal Factors'!$E$4),$A$7:$A$294,"&lt;="&amp;EDATE($A94,12*'Seasonal Factors'!$E$4)),"")</f>
        <v>0.984639627306445</v>
      </c>
      <c r="BB94" s="24" t="n">
        <f aca="false">IFERROR(BA94/AVERAGE(BA89:BA100),"")</f>
        <v>0.984533149273091</v>
      </c>
      <c r="BC94" s="23" t="n">
        <f aca="false">IF(ISNUMBER(Tabelle1!R101),(0.5*Tabelle1!R89+SUM(Tabelle1!R90:R100)+0.5*Tabelle1!R101)/12,"")</f>
        <v>148.97377875</v>
      </c>
      <c r="BD94" s="24" t="n">
        <f aca="false">IFERROR(Tabelle1!R95/BC94,"")</f>
        <v>1.05574700004044</v>
      </c>
      <c r="BE94" s="24" t="n">
        <f aca="false">IFERROR(AVERAGEIFS($BD$7:$BD$294,$B$7:$B$294,$B94,$A$7:$A$294,"&gt;="&amp;EDATE($A94,-12*'Seasonal Factors'!$E$4),$A$7:$A$294,"&lt;="&amp;EDATE($A94,12*'Seasonal Factors'!$E$4)),"")</f>
        <v>1.04630526136241</v>
      </c>
      <c r="BF94" s="24" t="n">
        <f aca="false">IFERROR(BE94/AVERAGE(BE89:BE100),"")</f>
        <v>1.04642502787516</v>
      </c>
      <c r="BG94" s="23" t="n">
        <f aca="false">IF(ISNUMBER(Tabelle1!S101),(0.5*Tabelle1!S89+SUM(Tabelle1!S90:S100)+0.5*Tabelle1!S101)/12,"")</f>
        <v>150.390617916667</v>
      </c>
      <c r="BH94" s="24" t="n">
        <f aca="false">IFERROR(Tabelle1!S95/BG94,"")</f>
        <v>1.0123690035263</v>
      </c>
      <c r="BI94" s="24" t="n">
        <f aca="false">IFERROR(AVERAGEIFS($BH$7:$BH$294,$B$7:$B$294,$B94,$A$7:$A$294,"&gt;="&amp;EDATE($A94,-12*'Seasonal Factors'!$E$4),$A$7:$A$294,"&lt;="&amp;EDATE($A94,12*'Seasonal Factors'!$E$4)),"")</f>
        <v>0.988837708872748</v>
      </c>
      <c r="BJ94" s="24" t="n">
        <f aca="false">IFERROR(BI94/AVERAGE(BI89:BI100),"")</f>
        <v>0.988260187542129</v>
      </c>
    </row>
    <row r="95" customFormat="false" ht="15" hidden="false" customHeight="false" outlineLevel="0" collapsed="false">
      <c r="A95" s="20" t="n">
        <v>40694</v>
      </c>
      <c r="B95" s="22" t="n">
        <f aca="false">MONTH(A95)</f>
        <v>5</v>
      </c>
      <c r="C95" s="23" t="n">
        <f aca="false">IF(ISNUMBER(Tabelle1!E102),(0.5*Tabelle1!E90+SUM(Tabelle1!E91:E101)+0.5*Tabelle1!E102)/12,"")</f>
        <v>126.79073375</v>
      </c>
      <c r="D95" s="24" t="n">
        <f aca="false">IFERROR(Tabelle1!E96/C95,"")</f>
        <v>2.49042308267263</v>
      </c>
      <c r="E95" s="24" t="n">
        <f aca="false">IFERROR(AVERAGEIFS($D$7:$D$294,$B$7:$B$294,$B95,$A$7:$A$294,"&gt;="&amp;EDATE($A95,-12*'Seasonal Factors'!$E$4),$A$7:$A$294,"&lt;="&amp;EDATE($A95,12*'Seasonal Factors'!$E$4)),"")</f>
        <v>2.47797043280584</v>
      </c>
      <c r="F95" s="24" t="n">
        <f aca="false">IFERROR(E95/AVERAGE(E90:E101),"")</f>
        <v>2.47772274997627</v>
      </c>
      <c r="G95" s="23" t="n">
        <f aca="false">IF(ISNUMBER(Tabelle1!F102),(0.5*Tabelle1!F90+SUM(Tabelle1!F91:F101)+0.5*Tabelle1!F102)/12,"")</f>
        <v>121.19954875</v>
      </c>
      <c r="H95" s="24" t="n">
        <f aca="false">IFERROR(Tabelle1!F96/G95,"")</f>
        <v>0.941894678465129</v>
      </c>
      <c r="I95" s="24" t="n">
        <f aca="false">IFERROR(AVERAGEIFS($H$7:$H$294,$B$7:$B$294,$B95,$A$7:$A$294,"&gt;="&amp;EDATE($A95,-12*'Seasonal Factors'!$E$4),$A$7:$A$294,"&lt;="&amp;EDATE($A95,12*'Seasonal Factors'!$E$4)),"")</f>
        <v>1.35803017754041</v>
      </c>
      <c r="J95" s="24" t="n">
        <f aca="false">IFERROR(I95/AVERAGE(I90:I101),"")</f>
        <v>1.34963023029137</v>
      </c>
      <c r="K95" s="23" t="n">
        <f aca="false">IF(ISNUMBER(Tabelle1!G102),(0.5*Tabelle1!G90+SUM(Tabelle1!G91:G101)+0.5*Tabelle1!G102)/12,"")</f>
        <v>96.7248341666667</v>
      </c>
      <c r="L95" s="24" t="n">
        <f aca="false">IFERROR(Tabelle1!G96/K95,"")</f>
        <v>0.967202175180778</v>
      </c>
      <c r="M95" s="24" t="n">
        <f aca="false">IFERROR(AVERAGEIFS($L$7:$L$294,$B$7:$B$294,$B95,$A$7:$A$294,"&gt;="&amp;EDATE($A95,-12*'Seasonal Factors'!$E$4),$A$7:$A$294,"&lt;="&amp;EDATE($A95,12*'Seasonal Factors'!$E$4)),"")</f>
        <v>1.01111102896567</v>
      </c>
      <c r="N95" s="24" t="n">
        <f aca="false">IFERROR(M95/AVERAGE(M90:M101),"")</f>
        <v>1.01103261807488</v>
      </c>
      <c r="O95" s="23" t="n">
        <f aca="false">IF(ISNUMBER(Tabelle1!H102),(0.5*Tabelle1!H90+SUM(Tabelle1!H91:H101)+0.5*Tabelle1!H102)/12,"")</f>
        <v>144.168075416667</v>
      </c>
      <c r="P95" s="24" t="n">
        <f aca="false">IFERROR(Tabelle1!H96/O95,"")</f>
        <v>1.0508332691697</v>
      </c>
      <c r="Q95" s="24" t="n">
        <f aca="false">IFERROR(AVERAGEIFS($P$7:$P$294,$B$7:$B$294,$B95,$A$7:$A$294,"&gt;="&amp;EDATE($A95,-12*'Seasonal Factors'!$E$4),$A$7:$A$294,"&lt;="&amp;EDATE($A95,12*'Seasonal Factors'!$E$4)),"")</f>
        <v>1.02853135056458</v>
      </c>
      <c r="R95" s="24" t="n">
        <f aca="false">IFERROR(Q95/AVERAGE(Q90:Q101),"")</f>
        <v>1.02736976375713</v>
      </c>
      <c r="S95" s="23" t="n">
        <f aca="false">IF(ISNUMBER(Tabelle1!I102),(0.5*Tabelle1!I90+SUM(Tabelle1!I91:I101)+0.5*Tabelle1!I102)/12,"")</f>
        <v>127.057779583333</v>
      </c>
      <c r="T95" s="24" t="n">
        <f aca="false">IFERROR(Tabelle1!I96/S95,"")</f>
        <v>1.00369281139813</v>
      </c>
      <c r="U95" s="24" t="n">
        <f aca="false">IFERROR(AVERAGEIFS($T$7:$T$294,$B$7:$B$294,$B95,$A$7:$A$294,"&gt;="&amp;EDATE($A95,-12*'Seasonal Factors'!$E$4),$A$7:$A$294,"&lt;="&amp;EDATE($A95,12*'Seasonal Factors'!$E$4)),"")</f>
        <v>1.0056253124548</v>
      </c>
      <c r="V95" s="24" t="n">
        <f aca="false">IFERROR(U95/AVERAGE(U90:U101),"")</f>
        <v>1.00610524189023</v>
      </c>
      <c r="W95" s="23" t="n">
        <f aca="false">IF(ISNUMBER(Tabelle1!J102),(0.5*Tabelle1!J90+SUM(Tabelle1!J91:J101)+0.5*Tabelle1!J102)/12,"")</f>
        <v>152.672892083333</v>
      </c>
      <c r="X95" s="24" t="n">
        <f aca="false">IFERROR(Tabelle1!J96/W95,"")</f>
        <v>1.00167605337906</v>
      </c>
      <c r="Y95" s="24" t="n">
        <f aca="false">IFERROR(AVERAGEIFS($X$7:$X$294,$B$7:$B$294,$B95,$A$7:$A$294,"&gt;="&amp;EDATE($A95,-12*'Seasonal Factors'!$E$4),$A$7:$A$294,"&lt;="&amp;EDATE($A95,12*'Seasonal Factors'!$E$4)),"")</f>
        <v>0.998271955847754</v>
      </c>
      <c r="Z95" s="24" t="n">
        <f aca="false">IFERROR(Y95/AVERAGE(Y90:Y101),"")</f>
        <v>0.996689298320705</v>
      </c>
      <c r="AA95" s="23" t="n">
        <f aca="false">IF(ISNUMBER(Tabelle1!K102),(0.5*Tabelle1!K90+SUM(Tabelle1!K91:K101)+0.5*Tabelle1!K102)/12,"")</f>
        <v>163.633043333333</v>
      </c>
      <c r="AB95" s="24" t="n">
        <f aca="false">IFERROR(Tabelle1!K96/AA95,"")</f>
        <v>1.03656081036444</v>
      </c>
      <c r="AC95" s="24" t="n">
        <f aca="false">IFERROR(AVERAGEIFS($AB$7:$AB$294,$B$7:$B$294,$B95,$A$7:$A$294,"&gt;="&amp;EDATE($A95,-12*'Seasonal Factors'!$E$4),$A$7:$A$294,"&lt;="&amp;EDATE($A95,12*'Seasonal Factors'!$E$4)),"")</f>
        <v>1.01789788874443</v>
      </c>
      <c r="AD95" s="24" t="n">
        <f aca="false">IFERROR(AC95/AVERAGE(AC90:AC101),"")</f>
        <v>1.01653300977225</v>
      </c>
      <c r="AE95" s="23" t="n">
        <f aca="false">IF(ISNUMBER(Tabelle1!L102),(0.5*Tabelle1!L90+SUM(Tabelle1!L91:L101)+0.5*Tabelle1!L102)/12,"")</f>
        <v>155.427321666667</v>
      </c>
      <c r="AF95" s="24" t="n">
        <f aca="false">IFERROR(Tabelle1!L96/AE95,"")</f>
        <v>0.956138588804309</v>
      </c>
      <c r="AG95" s="24" t="n">
        <f aca="false">IFERROR(AVERAGEIFS($AF$7:$AF$294,$B$7:$B$294,$B95,$A$7:$A$294,"&gt;="&amp;EDATE($A95,-12*'Seasonal Factors'!$E$4),$A$7:$A$294,"&lt;="&amp;EDATE($A95,12*'Seasonal Factors'!$E$4)),"")</f>
        <v>0.939677547325291</v>
      </c>
      <c r="AH95" s="24" t="n">
        <f aca="false">IFERROR(AG95/AVERAGE(AG90:AG101),"")</f>
        <v>0.93855963832426</v>
      </c>
      <c r="AI95" s="23" t="n">
        <f aca="false">IF(ISNUMBER(Tabelle1!M102),(0.5*Tabelle1!M90+SUM(Tabelle1!M91:M101)+0.5*Tabelle1!M102)/12,"")</f>
        <v>174.347530416667</v>
      </c>
      <c r="AJ95" s="24" t="n">
        <f aca="false">IFERROR(Tabelle1!M96/AI95,"")</f>
        <v>1.08386616976099</v>
      </c>
      <c r="AK95" s="24" t="n">
        <f aca="false">IFERROR(AVERAGEIFS($AJ$7:$AJ$294,$B$7:$B$294,$B95,$A$7:$A$294,"&gt;="&amp;EDATE($A95,-12*'Seasonal Factors'!$E$4),$A$7:$A$294,"&lt;="&amp;EDATE($A95,12*'Seasonal Factors'!$E$4)),"")</f>
        <v>1.07753699224004</v>
      </c>
      <c r="AL95" s="24" t="n">
        <f aca="false">IFERROR(AK95/AVERAGE(AK90:AK101),"")</f>
        <v>1.07707405776087</v>
      </c>
      <c r="AM95" s="23" t="n">
        <f aca="false">IF(ISNUMBER(Tabelle1!N102),(0.5*Tabelle1!N90+SUM(Tabelle1!N91:N101)+0.5*Tabelle1!N102)/12,"")</f>
        <v>163.766241666667</v>
      </c>
      <c r="AN95" s="24" t="n">
        <f aca="false">IFERROR(Tabelle1!N96/AM95,"")</f>
        <v>1.00048763611182</v>
      </c>
      <c r="AO95" s="24" t="n">
        <f aca="false">IFERROR(AVERAGEIFS($AN$7:$AN$294,$B$7:$B$294,$B95,$A$7:$A$294,"&gt;="&amp;EDATE($A95,-12*'Seasonal Factors'!$E$4),$A$7:$A$294,"&lt;="&amp;EDATE($A95,12*'Seasonal Factors'!$E$4)),"")</f>
        <v>0.992731258209629</v>
      </c>
      <c r="AP95" s="24" t="n">
        <f aca="false">IFERROR(AO95/AVERAGE(AO90:AO101),"")</f>
        <v>0.991633528086449</v>
      </c>
      <c r="AQ95" s="23" t="n">
        <f aca="false">IF(ISNUMBER(Tabelle1!O102),(0.5*Tabelle1!O90+SUM(Tabelle1!O91:O101)+0.5*Tabelle1!O102)/12,"")</f>
        <v>133.486706666667</v>
      </c>
      <c r="AR95" s="24" t="n">
        <f aca="false">IFERROR(Tabelle1!O96/AQ95,"")</f>
        <v>1.00764745313466</v>
      </c>
      <c r="AS95" s="24" t="n">
        <f aca="false">IFERROR(AVERAGEIFS($AR$7:$AR$294,$B$7:$B$294,$B95,$A$7:$A$294,"&gt;="&amp;EDATE($A95,-12*'Seasonal Factors'!$E$4),$A$7:$A$294,"&lt;="&amp;EDATE($A95,12*'Seasonal Factors'!$E$4)),"")</f>
        <v>1.00708921136386</v>
      </c>
      <c r="AT95" s="24" t="n">
        <f aca="false">IFERROR(AS95/AVERAGE(AS90:AS101),"")</f>
        <v>1.00681807474224</v>
      </c>
      <c r="AU95" s="23" t="n">
        <f aca="false">IF(ISNUMBER(Tabelle1!P102),(0.5*Tabelle1!P90+SUM(Tabelle1!P91:P101)+0.5*Tabelle1!P102)/12,"")</f>
        <v>131.394917083333</v>
      </c>
      <c r="AV95" s="24" t="n">
        <f aca="false">IFERROR(Tabelle1!P96/AU95,"")</f>
        <v>0.99058801427951</v>
      </c>
      <c r="AW95" s="24" t="n">
        <f aca="false">IFERROR(AVERAGEIFS($AV$7:$AV$294,$B$7:$B$294,$B95,$A$7:$A$294,"&gt;="&amp;EDATE($A95,-12*'Seasonal Factors'!$E$4),$A$7:$A$294,"&lt;="&amp;EDATE($A95,12*'Seasonal Factors'!$E$4)),"")</f>
        <v>0.995281378727367</v>
      </c>
      <c r="AX95" s="24" t="n">
        <f aca="false">IFERROR(AW95/AVERAGE(AW90:AW101),"")</f>
        <v>0.995233157653151</v>
      </c>
      <c r="AY95" s="23" t="n">
        <f aca="false">IF(ISNUMBER(Tabelle1!Q102),(0.5*Tabelle1!Q90+SUM(Tabelle1!Q91:Q101)+0.5*Tabelle1!Q102)/12,"")</f>
        <v>134.189858333333</v>
      </c>
      <c r="AZ95" s="24" t="n">
        <f aca="false">IFERROR(Tabelle1!Q96/AY95,"")</f>
        <v>0.989942024307227</v>
      </c>
      <c r="BA95" s="24" t="n">
        <f aca="false">IFERROR(AVERAGEIFS($AZ$7:$AZ$294,$B$7:$B$294,$B95,$A$7:$A$294,"&gt;="&amp;EDATE($A95,-12*'Seasonal Factors'!$E$4),$A$7:$A$294,"&lt;="&amp;EDATE($A95,12*'Seasonal Factors'!$E$4)),"")</f>
        <v>0.996177062214741</v>
      </c>
      <c r="BB95" s="24" t="n">
        <f aca="false">IFERROR(BA95/AVERAGE(BA90:BA101),"")</f>
        <v>0.996008075355816</v>
      </c>
      <c r="BC95" s="23" t="n">
        <f aca="false">IF(ISNUMBER(Tabelle1!R102),(0.5*Tabelle1!R90+SUM(Tabelle1!R91:R101)+0.5*Tabelle1!R102)/12,"")</f>
        <v>149.393245833333</v>
      </c>
      <c r="BD95" s="24" t="n">
        <f aca="false">IFERROR(Tabelle1!R96/BC95,"")</f>
        <v>1.07410545306056</v>
      </c>
      <c r="BE95" s="24" t="n">
        <f aca="false">IFERROR(AVERAGEIFS($BD$7:$BD$294,$B$7:$B$294,$B95,$A$7:$A$294,"&gt;="&amp;EDATE($A95,-12*'Seasonal Factors'!$E$4),$A$7:$A$294,"&lt;="&amp;EDATE($A95,12*'Seasonal Factors'!$E$4)),"")</f>
        <v>1.06145515160144</v>
      </c>
      <c r="BF95" s="24" t="n">
        <f aca="false">IFERROR(BE95/AVERAGE(BE90:BE101),"")</f>
        <v>1.06164496100864</v>
      </c>
      <c r="BG95" s="23" t="n">
        <f aca="false">IF(ISNUMBER(Tabelle1!S102),(0.5*Tabelle1!S90+SUM(Tabelle1!S91:S101)+0.5*Tabelle1!S102)/12,"")</f>
        <v>150.853599166667</v>
      </c>
      <c r="BH95" s="24" t="n">
        <f aca="false">IFERROR(Tabelle1!S96/BG95,"")</f>
        <v>1.03267254384755</v>
      </c>
      <c r="BI95" s="24" t="n">
        <f aca="false">IFERROR(AVERAGEIFS($BH$7:$BH$294,$B$7:$B$294,$B95,$A$7:$A$294,"&gt;="&amp;EDATE($A95,-12*'Seasonal Factors'!$E$4),$A$7:$A$294,"&lt;="&amp;EDATE($A95,12*'Seasonal Factors'!$E$4)),"")</f>
        <v>0.997849988926842</v>
      </c>
      <c r="BJ95" s="24" t="n">
        <f aca="false">IFERROR(BI95/AVERAGE(BI90:BI101),"")</f>
        <v>0.997155562156053</v>
      </c>
    </row>
    <row r="96" customFormat="false" ht="15" hidden="false" customHeight="false" outlineLevel="0" collapsed="false">
      <c r="A96" s="20" t="n">
        <v>40724</v>
      </c>
      <c r="B96" s="22" t="n">
        <f aca="false">MONTH(A96)</f>
        <v>6</v>
      </c>
      <c r="C96" s="23" t="n">
        <f aca="false">IF(ISNUMBER(Tabelle1!E103),(0.5*Tabelle1!E91+SUM(Tabelle1!E92:E102)+0.5*Tabelle1!E103)/12,"")</f>
        <v>126.597182916667</v>
      </c>
      <c r="D96" s="24" t="n">
        <f aca="false">IFERROR(Tabelle1!E97/C96,"")</f>
        <v>1.66832014057553</v>
      </c>
      <c r="E96" s="24" t="n">
        <f aca="false">IFERROR(AVERAGEIFS($D$7:$D$294,$B$7:$B$294,$B96,$A$7:$A$294,"&gt;="&amp;EDATE($A96,-12*'Seasonal Factors'!$E$4),$A$7:$A$294,"&lt;="&amp;EDATE($A96,12*'Seasonal Factors'!$E$4)),"")</f>
        <v>1.65500288826975</v>
      </c>
      <c r="F96" s="24" t="n">
        <f aca="false">IFERROR(E96/AVERAGE(E91:E102),"")</f>
        <v>1.65604412887301</v>
      </c>
      <c r="G96" s="23" t="n">
        <f aca="false">IF(ISNUMBER(Tabelle1!F103),(0.5*Tabelle1!F91+SUM(Tabelle1!F92:F102)+0.5*Tabelle1!F103)/12,"")</f>
        <v>121.29815625</v>
      </c>
      <c r="H96" s="24" t="n">
        <f aca="false">IFERROR(Tabelle1!F97/G96,"")</f>
        <v>1.60007840185122</v>
      </c>
      <c r="I96" s="24" t="n">
        <f aca="false">IFERROR(AVERAGEIFS($H$7:$H$294,$B$7:$B$294,$B96,$A$7:$A$294,"&gt;="&amp;EDATE($A96,-12*'Seasonal Factors'!$E$4),$A$7:$A$294,"&lt;="&amp;EDATE($A96,12*'Seasonal Factors'!$E$4)),"")</f>
        <v>1.34496298565405</v>
      </c>
      <c r="J96" s="24" t="n">
        <f aca="false">IFERROR(I96/AVERAGE(I91:I102),"")</f>
        <v>1.33617916293416</v>
      </c>
      <c r="K96" s="23" t="n">
        <f aca="false">IF(ISNUMBER(Tabelle1!G103),(0.5*Tabelle1!G91+SUM(Tabelle1!G92:G102)+0.5*Tabelle1!G103)/12,"")</f>
        <v>96.9011295833333</v>
      </c>
      <c r="L96" s="24" t="n">
        <f aca="false">IFERROR(Tabelle1!G97/K96,"")</f>
        <v>0.949022063988582</v>
      </c>
      <c r="M96" s="24" t="n">
        <f aca="false">IFERROR(AVERAGEIFS($L$7:$L$294,$B$7:$B$294,$B96,$A$7:$A$294,"&gt;="&amp;EDATE($A96,-12*'Seasonal Factors'!$E$4),$A$7:$A$294,"&lt;="&amp;EDATE($A96,12*'Seasonal Factors'!$E$4)),"")</f>
        <v>0.98647700736173</v>
      </c>
      <c r="N96" s="24" t="n">
        <f aca="false">IFERROR(M96/AVERAGE(M91:M102),"")</f>
        <v>0.986442106071417</v>
      </c>
      <c r="O96" s="23" t="n">
        <f aca="false">IF(ISNUMBER(Tabelle1!H103),(0.5*Tabelle1!H91+SUM(Tabelle1!H92:H102)+0.5*Tabelle1!H103)/12,"")</f>
        <v>144.463539583333</v>
      </c>
      <c r="P96" s="24" t="n">
        <f aca="false">IFERROR(Tabelle1!H97/O96,"")</f>
        <v>1.03409019625901</v>
      </c>
      <c r="Q96" s="24" t="n">
        <f aca="false">IFERROR(AVERAGEIFS($P$7:$P$294,$B$7:$B$294,$B96,$A$7:$A$294,"&gt;="&amp;EDATE($A96,-12*'Seasonal Factors'!$E$4),$A$7:$A$294,"&lt;="&amp;EDATE($A96,12*'Seasonal Factors'!$E$4)),"")</f>
        <v>1.00427774441102</v>
      </c>
      <c r="R96" s="24" t="n">
        <f aca="false">IFERROR(Q96/AVERAGE(Q91:Q102),"")</f>
        <v>1.00310866063987</v>
      </c>
      <c r="S96" s="23" t="n">
        <f aca="false">IF(ISNUMBER(Tabelle1!I103),(0.5*Tabelle1!I91+SUM(Tabelle1!I92:I102)+0.5*Tabelle1!I103)/12,"")</f>
        <v>127.777589166667</v>
      </c>
      <c r="T96" s="24" t="n">
        <f aca="false">IFERROR(Tabelle1!I97/S96,"")</f>
        <v>1.02054445423844</v>
      </c>
      <c r="U96" s="24" t="n">
        <f aca="false">IFERROR(AVERAGEIFS($T$7:$T$294,$B$7:$B$294,$B96,$A$7:$A$294,"&gt;="&amp;EDATE($A96,-12*'Seasonal Factors'!$E$4),$A$7:$A$294,"&lt;="&amp;EDATE($A96,12*'Seasonal Factors'!$E$4)),"")</f>
        <v>1.02991003148575</v>
      </c>
      <c r="V96" s="24" t="n">
        <f aca="false">IFERROR(U96/AVERAGE(U91:U102),"")</f>
        <v>1.030433207719</v>
      </c>
      <c r="W96" s="23" t="n">
        <f aca="false">IF(ISNUMBER(Tabelle1!J103),(0.5*Tabelle1!J91+SUM(Tabelle1!J92:J102)+0.5*Tabelle1!J103)/12,"")</f>
        <v>153.491288333333</v>
      </c>
      <c r="X96" s="24" t="n">
        <f aca="false">IFERROR(Tabelle1!J97/W96,"")</f>
        <v>0.99332399679187</v>
      </c>
      <c r="Y96" s="24" t="n">
        <f aca="false">IFERROR(AVERAGEIFS($X$7:$X$294,$B$7:$B$294,$B96,$A$7:$A$294,"&gt;="&amp;EDATE($A96,-12*'Seasonal Factors'!$E$4),$A$7:$A$294,"&lt;="&amp;EDATE($A96,12*'Seasonal Factors'!$E$4)),"")</f>
        <v>0.99266105922818</v>
      </c>
      <c r="Z96" s="24" t="n">
        <f aca="false">IFERROR(Y96/AVERAGE(Y91:Y102),"")</f>
        <v>0.99118269937018</v>
      </c>
      <c r="AA96" s="23" t="n">
        <f aca="false">IF(ISNUMBER(Tabelle1!K103),(0.5*Tabelle1!K91+SUM(Tabelle1!K92:K102)+0.5*Tabelle1!K103)/12,"")</f>
        <v>164.107282083333</v>
      </c>
      <c r="AB96" s="24" t="n">
        <f aca="false">IFERROR(Tabelle1!K97/AA96,"")</f>
        <v>1.0405430388719</v>
      </c>
      <c r="AC96" s="24" t="n">
        <f aca="false">IFERROR(AVERAGEIFS($AB$7:$AB$294,$B$7:$B$294,$B96,$A$7:$A$294,"&gt;="&amp;EDATE($A96,-12*'Seasonal Factors'!$E$4),$A$7:$A$294,"&lt;="&amp;EDATE($A96,12*'Seasonal Factors'!$E$4)),"")</f>
        <v>1.01665608983782</v>
      </c>
      <c r="AD96" s="24" t="n">
        <f aca="false">IFERROR(AC96/AVERAGE(AC91:AC102),"")</f>
        <v>1.01531482178218</v>
      </c>
      <c r="AE96" s="23" t="n">
        <f aca="false">IF(ISNUMBER(Tabelle1!L103),(0.5*Tabelle1!L91+SUM(Tabelle1!L92:L102)+0.5*Tabelle1!L103)/12,"")</f>
        <v>155.825228333333</v>
      </c>
      <c r="AF96" s="24" t="n">
        <f aca="false">IFERROR(Tabelle1!L97/AE96,"")</f>
        <v>0.938622337116849</v>
      </c>
      <c r="AG96" s="24" t="n">
        <f aca="false">IFERROR(AVERAGEIFS($AF$7:$AF$294,$B$7:$B$294,$B96,$A$7:$A$294,"&gt;="&amp;EDATE($A96,-12*'Seasonal Factors'!$E$4),$A$7:$A$294,"&lt;="&amp;EDATE($A96,12*'Seasonal Factors'!$E$4)),"")</f>
        <v>0.924407138256229</v>
      </c>
      <c r="AH96" s="24" t="n">
        <f aca="false">IFERROR(AG96/AVERAGE(AG91:AG102),"")</f>
        <v>0.922954419775058</v>
      </c>
      <c r="AI96" s="23" t="n">
        <f aca="false">IF(ISNUMBER(Tabelle1!M103),(0.5*Tabelle1!M91+SUM(Tabelle1!M92:M102)+0.5*Tabelle1!M103)/12,"")</f>
        <v>174.92471875</v>
      </c>
      <c r="AJ96" s="24" t="n">
        <f aca="false">IFERROR(Tabelle1!M97/AI96,"")</f>
        <v>1.03579723491766</v>
      </c>
      <c r="AK96" s="24" t="n">
        <f aca="false">IFERROR(AVERAGEIFS($AJ$7:$AJ$294,$B$7:$B$294,$B96,$A$7:$A$294,"&gt;="&amp;EDATE($A96,-12*'Seasonal Factors'!$E$4),$A$7:$A$294,"&lt;="&amp;EDATE($A96,12*'Seasonal Factors'!$E$4)),"")</f>
        <v>1.03445791149217</v>
      </c>
      <c r="AL96" s="24" t="n">
        <f aca="false">IFERROR(AK96/AVERAGE(AK91:AK102),"")</f>
        <v>1.03425791875349</v>
      </c>
      <c r="AM96" s="23" t="n">
        <f aca="false">IF(ISNUMBER(Tabelle1!N103),(0.5*Tabelle1!N91+SUM(Tabelle1!N92:N102)+0.5*Tabelle1!N103)/12,"")</f>
        <v>165.10217875</v>
      </c>
      <c r="AN96" s="24" t="n">
        <f aca="false">IFERROR(Tabelle1!N97/AM96,"")</f>
        <v>1.02363500760283</v>
      </c>
      <c r="AO96" s="24" t="n">
        <f aca="false">IFERROR(AVERAGEIFS($AN$7:$AN$294,$B$7:$B$294,$B96,$A$7:$A$294,"&gt;="&amp;EDATE($A96,-12*'Seasonal Factors'!$E$4),$A$7:$A$294,"&lt;="&amp;EDATE($A96,12*'Seasonal Factors'!$E$4)),"")</f>
        <v>1.01892117436988</v>
      </c>
      <c r="AP96" s="24" t="n">
        <f aca="false">IFERROR(AO96/AVERAGE(AO91:AO102),"")</f>
        <v>1.01757226332236</v>
      </c>
      <c r="AQ96" s="23" t="n">
        <f aca="false">IF(ISNUMBER(Tabelle1!O103),(0.5*Tabelle1!O91+SUM(Tabelle1!O92:O102)+0.5*Tabelle1!O103)/12,"")</f>
        <v>133.978985416667</v>
      </c>
      <c r="AR96" s="24" t="n">
        <f aca="false">IFERROR(Tabelle1!O97/AQ96,"")</f>
        <v>1.02971887397826</v>
      </c>
      <c r="AS96" s="24" t="n">
        <f aca="false">IFERROR(AVERAGEIFS($AR$7:$AR$294,$B$7:$B$294,$B96,$A$7:$A$294,"&gt;="&amp;EDATE($A96,-12*'Seasonal Factors'!$E$4),$A$7:$A$294,"&lt;="&amp;EDATE($A96,12*'Seasonal Factors'!$E$4)),"")</f>
        <v>1.0200816671818</v>
      </c>
      <c r="AT96" s="24" t="n">
        <f aca="false">IFERROR(AS96/AVERAGE(AS91:AS102),"")</f>
        <v>1.01995377548871</v>
      </c>
      <c r="AU96" s="23" t="n">
        <f aca="false">IF(ISNUMBER(Tabelle1!P103),(0.5*Tabelle1!P91+SUM(Tabelle1!P92:P102)+0.5*Tabelle1!P103)/12,"")</f>
        <v>131.78426625</v>
      </c>
      <c r="AV96" s="24" t="n">
        <f aca="false">IFERROR(Tabelle1!P97/AU96,"")</f>
        <v>1.0035883930871</v>
      </c>
      <c r="AW96" s="24" t="n">
        <f aca="false">IFERROR(AVERAGEIFS($AV$7:$AV$294,$B$7:$B$294,$B96,$A$7:$A$294,"&gt;="&amp;EDATE($A96,-12*'Seasonal Factors'!$E$4),$A$7:$A$294,"&lt;="&amp;EDATE($A96,12*'Seasonal Factors'!$E$4)),"")</f>
        <v>1.00608467882734</v>
      </c>
      <c r="AX96" s="24" t="n">
        <f aca="false">IFERROR(AW96/AVERAGE(AW91:AW102),"")</f>
        <v>1.00599124778303</v>
      </c>
      <c r="AY96" s="23" t="n">
        <f aca="false">IF(ISNUMBER(Tabelle1!Q103),(0.5*Tabelle1!Q91+SUM(Tabelle1!Q92:Q102)+0.5*Tabelle1!Q103)/12,"")</f>
        <v>134.648145</v>
      </c>
      <c r="AZ96" s="24" t="n">
        <f aca="false">IFERROR(Tabelle1!Q97/AY96,"")</f>
        <v>1.01128129169548</v>
      </c>
      <c r="BA96" s="24" t="n">
        <f aca="false">IFERROR(AVERAGEIFS($AZ$7:$AZ$294,$B$7:$B$294,$B96,$A$7:$A$294,"&gt;="&amp;EDATE($A96,-12*'Seasonal Factors'!$E$4),$A$7:$A$294,"&lt;="&amp;EDATE($A96,12*'Seasonal Factors'!$E$4)),"")</f>
        <v>1.01539208517901</v>
      </c>
      <c r="BB96" s="24" t="n">
        <f aca="false">IFERROR(BA96/AVERAGE(BA91:BA102),"")</f>
        <v>1.01522172545098</v>
      </c>
      <c r="BC96" s="23" t="n">
        <f aca="false">IF(ISNUMBER(Tabelle1!R103),(0.5*Tabelle1!R91+SUM(Tabelle1!R92:R102)+0.5*Tabelle1!R103)/12,"")</f>
        <v>149.792848333333</v>
      </c>
      <c r="BD96" s="24" t="n">
        <f aca="false">IFERROR(Tabelle1!R97/BC96,"")</f>
        <v>1.09755480204334</v>
      </c>
      <c r="BE96" s="24" t="n">
        <f aca="false">IFERROR(AVERAGEIFS($BD$7:$BD$294,$B$7:$B$294,$B96,$A$7:$A$294,"&gt;="&amp;EDATE($A96,-12*'Seasonal Factors'!$E$4),$A$7:$A$294,"&lt;="&amp;EDATE($A96,12*'Seasonal Factors'!$E$4)),"")</f>
        <v>1.08282699923963</v>
      </c>
      <c r="BF96" s="24" t="n">
        <f aca="false">IFERROR(BE96/AVERAGE(BE91:BE102),"")</f>
        <v>1.08325002364523</v>
      </c>
      <c r="BG96" s="23" t="n">
        <f aca="false">IF(ISNUMBER(Tabelle1!S103),(0.5*Tabelle1!S91+SUM(Tabelle1!S92:S102)+0.5*Tabelle1!S103)/12,"")</f>
        <v>151.178628333333</v>
      </c>
      <c r="BH96" s="24" t="n">
        <f aca="false">IFERROR(Tabelle1!S97/BG96,"")</f>
        <v>1.01310603018767</v>
      </c>
      <c r="BI96" s="24" t="n">
        <f aca="false">IFERROR(AVERAGEIFS($BH$7:$BH$294,$B$7:$B$294,$B96,$A$7:$A$294,"&gt;="&amp;EDATE($A96,-12*'Seasonal Factors'!$E$4),$A$7:$A$294,"&lt;="&amp;EDATE($A96,12*'Seasonal Factors'!$E$4)),"")</f>
        <v>1.00892426607098</v>
      </c>
      <c r="BJ96" s="24" t="n">
        <f aca="false">IFERROR(BI96/AVERAGE(BI91:BI102),"")</f>
        <v>1.00823461853242</v>
      </c>
    </row>
    <row r="97" customFormat="false" ht="15" hidden="false" customHeight="false" outlineLevel="0" collapsed="false">
      <c r="A97" s="20" t="n">
        <v>40755</v>
      </c>
      <c r="B97" s="22" t="n">
        <f aca="false">MONTH(A97)</f>
        <v>7</v>
      </c>
      <c r="C97" s="23" t="n">
        <f aca="false">IF(ISNUMBER(Tabelle1!E104),(0.5*Tabelle1!E92+SUM(Tabelle1!E93:E103)+0.5*Tabelle1!E104)/12,"")</f>
        <v>126.374995416667</v>
      </c>
      <c r="D97" s="24" t="n">
        <f aca="false">IFERROR(Tabelle1!E98/C97,"")</f>
        <v>0.841853719948536</v>
      </c>
      <c r="E97" s="24" t="n">
        <f aca="false">IFERROR(AVERAGEIFS($D$7:$D$294,$B$7:$B$294,$B97,$A$7:$A$294,"&gt;="&amp;EDATE($A97,-12*'Seasonal Factors'!$E$4),$A$7:$A$294,"&lt;="&amp;EDATE($A97,12*'Seasonal Factors'!$E$4)),"")</f>
        <v>0.882358872623925</v>
      </c>
      <c r="F97" s="24" t="n">
        <f aca="false">IFERROR(E97/AVERAGE(E92:E103),"")</f>
        <v>0.883275700121266</v>
      </c>
      <c r="G97" s="23" t="n">
        <f aca="false">IF(ISNUMBER(Tabelle1!F104),(0.5*Tabelle1!F92+SUM(Tabelle1!F93:F103)+0.5*Tabelle1!F104)/12,"")</f>
        <v>120.9594525</v>
      </c>
      <c r="H97" s="24" t="n">
        <f aca="false">IFERROR(Tabelle1!F98/G97,"")</f>
        <v>1.27062190530335</v>
      </c>
      <c r="I97" s="24" t="n">
        <f aca="false">IFERROR(AVERAGEIFS($H$7:$H$294,$B$7:$B$294,$B97,$A$7:$A$294,"&gt;="&amp;EDATE($A97,-12*'Seasonal Factors'!$E$4),$A$7:$A$294,"&lt;="&amp;EDATE($A97,12*'Seasonal Factors'!$E$4)),"")</f>
        <v>1.25941262629862</v>
      </c>
      <c r="J97" s="24" t="n">
        <f aca="false">IFERROR(I97/AVERAGE(I92:I103),"")</f>
        <v>1.25068855865829</v>
      </c>
      <c r="K97" s="23" t="n">
        <f aca="false">IF(ISNUMBER(Tabelle1!G104),(0.5*Tabelle1!G92+SUM(Tabelle1!G93:G103)+0.5*Tabelle1!G104)/12,"")</f>
        <v>96.9753583333334</v>
      </c>
      <c r="L97" s="24" t="n">
        <f aca="false">IFERROR(Tabelle1!G98/K97,"")</f>
        <v>1.00583778886097</v>
      </c>
      <c r="M97" s="24" t="n">
        <f aca="false">IFERROR(AVERAGEIFS($L$7:$L$294,$B$7:$B$294,$B97,$A$7:$A$294,"&gt;="&amp;EDATE($A97,-12*'Seasonal Factors'!$E$4),$A$7:$A$294,"&lt;="&amp;EDATE($A97,12*'Seasonal Factors'!$E$4)),"")</f>
        <v>1.01933662193328</v>
      </c>
      <c r="N97" s="24" t="n">
        <f aca="false">IFERROR(M97/AVERAGE(M92:M103),"")</f>
        <v>1.01931387841576</v>
      </c>
      <c r="O97" s="23" t="n">
        <f aca="false">IF(ISNUMBER(Tabelle1!H104),(0.5*Tabelle1!H92+SUM(Tabelle1!H93:H103)+0.5*Tabelle1!H104)/12,"")</f>
        <v>144.514935</v>
      </c>
      <c r="P97" s="24" t="n">
        <f aca="false">IFERROR(Tabelle1!H98/O97,"")</f>
        <v>1.02318739582175</v>
      </c>
      <c r="Q97" s="24" t="n">
        <f aca="false">IFERROR(AVERAGEIFS($P$7:$P$294,$B$7:$B$294,$B97,$A$7:$A$294,"&gt;="&amp;EDATE($A97,-12*'Seasonal Factors'!$E$4),$A$7:$A$294,"&lt;="&amp;EDATE($A97,12*'Seasonal Factors'!$E$4)),"")</f>
        <v>1.02184071780867</v>
      </c>
      <c r="R97" s="24" t="n">
        <f aca="false">IFERROR(Q97/AVERAGE(Q92:Q103),"")</f>
        <v>1.02107384839546</v>
      </c>
      <c r="S97" s="23" t="n">
        <f aca="false">IF(ISNUMBER(Tabelle1!I104),(0.5*Tabelle1!I92+SUM(Tabelle1!I93:I103)+0.5*Tabelle1!I104)/12,"")</f>
        <v>128.515320833333</v>
      </c>
      <c r="T97" s="24" t="n">
        <f aca="false">IFERROR(Tabelle1!I98/S97,"")</f>
        <v>1.05466981773931</v>
      </c>
      <c r="U97" s="24" t="n">
        <f aca="false">IFERROR(AVERAGEIFS($T$7:$T$294,$B$7:$B$294,$B97,$A$7:$A$294,"&gt;="&amp;EDATE($A97,-12*'Seasonal Factors'!$E$4),$A$7:$A$294,"&lt;="&amp;EDATE($A97,12*'Seasonal Factors'!$E$4)),"")</f>
        <v>1.05549966679595</v>
      </c>
      <c r="V97" s="24" t="n">
        <f aca="false">IFERROR(U97/AVERAGE(U92:U103),"")</f>
        <v>1.05556495796078</v>
      </c>
      <c r="W97" s="23" t="n">
        <f aca="false">IF(ISNUMBER(Tabelle1!J104),(0.5*Tabelle1!J92+SUM(Tabelle1!J93:J103)+0.5*Tabelle1!J104)/12,"")</f>
        <v>153.988275416667</v>
      </c>
      <c r="X97" s="24" t="n">
        <f aca="false">IFERROR(Tabelle1!J98/W97,"")</f>
        <v>1.0289530782215</v>
      </c>
      <c r="Y97" s="24" t="n">
        <f aca="false">IFERROR(AVERAGEIFS($X$7:$X$294,$B$7:$B$294,$B97,$A$7:$A$294,"&gt;="&amp;EDATE($A97,-12*'Seasonal Factors'!$E$4),$A$7:$A$294,"&lt;="&amp;EDATE($A97,12*'Seasonal Factors'!$E$4)),"")</f>
        <v>1.0258546626623</v>
      </c>
      <c r="Z97" s="24" t="n">
        <f aca="false">IFERROR(Y97/AVERAGE(Y92:Y103),"")</f>
        <v>1.02447908738289</v>
      </c>
      <c r="AA97" s="23" t="n">
        <f aca="false">IF(ISNUMBER(Tabelle1!K104),(0.5*Tabelle1!K92+SUM(Tabelle1!K93:K103)+0.5*Tabelle1!K104)/12,"")</f>
        <v>164.481215</v>
      </c>
      <c r="AB97" s="24" t="n">
        <f aca="false">IFERROR(Tabelle1!K98/AA97,"")</f>
        <v>0.996534406679815</v>
      </c>
      <c r="AC97" s="24" t="n">
        <f aca="false">IFERROR(AVERAGEIFS($AB$7:$AB$294,$B$7:$B$294,$B97,$A$7:$A$294,"&gt;="&amp;EDATE($A97,-12*'Seasonal Factors'!$E$4),$A$7:$A$294,"&lt;="&amp;EDATE($A97,12*'Seasonal Factors'!$E$4)),"")</f>
        <v>1.02140149046142</v>
      </c>
      <c r="AD97" s="24" t="n">
        <f aca="false">IFERROR(AC97/AVERAGE(AC92:AC103),"")</f>
        <v>1.02109717414731</v>
      </c>
      <c r="AE97" s="23" t="n">
        <f aca="false">IF(ISNUMBER(Tabelle1!L104),(0.5*Tabelle1!L92+SUM(Tabelle1!L93:L103)+0.5*Tabelle1!L104)/12,"")</f>
        <v>156.12673125</v>
      </c>
      <c r="AF97" s="24" t="n">
        <f aca="false">IFERROR(Tabelle1!L98/AE97,"")</f>
        <v>1.01763489652256</v>
      </c>
      <c r="AG97" s="24" t="n">
        <f aca="false">IFERROR(AVERAGEIFS($AF$7:$AF$294,$B$7:$B$294,$B97,$A$7:$A$294,"&gt;="&amp;EDATE($A97,-12*'Seasonal Factors'!$E$4),$A$7:$A$294,"&lt;="&amp;EDATE($A97,12*'Seasonal Factors'!$E$4)),"")</f>
        <v>1.01190567928248</v>
      </c>
      <c r="AH97" s="24" t="n">
        <f aca="false">IFERROR(AG97/AVERAGE(AG92:AG103),"")</f>
        <v>1.01084505381224</v>
      </c>
      <c r="AI97" s="23" t="n">
        <f aca="false">IF(ISNUMBER(Tabelle1!M104),(0.5*Tabelle1!M92+SUM(Tabelle1!M93:M103)+0.5*Tabelle1!M104)/12,"")</f>
        <v>175.38134375</v>
      </c>
      <c r="AJ97" s="24" t="n">
        <f aca="false">IFERROR(Tabelle1!M98/AI97,"")</f>
        <v>1.00268983142627</v>
      </c>
      <c r="AK97" s="24" t="n">
        <f aca="false">IFERROR(AVERAGEIFS($AJ$7:$AJ$294,$B$7:$B$294,$B97,$A$7:$A$294,"&gt;="&amp;EDATE($A97,-12*'Seasonal Factors'!$E$4),$A$7:$A$294,"&lt;="&amp;EDATE($A97,12*'Seasonal Factors'!$E$4)),"")</f>
        <v>1.01617642923236</v>
      </c>
      <c r="AL97" s="24" t="n">
        <f aca="false">IFERROR(AK97/AVERAGE(AK92:AK103),"")</f>
        <v>1.01592885782553</v>
      </c>
      <c r="AM97" s="23" t="n">
        <f aca="false">IF(ISNUMBER(Tabelle1!N104),(0.5*Tabelle1!N92+SUM(Tabelle1!N93:N103)+0.5*Tabelle1!N104)/12,"")</f>
        <v>166.355547916667</v>
      </c>
      <c r="AN97" s="24" t="n">
        <f aca="false">IFERROR(Tabelle1!N98/AM97,"")</f>
        <v>0.978590807693106</v>
      </c>
      <c r="AO97" s="24" t="n">
        <f aca="false">IFERROR(AVERAGEIFS($AN$7:$AN$294,$B$7:$B$294,$B97,$A$7:$A$294,"&gt;="&amp;EDATE($A97,-12*'Seasonal Factors'!$E$4),$A$7:$A$294,"&lt;="&amp;EDATE($A97,12*'Seasonal Factors'!$E$4)),"")</f>
        <v>0.989364319543007</v>
      </c>
      <c r="AP97" s="24" t="n">
        <f aca="false">IFERROR(AO97/AVERAGE(AO92:AO103),"")</f>
        <v>0.988393263566376</v>
      </c>
      <c r="AQ97" s="23" t="n">
        <f aca="false">IF(ISNUMBER(Tabelle1!O104),(0.5*Tabelle1!O92+SUM(Tabelle1!O93:O103)+0.5*Tabelle1!O104)/12,"")</f>
        <v>134.349059166667</v>
      </c>
      <c r="AR97" s="24" t="n">
        <f aca="false">IFERROR(Tabelle1!O98/AQ97,"")</f>
        <v>1.00536855887051</v>
      </c>
      <c r="AS97" s="24" t="n">
        <f aca="false">IFERROR(AVERAGEIFS($AR$7:$AR$294,$B$7:$B$294,$B97,$A$7:$A$294,"&gt;="&amp;EDATE($A97,-12*'Seasonal Factors'!$E$4),$A$7:$A$294,"&lt;="&amp;EDATE($A97,12*'Seasonal Factors'!$E$4)),"")</f>
        <v>1.00870341945722</v>
      </c>
      <c r="AT97" s="24" t="n">
        <f aca="false">IFERROR(AS97/AVERAGE(AS92:AS103),"")</f>
        <v>1.00849955539015</v>
      </c>
      <c r="AU97" s="23" t="n">
        <f aca="false">IF(ISNUMBER(Tabelle1!P104),(0.5*Tabelle1!P92+SUM(Tabelle1!P93:P103)+0.5*Tabelle1!P104)/12,"")</f>
        <v>132.175470416667</v>
      </c>
      <c r="AV97" s="24" t="n">
        <f aca="false">IFERROR(Tabelle1!P98/AU97,"")</f>
        <v>1.00417754959822</v>
      </c>
      <c r="AW97" s="24" t="n">
        <f aca="false">IFERROR(AVERAGEIFS($AV$7:$AV$294,$B$7:$B$294,$B97,$A$7:$A$294,"&gt;="&amp;EDATE($A97,-12*'Seasonal Factors'!$E$4),$A$7:$A$294,"&lt;="&amp;EDATE($A97,12*'Seasonal Factors'!$E$4)),"")</f>
        <v>1.00191945499702</v>
      </c>
      <c r="AX97" s="24" t="n">
        <f aca="false">IFERROR(AW97/AVERAGE(AW92:AW103),"")</f>
        <v>1.00177701692005</v>
      </c>
      <c r="AY97" s="23" t="n">
        <f aca="false">IF(ISNUMBER(Tabelle1!Q104),(0.5*Tabelle1!Q92+SUM(Tabelle1!Q93:Q103)+0.5*Tabelle1!Q104)/12,"")</f>
        <v>135.080832083333</v>
      </c>
      <c r="AZ97" s="24" t="n">
        <f aca="false">IFERROR(Tabelle1!Q98/AY97,"")</f>
        <v>1.00722632442821</v>
      </c>
      <c r="BA97" s="24" t="n">
        <f aca="false">IFERROR(AVERAGEIFS($AZ$7:$AZ$294,$B$7:$B$294,$B97,$A$7:$A$294,"&gt;="&amp;EDATE($A97,-12*'Seasonal Factors'!$E$4),$A$7:$A$294,"&lt;="&amp;EDATE($A97,12*'Seasonal Factors'!$E$4)),"")</f>
        <v>1.00726746181396</v>
      </c>
      <c r="BB97" s="24" t="n">
        <f aca="false">IFERROR(BA97/AVERAGE(BA92:BA103),"")</f>
        <v>1.00713544505981</v>
      </c>
      <c r="BC97" s="23" t="n">
        <f aca="false">IF(ISNUMBER(Tabelle1!R104),(0.5*Tabelle1!R92+SUM(Tabelle1!R93:R103)+0.5*Tabelle1!R104)/12,"")</f>
        <v>150.431057916667</v>
      </c>
      <c r="BD97" s="24" t="n">
        <f aca="false">IFERROR(Tabelle1!R98/BC97,"")</f>
        <v>1.01370974924923</v>
      </c>
      <c r="BE97" s="24" t="n">
        <f aca="false">IFERROR(AVERAGEIFS($BD$7:$BD$294,$B$7:$B$294,$B97,$A$7:$A$294,"&gt;="&amp;EDATE($A97,-12*'Seasonal Factors'!$E$4),$A$7:$A$294,"&lt;="&amp;EDATE($A97,12*'Seasonal Factors'!$E$4)),"")</f>
        <v>1.01130449526504</v>
      </c>
      <c r="BF97" s="24" t="n">
        <f aca="false">IFERROR(BE97/AVERAGE(BE92:BE103),"")</f>
        <v>1.01154122922126</v>
      </c>
      <c r="BG97" s="23" t="n">
        <f aca="false">IF(ISNUMBER(Tabelle1!S104),(0.5*Tabelle1!S92+SUM(Tabelle1!S93:S103)+0.5*Tabelle1!S104)/12,"")</f>
        <v>151.27800875</v>
      </c>
      <c r="BH97" s="24" t="n">
        <f aca="false">IFERROR(Tabelle1!S98/BG97,"")</f>
        <v>1.07878416267163</v>
      </c>
      <c r="BI97" s="24" t="n">
        <f aca="false">IFERROR(AVERAGEIFS($BH$7:$BH$294,$B$7:$B$294,$B97,$A$7:$A$294,"&gt;="&amp;EDATE($A97,-12*'Seasonal Factors'!$E$4),$A$7:$A$294,"&lt;="&amp;EDATE($A97,12*'Seasonal Factors'!$E$4)),"")</f>
        <v>1.09462643309906</v>
      </c>
      <c r="BJ97" s="24" t="n">
        <f aca="false">IFERROR(BI97/AVERAGE(BI92:BI103),"")</f>
        <v>1.09455318289151</v>
      </c>
    </row>
    <row r="98" customFormat="false" ht="15" hidden="false" customHeight="false" outlineLevel="0" collapsed="false">
      <c r="A98" s="20" t="n">
        <v>40786</v>
      </c>
      <c r="B98" s="22" t="n">
        <f aca="false">MONTH(A98)</f>
        <v>8</v>
      </c>
      <c r="C98" s="23" t="n">
        <f aca="false">IF(ISNUMBER(Tabelle1!E105),(0.5*Tabelle1!E93+SUM(Tabelle1!E94:E104)+0.5*Tabelle1!E105)/12,"")</f>
        <v>126.227439166667</v>
      </c>
      <c r="D98" s="24" t="n">
        <f aca="false">IFERROR(Tabelle1!E99/C98,"")</f>
        <v>0.548376965079707</v>
      </c>
      <c r="E98" s="24" t="n">
        <f aca="false">IFERROR(AVERAGEIFS($D$7:$D$294,$B$7:$B$294,$B98,$A$7:$A$294,"&gt;="&amp;EDATE($A98,-12*'Seasonal Factors'!$E$4),$A$7:$A$294,"&lt;="&amp;EDATE($A98,12*'Seasonal Factors'!$E$4)),"")</f>
        <v>0.575133716605728</v>
      </c>
      <c r="F98" s="24" t="n">
        <f aca="false">IFERROR(E98/AVERAGE(E93:E104),"")</f>
        <v>0.575729576187939</v>
      </c>
      <c r="G98" s="23" t="n">
        <f aca="false">IF(ISNUMBER(Tabelle1!F105),(0.5*Tabelle1!F93+SUM(Tabelle1!F94:F104)+0.5*Tabelle1!F105)/12,"")</f>
        <v>121.283295</v>
      </c>
      <c r="H98" s="24" t="n">
        <f aca="false">IFERROR(Tabelle1!F99/G98,"")</f>
        <v>1.46464325528095</v>
      </c>
      <c r="I98" s="24" t="n">
        <f aca="false">IFERROR(AVERAGEIFS($H$7:$H$294,$B$7:$B$294,$B98,$A$7:$A$294,"&gt;="&amp;EDATE($A98,-12*'Seasonal Factors'!$E$4),$A$7:$A$294,"&lt;="&amp;EDATE($A98,12*'Seasonal Factors'!$E$4)),"")</f>
        <v>1.27194724912934</v>
      </c>
      <c r="J98" s="24" t="n">
        <f aca="false">IFERROR(I98/AVERAGE(I93:I104),"")</f>
        <v>1.26111279304576</v>
      </c>
      <c r="K98" s="23" t="n">
        <f aca="false">IF(ISNUMBER(Tabelle1!G105),(0.5*Tabelle1!G93+SUM(Tabelle1!G94:G104)+0.5*Tabelle1!G105)/12,"")</f>
        <v>96.6859279166666</v>
      </c>
      <c r="L98" s="24" t="n">
        <f aca="false">IFERROR(Tabelle1!G99/K98,"")</f>
        <v>1.04920718232579</v>
      </c>
      <c r="M98" s="24" t="n">
        <f aca="false">IFERROR(AVERAGEIFS($L$7:$L$294,$B$7:$B$294,$B98,$A$7:$A$294,"&gt;="&amp;EDATE($A98,-12*'Seasonal Factors'!$E$4),$A$7:$A$294,"&lt;="&amp;EDATE($A98,12*'Seasonal Factors'!$E$4)),"")</f>
        <v>1.01627740080844</v>
      </c>
      <c r="N98" s="24" t="n">
        <f aca="false">IFERROR(M98/AVERAGE(M93:M104),"")</f>
        <v>1.01596047739284</v>
      </c>
      <c r="O98" s="23" t="n">
        <f aca="false">IF(ISNUMBER(Tabelle1!H105),(0.5*Tabelle1!H93+SUM(Tabelle1!H94:H104)+0.5*Tabelle1!H105)/12,"")</f>
        <v>144.385975416667</v>
      </c>
      <c r="P98" s="24" t="n">
        <f aca="false">IFERROR(Tabelle1!H99/O98,"")</f>
        <v>1.04274095573012</v>
      </c>
      <c r="Q98" s="24" t="n">
        <f aca="false">IFERROR(AVERAGEIFS($P$7:$P$294,$B$7:$B$294,$B98,$A$7:$A$294,"&gt;="&amp;EDATE($A98,-12*'Seasonal Factors'!$E$4),$A$7:$A$294,"&lt;="&amp;EDATE($A98,12*'Seasonal Factors'!$E$4)),"")</f>
        <v>1.03506650685236</v>
      </c>
      <c r="R98" s="24" t="n">
        <f aca="false">IFERROR(Q98/AVERAGE(Q93:Q104),"")</f>
        <v>1.03458183031352</v>
      </c>
      <c r="S98" s="23" t="n">
        <f aca="false">IF(ISNUMBER(Tabelle1!I105),(0.5*Tabelle1!I93+SUM(Tabelle1!I94:I104)+0.5*Tabelle1!I105)/12,"")</f>
        <v>129.44173875</v>
      </c>
      <c r="T98" s="24" t="n">
        <f aca="false">IFERROR(Tabelle1!I99/S98,"")</f>
        <v>1.03362803445036</v>
      </c>
      <c r="U98" s="24" t="n">
        <f aca="false">IFERROR(AVERAGEIFS($T$7:$T$294,$B$7:$B$294,$B98,$A$7:$A$294,"&gt;="&amp;EDATE($A98,-12*'Seasonal Factors'!$E$4),$A$7:$A$294,"&lt;="&amp;EDATE($A98,12*'Seasonal Factors'!$E$4)),"")</f>
        <v>1.02615518543329</v>
      </c>
      <c r="V98" s="24" t="n">
        <f aca="false">IFERROR(U98/AVERAGE(U93:U104),"")</f>
        <v>1.02576283343158</v>
      </c>
      <c r="W98" s="23" t="n">
        <f aca="false">IF(ISNUMBER(Tabelle1!J105),(0.5*Tabelle1!J93+SUM(Tabelle1!J94:J104)+0.5*Tabelle1!J105)/12,"")</f>
        <v>154.18888125</v>
      </c>
      <c r="X98" s="24" t="n">
        <f aca="false">IFERROR(Tabelle1!J99/W98,"")</f>
        <v>1.03955543811302</v>
      </c>
      <c r="Y98" s="24" t="n">
        <f aca="false">IFERROR(AVERAGEIFS($X$7:$X$294,$B$7:$B$294,$B98,$A$7:$A$294,"&gt;="&amp;EDATE($A98,-12*'Seasonal Factors'!$E$4),$A$7:$A$294,"&lt;="&amp;EDATE($A98,12*'Seasonal Factors'!$E$4)),"")</f>
        <v>1.02643892816498</v>
      </c>
      <c r="Z98" s="24" t="n">
        <f aca="false">IFERROR(Y98/AVERAGE(Y93:Y104),"")</f>
        <v>1.02540018614598</v>
      </c>
      <c r="AA98" s="23" t="n">
        <f aca="false">IF(ISNUMBER(Tabelle1!K105),(0.5*Tabelle1!K93+SUM(Tabelle1!K94:K104)+0.5*Tabelle1!K105)/12,"")</f>
        <v>164.622467916667</v>
      </c>
      <c r="AB98" s="24" t="n">
        <f aca="false">IFERROR(Tabelle1!K99/AA98,"")</f>
        <v>1.05503836868683</v>
      </c>
      <c r="AC98" s="24" t="n">
        <f aca="false">IFERROR(AVERAGEIFS($AB$7:$AB$294,$B$7:$B$294,$B98,$A$7:$A$294,"&gt;="&amp;EDATE($A98,-12*'Seasonal Factors'!$E$4),$A$7:$A$294,"&lt;="&amp;EDATE($A98,12*'Seasonal Factors'!$E$4)),"")</f>
        <v>1.02574012579382</v>
      </c>
      <c r="AD98" s="24" t="n">
        <f aca="false">IFERROR(AC98/AVERAGE(AC93:AC104),"")</f>
        <v>1.02562514248465</v>
      </c>
      <c r="AE98" s="23" t="n">
        <f aca="false">IF(ISNUMBER(Tabelle1!L105),(0.5*Tabelle1!L93+SUM(Tabelle1!L94:L104)+0.5*Tabelle1!L105)/12,"")</f>
        <v>156.453908333333</v>
      </c>
      <c r="AF98" s="24" t="n">
        <f aca="false">IFERROR(Tabelle1!L99/AE98,"")</f>
        <v>0.988983858877713</v>
      </c>
      <c r="AG98" s="24" t="n">
        <f aca="false">IFERROR(AVERAGEIFS($AF$7:$AF$294,$B$7:$B$294,$B98,$A$7:$A$294,"&gt;="&amp;EDATE($A98,-12*'Seasonal Factors'!$E$4),$A$7:$A$294,"&lt;="&amp;EDATE($A98,12*'Seasonal Factors'!$E$4)),"")</f>
        <v>0.99225690581563</v>
      </c>
      <c r="AH98" s="24" t="n">
        <f aca="false">IFERROR(AG98/AVERAGE(AG93:AG104),"")</f>
        <v>0.991782658004187</v>
      </c>
      <c r="AI98" s="23" t="n">
        <f aca="false">IF(ISNUMBER(Tabelle1!M105),(0.5*Tabelle1!M93+SUM(Tabelle1!M94:M104)+0.5*Tabelle1!M105)/12,"")</f>
        <v>175.71218625</v>
      </c>
      <c r="AJ98" s="24" t="n">
        <f aca="false">IFERROR(Tabelle1!M99/AI98,"")</f>
        <v>1.00524797835415</v>
      </c>
      <c r="AK98" s="24" t="n">
        <f aca="false">IFERROR(AVERAGEIFS($AJ$7:$AJ$294,$B$7:$B$294,$B98,$A$7:$A$294,"&gt;="&amp;EDATE($A98,-12*'Seasonal Factors'!$E$4),$A$7:$A$294,"&lt;="&amp;EDATE($A98,12*'Seasonal Factors'!$E$4)),"")</f>
        <v>1.0004718816633</v>
      </c>
      <c r="AL98" s="24" t="n">
        <f aca="false">IFERROR(AK98/AVERAGE(AK93:AK104),"")</f>
        <v>0.999961684585251</v>
      </c>
      <c r="AM98" s="23" t="n">
        <f aca="false">IF(ISNUMBER(Tabelle1!N105),(0.5*Tabelle1!N93+SUM(Tabelle1!N94:N104)+0.5*Tabelle1!N105)/12,"")</f>
        <v>167.405091666667</v>
      </c>
      <c r="AN98" s="24" t="n">
        <f aca="false">IFERROR(Tabelle1!N99/AM98,"")</f>
        <v>1.02849685326676</v>
      </c>
      <c r="AO98" s="24" t="n">
        <f aca="false">IFERROR(AVERAGEIFS($AN$7:$AN$294,$B$7:$B$294,$B98,$A$7:$A$294,"&gt;="&amp;EDATE($A98,-12*'Seasonal Factors'!$E$4),$A$7:$A$294,"&lt;="&amp;EDATE($A98,12*'Seasonal Factors'!$E$4)),"")</f>
        <v>1.01488707114663</v>
      </c>
      <c r="AP98" s="24" t="n">
        <f aca="false">IFERROR(AO98/AVERAGE(AO93:AO104),"")</f>
        <v>1.01397907373225</v>
      </c>
      <c r="AQ98" s="23" t="n">
        <f aca="false">IF(ISNUMBER(Tabelle1!O105),(0.5*Tabelle1!O93+SUM(Tabelle1!O94:O104)+0.5*Tabelle1!O105)/12,"")</f>
        <v>134.610959166667</v>
      </c>
      <c r="AR98" s="24" t="n">
        <f aca="false">IFERROR(Tabelle1!O99/AQ98,"")</f>
        <v>1.01333614175582</v>
      </c>
      <c r="AS98" s="24" t="n">
        <f aca="false">IFERROR(AVERAGEIFS($AR$7:$AR$294,$B$7:$B$294,$B98,$A$7:$A$294,"&gt;="&amp;EDATE($A98,-12*'Seasonal Factors'!$E$4),$A$7:$A$294,"&lt;="&amp;EDATE($A98,12*'Seasonal Factors'!$E$4)),"")</f>
        <v>1.00683256401054</v>
      </c>
      <c r="AT98" s="24" t="n">
        <f aca="false">IFERROR(AS98/AVERAGE(AS93:AS104),"")</f>
        <v>1.00655535745121</v>
      </c>
      <c r="AU98" s="23" t="n">
        <f aca="false">IF(ISNUMBER(Tabelle1!P105),(0.5*Tabelle1!P93+SUM(Tabelle1!P94:P104)+0.5*Tabelle1!P105)/12,"")</f>
        <v>132.562108333333</v>
      </c>
      <c r="AV98" s="24" t="n">
        <f aca="false">IFERROR(Tabelle1!P99/AU98,"")</f>
        <v>1.00640237000857</v>
      </c>
      <c r="AW98" s="24" t="n">
        <f aca="false">IFERROR(AVERAGEIFS($AV$7:$AV$294,$B$7:$B$294,$B98,$A$7:$A$294,"&gt;="&amp;EDATE($A98,-12*'Seasonal Factors'!$E$4),$A$7:$A$294,"&lt;="&amp;EDATE($A98,12*'Seasonal Factors'!$E$4)),"")</f>
        <v>1.00264921359374</v>
      </c>
      <c r="AX98" s="24" t="n">
        <f aca="false">IFERROR(AW98/AVERAGE(AW93:AW104),"")</f>
        <v>1.00248188913823</v>
      </c>
      <c r="AY98" s="23" t="n">
        <f aca="false">IF(ISNUMBER(Tabelle1!Q105),(0.5*Tabelle1!Q93+SUM(Tabelle1!Q94:Q104)+0.5*Tabelle1!Q105)/12,"")</f>
        <v>135.481202083333</v>
      </c>
      <c r="AZ98" s="24" t="n">
        <f aca="false">IFERROR(Tabelle1!Q99/AY98,"")</f>
        <v>1.01098623199218</v>
      </c>
      <c r="BA98" s="24" t="n">
        <f aca="false">IFERROR(AVERAGEIFS($AZ$7:$AZ$294,$B$7:$B$294,$B98,$A$7:$A$294,"&gt;="&amp;EDATE($A98,-12*'Seasonal Factors'!$E$4),$A$7:$A$294,"&lt;="&amp;EDATE($A98,12*'Seasonal Factors'!$E$4)),"")</f>
        <v>1.00886629937633</v>
      </c>
      <c r="BB98" s="24" t="n">
        <f aca="false">IFERROR(BA98/AVERAGE(BA93:BA104),"")</f>
        <v>1.00875423698205</v>
      </c>
      <c r="BC98" s="23" t="n">
        <f aca="false">IF(ISNUMBER(Tabelle1!R105),(0.5*Tabelle1!R93+SUM(Tabelle1!R94:R104)+0.5*Tabelle1!R105)/12,"")</f>
        <v>151.273821666667</v>
      </c>
      <c r="BD98" s="24" t="n">
        <f aca="false">IFERROR(Tabelle1!R99/BC98,"")</f>
        <v>1.00940571420525</v>
      </c>
      <c r="BE98" s="24" t="n">
        <f aca="false">IFERROR(AVERAGEIFS($BD$7:$BD$294,$B$7:$B$294,$B98,$A$7:$A$294,"&gt;="&amp;EDATE($A98,-12*'Seasonal Factors'!$E$4),$A$7:$A$294,"&lt;="&amp;EDATE($A98,12*'Seasonal Factors'!$E$4)),"")</f>
        <v>1.01853349055726</v>
      </c>
      <c r="BF98" s="24" t="n">
        <f aca="false">IFERROR(BE98/AVERAGE(BE93:BE104),"")</f>
        <v>1.01868529391759</v>
      </c>
      <c r="BG98" s="23" t="n">
        <f aca="false">IF(ISNUMBER(Tabelle1!S105),(0.5*Tabelle1!S93+SUM(Tabelle1!S94:S104)+0.5*Tabelle1!S105)/12,"")</f>
        <v>151.365169166667</v>
      </c>
      <c r="BH98" s="24" t="n">
        <f aca="false">IFERROR(Tabelle1!S99/BG98,"")</f>
        <v>0.992615876077567</v>
      </c>
      <c r="BI98" s="24" t="n">
        <f aca="false">IFERROR(AVERAGEIFS($BH$7:$BH$294,$B$7:$B$294,$B98,$A$7:$A$294,"&gt;="&amp;EDATE($A98,-12*'Seasonal Factors'!$E$4),$A$7:$A$294,"&lt;="&amp;EDATE($A98,12*'Seasonal Factors'!$E$4)),"")</f>
        <v>1.02095915555008</v>
      </c>
      <c r="BJ98" s="24" t="n">
        <f aca="false">IFERROR(BI98/AVERAGE(BI93:BI104),"")</f>
        <v>1.02101939126237</v>
      </c>
    </row>
    <row r="99" customFormat="false" ht="15" hidden="false" customHeight="false" outlineLevel="0" collapsed="false">
      <c r="A99" s="20" t="n">
        <v>40816</v>
      </c>
      <c r="B99" s="22" t="n">
        <f aca="false">MONTH(A99)</f>
        <v>9</v>
      </c>
      <c r="C99" s="23" t="n">
        <f aca="false">IF(ISNUMBER(Tabelle1!E106),(0.5*Tabelle1!E94+SUM(Tabelle1!E95:E105)+0.5*Tabelle1!E106)/12,"")</f>
        <v>125.460087916667</v>
      </c>
      <c r="D99" s="24" t="n">
        <f aca="false">IFERROR(Tabelle1!E100/C99,"")</f>
        <v>0.526130828505749</v>
      </c>
      <c r="E99" s="24" t="n">
        <f aca="false">IFERROR(AVERAGEIFS($D$7:$D$294,$B$7:$B$294,$B99,$A$7:$A$294,"&gt;="&amp;EDATE($A99,-12*'Seasonal Factors'!$E$4),$A$7:$A$294,"&lt;="&amp;EDATE($A99,12*'Seasonal Factors'!$E$4)),"")</f>
        <v>0.548392538824631</v>
      </c>
      <c r="F99" s="24" t="n">
        <f aca="false">IFERROR(E99/AVERAGE(E94:E105),"")</f>
        <v>0.548921669810942</v>
      </c>
      <c r="G99" s="23" t="n">
        <f aca="false">IF(ISNUMBER(Tabelle1!F106),(0.5*Tabelle1!F94+SUM(Tabelle1!F95:F105)+0.5*Tabelle1!F106)/12,"")</f>
        <v>122.584063333333</v>
      </c>
      <c r="H99" s="24" t="n">
        <f aca="false">IFERROR(Tabelle1!F100/G99,"")</f>
        <v>1.23528789862543</v>
      </c>
      <c r="I99" s="24" t="n">
        <f aca="false">IFERROR(AVERAGEIFS($H$7:$H$294,$B$7:$B$294,$B99,$A$7:$A$294,"&gt;="&amp;EDATE($A99,-12*'Seasonal Factors'!$E$4),$A$7:$A$294,"&lt;="&amp;EDATE($A99,12*'Seasonal Factors'!$E$4)),"")</f>
        <v>1.19421980586861</v>
      </c>
      <c r="J99" s="24" t="n">
        <f aca="false">IFERROR(I99/AVERAGE(I94:I105),"")</f>
        <v>1.19458508321668</v>
      </c>
      <c r="K99" s="23" t="n">
        <f aca="false">IF(ISNUMBER(Tabelle1!G106),(0.5*Tabelle1!G94+SUM(Tabelle1!G95:G105)+0.5*Tabelle1!G106)/12,"")</f>
        <v>96.49277875</v>
      </c>
      <c r="L99" s="24" t="n">
        <f aca="false">IFERROR(Tabelle1!G100/K99,"")</f>
        <v>1.02739201092807</v>
      </c>
      <c r="M99" s="24" t="n">
        <f aca="false">IFERROR(AVERAGEIFS($L$7:$L$294,$B$7:$B$294,$B99,$A$7:$A$294,"&gt;="&amp;EDATE($A99,-12*'Seasonal Factors'!$E$4),$A$7:$A$294,"&lt;="&amp;EDATE($A99,12*'Seasonal Factors'!$E$4)),"")</f>
        <v>1.00435565867456</v>
      </c>
      <c r="N99" s="24" t="n">
        <f aca="false">IFERROR(M99/AVERAGE(M94:M105),"")</f>
        <v>1.00405158332237</v>
      </c>
      <c r="O99" s="23" t="n">
        <f aca="false">IF(ISNUMBER(Tabelle1!H106),(0.5*Tabelle1!H94+SUM(Tabelle1!H95:H105)+0.5*Tabelle1!H106)/12,"")</f>
        <v>144.387345833333</v>
      </c>
      <c r="P99" s="24" t="n">
        <f aca="false">IFERROR(Tabelle1!H100/O99,"")</f>
        <v>1.05948176495037</v>
      </c>
      <c r="Q99" s="24" t="n">
        <f aca="false">IFERROR(AVERAGEIFS($P$7:$P$294,$B$7:$B$294,$B99,$A$7:$A$294,"&gt;="&amp;EDATE($A99,-12*'Seasonal Factors'!$E$4),$A$7:$A$294,"&lt;="&amp;EDATE($A99,12*'Seasonal Factors'!$E$4)),"")</f>
        <v>1.04552174178123</v>
      </c>
      <c r="R99" s="24" t="n">
        <f aca="false">IFERROR(Q99/AVERAGE(Q94:Q105),"")</f>
        <v>1.04537717906718</v>
      </c>
      <c r="S99" s="23" t="n">
        <f aca="false">IF(ISNUMBER(Tabelle1!I106),(0.5*Tabelle1!I94+SUM(Tabelle1!I95:I105)+0.5*Tabelle1!I106)/12,"")</f>
        <v>130.102627916667</v>
      </c>
      <c r="T99" s="24" t="n">
        <f aca="false">IFERROR(Tabelle1!I100/S99,"")</f>
        <v>0.922461536110338</v>
      </c>
      <c r="U99" s="24" t="n">
        <f aca="false">IFERROR(AVERAGEIFS($T$7:$T$294,$B$7:$B$294,$B99,$A$7:$A$294,"&gt;="&amp;EDATE($A99,-12*'Seasonal Factors'!$E$4),$A$7:$A$294,"&lt;="&amp;EDATE($A99,12*'Seasonal Factors'!$E$4)),"")</f>
        <v>0.957703661385945</v>
      </c>
      <c r="V99" s="24" t="n">
        <f aca="false">IFERROR(U99/AVERAGE(U94:U105),"")</f>
        <v>0.957579678406517</v>
      </c>
      <c r="W99" s="23" t="n">
        <f aca="false">IF(ISNUMBER(Tabelle1!J106),(0.5*Tabelle1!J94+SUM(Tabelle1!J95:J105)+0.5*Tabelle1!J106)/12,"")</f>
        <v>154.265635</v>
      </c>
      <c r="X99" s="24" t="n">
        <f aca="false">IFERROR(Tabelle1!J100/W99,"")</f>
        <v>1.05408155225239</v>
      </c>
      <c r="Y99" s="24" t="n">
        <f aca="false">IFERROR(AVERAGEIFS($X$7:$X$294,$B$7:$B$294,$B99,$A$7:$A$294,"&gt;="&amp;EDATE($A99,-12*'Seasonal Factors'!$E$4),$A$7:$A$294,"&lt;="&amp;EDATE($A99,12*'Seasonal Factors'!$E$4)),"")</f>
        <v>1.0331867306172</v>
      </c>
      <c r="Z99" s="24" t="n">
        <f aca="false">IFERROR(Y99/AVERAGE(Y94:Y105),"")</f>
        <v>1.03248295013654</v>
      </c>
      <c r="AA99" s="23" t="n">
        <f aca="false">IF(ISNUMBER(Tabelle1!K106),(0.5*Tabelle1!K94+SUM(Tabelle1!K95:K105)+0.5*Tabelle1!K106)/12,"")</f>
        <v>164.54385625</v>
      </c>
      <c r="AB99" s="24" t="n">
        <f aca="false">IFERROR(Tabelle1!K100/AA99,"")</f>
        <v>1.07473395865548</v>
      </c>
      <c r="AC99" s="24" t="n">
        <f aca="false">IFERROR(AVERAGEIFS($AB$7:$AB$294,$B$7:$B$294,$B99,$A$7:$A$294,"&gt;="&amp;EDATE($A99,-12*'Seasonal Factors'!$E$4),$A$7:$A$294,"&lt;="&amp;EDATE($A99,12*'Seasonal Factors'!$E$4)),"")</f>
        <v>1.03486285930174</v>
      </c>
      <c r="AD99" s="24" t="n">
        <f aca="false">IFERROR(AC99/AVERAGE(AC94:AC105),"")</f>
        <v>1.03455188095945</v>
      </c>
      <c r="AE99" s="23" t="n">
        <f aca="false">IF(ISNUMBER(Tabelle1!L106),(0.5*Tabelle1!L94+SUM(Tabelle1!L95:L105)+0.5*Tabelle1!L106)/12,"")</f>
        <v>156.806367083333</v>
      </c>
      <c r="AF99" s="24" t="n">
        <f aca="false">IFERROR(Tabelle1!L100/AE99,"")</f>
        <v>1.01509564286639</v>
      </c>
      <c r="AG99" s="24" t="n">
        <f aca="false">IFERROR(AVERAGEIFS($AF$7:$AF$294,$B$7:$B$294,$B99,$A$7:$A$294,"&gt;="&amp;EDATE($A99,-12*'Seasonal Factors'!$E$4),$A$7:$A$294,"&lt;="&amp;EDATE($A99,12*'Seasonal Factors'!$E$4)),"")</f>
        <v>1.001632208909</v>
      </c>
      <c r="AH99" s="24" t="n">
        <f aca="false">IFERROR(AG99/AVERAGE(AG94:AG105),"")</f>
        <v>1.00183974818841</v>
      </c>
      <c r="AI99" s="23" t="n">
        <f aca="false">IF(ISNUMBER(Tabelle1!M106),(0.5*Tabelle1!M94+SUM(Tabelle1!M95:M105)+0.5*Tabelle1!M106)/12,"")</f>
        <v>175.947749583333</v>
      </c>
      <c r="AJ99" s="24" t="n">
        <f aca="false">IFERROR(Tabelle1!M100/AI99,"")</f>
        <v>0.998675404579568</v>
      </c>
      <c r="AK99" s="24" t="n">
        <f aca="false">IFERROR(AVERAGEIFS($AJ$7:$AJ$294,$B$7:$B$294,$B99,$A$7:$A$294,"&gt;="&amp;EDATE($A99,-12*'Seasonal Factors'!$E$4),$A$7:$A$294,"&lt;="&amp;EDATE($A99,12*'Seasonal Factors'!$E$4)),"")</f>
        <v>0.986704797831258</v>
      </c>
      <c r="AL99" s="24" t="n">
        <f aca="false">IFERROR(AK99/AVERAGE(AK94:AK105),"")</f>
        <v>0.986181394987218</v>
      </c>
      <c r="AM99" s="23" t="n">
        <f aca="false">IF(ISNUMBER(Tabelle1!N106),(0.5*Tabelle1!N94+SUM(Tabelle1!N95:N105)+0.5*Tabelle1!N106)/12,"")</f>
        <v>168.570985</v>
      </c>
      <c r="AN99" s="24" t="n">
        <f aca="false">IFERROR(Tabelle1!N100/AM99,"")</f>
        <v>1.02326631122195</v>
      </c>
      <c r="AO99" s="24" t="n">
        <f aca="false">IFERROR(AVERAGEIFS($AN$7:$AN$294,$B$7:$B$294,$B99,$A$7:$A$294,"&gt;="&amp;EDATE($A99,-12*'Seasonal Factors'!$E$4),$A$7:$A$294,"&lt;="&amp;EDATE($A99,12*'Seasonal Factors'!$E$4)),"")</f>
        <v>1.00287181219255</v>
      </c>
      <c r="AP99" s="24" t="n">
        <f aca="false">IFERROR(AO99/AVERAGE(AO94:AO105),"")</f>
        <v>1.00205283385915</v>
      </c>
      <c r="AQ99" s="23" t="n">
        <f aca="false">IF(ISNUMBER(Tabelle1!O106),(0.5*Tabelle1!O94+SUM(Tabelle1!O95:O105)+0.5*Tabelle1!O106)/12,"")</f>
        <v>134.904674583333</v>
      </c>
      <c r="AR99" s="24" t="n">
        <f aca="false">IFERROR(Tabelle1!O100/AQ99,"")</f>
        <v>1.01357288338838</v>
      </c>
      <c r="AS99" s="24" t="n">
        <f aca="false">IFERROR(AVERAGEIFS($AR$7:$AR$294,$B$7:$B$294,$B99,$A$7:$A$294,"&gt;="&amp;EDATE($A99,-12*'Seasonal Factors'!$E$4),$A$7:$A$294,"&lt;="&amp;EDATE($A99,12*'Seasonal Factors'!$E$4)),"")</f>
        <v>1.00760913877821</v>
      </c>
      <c r="AT99" s="24" t="n">
        <f aca="false">IFERROR(AS99/AVERAGE(AS94:AS105),"")</f>
        <v>1.00745884781334</v>
      </c>
      <c r="AU99" s="23" t="n">
        <f aca="false">IF(ISNUMBER(Tabelle1!P106),(0.5*Tabelle1!P94+SUM(Tabelle1!P95:P105)+0.5*Tabelle1!P106)/12,"")</f>
        <v>132.97616125</v>
      </c>
      <c r="AV99" s="24" t="n">
        <f aca="false">IFERROR(Tabelle1!P100/AU99,"")</f>
        <v>1.00679782557642</v>
      </c>
      <c r="AW99" s="24" t="n">
        <f aca="false">IFERROR(AVERAGEIFS($AV$7:$AV$294,$B$7:$B$294,$B99,$A$7:$A$294,"&gt;="&amp;EDATE($A99,-12*'Seasonal Factors'!$E$4),$A$7:$A$294,"&lt;="&amp;EDATE($A99,12*'Seasonal Factors'!$E$4)),"")</f>
        <v>1.00242737258939</v>
      </c>
      <c r="AX99" s="24" t="n">
        <f aca="false">IFERROR(AW99/AVERAGE(AW94:AW105),"")</f>
        <v>1.00225683382541</v>
      </c>
      <c r="AY99" s="23" t="n">
        <f aca="false">IF(ISNUMBER(Tabelle1!Q106),(0.5*Tabelle1!Q94+SUM(Tabelle1!Q95:Q105)+0.5*Tabelle1!Q106)/12,"")</f>
        <v>135.906865833333</v>
      </c>
      <c r="AZ99" s="24" t="n">
        <f aca="false">IFERROR(Tabelle1!Q100/AY99,"")</f>
        <v>1.01168295771469</v>
      </c>
      <c r="BA99" s="24" t="n">
        <f aca="false">IFERROR(AVERAGEIFS($AZ$7:$AZ$294,$B$7:$B$294,$B99,$A$7:$A$294,"&gt;="&amp;EDATE($A99,-12*'Seasonal Factors'!$E$4),$A$7:$A$294,"&lt;="&amp;EDATE($A99,12*'Seasonal Factors'!$E$4)),"")</f>
        <v>1.01023853477758</v>
      </c>
      <c r="BB99" s="24" t="n">
        <f aca="false">IFERROR(BA99/AVERAGE(BA94:BA105),"")</f>
        <v>1.01008345263236</v>
      </c>
      <c r="BC99" s="23" t="n">
        <f aca="false">IF(ISNUMBER(Tabelle1!R106),(0.5*Tabelle1!R94+SUM(Tabelle1!R95:R105)+0.5*Tabelle1!R106)/12,"")</f>
        <v>152.140469166667</v>
      </c>
      <c r="BD99" s="24" t="n">
        <f aca="false">IFERROR(Tabelle1!R100/BC99,"")</f>
        <v>0.988197031490027</v>
      </c>
      <c r="BE99" s="24" t="n">
        <f aca="false">IFERROR(AVERAGEIFS($BD$7:$BD$294,$B$7:$B$294,$B99,$A$7:$A$294,"&gt;="&amp;EDATE($A99,-12*'Seasonal Factors'!$E$4),$A$7:$A$294,"&lt;="&amp;EDATE($A99,12*'Seasonal Factors'!$E$4)),"")</f>
        <v>0.996849781044562</v>
      </c>
      <c r="BF99" s="24" t="n">
        <f aca="false">IFERROR(BE99/AVERAGE(BE94:BE105),"")</f>
        <v>0.996863105364818</v>
      </c>
      <c r="BG99" s="23" t="n">
        <f aca="false">IF(ISNUMBER(Tabelle1!S106),(0.5*Tabelle1!S94+SUM(Tabelle1!S95:S105)+0.5*Tabelle1!S106)/12,"")</f>
        <v>151.560716666667</v>
      </c>
      <c r="BH99" s="24" t="n">
        <f aca="false">IFERROR(Tabelle1!S100/BG99,"")</f>
        <v>0.947563677175363</v>
      </c>
      <c r="BI99" s="24" t="n">
        <f aca="false">IFERROR(AVERAGEIFS($BH$7:$BH$294,$B$7:$B$294,$B99,$A$7:$A$294,"&gt;="&amp;EDATE($A99,-12*'Seasonal Factors'!$E$4),$A$7:$A$294,"&lt;="&amp;EDATE($A99,12*'Seasonal Factors'!$E$4)),"")</f>
        <v>0.981223852549397</v>
      </c>
      <c r="BJ99" s="24" t="n">
        <f aca="false">IFERROR(BI99/AVERAGE(BI94:BI105),"")</f>
        <v>0.981082701124171</v>
      </c>
    </row>
    <row r="100" customFormat="false" ht="15" hidden="false" customHeight="false" outlineLevel="0" collapsed="false">
      <c r="A100" s="20" t="n">
        <v>40847</v>
      </c>
      <c r="B100" s="22" t="n">
        <f aca="false">MONTH(A100)</f>
        <v>10</v>
      </c>
      <c r="C100" s="23" t="n">
        <f aca="false">IF(ISNUMBER(Tabelle1!E107),(0.5*Tabelle1!E95+SUM(Tabelle1!E96:E106)+0.5*Tabelle1!E107)/12,"")</f>
        <v>122.772585833333</v>
      </c>
      <c r="D100" s="24" t="n">
        <f aca="false">IFERROR(Tabelle1!E101/C100,"")</f>
        <v>0.556200307556445</v>
      </c>
      <c r="E100" s="24" t="n">
        <f aca="false">IFERROR(AVERAGEIFS($D$7:$D$294,$B$7:$B$294,$B100,$A$7:$A$294,"&gt;="&amp;EDATE($A100,-12*'Seasonal Factors'!$E$4),$A$7:$A$294,"&lt;="&amp;EDATE($A100,12*'Seasonal Factors'!$E$4)),"")</f>
        <v>0.563224124463733</v>
      </c>
      <c r="F100" s="24" t="n">
        <f aca="false">IFERROR(E100/AVERAGE(E95:E106),"")</f>
        <v>0.563783827120576</v>
      </c>
      <c r="G100" s="23" t="n">
        <f aca="false">IF(ISNUMBER(Tabelle1!F107),(0.5*Tabelle1!F95+SUM(Tabelle1!F96:F106)+0.5*Tabelle1!F107)/12,"")</f>
        <v>123.346344166667</v>
      </c>
      <c r="H100" s="24" t="n">
        <f aca="false">IFERROR(Tabelle1!F101/G100,"")</f>
        <v>1.21228562557114</v>
      </c>
      <c r="I100" s="24" t="n">
        <f aca="false">IFERROR(AVERAGEIFS($H$7:$H$294,$B$7:$B$294,$B100,$A$7:$A$294,"&gt;="&amp;EDATE($A100,-12*'Seasonal Factors'!$E$4),$A$7:$A$294,"&lt;="&amp;EDATE($A100,12*'Seasonal Factors'!$E$4)),"")</f>
        <v>1.0788944921372</v>
      </c>
      <c r="J100" s="24" t="n">
        <f aca="false">IFERROR(I100/AVERAGE(I95:I106),"")</f>
        <v>1.09230502877322</v>
      </c>
      <c r="K100" s="23" t="n">
        <f aca="false">IF(ISNUMBER(Tabelle1!G107),(0.5*Tabelle1!G95+SUM(Tabelle1!G96:G106)+0.5*Tabelle1!G107)/12,"")</f>
        <v>96.6925033333333</v>
      </c>
      <c r="L100" s="24" t="n">
        <f aca="false">IFERROR(Tabelle1!G101/K100,"")</f>
        <v>1.05194639184541</v>
      </c>
      <c r="M100" s="24" t="n">
        <f aca="false">IFERROR(AVERAGEIFS($L$7:$L$294,$B$7:$B$294,$B100,$A$7:$A$294,"&gt;="&amp;EDATE($A100,-12*'Seasonal Factors'!$E$4),$A$7:$A$294,"&lt;="&amp;EDATE($A100,12*'Seasonal Factors'!$E$4)),"")</f>
        <v>1.02683575340238</v>
      </c>
      <c r="N100" s="24" t="n">
        <f aca="false">IFERROR(M100/AVERAGE(M95:M106),"")</f>
        <v>1.02663288460542</v>
      </c>
      <c r="O100" s="23" t="n">
        <f aca="false">IF(ISNUMBER(Tabelle1!H107),(0.5*Tabelle1!H95+SUM(Tabelle1!H96:H106)+0.5*Tabelle1!H107)/12,"")</f>
        <v>144.203220833333</v>
      </c>
      <c r="P100" s="24" t="n">
        <f aca="false">IFERROR(Tabelle1!H101/O100,"")</f>
        <v>1.06654940930729</v>
      </c>
      <c r="Q100" s="24" t="n">
        <f aca="false">IFERROR(AVERAGEIFS($P$7:$P$294,$B$7:$B$294,$B100,$A$7:$A$294,"&gt;="&amp;EDATE($A100,-12*'Seasonal Factors'!$E$4),$A$7:$A$294,"&lt;="&amp;EDATE($A100,12*'Seasonal Factors'!$E$4)),"")</f>
        <v>1.07744195194478</v>
      </c>
      <c r="R100" s="24" t="n">
        <f aca="false">IFERROR(Q100/AVERAGE(Q95:Q106),"")</f>
        <v>1.07740576994679</v>
      </c>
      <c r="S100" s="23" t="n">
        <f aca="false">IF(ISNUMBER(Tabelle1!I107),(0.5*Tabelle1!I95+SUM(Tabelle1!I96:I106)+0.5*Tabelle1!I107)/12,"")</f>
        <v>130.713476666667</v>
      </c>
      <c r="T100" s="24" t="n">
        <f aca="false">IFERROR(Tabelle1!I101/S100,"")</f>
        <v>0.943193335101918</v>
      </c>
      <c r="U100" s="24" t="n">
        <f aca="false">IFERROR(AVERAGEIFS($T$7:$T$294,$B$7:$B$294,$B100,$A$7:$A$294,"&gt;="&amp;EDATE($A100,-12*'Seasonal Factors'!$E$4),$A$7:$A$294,"&lt;="&amp;EDATE($A100,12*'Seasonal Factors'!$E$4)),"")</f>
        <v>0.959194607653847</v>
      </c>
      <c r="V100" s="24" t="n">
        <f aca="false">IFERROR(U100/AVERAGE(U95:U106),"")</f>
        <v>0.959142752316104</v>
      </c>
      <c r="W100" s="23" t="n">
        <f aca="false">IF(ISNUMBER(Tabelle1!J107),(0.5*Tabelle1!J95+SUM(Tabelle1!J96:J106)+0.5*Tabelle1!J107)/12,"")</f>
        <v>154.26423875</v>
      </c>
      <c r="X100" s="24" t="n">
        <f aca="false">IFERROR(Tabelle1!J101/W100,"")</f>
        <v>0.982684070062868</v>
      </c>
      <c r="Y100" s="24" t="n">
        <f aca="false">IFERROR(AVERAGEIFS($X$7:$X$294,$B$7:$B$294,$B100,$A$7:$A$294,"&gt;="&amp;EDATE($A100,-12*'Seasonal Factors'!$E$4),$A$7:$A$294,"&lt;="&amp;EDATE($A100,12*'Seasonal Factors'!$E$4)),"")</f>
        <v>0.988959761634619</v>
      </c>
      <c r="Z100" s="24" t="n">
        <f aca="false">IFERROR(Y100/AVERAGE(Y95:Y106),"")</f>
        <v>0.988754420970854</v>
      </c>
      <c r="AA100" s="23" t="n">
        <f aca="false">IF(ISNUMBER(Tabelle1!K107),(0.5*Tabelle1!K95+SUM(Tabelle1!K96:K106)+0.5*Tabelle1!K107)/12,"")</f>
        <v>163.999012083333</v>
      </c>
      <c r="AB100" s="24" t="n">
        <f aca="false">IFERROR(Tabelle1!K101/AA100,"")</f>
        <v>1.04654325547271</v>
      </c>
      <c r="AC100" s="24" t="n">
        <f aca="false">IFERROR(AVERAGEIFS($AB$7:$AB$294,$B$7:$B$294,$B100,$A$7:$A$294,"&gt;="&amp;EDATE($A100,-12*'Seasonal Factors'!$E$4),$A$7:$A$294,"&lt;="&amp;EDATE($A100,12*'Seasonal Factors'!$E$4)),"")</f>
        <v>1.04721988435007</v>
      </c>
      <c r="AD100" s="24" t="n">
        <f aca="false">IFERROR(AC100/AVERAGE(AC95:AC106),"")</f>
        <v>1.04702478077643</v>
      </c>
      <c r="AE100" s="23" t="n">
        <f aca="false">IF(ISNUMBER(Tabelle1!L107),(0.5*Tabelle1!L95+SUM(Tabelle1!L96:L106)+0.5*Tabelle1!L107)/12,"")</f>
        <v>157.071083333333</v>
      </c>
      <c r="AF100" s="24" t="n">
        <f aca="false">IFERROR(Tabelle1!L101/AE100,"")</f>
        <v>1.01707435009521</v>
      </c>
      <c r="AG100" s="24" t="n">
        <f aca="false">IFERROR(AVERAGEIFS($AF$7:$AF$294,$B$7:$B$294,$B100,$A$7:$A$294,"&gt;="&amp;EDATE($A100,-12*'Seasonal Factors'!$E$4),$A$7:$A$294,"&lt;="&amp;EDATE($A100,12*'Seasonal Factors'!$E$4)),"")</f>
        <v>1.0233093583106</v>
      </c>
      <c r="AH100" s="24" t="n">
        <f aca="false">IFERROR(AG100/AVERAGE(AG95:AG106),"")</f>
        <v>1.02390496814081</v>
      </c>
      <c r="AI100" s="23" t="n">
        <f aca="false">IF(ISNUMBER(Tabelle1!M107),(0.5*Tabelle1!M95+SUM(Tabelle1!M96:M106)+0.5*Tabelle1!M107)/12,"")</f>
        <v>175.934172916667</v>
      </c>
      <c r="AJ100" s="24" t="n">
        <f aca="false">IFERROR(Tabelle1!M101/AI100,"")</f>
        <v>0.992588461382745</v>
      </c>
      <c r="AK100" s="24" t="n">
        <f aca="false">IFERROR(AVERAGEIFS($AJ$7:$AJ$294,$B$7:$B$294,$B100,$A$7:$A$294,"&gt;="&amp;EDATE($A100,-12*'Seasonal Factors'!$E$4),$A$7:$A$294,"&lt;="&amp;EDATE($A100,12*'Seasonal Factors'!$E$4)),"")</f>
        <v>0.994333874006659</v>
      </c>
      <c r="AL100" s="24" t="n">
        <f aca="false">IFERROR(AK100/AVERAGE(AK95:AK106),"")</f>
        <v>0.993926286435812</v>
      </c>
      <c r="AM100" s="23" t="n">
        <f aca="false">IF(ISNUMBER(Tabelle1!N107),(0.5*Tabelle1!N95+SUM(Tabelle1!N96:N106)+0.5*Tabelle1!N107)/12,"")</f>
        <v>169.716390416667</v>
      </c>
      <c r="AN100" s="24" t="n">
        <f aca="false">IFERROR(Tabelle1!N101/AM100,"")</f>
        <v>1.00550747974924</v>
      </c>
      <c r="AO100" s="24" t="n">
        <f aca="false">IFERROR(AVERAGEIFS($AN$7:$AN$294,$B$7:$B$294,$B100,$A$7:$A$294,"&gt;="&amp;EDATE($A100,-12*'Seasonal Factors'!$E$4),$A$7:$A$294,"&lt;="&amp;EDATE($A100,12*'Seasonal Factors'!$E$4)),"")</f>
        <v>1.00916048605463</v>
      </c>
      <c r="AP100" s="24" t="n">
        <f aca="false">IFERROR(AO100/AVERAGE(AO95:AO106),"")</f>
        <v>1.00835808111462</v>
      </c>
      <c r="AQ100" s="23" t="n">
        <f aca="false">IF(ISNUMBER(Tabelle1!O107),(0.5*Tabelle1!O95+SUM(Tabelle1!O96:O106)+0.5*Tabelle1!O107)/12,"")</f>
        <v>135.071987083333</v>
      </c>
      <c r="AR100" s="24" t="n">
        <f aca="false">IFERROR(Tabelle1!O101/AQ100,"")</f>
        <v>1.01766926635346</v>
      </c>
      <c r="AS100" s="24" t="n">
        <f aca="false">IFERROR(AVERAGEIFS($AR$7:$AR$294,$B$7:$B$294,$B100,$A$7:$A$294,"&gt;="&amp;EDATE($A100,-12*'Seasonal Factors'!$E$4),$A$7:$A$294,"&lt;="&amp;EDATE($A100,12*'Seasonal Factors'!$E$4)),"")</f>
        <v>1.01308595140207</v>
      </c>
      <c r="AT100" s="24" t="n">
        <f aca="false">IFERROR(AS100/AVERAGE(AS95:AS106),"")</f>
        <v>1.01275178517699</v>
      </c>
      <c r="AU100" s="23" t="n">
        <f aca="false">IF(ISNUMBER(Tabelle1!P107),(0.5*Tabelle1!P95+SUM(Tabelle1!P96:P106)+0.5*Tabelle1!P107)/12,"")</f>
        <v>133.380531666667</v>
      </c>
      <c r="AV100" s="24" t="n">
        <f aca="false">IFERROR(Tabelle1!P101/AU100,"")</f>
        <v>0.999550671556653</v>
      </c>
      <c r="AW100" s="24" t="n">
        <f aca="false">IFERROR(AVERAGEIFS($AV$7:$AV$294,$B$7:$B$294,$B100,$A$7:$A$294,"&gt;="&amp;EDATE($A100,-12*'Seasonal Factors'!$E$4),$A$7:$A$294,"&lt;="&amp;EDATE($A100,12*'Seasonal Factors'!$E$4)),"")</f>
        <v>1.00030949134652</v>
      </c>
      <c r="AX100" s="24" t="n">
        <f aca="false">IFERROR(AW100/AVERAGE(AW95:AW106),"")</f>
        <v>1.00004595597579</v>
      </c>
      <c r="AY100" s="23" t="n">
        <f aca="false">IF(ISNUMBER(Tabelle1!Q107),(0.5*Tabelle1!Q95+SUM(Tabelle1!Q96:Q106)+0.5*Tabelle1!Q107)/12,"")</f>
        <v>136.333432083333</v>
      </c>
      <c r="AZ100" s="24" t="n">
        <f aca="false">IFERROR(Tabelle1!Q101/AY100,"")</f>
        <v>1.00781281524561</v>
      </c>
      <c r="BA100" s="24" t="n">
        <f aca="false">IFERROR(AVERAGEIFS($AZ$7:$AZ$294,$B$7:$B$294,$B100,$A$7:$A$294,"&gt;="&amp;EDATE($A100,-12*'Seasonal Factors'!$E$4),$A$7:$A$294,"&lt;="&amp;EDATE($A100,12*'Seasonal Factors'!$E$4)),"")</f>
        <v>1.0088489653472</v>
      </c>
      <c r="BB100" s="24" t="n">
        <f aca="false">IFERROR(BA100/AVERAGE(BA95:BA106),"")</f>
        <v>1.00858230039542</v>
      </c>
      <c r="BC100" s="23" t="n">
        <f aca="false">IF(ISNUMBER(Tabelle1!R107),(0.5*Tabelle1!R95+SUM(Tabelle1!R96:R106)+0.5*Tabelle1!R107)/12,"")</f>
        <v>152.93802125</v>
      </c>
      <c r="BD100" s="24" t="n">
        <f aca="false">IFERROR(Tabelle1!R101/BC100,"")</f>
        <v>0.944695235489063</v>
      </c>
      <c r="BE100" s="24" t="n">
        <f aca="false">IFERROR(AVERAGEIFS($BD$7:$BD$294,$B$7:$B$294,$B100,$A$7:$A$294,"&gt;="&amp;EDATE($A100,-12*'Seasonal Factors'!$E$4),$A$7:$A$294,"&lt;="&amp;EDATE($A100,12*'Seasonal Factors'!$E$4)),"")</f>
        <v>0.9607062829243</v>
      </c>
      <c r="BF100" s="24" t="n">
        <f aca="false">IFERROR(BE100/AVERAGE(BE95:BE106),"")</f>
        <v>0.960558400668878</v>
      </c>
      <c r="BG100" s="23" t="n">
        <f aca="false">IF(ISNUMBER(Tabelle1!S107),(0.5*Tabelle1!S95+SUM(Tabelle1!S96:S106)+0.5*Tabelle1!S107)/12,"")</f>
        <v>151.5849475</v>
      </c>
      <c r="BH100" s="24" t="n">
        <f aca="false">IFERROR(Tabelle1!S101/BG100,"")</f>
        <v>0.992885259929915</v>
      </c>
      <c r="BI100" s="24" t="n">
        <f aca="false">IFERROR(AVERAGEIFS($BH$7:$BH$294,$B$7:$B$294,$B100,$A$7:$A$294,"&gt;="&amp;EDATE($A100,-12*'Seasonal Factors'!$E$4),$A$7:$A$294,"&lt;="&amp;EDATE($A100,12*'Seasonal Factors'!$E$4)),"")</f>
        <v>0.987880546407256</v>
      </c>
      <c r="BJ100" s="24" t="n">
        <f aca="false">IFERROR(BI100/AVERAGE(BI95:BI106),"")</f>
        <v>0.987569241265063</v>
      </c>
    </row>
    <row r="101" customFormat="false" ht="15" hidden="false" customHeight="false" outlineLevel="0" collapsed="false">
      <c r="A101" s="20" t="n">
        <v>40877</v>
      </c>
      <c r="B101" s="22" t="n">
        <f aca="false">MONTH(A101)</f>
        <v>11</v>
      </c>
      <c r="C101" s="23" t="n">
        <f aca="false">IF(ISNUMBER(Tabelle1!E108),(0.5*Tabelle1!E96+SUM(Tabelle1!E97:E107)+0.5*Tabelle1!E108)/12,"")</f>
        <v>117.543081666667</v>
      </c>
      <c r="D101" s="24" t="n">
        <f aca="false">IFERROR(Tabelle1!E102/C101,"")</f>
        <v>0.731633617058619</v>
      </c>
      <c r="E101" s="24" t="n">
        <f aca="false">IFERROR(AVERAGEIFS($D$7:$D$294,$B$7:$B$294,$B101,$A$7:$A$294,"&gt;="&amp;EDATE($A101,-12*'Seasonal Factors'!$E$4),$A$7:$A$294,"&lt;="&amp;EDATE($A101,12*'Seasonal Factors'!$E$4)),"")</f>
        <v>0.690373119952888</v>
      </c>
      <c r="F101" s="24" t="n">
        <f aca="false">IFERROR(E101/AVERAGE(E96:E107),"")</f>
        <v>0.691084470647125</v>
      </c>
      <c r="G101" s="23" t="n">
        <f aca="false">IF(ISNUMBER(Tabelle1!F108),(0.5*Tabelle1!F96+SUM(Tabelle1!F97:F107)+0.5*Tabelle1!F108)/12,"")</f>
        <v>123.739689166667</v>
      </c>
      <c r="H101" s="24" t="n">
        <f aca="false">IFERROR(Tabelle1!F102/G101,"")</f>
        <v>0.667323803349622</v>
      </c>
      <c r="I101" s="24" t="n">
        <f aca="false">IFERROR(AVERAGEIFS($H$7:$H$294,$B$7:$B$294,$B101,$A$7:$A$294,"&gt;="&amp;EDATE($A101,-12*'Seasonal Factors'!$E$4),$A$7:$A$294,"&lt;="&amp;EDATE($A101,12*'Seasonal Factors'!$E$4)),"")</f>
        <v>0.760736645501807</v>
      </c>
      <c r="J101" s="24" t="n">
        <f aca="false">IFERROR(I101/AVERAGE(I96:I107),"")</f>
        <v>0.778480640046843</v>
      </c>
      <c r="K101" s="23" t="n">
        <f aca="false">IF(ISNUMBER(Tabelle1!G108),(0.5*Tabelle1!G96+SUM(Tabelle1!G97:G107)+0.5*Tabelle1!G108)/12,"")</f>
        <v>97.21463</v>
      </c>
      <c r="L101" s="24" t="n">
        <f aca="false">IFERROR(Tabelle1!G102/K101,"")</f>
        <v>1.0192474116293</v>
      </c>
      <c r="M101" s="24" t="n">
        <f aca="false">IFERROR(AVERAGEIFS($L$7:$L$294,$B$7:$B$294,$B101,$A$7:$A$294,"&gt;="&amp;EDATE($A101,-12*'Seasonal Factors'!$E$4),$A$7:$A$294,"&lt;="&amp;EDATE($A101,12*'Seasonal Factors'!$E$4)),"")</f>
        <v>0.987666825486336</v>
      </c>
      <c r="N101" s="24" t="n">
        <f aca="false">IFERROR(M101/AVERAGE(M96:M107),"")</f>
        <v>0.987598265295443</v>
      </c>
      <c r="O101" s="23" t="n">
        <f aca="false">IF(ISNUMBER(Tabelle1!H108),(0.5*Tabelle1!H96+SUM(Tabelle1!H97:H107)+0.5*Tabelle1!H108)/12,"")</f>
        <v>143.596380833333</v>
      </c>
      <c r="P101" s="24" t="n">
        <f aca="false">IFERROR(Tabelle1!H102/O101,"")</f>
        <v>1.03365857230257</v>
      </c>
      <c r="Q101" s="24" t="n">
        <f aca="false">IFERROR(AVERAGEIFS($P$7:$P$294,$B$7:$B$294,$B101,$A$7:$A$294,"&gt;="&amp;EDATE($A101,-12*'Seasonal Factors'!$E$4),$A$7:$A$294,"&lt;="&amp;EDATE($A101,12*'Seasonal Factors'!$E$4)),"")</f>
        <v>1.04105206926949</v>
      </c>
      <c r="R101" s="24" t="n">
        <f aca="false">IFERROR(Q101/AVERAGE(Q96:Q107),"")</f>
        <v>1.04109119428481</v>
      </c>
      <c r="S101" s="23" t="n">
        <f aca="false">IF(ISNUMBER(Tabelle1!I108),(0.5*Tabelle1!I96+SUM(Tabelle1!I97:I107)+0.5*Tabelle1!I108)/12,"")</f>
        <v>131.272700833333</v>
      </c>
      <c r="T101" s="24" t="n">
        <f aca="false">IFERROR(Tabelle1!I102/S101,"")</f>
        <v>0.975546394543913</v>
      </c>
      <c r="U101" s="24" t="n">
        <f aca="false">IFERROR(AVERAGEIFS($T$7:$T$294,$B$7:$B$294,$B101,$A$7:$A$294,"&gt;="&amp;EDATE($A101,-12*'Seasonal Factors'!$E$4),$A$7:$A$294,"&lt;="&amp;EDATE($A101,12*'Seasonal Factors'!$E$4)),"")</f>
        <v>0.955868957869072</v>
      </c>
      <c r="V101" s="24" t="n">
        <f aca="false">IFERROR(U101/AVERAGE(U96:U107),"")</f>
        <v>0.955860954089264</v>
      </c>
      <c r="W101" s="23" t="n">
        <f aca="false">IF(ISNUMBER(Tabelle1!J108),(0.5*Tabelle1!J96+SUM(Tabelle1!J97:J107)+0.5*Tabelle1!J108)/12,"")</f>
        <v>154.106097083333</v>
      </c>
      <c r="X101" s="24" t="n">
        <f aca="false">IFERROR(Tabelle1!J102/W101,"")</f>
        <v>0.996724742934341</v>
      </c>
      <c r="Y101" s="24" t="n">
        <f aca="false">IFERROR(AVERAGEIFS($X$7:$X$294,$B$7:$B$294,$B101,$A$7:$A$294,"&gt;="&amp;EDATE($A101,-12*'Seasonal Factors'!$E$4),$A$7:$A$294,"&lt;="&amp;EDATE($A101,12*'Seasonal Factors'!$E$4)),"")</f>
        <v>0.989394361115986</v>
      </c>
      <c r="Z101" s="24" t="n">
        <f aca="false">IFERROR(Y101/AVERAGE(Y96:Y107),"")</f>
        <v>0.989173256705129</v>
      </c>
      <c r="AA101" s="23" t="n">
        <f aca="false">IF(ISNUMBER(Tabelle1!K108),(0.5*Tabelle1!K96+SUM(Tabelle1!K97:K107)+0.5*Tabelle1!K108)/12,"")</f>
        <v>163.18975125</v>
      </c>
      <c r="AB101" s="24" t="n">
        <f aca="false">IFERROR(Tabelle1!K102/AA101,"")</f>
        <v>1.0404809658658</v>
      </c>
      <c r="AC101" s="24" t="n">
        <f aca="false">IFERROR(AVERAGEIFS($AB$7:$AB$294,$B$7:$B$294,$B101,$A$7:$A$294,"&gt;="&amp;EDATE($A101,-12*'Seasonal Factors'!$E$4),$A$7:$A$294,"&lt;="&amp;EDATE($A101,12*'Seasonal Factors'!$E$4)),"")</f>
        <v>1.02970825799232</v>
      </c>
      <c r="AD101" s="24" t="n">
        <f aca="false">IFERROR(AC101/AVERAGE(AC96:AC107),"")</f>
        <v>1.02966245075868</v>
      </c>
      <c r="AE101" s="23" t="n">
        <f aca="false">IF(ISNUMBER(Tabelle1!L108),(0.5*Tabelle1!L96+SUM(Tabelle1!L97:L107)+0.5*Tabelle1!L108)/12,"")</f>
        <v>157.200616666667</v>
      </c>
      <c r="AF101" s="24" t="n">
        <f aca="false">IFERROR(Tabelle1!L102/AE101,"")</f>
        <v>1.02370807069565</v>
      </c>
      <c r="AG101" s="24" t="n">
        <f aca="false">IFERROR(AVERAGEIFS($AF$7:$AF$294,$B$7:$B$294,$B101,$A$7:$A$294,"&gt;="&amp;EDATE($A101,-12*'Seasonal Factors'!$E$4),$A$7:$A$294,"&lt;="&amp;EDATE($A101,12*'Seasonal Factors'!$E$4)),"")</f>
        <v>1.02728280202337</v>
      </c>
      <c r="AH101" s="24" t="n">
        <f aca="false">IFERROR(AG101/AVERAGE(AG96:AG107),"")</f>
        <v>1.02796279651576</v>
      </c>
      <c r="AI101" s="23" t="n">
        <f aca="false">IF(ISNUMBER(Tabelle1!M108),(0.5*Tabelle1!M96+SUM(Tabelle1!M97:M107)+0.5*Tabelle1!M108)/12,"")</f>
        <v>175.80804625</v>
      </c>
      <c r="AJ101" s="24" t="n">
        <f aca="false">IFERROR(Tabelle1!M102/AI101,"")</f>
        <v>0.984515519579071</v>
      </c>
      <c r="AK101" s="24" t="n">
        <f aca="false">IFERROR(AVERAGEIFS($AJ$7:$AJ$294,$B$7:$B$294,$B101,$A$7:$A$294,"&gt;="&amp;EDATE($A101,-12*'Seasonal Factors'!$E$4),$A$7:$A$294,"&lt;="&amp;EDATE($A101,12*'Seasonal Factors'!$E$4)),"")</f>
        <v>0.982955161523738</v>
      </c>
      <c r="AL101" s="24" t="n">
        <f aca="false">IFERROR(AK101/AVERAGE(AK96:AK107),"")</f>
        <v>0.982805949201426</v>
      </c>
      <c r="AM101" s="23" t="n">
        <f aca="false">IF(ISNUMBER(Tabelle1!N108),(0.5*Tabelle1!N96+SUM(Tabelle1!N97:N107)+0.5*Tabelle1!N108)/12,"")</f>
        <v>170.63114125</v>
      </c>
      <c r="AN101" s="24" t="n">
        <f aca="false">IFERROR(Tabelle1!N102/AM101,"")</f>
        <v>0.996362673041666</v>
      </c>
      <c r="AO101" s="24" t="n">
        <f aca="false">IFERROR(AVERAGEIFS($AN$7:$AN$294,$B$7:$B$294,$B101,$A$7:$A$294,"&gt;="&amp;EDATE($A101,-12*'Seasonal Factors'!$E$4),$A$7:$A$294,"&lt;="&amp;EDATE($A101,12*'Seasonal Factors'!$E$4)),"")</f>
        <v>0.994186938495088</v>
      </c>
      <c r="AP101" s="24" t="n">
        <f aca="false">IFERROR(AO101/AVERAGE(AO96:AO107),"")</f>
        <v>0.993769146275529</v>
      </c>
      <c r="AQ101" s="23" t="n">
        <f aca="false">IF(ISNUMBER(Tabelle1!O108),(0.5*Tabelle1!O96+SUM(Tabelle1!O97:O107)+0.5*Tabelle1!O108)/12,"")</f>
        <v>135.079965833333</v>
      </c>
      <c r="AR101" s="24" t="n">
        <f aca="false">IFERROR(Tabelle1!O102/AQ101,"")</f>
        <v>1.03946472842053</v>
      </c>
      <c r="AS101" s="24" t="n">
        <f aca="false">IFERROR(AVERAGEIFS($AR$7:$AR$294,$B$7:$B$294,$B101,$A$7:$A$294,"&gt;="&amp;EDATE($A101,-12*'Seasonal Factors'!$E$4),$A$7:$A$294,"&lt;="&amp;EDATE($A101,12*'Seasonal Factors'!$E$4)),"")</f>
        <v>1.01830142228637</v>
      </c>
      <c r="AT101" s="24" t="n">
        <f aca="false">IFERROR(AS101/AVERAGE(AS96:AS107),"")</f>
        <v>1.01801675729578</v>
      </c>
      <c r="AU101" s="23" t="n">
        <f aca="false">IF(ISNUMBER(Tabelle1!P108),(0.5*Tabelle1!P96+SUM(Tabelle1!P97:P107)+0.5*Tabelle1!P108)/12,"")</f>
        <v>133.758447083333</v>
      </c>
      <c r="AV101" s="24" t="n">
        <f aca="false">IFERROR(Tabelle1!P102/AU101,"")</f>
        <v>1.00006184967639</v>
      </c>
      <c r="AW101" s="24" t="n">
        <f aca="false">IFERROR(AVERAGEIFS($AV$7:$AV$294,$B$7:$B$294,$B101,$A$7:$A$294,"&gt;="&amp;EDATE($A101,-12*'Seasonal Factors'!$E$4),$A$7:$A$294,"&lt;="&amp;EDATE($A101,12*'Seasonal Factors'!$E$4)),"")</f>
        <v>1.00468395892143</v>
      </c>
      <c r="AX101" s="24" t="n">
        <f aca="false">IFERROR(AW101/AVERAGE(AW96:AW107),"")</f>
        <v>1.00451590674347</v>
      </c>
      <c r="AY101" s="23" t="n">
        <f aca="false">IF(ISNUMBER(Tabelle1!Q108),(0.5*Tabelle1!Q96+SUM(Tabelle1!Q97:Q107)+0.5*Tabelle1!Q108)/12,"")</f>
        <v>136.7514625</v>
      </c>
      <c r="AZ101" s="24" t="n">
        <f aca="false">IFERROR(Tabelle1!Q102/AY101,"")</f>
        <v>1.00749862181547</v>
      </c>
      <c r="BA101" s="24" t="n">
        <f aca="false">IFERROR(AVERAGEIFS($AZ$7:$AZ$294,$B$7:$B$294,$B101,$A$7:$A$294,"&gt;="&amp;EDATE($A101,-12*'Seasonal Factors'!$E$4),$A$7:$A$294,"&lt;="&amp;EDATE($A101,12*'Seasonal Factors'!$E$4)),"")</f>
        <v>1.01200863719587</v>
      </c>
      <c r="BB101" s="24" t="n">
        <f aca="false">IFERROR(BA101/AVERAGE(BA96:BA107),"")</f>
        <v>1.01188198046339</v>
      </c>
      <c r="BC101" s="23" t="n">
        <f aca="false">IF(ISNUMBER(Tabelle1!R108),(0.5*Tabelle1!R96+SUM(Tabelle1!R97:R107)+0.5*Tabelle1!R108)/12,"")</f>
        <v>153.58973375</v>
      </c>
      <c r="BD101" s="24" t="n">
        <f aca="false">IFERROR(Tabelle1!R102/BC101,"")</f>
        <v>0.940455240550868</v>
      </c>
      <c r="BE101" s="24" t="n">
        <f aca="false">IFERROR(AVERAGEIFS($BD$7:$BD$294,$B$7:$B$294,$B101,$A$7:$A$294,"&gt;="&amp;EDATE($A101,-12*'Seasonal Factors'!$E$4),$A$7:$A$294,"&lt;="&amp;EDATE($A101,12*'Seasonal Factors'!$E$4)),"")</f>
        <v>0.957759008206246</v>
      </c>
      <c r="BF101" s="24" t="n">
        <f aca="false">IFERROR(BE101/AVERAGE(BE96:BE107),"")</f>
        <v>0.957412127074401</v>
      </c>
      <c r="BG101" s="23" t="n">
        <f aca="false">IF(ISNUMBER(Tabelle1!S108),(0.5*Tabelle1!S96+SUM(Tabelle1!S97:S107)+0.5*Tabelle1!S108)/12,"")</f>
        <v>151.495436666667</v>
      </c>
      <c r="BH101" s="24" t="n">
        <f aca="false">IFERROR(Tabelle1!S102/BG101,"")</f>
        <v>0.981590028531332</v>
      </c>
      <c r="BI101" s="24" t="n">
        <f aca="false">IFERROR(AVERAGEIFS($BH$7:$BH$294,$B$7:$B$294,$B101,$A$7:$A$294,"&gt;="&amp;EDATE($A101,-12*'Seasonal Factors'!$E$4),$A$7:$A$294,"&lt;="&amp;EDATE($A101,12*'Seasonal Factors'!$E$4)),"")</f>
        <v>0.980649409845965</v>
      </c>
      <c r="BJ101" s="24" t="n">
        <f aca="false">IFERROR(BI101/AVERAGE(BI96:BI107),"")</f>
        <v>0.980359472655778</v>
      </c>
    </row>
    <row r="102" customFormat="false" ht="15" hidden="false" customHeight="false" outlineLevel="0" collapsed="false">
      <c r="A102" s="20" t="n">
        <v>40908</v>
      </c>
      <c r="B102" s="22" t="n">
        <f aca="false">MONTH(A102)</f>
        <v>12</v>
      </c>
      <c r="C102" s="23" t="n">
        <f aca="false">IF(ISNUMBER(Tabelle1!E109),(0.5*Tabelle1!E97+SUM(Tabelle1!E98:E108)+0.5*Tabelle1!E109)/12,"")</f>
        <v>112.30987375</v>
      </c>
      <c r="D102" s="24" t="n">
        <f aca="false">IFERROR(Tabelle1!E103/C102,"")</f>
        <v>0.859760382376888</v>
      </c>
      <c r="E102" s="24" t="n">
        <f aca="false">IFERROR(AVERAGEIFS($D$7:$D$294,$B$7:$B$294,$B102,$A$7:$A$294,"&gt;="&amp;EDATE($A102,-12*'Seasonal Factors'!$E$4),$A$7:$A$294,"&lt;="&amp;EDATE($A102,12*'Seasonal Factors'!$E$4)),"")</f>
        <v>0.726268251202178</v>
      </c>
      <c r="F102" s="24" t="n">
        <f aca="false">IFERROR(E102/AVERAGE(E97:E108),"")</f>
        <v>0.726898682788771</v>
      </c>
      <c r="G102" s="23" t="n">
        <f aca="false">IF(ISNUMBER(Tabelle1!F109),(0.5*Tabelle1!F97+SUM(Tabelle1!F98:F108)+0.5*Tabelle1!F109)/12,"")</f>
        <v>120.76378</v>
      </c>
      <c r="H102" s="24" t="n">
        <f aca="false">IFERROR(Tabelle1!F103/G102,"")</f>
        <v>0.574107650489244</v>
      </c>
      <c r="I102" s="24" t="n">
        <f aca="false">IFERROR(AVERAGEIFS($H$7:$H$294,$B$7:$B$294,$B102,$A$7:$A$294,"&gt;="&amp;EDATE($A102,-12*'Seasonal Factors'!$E$4),$A$7:$A$294,"&lt;="&amp;EDATE($A102,12*'Seasonal Factors'!$E$4)),"")</f>
        <v>0.592070051428005</v>
      </c>
      <c r="J102" s="24" t="n">
        <f aca="false">IFERROR(I102/AVERAGE(I97:I108),"")</f>
        <v>0.605702569291271</v>
      </c>
      <c r="K102" s="23" t="n">
        <f aca="false">IF(ISNUMBER(Tabelle1!G109),(0.5*Tabelle1!G97+SUM(Tabelle1!G98:G108)+0.5*Tabelle1!G109)/12,"")</f>
        <v>97.5185641666667</v>
      </c>
      <c r="L102" s="24" t="n">
        <f aca="false">IFERROR(Tabelle1!G103/K102,"")</f>
        <v>1.01459892119515</v>
      </c>
      <c r="M102" s="24" t="n">
        <f aca="false">IFERROR(AVERAGEIFS($L$7:$L$294,$B$7:$B$294,$B102,$A$7:$A$294,"&gt;="&amp;EDATE($A102,-12*'Seasonal Factors'!$E$4),$A$7:$A$294,"&lt;="&amp;EDATE($A102,12*'Seasonal Factors'!$E$4)),"")</f>
        <v>1.0015706782728</v>
      </c>
      <c r="N102" s="24" t="n">
        <f aca="false">IFERROR(M102/AVERAGE(M97:M108),"")</f>
        <v>1.00172512643567</v>
      </c>
      <c r="O102" s="23" t="n">
        <f aca="false">IF(ISNUMBER(Tabelle1!H109),(0.5*Tabelle1!H97+SUM(Tabelle1!H98:H108)+0.5*Tabelle1!H109)/12,"")</f>
        <v>142.729229166667</v>
      </c>
      <c r="P102" s="24" t="n">
        <f aca="false">IFERROR(Tabelle1!H103/O102,"")</f>
        <v>0.988508876729437</v>
      </c>
      <c r="Q102" s="24" t="n">
        <f aca="false">IFERROR(AVERAGEIFS($P$7:$P$294,$B$7:$B$294,$B102,$A$7:$A$294,"&gt;="&amp;EDATE($A102,-12*'Seasonal Factors'!$E$4),$A$7:$A$294,"&lt;="&amp;EDATE($A102,12*'Seasonal Factors'!$E$4)),"")</f>
        <v>0.992084857138819</v>
      </c>
      <c r="R102" s="24" t="n">
        <f aca="false">IFERROR(Q102/AVERAGE(Q97:Q108),"")</f>
        <v>0.992205169774321</v>
      </c>
      <c r="S102" s="23" t="n">
        <f aca="false">IF(ISNUMBER(Tabelle1!I109),(0.5*Tabelle1!I97+SUM(Tabelle1!I98:I108)+0.5*Tabelle1!I109)/12,"")</f>
        <v>131.627725833333</v>
      </c>
      <c r="T102" s="24" t="n">
        <f aca="false">IFERROR(Tabelle1!I103/S102,"")</f>
        <v>1.03734300000663</v>
      </c>
      <c r="U102" s="24" t="n">
        <f aca="false">IFERROR(AVERAGEIFS($T$7:$T$294,$B$7:$B$294,$B102,$A$7:$A$294,"&gt;="&amp;EDATE($A102,-12*'Seasonal Factors'!$E$4),$A$7:$A$294,"&lt;="&amp;EDATE($A102,12*'Seasonal Factors'!$E$4)),"")</f>
        <v>1.02892957362659</v>
      </c>
      <c r="V102" s="24" t="n">
        <f aca="false">IFERROR(U102/AVERAGE(U97:U108),"")</f>
        <v>1.0289959450658</v>
      </c>
      <c r="W102" s="23" t="n">
        <f aca="false">IF(ISNUMBER(Tabelle1!J109),(0.5*Tabelle1!J97+SUM(Tabelle1!J98:J108)+0.5*Tabelle1!J109)/12,"")</f>
        <v>153.78933125</v>
      </c>
      <c r="X102" s="24" t="n">
        <f aca="false">IFERROR(Tabelle1!J103/W102,"")</f>
        <v>0.96326512896518</v>
      </c>
      <c r="Y102" s="24" t="n">
        <f aca="false">IFERROR(AVERAGEIFS($X$7:$X$294,$B$7:$B$294,$B102,$A$7:$A$294,"&gt;="&amp;EDATE($A102,-12*'Seasonal Factors'!$E$4),$A$7:$A$294,"&lt;="&amp;EDATE($A102,12*'Seasonal Factors'!$E$4)),"")</f>
        <v>0.954684540311079</v>
      </c>
      <c r="Z102" s="24" t="n">
        <f aca="false">IFERROR(Y102/AVERAGE(Y97:Y108),"")</f>
        <v>0.954646272907179</v>
      </c>
      <c r="AA102" s="23" t="n">
        <f aca="false">IF(ISNUMBER(Tabelle1!K109),(0.5*Tabelle1!K97+SUM(Tabelle1!K98:K108)+0.5*Tabelle1!K109)/12,"")</f>
        <v>162.3131525</v>
      </c>
      <c r="AB102" s="24" t="n">
        <f aca="false">IFERROR(Tabelle1!K103/AA102,"")</f>
        <v>0.968460765987525</v>
      </c>
      <c r="AC102" s="24" t="n">
        <f aca="false">IFERROR(AVERAGEIFS($AB$7:$AB$294,$B$7:$B$294,$B102,$A$7:$A$294,"&gt;="&amp;EDATE($A102,-12*'Seasonal Factors'!$E$4),$A$7:$A$294,"&lt;="&amp;EDATE($A102,12*'Seasonal Factors'!$E$4)),"")</f>
        <v>0.950546963063209</v>
      </c>
      <c r="AD102" s="24" t="n">
        <f aca="false">IFERROR(AC102/AVERAGE(AC97:AC108),"")</f>
        <v>0.950413622493544</v>
      </c>
      <c r="AE102" s="23" t="n">
        <f aca="false">IF(ISNUMBER(Tabelle1!L109),(0.5*Tabelle1!L97+SUM(Tabelle1!L98:L108)+0.5*Tabelle1!L109)/12,"")</f>
        <v>157.264833333333</v>
      </c>
      <c r="AF102" s="24" t="n">
        <f aca="false">IFERROR(Tabelle1!L103/AE102,"")</f>
        <v>1.00409466409634</v>
      </c>
      <c r="AG102" s="24" t="n">
        <f aca="false">IFERROR(AVERAGEIFS($AF$7:$AF$294,$B$7:$B$294,$B102,$A$7:$A$294,"&gt;="&amp;EDATE($A102,-12*'Seasonal Factors'!$E$4),$A$7:$A$294,"&lt;="&amp;EDATE($A102,12*'Seasonal Factors'!$E$4)),"")</f>
        <v>1.01318432395379</v>
      </c>
      <c r="AH102" s="24" t="n">
        <f aca="false">IFERROR(AG102/AVERAGE(AG97:AG108),"")</f>
        <v>1.01370257907337</v>
      </c>
      <c r="AI102" s="23" t="n">
        <f aca="false">IF(ISNUMBER(Tabelle1!M109),(0.5*Tabelle1!M97+SUM(Tabelle1!M98:M108)+0.5*Tabelle1!M109)/12,"")</f>
        <v>175.735443333333</v>
      </c>
      <c r="AJ102" s="24" t="n">
        <f aca="false">IFERROR(Tabelle1!M103/AI102,"")</f>
        <v>0.98557130374364</v>
      </c>
      <c r="AK102" s="24" t="n">
        <f aca="false">IFERROR(AVERAGEIFS($AJ$7:$AJ$294,$B$7:$B$294,$B102,$A$7:$A$294,"&gt;="&amp;EDATE($A102,-12*'Seasonal Factors'!$E$4),$A$7:$A$294,"&lt;="&amp;EDATE($A102,12*'Seasonal Factors'!$E$4)),"")</f>
        <v>0.977207343496907</v>
      </c>
      <c r="AL102" s="24" t="n">
        <f aca="false">IFERROR(AK102/AVERAGE(AK97:AK108),"")</f>
        <v>0.977175125210994</v>
      </c>
      <c r="AM102" s="23" t="n">
        <f aca="false">IF(ISNUMBER(Tabelle1!N109),(0.5*Tabelle1!N97+SUM(Tabelle1!N98:N108)+0.5*Tabelle1!N109)/12,"")</f>
        <v>171.40365</v>
      </c>
      <c r="AN102" s="24" t="n">
        <f aca="false">IFERROR(Tabelle1!N103/AM102,"")</f>
        <v>1.01643418912024</v>
      </c>
      <c r="AO102" s="24" t="n">
        <f aca="false">IFERROR(AVERAGEIFS($AN$7:$AN$294,$B$7:$B$294,$B102,$A$7:$A$294,"&gt;="&amp;EDATE($A102,-12*'Seasonal Factors'!$E$4),$A$7:$A$294,"&lt;="&amp;EDATE($A102,12*'Seasonal Factors'!$E$4)),"")</f>
        <v>1.01894576989793</v>
      </c>
      <c r="AP102" s="24" t="n">
        <f aca="false">IFERROR(AO102/AVERAGE(AO97:AO108),"")</f>
        <v>1.01890896114877</v>
      </c>
      <c r="AQ102" s="23" t="n">
        <f aca="false">IF(ISNUMBER(Tabelle1!O109),(0.5*Tabelle1!O97+SUM(Tabelle1!O98:O108)+0.5*Tabelle1!O109)/12,"")</f>
        <v>135.032555</v>
      </c>
      <c r="AR102" s="24" t="n">
        <f aca="false">IFERROR(Tabelle1!O103/AQ102,"")</f>
        <v>1.05244909273915</v>
      </c>
      <c r="AS102" s="24" t="n">
        <f aca="false">IFERROR(AVERAGEIFS($AR$7:$AR$294,$B$7:$B$294,$B102,$A$7:$A$294,"&gt;="&amp;EDATE($A102,-12*'Seasonal Factors'!$E$4),$A$7:$A$294,"&lt;="&amp;EDATE($A102,12*'Seasonal Factors'!$E$4)),"")</f>
        <v>1.03714606465571</v>
      </c>
      <c r="AT102" s="24" t="n">
        <f aca="false">IFERROR(AS102/AVERAGE(AS97:AS108),"")</f>
        <v>1.03684987970068</v>
      </c>
      <c r="AU102" s="23" t="n">
        <f aca="false">IF(ISNUMBER(Tabelle1!P109),(0.5*Tabelle1!P97+SUM(Tabelle1!P98:P108)+0.5*Tabelle1!P109)/12,"")</f>
        <v>134.134039583333</v>
      </c>
      <c r="AV102" s="24" t="n">
        <f aca="false">IFERROR(Tabelle1!P103/AU102,"")</f>
        <v>1.01029328886952</v>
      </c>
      <c r="AW102" s="24" t="n">
        <f aca="false">IFERROR(AVERAGEIFS($AV$7:$AV$294,$B$7:$B$294,$B102,$A$7:$A$294,"&gt;="&amp;EDATE($A102,-12*'Seasonal Factors'!$E$4),$A$7:$A$294,"&lt;="&amp;EDATE($A102,12*'Seasonal Factors'!$E$4)),"")</f>
        <v>1.01233211058666</v>
      </c>
      <c r="AX102" s="24" t="n">
        <f aca="false">IFERROR(AW102/AVERAGE(AW97:AW108),"")</f>
        <v>1.01225925867548</v>
      </c>
      <c r="AY102" s="23" t="n">
        <f aca="false">IF(ISNUMBER(Tabelle1!Q109),(0.5*Tabelle1!Q97+SUM(Tabelle1!Q98:Q108)+0.5*Tabelle1!Q109)/12,"")</f>
        <v>137.182894166667</v>
      </c>
      <c r="AZ102" s="24" t="n">
        <f aca="false">IFERROR(Tabelle1!Q103/AY102,"")</f>
        <v>1.01665277472976</v>
      </c>
      <c r="BA102" s="24" t="n">
        <f aca="false">IFERROR(AVERAGEIFS($AZ$7:$AZ$294,$B$7:$B$294,$B102,$A$7:$A$294,"&gt;="&amp;EDATE($A102,-12*'Seasonal Factors'!$E$4),$A$7:$A$294,"&lt;="&amp;EDATE($A102,12*'Seasonal Factors'!$E$4)),"")</f>
        <v>1.01625416696876</v>
      </c>
      <c r="BB102" s="24" t="n">
        <f aca="false">IFERROR(BA102/AVERAGE(BA97:BA108),"")</f>
        <v>1.01632025265347</v>
      </c>
      <c r="BC102" s="23" t="n">
        <f aca="false">IF(ISNUMBER(Tabelle1!R109),(0.5*Tabelle1!R97+SUM(Tabelle1!R98:R108)+0.5*Tabelle1!R109)/12,"")</f>
        <v>154.249650416667</v>
      </c>
      <c r="BD102" s="24" t="n">
        <f aca="false">IFERROR(Tabelle1!R103/BC102,"")</f>
        <v>0.909651786055777</v>
      </c>
      <c r="BE102" s="24" t="n">
        <f aca="false">IFERROR(AVERAGEIFS($BD$7:$BD$294,$B$7:$B$294,$B102,$A$7:$A$294,"&gt;="&amp;EDATE($A102,-12*'Seasonal Factors'!$E$4),$A$7:$A$294,"&lt;="&amp;EDATE($A102,12*'Seasonal Factors'!$E$4)),"")</f>
        <v>0.923658655233194</v>
      </c>
      <c r="BF102" s="24" t="n">
        <f aca="false">IFERROR(BE102/AVERAGE(BE97:BE108),"")</f>
        <v>0.92313637511869</v>
      </c>
      <c r="BG102" s="23" t="n">
        <f aca="false">IF(ISNUMBER(Tabelle1!S109),(0.5*Tabelle1!S97+SUM(Tabelle1!S98:S108)+0.5*Tabelle1!S109)/12,"")</f>
        <v>151.51453125</v>
      </c>
      <c r="BH102" s="24" t="n">
        <f aca="false">IFERROR(Tabelle1!S103/BG102,"")</f>
        <v>0.990197367620474</v>
      </c>
      <c r="BI102" s="24" t="n">
        <f aca="false">IFERROR(AVERAGEIFS($BH$7:$BH$294,$B$7:$B$294,$B102,$A$7:$A$294,"&gt;="&amp;EDATE($A102,-12*'Seasonal Factors'!$E$4),$A$7:$A$294,"&lt;="&amp;EDATE($A102,12*'Seasonal Factors'!$E$4)),"")</f>
        <v>0.980429044634459</v>
      </c>
      <c r="BJ102" s="24" t="n">
        <f aca="false">IFERROR(BI102/AVERAGE(BI97:BI108),"")</f>
        <v>0.979916464364526</v>
      </c>
    </row>
    <row r="103" customFormat="false" ht="15" hidden="false" customHeight="false" outlineLevel="0" collapsed="false">
      <c r="A103" s="20" t="n">
        <v>40939</v>
      </c>
      <c r="B103" s="22" t="n">
        <f aca="false">MONTH(A103)</f>
        <v>1</v>
      </c>
      <c r="C103" s="23" t="n">
        <f aca="false">IF(ISNUMBER(Tabelle1!E110),(0.5*Tabelle1!E98+SUM(Tabelle1!E99:E109)+0.5*Tabelle1!E110)/12,"")</f>
        <v>110.066013333333</v>
      </c>
      <c r="D103" s="24" t="n">
        <f aca="false">IFERROR(Tabelle1!E104/C103,"")</f>
        <v>0.639606976467819</v>
      </c>
      <c r="E103" s="24" t="n">
        <f aca="false">IFERROR(AVERAGEIFS($D$7:$D$294,$B$7:$B$294,$B103,$A$7:$A$294,"&gt;="&amp;EDATE($A103,-12*'Seasonal Factors'!$E$4),$A$7:$A$294,"&lt;="&amp;EDATE($A103,12*'Seasonal Factors'!$E$4)),"")</f>
        <v>0.532712824267889</v>
      </c>
      <c r="F103" s="24" t="n">
        <f aca="false">IFERROR(E103/AVERAGE(E98:E109),"")</f>
        <v>0.5330593430025</v>
      </c>
      <c r="G103" s="23" t="n">
        <f aca="false">IF(ISNUMBER(Tabelle1!F110),(0.5*Tabelle1!F98+SUM(Tabelle1!F99:F109)+0.5*Tabelle1!F110)/12,"")</f>
        <v>117.088632083333</v>
      </c>
      <c r="H103" s="24" t="n">
        <f aca="false">IFERROR(Tabelle1!F104/G103,"")</f>
        <v>0.339235409050901</v>
      </c>
      <c r="I103" s="24" t="n">
        <f aca="false">IFERROR(AVERAGEIFS($H$7:$H$294,$B$7:$B$294,$B103,$A$7:$A$294,"&gt;="&amp;EDATE($A103,-12*'Seasonal Factors'!$E$4),$A$7:$A$294,"&lt;="&amp;EDATE($A103,12*'Seasonal Factors'!$E$4)),"")</f>
        <v>0.315397124246111</v>
      </c>
      <c r="J103" s="24" t="n">
        <f aca="false">IFERROR(I103/AVERAGE(I98:I109),"")</f>
        <v>0.32163965317643</v>
      </c>
      <c r="K103" s="23" t="n">
        <f aca="false">IF(ISNUMBER(Tabelle1!G110),(0.5*Tabelle1!G98+SUM(Tabelle1!G99:G109)+0.5*Tabelle1!G110)/12,"")</f>
        <v>97.6389033333333</v>
      </c>
      <c r="L103" s="24" t="n">
        <f aca="false">IFERROR(Tabelle1!G104/K103,"")</f>
        <v>0.96842689514026</v>
      </c>
      <c r="M103" s="24" t="n">
        <f aca="false">IFERROR(AVERAGEIFS($L$7:$L$294,$B$7:$B$294,$B103,$A$7:$A$294,"&gt;="&amp;EDATE($A103,-12*'Seasonal Factors'!$E$4),$A$7:$A$294,"&lt;="&amp;EDATE($A103,12*'Seasonal Factors'!$E$4)),"")</f>
        <v>0.998867532756614</v>
      </c>
      <c r="N103" s="24" t="n">
        <f aca="false">IFERROR(M103/AVERAGE(M98:M109),"")</f>
        <v>0.99869478184613</v>
      </c>
      <c r="O103" s="23" t="n">
        <f aca="false">IF(ISNUMBER(Tabelle1!H110),(0.5*Tabelle1!H98+SUM(Tabelle1!H99:H109)+0.5*Tabelle1!H110)/12,"")</f>
        <v>142.105521666667</v>
      </c>
      <c r="P103" s="24" t="n">
        <f aca="false">IFERROR(Tabelle1!H104/O103,"")</f>
        <v>0.876907727007981</v>
      </c>
      <c r="Q103" s="24" t="n">
        <f aca="false">IFERROR(AVERAGEIFS($P$7:$P$294,$B$7:$B$294,$B103,$A$7:$A$294,"&gt;="&amp;EDATE($A103,-12*'Seasonal Factors'!$E$4),$A$7:$A$294,"&lt;="&amp;EDATE($A103,12*'Seasonal Factors'!$E$4)),"")</f>
        <v>0.885812287899041</v>
      </c>
      <c r="R103" s="24" t="n">
        <f aca="false">IFERROR(Q103/AVERAGE(Q98:Q109),"")</f>
        <v>0.885805985765389</v>
      </c>
      <c r="S103" s="23" t="n">
        <f aca="false">IF(ISNUMBER(Tabelle1!I110),(0.5*Tabelle1!I98+SUM(Tabelle1!I99:I109)+0.5*Tabelle1!I110)/12,"")</f>
        <v>132.11481375</v>
      </c>
      <c r="T103" s="24" t="n">
        <f aca="false">IFERROR(Tabelle1!I104/S103,"")</f>
        <v>1.09063734724449</v>
      </c>
      <c r="U103" s="24" t="n">
        <f aca="false">IFERROR(AVERAGEIFS($T$7:$T$294,$B$7:$B$294,$B103,$A$7:$A$294,"&gt;="&amp;EDATE($A103,-12*'Seasonal Factors'!$E$4),$A$7:$A$294,"&lt;="&amp;EDATE($A103,12*'Seasonal Factors'!$E$4)),"")</f>
        <v>1.06055024915759</v>
      </c>
      <c r="V103" s="24" t="n">
        <f aca="false">IFERROR(U103/AVERAGE(U98:U109),"")</f>
        <v>1.06017104315493</v>
      </c>
      <c r="W103" s="23" t="n">
        <f aca="false">IF(ISNUMBER(Tabelle1!J110),(0.5*Tabelle1!J98+SUM(Tabelle1!J99:J109)+0.5*Tabelle1!J110)/12,"")</f>
        <v>153.3231</v>
      </c>
      <c r="X103" s="24" t="n">
        <f aca="false">IFERROR(Tabelle1!J104/W103,"")</f>
        <v>0.998574970112136</v>
      </c>
      <c r="Y103" s="24" t="n">
        <f aca="false">IFERROR(AVERAGEIFS($X$7:$X$294,$B$7:$B$294,$B103,$A$7:$A$294,"&gt;="&amp;EDATE($A103,-12*'Seasonal Factors'!$E$4),$A$7:$A$294,"&lt;="&amp;EDATE($A103,12*'Seasonal Factors'!$E$4)),"")</f>
        <v>0.993627675581489</v>
      </c>
      <c r="Z103" s="24" t="n">
        <f aca="false">IFERROR(Y103/AVERAGE(Y98:Y109),"")</f>
        <v>0.994130426024971</v>
      </c>
      <c r="AA103" s="23" t="n">
        <f aca="false">IF(ISNUMBER(Tabelle1!K110),(0.5*Tabelle1!K98+SUM(Tabelle1!K99:K109)+0.5*Tabelle1!K110)/12,"")</f>
        <v>161.821677916667</v>
      </c>
      <c r="AB103" s="24" t="n">
        <f aca="false">IFERROR(Tabelle1!K104/AA103,"")</f>
        <v>0.914962209675312</v>
      </c>
      <c r="AC103" s="24" t="n">
        <f aca="false">IFERROR(AVERAGEIFS($AB$7:$AB$294,$B$7:$B$294,$B103,$A$7:$A$294,"&gt;="&amp;EDATE($A103,-12*'Seasonal Factors'!$E$4),$A$7:$A$294,"&lt;="&amp;EDATE($A103,12*'Seasonal Factors'!$E$4)),"")</f>
        <v>0.90168300026491</v>
      </c>
      <c r="AD103" s="24" t="n">
        <f aca="false">IFERROR(AC103/AVERAGE(AC98:AC109),"")</f>
        <v>0.901728917744416</v>
      </c>
      <c r="AE103" s="23" t="n">
        <f aca="false">IF(ISNUMBER(Tabelle1!L110),(0.5*Tabelle1!L98+SUM(Tabelle1!L99:L109)+0.5*Tabelle1!L110)/12,"")</f>
        <v>157.525647916667</v>
      </c>
      <c r="AF103" s="24" t="n">
        <f aca="false">IFERROR(Tabelle1!L104/AE103,"")</f>
        <v>1.0656476721099</v>
      </c>
      <c r="AG103" s="24" t="n">
        <f aca="false">IFERROR(AVERAGEIFS($AF$7:$AF$294,$B$7:$B$294,$B103,$A$7:$A$294,"&gt;="&amp;EDATE($A103,-12*'Seasonal Factors'!$E$4),$A$7:$A$294,"&lt;="&amp;EDATE($A103,12*'Seasonal Factors'!$E$4)),"")</f>
        <v>1.07877391832424</v>
      </c>
      <c r="AH103" s="24" t="n">
        <f aca="false">IFERROR(AG103/AVERAGE(AG98:AG109),"")</f>
        <v>1.0790762262886</v>
      </c>
      <c r="AI103" s="23" t="n">
        <f aca="false">IF(ISNUMBER(Tabelle1!M110),(0.5*Tabelle1!M98+SUM(Tabelle1!M99:M109)+0.5*Tabelle1!M110)/12,"")</f>
        <v>175.971130416667</v>
      </c>
      <c r="AJ103" s="24" t="n">
        <f aca="false">IFERROR(Tabelle1!M104/AI103,"")</f>
        <v>0.981210892895682</v>
      </c>
      <c r="AK103" s="24" t="n">
        <f aca="false">IFERROR(AVERAGEIFS($AJ$7:$AJ$294,$B$7:$B$294,$B103,$A$7:$A$294,"&gt;="&amp;EDATE($A103,-12*'Seasonal Factors'!$E$4),$A$7:$A$294,"&lt;="&amp;EDATE($A103,12*'Seasonal Factors'!$E$4)),"")</f>
        <v>0.977972895145205</v>
      </c>
      <c r="AL103" s="24" t="n">
        <f aca="false">IFERROR(AK103/AVERAGE(AK98:AK109),"")</f>
        <v>0.977968959967448</v>
      </c>
      <c r="AM103" s="23" t="n">
        <f aca="false">IF(ISNUMBER(Tabelle1!N110),(0.5*Tabelle1!N98+SUM(Tabelle1!N99:N109)+0.5*Tabelle1!N110)/12,"")</f>
        <v>172.299329166667</v>
      </c>
      <c r="AN103" s="24" t="n">
        <f aca="false">IFERROR(Tabelle1!N104/AM103,"")</f>
        <v>1.00346298988057</v>
      </c>
      <c r="AO103" s="24" t="n">
        <f aca="false">IFERROR(AVERAGEIFS($AN$7:$AN$294,$B$7:$B$294,$B103,$A$7:$A$294,"&gt;="&amp;EDATE($A103,-12*'Seasonal Factors'!$E$4),$A$7:$A$294,"&lt;="&amp;EDATE($A103,12*'Seasonal Factors'!$E$4)),"")</f>
        <v>1.01437424969758</v>
      </c>
      <c r="AP103" s="24" t="n">
        <f aca="false">IFERROR(AO103/AVERAGE(AO98:AO109),"")</f>
        <v>1.01462270899449</v>
      </c>
      <c r="AQ103" s="23" t="n">
        <f aca="false">IF(ISNUMBER(Tabelle1!O110),(0.5*Tabelle1!O98+SUM(Tabelle1!O99:O109)+0.5*Tabelle1!O110)/12,"")</f>
        <v>134.8055225</v>
      </c>
      <c r="AR103" s="24" t="n">
        <f aca="false">IFERROR(Tabelle1!O104/AQ103,"")</f>
        <v>0.949629344747356</v>
      </c>
      <c r="AS103" s="24" t="n">
        <f aca="false">IFERROR(AVERAGEIFS($AR$7:$AR$294,$B$7:$B$294,$B103,$A$7:$A$294,"&gt;="&amp;EDATE($A103,-12*'Seasonal Factors'!$E$4),$A$7:$A$294,"&lt;="&amp;EDATE($A103,12*'Seasonal Factors'!$E$4)),"")</f>
        <v>0.952020381775855</v>
      </c>
      <c r="AT103" s="24" t="n">
        <f aca="false">IFERROR(AS103/AVERAGE(AS98:AS109),"")</f>
        <v>0.951828890717056</v>
      </c>
      <c r="AU103" s="23" t="n">
        <f aca="false">IF(ISNUMBER(Tabelle1!P110),(0.5*Tabelle1!P98+SUM(Tabelle1!P99:P109)+0.5*Tabelle1!P110)/12,"")</f>
        <v>134.460380416667</v>
      </c>
      <c r="AV103" s="24" t="n">
        <f aca="false">IFERROR(Tabelle1!P104/AU103,"")</f>
        <v>0.996269678732781</v>
      </c>
      <c r="AW103" s="24" t="n">
        <f aca="false">IFERROR(AVERAGEIFS($AV$7:$AV$294,$B$7:$B$294,$B103,$A$7:$A$294,"&gt;="&amp;EDATE($A103,-12*'Seasonal Factors'!$E$4),$A$7:$A$294,"&lt;="&amp;EDATE($A103,12*'Seasonal Factors'!$E$4)),"")</f>
        <v>0.992819824513266</v>
      </c>
      <c r="AX103" s="24" t="n">
        <f aca="false">IFERROR(AW103/AVERAGE(AW98:AW109),"")</f>
        <v>0.992713306376239</v>
      </c>
      <c r="AY103" s="23" t="n">
        <f aca="false">IF(ISNUMBER(Tabelle1!Q110),(0.5*Tabelle1!Q98+SUM(Tabelle1!Q99:Q109)+0.5*Tabelle1!Q110)/12,"")</f>
        <v>137.55665625</v>
      </c>
      <c r="AZ103" s="24" t="n">
        <f aca="false">IFERROR(Tabelle1!Q104/AY103,"")</f>
        <v>0.980911165467502</v>
      </c>
      <c r="BA103" s="24" t="n">
        <f aca="false">IFERROR(AVERAGEIFS($AZ$7:$AZ$294,$B$7:$B$294,$B103,$A$7:$A$294,"&gt;="&amp;EDATE($A103,-12*'Seasonal Factors'!$E$4),$A$7:$A$294,"&lt;="&amp;EDATE($A103,12*'Seasonal Factors'!$E$4)),"")</f>
        <v>0.976551652264735</v>
      </c>
      <c r="BB103" s="24" t="n">
        <f aca="false">IFERROR(BA103/AVERAGE(BA98:BA109),"")</f>
        <v>0.976610343532023</v>
      </c>
      <c r="BC103" s="23" t="n">
        <f aca="false">IF(ISNUMBER(Tabelle1!R110),(0.5*Tabelle1!R98+SUM(Tabelle1!R99:R109)+0.5*Tabelle1!R110)/12,"")</f>
        <v>154.86435625</v>
      </c>
      <c r="BD103" s="24" t="n">
        <f aca="false">IFERROR(Tabelle1!R104/BC103,"")</f>
        <v>1.0067578090617</v>
      </c>
      <c r="BE103" s="24" t="n">
        <f aca="false">IFERROR(AVERAGEIFS($BD$7:$BD$294,$B$7:$B$294,$B103,$A$7:$A$294,"&gt;="&amp;EDATE($A103,-12*'Seasonal Factors'!$E$4),$A$7:$A$294,"&lt;="&amp;EDATE($A103,12*'Seasonal Factors'!$E$4)),"")</f>
        <v>0.992975487696327</v>
      </c>
      <c r="BF103" s="24" t="n">
        <f aca="false">IFERROR(BE103/AVERAGE(BE98:BE109),"")</f>
        <v>0.992346998455871</v>
      </c>
      <c r="BG103" s="23" t="n">
        <f aca="false">IF(ISNUMBER(Tabelle1!S110),(0.5*Tabelle1!S98+SUM(Tabelle1!S99:S109)+0.5*Tabelle1!S110)/12,"")</f>
        <v>151.946224583333</v>
      </c>
      <c r="BH103" s="24" t="n">
        <f aca="false">IFERROR(Tabelle1!S104/BG103,"")</f>
        <v>0.993509844775429</v>
      </c>
      <c r="BI103" s="24" t="n">
        <f aca="false">IFERROR(AVERAGEIFS($BH$7:$BH$294,$B$7:$B$294,$B103,$A$7:$A$294,"&gt;="&amp;EDATE($A103,-12*'Seasonal Factors'!$E$4),$A$7:$A$294,"&lt;="&amp;EDATE($A103,12*'Seasonal Factors'!$E$4)),"")</f>
        <v>1.00032600391172</v>
      </c>
      <c r="BJ103" s="24" t="n">
        <f aca="false">IFERROR(BI103/AVERAGE(BI98:BI109),"")</f>
        <v>0.999791857311229</v>
      </c>
    </row>
    <row r="104" customFormat="false" ht="15" hidden="false" customHeight="false" outlineLevel="0" collapsed="false">
      <c r="A104" s="20" t="n">
        <v>40968</v>
      </c>
      <c r="B104" s="22" t="n">
        <f aca="false">MONTH(A104)</f>
        <v>2</v>
      </c>
      <c r="C104" s="23" t="n">
        <f aca="false">IF(ISNUMBER(Tabelle1!E111),(0.5*Tabelle1!E99+SUM(Tabelle1!E100:E110)+0.5*Tabelle1!E111)/12,"")</f>
        <v>110.037125416667</v>
      </c>
      <c r="D104" s="24" t="n">
        <f aca="false">IFERROR(Tabelle1!E105/C104,"")</f>
        <v>0.621495152122919</v>
      </c>
      <c r="E104" s="24" t="n">
        <f aca="false">IFERROR(AVERAGEIFS($D$7:$D$294,$B$7:$B$294,$B104,$A$7:$A$294,"&gt;="&amp;EDATE($A104,-12*'Seasonal Factors'!$E$4),$A$7:$A$294,"&lt;="&amp;EDATE($A104,12*'Seasonal Factors'!$E$4)),"")</f>
        <v>0.569527548740259</v>
      </c>
      <c r="F104" s="24" t="n">
        <f aca="false">IFERROR(E104/AVERAGE(E99:E110),"")</f>
        <v>0.569913949934461</v>
      </c>
      <c r="G104" s="23" t="n">
        <f aca="false">IF(ISNUMBER(Tabelle1!F111),(0.5*Tabelle1!F99+SUM(Tabelle1!F100:F110)+0.5*Tabelle1!F111)/12,"")</f>
        <v>116.972503333333</v>
      </c>
      <c r="H104" s="24" t="n">
        <f aca="false">IFERROR(Tabelle1!F105/G104,"")</f>
        <v>0.680043922573143</v>
      </c>
      <c r="I104" s="24" t="n">
        <f aca="false">IFERROR(AVERAGEIFS($H$7:$H$294,$B$7:$B$294,$B104,$A$7:$A$294,"&gt;="&amp;EDATE($A104,-12*'Seasonal Factors'!$E$4),$A$7:$A$294,"&lt;="&amp;EDATE($A104,12*'Seasonal Factors'!$E$4)),"")</f>
        <v>0.590451566917458</v>
      </c>
      <c r="J104" s="24" t="n">
        <f aca="false">IFERROR(I104/AVERAGE(I99:I110),"")</f>
        <v>0.59763296283104</v>
      </c>
      <c r="K104" s="23" t="n">
        <f aca="false">IF(ISNUMBER(Tabelle1!G111),(0.5*Tabelle1!G99+SUM(Tabelle1!G100:G110)+0.5*Tabelle1!G111)/12,"")</f>
        <v>97.5380420833333</v>
      </c>
      <c r="L104" s="24" t="n">
        <f aca="false">IFERROR(Tabelle1!G105/K104,"")</f>
        <v>0.941413709345825</v>
      </c>
      <c r="M104" s="24" t="n">
        <f aca="false">IFERROR(AVERAGEIFS($L$7:$L$294,$B$7:$B$294,$B104,$A$7:$A$294,"&gt;="&amp;EDATE($A104,-12*'Seasonal Factors'!$E$4),$A$7:$A$294,"&lt;="&amp;EDATE($A104,12*'Seasonal Factors'!$E$4)),"")</f>
        <v>0.94470623590016</v>
      </c>
      <c r="N104" s="24" t="n">
        <f aca="false">IFERROR(M104/AVERAGE(M99:M110),"")</f>
        <v>0.944598886853072</v>
      </c>
      <c r="O104" s="23" t="n">
        <f aca="false">IF(ISNUMBER(Tabelle1!H111),(0.5*Tabelle1!H99+SUM(Tabelle1!H100:H110)+0.5*Tabelle1!H111)/12,"")</f>
        <v>141.693469166667</v>
      </c>
      <c r="P104" s="24" t="n">
        <f aca="false">IFERROR(Tabelle1!H105/O104,"")</f>
        <v>0.872367447328186</v>
      </c>
      <c r="Q104" s="24" t="n">
        <f aca="false">IFERROR(AVERAGEIFS($P$7:$P$294,$B$7:$B$294,$B104,$A$7:$A$294,"&gt;="&amp;EDATE($A104,-12*'Seasonal Factors'!$E$4),$A$7:$A$294,"&lt;="&amp;EDATE($A104,12*'Seasonal Factors'!$E$4)),"")</f>
        <v>0.866532070615682</v>
      </c>
      <c r="R104" s="24" t="n">
        <f aca="false">IFERROR(Q104/AVERAGE(Q99:Q110),"")</f>
        <v>0.866313869243766</v>
      </c>
      <c r="S104" s="23" t="n">
        <f aca="false">IF(ISNUMBER(Tabelle1!I111),(0.5*Tabelle1!I99+SUM(Tabelle1!I100:I110)+0.5*Tabelle1!I111)/12,"")</f>
        <v>132.592707083333</v>
      </c>
      <c r="T104" s="24" t="n">
        <f aca="false">IFERROR(Tabelle1!I105/S104,"")</f>
        <v>0.99275512881165</v>
      </c>
      <c r="U104" s="24" t="n">
        <f aca="false">IFERROR(AVERAGEIFS($T$7:$T$294,$B$7:$B$294,$B104,$A$7:$A$294,"&gt;="&amp;EDATE($A104,-12*'Seasonal Factors'!$E$4),$A$7:$A$294,"&lt;="&amp;EDATE($A104,12*'Seasonal Factors'!$E$4)),"")</f>
        <v>0.966084086628223</v>
      </c>
      <c r="V104" s="24" t="n">
        <f aca="false">IFERROR(U104/AVERAGE(U99:U110),"")</f>
        <v>0.96580819591284</v>
      </c>
      <c r="W104" s="23" t="n">
        <f aca="false">IF(ISNUMBER(Tabelle1!J111),(0.5*Tabelle1!J99+SUM(Tabelle1!J100:J110)+0.5*Tabelle1!J111)/12,"")</f>
        <v>152.6723175</v>
      </c>
      <c r="X104" s="24" t="n">
        <f aca="false">IFERROR(Tabelle1!J105/W104,"")</f>
        <v>1.00066955491129</v>
      </c>
      <c r="Y104" s="24" t="n">
        <f aca="false">IFERROR(AVERAGEIFS($X$7:$X$294,$B$7:$B$294,$B104,$A$7:$A$294,"&gt;="&amp;EDATE($A104,-12*'Seasonal Factors'!$E$4),$A$7:$A$294,"&lt;="&amp;EDATE($A104,12*'Seasonal Factors'!$E$4)),"")</f>
        <v>0.998640785724347</v>
      </c>
      <c r="Z104" s="24" t="n">
        <f aca="false">IFERROR(Y104/AVERAGE(Y99:Y110),"")</f>
        <v>0.998593943467848</v>
      </c>
      <c r="AA104" s="23" t="n">
        <f aca="false">IF(ISNUMBER(Tabelle1!K111),(0.5*Tabelle1!K99+SUM(Tabelle1!K100:K110)+0.5*Tabelle1!K111)/12,"")</f>
        <v>161.553670416667</v>
      </c>
      <c r="AB104" s="24" t="n">
        <f aca="false">IFERROR(Tabelle1!K105/AA104,"")</f>
        <v>0.879389491019224</v>
      </c>
      <c r="AC104" s="24" t="n">
        <f aca="false">IFERROR(AVERAGEIFS($AB$7:$AB$294,$B$7:$B$294,$B104,$A$7:$A$294,"&gt;="&amp;EDATE($A104,-12*'Seasonal Factors'!$E$4),$A$7:$A$294,"&lt;="&amp;EDATE($A104,12*'Seasonal Factors'!$E$4)),"")</f>
        <v>0.89806594810082</v>
      </c>
      <c r="AD104" s="24" t="n">
        <f aca="false">IFERROR(AC104/AVERAGE(AC99:AC110),"")</f>
        <v>0.897996349082202</v>
      </c>
      <c r="AE104" s="23" t="n">
        <f aca="false">IF(ISNUMBER(Tabelle1!L111),(0.5*Tabelle1!L99+SUM(Tabelle1!L100:L110)+0.5*Tabelle1!L111)/12,"")</f>
        <v>157.830494166667</v>
      </c>
      <c r="AF104" s="24" t="n">
        <f aca="false">IFERROR(Tabelle1!L105/AE104,"")</f>
        <v>1.0139904892587</v>
      </c>
      <c r="AG104" s="24" t="n">
        <f aca="false">IFERROR(AVERAGEIFS($AF$7:$AF$294,$B$7:$B$294,$B104,$A$7:$A$294,"&gt;="&amp;EDATE($A104,-12*'Seasonal Factors'!$E$4),$A$7:$A$294,"&lt;="&amp;EDATE($A104,12*'Seasonal Factors'!$E$4)),"")</f>
        <v>1.02431476444499</v>
      </c>
      <c r="AH104" s="24" t="n">
        <f aca="false">IFERROR(AG104/AVERAGE(AG99:AG110),"")</f>
        <v>1.02425248921914</v>
      </c>
      <c r="AI104" s="23" t="n">
        <f aca="false">IF(ISNUMBER(Tabelle1!M111),(0.5*Tabelle1!M99+SUM(Tabelle1!M100:M110)+0.5*Tabelle1!M111)/12,"")</f>
        <v>176.252560833333</v>
      </c>
      <c r="AJ104" s="24" t="n">
        <f aca="false">IFERROR(Tabelle1!M105/AI104,"")</f>
        <v>0.942461143342348</v>
      </c>
      <c r="AK104" s="24" t="n">
        <f aca="false">IFERROR(AVERAGEIFS($AJ$7:$AJ$294,$B$7:$B$294,$B104,$A$7:$A$294,"&gt;="&amp;EDATE($A104,-12*'Seasonal Factors'!$E$4),$A$7:$A$294,"&lt;="&amp;EDATE($A104,12*'Seasonal Factors'!$E$4)),"")</f>
        <v>0.94005874531661</v>
      </c>
      <c r="AL104" s="24" t="n">
        <f aca="false">IFERROR(AK104/AVERAGE(AK99:AK110),"")</f>
        <v>0.939969283746491</v>
      </c>
      <c r="AM104" s="23" t="n">
        <f aca="false">IF(ISNUMBER(Tabelle1!N111),(0.5*Tabelle1!N99+SUM(Tabelle1!N100:N110)+0.5*Tabelle1!N111)/12,"")</f>
        <v>173.40388875</v>
      </c>
      <c r="AN104" s="24" t="n">
        <f aca="false">IFERROR(Tabelle1!N105/AM104,"")</f>
        <v>0.965869573095142</v>
      </c>
      <c r="AO104" s="24" t="n">
        <f aca="false">IFERROR(AVERAGEIFS($AN$7:$AN$294,$B$7:$B$294,$B104,$A$7:$A$294,"&gt;="&amp;EDATE($A104,-12*'Seasonal Factors'!$E$4),$A$7:$A$294,"&lt;="&amp;EDATE($A104,12*'Seasonal Factors'!$E$4)),"")</f>
        <v>0.973204755406463</v>
      </c>
      <c r="AP104" s="24" t="n">
        <f aca="false">IFERROR(AO104/AVERAGE(AO99:AO110),"")</f>
        <v>0.973425457370001</v>
      </c>
      <c r="AQ104" s="23" t="n">
        <f aca="false">IF(ISNUMBER(Tabelle1!O111),(0.5*Tabelle1!O99+SUM(Tabelle1!O100:O110)+0.5*Tabelle1!O111)/12,"")</f>
        <v>134.636412916667</v>
      </c>
      <c r="AR104" s="24" t="n">
        <f aca="false">IFERROR(Tabelle1!O105/AQ104,"")</f>
        <v>0.949893028412438</v>
      </c>
      <c r="AS104" s="24" t="n">
        <f aca="false">IFERROR(AVERAGEIFS($AR$7:$AR$294,$B$7:$B$294,$B104,$A$7:$A$294,"&gt;="&amp;EDATE($A104,-12*'Seasonal Factors'!$E$4),$A$7:$A$294,"&lt;="&amp;EDATE($A104,12*'Seasonal Factors'!$E$4)),"")</f>
        <v>0.959581886789579</v>
      </c>
      <c r="AT104" s="24" t="n">
        <f aca="false">IFERROR(AS104/AVERAGE(AS99:AS110),"")</f>
        <v>0.959402485129596</v>
      </c>
      <c r="AU104" s="23" t="n">
        <f aca="false">IF(ISNUMBER(Tabelle1!P111),(0.5*Tabelle1!P99+SUM(Tabelle1!P100:P110)+0.5*Tabelle1!P111)/12,"")</f>
        <v>134.718515416667</v>
      </c>
      <c r="AV104" s="24" t="n">
        <f aca="false">IFERROR(Tabelle1!P105/AU104,"")</f>
        <v>0.999892624880686</v>
      </c>
      <c r="AW104" s="24" t="n">
        <f aca="false">IFERROR(AVERAGEIFS($AV$7:$AV$294,$B$7:$B$294,$B104,$A$7:$A$294,"&gt;="&amp;EDATE($A104,-12*'Seasonal Factors'!$E$4),$A$7:$A$294,"&lt;="&amp;EDATE($A104,12*'Seasonal Factors'!$E$4)),"")</f>
        <v>0.998837902237138</v>
      </c>
      <c r="AX104" s="24" t="n">
        <f aca="false">IFERROR(AW104/AVERAGE(AW99:AW110),"")</f>
        <v>0.998734158236867</v>
      </c>
      <c r="AY104" s="23" t="n">
        <f aca="false">IF(ISNUMBER(Tabelle1!Q111),(0.5*Tabelle1!Q99+SUM(Tabelle1!Q100:Q110)+0.5*Tabelle1!Q111)/12,"")</f>
        <v>137.856825416667</v>
      </c>
      <c r="AZ104" s="24" t="n">
        <f aca="false">IFERROR(Tabelle1!Q105/AY104,"")</f>
        <v>0.985644777393609</v>
      </c>
      <c r="BA104" s="24" t="n">
        <f aca="false">IFERROR(AVERAGEIFS($AZ$7:$AZ$294,$B$7:$B$294,$B104,$A$7:$A$294,"&gt;="&amp;EDATE($A104,-12*'Seasonal Factors'!$E$4),$A$7:$A$294,"&lt;="&amp;EDATE($A104,12*'Seasonal Factors'!$E$4)),"")</f>
        <v>0.981861032001712</v>
      </c>
      <c r="BB104" s="24" t="n">
        <f aca="false">IFERROR(BA104/AVERAGE(BA99:BA110),"")</f>
        <v>0.981922475161539</v>
      </c>
      <c r="BC104" s="23" t="n">
        <f aca="false">IF(ISNUMBER(Tabelle1!R111),(0.5*Tabelle1!R99+SUM(Tabelle1!R100:R110)+0.5*Tabelle1!R111)/12,"")</f>
        <v>155.4173625</v>
      </c>
      <c r="BD104" s="24" t="n">
        <f aca="false">IFERROR(Tabelle1!R105/BC104,"")</f>
        <v>0.951138583374171</v>
      </c>
      <c r="BE104" s="24" t="n">
        <f aca="false">IFERROR(AVERAGEIFS($BD$7:$BD$294,$B$7:$B$294,$B104,$A$7:$A$294,"&gt;="&amp;EDATE($A104,-12*'Seasonal Factors'!$E$4),$A$7:$A$294,"&lt;="&amp;EDATE($A104,12*'Seasonal Factors'!$E$4)),"")</f>
        <v>0.936441928035889</v>
      </c>
      <c r="BF104" s="24" t="n">
        <f aca="false">IFERROR(BE104/AVERAGE(BE99:BE110),"")</f>
        <v>0.936130886243018</v>
      </c>
      <c r="BG104" s="23" t="n">
        <f aca="false">IF(ISNUMBER(Tabelle1!S111),(0.5*Tabelle1!S99+SUM(Tabelle1!S100:S110)+0.5*Tabelle1!S111)/12,"")</f>
        <v>152.46346625</v>
      </c>
      <c r="BH104" s="24" t="n">
        <f aca="false">IFERROR(Tabelle1!S105/BG104,"")</f>
        <v>1.00074767911818</v>
      </c>
      <c r="BI104" s="24" t="n">
        <f aca="false">IFERROR(AVERAGEIFS($BH$7:$BH$294,$B$7:$B$294,$B104,$A$7:$A$294,"&gt;="&amp;EDATE($A104,-12*'Seasonal Factors'!$E$4),$A$7:$A$294,"&lt;="&amp;EDATE($A104,12*'Seasonal Factors'!$E$4)),"")</f>
        <v>0.985592951947613</v>
      </c>
      <c r="BJ104" s="24" t="n">
        <f aca="false">IFERROR(BI104/AVERAGE(BI99:BI110),"")</f>
        <v>0.985563780450092</v>
      </c>
    </row>
    <row r="105" customFormat="false" ht="15" hidden="false" customHeight="false" outlineLevel="0" collapsed="false">
      <c r="A105" s="20" t="n">
        <v>40999</v>
      </c>
      <c r="B105" s="22" t="n">
        <f aca="false">MONTH(A105)</f>
        <v>3</v>
      </c>
      <c r="C105" s="23" t="n">
        <f aca="false">IF(ISNUMBER(Tabelle1!E112),(0.5*Tabelle1!E100+SUM(Tabelle1!E101:E111)+0.5*Tabelle1!E112)/12,"")</f>
        <v>110.403692916667</v>
      </c>
      <c r="D105" s="24" t="n">
        <f aca="false">IFERROR(Tabelle1!E106/C105,"")</f>
        <v>1.12641983899821</v>
      </c>
      <c r="E105" s="24" t="n">
        <f aca="false">IFERROR(AVERAGEIFS($D$7:$D$294,$B$7:$B$294,$B105,$A$7:$A$294,"&gt;="&amp;EDATE($A105,-12*'Seasonal Factors'!$E$4),$A$7:$A$294,"&lt;="&amp;EDATE($A105,12*'Seasonal Factors'!$E$4)),"")</f>
        <v>1.09206874123848</v>
      </c>
      <c r="F105" s="24" t="n">
        <f aca="false">IFERROR(E105/AVERAGE(E100:E111),"")</f>
        <v>1.09306892012028</v>
      </c>
      <c r="G105" s="23" t="n">
        <f aca="false">IF(ISNUMBER(Tabelle1!F112),(0.5*Tabelle1!F100+SUM(Tabelle1!F101:F111)+0.5*Tabelle1!F112)/12,"")</f>
        <v>118.280746666667</v>
      </c>
      <c r="H105" s="24" t="n">
        <f aca="false">IFERROR(Tabelle1!F106/G105,"")</f>
        <v>1.25778729161444</v>
      </c>
      <c r="I105" s="24" t="n">
        <f aca="false">IFERROR(AVERAGEIFS($H$7:$H$294,$B$7:$B$294,$B105,$A$7:$A$294,"&gt;="&amp;EDATE($A105,-12*'Seasonal Factors'!$E$4),$A$7:$A$294,"&lt;="&amp;EDATE($A105,12*'Seasonal Factors'!$E$4)),"")</f>
        <v>1.02678931627737</v>
      </c>
      <c r="J105" s="24" t="n">
        <f aca="false">IFERROR(I105/AVERAGE(I100:I111),"")</f>
        <v>1.03349768306791</v>
      </c>
      <c r="K105" s="23" t="n">
        <f aca="false">IF(ISNUMBER(Tabelle1!G112),(0.5*Tabelle1!G100+SUM(Tabelle1!G101:G111)+0.5*Tabelle1!G112)/12,"")</f>
        <v>97.3190758333333</v>
      </c>
      <c r="L105" s="24" t="n">
        <f aca="false">IFERROR(Tabelle1!G106/K105,"")</f>
        <v>1.01733364350434</v>
      </c>
      <c r="M105" s="24" t="n">
        <f aca="false">IFERROR(AVERAGEIFS($L$7:$L$294,$B$7:$B$294,$B105,$A$7:$A$294,"&gt;="&amp;EDATE($A105,-12*'Seasonal Factors'!$E$4),$A$7:$A$294,"&lt;="&amp;EDATE($A105,12*'Seasonal Factors'!$E$4)),"")</f>
        <v>1.02686931606425</v>
      </c>
      <c r="N105" s="24" t="n">
        <f aca="false">IFERROR(M105/AVERAGE(M100:M111),"")</f>
        <v>1.02668850558706</v>
      </c>
      <c r="O105" s="23" t="n">
        <f aca="false">IF(ISNUMBER(Tabelle1!H112),(0.5*Tabelle1!H100+SUM(Tabelle1!H101:H111)+0.5*Tabelle1!H112)/12,"")</f>
        <v>141.041167916667</v>
      </c>
      <c r="P105" s="24" t="n">
        <f aca="false">IFERROR(Tabelle1!H106/O105,"")</f>
        <v>1.03409892412529</v>
      </c>
      <c r="Q105" s="24" t="n">
        <f aca="false">IFERROR(AVERAGEIFS($P$7:$P$294,$B$7:$B$294,$B105,$A$7:$A$294,"&gt;="&amp;EDATE($A105,-12*'Seasonal Factors'!$E$4),$A$7:$A$294,"&lt;="&amp;EDATE($A105,12*'Seasonal Factors'!$E$4)),"")</f>
        <v>0.998373895374177</v>
      </c>
      <c r="R105" s="24" t="n">
        <f aca="false">IFERROR(Q105/AVERAGE(Q100:Q111),"")</f>
        <v>0.997807947257332</v>
      </c>
      <c r="S105" s="23" t="n">
        <f aca="false">IF(ISNUMBER(Tabelle1!I112),(0.5*Tabelle1!I100+SUM(Tabelle1!I101:I111)+0.5*Tabelle1!I112)/12,"")</f>
        <v>132.980357083333</v>
      </c>
      <c r="T105" s="24" t="n">
        <f aca="false">IFERROR(Tabelle1!I106/S105,"")</f>
        <v>1.0147465607679</v>
      </c>
      <c r="U105" s="24" t="n">
        <f aca="false">IFERROR(AVERAGEIFS($T$7:$T$294,$B$7:$B$294,$B105,$A$7:$A$294,"&gt;="&amp;EDATE($A105,-12*'Seasonal Factors'!$E$4),$A$7:$A$294,"&lt;="&amp;EDATE($A105,12*'Seasonal Factors'!$E$4)),"")</f>
        <v>1.00775642690792</v>
      </c>
      <c r="V105" s="24" t="n">
        <f aca="false">IFERROR(U105/AVERAGE(U100:U111),"")</f>
        <v>1.00735443180176</v>
      </c>
      <c r="W105" s="23" t="n">
        <f aca="false">IF(ISNUMBER(Tabelle1!J112),(0.5*Tabelle1!J100+SUM(Tabelle1!J101:J111)+0.5*Tabelle1!J112)/12,"")</f>
        <v>151.759581666667</v>
      </c>
      <c r="X105" s="24" t="n">
        <f aca="false">IFERROR(Tabelle1!J106/W105,"")</f>
        <v>1.02480936157035</v>
      </c>
      <c r="Y105" s="24" t="n">
        <f aca="false">IFERROR(AVERAGEIFS($X$7:$X$294,$B$7:$B$294,$B105,$A$7:$A$294,"&gt;="&amp;EDATE($A105,-12*'Seasonal Factors'!$E$4),$A$7:$A$294,"&lt;="&amp;EDATE($A105,12*'Seasonal Factors'!$E$4)),"")</f>
        <v>1.01440577101486</v>
      </c>
      <c r="Z105" s="24" t="n">
        <f aca="false">IFERROR(Y105/AVERAGE(Y100:Y111),"")</f>
        <v>1.01435306907689</v>
      </c>
      <c r="AA105" s="23" t="n">
        <f aca="false">IF(ISNUMBER(Tabelle1!K112),(0.5*Tabelle1!K100+SUM(Tabelle1!K101:K111)+0.5*Tabelle1!K112)/12,"")</f>
        <v>160.62264625</v>
      </c>
      <c r="AB105" s="24" t="n">
        <f aca="false">IFERROR(Tabelle1!K106/AA105,"")</f>
        <v>1.0495681271345</v>
      </c>
      <c r="AC105" s="24" t="n">
        <f aca="false">IFERROR(AVERAGEIFS($AB$7:$AB$294,$B$7:$B$294,$B105,$A$7:$A$294,"&gt;="&amp;EDATE($A105,-12*'Seasonal Factors'!$E$4),$A$7:$A$294,"&lt;="&amp;EDATE($A105,12*'Seasonal Factors'!$E$4)),"")</f>
        <v>1.05710981385877</v>
      </c>
      <c r="AD105" s="24" t="n">
        <f aca="false">IFERROR(AC105/AVERAGE(AC100:AC111),"")</f>
        <v>1.05667187135295</v>
      </c>
      <c r="AE105" s="23" t="n">
        <f aca="false">IF(ISNUMBER(Tabelle1!L112),(0.5*Tabelle1!L100+SUM(Tabelle1!L101:L111)+0.5*Tabelle1!L112)/12,"")</f>
        <v>157.912316666667</v>
      </c>
      <c r="AF105" s="24" t="n">
        <f aca="false">IFERROR(Tabelle1!L106/AE105,"")</f>
        <v>0.996560644045182</v>
      </c>
      <c r="AG105" s="24" t="n">
        <f aca="false">IFERROR(AVERAGEIFS($AF$7:$AF$294,$B$7:$B$294,$B105,$A$7:$A$294,"&gt;="&amp;EDATE($A105,-12*'Seasonal Factors'!$E$4),$A$7:$A$294,"&lt;="&amp;EDATE($A105,12*'Seasonal Factors'!$E$4)),"")</f>
        <v>0.990448863507828</v>
      </c>
      <c r="AH105" s="24" t="n">
        <f aca="false">IFERROR(AG105/AVERAGE(AG100:AG111),"")</f>
        <v>0.990266777631343</v>
      </c>
      <c r="AI105" s="23" t="n">
        <f aca="false">IF(ISNUMBER(Tabelle1!M112),(0.5*Tabelle1!M100+SUM(Tabelle1!M101:M111)+0.5*Tabelle1!M112)/12,"")</f>
        <v>176.136927083333</v>
      </c>
      <c r="AJ105" s="24" t="n">
        <f aca="false">IFERROR(Tabelle1!M106/AI105,"")</f>
        <v>0.996375904281382</v>
      </c>
      <c r="AK105" s="24" t="n">
        <f aca="false">IFERROR(AVERAGEIFS($AJ$7:$AJ$294,$B$7:$B$294,$B105,$A$7:$A$294,"&gt;="&amp;EDATE($A105,-12*'Seasonal Factors'!$E$4),$A$7:$A$294,"&lt;="&amp;EDATE($A105,12*'Seasonal Factors'!$E$4)),"")</f>
        <v>0.994840585726858</v>
      </c>
      <c r="AL105" s="24" t="n">
        <f aca="false">IFERROR(AK105/AVERAGE(AK100:AK111),"")</f>
        <v>0.994568358221439</v>
      </c>
      <c r="AM105" s="23" t="n">
        <f aca="false">IF(ISNUMBER(Tabelle1!N112),(0.5*Tabelle1!N100+SUM(Tabelle1!N101:N111)+0.5*Tabelle1!N112)/12,"")</f>
        <v>174.1950375</v>
      </c>
      <c r="AN105" s="24" t="n">
        <f aca="false">IFERROR(Tabelle1!N106/AM105,"")</f>
        <v>1.0139081028643</v>
      </c>
      <c r="AO105" s="24" t="n">
        <f aca="false">IFERROR(AVERAGEIFS($AN$7:$AN$294,$B$7:$B$294,$B105,$A$7:$A$294,"&gt;="&amp;EDATE($A105,-12*'Seasonal Factors'!$E$4),$A$7:$A$294,"&lt;="&amp;EDATE($A105,12*'Seasonal Factors'!$E$4)),"")</f>
        <v>0.995064583182733</v>
      </c>
      <c r="AP105" s="24" t="n">
        <f aca="false">IFERROR(AO105/AVERAGE(AO100:AO111),"")</f>
        <v>0.995245058032152</v>
      </c>
      <c r="AQ105" s="23" t="n">
        <f aca="false">IF(ISNUMBER(Tabelle1!O112),(0.5*Tabelle1!O100+SUM(Tabelle1!O101:O111)+0.5*Tabelle1!O112)/12,"")</f>
        <v>134.415907916667</v>
      </c>
      <c r="AR105" s="24" t="n">
        <f aca="false">IFERROR(Tabelle1!O106/AQ105,"")</f>
        <v>0.993697413276471</v>
      </c>
      <c r="AS105" s="24" t="n">
        <f aca="false">IFERROR(AVERAGEIFS($AR$7:$AR$294,$B$7:$B$294,$B105,$A$7:$A$294,"&gt;="&amp;EDATE($A105,-12*'Seasonal Factors'!$E$4),$A$7:$A$294,"&lt;="&amp;EDATE($A105,12*'Seasonal Factors'!$E$4)),"")</f>
        <v>0.983940678913402</v>
      </c>
      <c r="AT105" s="24" t="n">
        <f aca="false">IFERROR(AS105/AVERAGE(AS100:AS111),"")</f>
        <v>0.983785117627712</v>
      </c>
      <c r="AU105" s="23" t="n">
        <f aca="false">IF(ISNUMBER(Tabelle1!P112),(0.5*Tabelle1!P100+SUM(Tabelle1!P101:P111)+0.5*Tabelle1!P112)/12,"")</f>
        <v>134.935193333333</v>
      </c>
      <c r="AV105" s="24" t="n">
        <f aca="false">IFERROR(Tabelle1!P106/AU105,"")</f>
        <v>1.00075515263401</v>
      </c>
      <c r="AW105" s="24" t="n">
        <f aca="false">IFERROR(AVERAGEIFS($AV$7:$AV$294,$B$7:$B$294,$B105,$A$7:$A$294,"&gt;="&amp;EDATE($A105,-12*'Seasonal Factors'!$E$4),$A$7:$A$294,"&lt;="&amp;EDATE($A105,12*'Seasonal Factors'!$E$4)),"")</f>
        <v>0.995722472978574</v>
      </c>
      <c r="AX105" s="24" t="n">
        <f aca="false">IFERROR(AW105/AVERAGE(AW100:AW111),"")</f>
        <v>0.995615522627746</v>
      </c>
      <c r="AY105" s="23" t="n">
        <f aca="false">IF(ISNUMBER(Tabelle1!Q112),(0.5*Tabelle1!Q100+SUM(Tabelle1!Q101:Q111)+0.5*Tabelle1!Q112)/12,"")</f>
        <v>138.11959</v>
      </c>
      <c r="AZ105" s="24" t="n">
        <f aca="false">IFERROR(Tabelle1!Q106/AY105,"")</f>
        <v>0.990960152719828</v>
      </c>
      <c r="BA105" s="24" t="n">
        <f aca="false">IFERROR(AVERAGEIFS($AZ$7:$AZ$294,$B$7:$B$294,$B105,$A$7:$A$294,"&gt;="&amp;EDATE($A105,-12*'Seasonal Factors'!$E$4),$A$7:$A$294,"&lt;="&amp;EDATE($A105,12*'Seasonal Factors'!$E$4)),"")</f>
        <v>0.983736883463444</v>
      </c>
      <c r="BB105" s="24" t="n">
        <f aca="false">IFERROR(BA105/AVERAGE(BA100:BA111),"")</f>
        <v>0.98375611705304</v>
      </c>
      <c r="BC105" s="23" t="n">
        <f aca="false">IF(ISNUMBER(Tabelle1!R112),(0.5*Tabelle1!R100+SUM(Tabelle1!R101:R111)+0.5*Tabelle1!R112)/12,"")</f>
        <v>155.959144583333</v>
      </c>
      <c r="BD105" s="24" t="n">
        <f aca="false">IFERROR(Tabelle1!R106/BC105,"")</f>
        <v>1.02959131014085</v>
      </c>
      <c r="BE105" s="24" t="n">
        <f aca="false">IFERROR(AVERAGEIFS($BD$7:$BD$294,$B$7:$B$294,$B105,$A$7:$A$294,"&gt;="&amp;EDATE($A105,-12*'Seasonal Factors'!$E$4),$A$7:$A$294,"&lt;="&amp;EDATE($A105,12*'Seasonal Factors'!$E$4)),"")</f>
        <v>1.01102306384847</v>
      </c>
      <c r="BF105" s="24" t="n">
        <f aca="false">IFERROR(BE105/AVERAGE(BE100:BE111),"")</f>
        <v>1.01084788386846</v>
      </c>
      <c r="BG105" s="23" t="n">
        <f aca="false">IF(ISNUMBER(Tabelle1!S112),(0.5*Tabelle1!S100+SUM(Tabelle1!S101:S111)+0.5*Tabelle1!S112)/12,"")</f>
        <v>152.911715</v>
      </c>
      <c r="BH105" s="24" t="n">
        <f aca="false">IFERROR(Tabelle1!S106/BG105,"")</f>
        <v>0.967534632647342</v>
      </c>
      <c r="BI105" s="24" t="n">
        <f aca="false">IFERROR(AVERAGEIFS($BH$7:$BH$294,$B$7:$B$294,$B105,$A$7:$A$294,"&gt;="&amp;EDATE($A105,-12*'Seasonal Factors'!$E$4),$A$7:$A$294,"&lt;="&amp;EDATE($A105,12*'Seasonal Factors'!$E$4)),"")</f>
        <v>0.974427115575403</v>
      </c>
      <c r="BJ105" s="24" t="n">
        <f aca="false">IFERROR(BI105/AVERAGE(BI100:BI111),"")</f>
        <v>0.974621824102586</v>
      </c>
    </row>
    <row r="106" customFormat="false" ht="15" hidden="false" customHeight="false" outlineLevel="0" collapsed="false">
      <c r="A106" s="20" t="n">
        <v>41029</v>
      </c>
      <c r="B106" s="22" t="n">
        <f aca="false">MONTH(A106)</f>
        <v>4</v>
      </c>
      <c r="C106" s="23" t="n">
        <f aca="false">IF(ISNUMBER(Tabelle1!E113),(0.5*Tabelle1!E101+SUM(Tabelle1!E102:E112)+0.5*Tabelle1!E113)/12,"")</f>
        <v>110.75407625</v>
      </c>
      <c r="D106" s="24" t="n">
        <f aca="false">IFERROR(Tabelle1!E107/C106,"")</f>
        <v>1.50014108397207</v>
      </c>
      <c r="E106" s="24" t="n">
        <f aca="false">IFERROR(AVERAGEIFS($D$7:$D$294,$B$7:$B$294,$B106,$A$7:$A$294,"&gt;="&amp;EDATE($A106,-12*'Seasonal Factors'!$E$4),$A$7:$A$294,"&lt;="&amp;EDATE($A106,12*'Seasonal Factors'!$E$4)),"")</f>
        <v>1.67505380770958</v>
      </c>
      <c r="F106" s="24" t="n">
        <f aca="false">IFERROR(E106/AVERAGE(E101:E112),"")</f>
        <v>1.67624948266886</v>
      </c>
      <c r="G106" s="23" t="n">
        <f aca="false">IF(ISNUMBER(Tabelle1!F113),(0.5*Tabelle1!F101+SUM(Tabelle1!F102:F112)+0.5*Tabelle1!F113)/12,"")</f>
        <v>119.512529583333</v>
      </c>
      <c r="H106" s="24" t="n">
        <f aca="false">IFERROR(Tabelle1!F107/G106,"")</f>
        <v>0.982667343829511</v>
      </c>
      <c r="I106" s="24" t="n">
        <f aca="false">IFERROR(AVERAGEIFS($H$7:$H$294,$B$7:$B$294,$B106,$A$7:$A$294,"&gt;="&amp;EDATE($A106,-12*'Seasonal Factors'!$E$4),$A$7:$A$294,"&lt;="&amp;EDATE($A106,12*'Seasonal Factors'!$E$4)),"")</f>
        <v>1.05976057755254</v>
      </c>
      <c r="J106" s="24" t="n">
        <f aca="false">IFERROR(I106/AVERAGE(I101:I112),"")</f>
        <v>1.05854360950592</v>
      </c>
      <c r="K106" s="23" t="n">
        <f aca="false">IF(ISNUMBER(Tabelle1!G113),(0.5*Tabelle1!G101+SUM(Tabelle1!G102:G112)+0.5*Tabelle1!G113)/12,"")</f>
        <v>97.0410504166667</v>
      </c>
      <c r="L106" s="24" t="n">
        <f aca="false">IFERROR(Tabelle1!G107/K106,"")</f>
        <v>0.981266171286678</v>
      </c>
      <c r="M106" s="24" t="n">
        <f aca="false">IFERROR(AVERAGEIFS($L$7:$L$294,$B$7:$B$294,$B106,$A$7:$A$294,"&gt;="&amp;EDATE($A106,-12*'Seasonal Factors'!$E$4),$A$7:$A$294,"&lt;="&amp;EDATE($A106,12*'Seasonal Factors'!$E$4)),"")</f>
        <v>0.978297212130196</v>
      </c>
      <c r="N106" s="24" t="n">
        <f aca="false">IFERROR(M106/AVERAGE(M101:M112),"")</f>
        <v>0.978133334400442</v>
      </c>
      <c r="O106" s="23" t="n">
        <f aca="false">IF(ISNUMBER(Tabelle1!H113),(0.5*Tabelle1!H101+SUM(Tabelle1!H102:H112)+0.5*Tabelle1!H113)/12,"")</f>
        <v>140.56913625</v>
      </c>
      <c r="P106" s="24" t="n">
        <f aca="false">IFERROR(Tabelle1!H107/O106,"")</f>
        <v>0.983477836515482</v>
      </c>
      <c r="Q106" s="24" t="n">
        <f aca="false">IFERROR(AVERAGEIFS($P$7:$P$294,$B$7:$B$294,$B106,$A$7:$A$294,"&gt;="&amp;EDATE($A106,-12*'Seasonal Factors'!$E$4),$A$7:$A$294,"&lt;="&amp;EDATE($A106,12*'Seasonal Factors'!$E$4)),"")</f>
        <v>1.00386779654872</v>
      </c>
      <c r="R106" s="24" t="n">
        <f aca="false">IFERROR(Q106/AVERAGE(Q101:Q112),"")</f>
        <v>1.00354310848304</v>
      </c>
      <c r="S106" s="23" t="n">
        <f aca="false">IF(ISNUMBER(Tabelle1!I113),(0.5*Tabelle1!I101+SUM(Tabelle1!I102:I112)+0.5*Tabelle1!I113)/12,"")</f>
        <v>133.34343125</v>
      </c>
      <c r="T106" s="24" t="n">
        <f aca="false">IFERROR(Tabelle1!I107/S106,"")</f>
        <v>0.956141062254238</v>
      </c>
      <c r="U106" s="24" t="n">
        <f aca="false">IFERROR(AVERAGEIFS($T$7:$T$294,$B$7:$B$294,$B106,$A$7:$A$294,"&gt;="&amp;EDATE($A106,-12*'Seasonal Factors'!$E$4),$A$7:$A$294,"&lt;="&amp;EDATE($A106,12*'Seasonal Factors'!$E$4)),"")</f>
        <v>0.94737101165353</v>
      </c>
      <c r="V106" s="24" t="n">
        <f aca="false">IFERROR(U106/AVERAGE(U101:U112),"")</f>
        <v>0.947160664523724</v>
      </c>
      <c r="W106" s="23" t="n">
        <f aca="false">IF(ISNUMBER(Tabelle1!J113),(0.5*Tabelle1!J101+SUM(Tabelle1!J102:J112)+0.5*Tabelle1!J113)/12,"")</f>
        <v>151.081824166667</v>
      </c>
      <c r="X106" s="24" t="n">
        <f aca="false">IFERROR(Tabelle1!J107/W106,"")</f>
        <v>0.98791168840633</v>
      </c>
      <c r="Y106" s="24" t="n">
        <f aca="false">IFERROR(AVERAGEIFS($X$7:$X$294,$B$7:$B$294,$B106,$A$7:$A$294,"&gt;="&amp;EDATE($A106,-12*'Seasonal Factors'!$E$4),$A$7:$A$294,"&lt;="&amp;EDATE($A106,12*'Seasonal Factors'!$E$4)),"")</f>
        <v>0.986365881318574</v>
      </c>
      <c r="Z106" s="24" t="n">
        <f aca="false">IFERROR(Y106/AVERAGE(Y101:Y112),"")</f>
        <v>0.98680818179947</v>
      </c>
      <c r="AA106" s="23" t="n">
        <f aca="false">IF(ISNUMBER(Tabelle1!K113),(0.5*Tabelle1!K101+SUM(Tabelle1!K102:K112)+0.5*Tabelle1!K113)/12,"")</f>
        <v>159.95383</v>
      </c>
      <c r="AB106" s="24" t="n">
        <f aca="false">IFERROR(Tabelle1!K107/AA106,"")</f>
        <v>0.942171875471816</v>
      </c>
      <c r="AC106" s="24" t="n">
        <f aca="false">IFERROR(AVERAGEIFS($AB$7:$AB$294,$B$7:$B$294,$B106,$A$7:$A$294,"&gt;="&amp;EDATE($A106,-12*'Seasonal Factors'!$E$4),$A$7:$A$294,"&lt;="&amp;EDATE($A106,12*'Seasonal Factors'!$E$4)),"")</f>
        <v>1.00134376941655</v>
      </c>
      <c r="AD106" s="24" t="n">
        <f aca="false">IFERROR(AC106/AVERAGE(AC101:AC112),"")</f>
        <v>1.00116433990727</v>
      </c>
      <c r="AE106" s="23" t="n">
        <f aca="false">IF(ISNUMBER(Tabelle1!L113),(0.5*Tabelle1!L101+SUM(Tabelle1!L102:L112)+0.5*Tabelle1!L113)/12,"")</f>
        <v>157.922663333333</v>
      </c>
      <c r="AF106" s="24" t="n">
        <f aca="false">IFERROR(Tabelle1!L107/AE106,"")</f>
        <v>0.980692490431867</v>
      </c>
      <c r="AG106" s="24" t="n">
        <f aca="false">IFERROR(AVERAGEIFS($AF$7:$AF$294,$B$7:$B$294,$B106,$A$7:$A$294,"&gt;="&amp;EDATE($A106,-12*'Seasonal Factors'!$E$4),$A$7:$A$294,"&lt;="&amp;EDATE($A106,12*'Seasonal Factors'!$E$4)),"")</f>
        <v>0.965826039331177</v>
      </c>
      <c r="AH106" s="24" t="n">
        <f aca="false">IFERROR(AG106/AVERAGE(AG101:AG112),"")</f>
        <v>0.965280520794053</v>
      </c>
      <c r="AI106" s="23" t="n">
        <f aca="false">IF(ISNUMBER(Tabelle1!M113),(0.5*Tabelle1!M101+SUM(Tabelle1!M102:M112)+0.5*Tabelle1!M113)/12,"")</f>
        <v>176.037864583333</v>
      </c>
      <c r="AJ106" s="24" t="n">
        <f aca="false">IFERROR(Tabelle1!M107/AI106,"")</f>
        <v>1.0049103948103</v>
      </c>
      <c r="AK106" s="24" t="n">
        <f aca="false">IFERROR(AVERAGEIFS($AJ$7:$AJ$294,$B$7:$B$294,$B106,$A$7:$A$294,"&gt;="&amp;EDATE($A106,-12*'Seasonal Factors'!$E$4),$A$7:$A$294,"&lt;="&amp;EDATE($A106,12*'Seasonal Factors'!$E$4)),"")</f>
        <v>1.02220432155037</v>
      </c>
      <c r="AL106" s="24" t="n">
        <f aca="false">IFERROR(AK106/AVERAGE(AK101:AK112),"")</f>
        <v>1.02202486219351</v>
      </c>
      <c r="AM106" s="23" t="n">
        <f aca="false">IF(ISNUMBER(Tabelle1!N113),(0.5*Tabelle1!N101+SUM(Tabelle1!N102:N112)+0.5*Tabelle1!N113)/12,"")</f>
        <v>175.03557125</v>
      </c>
      <c r="AN106" s="24" t="n">
        <f aca="false">IFERROR(Tabelle1!N107/AM106,"")</f>
        <v>0.970810725994074</v>
      </c>
      <c r="AO106" s="24" t="n">
        <f aca="false">IFERROR(AVERAGEIFS($AN$7:$AN$294,$B$7:$B$294,$B106,$A$7:$A$294,"&gt;="&amp;EDATE($A106,-12*'Seasonal Factors'!$E$4),$A$7:$A$294,"&lt;="&amp;EDATE($A106,12*'Seasonal Factors'!$E$4)),"")</f>
        <v>0.985836629369789</v>
      </c>
      <c r="AP106" s="24" t="n">
        <f aca="false">IFERROR(AO106/AVERAGE(AO101:AO112),"")</f>
        <v>0.986082074613471</v>
      </c>
      <c r="AQ106" s="23" t="n">
        <f aca="false">IF(ISNUMBER(Tabelle1!O113),(0.5*Tabelle1!O101+SUM(Tabelle1!O102:O112)+0.5*Tabelle1!O113)/12,"")</f>
        <v>134.114565416667</v>
      </c>
      <c r="AR106" s="24" t="n">
        <f aca="false">IFERROR(Tabelle1!O107/AQ106,"")</f>
        <v>0.972235712019062</v>
      </c>
      <c r="AS106" s="24" t="n">
        <f aca="false">IFERROR(AVERAGEIFS($AR$7:$AR$294,$B$7:$B$294,$B106,$A$7:$A$294,"&gt;="&amp;EDATE($A106,-12*'Seasonal Factors'!$E$4),$A$7:$A$294,"&lt;="&amp;EDATE($A106,12*'Seasonal Factors'!$E$4)),"")</f>
        <v>0.989567117342461</v>
      </c>
      <c r="AT106" s="24" t="n">
        <f aca="false">IFERROR(AS106/AVERAGE(AS101:AS112),"")</f>
        <v>0.989598696988807</v>
      </c>
      <c r="AU106" s="23" t="n">
        <f aca="false">IF(ISNUMBER(Tabelle1!P113),(0.5*Tabelle1!P101+SUM(Tabelle1!P102:P112)+0.5*Tabelle1!P113)/12,"")</f>
        <v>135.2006975</v>
      </c>
      <c r="AV106" s="24" t="n">
        <f aca="false">IFERROR(Tabelle1!P107/AU106,"")</f>
        <v>0.991621733312434</v>
      </c>
      <c r="AW106" s="24" t="n">
        <f aca="false">IFERROR(AVERAGEIFS($AV$7:$AV$294,$B$7:$B$294,$B106,$A$7:$A$294,"&gt;="&amp;EDATE($A106,-12*'Seasonal Factors'!$E$4),$A$7:$A$294,"&lt;="&amp;EDATE($A106,12*'Seasonal Factors'!$E$4)),"")</f>
        <v>0.990094419804622</v>
      </c>
      <c r="AX106" s="24" t="n">
        <f aca="false">IFERROR(AW106/AVERAGE(AW101:AW112),"")</f>
        <v>0.989973771281493</v>
      </c>
      <c r="AY106" s="23" t="n">
        <f aca="false">IF(ISNUMBER(Tabelle1!Q113),(0.5*Tabelle1!Q101+SUM(Tabelle1!Q102:Q112)+0.5*Tabelle1!Q113)/12,"")</f>
        <v>138.438279166667</v>
      </c>
      <c r="AZ106" s="24" t="n">
        <f aca="false">IFERROR(Tabelle1!Q107/AY106,"")</f>
        <v>0.986523892250779</v>
      </c>
      <c r="BA106" s="24" t="n">
        <f aca="false">IFERROR(AVERAGEIFS($AZ$7:$AZ$294,$B$7:$B$294,$B106,$A$7:$A$294,"&gt;="&amp;EDATE($A106,-12*'Seasonal Factors'!$E$4),$A$7:$A$294,"&lt;="&amp;EDATE($A106,12*'Seasonal Factors'!$E$4)),"")</f>
        <v>0.985969969325036</v>
      </c>
      <c r="BB106" s="24" t="n">
        <f aca="false">IFERROR(BA106/AVERAGE(BA101:BA112),"")</f>
        <v>0.985871193099255</v>
      </c>
      <c r="BC106" s="23" t="n">
        <f aca="false">IF(ISNUMBER(Tabelle1!R113),(0.5*Tabelle1!R101+SUM(Tabelle1!R102:R112)+0.5*Tabelle1!R113)/12,"")</f>
        <v>156.575320416667</v>
      </c>
      <c r="BD106" s="24" t="n">
        <f aca="false">IFERROR(Tabelle1!R107/BC106,"")</f>
        <v>1.05592688272986</v>
      </c>
      <c r="BE106" s="24" t="n">
        <f aca="false">IFERROR(AVERAGEIFS($BD$7:$BD$294,$B$7:$B$294,$B106,$A$7:$A$294,"&gt;="&amp;EDATE($A106,-12*'Seasonal Factors'!$E$4),$A$7:$A$294,"&lt;="&amp;EDATE($A106,12*'Seasonal Factors'!$E$4)),"")</f>
        <v>1.04831310993696</v>
      </c>
      <c r="BF106" s="24" t="n">
        <f aca="false">IFERROR(BE106/AVERAGE(BE101:BE112),"")</f>
        <v>1.04829922762054</v>
      </c>
      <c r="BG106" s="23" t="n">
        <f aca="false">IF(ISNUMBER(Tabelle1!S113),(0.5*Tabelle1!S101+SUM(Tabelle1!S102:S112)+0.5*Tabelle1!S113)/12,"")</f>
        <v>153.395799583333</v>
      </c>
      <c r="BH106" s="24" t="n">
        <f aca="false">IFERROR(Tabelle1!S107/BG106,"")</f>
        <v>0.993082342631182</v>
      </c>
      <c r="BI106" s="24" t="n">
        <f aca="false">IFERROR(AVERAGEIFS($BH$7:$BH$294,$B$7:$B$294,$B106,$A$7:$A$294,"&gt;="&amp;EDATE($A106,-12*'Seasonal Factors'!$E$4),$A$7:$A$294,"&lt;="&amp;EDATE($A106,12*'Seasonal Factors'!$E$4)),"")</f>
        <v>0.99089391481139</v>
      </c>
      <c r="BJ106" s="24" t="n">
        <f aca="false">IFERROR(BI106/AVERAGE(BI101:BI112),"")</f>
        <v>0.990870593433201</v>
      </c>
    </row>
    <row r="107" customFormat="false" ht="15" hidden="false" customHeight="false" outlineLevel="0" collapsed="false">
      <c r="A107" s="20" t="n">
        <v>41060</v>
      </c>
      <c r="B107" s="22" t="n">
        <f aca="false">MONTH(A107)</f>
        <v>5</v>
      </c>
      <c r="C107" s="23" t="n">
        <f aca="false">IF(ISNUMBER(Tabelle1!E114),(0.5*Tabelle1!E102+SUM(Tabelle1!E103:E113)+0.5*Tabelle1!E114)/12,"")</f>
        <v>110.858145416667</v>
      </c>
      <c r="D107" s="24" t="n">
        <f aca="false">IFERROR(Tabelle1!E108/C107,"")</f>
        <v>2.15906164675939</v>
      </c>
      <c r="E107" s="24" t="n">
        <f aca="false">IFERROR(AVERAGEIFS($D$7:$D$294,$B$7:$B$294,$B107,$A$7:$A$294,"&gt;="&amp;EDATE($A107,-12*'Seasonal Factors'!$E$4),$A$7:$A$294,"&lt;="&amp;EDATE($A107,12*'Seasonal Factors'!$E$4)),"")</f>
        <v>2.47753166312324</v>
      </c>
      <c r="F107" s="24" t="n">
        <f aca="false">IFERROR(E107/AVERAGE(E102:E113),"")</f>
        <v>2.47922846475555</v>
      </c>
      <c r="G107" s="23" t="n">
        <f aca="false">IF(ISNUMBER(Tabelle1!F114),(0.5*Tabelle1!F102+SUM(Tabelle1!F103:F113)+0.5*Tabelle1!F114)/12,"")</f>
        <v>120.598282083333</v>
      </c>
      <c r="H107" s="24" t="n">
        <f aca="false">IFERROR(Tabelle1!F108/G107,"")</f>
        <v>1.06198900836333</v>
      </c>
      <c r="I107" s="24" t="n">
        <f aca="false">IFERROR(AVERAGEIFS($H$7:$H$294,$B$7:$B$294,$B107,$A$7:$A$294,"&gt;="&amp;EDATE($A107,-12*'Seasonal Factors'!$E$4),$A$7:$A$294,"&lt;="&amp;EDATE($A107,12*'Seasonal Factors'!$E$4)),"")</f>
        <v>1.23184024386641</v>
      </c>
      <c r="J107" s="24" t="n">
        <f aca="false">IFERROR(I107/AVERAGE(I102:I113),"")</f>
        <v>1.22663076199741</v>
      </c>
      <c r="K107" s="23" t="n">
        <f aca="false">IF(ISNUMBER(Tabelle1!G114),(0.5*Tabelle1!G102+SUM(Tabelle1!G103:G113)+0.5*Tabelle1!G114)/12,"")</f>
        <v>96.55693</v>
      </c>
      <c r="L107" s="24" t="n">
        <f aca="false">IFERROR(Tabelle1!G108/K107,"")</f>
        <v>1.02250299382965</v>
      </c>
      <c r="M107" s="24" t="n">
        <f aca="false">IFERROR(AVERAGEIFS($L$7:$L$294,$B$7:$B$294,$B107,$A$7:$A$294,"&gt;="&amp;EDATE($A107,-12*'Seasonal Factors'!$E$4),$A$7:$A$294,"&lt;="&amp;EDATE($A107,12*'Seasonal Factors'!$E$4)),"")</f>
        <v>1.00957281080972</v>
      </c>
      <c r="N107" s="24" t="n">
        <f aca="false">IFERROR(M107/AVERAGE(M102:M113),"")</f>
        <v>1.00918996636799</v>
      </c>
      <c r="O107" s="23" t="n">
        <f aca="false">IF(ISNUMBER(Tabelle1!H114),(0.5*Tabelle1!H102+SUM(Tabelle1!H103:H113)+0.5*Tabelle1!H114)/12,"")</f>
        <v>140.4352925</v>
      </c>
      <c r="P107" s="24" t="n">
        <f aca="false">IFERROR(Tabelle1!H108/O107,"")</f>
        <v>1.01090251227269</v>
      </c>
      <c r="Q107" s="24" t="n">
        <f aca="false">IFERROR(AVERAGEIFS($P$7:$P$294,$B$7:$B$294,$B107,$A$7:$A$294,"&gt;="&amp;EDATE($A107,-12*'Seasonal Factors'!$E$4),$A$7:$A$294,"&lt;="&amp;EDATE($A107,12*'Seasonal Factors'!$E$4)),"")</f>
        <v>1.02767739103988</v>
      </c>
      <c r="R107" s="24" t="n">
        <f aca="false">IFERROR(Q107/AVERAGE(Q102:Q113),"")</f>
        <v>1.02706254186242</v>
      </c>
      <c r="S107" s="23" t="n">
        <f aca="false">IF(ISNUMBER(Tabelle1!I114),(0.5*Tabelle1!I102+SUM(Tabelle1!I103:I113)+0.5*Tabelle1!I114)/12,"")</f>
        <v>133.68247875</v>
      </c>
      <c r="T107" s="24" t="n">
        <f aca="false">IFERROR(Tabelle1!I108/S107,"")</f>
        <v>0.982985662958468</v>
      </c>
      <c r="U107" s="24" t="n">
        <f aca="false">IFERROR(AVERAGEIFS($T$7:$T$294,$B$7:$B$294,$B107,$A$7:$A$294,"&gt;="&amp;EDATE($A107,-12*'Seasonal Factors'!$E$4),$A$7:$A$294,"&lt;="&amp;EDATE($A107,12*'Seasonal Factors'!$E$4)),"")</f>
        <v>1.00507702187206</v>
      </c>
      <c r="V107" s="24" t="n">
        <f aca="false">IFERROR(U107/AVERAGE(U102:U113),"")</f>
        <v>1.00498816139494</v>
      </c>
      <c r="W107" s="23" t="n">
        <f aca="false">IF(ISNUMBER(Tabelle1!J114),(0.5*Tabelle1!J102+SUM(Tabelle1!J103:J113)+0.5*Tabelle1!J114)/12,"")</f>
        <v>150.728915</v>
      </c>
      <c r="X107" s="24" t="n">
        <f aca="false">IFERROR(Tabelle1!J108/W107,"")</f>
        <v>0.995236713539668</v>
      </c>
      <c r="Y107" s="24" t="n">
        <f aca="false">IFERROR(AVERAGEIFS($X$7:$X$294,$B$7:$B$294,$B107,$A$7:$A$294,"&gt;="&amp;EDATE($A107,-12*'Seasonal Factors'!$E$4),$A$7:$A$294,"&lt;="&amp;EDATE($A107,12*'Seasonal Factors'!$E$4)),"")</f>
        <v>0.998462136059113</v>
      </c>
      <c r="Z107" s="24" t="n">
        <f aca="false">IFERROR(Y107/AVERAGE(Y102:Y113),"")</f>
        <v>0.998989910467698</v>
      </c>
      <c r="AA107" s="23" t="n">
        <f aca="false">IF(ISNUMBER(Tabelle1!K114),(0.5*Tabelle1!K102+SUM(Tabelle1!K103:K113)+0.5*Tabelle1!K114)/12,"")</f>
        <v>159.905149583333</v>
      </c>
      <c r="AB107" s="24" t="n">
        <f aca="false">IFERROR(Tabelle1!K108/AA107,"")</f>
        <v>1.00351871355071</v>
      </c>
      <c r="AC107" s="24" t="n">
        <f aca="false">IFERROR(AVERAGEIFS($AB$7:$AB$294,$B$7:$B$294,$B107,$A$7:$A$294,"&gt;="&amp;EDATE($A107,-12*'Seasonal Factors'!$E$4),$A$7:$A$294,"&lt;="&amp;EDATE($A107,12*'Seasonal Factors'!$E$4)),"")</f>
        <v>1.01619564901953</v>
      </c>
      <c r="AD107" s="24" t="n">
        <f aca="false">IFERROR(AC107/AVERAGE(AC102:AC113),"")</f>
        <v>1.01563631319567</v>
      </c>
      <c r="AE107" s="23" t="n">
        <f aca="false">IF(ISNUMBER(Tabelle1!L114),(0.5*Tabelle1!L102+SUM(Tabelle1!L103:L113)+0.5*Tabelle1!L114)/12,"")</f>
        <v>158.006849583333</v>
      </c>
      <c r="AF107" s="24" t="n">
        <f aca="false">IFERROR(Tabelle1!L108/AE107,"")</f>
        <v>0.94071807894383</v>
      </c>
      <c r="AG107" s="24" t="n">
        <f aca="false">IFERROR(AVERAGEIFS($AF$7:$AF$294,$B$7:$B$294,$B107,$A$7:$A$294,"&gt;="&amp;EDATE($A107,-12*'Seasonal Factors'!$E$4),$A$7:$A$294,"&lt;="&amp;EDATE($A107,12*'Seasonal Factors'!$E$4)),"")</f>
        <v>0.938720031664847</v>
      </c>
      <c r="AH107" s="24" t="n">
        <f aca="false">IFERROR(AG107/AVERAGE(AG102:AG113),"")</f>
        <v>0.938062459519682</v>
      </c>
      <c r="AI107" s="23" t="n">
        <f aca="false">IF(ISNUMBER(Tabelle1!M114),(0.5*Tabelle1!M102+SUM(Tabelle1!M103:M113)+0.5*Tabelle1!M114)/12,"")</f>
        <v>176.18392375</v>
      </c>
      <c r="AJ107" s="24" t="n">
        <f aca="false">IFERROR(Tabelle1!M108/AI107,"")</f>
        <v>1.06400831591197</v>
      </c>
      <c r="AK107" s="24" t="n">
        <f aca="false">IFERROR(AVERAGEIFS($AJ$7:$AJ$294,$B$7:$B$294,$B107,$A$7:$A$294,"&gt;="&amp;EDATE($A107,-12*'Seasonal Factors'!$E$4),$A$7:$A$294,"&lt;="&amp;EDATE($A107,12*'Seasonal Factors'!$E$4)),"")</f>
        <v>1.07443792626348</v>
      </c>
      <c r="AL107" s="24" t="n">
        <f aca="false">IFERROR(AK107/AVERAGE(AK102:AK113),"")</f>
        <v>1.07421980835918</v>
      </c>
      <c r="AM107" s="23" t="n">
        <f aca="false">IF(ISNUMBER(Tabelle1!N114),(0.5*Tabelle1!N102+SUM(Tabelle1!N103:N113)+0.5*Tabelle1!N114)/12,"")</f>
        <v>176.168190833333</v>
      </c>
      <c r="AN107" s="24" t="n">
        <f aca="false">IFERROR(Tabelle1!N108/AM107,"")</f>
        <v>0.991958929551172</v>
      </c>
      <c r="AO107" s="24" t="n">
        <f aca="false">IFERROR(AVERAGEIFS($AN$7:$AN$294,$B$7:$B$294,$B107,$A$7:$A$294,"&gt;="&amp;EDATE($A107,-12*'Seasonal Factors'!$E$4),$A$7:$A$294,"&lt;="&amp;EDATE($A107,12*'Seasonal Factors'!$E$4)),"")</f>
        <v>0.988227151567379</v>
      </c>
      <c r="AP107" s="24" t="n">
        <f aca="false">IFERROR(AO107/AVERAGE(AO102:AO113),"")</f>
        <v>0.988485609924803</v>
      </c>
      <c r="AQ107" s="23" t="n">
        <f aca="false">IF(ISNUMBER(Tabelle1!O114),(0.5*Tabelle1!O102+SUM(Tabelle1!O103:O113)+0.5*Tabelle1!O114)/12,"")</f>
        <v>133.817047916667</v>
      </c>
      <c r="AR107" s="24" t="n">
        <f aca="false">IFERROR(Tabelle1!O108/AQ107,"")</f>
        <v>1.01158112592873</v>
      </c>
      <c r="AS107" s="24" t="n">
        <f aca="false">IFERROR(AVERAGEIFS($AR$7:$AR$294,$B$7:$B$294,$B107,$A$7:$A$294,"&gt;="&amp;EDATE($A107,-12*'Seasonal Factors'!$E$4),$A$7:$A$294,"&lt;="&amp;EDATE($A107,12*'Seasonal Factors'!$E$4)),"")</f>
        <v>1.00648523162834</v>
      </c>
      <c r="AT107" s="24" t="n">
        <f aca="false">IFERROR(AS107/AVERAGE(AS102:AS113),"")</f>
        <v>1.00656935039675</v>
      </c>
      <c r="AU107" s="23" t="n">
        <f aca="false">IF(ISNUMBER(Tabelle1!P114),(0.5*Tabelle1!P102+SUM(Tabelle1!P103:P113)+0.5*Tabelle1!P114)/12,"")</f>
        <v>135.52104875</v>
      </c>
      <c r="AV107" s="24" t="n">
        <f aca="false">IFERROR(Tabelle1!P108/AU107,"")</f>
        <v>0.994333952127123</v>
      </c>
      <c r="AW107" s="24" t="n">
        <f aca="false">IFERROR(AVERAGEIFS($AV$7:$AV$294,$B$7:$B$294,$B107,$A$7:$A$294,"&gt;="&amp;EDATE($A107,-12*'Seasonal Factors'!$E$4),$A$7:$A$294,"&lt;="&amp;EDATE($A107,12*'Seasonal Factors'!$E$4)),"")</f>
        <v>0.99412665978522</v>
      </c>
      <c r="AX107" s="24" t="n">
        <f aca="false">IFERROR(AW107/AVERAGE(AW102:AW113),"")</f>
        <v>0.994132277225494</v>
      </c>
      <c r="AY107" s="23" t="n">
        <f aca="false">IF(ISNUMBER(Tabelle1!Q114),(0.5*Tabelle1!Q102+SUM(Tabelle1!Q103:Q113)+0.5*Tabelle1!Q114)/12,"")</f>
        <v>138.821024166667</v>
      </c>
      <c r="AZ107" s="24" t="n">
        <f aca="false">IFERROR(Tabelle1!Q108/AY107,"")</f>
        <v>0.994284409213737</v>
      </c>
      <c r="BA107" s="24" t="n">
        <f aca="false">IFERROR(AVERAGEIFS($AZ$7:$AZ$294,$B$7:$B$294,$B107,$A$7:$A$294,"&gt;="&amp;EDATE($A107,-12*'Seasonal Factors'!$E$4),$A$7:$A$294,"&lt;="&amp;EDATE($A107,12*'Seasonal Factors'!$E$4)),"")</f>
        <v>0.994506345941578</v>
      </c>
      <c r="BB107" s="24" t="n">
        <f aca="false">IFERROR(BA107/AVERAGE(BA102:BA113),"")</f>
        <v>0.994466662112725</v>
      </c>
      <c r="BC107" s="23" t="n">
        <f aca="false">IF(ISNUMBER(Tabelle1!R114),(0.5*Tabelle1!R102+SUM(Tabelle1!R103:R113)+0.5*Tabelle1!R114)/12,"")</f>
        <v>157.279142916667</v>
      </c>
      <c r="BD107" s="24" t="n">
        <f aca="false">IFERROR(Tabelle1!R108/BC107,"")</f>
        <v>1.06849342438902</v>
      </c>
      <c r="BE107" s="24" t="n">
        <f aca="false">IFERROR(AVERAGEIFS($BD$7:$BD$294,$B$7:$B$294,$B107,$A$7:$A$294,"&gt;="&amp;EDATE($A107,-12*'Seasonal Factors'!$E$4),$A$7:$A$294,"&lt;="&amp;EDATE($A107,12*'Seasonal Factors'!$E$4)),"")</f>
        <v>1.06395543235183</v>
      </c>
      <c r="BF107" s="24" t="n">
        <f aca="false">IFERROR(BE107/AVERAGE(BE102:BE113),"")</f>
        <v>1.06407874542334</v>
      </c>
      <c r="BG107" s="23" t="n">
        <f aca="false">IF(ISNUMBER(Tabelle1!S114),(0.5*Tabelle1!S102+SUM(Tabelle1!S103:S113)+0.5*Tabelle1!S114)/12,"")</f>
        <v>153.806503333333</v>
      </c>
      <c r="BH107" s="24" t="n">
        <f aca="false">IFERROR(Tabelle1!S108/BG107,"")</f>
        <v>0.998333923938327</v>
      </c>
      <c r="BI107" s="24" t="n">
        <f aca="false">IFERROR(AVERAGEIFS($BH$7:$BH$294,$B$7:$B$294,$B107,$A$7:$A$294,"&gt;="&amp;EDATE($A107,-12*'Seasonal Factors'!$E$4),$A$7:$A$294,"&lt;="&amp;EDATE($A107,12*'Seasonal Factors'!$E$4)),"")</f>
        <v>0.997616255119061</v>
      </c>
      <c r="BJ107" s="24" t="n">
        <f aca="false">IFERROR(BI107/AVERAGE(BI102:BI113),"")</f>
        <v>0.997456626879657</v>
      </c>
    </row>
    <row r="108" customFormat="false" ht="15" hidden="false" customHeight="false" outlineLevel="0" collapsed="false">
      <c r="A108" s="20" t="n">
        <v>41090</v>
      </c>
      <c r="B108" s="22" t="n">
        <f aca="false">MONTH(A108)</f>
        <v>6</v>
      </c>
      <c r="C108" s="23" t="n">
        <f aca="false">IF(ISNUMBER(Tabelle1!E115),(0.5*Tabelle1!E103+SUM(Tabelle1!E104:E114)+0.5*Tabelle1!E115)/12,"")</f>
        <v>110.1676725</v>
      </c>
      <c r="D108" s="24" t="n">
        <f aca="false">IFERROR(Tabelle1!E109/C108,"")</f>
        <v>1.47067316866479</v>
      </c>
      <c r="E108" s="24" t="n">
        <f aca="false">IFERROR(AVERAGEIFS($D$7:$D$294,$B$7:$B$294,$B108,$A$7:$A$294,"&gt;="&amp;EDATE($A108,-12*'Seasonal Factors'!$E$4),$A$7:$A$294,"&lt;="&amp;EDATE($A108,12*'Seasonal Factors'!$E$4)),"")</f>
        <v>1.65694731738867</v>
      </c>
      <c r="F108" s="24" t="n">
        <f aca="false">IFERROR(E108/AVERAGE(E103:E114),"")</f>
        <v>1.65870099627045</v>
      </c>
      <c r="G108" s="23" t="n">
        <f aca="false">IF(ISNUMBER(Tabelle1!F115),(0.5*Tabelle1!F103+SUM(Tabelle1!F104:F114)+0.5*Tabelle1!F115)/12,"")</f>
        <v>121.72982625</v>
      </c>
      <c r="H108" s="24" t="n">
        <f aca="false">IFERROR(Tabelle1!F109/G108,"")</f>
        <v>0.893354598047823</v>
      </c>
      <c r="I108" s="24" t="n">
        <f aca="false">IFERROR(AVERAGEIFS($H$7:$H$294,$B$7:$B$294,$B108,$A$7:$A$294,"&gt;="&amp;EDATE($A108,-12*'Seasonal Factors'!$E$4),$A$7:$A$294,"&lt;="&amp;EDATE($A108,12*'Seasonal Factors'!$E$4)),"")</f>
        <v>1.34839689242875</v>
      </c>
      <c r="J108" s="24" t="n">
        <f aca="false">IFERROR(I108/AVERAGE(I103:I114),"")</f>
        <v>1.34216737743962</v>
      </c>
      <c r="K108" s="23" t="n">
        <f aca="false">IF(ISNUMBER(Tabelle1!G115),(0.5*Tabelle1!G103+SUM(Tabelle1!G104:G114)+0.5*Tabelle1!G115)/12,"")</f>
        <v>96.13508125</v>
      </c>
      <c r="L108" s="24" t="n">
        <f aca="false">IFERROR(Tabelle1!G109/K108,"")</f>
        <v>0.978606860021768</v>
      </c>
      <c r="M108" s="24" t="n">
        <f aca="false">IFERROR(AVERAGEIFS($L$7:$L$294,$B$7:$B$294,$B108,$A$7:$A$294,"&gt;="&amp;EDATE($A108,-12*'Seasonal Factors'!$E$4),$A$7:$A$294,"&lt;="&amp;EDATE($A108,12*'Seasonal Factors'!$E$4)),"")</f>
        <v>0.98379376761187</v>
      </c>
      <c r="N108" s="24" t="n">
        <f aca="false">IFERROR(M108/AVERAGE(M103:M114),"")</f>
        <v>0.983703647015732</v>
      </c>
      <c r="O108" s="23" t="n">
        <f aca="false">IF(ISNUMBER(Tabelle1!H115),(0.5*Tabelle1!H103+SUM(Tabelle1!H104:H114)+0.5*Tabelle1!H115)/12,"")</f>
        <v>140.392991666667</v>
      </c>
      <c r="P108" s="24" t="n">
        <f aca="false">IFERROR(Tabelle1!H109/O108,"")</f>
        <v>0.983716554227333</v>
      </c>
      <c r="Q108" s="24" t="n">
        <f aca="false">IFERROR(AVERAGEIFS($P$7:$P$294,$B$7:$B$294,$B108,$A$7:$A$294,"&gt;="&amp;EDATE($A108,-12*'Seasonal Factors'!$E$4),$A$7:$A$294,"&lt;="&amp;EDATE($A108,12*'Seasonal Factors'!$E$4)),"")</f>
        <v>1.00327361989172</v>
      </c>
      <c r="R108" s="24" t="n">
        <f aca="false">IFERROR(Q108/AVERAGE(Q103:Q114),"")</f>
        <v>1.00258736673135</v>
      </c>
      <c r="S108" s="23" t="n">
        <f aca="false">IF(ISNUMBER(Tabelle1!I115),(0.5*Tabelle1!I103+SUM(Tabelle1!I104:I114)+0.5*Tabelle1!I115)/12,"")</f>
        <v>133.934969583333</v>
      </c>
      <c r="T108" s="24" t="n">
        <f aca="false">IFERROR(Tabelle1!I109/S108,"")</f>
        <v>1.00826789612983</v>
      </c>
      <c r="U108" s="24" t="n">
        <f aca="false">IFERROR(AVERAGEIFS($T$7:$T$294,$B$7:$B$294,$B108,$A$7:$A$294,"&gt;="&amp;EDATE($A108,-12*'Seasonal Factors'!$E$4),$A$7:$A$294,"&lt;="&amp;EDATE($A108,12*'Seasonal Factors'!$E$4)),"")</f>
        <v>1.02903553701302</v>
      </c>
      <c r="V108" s="24" t="n">
        <f aca="false">IFERROR(U108/AVERAGE(U103:U114),"")</f>
        <v>1.02879120619518</v>
      </c>
      <c r="W108" s="23" t="n">
        <f aca="false">IF(ISNUMBER(Tabelle1!J115),(0.5*Tabelle1!J103+SUM(Tabelle1!J104:J114)+0.5*Tabelle1!J115)/12,"")</f>
        <v>150.302000833333</v>
      </c>
      <c r="X108" s="24" t="n">
        <f aca="false">IFERROR(Tabelle1!J109/W108,"")</f>
        <v>0.983233950184551</v>
      </c>
      <c r="Y108" s="24" t="n">
        <f aca="false">IFERROR(AVERAGEIFS($X$7:$X$294,$B$7:$B$294,$B108,$A$7:$A$294,"&gt;="&amp;EDATE($A108,-12*'Seasonal Factors'!$E$4),$A$7:$A$294,"&lt;="&amp;EDATE($A108,12*'Seasonal Factors'!$E$4)),"")</f>
        <v>0.990459790924687</v>
      </c>
      <c r="Z108" s="24" t="n">
        <f aca="false">IFERROR(Y108/AVERAGE(Y103:Y114),"")</f>
        <v>0.991004582495591</v>
      </c>
      <c r="AA108" s="23" t="n">
        <f aca="false">IF(ISNUMBER(Tabelle1!K115),(0.5*Tabelle1!K103+SUM(Tabelle1!K104:K114)+0.5*Tabelle1!K115)/12,"")</f>
        <v>159.841720833333</v>
      </c>
      <c r="AB108" s="24" t="n">
        <f aca="false">IFERROR(Tabelle1!K109/AA108,"")</f>
        <v>0.993921419087158</v>
      </c>
      <c r="AC108" s="24" t="n">
        <f aca="false">IFERROR(AVERAGEIFS($AB$7:$AB$294,$B$7:$B$294,$B108,$A$7:$A$294,"&gt;="&amp;EDATE($A108,-12*'Seasonal Factors'!$E$4),$A$7:$A$294,"&lt;="&amp;EDATE($A108,12*'Seasonal Factors'!$E$4)),"")</f>
        <v>1.01780580729685</v>
      </c>
      <c r="AD108" s="24" t="n">
        <f aca="false">IFERROR(AC108/AVERAGE(AC103:AC114),"")</f>
        <v>1.01704544195263</v>
      </c>
      <c r="AE108" s="23" t="n">
        <f aca="false">IF(ISNUMBER(Tabelle1!L115),(0.5*Tabelle1!L103+SUM(Tabelle1!L104:L114)+0.5*Tabelle1!L115)/12,"")</f>
        <v>158.108845833333</v>
      </c>
      <c r="AF108" s="24" t="n">
        <f aca="false">IFERROR(Tabelle1!L109/AE108,"")</f>
        <v>0.934624493785571</v>
      </c>
      <c r="AG108" s="24" t="n">
        <f aca="false">IFERROR(AVERAGEIFS($AF$7:$AF$294,$B$7:$B$294,$B108,$A$7:$A$294,"&gt;="&amp;EDATE($A108,-12*'Seasonal Factors'!$E$4),$A$7:$A$294,"&lt;="&amp;EDATE($A108,12*'Seasonal Factors'!$E$4)),"")</f>
        <v>0.926210108267241</v>
      </c>
      <c r="AH108" s="24" t="n">
        <f aca="false">IFERROR(AG108/AVERAGE(AG103:AG114),"")</f>
        <v>0.925387172691849</v>
      </c>
      <c r="AI108" s="23" t="n">
        <f aca="false">IF(ISNUMBER(Tabelle1!M115),(0.5*Tabelle1!M103+SUM(Tabelle1!M104:M114)+0.5*Tabelle1!M115)/12,"")</f>
        <v>176.2807175</v>
      </c>
      <c r="AJ108" s="24" t="n">
        <f aca="false">IFERROR(Tabelle1!M109/AI108,"")</f>
        <v>1.02650081396452</v>
      </c>
      <c r="AK108" s="24" t="n">
        <f aca="false">IFERROR(AVERAGEIFS($AJ$7:$AJ$294,$B$7:$B$294,$B108,$A$7:$A$294,"&gt;="&amp;EDATE($A108,-12*'Seasonal Factors'!$E$4),$A$7:$A$294,"&lt;="&amp;EDATE($A108,12*'Seasonal Factors'!$E$4)),"")</f>
        <v>1.03303168833809</v>
      </c>
      <c r="AL108" s="24" t="n">
        <f aca="false">IFERROR(AK108/AVERAGE(AK103:AK114),"")</f>
        <v>1.03292114530414</v>
      </c>
      <c r="AM108" s="23" t="n">
        <f aca="false">IF(ISNUMBER(Tabelle1!N115),(0.5*Tabelle1!N103+SUM(Tabelle1!N104:N114)+0.5*Tabelle1!N115)/12,"")</f>
        <v>177.3444225</v>
      </c>
      <c r="AN108" s="24" t="n">
        <f aca="false">IFERROR(Tabelle1!N109/AM108,"")</f>
        <v>0.996022697020539</v>
      </c>
      <c r="AO108" s="24" t="n">
        <f aca="false">IFERROR(AVERAGEIFS($AN$7:$AN$294,$B$7:$B$294,$B108,$A$7:$A$294,"&gt;="&amp;EDATE($A108,-12*'Seasonal Factors'!$E$4),$A$7:$A$294,"&lt;="&amp;EDATE($A108,12*'Seasonal Factors'!$E$4)),"")</f>
        <v>1.01430974125389</v>
      </c>
      <c r="AP108" s="24" t="n">
        <f aca="false">IFERROR(AO108/AVERAGE(AO103:AO114),"")</f>
        <v>1.01420534398044</v>
      </c>
      <c r="AQ108" s="23" t="n">
        <f aca="false">IF(ISNUMBER(Tabelle1!O115),(0.5*Tabelle1!O103+SUM(Tabelle1!O104:O114)+0.5*Tabelle1!O115)/12,"")</f>
        <v>133.5072925</v>
      </c>
      <c r="AR108" s="24" t="n">
        <f aca="false">IFERROR(Tabelle1!O109/AQ108,"")</f>
        <v>1.01839807739341</v>
      </c>
      <c r="AS108" s="24" t="n">
        <f aca="false">IFERROR(AVERAGEIFS($AR$7:$AR$294,$B$7:$B$294,$B108,$A$7:$A$294,"&gt;="&amp;EDATE($A108,-12*'Seasonal Factors'!$E$4),$A$7:$A$294,"&lt;="&amp;EDATE($A108,12*'Seasonal Factors'!$E$4)),"")</f>
        <v>1.0201540446555</v>
      </c>
      <c r="AT108" s="24" t="n">
        <f aca="false">IFERROR(AS108/AVERAGE(AS103:AS114),"")</f>
        <v>1.0199567116162</v>
      </c>
      <c r="AU108" s="23" t="n">
        <f aca="false">IF(ISNUMBER(Tabelle1!P115),(0.5*Tabelle1!P103+SUM(Tabelle1!P104:P114)+0.5*Tabelle1!P115)/12,"")</f>
        <v>135.816630416667</v>
      </c>
      <c r="AV108" s="24" t="n">
        <f aca="false">IFERROR(Tabelle1!P109/AU108,"")</f>
        <v>1.00633059133256</v>
      </c>
      <c r="AW108" s="24" t="n">
        <f aca="false">IFERROR(AVERAGEIFS($AV$7:$AV$294,$B$7:$B$294,$B108,$A$7:$A$294,"&gt;="&amp;EDATE($A108,-12*'Seasonal Factors'!$E$4),$A$7:$A$294,"&lt;="&amp;EDATE($A108,12*'Seasonal Factors'!$E$4)),"")</f>
        <v>1.00494075405084</v>
      </c>
      <c r="AX108" s="24" t="n">
        <f aca="false">IFERROR(AW108/AVERAGE(AW103:AW114),"")</f>
        <v>1.00508678186316</v>
      </c>
      <c r="AY108" s="23" t="n">
        <f aca="false">IF(ISNUMBER(Tabelle1!Q115),(0.5*Tabelle1!Q103+SUM(Tabelle1!Q104:Q114)+0.5*Tabelle1!Q115)/12,"")</f>
        <v>139.180913333333</v>
      </c>
      <c r="AZ108" s="24" t="n">
        <f aca="false">IFERROR(Tabelle1!Q109/AY108,"")</f>
        <v>1.01547048812296</v>
      </c>
      <c r="BA108" s="24" t="n">
        <f aca="false">IFERROR(AVERAGEIFS($AZ$7:$AZ$294,$B$7:$B$294,$B108,$A$7:$A$294,"&gt;="&amp;EDATE($A108,-12*'Seasonal Factors'!$E$4),$A$7:$A$294,"&lt;="&amp;EDATE($A108,12*'Seasonal Factors'!$E$4)),"")</f>
        <v>1.01310975789641</v>
      </c>
      <c r="BB108" s="24" t="n">
        <f aca="false">IFERROR(BA108/AVERAGE(BA103:BA114),"")</f>
        <v>1.01309840690645</v>
      </c>
      <c r="BC108" s="23" t="n">
        <f aca="false">IF(ISNUMBER(Tabelle1!R115),(0.5*Tabelle1!R103+SUM(Tabelle1!R104:R114)+0.5*Tabelle1!R115)/12,"")</f>
        <v>157.94176875</v>
      </c>
      <c r="BD108" s="24" t="n">
        <f aca="false">IFERROR(Tabelle1!R109/BC108,"")</f>
        <v>1.0931638373209</v>
      </c>
      <c r="BE108" s="24" t="n">
        <f aca="false">IFERROR(AVERAGEIFS($BD$7:$BD$294,$B$7:$B$294,$B108,$A$7:$A$294,"&gt;="&amp;EDATE($A108,-12*'Seasonal Factors'!$E$4),$A$7:$A$294,"&lt;="&amp;EDATE($A108,12*'Seasonal Factors'!$E$4)),"")</f>
        <v>1.0852684691204</v>
      </c>
      <c r="BF108" s="24" t="n">
        <f aca="false">IFERROR(BE108/AVERAGE(BE103:BE114),"")</f>
        <v>1.08566666204796</v>
      </c>
      <c r="BG108" s="23" t="n">
        <f aca="false">IF(ISNUMBER(Tabelle1!S115),(0.5*Tabelle1!S103+SUM(Tabelle1!S104:S114)+0.5*Tabelle1!S115)/12,"")</f>
        <v>154.00436</v>
      </c>
      <c r="BH108" s="24" t="n">
        <f aca="false">IFERROR(Tabelle1!S109/BG108,"")</f>
        <v>1.01198673855727</v>
      </c>
      <c r="BI108" s="24" t="n">
        <f aca="false">IFERROR(AVERAGEIFS($BH$7:$BH$294,$B$7:$B$294,$B108,$A$7:$A$294,"&gt;="&amp;EDATE($A108,-12*'Seasonal Factors'!$E$4),$A$7:$A$294,"&lt;="&amp;EDATE($A108,12*'Seasonal Factors'!$E$4)),"")</f>
        <v>1.01165234470649</v>
      </c>
      <c r="BJ108" s="24" t="n">
        <f aca="false">IFERROR(BI108/AVERAGE(BI103:BI114),"")</f>
        <v>1.0116576479112</v>
      </c>
    </row>
    <row r="109" customFormat="false" ht="15" hidden="false" customHeight="false" outlineLevel="0" collapsed="false">
      <c r="A109" s="20" t="n">
        <v>41121</v>
      </c>
      <c r="B109" s="22" t="n">
        <f aca="false">MONTH(A109)</f>
        <v>7</v>
      </c>
      <c r="C109" s="23" t="n">
        <f aca="false">IF(ISNUMBER(Tabelle1!E116),(0.5*Tabelle1!E104+SUM(Tabelle1!E105:E115)+0.5*Tabelle1!E116)/12,"")</f>
        <v>109.256650416667</v>
      </c>
      <c r="D109" s="24" t="n">
        <f aca="false">IFERROR(Tabelle1!E110/C109,"")</f>
        <v>0.931024332267859</v>
      </c>
      <c r="E109" s="24" t="n">
        <f aca="false">IFERROR(AVERAGEIFS($D$7:$D$294,$B$7:$B$294,$B109,$A$7:$A$294,"&gt;="&amp;EDATE($A109,-12*'Seasonal Factors'!$E$4),$A$7:$A$294,"&lt;="&amp;EDATE($A109,12*'Seasonal Factors'!$E$4)),"")</f>
        <v>0.884965667496574</v>
      </c>
      <c r="F109" s="24" t="n">
        <f aca="false">IFERROR(E109/AVERAGE(E104:E115),"")</f>
        <v>0.886002029113536</v>
      </c>
      <c r="G109" s="23" t="n">
        <f aca="false">IF(ISNUMBER(Tabelle1!F116),(0.5*Tabelle1!F104+SUM(Tabelle1!F105:F115)+0.5*Tabelle1!F116)/12,"")</f>
        <v>121.924520416667</v>
      </c>
      <c r="H109" s="24" t="n">
        <f aca="false">IFERROR(Tabelle1!F110/G109,"")</f>
        <v>1.23706732234464</v>
      </c>
      <c r="I109" s="24" t="n">
        <f aca="false">IFERROR(AVERAGEIFS($H$7:$H$294,$B$7:$B$294,$B109,$A$7:$A$294,"&gt;="&amp;EDATE($A109,-12*'Seasonal Factors'!$E$4),$A$7:$A$294,"&lt;="&amp;EDATE($A109,12*'Seasonal Factors'!$E$4)),"")</f>
        <v>1.2965945673552</v>
      </c>
      <c r="J109" s="24" t="n">
        <f aca="false">IFERROR(I109/AVERAGE(I104:I115),"")</f>
        <v>1.28853148049235</v>
      </c>
      <c r="K109" s="23" t="n">
        <f aca="false">IF(ISNUMBER(Tabelle1!G116),(0.5*Tabelle1!G104+SUM(Tabelle1!G105:G115)+0.5*Tabelle1!G116)/12,"")</f>
        <v>95.9113245833333</v>
      </c>
      <c r="L109" s="24" t="n">
        <f aca="false">IFERROR(Tabelle1!G110/K109,"")</f>
        <v>1.02503516062465</v>
      </c>
      <c r="M109" s="24" t="n">
        <f aca="false">IFERROR(AVERAGEIFS($L$7:$L$294,$B$7:$B$294,$B109,$A$7:$A$294,"&gt;="&amp;EDATE($A109,-12*'Seasonal Factors'!$E$4),$A$7:$A$294,"&lt;="&amp;EDATE($A109,12*'Seasonal Factors'!$E$4)),"")</f>
        <v>1.02326252827617</v>
      </c>
      <c r="N109" s="24" t="n">
        <f aca="false">IFERROR(M109/AVERAGE(M104:M115),"")</f>
        <v>1.02322260084954</v>
      </c>
      <c r="O109" s="23" t="n">
        <f aca="false">IF(ISNUMBER(Tabelle1!H116),(0.5*Tabelle1!H104+SUM(Tabelle1!H105:H115)+0.5*Tabelle1!H116)/12,"")</f>
        <v>140.39363375</v>
      </c>
      <c r="P109" s="24" t="n">
        <f aca="false">IFERROR(Tabelle1!H110/O109,"")</f>
        <v>1.02695753467525</v>
      </c>
      <c r="Q109" s="24" t="n">
        <f aca="false">IFERROR(AVERAGEIFS($P$7:$P$294,$B$7:$B$294,$B109,$A$7:$A$294,"&gt;="&amp;EDATE($A109,-12*'Seasonal Factors'!$E$4),$A$7:$A$294,"&lt;="&amp;EDATE($A109,12*'Seasonal Factors'!$E$4)),"")</f>
        <v>1.02338118655129</v>
      </c>
      <c r="R109" s="24" t="n">
        <f aca="false">IFERROR(Q109/AVERAGE(Q104:Q115),"")</f>
        <v>1.02323791084626</v>
      </c>
      <c r="S109" s="23" t="n">
        <f aca="false">IF(ISNUMBER(Tabelle1!I116),(0.5*Tabelle1!I104+SUM(Tabelle1!I105:I115)+0.5*Tabelle1!I116)/12,"")</f>
        <v>133.850405</v>
      </c>
      <c r="T109" s="24" t="n">
        <f aca="false">IFERROR(Tabelle1!I110/S109,"")</f>
        <v>1.06530660105212</v>
      </c>
      <c r="U109" s="24" t="n">
        <f aca="false">IFERROR(AVERAGEIFS($T$7:$T$294,$B$7:$B$294,$B109,$A$7:$A$294,"&gt;="&amp;EDATE($A109,-12*'Seasonal Factors'!$E$4),$A$7:$A$294,"&lt;="&amp;EDATE($A109,12*'Seasonal Factors'!$E$4)),"")</f>
        <v>1.06056588634562</v>
      </c>
      <c r="V109" s="24" t="n">
        <f aca="false">IFERROR(U109/AVERAGE(U104:U115),"")</f>
        <v>1.06014937157407</v>
      </c>
      <c r="W109" s="23" t="n">
        <f aca="false">IF(ISNUMBER(Tabelle1!J116),(0.5*Tabelle1!J104+SUM(Tabelle1!J105:J115)+0.5*Tabelle1!J116)/12,"")</f>
        <v>149.901666666667</v>
      </c>
      <c r="X109" s="24" t="n">
        <f aca="false">IFERROR(Tabelle1!J110/W109,"")</f>
        <v>1.01360921048243</v>
      </c>
      <c r="Y109" s="24" t="n">
        <f aca="false">IFERROR(AVERAGEIFS($X$7:$X$294,$B$7:$B$294,$B109,$A$7:$A$294,"&gt;="&amp;EDATE($A109,-12*'Seasonal Factors'!$E$4),$A$7:$A$294,"&lt;="&amp;EDATE($A109,12*'Seasonal Factors'!$E$4)),"")</f>
        <v>1.01930501196459</v>
      </c>
      <c r="Z109" s="24" t="n">
        <f aca="false">IFERROR(Y109/AVERAGE(Y104:Y115),"")</f>
        <v>1.01981856896294</v>
      </c>
      <c r="AA109" s="23" t="n">
        <f aca="false">IF(ISNUMBER(Tabelle1!K116),(0.5*Tabelle1!K104+SUM(Tabelle1!K105:K115)+0.5*Tabelle1!K116)/12,"")</f>
        <v>159.797175</v>
      </c>
      <c r="AB109" s="24" t="n">
        <f aca="false">IFERROR(Tabelle1!K110/AA109,"")</f>
        <v>1.02634092248502</v>
      </c>
      <c r="AC109" s="24" t="n">
        <f aca="false">IFERROR(AVERAGEIFS($AB$7:$AB$294,$B$7:$B$294,$B109,$A$7:$A$294,"&gt;="&amp;EDATE($A109,-12*'Seasonal Factors'!$E$4),$A$7:$A$294,"&lt;="&amp;EDATE($A109,12*'Seasonal Factors'!$E$4)),"")</f>
        <v>1.0191068623381</v>
      </c>
      <c r="AD109" s="24" t="n">
        <f aca="false">IFERROR(AC109/AVERAGE(AC104:AC115),"")</f>
        <v>1.0193448675846</v>
      </c>
      <c r="AE109" s="23" t="n">
        <f aca="false">IF(ISNUMBER(Tabelle1!L116),(0.5*Tabelle1!L104+SUM(Tabelle1!L105:L115)+0.5*Tabelle1!L116)/12,"")</f>
        <v>158.093000833333</v>
      </c>
      <c r="AF109" s="24" t="n">
        <f aca="false">IFERROR(Tabelle1!L110/AE109,"")</f>
        <v>1.0350122974293</v>
      </c>
      <c r="AG109" s="24" t="n">
        <f aca="false">IFERROR(AVERAGEIFS($AF$7:$AF$294,$B$7:$B$294,$B109,$A$7:$A$294,"&gt;="&amp;EDATE($A109,-12*'Seasonal Factors'!$E$4),$A$7:$A$294,"&lt;="&amp;EDATE($A109,12*'Seasonal Factors'!$E$4)),"")</f>
        <v>1.01467882251799</v>
      </c>
      <c r="AH109" s="24" t="n">
        <f aca="false">IFERROR(AG109/AVERAGE(AG104:AG115),"")</f>
        <v>1.01437905293144</v>
      </c>
      <c r="AI109" s="23" t="n">
        <f aca="false">IF(ISNUMBER(Tabelle1!M116),(0.5*Tabelle1!M104+SUM(Tabelle1!M105:M115)+0.5*Tabelle1!M116)/12,"")</f>
        <v>176.25989625</v>
      </c>
      <c r="AJ109" s="24" t="n">
        <f aca="false">IFERROR(Tabelle1!M110/AI109,"")</f>
        <v>1.03111271404711</v>
      </c>
      <c r="AK109" s="24" t="n">
        <f aca="false">IFERROR(AVERAGEIFS($AJ$7:$AJ$294,$B$7:$B$294,$B109,$A$7:$A$294,"&gt;="&amp;EDATE($A109,-12*'Seasonal Factors'!$E$4),$A$7:$A$294,"&lt;="&amp;EDATE($A109,12*'Seasonal Factors'!$E$4)),"")</f>
        <v>1.01582906505969</v>
      </c>
      <c r="AL109" s="24" t="n">
        <f aca="false">IFERROR(AK109/AVERAGE(AK104:AK115),"")</f>
        <v>1.01580814642006</v>
      </c>
      <c r="AM109" s="23" t="n">
        <f aca="false">IF(ISNUMBER(Tabelle1!N116),(0.5*Tabelle1!N104+SUM(Tabelle1!N105:N115)+0.5*Tabelle1!N116)/12,"")</f>
        <v>178.4057725</v>
      </c>
      <c r="AN109" s="24" t="n">
        <f aca="false">IFERROR(Tabelle1!N110/AM109,"")</f>
        <v>0.990189989508327</v>
      </c>
      <c r="AO109" s="24" t="n">
        <f aca="false">IFERROR(AVERAGEIFS($AN$7:$AN$294,$B$7:$B$294,$B109,$A$7:$A$294,"&gt;="&amp;EDATE($A109,-12*'Seasonal Factors'!$E$4),$A$7:$A$294,"&lt;="&amp;EDATE($A109,12*'Seasonal Factors'!$E$4)),"")</f>
        <v>0.985992269618732</v>
      </c>
      <c r="AP109" s="24" t="n">
        <f aca="false">IFERROR(AO109/AVERAGE(AO104:AO115),"")</f>
        <v>0.985955496820435</v>
      </c>
      <c r="AQ109" s="23" t="n">
        <f aca="false">IF(ISNUMBER(Tabelle1!O116),(0.5*Tabelle1!O104+SUM(Tabelle1!O105:O115)+0.5*Tabelle1!O116)/12,"")</f>
        <v>133.37976625</v>
      </c>
      <c r="AR109" s="24" t="n">
        <f aca="false">IFERROR(Tabelle1!O110/AQ109,"")</f>
        <v>0.986796301271821</v>
      </c>
      <c r="AS109" s="24" t="n">
        <f aca="false">IFERROR(AVERAGEIFS($AR$7:$AR$294,$B$7:$B$294,$B109,$A$7:$A$294,"&gt;="&amp;EDATE($A109,-12*'Seasonal Factors'!$E$4),$A$7:$A$294,"&lt;="&amp;EDATE($A109,12*'Seasonal Factors'!$E$4)),"")</f>
        <v>1.00768970452179</v>
      </c>
      <c r="AT109" s="24" t="n">
        <f aca="false">IFERROR(AS109/AVERAGE(AS104:AS115),"")</f>
        <v>1.00745726785574</v>
      </c>
      <c r="AU109" s="23" t="n">
        <f aca="false">IF(ISNUMBER(Tabelle1!P116),(0.5*Tabelle1!P104+SUM(Tabelle1!P105:P115)+0.5*Tabelle1!P116)/12,"")</f>
        <v>136.084035833333</v>
      </c>
      <c r="AV109" s="24" t="n">
        <f aca="false">IFERROR(Tabelle1!P110/AU109,"")</f>
        <v>1.00041528873185</v>
      </c>
      <c r="AW109" s="24" t="n">
        <f aca="false">IFERROR(AVERAGEIFS($AV$7:$AV$294,$B$7:$B$294,$B109,$A$7:$A$294,"&gt;="&amp;EDATE($A109,-12*'Seasonal Factors'!$E$4),$A$7:$A$294,"&lt;="&amp;EDATE($A109,12*'Seasonal Factors'!$E$4)),"")</f>
        <v>1.00234341958358</v>
      </c>
      <c r="AX109" s="24" t="n">
        <f aca="false">IFERROR(AW109/AVERAGE(AW104:AW115),"")</f>
        <v>1.00222506499451</v>
      </c>
      <c r="AY109" s="23" t="n">
        <f aca="false">IF(ISNUMBER(Tabelle1!Q116),(0.5*Tabelle1!Q104+SUM(Tabelle1!Q105:Q115)+0.5*Tabelle1!Q116)/12,"")</f>
        <v>139.528267916667</v>
      </c>
      <c r="AZ109" s="24" t="n">
        <f aca="false">IFERROR(Tabelle1!Q110/AY109,"")</f>
        <v>1.0023796760921</v>
      </c>
      <c r="BA109" s="24" t="n">
        <f aca="false">IFERROR(AVERAGEIFS($AZ$7:$AZ$294,$B$7:$B$294,$B109,$A$7:$A$294,"&gt;="&amp;EDATE($A109,-12*'Seasonal Factors'!$E$4),$A$7:$A$294,"&lt;="&amp;EDATE($A109,12*'Seasonal Factors'!$E$4)),"")</f>
        <v>1.00732659247997</v>
      </c>
      <c r="BB109" s="24" t="n">
        <f aca="false">IFERROR(BA109/AVERAGE(BA104:BA115),"")</f>
        <v>1.00709065548386</v>
      </c>
      <c r="BC109" s="23" t="n">
        <f aca="false">IF(ISNUMBER(Tabelle1!R116),(0.5*Tabelle1!R104+SUM(Tabelle1!R105:R115)+0.5*Tabelle1!R116)/12,"")</f>
        <v>158.442485416667</v>
      </c>
      <c r="BD109" s="24" t="n">
        <f aca="false">IFERROR(Tabelle1!R110/BC109,"")</f>
        <v>1.00349347324285</v>
      </c>
      <c r="BE109" s="24" t="n">
        <f aca="false">IFERROR(AVERAGEIFS($BD$7:$BD$294,$B$7:$B$294,$B109,$A$7:$A$294,"&gt;="&amp;EDATE($A109,-12*'Seasonal Factors'!$E$4),$A$7:$A$294,"&lt;="&amp;EDATE($A109,12*'Seasonal Factors'!$E$4)),"")</f>
        <v>1.01211532500162</v>
      </c>
      <c r="BF109" s="24" t="n">
        <f aca="false">IFERROR(BE109/AVERAGE(BE104:BE115),"")</f>
        <v>1.01236380530926</v>
      </c>
      <c r="BG109" s="23" t="n">
        <f aca="false">IF(ISNUMBER(Tabelle1!S116),(0.5*Tabelle1!S104+SUM(Tabelle1!S105:S115)+0.5*Tabelle1!S116)/12,"")</f>
        <v>153.973386666667</v>
      </c>
      <c r="BH109" s="24" t="n">
        <f aca="false">IFERROR(Tabelle1!S110/BG109,"")</f>
        <v>1.10971495593524</v>
      </c>
      <c r="BI109" s="24" t="n">
        <f aca="false">IFERROR(AVERAGEIFS($BH$7:$BH$294,$B$7:$B$294,$B109,$A$7:$A$294,"&gt;="&amp;EDATE($A109,-12*'Seasonal Factors'!$E$4),$A$7:$A$294,"&lt;="&amp;EDATE($A109,12*'Seasonal Factors'!$E$4)),"")</f>
        <v>1.09476049856929</v>
      </c>
      <c r="BJ109" s="24" t="n">
        <f aca="false">IFERROR(BI109/AVERAGE(BI104:BI115),"")</f>
        <v>1.09468508663358</v>
      </c>
    </row>
    <row r="110" customFormat="false" ht="15" hidden="false" customHeight="false" outlineLevel="0" collapsed="false">
      <c r="A110" s="20" t="n">
        <v>41152</v>
      </c>
      <c r="B110" s="22" t="n">
        <f aca="false">MONTH(A110)</f>
        <v>8</v>
      </c>
      <c r="C110" s="23" t="n">
        <f aca="false">IF(ISNUMBER(Tabelle1!E117),(0.5*Tabelle1!E105+SUM(Tabelle1!E106:E116)+0.5*Tabelle1!E117)/12,"")</f>
        <v>109.1759675</v>
      </c>
      <c r="D110" s="24" t="n">
        <f aca="false">IFERROR(Tabelle1!E111/C110,"")</f>
        <v>0.670436650813285</v>
      </c>
      <c r="E110" s="24" t="n">
        <f aca="false">IFERROR(AVERAGEIFS($D$7:$D$294,$B$7:$B$294,$B110,$A$7:$A$294,"&gt;="&amp;EDATE($A110,-12*'Seasonal Factors'!$E$4),$A$7:$A$294,"&lt;="&amp;EDATE($A110,12*'Seasonal Factors'!$E$4)),"")</f>
        <v>0.574798405358683</v>
      </c>
      <c r="F110" s="24" t="n">
        <f aca="false">IFERROR(E110/AVERAGE(E105:E116),"")</f>
        <v>0.575308536930287</v>
      </c>
      <c r="G110" s="23" t="n">
        <f aca="false">IF(ISNUMBER(Tabelle1!F117),(0.5*Tabelle1!F105+SUM(Tabelle1!F106:F116)+0.5*Tabelle1!F117)/12,"")</f>
        <v>123.58787125</v>
      </c>
      <c r="H110" s="24" t="n">
        <f aca="false">IFERROR(Tabelle1!F111/G110,"")</f>
        <v>1.43796117048177</v>
      </c>
      <c r="I110" s="24" t="n">
        <f aca="false">IFERROR(AVERAGEIFS($H$7:$H$294,$B$7:$B$294,$B110,$A$7:$A$294,"&gt;="&amp;EDATE($A110,-12*'Seasonal Factors'!$E$4),$A$7:$A$294,"&lt;="&amp;EDATE($A110,12*'Seasonal Factors'!$E$4)),"")</f>
        <v>1.36065193290518</v>
      </c>
      <c r="J110" s="24" t="n">
        <f aca="false">IFERROR(I110/AVERAGE(I105:I116),"")</f>
        <v>1.34601093703886</v>
      </c>
      <c r="K110" s="23" t="n">
        <f aca="false">IF(ISNUMBER(Tabelle1!G117),(0.5*Tabelle1!G105+SUM(Tabelle1!G106:G116)+0.5*Tabelle1!G117)/12,"")</f>
        <v>95.5570529166667</v>
      </c>
      <c r="L110" s="24" t="n">
        <f aca="false">IFERROR(Tabelle1!G111/K110,"")</f>
        <v>1.02820144616309</v>
      </c>
      <c r="M110" s="24" t="n">
        <f aca="false">IFERROR(AVERAGEIFS($L$7:$L$294,$B$7:$B$294,$B110,$A$7:$A$294,"&gt;="&amp;EDATE($A110,-12*'Seasonal Factors'!$E$4),$A$7:$A$294,"&lt;="&amp;EDATE($A110,12*'Seasonal Factors'!$E$4)),"")</f>
        <v>1.01556542196907</v>
      </c>
      <c r="N110" s="24" t="n">
        <f aca="false">IFERROR(M110/AVERAGE(M105:M116),"")</f>
        <v>1.0158794213895</v>
      </c>
      <c r="O110" s="23" t="n">
        <f aca="false">IF(ISNUMBER(Tabelle1!H117),(0.5*Tabelle1!H105+SUM(Tabelle1!H106:H116)+0.5*Tabelle1!H117)/12,"")</f>
        <v>140.20573875</v>
      </c>
      <c r="P110" s="24" t="n">
        <f aca="false">IFERROR(Tabelle1!H111/O110,"")</f>
        <v>1.02959744220883</v>
      </c>
      <c r="Q110" s="24" t="n">
        <f aca="false">IFERROR(AVERAGEIFS($P$7:$P$294,$B$7:$B$294,$B110,$A$7:$A$294,"&gt;="&amp;EDATE($A110,-12*'Seasonal Factors'!$E$4),$A$7:$A$294,"&lt;="&amp;EDATE($A110,12*'Seasonal Factors'!$E$4)),"")</f>
        <v>1.03800361208308</v>
      </c>
      <c r="R110" s="24" t="n">
        <f aca="false">IFERROR(Q110/AVERAGE(Q105:Q116),"")</f>
        <v>1.03865523428045</v>
      </c>
      <c r="S110" s="23" t="n">
        <f aca="false">IF(ISNUMBER(Tabelle1!I117),(0.5*Tabelle1!I105+SUM(Tabelle1!I106:I116)+0.5*Tabelle1!I117)/12,"")</f>
        <v>133.445684583333</v>
      </c>
      <c r="T110" s="24" t="n">
        <f aca="false">IFERROR(Tabelle1!I111/S110,"")</f>
        <v>1.03572895917582</v>
      </c>
      <c r="U110" s="24" t="n">
        <f aca="false">IFERROR(AVERAGEIFS($T$7:$T$294,$B$7:$B$294,$B110,$A$7:$A$294,"&gt;="&amp;EDATE($A110,-12*'Seasonal Factors'!$E$4),$A$7:$A$294,"&lt;="&amp;EDATE($A110,12*'Seasonal Factors'!$E$4)),"")</f>
        <v>1.02529087436771</v>
      </c>
      <c r="V110" s="24" t="n">
        <f aca="false">IFERROR(U110/AVERAGE(U105:U116),"")</f>
        <v>1.02507077745799</v>
      </c>
      <c r="W110" s="23" t="n">
        <f aca="false">IF(ISNUMBER(Tabelle1!J117),(0.5*Tabelle1!J105+SUM(Tabelle1!J106:J116)+0.5*Tabelle1!J117)/12,"")</f>
        <v>149.580548333333</v>
      </c>
      <c r="X110" s="24" t="n">
        <f aca="false">IFERROR(Tabelle1!J111/W110,"")</f>
        <v>1.01065353539897</v>
      </c>
      <c r="Y110" s="24" t="n">
        <f aca="false">IFERROR(AVERAGEIFS($X$7:$X$294,$B$7:$B$294,$B110,$A$7:$A$294,"&gt;="&amp;EDATE($A110,-12*'Seasonal Factors'!$E$4),$A$7:$A$294,"&lt;="&amp;EDATE($A110,12*'Seasonal Factors'!$E$4)),"")</f>
        <v>1.03307045227863</v>
      </c>
      <c r="Z110" s="24" t="n">
        <f aca="false">IFERROR(Y110/AVERAGE(Y105:Y116),"")</f>
        <v>1.03402563461437</v>
      </c>
      <c r="AA110" s="23" t="n">
        <f aca="false">IF(ISNUMBER(Tabelle1!K117),(0.5*Tabelle1!K105+SUM(Tabelle1!K106:K116)+0.5*Tabelle1!K117)/12,"")</f>
        <v>159.88457</v>
      </c>
      <c r="AB110" s="24" t="n">
        <f aca="false">IFERROR(Tabelle1!K111/AA110,"")</f>
        <v>1.04547705885565</v>
      </c>
      <c r="AC110" s="24" t="n">
        <f aca="false">IFERROR(AVERAGEIFS($AB$7:$AB$294,$B$7:$B$294,$B110,$A$7:$A$294,"&gt;="&amp;EDATE($A110,-12*'Seasonal Factors'!$E$4),$A$7:$A$294,"&lt;="&amp;EDATE($A110,12*'Seasonal Factors'!$E$4)),"")</f>
        <v>1.02728124247929</v>
      </c>
      <c r="AD110" s="24" t="n">
        <f aca="false">IFERROR(AC110/AVERAGE(AC105:AC116),"")</f>
        <v>1.0279666324409</v>
      </c>
      <c r="AE110" s="23" t="n">
        <f aca="false">IF(ISNUMBER(Tabelle1!L117),(0.5*Tabelle1!L105+SUM(Tabelle1!L106:L116)+0.5*Tabelle1!L117)/12,"")</f>
        <v>157.949639166667</v>
      </c>
      <c r="AF110" s="24" t="n">
        <f aca="false">IFERROR(Tabelle1!L111/AE110,"")</f>
        <v>0.995877615358275</v>
      </c>
      <c r="AG110" s="24" t="n">
        <f aca="false">IFERROR(AVERAGEIFS($AF$7:$AF$294,$B$7:$B$294,$B110,$A$7:$A$294,"&gt;="&amp;EDATE($A110,-12*'Seasonal Factors'!$E$4),$A$7:$A$294,"&lt;="&amp;EDATE($A110,12*'Seasonal Factors'!$E$4)),"")</f>
        <v>0.996348366647364</v>
      </c>
      <c r="AH110" s="24" t="n">
        <f aca="false">IFERROR(AG110/AVERAGE(AG105:AG116),"")</f>
        <v>0.996703654556858</v>
      </c>
      <c r="AI110" s="23" t="n">
        <f aca="false">IF(ISNUMBER(Tabelle1!M117),(0.5*Tabelle1!M105+SUM(Tabelle1!M106:M116)+0.5*Tabelle1!M117)/12,"")</f>
        <v>176.137295416667</v>
      </c>
      <c r="AJ110" s="24" t="n">
        <f aca="false">IFERROR(Tabelle1!M111/AI110,"")</f>
        <v>1.00772479547909</v>
      </c>
      <c r="AK110" s="24" t="n">
        <f aca="false">IFERROR(AVERAGEIFS($AJ$7:$AJ$294,$B$7:$B$294,$B110,$A$7:$A$294,"&gt;="&amp;EDATE($A110,-12*'Seasonal Factors'!$E$4),$A$7:$A$294,"&lt;="&amp;EDATE($A110,12*'Seasonal Factors'!$E$4)),"")</f>
        <v>1.00156569565864</v>
      </c>
      <c r="AL110" s="24" t="n">
        <f aca="false">IFERROR(AK110/AVERAGE(AK105:AK116),"")</f>
        <v>1.00171319956168</v>
      </c>
      <c r="AM110" s="23" t="n">
        <f aca="false">IF(ISNUMBER(Tabelle1!N117),(0.5*Tabelle1!N105+SUM(Tabelle1!N106:N116)+0.5*Tabelle1!N117)/12,"")</f>
        <v>179.15985875</v>
      </c>
      <c r="AN110" s="24" t="n">
        <f aca="false">IFERROR(Tabelle1!N111/AM110,"")</f>
        <v>1.03161188722471</v>
      </c>
      <c r="AO110" s="24" t="n">
        <f aca="false">IFERROR(AVERAGEIFS($AN$7:$AN$294,$B$7:$B$294,$B110,$A$7:$A$294,"&gt;="&amp;EDATE($A110,-12*'Seasonal Factors'!$E$4),$A$7:$A$294,"&lt;="&amp;EDATE($A110,12*'Seasonal Factors'!$E$4)),"")</f>
        <v>1.01510488766232</v>
      </c>
      <c r="AP110" s="24" t="n">
        <f aca="false">IFERROR(AO110/AVERAGE(AO105:AO116),"")</f>
        <v>1.01526281487873</v>
      </c>
      <c r="AQ110" s="23" t="n">
        <f aca="false">IF(ISNUMBER(Tabelle1!O117),(0.5*Tabelle1!O105+SUM(Tabelle1!O106:O116)+0.5*Tabelle1!O117)/12,"")</f>
        <v>133.35260875</v>
      </c>
      <c r="AR110" s="24" t="n">
        <f aca="false">IFERROR(Tabelle1!O111/AQ110,"")</f>
        <v>1.01834663208267</v>
      </c>
      <c r="AS110" s="24" t="n">
        <f aca="false">IFERROR(AVERAGEIFS($AR$7:$AR$294,$B$7:$B$294,$B110,$A$7:$A$294,"&gt;="&amp;EDATE($A110,-12*'Seasonal Factors'!$E$4),$A$7:$A$294,"&lt;="&amp;EDATE($A110,12*'Seasonal Factors'!$E$4)),"")</f>
        <v>1.00666229464009</v>
      </c>
      <c r="AT110" s="24" t="n">
        <f aca="false">IFERROR(AS110/AVERAGE(AS105:AS116),"")</f>
        <v>1.00664188055365</v>
      </c>
      <c r="AU110" s="23" t="n">
        <f aca="false">IF(ISNUMBER(Tabelle1!P117),(0.5*Tabelle1!P105+SUM(Tabelle1!P106:P116)+0.5*Tabelle1!P117)/12,"")</f>
        <v>136.408799583333</v>
      </c>
      <c r="AV110" s="24" t="n">
        <f aca="false">IFERROR(Tabelle1!P111/AU110,"")</f>
        <v>0.998419093313686</v>
      </c>
      <c r="AW110" s="24" t="n">
        <f aca="false">IFERROR(AVERAGEIFS($AV$7:$AV$294,$B$7:$B$294,$B110,$A$7:$A$294,"&gt;="&amp;EDATE($A110,-12*'Seasonal Factors'!$E$4),$A$7:$A$294,"&lt;="&amp;EDATE($A110,12*'Seasonal Factors'!$E$4)),"")</f>
        <v>1.00260811948522</v>
      </c>
      <c r="AX110" s="24" t="n">
        <f aca="false">IFERROR(AW110/AVERAGE(AW105:AW116),"")</f>
        <v>1.00244752635976</v>
      </c>
      <c r="AY110" s="23" t="n">
        <f aca="false">IF(ISNUMBER(Tabelle1!Q117),(0.5*Tabelle1!Q105+SUM(Tabelle1!Q106:Q116)+0.5*Tabelle1!Q117)/12,"")</f>
        <v>139.879674583333</v>
      </c>
      <c r="AZ110" s="24" t="n">
        <f aca="false">IFERROR(Tabelle1!Q111/AY110,"")</f>
        <v>1.0035079107678</v>
      </c>
      <c r="BA110" s="24" t="n">
        <f aca="false">IFERROR(AVERAGEIFS($AZ$7:$AZ$294,$B$7:$B$294,$B110,$A$7:$A$294,"&gt;="&amp;EDATE($A110,-12*'Seasonal Factors'!$E$4),$A$7:$A$294,"&lt;="&amp;EDATE($A110,12*'Seasonal Factors'!$E$4)),"")</f>
        <v>1.00883657014756</v>
      </c>
      <c r="BB110" s="24" t="n">
        <f aca="false">IFERROR(BA110/AVERAGE(BA105:BA116),"")</f>
        <v>1.00864768393025</v>
      </c>
      <c r="BC110" s="23" t="n">
        <f aca="false">IF(ISNUMBER(Tabelle1!R117),(0.5*Tabelle1!R105+SUM(Tabelle1!R106:R116)+0.5*Tabelle1!R117)/12,"")</f>
        <v>158.799072083333</v>
      </c>
      <c r="BD110" s="24" t="n">
        <f aca="false">IFERROR(Tabelle1!R111/BC110,"")</f>
        <v>1.00420133384858</v>
      </c>
      <c r="BE110" s="24" t="n">
        <f aca="false">IFERROR(AVERAGEIFS($BD$7:$BD$294,$B$7:$B$294,$B110,$A$7:$A$294,"&gt;="&amp;EDATE($A110,-12*'Seasonal Factors'!$E$4),$A$7:$A$294,"&lt;="&amp;EDATE($A110,12*'Seasonal Factors'!$E$4)),"")</f>
        <v>1.01492061434629</v>
      </c>
      <c r="BF110" s="24" t="n">
        <f aca="false">IFERROR(BE110/AVERAGE(BE105:BE116),"")</f>
        <v>1.01497066895577</v>
      </c>
      <c r="BG110" s="23" t="n">
        <f aca="false">IF(ISNUMBER(Tabelle1!S117),(0.5*Tabelle1!S105+SUM(Tabelle1!S106:S116)+0.5*Tabelle1!S117)/12,"")</f>
        <v>153.68546625</v>
      </c>
      <c r="BH110" s="24" t="n">
        <f aca="false">IFERROR(Tabelle1!S111/BG110,"")</f>
        <v>1.00849497211321</v>
      </c>
      <c r="BI110" s="24" t="n">
        <f aca="false">IFERROR(AVERAGEIFS($BH$7:$BH$294,$B$7:$B$294,$B110,$A$7:$A$294,"&gt;="&amp;EDATE($A110,-12*'Seasonal Factors'!$E$4),$A$7:$A$294,"&lt;="&amp;EDATE($A110,12*'Seasonal Factors'!$E$4)),"")</f>
        <v>1.01490324742816</v>
      </c>
      <c r="BJ110" s="24" t="n">
        <f aca="false">IFERROR(BI110/AVERAGE(BI105:BI116),"")</f>
        <v>1.01474714350328</v>
      </c>
    </row>
    <row r="111" customFormat="false" ht="15" hidden="false" customHeight="false" outlineLevel="0" collapsed="false">
      <c r="A111" s="20" t="n">
        <v>41182</v>
      </c>
      <c r="B111" s="22" t="n">
        <f aca="false">MONTH(A111)</f>
        <v>9</v>
      </c>
      <c r="C111" s="23" t="n">
        <f aca="false">IF(ISNUMBER(Tabelle1!E118),(0.5*Tabelle1!E106+SUM(Tabelle1!E107:E117)+0.5*Tabelle1!E118)/12,"")</f>
        <v>110.009500833333</v>
      </c>
      <c r="D111" s="24" t="n">
        <f aca="false">IFERROR(Tabelle1!E112/C111,"")</f>
        <v>0.643859752689088</v>
      </c>
      <c r="E111" s="24" t="n">
        <f aca="false">IFERROR(AVERAGEIFS($D$7:$D$294,$B$7:$B$294,$B111,$A$7:$A$294,"&gt;="&amp;EDATE($A111,-12*'Seasonal Factors'!$E$4),$A$7:$A$294,"&lt;="&amp;EDATE($A111,12*'Seasonal Factors'!$E$4)),"")</f>
        <v>0.545548300491615</v>
      </c>
      <c r="F111" s="24" t="n">
        <f aca="false">IFERROR(E111/AVERAGE(E106:E117),"")</f>
        <v>0.545945832503822</v>
      </c>
      <c r="G111" s="23" t="n">
        <f aca="false">IF(ISNUMBER(Tabelle1!F118),(0.5*Tabelle1!F106+SUM(Tabelle1!F107:F117)+0.5*Tabelle1!F118)/12,"")</f>
        <v>123.333004583333</v>
      </c>
      <c r="H111" s="24" t="n">
        <f aca="false">IFERROR(Tabelle1!F112/G111,"")</f>
        <v>1.48173354421543</v>
      </c>
      <c r="I111" s="24" t="n">
        <f aca="false">IFERROR(AVERAGEIFS($H$7:$H$294,$B$7:$B$294,$B111,$A$7:$A$294,"&gt;="&amp;EDATE($A111,-12*'Seasonal Factors'!$E$4),$A$7:$A$294,"&lt;="&amp;EDATE($A111,12*'Seasonal Factors'!$E$4)),"")</f>
        <v>1.26052536349604</v>
      </c>
      <c r="J111" s="24" t="n">
        <f aca="false">IFERROR(I111/AVERAGE(I106:I117),"")</f>
        <v>1.25052759576845</v>
      </c>
      <c r="K111" s="23" t="n">
        <f aca="false">IF(ISNUMBER(Tabelle1!G118),(0.5*Tabelle1!G106+SUM(Tabelle1!G107:G117)+0.5*Tabelle1!G118)/12,"")</f>
        <v>95.0567154166667</v>
      </c>
      <c r="L111" s="24" t="n">
        <f aca="false">IFERROR(Tabelle1!G112/K111,"")</f>
        <v>1.02120496773424</v>
      </c>
      <c r="M111" s="24" t="n">
        <f aca="false">IFERROR(AVERAGEIFS($L$7:$L$294,$B$7:$B$294,$B111,$A$7:$A$294,"&gt;="&amp;EDATE($A111,-12*'Seasonal Factors'!$E$4),$A$7:$A$294,"&lt;="&amp;EDATE($A111,12*'Seasonal Factors'!$E$4)),"")</f>
        <v>1.00510524158044</v>
      </c>
      <c r="N111" s="24" t="n">
        <f aca="false">IFERROR(M111/AVERAGE(M106:M117),"")</f>
        <v>1.00549902727372</v>
      </c>
      <c r="O111" s="23" t="n">
        <f aca="false">IF(ISNUMBER(Tabelle1!H118),(0.5*Tabelle1!H106+SUM(Tabelle1!H107:H117)+0.5*Tabelle1!H118)/12,"")</f>
        <v>139.854909583333</v>
      </c>
      <c r="P111" s="24" t="n">
        <f aca="false">IFERROR(Tabelle1!H112/O111,"")</f>
        <v>1.02622232160167</v>
      </c>
      <c r="Q111" s="24" t="n">
        <f aca="false">IFERROR(AVERAGEIFS($P$7:$P$294,$B$7:$B$294,$B111,$A$7:$A$294,"&gt;="&amp;EDATE($A111,-12*'Seasonal Factors'!$E$4),$A$7:$A$294,"&lt;="&amp;EDATE($A111,12*'Seasonal Factors'!$E$4)),"")</f>
        <v>1.04930555880782</v>
      </c>
      <c r="R111" s="24" t="n">
        <f aca="false">IFERROR(Q111/AVERAGE(Q106:Q117),"")</f>
        <v>1.04975229988637</v>
      </c>
      <c r="S111" s="23" t="n">
        <f aca="false">IF(ISNUMBER(Tabelle1!I118),(0.5*Tabelle1!I106+SUM(Tabelle1!I107:I117)+0.5*Tabelle1!I118)/12,"")</f>
        <v>132.964899166667</v>
      </c>
      <c r="T111" s="24" t="n">
        <f aca="false">IFERROR(Tabelle1!I112/S111,"")</f>
        <v>0.939340538614204</v>
      </c>
      <c r="U111" s="24" t="n">
        <f aca="false">IFERROR(AVERAGEIFS($T$7:$T$294,$B$7:$B$294,$B111,$A$7:$A$294,"&gt;="&amp;EDATE($A111,-12*'Seasonal Factors'!$E$4),$A$7:$A$294,"&lt;="&amp;EDATE($A111,12*'Seasonal Factors'!$E$4)),"")</f>
        <v>0.959064489842472</v>
      </c>
      <c r="V111" s="24" t="n">
        <f aca="false">IFERROR(U111/AVERAGE(U106:U117),"")</f>
        <v>0.958783584605386</v>
      </c>
      <c r="W111" s="23" t="n">
        <f aca="false">IF(ISNUMBER(Tabelle1!J118),(0.5*Tabelle1!J106+SUM(Tabelle1!J107:J117)+0.5*Tabelle1!J118)/12,"")</f>
        <v>149.300362916667</v>
      </c>
      <c r="X111" s="24" t="n">
        <f aca="false">IFERROR(Tabelle1!J112/W111,"")</f>
        <v>1.00345824399383</v>
      </c>
      <c r="Y111" s="24" t="n">
        <f aca="false">IFERROR(AVERAGEIFS($X$7:$X$294,$B$7:$B$294,$B111,$A$7:$A$294,"&gt;="&amp;EDATE($A111,-12*'Seasonal Factors'!$E$4),$A$7:$A$294,"&lt;="&amp;EDATE($A111,12*'Seasonal Factors'!$E$4)),"")</f>
        <v>1.03324730655537</v>
      </c>
      <c r="Z111" s="24" t="n">
        <f aca="false">IFERROR(Y111/AVERAGE(Y106:Y117),"")</f>
        <v>1.03382120525554</v>
      </c>
      <c r="AA111" s="23" t="n">
        <f aca="false">IF(ISNUMBER(Tabelle1!K118),(0.5*Tabelle1!K106+SUM(Tabelle1!K107:K117)+0.5*Tabelle1!K118)/12,"")</f>
        <v>160.168034583333</v>
      </c>
      <c r="AB111" s="24" t="n">
        <f aca="false">IFERROR(Tabelle1!K112/AA111,"")</f>
        <v>1.00534204854853</v>
      </c>
      <c r="AC111" s="24" t="n">
        <f aca="false">IFERROR(AVERAGEIFS($AB$7:$AB$294,$B$7:$B$294,$B111,$A$7:$A$294,"&gt;="&amp;EDATE($A111,-12*'Seasonal Factors'!$E$4),$A$7:$A$294,"&lt;="&amp;EDATE($A111,12*'Seasonal Factors'!$E$4)),"")</f>
        <v>1.03890625688386</v>
      </c>
      <c r="AD111" s="24" t="n">
        <f aca="false">IFERROR(AC111/AVERAGE(AC106:AC117),"")</f>
        <v>1.03885370067986</v>
      </c>
      <c r="AE111" s="23" t="n">
        <f aca="false">IF(ISNUMBER(Tabelle1!L118),(0.5*Tabelle1!L106+SUM(Tabelle1!L107:L117)+0.5*Tabelle1!L118)/12,"")</f>
        <v>157.8936125</v>
      </c>
      <c r="AF111" s="24" t="n">
        <f aca="false">IFERROR(Tabelle1!L112/AE111,"")</f>
        <v>1.0042779912962</v>
      </c>
      <c r="AG111" s="24" t="n">
        <f aca="false">IFERROR(AVERAGEIFS($AF$7:$AF$294,$B$7:$B$294,$B111,$A$7:$A$294,"&gt;="&amp;EDATE($A111,-12*'Seasonal Factors'!$E$4),$A$7:$A$294,"&lt;="&amp;EDATE($A111,12*'Seasonal Factors'!$E$4)),"")</f>
        <v>1.00310910794709</v>
      </c>
      <c r="AH111" s="24" t="n">
        <f aca="false">IFERROR(AG111/AVERAGE(AG106:AG117),"")</f>
        <v>1.00414579778879</v>
      </c>
      <c r="AI111" s="23" t="n">
        <f aca="false">IF(ISNUMBER(Tabelle1!M118),(0.5*Tabelle1!M106+SUM(Tabelle1!M107:M117)+0.5*Tabelle1!M118)/12,"")</f>
        <v>176.18630625</v>
      </c>
      <c r="AJ111" s="24" t="n">
        <f aca="false">IFERROR(Tabelle1!M112/AI111,"")</f>
        <v>0.976670001559784</v>
      </c>
      <c r="AK111" s="24" t="n">
        <f aca="false">IFERROR(AVERAGEIFS($AJ$7:$AJ$294,$B$7:$B$294,$B111,$A$7:$A$294,"&gt;="&amp;EDATE($A111,-12*'Seasonal Factors'!$E$4),$A$7:$A$294,"&lt;="&amp;EDATE($A111,12*'Seasonal Factors'!$E$4)),"")</f>
        <v>0.988847268590081</v>
      </c>
      <c r="AL111" s="24" t="n">
        <f aca="false">IFERROR(AK111/AVERAGE(AK106:AK117),"")</f>
        <v>0.988721572994671</v>
      </c>
      <c r="AM111" s="23" t="n">
        <f aca="false">IF(ISNUMBER(Tabelle1!N118),(0.5*Tabelle1!N106+SUM(Tabelle1!N107:N117)+0.5*Tabelle1!N118)/12,"")</f>
        <v>179.630095</v>
      </c>
      <c r="AN111" s="24" t="n">
        <f aca="false">IFERROR(Tabelle1!N112/AM111,"")</f>
        <v>0.995561183664686</v>
      </c>
      <c r="AO111" s="24" t="n">
        <f aca="false">IFERROR(AVERAGEIFS($AN$7:$AN$294,$B$7:$B$294,$B111,$A$7:$A$294,"&gt;="&amp;EDATE($A111,-12*'Seasonal Factors'!$E$4),$A$7:$A$294,"&lt;="&amp;EDATE($A111,12*'Seasonal Factors'!$E$4)),"")</f>
        <v>1.00341649263198</v>
      </c>
      <c r="AP111" s="24" t="n">
        <f aca="false">IFERROR(AO111/AVERAGE(AO106:AO117),"")</f>
        <v>1.00300765974232</v>
      </c>
      <c r="AQ111" s="23" t="n">
        <f aca="false">IF(ISNUMBER(Tabelle1!O118),(0.5*Tabelle1!O106+SUM(Tabelle1!O107:O117)+0.5*Tabelle1!O118)/12,"")</f>
        <v>133.266187916667</v>
      </c>
      <c r="AR111" s="24" t="n">
        <f aca="false">IFERROR(Tabelle1!O112/AQ111,"")</f>
        <v>0.9908782720083</v>
      </c>
      <c r="AS111" s="24" t="n">
        <f aca="false">IFERROR(AVERAGEIFS($AR$7:$AR$294,$B$7:$B$294,$B111,$A$7:$A$294,"&gt;="&amp;EDATE($A111,-12*'Seasonal Factors'!$E$4),$A$7:$A$294,"&lt;="&amp;EDATE($A111,12*'Seasonal Factors'!$E$4)),"")</f>
        <v>1.00726272460862</v>
      </c>
      <c r="AT111" s="24" t="n">
        <f aca="false">IFERROR(AS111/AVERAGE(AS106:AS117),"")</f>
        <v>1.00705540465297</v>
      </c>
      <c r="AU111" s="23" t="n">
        <f aca="false">IF(ISNUMBER(Tabelle1!P118),(0.5*Tabelle1!P106+SUM(Tabelle1!P107:P117)+0.5*Tabelle1!P118)/12,"")</f>
        <v>136.6999625</v>
      </c>
      <c r="AV111" s="24" t="n">
        <f aca="false">IFERROR(Tabelle1!P112/AU111,"")</f>
        <v>0.99705989312177</v>
      </c>
      <c r="AW111" s="24" t="n">
        <f aca="false">IFERROR(AVERAGEIFS($AV$7:$AV$294,$B$7:$B$294,$B111,$A$7:$A$294,"&gt;="&amp;EDATE($A111,-12*'Seasonal Factors'!$E$4),$A$7:$A$294,"&lt;="&amp;EDATE($A111,12*'Seasonal Factors'!$E$4)),"")</f>
        <v>1.00246992275394</v>
      </c>
      <c r="AX111" s="24" t="n">
        <f aca="false">IFERROR(AW111/AVERAGE(AW106:AW117),"")</f>
        <v>1.00221694095304</v>
      </c>
      <c r="AY111" s="23" t="n">
        <f aca="false">IF(ISNUMBER(Tabelle1!Q118),(0.5*Tabelle1!Q106+SUM(Tabelle1!Q107:Q117)+0.5*Tabelle1!Q118)/12,"")</f>
        <v>140.219459583333</v>
      </c>
      <c r="AZ111" s="24" t="n">
        <f aca="false">IFERROR(Tabelle1!Q112/AY111,"")</f>
        <v>1.00128955294225</v>
      </c>
      <c r="BA111" s="24" t="n">
        <f aca="false">IFERROR(AVERAGEIFS($AZ$7:$AZ$294,$B$7:$B$294,$B111,$A$7:$A$294,"&gt;="&amp;EDATE($A111,-12*'Seasonal Factors'!$E$4),$A$7:$A$294,"&lt;="&amp;EDATE($A111,12*'Seasonal Factors'!$E$4)),"")</f>
        <v>1.01075481284829</v>
      </c>
      <c r="BB111" s="24" t="n">
        <f aca="false">IFERROR(BA111/AVERAGE(BA106:BA117),"")</f>
        <v>1.01048731770283</v>
      </c>
      <c r="BC111" s="23" t="n">
        <f aca="false">IF(ISNUMBER(Tabelle1!R118),(0.5*Tabelle1!R106+SUM(Tabelle1!R107:R117)+0.5*Tabelle1!R118)/12,"")</f>
        <v>159.16600625</v>
      </c>
      <c r="BD111" s="24" t="n">
        <f aca="false">IFERROR(Tabelle1!R112/BC111,"")</f>
        <v>0.983739893266311</v>
      </c>
      <c r="BE111" s="24" t="n">
        <f aca="false">IFERROR(AVERAGEIFS($BD$7:$BD$294,$B$7:$B$294,$B111,$A$7:$A$294,"&gt;="&amp;EDATE($A111,-12*'Seasonal Factors'!$E$4),$A$7:$A$294,"&lt;="&amp;EDATE($A111,12*'Seasonal Factors'!$E$4)),"")</f>
        <v>0.994942223793981</v>
      </c>
      <c r="BF111" s="24" t="n">
        <f aca="false">IFERROR(BE111/AVERAGE(BE106:BE117),"")</f>
        <v>0.994697838245934</v>
      </c>
      <c r="BG111" s="23" t="n">
        <f aca="false">IF(ISNUMBER(Tabelle1!S118),(0.5*Tabelle1!S106+SUM(Tabelle1!S107:S117)+0.5*Tabelle1!S118)/12,"")</f>
        <v>153.327007916667</v>
      </c>
      <c r="BH111" s="24" t="n">
        <f aca="false">IFERROR(Tabelle1!S112/BG111,"")</f>
        <v>0.975874061804707</v>
      </c>
      <c r="BI111" s="24" t="n">
        <f aca="false">IFERROR(AVERAGEIFS($BH$7:$BH$294,$B$7:$B$294,$B111,$A$7:$A$294,"&gt;="&amp;EDATE($A111,-12*'Seasonal Factors'!$E$4),$A$7:$A$294,"&lt;="&amp;EDATE($A111,12*'Seasonal Factors'!$E$4)),"")</f>
        <v>0.978471324537202</v>
      </c>
      <c r="BJ111" s="24" t="n">
        <f aca="false">IFERROR(BI111/AVERAGE(BI106:BI117),"")</f>
        <v>0.978058273456465</v>
      </c>
    </row>
    <row r="112" customFormat="false" ht="15" hidden="false" customHeight="false" outlineLevel="0" collapsed="false">
      <c r="A112" s="20" t="n">
        <v>41213</v>
      </c>
      <c r="B112" s="22" t="n">
        <f aca="false">MONTH(A112)</f>
        <v>10</v>
      </c>
      <c r="C112" s="23" t="n">
        <f aca="false">IF(ISNUMBER(Tabelle1!E119),(0.5*Tabelle1!E107+SUM(Tabelle1!E108:E118)+0.5*Tabelle1!E119)/12,"")</f>
        <v>112.149984583333</v>
      </c>
      <c r="D112" s="24" t="n">
        <f aca="false">IFERROR(Tabelle1!E113/C112,"")</f>
        <v>0.64086571448964</v>
      </c>
      <c r="E112" s="24" t="n">
        <f aca="false">IFERROR(AVERAGEIFS($D$7:$D$294,$B$7:$B$294,$B112,$A$7:$A$294,"&gt;="&amp;EDATE($A112,-12*'Seasonal Factors'!$E$4),$A$7:$A$294,"&lt;="&amp;EDATE($A112,12*'Seasonal Factors'!$E$4)),"")</f>
        <v>0.565644708621504</v>
      </c>
      <c r="F112" s="24" t="n">
        <f aca="false">IFERROR(E112/AVERAGE(E107:E118),"")</f>
        <v>0.565932878063011</v>
      </c>
      <c r="G112" s="23" t="n">
        <f aca="false">IF(ISNUMBER(Tabelle1!F119),(0.5*Tabelle1!F107+SUM(Tabelle1!F108:F118)+0.5*Tabelle1!F119)/12,"")</f>
        <v>123.576357916667</v>
      </c>
      <c r="H112" s="24" t="n">
        <f aca="false">IFERROR(Tabelle1!F113/G112,"")</f>
        <v>1.19580923480243</v>
      </c>
      <c r="I112" s="24" t="n">
        <f aca="false">IFERROR(AVERAGEIFS($H$7:$H$294,$B$7:$B$294,$B112,$A$7:$A$294,"&gt;="&amp;EDATE($A112,-12*'Seasonal Factors'!$E$4),$A$7:$A$294,"&lt;="&amp;EDATE($A112,12*'Seasonal Factors'!$E$4)),"")</f>
        <v>1.17058166977273</v>
      </c>
      <c r="J112" s="24" t="n">
        <f aca="false">IFERROR(I112/AVERAGE(I107:I118),"")</f>
        <v>1.1739231332947</v>
      </c>
      <c r="K112" s="23" t="n">
        <f aca="false">IF(ISNUMBER(Tabelle1!G119),(0.5*Tabelle1!G107+SUM(Tabelle1!G108:G118)+0.5*Tabelle1!G119)/12,"")</f>
        <v>94.6283245833333</v>
      </c>
      <c r="L112" s="24" t="n">
        <f aca="false">IFERROR(Tabelle1!G113/K112,"")</f>
        <v>1.02618576866469</v>
      </c>
      <c r="M112" s="24" t="n">
        <f aca="false">IFERROR(AVERAGEIFS($L$7:$L$294,$B$7:$B$294,$B112,$A$7:$A$294,"&gt;="&amp;EDATE($A112,-12*'Seasonal Factors'!$E$4),$A$7:$A$294,"&lt;="&amp;EDATE($A112,12*'Seasonal Factors'!$E$4)),"")</f>
        <v>1.02673292473422</v>
      </c>
      <c r="N112" s="24" t="n">
        <f aca="false">IFERROR(M112/AVERAGE(M107:M118),"")</f>
        <v>1.02764461868552</v>
      </c>
      <c r="O112" s="23" t="n">
        <f aca="false">IF(ISNUMBER(Tabelle1!H119),(0.5*Tabelle1!H107+SUM(Tabelle1!H108:H118)+0.5*Tabelle1!H119)/12,"")</f>
        <v>139.9486975</v>
      </c>
      <c r="P112" s="24" t="n">
        <f aca="false">IFERROR(Tabelle1!H113/O112,"")</f>
        <v>1.08557373318891</v>
      </c>
      <c r="Q112" s="24" t="n">
        <f aca="false">IFERROR(AVERAGEIFS($P$7:$P$294,$B$7:$B$294,$B112,$A$7:$A$294,"&gt;="&amp;EDATE($A112,-12*'Seasonal Factors'!$E$4),$A$7:$A$294,"&lt;="&amp;EDATE($A112,12*'Seasonal Factors'!$E$4)),"")</f>
        <v>1.07451815544748</v>
      </c>
      <c r="R112" s="24" t="n">
        <f aca="false">IFERROR(Q112/AVERAGE(Q107:Q118),"")</f>
        <v>1.07595563361203</v>
      </c>
      <c r="S112" s="23" t="n">
        <f aca="false">IF(ISNUMBER(Tabelle1!I119),(0.5*Tabelle1!I107+SUM(Tabelle1!I108:I118)+0.5*Tabelle1!I119)/12,"")</f>
        <v>132.743115</v>
      </c>
      <c r="T112" s="24" t="n">
        <f aca="false">IFERROR(Tabelle1!I113/S112,"")</f>
        <v>0.957618103206332</v>
      </c>
      <c r="U112" s="24" t="n">
        <f aca="false">IFERROR(AVERAGEIFS($T$7:$T$294,$B$7:$B$294,$B112,$A$7:$A$294,"&gt;="&amp;EDATE($A112,-12*'Seasonal Factors'!$E$4),$A$7:$A$294,"&lt;="&amp;EDATE($A112,12*'Seasonal Factors'!$E$4)),"")</f>
        <v>0.957070866120304</v>
      </c>
      <c r="V112" s="24" t="n">
        <f aca="false">IFERROR(U112/AVERAGE(U107:U118),"")</f>
        <v>0.956992370674991</v>
      </c>
      <c r="W112" s="23" t="n">
        <f aca="false">IF(ISNUMBER(Tabelle1!J119),(0.5*Tabelle1!J107+SUM(Tabelle1!J108:J118)+0.5*Tabelle1!J119)/12,"")</f>
        <v>149.265263333333</v>
      </c>
      <c r="X112" s="24" t="n">
        <f aca="false">IFERROR(Tabelle1!J113/W112,"")</f>
        <v>0.99231868615826</v>
      </c>
      <c r="Y112" s="24" t="n">
        <f aca="false">IFERROR(AVERAGEIFS($X$7:$X$294,$B$7:$B$294,$B112,$A$7:$A$294,"&gt;="&amp;EDATE($A112,-12*'Seasonal Factors'!$E$4),$A$7:$A$294,"&lt;="&amp;EDATE($A112,12*'Seasonal Factors'!$E$4)),"")</f>
        <v>0.98295772841145</v>
      </c>
      <c r="Z112" s="24" t="n">
        <f aca="false">IFERROR(Y112/AVERAGE(Y107:Y118),"")</f>
        <v>0.984089751175264</v>
      </c>
      <c r="AA112" s="23" t="n">
        <f aca="false">IF(ISNUMBER(Tabelle1!K119),(0.5*Tabelle1!K107+SUM(Tabelle1!K108:K118)+0.5*Tabelle1!K119)/12,"")</f>
        <v>161.205773333333</v>
      </c>
      <c r="AB112" s="24" t="n">
        <f aca="false">IFERROR(Tabelle1!K113/AA112,"")</f>
        <v>1.0632229631478</v>
      </c>
      <c r="AC112" s="24" t="n">
        <f aca="false">IFERROR(AVERAGEIFS($AB$7:$AB$294,$B$7:$B$294,$B112,$A$7:$A$294,"&gt;="&amp;EDATE($A112,-12*'Seasonal Factors'!$E$4),$A$7:$A$294,"&lt;="&amp;EDATE($A112,12*'Seasonal Factors'!$E$4)),"")</f>
        <v>1.04439707930946</v>
      </c>
      <c r="AD112" s="24" t="n">
        <f aca="false">IFERROR(AC112/AVERAGE(AC107:AC118),"")</f>
        <v>1.04576230453749</v>
      </c>
      <c r="AE112" s="23" t="n">
        <f aca="false">IF(ISNUMBER(Tabelle1!L119),(0.5*Tabelle1!L107+SUM(Tabelle1!L108:L118)+0.5*Tabelle1!L119)/12,"")</f>
        <v>157.868845</v>
      </c>
      <c r="AF112" s="24" t="n">
        <f aca="false">IFERROR(Tabelle1!L113/AE112,"")</f>
        <v>1.01733606779729</v>
      </c>
      <c r="AG112" s="24" t="n">
        <f aca="false">IFERROR(AVERAGEIFS($AF$7:$AF$294,$B$7:$B$294,$B112,$A$7:$A$294,"&gt;="&amp;EDATE($A112,-12*'Seasonal Factors'!$E$4),$A$7:$A$294,"&lt;="&amp;EDATE($A112,12*'Seasonal Factors'!$E$4)),"")</f>
        <v>1.02788453017169</v>
      </c>
      <c r="AH112" s="24" t="n">
        <f aca="false">IFERROR(AG112/AVERAGE(AG107:AG118),"")</f>
        <v>1.02902964075996</v>
      </c>
      <c r="AI112" s="23" t="n">
        <f aca="false">IF(ISNUMBER(Tabelle1!M119),(0.5*Tabelle1!M107+SUM(Tabelle1!M108:M118)+0.5*Tabelle1!M119)/12,"")</f>
        <v>176.6491525</v>
      </c>
      <c r="AJ112" s="24" t="n">
        <f aca="false">IFERROR(Tabelle1!M113/AI112,"")</f>
        <v>0.995711202180831</v>
      </c>
      <c r="AK112" s="24" t="n">
        <f aca="false">IFERROR(AVERAGEIFS($AJ$7:$AJ$294,$B$7:$B$294,$B112,$A$7:$A$294,"&gt;="&amp;EDATE($A112,-12*'Seasonal Factors'!$E$4),$A$7:$A$294,"&lt;="&amp;EDATE($A112,12*'Seasonal Factors'!$E$4)),"")</f>
        <v>0.99315640694585</v>
      </c>
      <c r="AL112" s="24" t="n">
        <f aca="false">IFERROR(AK112/AVERAGE(AK107:AK118),"")</f>
        <v>0.993314974392697</v>
      </c>
      <c r="AM112" s="23" t="n">
        <f aca="false">IF(ISNUMBER(Tabelle1!N119),(0.5*Tabelle1!N107+SUM(Tabelle1!N108:N118)+0.5*Tabelle1!N119)/12,"")</f>
        <v>180.21700625</v>
      </c>
      <c r="AN112" s="24" t="n">
        <f aca="false">IFERROR(Tabelle1!N113/AM112,"")</f>
        <v>1.02367791940834</v>
      </c>
      <c r="AO112" s="24" t="n">
        <f aca="false">IFERROR(AVERAGEIFS($AN$7:$AN$294,$B$7:$B$294,$B112,$A$7:$A$294,"&gt;="&amp;EDATE($A112,-12*'Seasonal Factors'!$E$4),$A$7:$A$294,"&lt;="&amp;EDATE($A112,12*'Seasonal Factors'!$E$4)),"")</f>
        <v>1.00834961663769</v>
      </c>
      <c r="AP112" s="24" t="n">
        <f aca="false">IFERROR(AO112/AVERAGE(AO107:AO118),"")</f>
        <v>1.00831686717496</v>
      </c>
      <c r="AQ112" s="23" t="n">
        <f aca="false">IF(ISNUMBER(Tabelle1!O119),(0.5*Tabelle1!O107+SUM(Tabelle1!O108:O118)+0.5*Tabelle1!O119)/12,"")</f>
        <v>133.29750125</v>
      </c>
      <c r="AR112" s="24" t="n">
        <f aca="false">IFERROR(Tabelle1!O113/AQ112,"")</f>
        <v>1.01210854468287</v>
      </c>
      <c r="AS112" s="24" t="n">
        <f aca="false">IFERROR(AVERAGEIFS($AR$7:$AR$294,$B$7:$B$294,$B112,$A$7:$A$294,"&gt;="&amp;EDATE($A112,-12*'Seasonal Factors'!$E$4),$A$7:$A$294,"&lt;="&amp;EDATE($A112,12*'Seasonal Factors'!$E$4)),"")</f>
        <v>1.01080550936345</v>
      </c>
      <c r="AT112" s="24" t="n">
        <f aca="false">IFERROR(AS112/AVERAGE(AS107:AS118),"")</f>
        <v>1.01086035337828</v>
      </c>
      <c r="AU112" s="23" t="n">
        <f aca="false">IF(ISNUMBER(Tabelle1!P119),(0.5*Tabelle1!P107+SUM(Tabelle1!P108:P118)+0.5*Tabelle1!P119)/12,"")</f>
        <v>136.930352916667</v>
      </c>
      <c r="AV112" s="24" t="n">
        <f aca="false">IFERROR(Tabelle1!P113/AU112,"")</f>
        <v>1.00251519897523</v>
      </c>
      <c r="AW112" s="24" t="n">
        <f aca="false">IFERROR(AVERAGEIFS($AV$7:$AV$294,$B$7:$B$294,$B112,$A$7:$A$294,"&gt;="&amp;EDATE($A112,-12*'Seasonal Factors'!$E$4),$A$7:$A$294,"&lt;="&amp;EDATE($A112,12*'Seasonal Factors'!$E$4)),"")</f>
        <v>1.00048288038599</v>
      </c>
      <c r="AX112" s="24" t="n">
        <f aca="false">IFERROR(AW112/AVERAGE(AW107:AW118),"")</f>
        <v>1.00017687582625</v>
      </c>
      <c r="AY112" s="23" t="n">
        <f aca="false">IF(ISNUMBER(Tabelle1!Q119),(0.5*Tabelle1!Q107+SUM(Tabelle1!Q108:Q118)+0.5*Tabelle1!Q119)/12,"")</f>
        <v>140.561034166667</v>
      </c>
      <c r="AZ112" s="24" t="n">
        <f aca="false">IFERROR(Tabelle1!Q113/AY112,"")</f>
        <v>1.01124398267773</v>
      </c>
      <c r="BA112" s="24" t="n">
        <f aca="false">IFERROR(AVERAGEIFS($AZ$7:$AZ$294,$B$7:$B$294,$B112,$A$7:$A$294,"&gt;="&amp;EDATE($A112,-12*'Seasonal Factors'!$E$4),$A$7:$A$294,"&lt;="&amp;EDATE($A112,12*'Seasonal Factors'!$E$4)),"")</f>
        <v>1.01028588126597</v>
      </c>
      <c r="BB112" s="24" t="n">
        <f aca="false">IFERROR(BA112/AVERAGE(BA107:BA118),"")</f>
        <v>1.01003619504954</v>
      </c>
      <c r="BC112" s="23" t="n">
        <f aca="false">IF(ISNUMBER(Tabelle1!R119),(0.5*Tabelle1!R107+SUM(Tabelle1!R108:R118)+0.5*Tabelle1!R119)/12,"")</f>
        <v>159.56045875</v>
      </c>
      <c r="BD112" s="24" t="n">
        <f aca="false">IFERROR(Tabelle1!R113/BC112,"")</f>
        <v>0.959102594708478</v>
      </c>
      <c r="BE112" s="24" t="n">
        <f aca="false">IFERROR(AVERAGEIFS($BD$7:$BD$294,$B$7:$B$294,$B112,$A$7:$A$294,"&gt;="&amp;EDATE($A112,-12*'Seasonal Factors'!$E$4),$A$7:$A$294,"&lt;="&amp;EDATE($A112,12*'Seasonal Factors'!$E$4)),"")</f>
        <v>0.958785594877311</v>
      </c>
      <c r="BF112" s="24" t="n">
        <f aca="false">IFERROR(BE112/AVERAGE(BE107:BE118),"")</f>
        <v>0.958486860593321</v>
      </c>
      <c r="BG112" s="23" t="n">
        <f aca="false">IF(ISNUMBER(Tabelle1!S119),(0.5*Tabelle1!S107+SUM(Tabelle1!S108:S118)+0.5*Tabelle1!S119)/12,"")</f>
        <v>153.00121125</v>
      </c>
      <c r="BH112" s="24" t="n">
        <f aca="false">IFERROR(Tabelle1!S113/BG112,"")</f>
        <v>1.02031917737514</v>
      </c>
      <c r="BI112" s="24" t="n">
        <f aca="false">IFERROR(AVERAGEIFS($BH$7:$BH$294,$B$7:$B$294,$B112,$A$7:$A$294,"&gt;="&amp;EDATE($A112,-12*'Seasonal Factors'!$E$4),$A$7:$A$294,"&lt;="&amp;EDATE($A112,12*'Seasonal Factors'!$E$4)),"")</f>
        <v>0.990560323915484</v>
      </c>
      <c r="BJ112" s="24" t="n">
        <f aca="false">IFERROR(BI112/AVERAGE(BI107:BI118),"")</f>
        <v>0.989856717486604</v>
      </c>
    </row>
    <row r="113" customFormat="false" ht="15" hidden="false" customHeight="false" outlineLevel="0" collapsed="false">
      <c r="A113" s="20" t="n">
        <v>41243</v>
      </c>
      <c r="B113" s="22" t="n">
        <f aca="false">MONTH(A113)</f>
        <v>11</v>
      </c>
      <c r="C113" s="23" t="n">
        <f aca="false">IF(ISNUMBER(Tabelle1!E120),(0.5*Tabelle1!E108+SUM(Tabelle1!E109:E119)+0.5*Tabelle1!E120)/12,"")</f>
        <v>116.089482916667</v>
      </c>
      <c r="D113" s="24" t="n">
        <f aca="false">IFERROR(Tabelle1!E114/C113,"")</f>
        <v>0.731411647866077</v>
      </c>
      <c r="E113" s="24" t="n">
        <f aca="false">IFERROR(AVERAGEIFS($D$7:$D$294,$B$7:$B$294,$B113,$A$7:$A$294,"&gt;="&amp;EDATE($A113,-12*'Seasonal Factors'!$E$4),$A$7:$A$294,"&lt;="&amp;EDATE($A113,12*'Seasonal Factors'!$E$4)),"")</f>
        <v>0.69071987882974</v>
      </c>
      <c r="F113" s="24" t="n">
        <f aca="false">IFERROR(E113/AVERAGE(E108:E119),"")</f>
        <v>0.691356035990515</v>
      </c>
      <c r="G113" s="23" t="n">
        <f aca="false">IF(ISNUMBER(Tabelle1!F120),(0.5*Tabelle1!F108+SUM(Tabelle1!F109:F119)+0.5*Tabelle1!F120)/12,"")</f>
        <v>125.829242083333</v>
      </c>
      <c r="H113" s="24" t="n">
        <f aca="false">IFERROR(Tabelle1!F114/G113,"")</f>
        <v>0.87729806023064</v>
      </c>
      <c r="I113" s="24" t="n">
        <f aca="false">IFERROR(AVERAGEIFS($H$7:$H$294,$B$7:$B$294,$B113,$A$7:$A$294,"&gt;="&amp;EDATE($A113,-12*'Seasonal Factors'!$E$4),$A$7:$A$294,"&lt;="&amp;EDATE($A113,12*'Seasonal Factors'!$E$4)),"")</f>
        <v>0.797904508102197</v>
      </c>
      <c r="J113" s="24" t="n">
        <f aca="false">IFERROR(I113/AVERAGE(I108:I119),"")</f>
        <v>0.808161279418466</v>
      </c>
      <c r="K113" s="23" t="n">
        <f aca="false">IF(ISNUMBER(Tabelle1!G120),(0.5*Tabelle1!G108+SUM(Tabelle1!G109:G119)+0.5*Tabelle1!G120)/12,"")</f>
        <v>94.2665</v>
      </c>
      <c r="L113" s="24" t="n">
        <f aca="false">IFERROR(Tabelle1!G114/K113,"")</f>
        <v>0.97676226443116</v>
      </c>
      <c r="M113" s="24" t="n">
        <f aca="false">IFERROR(AVERAGEIFS($L$7:$L$294,$B$7:$B$294,$B113,$A$7:$A$294,"&gt;="&amp;EDATE($A113,-12*'Seasonal Factors'!$E$4),$A$7:$A$294,"&lt;="&amp;EDATE($A113,12*'Seasonal Factors'!$E$4)),"")</f>
        <v>0.990208627731137</v>
      </c>
      <c r="N113" s="24" t="n">
        <f aca="false">IFERROR(M113/AVERAGE(M108:M119),"")</f>
        <v>0.989911749753245</v>
      </c>
      <c r="O113" s="23" t="n">
        <f aca="false">IF(ISNUMBER(Tabelle1!H120),(0.5*Tabelle1!H108+SUM(Tabelle1!H109:H119)+0.5*Tabelle1!H120)/12,"")</f>
        <v>140.498843333333</v>
      </c>
      <c r="P113" s="24" t="n">
        <f aca="false">IFERROR(Tabelle1!H114/O113,"")</f>
        <v>1.04693110996667</v>
      </c>
      <c r="Q113" s="24" t="n">
        <f aca="false">IFERROR(AVERAGEIFS($P$7:$P$294,$B$7:$B$294,$B113,$A$7:$A$294,"&gt;="&amp;EDATE($A113,-12*'Seasonal Factors'!$E$4),$A$7:$A$294,"&lt;="&amp;EDATE($A113,12*'Seasonal Factors'!$E$4)),"")</f>
        <v>1.04435334741688</v>
      </c>
      <c r="R113" s="24" t="n">
        <f aca="false">IFERROR(Q113/AVERAGE(Q108:Q119),"")</f>
        <v>1.0459695108595</v>
      </c>
      <c r="S113" s="23" t="n">
        <f aca="false">IF(ISNUMBER(Tabelle1!I120),(0.5*Tabelle1!I108+SUM(Tabelle1!I109:I119)+0.5*Tabelle1!I120)/12,"")</f>
        <v>132.83734625</v>
      </c>
      <c r="T113" s="24" t="n">
        <f aca="false">IFERROR(Tabelle1!I114/S113,"")</f>
        <v>0.996486483182812</v>
      </c>
      <c r="U113" s="24" t="n">
        <f aca="false">IFERROR(AVERAGEIFS($T$7:$T$294,$B$7:$B$294,$B113,$A$7:$A$294,"&gt;="&amp;EDATE($A113,-12*'Seasonal Factors'!$E$4),$A$7:$A$294,"&lt;="&amp;EDATE($A113,12*'Seasonal Factors'!$E$4)),"")</f>
        <v>0.954265009586022</v>
      </c>
      <c r="V113" s="24" t="n">
        <f aca="false">IFERROR(U113/AVERAGE(U108:U119),"")</f>
        <v>0.954022916222037</v>
      </c>
      <c r="W113" s="23" t="n">
        <f aca="false">IF(ISNUMBER(Tabelle1!J120),(0.5*Tabelle1!J108+SUM(Tabelle1!J109:J119)+0.5*Tabelle1!J120)/12,"")</f>
        <v>149.458092083333</v>
      </c>
      <c r="X113" s="24" t="n">
        <f aca="false">IFERROR(Tabelle1!J114/W113,"")</f>
        <v>0.994297718701921</v>
      </c>
      <c r="Y113" s="24" t="n">
        <f aca="false">IFERROR(AVERAGEIFS($X$7:$X$294,$B$7:$B$294,$B113,$A$7:$A$294,"&gt;="&amp;EDATE($A113,-12*'Seasonal Factors'!$E$4),$A$7:$A$294,"&lt;="&amp;EDATE($A113,12*'Seasonal Factors'!$E$4)),"")</f>
        <v>0.988433223291651</v>
      </c>
      <c r="Z113" s="24" t="n">
        <f aca="false">IFERROR(Y113/AVERAGE(Y108:Y119),"")</f>
        <v>0.989646350945903</v>
      </c>
      <c r="AA113" s="23" t="n">
        <f aca="false">IF(ISNUMBER(Tabelle1!K120),(0.5*Tabelle1!K108+SUM(Tabelle1!K109:K119)+0.5*Tabelle1!K120)/12,"")</f>
        <v>162.488935</v>
      </c>
      <c r="AB113" s="24" t="n">
        <f aca="false">IFERROR(Tabelle1!K114/AA113,"")</f>
        <v>1.03922079371128</v>
      </c>
      <c r="AC113" s="24" t="n">
        <f aca="false">IFERROR(AVERAGEIFS($AB$7:$AB$294,$B$7:$B$294,$B113,$A$7:$A$294,"&gt;="&amp;EDATE($A113,-12*'Seasonal Factors'!$E$4),$A$7:$A$294,"&lt;="&amp;EDATE($A113,12*'Seasonal Factors'!$E$4)),"")</f>
        <v>1.03416630224147</v>
      </c>
      <c r="AD113" s="24" t="n">
        <f aca="false">IFERROR(AC113/AVERAGE(AC108:AC119),"")</f>
        <v>1.03575264321479</v>
      </c>
      <c r="AE113" s="23" t="n">
        <f aca="false">IF(ISNUMBER(Tabelle1!L120),(0.5*Tabelle1!L108+SUM(Tabelle1!L109:L119)+0.5*Tabelle1!L120)/12,"")</f>
        <v>157.92160625</v>
      </c>
      <c r="AF113" s="24" t="n">
        <f aca="false">IFERROR(Tabelle1!L114/AE113,"")</f>
        <v>1.0264289595902</v>
      </c>
      <c r="AG113" s="24" t="n">
        <f aca="false">IFERROR(AVERAGEIFS($AF$7:$AF$294,$B$7:$B$294,$B113,$A$7:$A$294,"&gt;="&amp;EDATE($A113,-12*'Seasonal Factors'!$E$4),$A$7:$A$294,"&lt;="&amp;EDATE($A113,12*'Seasonal Factors'!$E$4)),"")</f>
        <v>1.02891299991705</v>
      </c>
      <c r="AH113" s="24" t="n">
        <f aca="false">IFERROR(AG113/AVERAGE(AG108:AG119),"")</f>
        <v>1.03018728751138</v>
      </c>
      <c r="AI113" s="23" t="n">
        <f aca="false">IF(ISNUMBER(Tabelle1!M120),(0.5*Tabelle1!M108+SUM(Tabelle1!M109:M119)+0.5*Tabelle1!M120)/12,"")</f>
        <v>177.31614125</v>
      </c>
      <c r="AJ113" s="24" t="n">
        <f aca="false">IFERROR(Tabelle1!M114/AI113,"")</f>
        <v>0.988798079881518</v>
      </c>
      <c r="AK113" s="24" t="n">
        <f aca="false">IFERROR(AVERAGEIFS($AJ$7:$AJ$294,$B$7:$B$294,$B113,$A$7:$A$294,"&gt;="&amp;EDATE($A113,-12*'Seasonal Factors'!$E$4),$A$7:$A$294,"&lt;="&amp;EDATE($A113,12*'Seasonal Factors'!$E$4)),"")</f>
        <v>0.983284630787739</v>
      </c>
      <c r="AL113" s="24" t="n">
        <f aca="false">IFERROR(AK113/AVERAGE(AK108:AK119),"")</f>
        <v>0.98351433771597</v>
      </c>
      <c r="AM113" s="23" t="n">
        <f aca="false">IF(ISNUMBER(Tabelle1!N120),(0.5*Tabelle1!N108+SUM(Tabelle1!N109:N119)+0.5*Tabelle1!N120)/12,"")</f>
        <v>180.856614583333</v>
      </c>
      <c r="AN113" s="24" t="n">
        <f aca="false">IFERROR(Tabelle1!N114/AM113,"")</f>
        <v>1.0138434827083</v>
      </c>
      <c r="AO113" s="24" t="n">
        <f aca="false">IFERROR(AVERAGEIFS($AN$7:$AN$294,$B$7:$B$294,$B113,$A$7:$A$294,"&gt;="&amp;EDATE($A113,-12*'Seasonal Factors'!$E$4),$A$7:$A$294,"&lt;="&amp;EDATE($A113,12*'Seasonal Factors'!$E$4)),"")</f>
        <v>0.994036224909826</v>
      </c>
      <c r="AP113" s="24" t="n">
        <f aca="false">IFERROR(AO113/AVERAGE(AO108:AO119),"")</f>
        <v>0.994362708023977</v>
      </c>
      <c r="AQ113" s="23" t="n">
        <f aca="false">IF(ISNUMBER(Tabelle1!O120),(0.5*Tabelle1!O108+SUM(Tabelle1!O109:O119)+0.5*Tabelle1!O120)/12,"")</f>
        <v>133.46572</v>
      </c>
      <c r="AR113" s="24" t="n">
        <f aca="false">IFERROR(Tabelle1!O114/AQ113,"")</f>
        <v>1.01762092917942</v>
      </c>
      <c r="AS113" s="24" t="n">
        <f aca="false">IFERROR(AVERAGEIFS($AR$7:$AR$294,$B$7:$B$294,$B113,$A$7:$A$294,"&gt;="&amp;EDATE($A113,-12*'Seasonal Factors'!$E$4),$A$7:$A$294,"&lt;="&amp;EDATE($A113,12*'Seasonal Factors'!$E$4)),"")</f>
        <v>1.01768152387347</v>
      </c>
      <c r="AT113" s="24" t="n">
        <f aca="false">IFERROR(AS113/AVERAGE(AS108:AS119),"")</f>
        <v>1.01789755171489</v>
      </c>
      <c r="AU113" s="23" t="n">
        <f aca="false">IF(ISNUMBER(Tabelle1!P120),(0.5*Tabelle1!P108+SUM(Tabelle1!P109:P119)+0.5*Tabelle1!P120)/12,"")</f>
        <v>137.2080125</v>
      </c>
      <c r="AV113" s="24" t="n">
        <f aca="false">IFERROR(Tabelle1!P114/AU113,"")</f>
        <v>1.0021352798183</v>
      </c>
      <c r="AW113" s="24" t="n">
        <f aca="false">IFERROR(AVERAGEIFS($AV$7:$AV$294,$B$7:$B$294,$B113,$A$7:$A$294,"&gt;="&amp;EDATE($A113,-12*'Seasonal Factors'!$E$4),$A$7:$A$294,"&lt;="&amp;EDATE($A113,12*'Seasonal Factors'!$E$4)),"")</f>
        <v>1.00315370667808</v>
      </c>
      <c r="AX113" s="24" t="n">
        <f aca="false">IFERROR(AW113/AVERAGE(AW108:AW119),"")</f>
        <v>1.0028408678544</v>
      </c>
      <c r="AY113" s="23" t="n">
        <f aca="false">IF(ISNUMBER(Tabelle1!Q120),(0.5*Tabelle1!Q108+SUM(Tabelle1!Q109:Q119)+0.5*Tabelle1!Q120)/12,"")</f>
        <v>140.905864166667</v>
      </c>
      <c r="AZ113" s="24" t="n">
        <f aca="false">IFERROR(Tabelle1!Q114/AY113,"")</f>
        <v>1.00932541623519</v>
      </c>
      <c r="BA113" s="24" t="n">
        <f aca="false">IFERROR(AVERAGEIFS($AZ$7:$AZ$294,$B$7:$B$294,$B113,$A$7:$A$294,"&gt;="&amp;EDATE($A113,-12*'Seasonal Factors'!$E$4),$A$7:$A$294,"&lt;="&amp;EDATE($A113,12*'Seasonal Factors'!$E$4)),"")</f>
        <v>1.0112851910127</v>
      </c>
      <c r="BB113" s="24" t="n">
        <f aca="false">IFERROR(BA113/AVERAGE(BA108:BA119),"")</f>
        <v>1.01106485717155</v>
      </c>
      <c r="BC113" s="23" t="n">
        <f aca="false">IF(ISNUMBER(Tabelle1!R120),(0.5*Tabelle1!R108+SUM(Tabelle1!R109:R119)+0.5*Tabelle1!R120)/12,"")</f>
        <v>159.960755833333</v>
      </c>
      <c r="BD113" s="24" t="n">
        <f aca="false">IFERROR(Tabelle1!R114/BC113,"")</f>
        <v>0.955115391922666</v>
      </c>
      <c r="BE113" s="24" t="n">
        <f aca="false">IFERROR(AVERAGEIFS($BD$7:$BD$294,$B$7:$B$294,$B113,$A$7:$A$294,"&gt;="&amp;EDATE($A113,-12*'Seasonal Factors'!$E$4),$A$7:$A$294,"&lt;="&amp;EDATE($A113,12*'Seasonal Factors'!$E$4)),"")</f>
        <v>0.956209449751086</v>
      </c>
      <c r="BF113" s="24" t="n">
        <f aca="false">IFERROR(BE113/AVERAGE(BE108:BE119),"")</f>
        <v>0.955825587332926</v>
      </c>
      <c r="BG113" s="23" t="n">
        <f aca="false">IF(ISNUMBER(Tabelle1!S120),(0.5*Tabelle1!S108+SUM(Tabelle1!S109:S119)+0.5*Tabelle1!S120)/12,"")</f>
        <v>152.6468675</v>
      </c>
      <c r="BH113" s="24" t="n">
        <f aca="false">IFERROR(Tabelle1!S114/BG113,"")</f>
        <v>1.00204932145103</v>
      </c>
      <c r="BI113" s="24" t="n">
        <f aca="false">IFERROR(AVERAGEIFS($BH$7:$BH$294,$B$7:$B$294,$B113,$A$7:$A$294,"&gt;="&amp;EDATE($A113,-12*'Seasonal Factors'!$E$4),$A$7:$A$294,"&lt;="&amp;EDATE($A113,12*'Seasonal Factors'!$E$4)),"")</f>
        <v>0.982287398069394</v>
      </c>
      <c r="BJ113" s="24" t="n">
        <f aca="false">IFERROR(BI113/AVERAGE(BI108:BI119),"")</f>
        <v>0.981972316970285</v>
      </c>
    </row>
    <row r="114" customFormat="false" ht="15" hidden="false" customHeight="false" outlineLevel="0" collapsed="false">
      <c r="A114" s="20" t="n">
        <v>41274</v>
      </c>
      <c r="B114" s="22" t="n">
        <f aca="false">MONTH(A114)</f>
        <v>12</v>
      </c>
      <c r="C114" s="23" t="n">
        <f aca="false">IF(ISNUMBER(Tabelle1!E121),(0.5*Tabelle1!E109+SUM(Tabelle1!E110:E120)+0.5*Tabelle1!E121)/12,"")</f>
        <v>120.047472916667</v>
      </c>
      <c r="D114" s="24" t="n">
        <f aca="false">IFERROR(Tabelle1!E115/C114,"")</f>
        <v>0.675378648380892</v>
      </c>
      <c r="E114" s="24" t="n">
        <f aca="false">IFERROR(AVERAGEIFS($D$7:$D$294,$B$7:$B$294,$B114,$A$7:$A$294,"&gt;="&amp;EDATE($A114,-12*'Seasonal Factors'!$E$4),$A$7:$A$294,"&lt;="&amp;EDATE($A114,12*'Seasonal Factors'!$E$4)),"")</f>
        <v>0.721794011912222</v>
      </c>
      <c r="F114" s="24" t="n">
        <f aca="false">IFERROR(E114/AVERAGE(E109:E120),"")</f>
        <v>0.722202723971093</v>
      </c>
      <c r="G114" s="23" t="n">
        <f aca="false">IF(ISNUMBER(Tabelle1!F121),(0.5*Tabelle1!F109+SUM(Tabelle1!F110:F120)+0.5*Tabelle1!F121)/12,"")</f>
        <v>130.888649166667</v>
      </c>
      <c r="H114" s="24" t="n">
        <f aca="false">IFERROR(Tabelle1!F115/G114,"")</f>
        <v>0.524668567039417</v>
      </c>
      <c r="I114" s="24" t="n">
        <f aca="false">IFERROR(AVERAGEIFS($H$7:$H$294,$B$7:$B$294,$B114,$A$7:$A$294,"&gt;="&amp;EDATE($A114,-12*'Seasonal Factors'!$E$4),$A$7:$A$294,"&lt;="&amp;EDATE($A114,12*'Seasonal Factors'!$E$4)),"")</f>
        <v>0.596802852216137</v>
      </c>
      <c r="J114" s="24" t="n">
        <f aca="false">IFERROR(I114/AVERAGE(I109:I120),"")</f>
        <v>0.606130766856237</v>
      </c>
      <c r="K114" s="23" t="n">
        <f aca="false">IF(ISNUMBER(Tabelle1!G121),(0.5*Tabelle1!G109+SUM(Tabelle1!G110:G120)+0.5*Tabelle1!G121)/12,"")</f>
        <v>93.9834908333333</v>
      </c>
      <c r="L114" s="24" t="n">
        <f aca="false">IFERROR(Tabelle1!G115/K114,"")</f>
        <v>1.01962226716964</v>
      </c>
      <c r="M114" s="24" t="n">
        <f aca="false">IFERROR(AVERAGEIFS($L$7:$L$294,$B$7:$B$294,$B114,$A$7:$A$294,"&gt;="&amp;EDATE($A114,-12*'Seasonal Factors'!$E$4),$A$7:$A$294,"&lt;="&amp;EDATE($A114,12*'Seasonal Factors'!$E$4)),"")</f>
        <v>0.998117743193361</v>
      </c>
      <c r="N114" s="24" t="n">
        <f aca="false">IFERROR(M114/AVERAGE(M109:M120),"")</f>
        <v>0.997909456507659</v>
      </c>
      <c r="O114" s="23" t="n">
        <f aca="false">IF(ISNUMBER(Tabelle1!H121),(0.5*Tabelle1!H109+SUM(Tabelle1!H110:H120)+0.5*Tabelle1!H121)/12,"")</f>
        <v>140.951129583333</v>
      </c>
      <c r="P114" s="24" t="n">
        <f aca="false">IFERROR(Tabelle1!H115/O114,"")</f>
        <v>1.00326198461854</v>
      </c>
      <c r="Q114" s="24" t="n">
        <f aca="false">IFERROR(AVERAGEIFS($P$7:$P$294,$B$7:$B$294,$B114,$A$7:$A$294,"&gt;="&amp;EDATE($A114,-12*'Seasonal Factors'!$E$4),$A$7:$A$294,"&lt;="&amp;EDATE($A114,12*'Seasonal Factors'!$E$4)),"")</f>
        <v>0.993114864172382</v>
      </c>
      <c r="R114" s="24" t="n">
        <f aca="false">IFERROR(Q114/AVERAGE(Q109:Q120),"")</f>
        <v>0.993786302997654</v>
      </c>
      <c r="S114" s="23" t="n">
        <f aca="false">IF(ISNUMBER(Tabelle1!I121),(0.5*Tabelle1!I109+SUM(Tabelle1!I110:I120)+0.5*Tabelle1!I121)/12,"")</f>
        <v>132.88561</v>
      </c>
      <c r="T114" s="24" t="n">
        <f aca="false">IFERROR(Tabelle1!I115/S114,"")</f>
        <v>1.04070613815898</v>
      </c>
      <c r="U114" s="24" t="n">
        <f aca="false">IFERROR(AVERAGEIFS($T$7:$T$294,$B$7:$B$294,$B114,$A$7:$A$294,"&gt;="&amp;EDATE($A114,-12*'Seasonal Factors'!$E$4),$A$7:$A$294,"&lt;="&amp;EDATE($A114,12*'Seasonal Factors'!$E$4)),"")</f>
        <v>1.03071845776418</v>
      </c>
      <c r="V114" s="24" t="n">
        <f aca="false">IFERROR(U114/AVERAGE(U109:U120),"")</f>
        <v>1.03061580727481</v>
      </c>
      <c r="W114" s="23" t="n">
        <f aca="false">IF(ISNUMBER(Tabelle1!J121),(0.5*Tabelle1!J109+SUM(Tabelle1!J110:J120)+0.5*Tabelle1!J121)/12,"")</f>
        <v>149.601749166667</v>
      </c>
      <c r="X114" s="24" t="n">
        <f aca="false">IFERROR(Tabelle1!J115/W114,"")</f>
        <v>0.955132415201986</v>
      </c>
      <c r="Y114" s="24" t="n">
        <f aca="false">IFERROR(AVERAGEIFS($X$7:$X$294,$B$7:$B$294,$B114,$A$7:$A$294,"&gt;="&amp;EDATE($A114,-12*'Seasonal Factors'!$E$4),$A$7:$A$294,"&lt;="&amp;EDATE($A114,12*'Seasonal Factors'!$E$4)),"")</f>
        <v>0.954427396692749</v>
      </c>
      <c r="Z114" s="24" t="n">
        <f aca="false">IFERROR(Y114/AVERAGE(Y109:Y120),"")</f>
        <v>0.955663002166878</v>
      </c>
      <c r="AA114" s="23" t="n">
        <f aca="false">IF(ISNUMBER(Tabelle1!K121),(0.5*Tabelle1!K109+SUM(Tabelle1!K110:K120)+0.5*Tabelle1!K121)/12,"")</f>
        <v>163.14113</v>
      </c>
      <c r="AB114" s="24" t="n">
        <f aca="false">IFERROR(Tabelle1!K115/AA114,"")</f>
        <v>0.959939286922924</v>
      </c>
      <c r="AC114" s="24" t="n">
        <f aca="false">IFERROR(AVERAGEIFS($AB$7:$AB$294,$B$7:$B$294,$B114,$A$7:$A$294,"&gt;="&amp;EDATE($A114,-12*'Seasonal Factors'!$E$4),$A$7:$A$294,"&lt;="&amp;EDATE($A114,12*'Seasonal Factors'!$E$4)),"")</f>
        <v>0.95290973039312</v>
      </c>
      <c r="AD114" s="24" t="n">
        <f aca="false">IFERROR(AC114/AVERAGE(AC109:AC120),"")</f>
        <v>0.953696458707939</v>
      </c>
      <c r="AE114" s="23" t="n">
        <f aca="false">IF(ISNUMBER(Tabelle1!L121),(0.5*Tabelle1!L109+SUM(Tabelle1!L110:L120)+0.5*Tabelle1!L121)/12,"")</f>
        <v>158.1509725</v>
      </c>
      <c r="AF114" s="24" t="n">
        <f aca="false">IFERROR(Tabelle1!L115/AE114,"")</f>
        <v>1.00656301686668</v>
      </c>
      <c r="AG114" s="24" t="n">
        <f aca="false">IFERROR(AVERAGEIFS($AF$7:$AF$294,$B$7:$B$294,$B114,$A$7:$A$294,"&gt;="&amp;EDATE($A114,-12*'Seasonal Factors'!$E$4),$A$7:$A$294,"&lt;="&amp;EDATE($A114,12*'Seasonal Factors'!$E$4)),"")</f>
        <v>1.01544390153851</v>
      </c>
      <c r="AH114" s="24" t="n">
        <f aca="false">IFERROR(AG114/AVERAGE(AG109:AG120),"")</f>
        <v>1.01641805879271</v>
      </c>
      <c r="AI114" s="23" t="n">
        <f aca="false">IF(ISNUMBER(Tabelle1!M121),(0.5*Tabelle1!M109+SUM(Tabelle1!M110:M120)+0.5*Tabelle1!M121)/12,"")</f>
        <v>177.928301666667</v>
      </c>
      <c r="AJ114" s="24" t="n">
        <f aca="false">IFERROR(Tabelle1!M115/AI114,"")</f>
        <v>0.973868397421242</v>
      </c>
      <c r="AK114" s="24" t="n">
        <f aca="false">IFERROR(AVERAGEIFS($AJ$7:$AJ$294,$B$7:$B$294,$B114,$A$7:$A$294,"&gt;="&amp;EDATE($A114,-12*'Seasonal Factors'!$E$4),$A$7:$A$294,"&lt;="&amp;EDATE($A114,12*'Seasonal Factors'!$E$4)),"")</f>
        <v>0.976055008444583</v>
      </c>
      <c r="AL114" s="24" t="n">
        <f aca="false">IFERROR(AK114/AVERAGE(AK109:AK120),"")</f>
        <v>0.976044300201487</v>
      </c>
      <c r="AM114" s="23" t="n">
        <f aca="false">IF(ISNUMBER(Tabelle1!N121),(0.5*Tabelle1!N109+SUM(Tabelle1!N110:N120)+0.5*Tabelle1!N121)/12,"")</f>
        <v>181.552474166667</v>
      </c>
      <c r="AN114" s="24" t="n">
        <f aca="false">IFERROR(Tabelle1!N115/AM114,"")</f>
        <v>1.04157374262168</v>
      </c>
      <c r="AO114" s="24" t="n">
        <f aca="false">IFERROR(AVERAGEIFS($AN$7:$AN$294,$B$7:$B$294,$B114,$A$7:$A$294,"&gt;="&amp;EDATE($A114,-12*'Seasonal Factors'!$E$4),$A$7:$A$294,"&lt;="&amp;EDATE($A114,12*'Seasonal Factors'!$E$4)),"")</f>
        <v>1.02331861861017</v>
      </c>
      <c r="AP114" s="24" t="n">
        <f aca="false">IFERROR(AO114/AVERAGE(AO109:AO120),"")</f>
        <v>1.0237383103727</v>
      </c>
      <c r="AQ114" s="23" t="n">
        <f aca="false">IF(ISNUMBER(Tabelle1!O121),(0.5*Tabelle1!O109+SUM(Tabelle1!O110:O120)+0.5*Tabelle1!O121)/12,"")</f>
        <v>133.5153025</v>
      </c>
      <c r="AR114" s="24" t="n">
        <f aca="false">IFERROR(Tabelle1!O115/AQ114,"")</f>
        <v>1.0431321907839</v>
      </c>
      <c r="AS114" s="24" t="n">
        <f aca="false">IFERROR(AVERAGEIFS($AR$7:$AR$294,$B$7:$B$294,$B114,$A$7:$A$294,"&gt;="&amp;EDATE($A114,-12*'Seasonal Factors'!$E$4),$A$7:$A$294,"&lt;="&amp;EDATE($A114,12*'Seasonal Factors'!$E$4)),"")</f>
        <v>1.04047056558616</v>
      </c>
      <c r="AT114" s="24" t="n">
        <f aca="false">IFERROR(AS114/AVERAGE(AS109:AS120),"")</f>
        <v>1.04062787666685</v>
      </c>
      <c r="AU114" s="23" t="n">
        <f aca="false">IF(ISNUMBER(Tabelle1!P121),(0.5*Tabelle1!P109+SUM(Tabelle1!P110:P120)+0.5*Tabelle1!P121)/12,"")</f>
        <v>137.49355625</v>
      </c>
      <c r="AV114" s="24" t="n">
        <f aca="false">IFERROR(Tabelle1!P115/AU114,"")</f>
        <v>1.01004304338081</v>
      </c>
      <c r="AW114" s="24" t="n">
        <f aca="false">IFERROR(AVERAGEIFS($AV$7:$AV$294,$B$7:$B$294,$B114,$A$7:$A$294,"&gt;="&amp;EDATE($A114,-12*'Seasonal Factors'!$E$4),$A$7:$A$294,"&lt;="&amp;EDATE($A114,12*'Seasonal Factors'!$E$4)),"")</f>
        <v>1.01065645262242</v>
      </c>
      <c r="AX114" s="24" t="n">
        <f aca="false">IFERROR(AW114/AVERAGE(AW109:AW120),"")</f>
        <v>1.01043956695778</v>
      </c>
      <c r="AY114" s="23" t="n">
        <f aca="false">IF(ISNUMBER(Tabelle1!Q121),(0.5*Tabelle1!Q109+SUM(Tabelle1!Q110:Q120)+0.5*Tabelle1!Q121)/12,"")</f>
        <v>141.223569166667</v>
      </c>
      <c r="AZ114" s="24" t="n">
        <f aca="false">IFERROR(Tabelle1!Q115/AY114,"")</f>
        <v>1.01726468781182</v>
      </c>
      <c r="BA114" s="24" t="n">
        <f aca="false">IFERROR(AVERAGEIFS($AZ$7:$AZ$294,$B$7:$B$294,$B114,$A$7:$A$294,"&gt;="&amp;EDATE($A114,-12*'Seasonal Factors'!$E$4),$A$7:$A$294,"&lt;="&amp;EDATE($A114,12*'Seasonal Factors'!$E$4)),"")</f>
        <v>1.01590976214098</v>
      </c>
      <c r="BB114" s="24" t="n">
        <f aca="false">IFERROR(BA114/AVERAGE(BA109:BA120),"")</f>
        <v>1.01588045894604</v>
      </c>
      <c r="BC114" s="23" t="n">
        <f aca="false">IF(ISNUMBER(Tabelle1!R121),(0.5*Tabelle1!R109+SUM(Tabelle1!R110:R120)+0.5*Tabelle1!R121)/12,"")</f>
        <v>160.365640833333</v>
      </c>
      <c r="BD114" s="24" t="n">
        <f aca="false">IFERROR(Tabelle1!R115/BC114,"")</f>
        <v>0.922141296798672</v>
      </c>
      <c r="BE114" s="24" t="n">
        <f aca="false">IFERROR(AVERAGEIFS($BD$7:$BD$294,$B$7:$B$294,$B114,$A$7:$A$294,"&gt;="&amp;EDATE($A114,-12*'Seasonal Factors'!$E$4),$A$7:$A$294,"&lt;="&amp;EDATE($A114,12*'Seasonal Factors'!$E$4)),"")</f>
        <v>0.920648028457146</v>
      </c>
      <c r="BF114" s="24" t="n">
        <f aca="false">IFERROR(BE114/AVERAGE(BE109:BE120),"")</f>
        <v>0.920014048261427</v>
      </c>
      <c r="BG114" s="23" t="n">
        <f aca="false">IF(ISNUMBER(Tabelle1!S121),(0.5*Tabelle1!S109+SUM(Tabelle1!S110:S120)+0.5*Tabelle1!S121)/12,"")</f>
        <v>152.533873333333</v>
      </c>
      <c r="BH114" s="24" t="n">
        <f aca="false">IFERROR(Tabelle1!S115/BG114,"")</f>
        <v>0.986827166389839</v>
      </c>
      <c r="BI114" s="24" t="n">
        <f aca="false">IFERROR(AVERAGEIFS($BH$7:$BH$294,$B$7:$B$294,$B114,$A$7:$A$294,"&gt;="&amp;EDATE($A114,-12*'Seasonal Factors'!$E$4),$A$7:$A$294,"&lt;="&amp;EDATE($A114,12*'Seasonal Factors'!$E$4)),"")</f>
        <v>0.978445716278105</v>
      </c>
      <c r="BJ114" s="24" t="n">
        <f aca="false">IFERROR(BI114/AVERAGE(BI109:BI120),"")</f>
        <v>0.97881150134217</v>
      </c>
    </row>
    <row r="115" customFormat="false" ht="15" hidden="false" customHeight="false" outlineLevel="0" collapsed="false">
      <c r="A115" s="20" t="n">
        <v>41305</v>
      </c>
      <c r="B115" s="22" t="n">
        <f aca="false">MONTH(A115)</f>
        <v>1</v>
      </c>
      <c r="C115" s="23" t="n">
        <f aca="false">IF(ISNUMBER(Tabelle1!E122),(0.5*Tabelle1!E110+SUM(Tabelle1!E111:E121)+0.5*Tabelle1!E122)/12,"")</f>
        <v>121.78100625</v>
      </c>
      <c r="D115" s="24" t="n">
        <f aca="false">IFERROR(Tabelle1!E116/C115,"")</f>
        <v>0.525669330310695</v>
      </c>
      <c r="E115" s="24" t="n">
        <f aca="false">IFERROR(AVERAGEIFS($D$7:$D$294,$B$7:$B$294,$B115,$A$7:$A$294,"&gt;="&amp;EDATE($A115,-12*'Seasonal Factors'!$E$4),$A$7:$A$294,"&lt;="&amp;EDATE($A115,12*'Seasonal Factors'!$E$4)),"")</f>
        <v>0.531363480780222</v>
      </c>
      <c r="F115" s="24" t="n">
        <f aca="false">IFERROR(E115/AVERAGE(E110:E121),"")</f>
        <v>0.531898248744804</v>
      </c>
      <c r="G115" s="23" t="n">
        <f aca="false">IF(ISNUMBER(Tabelle1!F122),(0.5*Tabelle1!F110+SUM(Tabelle1!F111:F121)+0.5*Tabelle1!F122)/12,"")</f>
        <v>138.84138</v>
      </c>
      <c r="H115" s="24" t="n">
        <f aca="false">IFERROR(Tabelle1!F116/G115,"")</f>
        <v>0.3244819375895</v>
      </c>
      <c r="I115" s="24" t="n">
        <f aca="false">IFERROR(AVERAGEIFS($H$7:$H$294,$B$7:$B$294,$B115,$A$7:$A$294,"&gt;="&amp;EDATE($A115,-12*'Seasonal Factors'!$E$4),$A$7:$A$294,"&lt;="&amp;EDATE($A115,12*'Seasonal Factors'!$E$4)),"")</f>
        <v>0.334791450867323</v>
      </c>
      <c r="J115" s="24" t="n">
        <f aca="false">IFERROR(I115/AVERAGE(I110:I121),"")</f>
        <v>0.339524943696597</v>
      </c>
      <c r="K115" s="23" t="n">
        <f aca="false">IF(ISNUMBER(Tabelle1!G122),(0.5*Tabelle1!G110+SUM(Tabelle1!G111:G121)+0.5*Tabelle1!G122)/12,"")</f>
        <v>93.7123645833333</v>
      </c>
      <c r="L115" s="24" t="n">
        <f aca="false">IFERROR(Tabelle1!G116/K115,"")</f>
        <v>0.984934596521915</v>
      </c>
      <c r="M115" s="24" t="n">
        <f aca="false">IFERROR(AVERAGEIFS($L$7:$L$294,$B$7:$B$294,$B115,$A$7:$A$294,"&gt;="&amp;EDATE($A115,-12*'Seasonal Factors'!$E$4),$A$7:$A$294,"&lt;="&amp;EDATE($A115,12*'Seasonal Factors'!$E$4)),"")</f>
        <v>0.998236425019563</v>
      </c>
      <c r="N115" s="24" t="n">
        <f aca="false">IFERROR(M115/AVERAGE(M110:M121),"")</f>
        <v>0.998164093491007</v>
      </c>
      <c r="O115" s="23" t="n">
        <f aca="false">IF(ISNUMBER(Tabelle1!H122),(0.5*Tabelle1!H110+SUM(Tabelle1!H111:H121)+0.5*Tabelle1!H122)/12,"")</f>
        <v>141.129135416667</v>
      </c>
      <c r="P115" s="24" t="n">
        <f aca="false">IFERROR(Tabelle1!H116/O115,"")</f>
        <v>0.880803525317423</v>
      </c>
      <c r="Q115" s="24" t="n">
        <f aca="false">IFERROR(AVERAGEIFS($P$7:$P$294,$B$7:$B$294,$B115,$A$7:$A$294,"&gt;="&amp;EDATE($A115,-12*'Seasonal Factors'!$E$4),$A$7:$A$294,"&lt;="&amp;EDATE($A115,12*'Seasonal Factors'!$E$4)),"")</f>
        <v>0.879278764717206</v>
      </c>
      <c r="R115" s="24" t="n">
        <f aca="false">IFERROR(Q115/AVERAGE(Q110:Q121),"")</f>
        <v>0.880151168727478</v>
      </c>
      <c r="S115" s="23" t="n">
        <f aca="false">IF(ISNUMBER(Tabelle1!I122),(0.5*Tabelle1!I110+SUM(Tabelle1!I111:I121)+0.5*Tabelle1!I122)/12,"")</f>
        <v>132.855086666667</v>
      </c>
      <c r="T115" s="24" t="n">
        <f aca="false">IFERROR(Tabelle1!I116/S115,"")</f>
        <v>1.05609829115563</v>
      </c>
      <c r="U115" s="24" t="n">
        <f aca="false">IFERROR(AVERAGEIFS($T$7:$T$294,$B$7:$B$294,$B115,$A$7:$A$294,"&gt;="&amp;EDATE($A115,-12*'Seasonal Factors'!$E$4),$A$7:$A$294,"&lt;="&amp;EDATE($A115,12*'Seasonal Factors'!$E$4)),"")</f>
        <v>1.06241492909881</v>
      </c>
      <c r="V115" s="24" t="n">
        <f aca="false">IFERROR(U115/AVERAGE(U110:U121),"")</f>
        <v>1.06199742346815</v>
      </c>
      <c r="W115" s="23" t="n">
        <f aca="false">IF(ISNUMBER(Tabelle1!J122),(0.5*Tabelle1!J110+SUM(Tabelle1!J111:J121)+0.5*Tabelle1!J122)/12,"")</f>
        <v>149.695874583333</v>
      </c>
      <c r="X115" s="24" t="n">
        <f aca="false">IFERROR(Tabelle1!J116/W115,"")</f>
        <v>0.99366138455068</v>
      </c>
      <c r="Y115" s="24" t="n">
        <f aca="false">IFERROR(AVERAGEIFS($X$7:$X$294,$B$7:$B$294,$B115,$A$7:$A$294,"&gt;="&amp;EDATE($A115,-12*'Seasonal Factors'!$E$4),$A$7:$A$294,"&lt;="&amp;EDATE($A115,12*'Seasonal Factors'!$E$4)),"")</f>
        <v>0.994181593848458</v>
      </c>
      <c r="Z115" s="24" t="n">
        <f aca="false">IFERROR(Y115/AVERAGE(Y110:Y121),"")</f>
        <v>0.995984724198595</v>
      </c>
      <c r="AA115" s="23" t="n">
        <f aca="false">IF(ISNUMBER(Tabelle1!K122),(0.5*Tabelle1!K110+SUM(Tabelle1!K111:K121)+0.5*Tabelle1!K122)/12,"")</f>
        <v>163.552270416667</v>
      </c>
      <c r="AB115" s="24" t="n">
        <f aca="false">IFERROR(Tabelle1!K116/AA115,"")</f>
        <v>0.902341249216685</v>
      </c>
      <c r="AC115" s="24" t="n">
        <f aca="false">IFERROR(AVERAGEIFS($AB$7:$AB$294,$B$7:$B$294,$B115,$A$7:$A$294,"&gt;="&amp;EDATE($A115,-12*'Seasonal Factors'!$E$4),$A$7:$A$294,"&lt;="&amp;EDATE($A115,12*'Seasonal Factors'!$E$4)),"")</f>
        <v>0.889909677340388</v>
      </c>
      <c r="AD115" s="24" t="n">
        <f aca="false">IFERROR(AC115/AVERAGE(AC110:AC121),"")</f>
        <v>0.891165012377387</v>
      </c>
      <c r="AE115" s="23" t="n">
        <f aca="false">IF(ISNUMBER(Tabelle1!L122),(0.5*Tabelle1!L110+SUM(Tabelle1!L111:L121)+0.5*Tabelle1!L122)/12,"")</f>
        <v>158.334661666667</v>
      </c>
      <c r="AF115" s="24" t="n">
        <f aca="false">IFERROR(Tabelle1!L116/AE115,"")</f>
        <v>1.04971595133039</v>
      </c>
      <c r="AG115" s="24" t="n">
        <f aca="false">IFERROR(AVERAGEIFS($AF$7:$AF$294,$B$7:$B$294,$B115,$A$7:$A$294,"&gt;="&amp;EDATE($A115,-12*'Seasonal Factors'!$E$4),$A$7:$A$294,"&lt;="&amp;EDATE($A115,12*'Seasonal Factors'!$E$4)),"")</f>
        <v>1.07164870746096</v>
      </c>
      <c r="AH115" s="24" t="n">
        <f aca="false">IFERROR(AG115/AVERAGE(AG110:AG121),"")</f>
        <v>1.07228299953036</v>
      </c>
      <c r="AI115" s="23" t="n">
        <f aca="false">IF(ISNUMBER(Tabelle1!M122),(0.5*Tabelle1!M110+SUM(Tabelle1!M111:M121)+0.5*Tabelle1!M122)/12,"")</f>
        <v>178.31688</v>
      </c>
      <c r="AJ115" s="24" t="n">
        <f aca="false">IFERROR(Tabelle1!M116/AI115,"")</f>
        <v>0.965058047224694</v>
      </c>
      <c r="AK115" s="24" t="n">
        <f aca="false">IFERROR(AVERAGEIFS($AJ$7:$AJ$294,$B$7:$B$294,$B115,$A$7:$A$294,"&gt;="&amp;EDATE($A115,-12*'Seasonal Factors'!$E$4),$A$7:$A$294,"&lt;="&amp;EDATE($A115,12*'Seasonal Factors'!$E$4)),"")</f>
        <v>0.97693577452851</v>
      </c>
      <c r="AL115" s="24" t="n">
        <f aca="false">IFERROR(AK115/AVERAGE(AK110:AK121),"")</f>
        <v>0.976981169622838</v>
      </c>
      <c r="AM115" s="23" t="n">
        <f aca="false">IF(ISNUMBER(Tabelle1!N122),(0.5*Tabelle1!N110+SUM(Tabelle1!N111:N121)+0.5*Tabelle1!N122)/12,"")</f>
        <v>182.284205416667</v>
      </c>
      <c r="AN115" s="24" t="n">
        <f aca="false">IFERROR(Tabelle1!N116/AM115,"")</f>
        <v>1.006607454445</v>
      </c>
      <c r="AO115" s="24" t="n">
        <f aca="false">IFERROR(AVERAGEIFS($AN$7:$AN$294,$B$7:$B$294,$B115,$A$7:$A$294,"&gt;="&amp;EDATE($A115,-12*'Seasonal Factors'!$E$4),$A$7:$A$294,"&lt;="&amp;EDATE($A115,12*'Seasonal Factors'!$E$4)),"")</f>
        <v>1.013586588477</v>
      </c>
      <c r="AP115" s="24" t="n">
        <f aca="false">IFERROR(AO115/AVERAGE(AO110:AO121),"")</f>
        <v>1.01391801022756</v>
      </c>
      <c r="AQ115" s="23" t="n">
        <f aca="false">IF(ISNUMBER(Tabelle1!O122),(0.5*Tabelle1!O110+SUM(Tabelle1!O111:O121)+0.5*Tabelle1!O122)/12,"")</f>
        <v>133.667457083333</v>
      </c>
      <c r="AR115" s="24" t="n">
        <f aca="false">IFERROR(Tabelle1!O116/AQ115,"")</f>
        <v>0.956069882591748</v>
      </c>
      <c r="AS115" s="24" t="n">
        <f aca="false">IFERROR(AVERAGEIFS($AR$7:$AR$294,$B$7:$B$294,$B115,$A$7:$A$294,"&gt;="&amp;EDATE($A115,-12*'Seasonal Factors'!$E$4),$A$7:$A$294,"&lt;="&amp;EDATE($A115,12*'Seasonal Factors'!$E$4)),"")</f>
        <v>0.952467311923792</v>
      </c>
      <c r="AT115" s="24" t="n">
        <f aca="false">IFERROR(AS115/AVERAGE(AS110:AS121),"")</f>
        <v>0.95278115334536</v>
      </c>
      <c r="AU115" s="23" t="n">
        <f aca="false">IF(ISNUMBER(Tabelle1!P122),(0.5*Tabelle1!P110+SUM(Tabelle1!P111:P121)+0.5*Tabelle1!P122)/12,"")</f>
        <v>137.7771675</v>
      </c>
      <c r="AV115" s="24" t="n">
        <f aca="false">IFERROR(Tabelle1!P116/AU115,"")</f>
        <v>0.994481469507638</v>
      </c>
      <c r="AW115" s="24" t="n">
        <f aca="false">IFERROR(AVERAGEIFS($AV$7:$AV$294,$B$7:$B$294,$B115,$A$7:$A$294,"&gt;="&amp;EDATE($A115,-12*'Seasonal Factors'!$E$4),$A$7:$A$294,"&lt;="&amp;EDATE($A115,12*'Seasonal Factors'!$E$4)),"")</f>
        <v>0.995980391559231</v>
      </c>
      <c r="AX115" s="24" t="n">
        <f aca="false">IFERROR(AW115/AVERAGE(AW110:AW121),"")</f>
        <v>0.995823859566435</v>
      </c>
      <c r="AY115" s="23" t="n">
        <f aca="false">IF(ISNUMBER(Tabelle1!Q122),(0.5*Tabelle1!Q110+SUM(Tabelle1!Q111:Q121)+0.5*Tabelle1!Q122)/12,"")</f>
        <v>141.57569</v>
      </c>
      <c r="AZ115" s="24" t="n">
        <f aca="false">IFERROR(Tabelle1!Q116/AY115,"")</f>
        <v>0.982322530089735</v>
      </c>
      <c r="BA115" s="24" t="n">
        <f aca="false">IFERROR(AVERAGEIFS($AZ$7:$AZ$294,$B$7:$B$294,$B115,$A$7:$A$294,"&gt;="&amp;EDATE($A115,-12*'Seasonal Factors'!$E$4),$A$7:$A$294,"&lt;="&amp;EDATE($A115,12*'Seasonal Factors'!$E$4)),"")</f>
        <v>0.979228511399512</v>
      </c>
      <c r="BB115" s="24" t="n">
        <f aca="false">IFERROR(BA115/AVERAGE(BA110:BA121),"")</f>
        <v>0.979185540101364</v>
      </c>
      <c r="BC115" s="23" t="n">
        <f aca="false">IF(ISNUMBER(Tabelle1!R122),(0.5*Tabelle1!R110+SUM(Tabelle1!R111:R121)+0.5*Tabelle1!R122)/12,"")</f>
        <v>160.76171125</v>
      </c>
      <c r="BD115" s="24" t="n">
        <f aca="false">IFERROR(Tabelle1!R116/BC115,"")</f>
        <v>0.997512335201645</v>
      </c>
      <c r="BE115" s="24" t="n">
        <f aca="false">IFERROR(AVERAGEIFS($BD$7:$BD$294,$B$7:$B$294,$B115,$A$7:$A$294,"&gt;="&amp;EDATE($A115,-12*'Seasonal Factors'!$E$4),$A$7:$A$294,"&lt;="&amp;EDATE($A115,12*'Seasonal Factors'!$E$4)),"")</f>
        <v>0.994431412496324</v>
      </c>
      <c r="BF115" s="24" t="n">
        <f aca="false">IFERROR(BE115/AVERAGE(BE110:BE121),"")</f>
        <v>0.993849163005209</v>
      </c>
      <c r="BG115" s="23" t="n">
        <f aca="false">IF(ISNUMBER(Tabelle1!S122),(0.5*Tabelle1!S110+SUM(Tabelle1!S111:S121)+0.5*Tabelle1!S122)/12,"")</f>
        <v>152.5021425</v>
      </c>
      <c r="BH115" s="24" t="n">
        <f aca="false">IFERROR(Tabelle1!S116/BG115,"")</f>
        <v>0.98176607584382</v>
      </c>
      <c r="BI115" s="24" t="n">
        <f aca="false">IFERROR(AVERAGEIFS($BH$7:$BH$294,$B$7:$B$294,$B115,$A$7:$A$294,"&gt;="&amp;EDATE($A115,-12*'Seasonal Factors'!$E$4),$A$7:$A$294,"&lt;="&amp;EDATE($A115,12*'Seasonal Factors'!$E$4)),"")</f>
        <v>1.0012155789583</v>
      </c>
      <c r="BJ115" s="24" t="n">
        <f aca="false">IFERROR(BI115/AVERAGE(BI110:BI121),"")</f>
        <v>1.00131790150238</v>
      </c>
    </row>
    <row r="116" customFormat="false" ht="15" hidden="false" customHeight="false" outlineLevel="0" collapsed="false">
      <c r="A116" s="20" t="n">
        <v>41333</v>
      </c>
      <c r="B116" s="22" t="n">
        <f aca="false">MONTH(A116)</f>
        <v>2</v>
      </c>
      <c r="C116" s="23" t="n">
        <f aca="false">IF(ISNUMBER(Tabelle1!E123),(0.5*Tabelle1!E111+SUM(Tabelle1!E112:E122)+0.5*Tabelle1!E123)/12,"")</f>
        <v>121.854996666667</v>
      </c>
      <c r="D116" s="24" t="n">
        <f aca="false">IFERROR(Tabelle1!E117/C116,"")</f>
        <v>0.597707127260737</v>
      </c>
      <c r="E116" s="24" t="n">
        <f aca="false">IFERROR(AVERAGEIFS($D$7:$D$294,$B$7:$B$294,$B116,$A$7:$A$294,"&gt;="&amp;EDATE($A116,-12*'Seasonal Factors'!$E$4),$A$7:$A$294,"&lt;="&amp;EDATE($A116,12*'Seasonal Factors'!$E$4)),"")</f>
        <v>0.572923502497201</v>
      </c>
      <c r="F116" s="24" t="n">
        <f aca="false">IFERROR(E116/AVERAGE(E111:E122),"")</f>
        <v>0.573602080286899</v>
      </c>
      <c r="G116" s="23" t="n">
        <f aca="false">IF(ISNUMBER(Tabelle1!F123),(0.5*Tabelle1!F111+SUM(Tabelle1!F112:F122)+0.5*Tabelle1!F123)/12,"")</f>
        <v>142.240681666667</v>
      </c>
      <c r="H116" s="24" t="n">
        <f aca="false">IFERROR(Tabelle1!F117/G116,"")</f>
        <v>0.802414250709733</v>
      </c>
      <c r="I116" s="24" t="n">
        <f aca="false">IFERROR(AVERAGEIFS($H$7:$H$294,$B$7:$B$294,$B116,$A$7:$A$294,"&gt;="&amp;EDATE($A116,-12*'Seasonal Factors'!$E$4),$A$7:$A$294,"&lt;="&amp;EDATE($A116,12*'Seasonal Factors'!$E$4)),"")</f>
        <v>0.645888502431595</v>
      </c>
      <c r="J116" s="24" t="n">
        <f aca="false">IFERROR(I116/AVERAGE(I111:I122),"")</f>
        <v>0.654095463678759</v>
      </c>
      <c r="K116" s="23" t="n">
        <f aca="false">IF(ISNUMBER(Tabelle1!G123),(0.5*Tabelle1!G111+SUM(Tabelle1!G112:G122)+0.5*Tabelle1!G123)/12,"")</f>
        <v>93.3765254166667</v>
      </c>
      <c r="L116" s="24" t="n">
        <f aca="false">IFERROR(Tabelle1!G117/K116,"")</f>
        <v>0.916469311940424</v>
      </c>
      <c r="M116" s="24" t="n">
        <f aca="false">IFERROR(AVERAGEIFS($L$7:$L$294,$B$7:$B$294,$B116,$A$7:$A$294,"&gt;="&amp;EDATE($A116,-12*'Seasonal Factors'!$E$4),$A$7:$A$294,"&lt;="&amp;EDATE($A116,12*'Seasonal Factors'!$E$4)),"")</f>
        <v>0.940528886113554</v>
      </c>
      <c r="N116" s="24" t="n">
        <f aca="false">IFERROR(M116/AVERAGE(M111:M122),"")</f>
        <v>0.940501914727101</v>
      </c>
      <c r="O116" s="23" t="n">
        <f aca="false">IF(ISNUMBER(Tabelle1!H123),(0.5*Tabelle1!H111+SUM(Tabelle1!H112:H122)+0.5*Tabelle1!H123)/12,"")</f>
        <v>141.34587125</v>
      </c>
      <c r="P116" s="24" t="n">
        <f aca="false">IFERROR(Tabelle1!H117/O116,"")</f>
        <v>0.844776567890023</v>
      </c>
      <c r="Q116" s="24" t="n">
        <f aca="false">IFERROR(AVERAGEIFS($P$7:$P$294,$B$7:$B$294,$B116,$A$7:$A$294,"&gt;="&amp;EDATE($A116,-12*'Seasonal Factors'!$E$4),$A$7:$A$294,"&lt;="&amp;EDATE($A116,12*'Seasonal Factors'!$E$4)),"")</f>
        <v>0.857323355667719</v>
      </c>
      <c r="R116" s="24" t="n">
        <f aca="false">IFERROR(Q116/AVERAGE(Q111:Q122),"")</f>
        <v>0.857954506361877</v>
      </c>
      <c r="S116" s="23" t="n">
        <f aca="false">IF(ISNUMBER(Tabelle1!I123),(0.5*Tabelle1!I111+SUM(Tabelle1!I112:I122)+0.5*Tabelle1!I123)/12,"")</f>
        <v>133.01152</v>
      </c>
      <c r="T116" s="24" t="n">
        <f aca="false">IFERROR(Tabelle1!I117/S116,"")</f>
        <v>0.945031828822045</v>
      </c>
      <c r="U116" s="24" t="n">
        <f aca="false">IFERROR(AVERAGEIFS($T$7:$T$294,$B$7:$B$294,$B116,$A$7:$A$294,"&gt;="&amp;EDATE($A116,-12*'Seasonal Factors'!$E$4),$A$7:$A$294,"&lt;="&amp;EDATE($A116,12*'Seasonal Factors'!$E$4)),"")</f>
        <v>0.963946055822396</v>
      </c>
      <c r="V116" s="24" t="n">
        <f aca="false">IFERROR(U116/AVERAGE(U111:U122),"")</f>
        <v>0.963861536235812</v>
      </c>
      <c r="W116" s="23" t="n">
        <f aca="false">IF(ISNUMBER(Tabelle1!J123),(0.5*Tabelle1!J111+SUM(Tabelle1!J112:J122)+0.5*Tabelle1!J123)/12,"")</f>
        <v>149.821902916667</v>
      </c>
      <c r="X116" s="24" t="n">
        <f aca="false">IFERROR(Tabelle1!J117/W116,"")</f>
        <v>0.997352837542804</v>
      </c>
      <c r="Y116" s="24" t="n">
        <f aca="false">IFERROR(AVERAGEIFS($X$7:$X$294,$B$7:$B$294,$B116,$A$7:$A$294,"&gt;="&amp;EDATE($A116,-12*'Seasonal Factors'!$E$4),$A$7:$A$294,"&lt;="&amp;EDATE($A116,12*'Seasonal Factors'!$E$4)),"")</f>
        <v>0.99359869422701</v>
      </c>
      <c r="Z116" s="24" t="n">
        <f aca="false">IFERROR(Y116/AVERAGE(Y111:Y122),"")</f>
        <v>0.995155655472065</v>
      </c>
      <c r="AA116" s="23" t="n">
        <f aca="false">IF(ISNUMBER(Tabelle1!K123),(0.5*Tabelle1!K111+SUM(Tabelle1!K112:K122)+0.5*Tabelle1!K123)/12,"")</f>
        <v>163.789551666667</v>
      </c>
      <c r="AB116" s="24" t="n">
        <f aca="false">IFERROR(Tabelle1!K117/AA116,"")</f>
        <v>0.883126173361628</v>
      </c>
      <c r="AC116" s="24" t="n">
        <f aca="false">IFERROR(AVERAGEIFS($AB$7:$AB$294,$B$7:$B$294,$B116,$A$7:$A$294,"&gt;="&amp;EDATE($A116,-12*'Seasonal Factors'!$E$4),$A$7:$A$294,"&lt;="&amp;EDATE($A116,12*'Seasonal Factors'!$E$4)),"")</f>
        <v>0.892866888692531</v>
      </c>
      <c r="AD116" s="24" t="n">
        <f aca="false">IFERROR(AC116/AVERAGE(AC111:AC122),"")</f>
        <v>0.893947355962236</v>
      </c>
      <c r="AE116" s="23" t="n">
        <f aca="false">IF(ISNUMBER(Tabelle1!L123),(0.5*Tabelle1!L111+SUM(Tabelle1!L112:L122)+0.5*Tabelle1!L123)/12,"")</f>
        <v>158.48208375</v>
      </c>
      <c r="AF116" s="24" t="n">
        <f aca="false">IFERROR(Tabelle1!L117/AE116,"")</f>
        <v>0.998588334121396</v>
      </c>
      <c r="AG116" s="24" t="n">
        <f aca="false">IFERROR(AVERAGEIFS($AF$7:$AF$294,$B$7:$B$294,$B116,$A$7:$A$294,"&gt;="&amp;EDATE($A116,-12*'Seasonal Factors'!$E$4),$A$7:$A$294,"&lt;="&amp;EDATE($A116,12*'Seasonal Factors'!$E$4)),"")</f>
        <v>1.01649096581468</v>
      </c>
      <c r="AH116" s="24" t="n">
        <f aca="false">IFERROR(AG116/AVERAGE(AG111:AG122),"")</f>
        <v>1.01709069093109</v>
      </c>
      <c r="AI116" s="23" t="n">
        <f aca="false">IF(ISNUMBER(Tabelle1!M123),(0.5*Tabelle1!M111+SUM(Tabelle1!M112:M122)+0.5*Tabelle1!M123)/12,"")</f>
        <v>178.686081666667</v>
      </c>
      <c r="AJ116" s="24" t="n">
        <f aca="false">IFERROR(Tabelle1!M117/AI116,"")</f>
        <v>0.916397172475166</v>
      </c>
      <c r="AK116" s="24" t="n">
        <f aca="false">IFERROR(AVERAGEIFS($AJ$7:$AJ$294,$B$7:$B$294,$B116,$A$7:$A$294,"&gt;="&amp;EDATE($A116,-12*'Seasonal Factors'!$E$4),$A$7:$A$294,"&lt;="&amp;EDATE($A116,12*'Seasonal Factors'!$E$4)),"")</f>
        <v>0.938044608526854</v>
      </c>
      <c r="AL116" s="24" t="n">
        <f aca="false">IFERROR(AK116/AVERAGE(AK111:AK122),"")</f>
        <v>0.938149614243657</v>
      </c>
      <c r="AM116" s="23" t="n">
        <f aca="false">IF(ISNUMBER(Tabelle1!N123),(0.5*Tabelle1!N111+SUM(Tabelle1!N112:N122)+0.5*Tabelle1!N123)/12,"")</f>
        <v>182.643739166667</v>
      </c>
      <c r="AN116" s="24" t="n">
        <f aca="false">IFERROR(Tabelle1!N117/AM116,"")</f>
        <v>0.958100019187171</v>
      </c>
      <c r="AO116" s="24" t="n">
        <f aca="false">IFERROR(AVERAGEIFS($AN$7:$AN$294,$B$7:$B$294,$B116,$A$7:$A$294,"&gt;="&amp;EDATE($A116,-12*'Seasonal Factors'!$E$4),$A$7:$A$294,"&lt;="&amp;EDATE($A116,12*'Seasonal Factors'!$E$4)),"")</f>
        <v>0.970890559608471</v>
      </c>
      <c r="AP116" s="24" t="n">
        <f aca="false">IFERROR(AO116/AVERAGE(AO111:AO122),"")</f>
        <v>0.971364476299003</v>
      </c>
      <c r="AQ116" s="23" t="n">
        <f aca="false">IF(ISNUMBER(Tabelle1!O123),(0.5*Tabelle1!O111+SUM(Tabelle1!O112:O122)+0.5*Tabelle1!O123)/12,"")</f>
        <v>133.812249166667</v>
      </c>
      <c r="AR116" s="24" t="n">
        <f aca="false">IFERROR(Tabelle1!O117/AQ116,"")</f>
        <v>0.952515638842954</v>
      </c>
      <c r="AS116" s="24" t="n">
        <f aca="false">IFERROR(AVERAGEIFS($AR$7:$AR$294,$B$7:$B$294,$B116,$A$7:$A$294,"&gt;="&amp;EDATE($A116,-12*'Seasonal Factors'!$E$4),$A$7:$A$294,"&lt;="&amp;EDATE($A116,12*'Seasonal Factors'!$E$4)),"")</f>
        <v>0.957056645660597</v>
      </c>
      <c r="AT116" s="24" t="n">
        <f aca="false">IFERROR(AS116/AVERAGE(AS111:AS122),"")</f>
        <v>0.957308511512833</v>
      </c>
      <c r="AU116" s="23" t="n">
        <f aca="false">IF(ISNUMBER(Tabelle1!P123),(0.5*Tabelle1!P111+SUM(Tabelle1!P112:P122)+0.5*Tabelle1!P123)/12,"")</f>
        <v>138.091846666667</v>
      </c>
      <c r="AV116" s="24" t="n">
        <f aca="false">IFERROR(Tabelle1!P117/AU116,"")</f>
        <v>1.00976519154377</v>
      </c>
      <c r="AW116" s="24" t="n">
        <f aca="false">IFERROR(AVERAGEIFS($AV$7:$AV$294,$B$7:$B$294,$B116,$A$7:$A$294,"&gt;="&amp;EDATE($A116,-12*'Seasonal Factors'!$E$4),$A$7:$A$294,"&lt;="&amp;EDATE($A116,12*'Seasonal Factors'!$E$4)),"")</f>
        <v>0.99934321266292</v>
      </c>
      <c r="AX116" s="24" t="n">
        <f aca="false">IFERROR(AW116/AVERAGE(AW111:AW122),"")</f>
        <v>0.999294501075299</v>
      </c>
      <c r="AY116" s="23" t="n">
        <f aca="false">IF(ISNUMBER(Tabelle1!Q123),(0.5*Tabelle1!Q111+SUM(Tabelle1!Q112:Q122)+0.5*Tabelle1!Q123)/12,"")</f>
        <v>141.96351375</v>
      </c>
      <c r="AZ116" s="24" t="n">
        <f aca="false">IFERROR(Tabelle1!Q117/AY116,"")</f>
        <v>0.987362782854478</v>
      </c>
      <c r="BA116" s="24" t="n">
        <f aca="false">IFERROR(AVERAGEIFS($AZ$7:$AZ$294,$B$7:$B$294,$B116,$A$7:$A$294,"&gt;="&amp;EDATE($A116,-12*'Seasonal Factors'!$E$4),$A$7:$A$294,"&lt;="&amp;EDATE($A116,12*'Seasonal Factors'!$E$4)),"")</f>
        <v>0.981296923597859</v>
      </c>
      <c r="BB116" s="24" t="n">
        <f aca="false">IFERROR(BA116/AVERAGE(BA111:BA122),"")</f>
        <v>0.981277755250456</v>
      </c>
      <c r="BC116" s="23" t="n">
        <f aca="false">IF(ISNUMBER(Tabelle1!R123),(0.5*Tabelle1!R111+SUM(Tabelle1!R112:R122)+0.5*Tabelle1!R123)/12,"")</f>
        <v>161.143582083333</v>
      </c>
      <c r="BD116" s="24" t="n">
        <f aca="false">IFERROR(Tabelle1!R117/BC116,"")</f>
        <v>0.942827744274861</v>
      </c>
      <c r="BE116" s="24" t="n">
        <f aca="false">IFERROR(AVERAGEIFS($BD$7:$BD$294,$B$7:$B$294,$B116,$A$7:$A$294,"&gt;="&amp;EDATE($A116,-12*'Seasonal Factors'!$E$4),$A$7:$A$294,"&lt;="&amp;EDATE($A116,12*'Seasonal Factors'!$E$4)),"")</f>
        <v>0.938795480282904</v>
      </c>
      <c r="BF116" s="24" t="n">
        <f aca="false">IFERROR(BE116/AVERAGE(BE111:BE122),"")</f>
        <v>0.93852793209896</v>
      </c>
      <c r="BG116" s="23" t="n">
        <f aca="false">IF(ISNUMBER(Tabelle1!S123),(0.5*Tabelle1!S111+SUM(Tabelle1!S112:S122)+0.5*Tabelle1!S123)/12,"")</f>
        <v>152.457482916667</v>
      </c>
      <c r="BH116" s="24" t="n">
        <f aca="false">IFERROR(Tabelle1!S117/BG116,"")</f>
        <v>0.963586746872234</v>
      </c>
      <c r="BI116" s="24" t="n">
        <f aca="false">IFERROR(AVERAGEIFS($BH$7:$BH$294,$B$7:$B$294,$B116,$A$7:$A$294,"&gt;="&amp;EDATE($A116,-12*'Seasonal Factors'!$E$4),$A$7:$A$294,"&lt;="&amp;EDATE($A116,12*'Seasonal Factors'!$E$4)),"")</f>
        <v>0.986612305556429</v>
      </c>
      <c r="BJ116" s="24" t="n">
        <f aca="false">IFERROR(BI116/AVERAGE(BI111:BI122),"")</f>
        <v>0.987189459114312</v>
      </c>
    </row>
    <row r="117" customFormat="false" ht="15" hidden="false" customHeight="false" outlineLevel="0" collapsed="false">
      <c r="A117" s="20" t="n">
        <v>41364</v>
      </c>
      <c r="B117" s="22" t="n">
        <f aca="false">MONTH(A117)</f>
        <v>3</v>
      </c>
      <c r="C117" s="23" t="n">
        <f aca="false">IF(ISNUMBER(Tabelle1!E124),(0.5*Tabelle1!E112+SUM(Tabelle1!E113:E123)+0.5*Tabelle1!E124)/12,"")</f>
        <v>121.542545416667</v>
      </c>
      <c r="D117" s="24" t="n">
        <f aca="false">IFERROR(Tabelle1!E118/C117,"")</f>
        <v>1.15119894453694</v>
      </c>
      <c r="E117" s="24" t="n">
        <f aca="false">IFERROR(AVERAGEIFS($D$7:$D$294,$B$7:$B$294,$B117,$A$7:$A$294,"&gt;="&amp;EDATE($A117,-12*'Seasonal Factors'!$E$4),$A$7:$A$294,"&lt;="&amp;EDATE($A117,12*'Seasonal Factors'!$E$4)),"")</f>
        <v>1.09397142162761</v>
      </c>
      <c r="F117" s="24" t="n">
        <f aca="false">IFERROR(E117/AVERAGE(E112:E123),"")</f>
        <v>1.09586857721046</v>
      </c>
      <c r="G117" s="23" t="n">
        <f aca="false">IF(ISNUMBER(Tabelle1!F124),(0.5*Tabelle1!F112+SUM(Tabelle1!F113:F123)+0.5*Tabelle1!F124)/12,"")</f>
        <v>142.668935416667</v>
      </c>
      <c r="H117" s="24" t="n">
        <f aca="false">IFERROR(Tabelle1!F118/G117,"")</f>
        <v>0.75745788446793</v>
      </c>
      <c r="I117" s="24" t="n">
        <f aca="false">IFERROR(AVERAGEIFS($H$7:$H$294,$B$7:$B$294,$B117,$A$7:$A$294,"&gt;="&amp;EDATE($A117,-12*'Seasonal Factors'!$E$4),$A$7:$A$294,"&lt;="&amp;EDATE($A117,12*'Seasonal Factors'!$E$4)),"")</f>
        <v>0.992199515971987</v>
      </c>
      <c r="J117" s="24" t="n">
        <f aca="false">IFERROR(I117/AVERAGE(I112:I123),"")</f>
        <v>0.996307067944151</v>
      </c>
      <c r="K117" s="23" t="n">
        <f aca="false">IF(ISNUMBER(Tabelle1!G124),(0.5*Tabelle1!G112+SUM(Tabelle1!G113:G123)+0.5*Tabelle1!G124)/12,"")</f>
        <v>92.9657029166667</v>
      </c>
      <c r="L117" s="24" t="n">
        <f aca="false">IFERROR(Tabelle1!G118/K117,"")</f>
        <v>1.00300215105762</v>
      </c>
      <c r="M117" s="24" t="n">
        <f aca="false">IFERROR(AVERAGEIFS($L$7:$L$294,$B$7:$B$294,$B117,$A$7:$A$294,"&gt;="&amp;EDATE($A117,-12*'Seasonal Factors'!$E$4),$A$7:$A$294,"&lt;="&amp;EDATE($A117,12*'Seasonal Factors'!$E$4)),"")</f>
        <v>1.02587882565834</v>
      </c>
      <c r="N117" s="24" t="n">
        <f aca="false">IFERROR(M117/AVERAGE(M112:M123),"")</f>
        <v>1.02592012204603</v>
      </c>
      <c r="O117" s="23" t="n">
        <f aca="false">IF(ISNUMBER(Tabelle1!H124),(0.5*Tabelle1!H112+SUM(Tabelle1!H113:H123)+0.5*Tabelle1!H124)/12,"")</f>
        <v>141.85816625</v>
      </c>
      <c r="P117" s="24" t="n">
        <f aca="false">IFERROR(Tabelle1!H118/O117,"")</f>
        <v>0.998417741777344</v>
      </c>
      <c r="Q117" s="24" t="n">
        <f aca="false">IFERROR(AVERAGEIFS($P$7:$P$294,$B$7:$B$294,$B117,$A$7:$A$294,"&gt;="&amp;EDATE($A117,-12*'Seasonal Factors'!$E$4),$A$7:$A$294,"&lt;="&amp;EDATE($A117,12*'Seasonal Factors'!$E$4)),"")</f>
        <v>1.00079553060652</v>
      </c>
      <c r="R117" s="24" t="n">
        <f aca="false">IFERROR(Q117/AVERAGE(Q112:Q123),"")</f>
        <v>1.00215636894389</v>
      </c>
      <c r="S117" s="23" t="n">
        <f aca="false">IF(ISNUMBER(Tabelle1!I124),(0.5*Tabelle1!I112+SUM(Tabelle1!I113:I123)+0.5*Tabelle1!I124)/12,"")</f>
        <v>133.464952083333</v>
      </c>
      <c r="T117" s="24" t="n">
        <f aca="false">IFERROR(Tabelle1!I118/S117,"")</f>
        <v>0.96905200939379</v>
      </c>
      <c r="U117" s="24" t="n">
        <f aca="false">IFERROR(AVERAGEIFS($T$7:$T$294,$B$7:$B$294,$B117,$A$7:$A$294,"&gt;="&amp;EDATE($A117,-12*'Seasonal Factors'!$E$4),$A$7:$A$294,"&lt;="&amp;EDATE($A117,12*'Seasonal Factors'!$E$4)),"")</f>
        <v>1.00869563080777</v>
      </c>
      <c r="V117" s="24" t="n">
        <f aca="false">IFERROR(U117/AVERAGE(U112:U123),"")</f>
        <v>1.009034354883</v>
      </c>
      <c r="W117" s="23" t="n">
        <f aca="false">IF(ISNUMBER(Tabelle1!J124),(0.5*Tabelle1!J112+SUM(Tabelle1!J113:J123)+0.5*Tabelle1!J124)/12,"")</f>
        <v>150.093329166667</v>
      </c>
      <c r="X117" s="24" t="n">
        <f aca="false">IFERROR(Tabelle1!J118/W117,"")</f>
        <v>1.01369881556195</v>
      </c>
      <c r="Y117" s="24" t="n">
        <f aca="false">IFERROR(AVERAGEIFS($X$7:$X$294,$B$7:$B$294,$B117,$A$7:$A$294,"&gt;="&amp;EDATE($A117,-12*'Seasonal Factors'!$E$4),$A$7:$A$294,"&lt;="&amp;EDATE($A117,12*'Seasonal Factors'!$E$4)),"")</f>
        <v>1.01882929947565</v>
      </c>
      <c r="Z117" s="24" t="n">
        <f aca="false">IFERROR(Y117/AVERAGE(Y112:Y123),"")</f>
        <v>1.02091234062757</v>
      </c>
      <c r="AA117" s="23" t="n">
        <f aca="false">IF(ISNUMBER(Tabelle1!K124),(0.5*Tabelle1!K112+SUM(Tabelle1!K113:K123)+0.5*Tabelle1!K124)/12,"")</f>
        <v>164.160469166667</v>
      </c>
      <c r="AB117" s="24" t="n">
        <f aca="false">IFERROR(Tabelle1!K118/AA117,"")</f>
        <v>1.05268534426856</v>
      </c>
      <c r="AC117" s="24" t="n">
        <f aca="false">IFERROR(AVERAGEIFS($AB$7:$AB$294,$B$7:$B$294,$B117,$A$7:$A$294,"&gt;="&amp;EDATE($A117,-12*'Seasonal Factors'!$E$4),$A$7:$A$294,"&lt;="&amp;EDATE($A117,12*'Seasonal Factors'!$E$4)),"")</f>
        <v>1.065717821465</v>
      </c>
      <c r="AD117" s="24" t="n">
        <f aca="false">IFERROR(AC117/AVERAGE(AC112:AC123),"")</f>
        <v>1.06766706608859</v>
      </c>
      <c r="AE117" s="23" t="n">
        <f aca="false">IF(ISNUMBER(Tabelle1!L124),(0.5*Tabelle1!L112+SUM(Tabelle1!L113:L123)+0.5*Tabelle1!L124)/12,"")</f>
        <v>158.660871666667</v>
      </c>
      <c r="AF117" s="24" t="n">
        <f aca="false">IFERROR(Tabelle1!L118/AE117,"")</f>
        <v>0.994604519326825</v>
      </c>
      <c r="AG117" s="24" t="n">
        <f aca="false">IFERROR(AVERAGEIFS($AF$7:$AF$294,$B$7:$B$294,$B117,$A$7:$A$294,"&gt;="&amp;EDATE($A117,-12*'Seasonal Factors'!$E$4),$A$7:$A$294,"&lt;="&amp;EDATE($A117,12*'Seasonal Factors'!$E$4)),"")</f>
        <v>0.982337502562205</v>
      </c>
      <c r="AH117" s="24" t="n">
        <f aca="false">IFERROR(AG117/AVERAGE(AG112:AG123),"")</f>
        <v>0.983087609159957</v>
      </c>
      <c r="AI117" s="23" t="n">
        <f aca="false">IF(ISNUMBER(Tabelle1!M124),(0.5*Tabelle1!M112+SUM(Tabelle1!M113:M123)+0.5*Tabelle1!M124)/12,"")</f>
        <v>179.223809583333</v>
      </c>
      <c r="AJ117" s="24" t="n">
        <f aca="false">IFERROR(Tabelle1!M118/AI117,"")</f>
        <v>0.998966713274515</v>
      </c>
      <c r="AK117" s="24" t="n">
        <f aca="false">IFERROR(AVERAGEIFS($AJ$7:$AJ$294,$B$7:$B$294,$B117,$A$7:$A$294,"&gt;="&amp;EDATE($A117,-12*'Seasonal Factors'!$E$4),$A$7:$A$294,"&lt;="&amp;EDATE($A117,12*'Seasonal Factors'!$E$4)),"")</f>
        <v>0.99813315828899</v>
      </c>
      <c r="AL117" s="24" t="n">
        <f aca="false">IFERROR(AK117/AVERAGE(AK112:AK123),"")</f>
        <v>0.998437927860295</v>
      </c>
      <c r="AM117" s="23" t="n">
        <f aca="false">IF(ISNUMBER(Tabelle1!N124),(0.5*Tabelle1!N112+SUM(Tabelle1!N113:N123)+0.5*Tabelle1!N124)/12,"")</f>
        <v>183.029446666667</v>
      </c>
      <c r="AN117" s="24" t="n">
        <f aca="false">IFERROR(Tabelle1!N118/AM117,"")</f>
        <v>0.985622823460429</v>
      </c>
      <c r="AO117" s="24" t="n">
        <f aca="false">IFERROR(AVERAGEIFS($AN$7:$AN$294,$B$7:$B$294,$B117,$A$7:$A$294,"&gt;="&amp;EDATE($A117,-12*'Seasonal Factors'!$E$4),$A$7:$A$294,"&lt;="&amp;EDATE($A117,12*'Seasonal Factors'!$E$4)),"")</f>
        <v>1.00182250301259</v>
      </c>
      <c r="AP117" s="24" t="n">
        <f aca="false">IFERROR(AO117/AVERAGE(AO112:AO123),"")</f>
        <v>1.00240792761443</v>
      </c>
      <c r="AQ117" s="23" t="n">
        <f aca="false">IF(ISNUMBER(Tabelle1!O124),(0.5*Tabelle1!O112+SUM(Tabelle1!O113:O123)+0.5*Tabelle1!O124)/12,"")</f>
        <v>133.900787916667</v>
      </c>
      <c r="AR117" s="24" t="n">
        <f aca="false">IFERROR(Tabelle1!O118/AQ117,"")</f>
        <v>0.985256114266517</v>
      </c>
      <c r="AS117" s="24" t="n">
        <f aca="false">IFERROR(AVERAGEIFS($AR$7:$AR$294,$B$7:$B$294,$B117,$A$7:$A$294,"&gt;="&amp;EDATE($A117,-12*'Seasonal Factors'!$E$4),$A$7:$A$294,"&lt;="&amp;EDATE($A117,12*'Seasonal Factors'!$E$4)),"")</f>
        <v>0.986167735923154</v>
      </c>
      <c r="AT117" s="24" t="n">
        <f aca="false">IFERROR(AS117/AVERAGE(AS112:AS123),"")</f>
        <v>0.986589385033549</v>
      </c>
      <c r="AU117" s="23" t="n">
        <f aca="false">IF(ISNUMBER(Tabelle1!P124),(0.5*Tabelle1!P112+SUM(Tabelle1!P113:P123)+0.5*Tabelle1!P124)/12,"")</f>
        <v>138.439009583333</v>
      </c>
      <c r="AV117" s="24" t="n">
        <f aca="false">IFERROR(Tabelle1!P118/AU117,"")</f>
        <v>0.991690928829992</v>
      </c>
      <c r="AW117" s="24" t="n">
        <f aca="false">IFERROR(AVERAGEIFS($AV$7:$AV$294,$B$7:$B$294,$B117,$A$7:$A$294,"&gt;="&amp;EDATE($A117,-12*'Seasonal Factors'!$E$4),$A$7:$A$294,"&lt;="&amp;EDATE($A117,12*'Seasonal Factors'!$E$4)),"")</f>
        <v>0.996829126977528</v>
      </c>
      <c r="AX117" s="24" t="n">
        <f aca="false">IFERROR(AW117/AVERAGE(AW112:AW123),"")</f>
        <v>0.996902070006906</v>
      </c>
      <c r="AY117" s="23" t="n">
        <f aca="false">IF(ISNUMBER(Tabelle1!Q124),(0.5*Tabelle1!Q112+SUM(Tabelle1!Q113:Q123)+0.5*Tabelle1!Q124)/12,"")</f>
        <v>142.369441666667</v>
      </c>
      <c r="AZ117" s="24" t="n">
        <f aca="false">IFERROR(Tabelle1!Q118/AY117,"")</f>
        <v>0.988514236991283</v>
      </c>
      <c r="BA117" s="24" t="n">
        <f aca="false">IFERROR(AVERAGEIFS($AZ$7:$AZ$294,$B$7:$B$294,$B117,$A$7:$A$294,"&gt;="&amp;EDATE($A117,-12*'Seasonal Factors'!$E$4),$A$7:$A$294,"&lt;="&amp;EDATE($A117,12*'Seasonal Factors'!$E$4)),"")</f>
        <v>0.984666309388433</v>
      </c>
      <c r="BB117" s="24" t="n">
        <f aca="false">IFERROR(BA117/AVERAGE(BA112:BA123),"")</f>
        <v>0.984667483462793</v>
      </c>
      <c r="BC117" s="23" t="n">
        <f aca="false">IF(ISNUMBER(Tabelle1!R124),(0.5*Tabelle1!R112+SUM(Tabelle1!R113:R123)+0.5*Tabelle1!R124)/12,"")</f>
        <v>161.529178333333</v>
      </c>
      <c r="BD117" s="24" t="n">
        <f aca="false">IFERROR(Tabelle1!R118/BC117,"")</f>
        <v>1.02317990907463</v>
      </c>
      <c r="BE117" s="24" t="n">
        <f aca="false">IFERROR(AVERAGEIFS($BD$7:$BD$294,$B$7:$B$294,$B117,$A$7:$A$294,"&gt;="&amp;EDATE($A117,-12*'Seasonal Factors'!$E$4),$A$7:$A$294,"&lt;="&amp;EDATE($A117,12*'Seasonal Factors'!$E$4)),"")</f>
        <v>1.01456311830533</v>
      </c>
      <c r="BF117" s="24" t="n">
        <f aca="false">IFERROR(BE117/AVERAGE(BE112:BE123),"")</f>
        <v>1.01455526078803</v>
      </c>
      <c r="BG117" s="23" t="n">
        <f aca="false">IF(ISNUMBER(Tabelle1!S124),(0.5*Tabelle1!S112+SUM(Tabelle1!S113:S123)+0.5*Tabelle1!S124)/12,"")</f>
        <v>152.561876666667</v>
      </c>
      <c r="BH117" s="24" t="n">
        <f aca="false">IFERROR(Tabelle1!S118/BG117,"")</f>
        <v>0.950537795997659</v>
      </c>
      <c r="BI117" s="24" t="n">
        <f aca="false">IFERROR(AVERAGEIFS($BH$7:$BH$294,$B$7:$B$294,$B117,$A$7:$A$294,"&gt;="&amp;EDATE($A117,-12*'Seasonal Factors'!$E$4),$A$7:$A$294,"&lt;="&amp;EDATE($A117,12*'Seasonal Factors'!$E$4)),"")</f>
        <v>0.977648901508839</v>
      </c>
      <c r="BJ117" s="24" t="n">
        <f aca="false">IFERROR(BI117/AVERAGE(BI112:BI123),"")</f>
        <v>0.97812275616688</v>
      </c>
    </row>
    <row r="118" customFormat="false" ht="15" hidden="false" customHeight="false" outlineLevel="0" collapsed="false">
      <c r="A118" s="20" t="n">
        <v>41394</v>
      </c>
      <c r="B118" s="22" t="n">
        <f aca="false">MONTH(A118)</f>
        <v>4</v>
      </c>
      <c r="C118" s="23" t="n">
        <f aca="false">IF(ISNUMBER(Tabelle1!E125),(0.5*Tabelle1!E113+SUM(Tabelle1!E114:E124)+0.5*Tabelle1!E125)/12,"")</f>
        <v>121.3204175</v>
      </c>
      <c r="D118" s="24" t="n">
        <f aca="false">IFERROR(Tabelle1!E119/C118,"")</f>
        <v>1.66467948397886</v>
      </c>
      <c r="E118" s="24" t="n">
        <f aca="false">IFERROR(AVERAGEIFS($D$7:$D$294,$B$7:$B$294,$B118,$A$7:$A$294,"&gt;="&amp;EDATE($A118,-12*'Seasonal Factors'!$E$4),$A$7:$A$294,"&lt;="&amp;EDATE($A118,12*'Seasonal Factors'!$E$4)),"")</f>
        <v>1.67768131778283</v>
      </c>
      <c r="F118" s="24" t="n">
        <f aca="false">IFERROR(E118/AVERAGE(E113:E124),"")</f>
        <v>1.67999754342771</v>
      </c>
      <c r="G118" s="23" t="n">
        <f aca="false">IF(ISNUMBER(Tabelle1!F125),(0.5*Tabelle1!F113+SUM(Tabelle1!F114:F124)+0.5*Tabelle1!F125)/12,"")</f>
        <v>144.788539166667</v>
      </c>
      <c r="H118" s="24" t="n">
        <f aca="false">IFERROR(Tabelle1!F119/G118,"")</f>
        <v>1.13260242104683</v>
      </c>
      <c r="I118" s="24" t="n">
        <f aca="false">IFERROR(AVERAGEIFS($H$7:$H$294,$B$7:$B$294,$B118,$A$7:$A$294,"&gt;="&amp;EDATE($A118,-12*'Seasonal Factors'!$E$4),$A$7:$A$294,"&lt;="&amp;EDATE($A118,12*'Seasonal Factors'!$E$4)),"")</f>
        <v>0.929665611496824</v>
      </c>
      <c r="J118" s="24" t="n">
        <f aca="false">IFERROR(I118/AVERAGE(I113:I124),"")</f>
        <v>0.929409955439348</v>
      </c>
      <c r="K118" s="23" t="n">
        <f aca="false">IF(ISNUMBER(Tabelle1!G125),(0.5*Tabelle1!G113+SUM(Tabelle1!G114:G124)+0.5*Tabelle1!G125)/12,"")</f>
        <v>92.61474375</v>
      </c>
      <c r="L118" s="24" t="n">
        <f aca="false">IFERROR(Tabelle1!G119/K118,"")</f>
        <v>0.979356917996116</v>
      </c>
      <c r="M118" s="24" t="n">
        <f aca="false">IFERROR(AVERAGEIFS($L$7:$L$294,$B$7:$B$294,$B118,$A$7:$A$294,"&gt;="&amp;EDATE($A118,-12*'Seasonal Factors'!$E$4),$A$7:$A$294,"&lt;="&amp;EDATE($A118,12*'Seasonal Factors'!$E$4)),"")</f>
        <v>0.972350775110992</v>
      </c>
      <c r="N118" s="24" t="n">
        <f aca="false">IFERROR(M118/AVERAGE(M113:M124),"")</f>
        <v>0.972262073591414</v>
      </c>
      <c r="O118" s="23" t="n">
        <f aca="false">IF(ISNUMBER(Tabelle1!H125),(0.5*Tabelle1!H113+SUM(Tabelle1!H114:H124)+0.5*Tabelle1!H125)/12,"")</f>
        <v>142.28494625</v>
      </c>
      <c r="P118" s="24" t="n">
        <f aca="false">IFERROR(Tabelle1!H119/O118,"")</f>
        <v>1.01707421490487</v>
      </c>
      <c r="Q118" s="24" t="n">
        <f aca="false">IFERROR(AVERAGEIFS($P$7:$P$294,$B$7:$B$294,$B118,$A$7:$A$294,"&gt;="&amp;EDATE($A118,-12*'Seasonal Factors'!$E$4),$A$7:$A$294,"&lt;="&amp;EDATE($A118,12*'Seasonal Factors'!$E$4)),"")</f>
        <v>0.992942597559713</v>
      </c>
      <c r="R118" s="24" t="n">
        <f aca="false">IFERROR(Q118/AVERAGE(Q113:Q124),"")</f>
        <v>0.994428543730522</v>
      </c>
      <c r="S118" s="23" t="n">
        <f aca="false">IF(ISNUMBER(Tabelle1!I125),(0.5*Tabelle1!I113+SUM(Tabelle1!I114:I124)+0.5*Tabelle1!I125)/12,"")</f>
        <v>133.88017125</v>
      </c>
      <c r="T118" s="24" t="n">
        <f aca="false">IFERROR(Tabelle1!I119/S118,"")</f>
        <v>0.954429538048563</v>
      </c>
      <c r="U118" s="24" t="n">
        <f aca="false">IFERROR(AVERAGEIFS($T$7:$T$294,$B$7:$B$294,$B118,$A$7:$A$294,"&gt;="&amp;EDATE($A118,-12*'Seasonal Factors'!$E$4),$A$7:$A$294,"&lt;="&amp;EDATE($A118,12*'Seasonal Factors'!$E$4)),"")</f>
        <v>0.944839518113158</v>
      </c>
      <c r="V118" s="24" t="n">
        <f aca="false">IFERROR(U118/AVERAGE(U113:U124),"")</f>
        <v>0.945117869930756</v>
      </c>
      <c r="W118" s="23" t="n">
        <f aca="false">IF(ISNUMBER(Tabelle1!J125),(0.5*Tabelle1!J113+SUM(Tabelle1!J114:J124)+0.5*Tabelle1!J125)/12,"")</f>
        <v>150.276534166667</v>
      </c>
      <c r="X118" s="24" t="n">
        <f aca="false">IFERROR(Tabelle1!J119/W118,"")</f>
        <v>1.0100600259496</v>
      </c>
      <c r="Y118" s="24" t="n">
        <f aca="false">IFERROR(AVERAGEIFS($X$7:$X$294,$B$7:$B$294,$B118,$A$7:$A$294,"&gt;="&amp;EDATE($A118,-12*'Seasonal Factors'!$E$4),$A$7:$A$294,"&lt;="&amp;EDATE($A118,12*'Seasonal Factors'!$E$4)),"")</f>
        <v>0.979223469675291</v>
      </c>
      <c r="Z118" s="24" t="n">
        <f aca="false">IFERROR(Y118/AVERAGE(Y113:Y124),"")</f>
        <v>0.981223803176897</v>
      </c>
      <c r="AA118" s="23" t="n">
        <f aca="false">IF(ISNUMBER(Tabelle1!K125),(0.5*Tabelle1!K113+SUM(Tabelle1!K114:K124)+0.5*Tabelle1!K125)/12,"")</f>
        <v>164.542641666667</v>
      </c>
      <c r="AB118" s="24" t="n">
        <f aca="false">IFERROR(Tabelle1!K119/AA118,"")</f>
        <v>1.0415830101184</v>
      </c>
      <c r="AC118" s="24" t="n">
        <f aca="false">IFERROR(AVERAGEIFS($AB$7:$AB$294,$B$7:$B$294,$B118,$A$7:$A$294,"&gt;="&amp;EDATE($A118,-12*'Seasonal Factors'!$E$4),$A$7:$A$294,"&lt;="&amp;EDATE($A118,12*'Seasonal Factors'!$E$4)),"")</f>
        <v>0.985070882898046</v>
      </c>
      <c r="AD118" s="24" t="n">
        <f aca="false">IFERROR(AC118/AVERAGE(AC113:AC124),"")</f>
        <v>0.986918525315679</v>
      </c>
      <c r="AE118" s="23" t="n">
        <f aca="false">IF(ISNUMBER(Tabelle1!L125),(0.5*Tabelle1!L113+SUM(Tabelle1!L114:L124)+0.5*Tabelle1!L125)/12,"")</f>
        <v>158.693741666667</v>
      </c>
      <c r="AF118" s="24" t="n">
        <f aca="false">IFERROR(Tabelle1!L119/AE118,"")</f>
        <v>0.969436654428034</v>
      </c>
      <c r="AG118" s="24" t="n">
        <f aca="false">IFERROR(AVERAGEIFS($AF$7:$AF$294,$B$7:$B$294,$B118,$A$7:$A$294,"&gt;="&amp;EDATE($A118,-12*'Seasonal Factors'!$E$4),$A$7:$A$294,"&lt;="&amp;EDATE($A118,12*'Seasonal Factors'!$E$4)),"")</f>
        <v>0.964861280809941</v>
      </c>
      <c r="AH118" s="24" t="n">
        <f aca="false">IFERROR(AG118/AVERAGE(AG113:AG124),"")</f>
        <v>0.965315017999309</v>
      </c>
      <c r="AI118" s="23" t="n">
        <f aca="false">IF(ISNUMBER(Tabelle1!M125),(0.5*Tabelle1!M113+SUM(Tabelle1!M114:M124)+0.5*Tabelle1!M125)/12,"")</f>
        <v>179.705247916667</v>
      </c>
      <c r="AJ118" s="24" t="n">
        <f aca="false">IFERROR(Tabelle1!M119/AI118,"")</f>
        <v>1.02651737853278</v>
      </c>
      <c r="AK118" s="24" t="n">
        <f aca="false">IFERROR(AVERAGEIFS($AJ$7:$AJ$294,$B$7:$B$294,$B118,$A$7:$A$294,"&gt;="&amp;EDATE($A118,-12*'Seasonal Factors'!$E$4),$A$7:$A$294,"&lt;="&amp;EDATE($A118,12*'Seasonal Factors'!$E$4)),"")</f>
        <v>1.01876315326799</v>
      </c>
      <c r="AL118" s="24" t="n">
        <f aca="false">IFERROR(AK118/AVERAGE(AK113:AK124),"")</f>
        <v>1.01919402569459</v>
      </c>
      <c r="AM118" s="23" t="n">
        <f aca="false">IF(ISNUMBER(Tabelle1!N125),(0.5*Tabelle1!N113+SUM(Tabelle1!N114:N124)+0.5*Tabelle1!N125)/12,"")</f>
        <v>183.331530416667</v>
      </c>
      <c r="AN118" s="24" t="n">
        <f aca="false">IFERROR(Tabelle1!N119/AM118,"")</f>
        <v>0.983093522376526</v>
      </c>
      <c r="AO118" s="24" t="n">
        <f aca="false">IFERROR(AVERAGEIFS($AN$7:$AN$294,$B$7:$B$294,$B118,$A$7:$A$294,"&gt;="&amp;EDATE($A118,-12*'Seasonal Factors'!$E$4),$A$7:$A$294,"&lt;="&amp;EDATE($A118,12*'Seasonal Factors'!$E$4)),"")</f>
        <v>0.98133509804685</v>
      </c>
      <c r="AP118" s="24" t="n">
        <f aca="false">IFERROR(AO118/AVERAGE(AO113:AO124),"")</f>
        <v>0.982210238026075</v>
      </c>
      <c r="AQ118" s="23" t="n">
        <f aca="false">IF(ISNUMBER(Tabelle1!O125),(0.5*Tabelle1!O113+SUM(Tabelle1!O114:O124)+0.5*Tabelle1!O125)/12,"")</f>
        <v>134.09861125</v>
      </c>
      <c r="AR118" s="24" t="n">
        <f aca="false">IFERROR(Tabelle1!O119/AQ118,"")</f>
        <v>0.99020160434361</v>
      </c>
      <c r="AS118" s="24" t="n">
        <f aca="false">IFERROR(AVERAGEIFS($AR$7:$AR$294,$B$7:$B$294,$B118,$A$7:$A$294,"&gt;="&amp;EDATE($A118,-12*'Seasonal Factors'!$E$4),$A$7:$A$294,"&lt;="&amp;EDATE($A118,12*'Seasonal Factors'!$E$4)),"")</f>
        <v>0.986445650151164</v>
      </c>
      <c r="AT118" s="24" t="n">
        <f aca="false">IFERROR(AS118/AVERAGE(AS113:AS124),"")</f>
        <v>0.98698945782619</v>
      </c>
      <c r="AU118" s="23" t="n">
        <f aca="false">IF(ISNUMBER(Tabelle1!P125),(0.5*Tabelle1!P113+SUM(Tabelle1!P114:P124)+0.5*Tabelle1!P125)/12,"")</f>
        <v>138.7488725</v>
      </c>
      <c r="AV118" s="24" t="n">
        <f aca="false">IFERROR(Tabelle1!P119/AU118,"")</f>
        <v>0.98988696286523</v>
      </c>
      <c r="AW118" s="24" t="n">
        <f aca="false">IFERROR(AVERAGEIFS($AV$7:$AV$294,$B$7:$B$294,$B118,$A$7:$A$294,"&gt;="&amp;EDATE($A118,-12*'Seasonal Factors'!$E$4),$A$7:$A$294,"&lt;="&amp;EDATE($A118,12*'Seasonal Factors'!$E$4)),"")</f>
        <v>0.990736758789104</v>
      </c>
      <c r="AX118" s="24" t="n">
        <f aca="false">IFERROR(AW118/AVERAGE(AW113:AW124),"")</f>
        <v>0.990824112299093</v>
      </c>
      <c r="AY118" s="23" t="n">
        <f aca="false">IF(ISNUMBER(Tabelle1!Q125),(0.5*Tabelle1!Q113+SUM(Tabelle1!Q114:Q124)+0.5*Tabelle1!Q125)/12,"")</f>
        <v>142.697514583333</v>
      </c>
      <c r="AZ118" s="24" t="n">
        <f aca="false">IFERROR(Tabelle1!Q119/AY118,"")</f>
        <v>0.987454129186757</v>
      </c>
      <c r="BA118" s="24" t="n">
        <f aca="false">IFERROR(AVERAGEIFS($AZ$7:$AZ$294,$B$7:$B$294,$B118,$A$7:$A$294,"&gt;="&amp;EDATE($A118,-12*'Seasonal Factors'!$E$4),$A$7:$A$294,"&lt;="&amp;EDATE($A118,12*'Seasonal Factors'!$E$4)),"")</f>
        <v>0.985759804480701</v>
      </c>
      <c r="BB118" s="24" t="n">
        <f aca="false">IFERROR(BA118/AVERAGE(BA113:BA124),"")</f>
        <v>0.985779471188459</v>
      </c>
      <c r="BC118" s="23" t="n">
        <f aca="false">IF(ISNUMBER(Tabelle1!R125),(0.5*Tabelle1!R113+SUM(Tabelle1!R114:R124)+0.5*Tabelle1!R125)/12,"")</f>
        <v>161.850390416667</v>
      </c>
      <c r="BD118" s="24" t="n">
        <f aca="false">IFERROR(Tabelle1!R119/BC118,"")</f>
        <v>1.05096885810468</v>
      </c>
      <c r="BE118" s="24" t="n">
        <f aca="false">IFERROR(AVERAGEIFS($BD$7:$BD$294,$B$7:$B$294,$B118,$A$7:$A$294,"&gt;="&amp;EDATE($A118,-12*'Seasonal Factors'!$E$4),$A$7:$A$294,"&lt;="&amp;EDATE($A118,12*'Seasonal Factors'!$E$4)),"")</f>
        <v>1.0491049248206</v>
      </c>
      <c r="BF118" s="24" t="n">
        <f aca="false">IFERROR(BE118/AVERAGE(BE113:BE124),"")</f>
        <v>1.04917312066864</v>
      </c>
      <c r="BG118" s="23" t="n">
        <f aca="false">IF(ISNUMBER(Tabelle1!S125),(0.5*Tabelle1!S113+SUM(Tabelle1!S114:S124)+0.5*Tabelle1!S125)/12,"")</f>
        <v>152.403209583333</v>
      </c>
      <c r="BH118" s="24" t="n">
        <f aca="false">IFERROR(Tabelle1!S119/BG118,"")</f>
        <v>0.96748021516815</v>
      </c>
      <c r="BI118" s="24" t="n">
        <f aca="false">IFERROR(AVERAGEIFS($BH$7:$BH$294,$B$7:$B$294,$B118,$A$7:$A$294,"&gt;="&amp;EDATE($A118,-12*'Seasonal Factors'!$E$4),$A$7:$A$294,"&lt;="&amp;EDATE($A118,12*'Seasonal Factors'!$E$4)),"")</f>
        <v>0.994355902643503</v>
      </c>
      <c r="BJ118" s="24" t="n">
        <f aca="false">IFERROR(BI118/AVERAGE(BI113:BI124),"")</f>
        <v>0.99469599876797</v>
      </c>
    </row>
    <row r="119" customFormat="false" ht="15" hidden="false" customHeight="false" outlineLevel="0" collapsed="false">
      <c r="A119" s="20" t="n">
        <v>41425</v>
      </c>
      <c r="B119" s="22" t="n">
        <f aca="false">MONTH(A119)</f>
        <v>5</v>
      </c>
      <c r="C119" s="23" t="n">
        <f aca="false">IF(ISNUMBER(Tabelle1!E126),(0.5*Tabelle1!E114+SUM(Tabelle1!E115:E125)+0.5*Tabelle1!E126)/12,"")</f>
        <v>121.24181875</v>
      </c>
      <c r="D119" s="24" t="n">
        <f aca="false">IFERROR(Tabelle1!E120/C119,"")</f>
        <v>2.45859607743636</v>
      </c>
      <c r="E119" s="24" t="n">
        <f aca="false">IFERROR(AVERAGEIFS($D$7:$D$294,$B$7:$B$294,$B119,$A$7:$A$294,"&gt;="&amp;EDATE($A119,-12*'Seasonal Factors'!$E$4),$A$7:$A$294,"&lt;="&amp;EDATE($A119,12*'Seasonal Factors'!$E$4)),"")</f>
        <v>2.47260008473177</v>
      </c>
      <c r="F119" s="24" t="n">
        <f aca="false">IFERROR(E119/AVERAGE(E114:E125),"")</f>
        <v>2.47631815716649</v>
      </c>
      <c r="G119" s="23" t="n">
        <f aca="false">IF(ISNUMBER(Tabelle1!F126),(0.5*Tabelle1!F114+SUM(Tabelle1!F115:F125)+0.5*Tabelle1!F126)/12,"")</f>
        <v>147.749726666667</v>
      </c>
      <c r="H119" s="24" t="n">
        <f aca="false">IFERROR(Tabelle1!F120/G119,"")</f>
        <v>0.917744371236062</v>
      </c>
      <c r="I119" s="24" t="n">
        <f aca="false">IFERROR(AVERAGEIFS($H$7:$H$294,$B$7:$B$294,$B119,$A$7:$A$294,"&gt;="&amp;EDATE($A119,-12*'Seasonal Factors'!$E$4),$A$7:$A$294,"&lt;="&amp;EDATE($A119,12*'Seasonal Factors'!$E$4)),"")</f>
        <v>1.11369924523271</v>
      </c>
      <c r="J119" s="24" t="n">
        <f aca="false">IFERROR(I119/AVERAGE(I114:I125),"")</f>
        <v>1.11134261532998</v>
      </c>
      <c r="K119" s="23" t="n">
        <f aca="false">IF(ISNUMBER(Tabelle1!G126),(0.5*Tabelle1!G114+SUM(Tabelle1!G115:G125)+0.5*Tabelle1!G126)/12,"")</f>
        <v>92.4380591666667</v>
      </c>
      <c r="L119" s="24" t="n">
        <f aca="false">IFERROR(Tabelle1!G120/K119,"")</f>
        <v>1.02302201985328</v>
      </c>
      <c r="M119" s="24" t="n">
        <f aca="false">IFERROR(AVERAGEIFS($L$7:$L$294,$B$7:$B$294,$B119,$A$7:$A$294,"&gt;="&amp;EDATE($A119,-12*'Seasonal Factors'!$E$4),$A$7:$A$294,"&lt;="&amp;EDATE($A119,12*'Seasonal Factors'!$E$4)),"")</f>
        <v>1.02381767475217</v>
      </c>
      <c r="N119" s="24" t="n">
        <f aca="false">IFERROR(M119/AVERAGE(M114:M125),"")</f>
        <v>1.02374534673634</v>
      </c>
      <c r="O119" s="23" t="n">
        <f aca="false">IF(ISNUMBER(Tabelle1!H126),(0.5*Tabelle1!H114+SUM(Tabelle1!H115:H125)+0.5*Tabelle1!H126)/12,"")</f>
        <v>142.450687916667</v>
      </c>
      <c r="P119" s="24" t="n">
        <f aca="false">IFERROR(Tabelle1!H120/O119,"")</f>
        <v>1.04388523618075</v>
      </c>
      <c r="Q119" s="24" t="n">
        <f aca="false">IFERROR(AVERAGEIFS($P$7:$P$294,$B$7:$B$294,$B119,$A$7:$A$294,"&gt;="&amp;EDATE($A119,-12*'Seasonal Factors'!$E$4),$A$7:$A$294,"&lt;="&amp;EDATE($A119,12*'Seasonal Factors'!$E$4)),"")</f>
        <v>1.02516779462189</v>
      </c>
      <c r="R119" s="24" t="n">
        <f aca="false">IFERROR(Q119/AVERAGE(Q114:Q125),"")</f>
        <v>1.02596838667542</v>
      </c>
      <c r="S119" s="23" t="n">
        <f aca="false">IF(ISNUMBER(Tabelle1!I126),(0.5*Tabelle1!I114+SUM(Tabelle1!I115:I125)+0.5*Tabelle1!I126)/12,"")</f>
        <v>133.81029125</v>
      </c>
      <c r="T119" s="24" t="n">
        <f aca="false">IFERROR(Tabelle1!I120/S119,"")</f>
        <v>0.996825048013637</v>
      </c>
      <c r="U119" s="24" t="n">
        <f aca="false">IFERROR(AVERAGEIFS($T$7:$T$294,$B$7:$B$294,$B119,$A$7:$A$294,"&gt;="&amp;EDATE($A119,-12*'Seasonal Factors'!$E$4),$A$7:$A$294,"&lt;="&amp;EDATE($A119,12*'Seasonal Factors'!$E$4)),"")</f>
        <v>1.00713787151794</v>
      </c>
      <c r="V119" s="24" t="n">
        <f aca="false">IFERROR(U119/AVERAGE(U114:U125),"")</f>
        <v>1.00810178546428</v>
      </c>
      <c r="W119" s="23" t="n">
        <f aca="false">IF(ISNUMBER(Tabelle1!J126),(0.5*Tabelle1!J114+SUM(Tabelle1!J115:J125)+0.5*Tabelle1!J126)/12,"")</f>
        <v>150.173944166667</v>
      </c>
      <c r="X119" s="24" t="n">
        <f aca="false">IFERROR(Tabelle1!J120/W119,"")</f>
        <v>1.01286558626435</v>
      </c>
      <c r="Y119" s="24" t="n">
        <f aca="false">IFERROR(AVERAGEIFS($X$7:$X$294,$B$7:$B$294,$B119,$A$7:$A$294,"&gt;="&amp;EDATE($A119,-12*'Seasonal Factors'!$E$4),$A$7:$A$294,"&lt;="&amp;EDATE($A119,12*'Seasonal Factors'!$E$4)),"")</f>
        <v>0.997556200362236</v>
      </c>
      <c r="Z119" s="24" t="n">
        <f aca="false">IFERROR(Y119/AVERAGE(Y114:Y125),"")</f>
        <v>0.999399821674165</v>
      </c>
      <c r="AA119" s="23" t="n">
        <f aca="false">IF(ISNUMBER(Tabelle1!K126),(0.5*Tabelle1!K114+SUM(Tabelle1!K115:K125)+0.5*Tabelle1!K126)/12,"")</f>
        <v>164.433277083333</v>
      </c>
      <c r="AB119" s="24" t="n">
        <f aca="false">IFERROR(Tabelle1!K120/AA119,"")</f>
        <v>1.03739871287459</v>
      </c>
      <c r="AC119" s="24" t="n">
        <f aca="false">IFERROR(AVERAGEIFS($AB$7:$AB$294,$B$7:$B$294,$B119,$A$7:$A$294,"&gt;="&amp;EDATE($A119,-12*'Seasonal Factors'!$E$4),$A$7:$A$294,"&lt;="&amp;EDATE($A119,12*'Seasonal Factors'!$E$4)),"")</f>
        <v>1.01348245459945</v>
      </c>
      <c r="AD119" s="24" t="n">
        <f aca="false">IFERROR(AC119/AVERAGE(AC114:AC125),"")</f>
        <v>1.01411318276879</v>
      </c>
      <c r="AE119" s="23" t="n">
        <f aca="false">IF(ISNUMBER(Tabelle1!L126),(0.5*Tabelle1!L114+SUM(Tabelle1!L115:L125)+0.5*Tabelle1!L126)/12,"")</f>
        <v>158.541645</v>
      </c>
      <c r="AF119" s="24" t="n">
        <f aca="false">IFERROR(Tabelle1!L120/AE119,"")</f>
        <v>0.952028787136654</v>
      </c>
      <c r="AG119" s="24" t="n">
        <f aca="false">IFERROR(AVERAGEIFS($AF$7:$AF$294,$B$7:$B$294,$B119,$A$7:$A$294,"&gt;="&amp;EDATE($A119,-12*'Seasonal Factors'!$E$4),$A$7:$A$294,"&lt;="&amp;EDATE($A119,12*'Seasonal Factors'!$E$4)),"")</f>
        <v>0.937230336292781</v>
      </c>
      <c r="AH119" s="24" t="n">
        <f aca="false">IFERROR(AG119/AVERAGE(AG114:AG125),"")</f>
        <v>0.937218991078797</v>
      </c>
      <c r="AI119" s="23" t="n">
        <f aca="false">IF(ISNUMBER(Tabelle1!M126),(0.5*Tabelle1!M114+SUM(Tabelle1!M115:M125)+0.5*Tabelle1!M126)/12,"")</f>
        <v>180.07216125</v>
      </c>
      <c r="AJ119" s="24" t="n">
        <f aca="false">IFERROR(Tabelle1!M120/AI119,"")</f>
        <v>1.08790058740965</v>
      </c>
      <c r="AK119" s="24" t="n">
        <f aca="false">IFERROR(AVERAGEIFS($AJ$7:$AJ$294,$B$7:$B$294,$B119,$A$7:$A$294,"&gt;="&amp;EDATE($A119,-12*'Seasonal Factors'!$E$4),$A$7:$A$294,"&lt;="&amp;EDATE($A119,12*'Seasonal Factors'!$E$4)),"")</f>
        <v>1.07355085426798</v>
      </c>
      <c r="AL119" s="24" t="n">
        <f aca="false">IFERROR(AK119/AVERAGE(AK114:AK125),"")</f>
        <v>1.07380142144843</v>
      </c>
      <c r="AM119" s="23" t="n">
        <f aca="false">IF(ISNUMBER(Tabelle1!N126),(0.5*Tabelle1!N114+SUM(Tabelle1!N115:N125)+0.5*Tabelle1!N126)/12,"")</f>
        <v>183.1849125</v>
      </c>
      <c r="AN119" s="24" t="n">
        <f aca="false">IFERROR(Tabelle1!N120/AM119,"")</f>
        <v>0.981503211952567</v>
      </c>
      <c r="AO119" s="24" t="n">
        <f aca="false">IFERROR(AVERAGEIFS($AN$7:$AN$294,$B$7:$B$294,$B119,$A$7:$A$294,"&gt;="&amp;EDATE($A119,-12*'Seasonal Factors'!$E$4),$A$7:$A$294,"&lt;="&amp;EDATE($A119,12*'Seasonal Factors'!$E$4)),"")</f>
        <v>0.98389739118323</v>
      </c>
      <c r="AP119" s="24" t="n">
        <f aca="false">IFERROR(AO119/AVERAGE(AO114:AO125),"")</f>
        <v>0.984692973805286</v>
      </c>
      <c r="AQ119" s="23" t="n">
        <f aca="false">IF(ISNUMBER(Tabelle1!O126),(0.5*Tabelle1!O114+SUM(Tabelle1!O115:O125)+0.5*Tabelle1!O126)/12,"")</f>
        <v>134.233960416667</v>
      </c>
      <c r="AR119" s="24" t="n">
        <f aca="false">IFERROR(Tabelle1!O120/AQ119,"")</f>
        <v>1.0206832874089</v>
      </c>
      <c r="AS119" s="24" t="n">
        <f aca="false">IFERROR(AVERAGEIFS($AR$7:$AR$294,$B$7:$B$294,$B119,$A$7:$A$294,"&gt;="&amp;EDATE($A119,-12*'Seasonal Factors'!$E$4),$A$7:$A$294,"&lt;="&amp;EDATE($A119,12*'Seasonal Factors'!$E$4)),"")</f>
        <v>1.00458953564666</v>
      </c>
      <c r="AT119" s="24" t="n">
        <f aca="false">IFERROR(AS119/AVERAGE(AS114:AS125),"")</f>
        <v>1.00517414666558</v>
      </c>
      <c r="AU119" s="23" t="n">
        <f aca="false">IF(ISNUMBER(Tabelle1!P126),(0.5*Tabelle1!P114+SUM(Tabelle1!P115:P125)+0.5*Tabelle1!P126)/12,"")</f>
        <v>139.045045416667</v>
      </c>
      <c r="AV119" s="24" t="n">
        <f aca="false">IFERROR(Tabelle1!P120/AU119,"")</f>
        <v>0.993485669237963</v>
      </c>
      <c r="AW119" s="24" t="n">
        <f aca="false">IFERROR(AVERAGEIFS($AV$7:$AV$294,$B$7:$B$294,$B119,$A$7:$A$294,"&gt;="&amp;EDATE($A119,-12*'Seasonal Factors'!$E$4),$A$7:$A$294,"&lt;="&amp;EDATE($A119,12*'Seasonal Factors'!$E$4)),"")</f>
        <v>0.994198685741619</v>
      </c>
      <c r="AX119" s="24" t="n">
        <f aca="false">IFERROR(AW119/AVERAGE(AW114:AW125),"")</f>
        <v>0.99431573583315</v>
      </c>
      <c r="AY119" s="23" t="n">
        <f aca="false">IF(ISNUMBER(Tabelle1!Q126),(0.5*Tabelle1!Q114+SUM(Tabelle1!Q115:Q125)+0.5*Tabelle1!Q126)/12,"")</f>
        <v>142.942469583333</v>
      </c>
      <c r="AZ119" s="24" t="n">
        <f aca="false">IFERROR(Tabelle1!Q120/AY119,"")</f>
        <v>0.993189220907046</v>
      </c>
      <c r="BA119" s="24" t="n">
        <f aca="false">IFERROR(AVERAGEIFS($AZ$7:$AZ$294,$B$7:$B$294,$B119,$A$7:$A$294,"&gt;="&amp;EDATE($A119,-12*'Seasonal Factors'!$E$4),$A$7:$A$294,"&lt;="&amp;EDATE($A119,12*'Seasonal Factors'!$E$4)),"")</f>
        <v>0.994154954051554</v>
      </c>
      <c r="BB119" s="24" t="n">
        <f aca="false">IFERROR(BA119/AVERAGE(BA114:BA125),"")</f>
        <v>0.994196785350656</v>
      </c>
      <c r="BC119" s="23" t="n">
        <f aca="false">IF(ISNUMBER(Tabelle1!R126),(0.5*Tabelle1!R114+SUM(Tabelle1!R115:R125)+0.5*Tabelle1!R126)/12,"")</f>
        <v>162.10922375</v>
      </c>
      <c r="BD119" s="24" t="n">
        <f aca="false">IFERROR(Tabelle1!R120/BC119,"")</f>
        <v>1.06651075121196</v>
      </c>
      <c r="BE119" s="24" t="n">
        <f aca="false">IFERROR(AVERAGEIFS($BD$7:$BD$294,$B$7:$B$294,$B119,$A$7:$A$294,"&gt;="&amp;EDATE($A119,-12*'Seasonal Factors'!$E$4),$A$7:$A$294,"&lt;="&amp;EDATE($A119,12*'Seasonal Factors'!$E$4)),"")</f>
        <v>1.06503459468186</v>
      </c>
      <c r="BF119" s="24" t="n">
        <f aca="false">IFERROR(BE119/AVERAGE(BE114:BE125),"")</f>
        <v>1.06516499091756</v>
      </c>
      <c r="BG119" s="23" t="n">
        <f aca="false">IF(ISNUMBER(Tabelle1!S126),(0.5*Tabelle1!S114+SUM(Tabelle1!S115:S125)+0.5*Tabelle1!S126)/12,"")</f>
        <v>152.137205416667</v>
      </c>
      <c r="BH119" s="24" t="n">
        <f aca="false">IFERROR(Tabelle1!S120/BG119,"")</f>
        <v>0.985515473281953</v>
      </c>
      <c r="BI119" s="24" t="n">
        <f aca="false">IFERROR(AVERAGEIFS($BH$7:$BH$294,$B$7:$B$294,$B119,$A$7:$A$294,"&gt;="&amp;EDATE($A119,-12*'Seasonal Factors'!$E$4),$A$7:$A$294,"&lt;="&amp;EDATE($A119,12*'Seasonal Factors'!$E$4)),"")</f>
        <v>0.992936844569829</v>
      </c>
      <c r="BJ119" s="24" t="n">
        <f aca="false">IFERROR(BI119/AVERAGE(BI114:BI125),"")</f>
        <v>0.993030152581144</v>
      </c>
    </row>
    <row r="120" customFormat="false" ht="15" hidden="false" customHeight="false" outlineLevel="0" collapsed="false">
      <c r="A120" s="20" t="n">
        <v>41455</v>
      </c>
      <c r="B120" s="22" t="n">
        <f aca="false">MONTH(A120)</f>
        <v>6</v>
      </c>
      <c r="C120" s="23" t="n">
        <f aca="false">IF(ISNUMBER(Tabelle1!E127),(0.5*Tabelle1!E115+SUM(Tabelle1!E116:E126)+0.5*Tabelle1!E127)/12,"")</f>
        <v>121.400750416667</v>
      </c>
      <c r="D120" s="24" t="n">
        <f aca="false">IFERROR(Tabelle1!E121/C120,"")</f>
        <v>1.63324616461991</v>
      </c>
      <c r="E120" s="24" t="n">
        <f aca="false">IFERROR(AVERAGEIFS($D$7:$D$294,$B$7:$B$294,$B120,$A$7:$A$294,"&gt;="&amp;EDATE($A120,-12*'Seasonal Factors'!$E$4),$A$7:$A$294,"&lt;="&amp;EDATE($A120,12*'Seasonal Factors'!$E$4)),"")</f>
        <v>1.66119812847192</v>
      </c>
      <c r="F120" s="24" t="n">
        <f aca="false">IFERROR(E120/AVERAGE(E115:E126),"")</f>
        <v>1.66301661282918</v>
      </c>
      <c r="G120" s="23" t="n">
        <f aca="false">IF(ISNUMBER(Tabelle1!F127),(0.5*Tabelle1!F115+SUM(Tabelle1!F116:F126)+0.5*Tabelle1!F127)/12,"")</f>
        <v>149.1962425</v>
      </c>
      <c r="H120" s="24" t="n">
        <f aca="false">IFERROR(Tabelle1!F121/G120,"")</f>
        <v>1.49233811970834</v>
      </c>
      <c r="I120" s="24" t="n">
        <f aca="false">IFERROR(AVERAGEIFS($H$7:$H$294,$B$7:$B$294,$B120,$A$7:$A$294,"&gt;="&amp;EDATE($A120,-12*'Seasonal Factors'!$E$4),$A$7:$A$294,"&lt;="&amp;EDATE($A120,12*'Seasonal Factors'!$E$4)),"")</f>
        <v>1.31602344881253</v>
      </c>
      <c r="J120" s="24" t="n">
        <f aca="false">IFERROR(I120/AVERAGE(I115:I126),"")</f>
        <v>1.31534454333555</v>
      </c>
      <c r="K120" s="23" t="n">
        <f aca="false">IF(ISNUMBER(Tabelle1!G127),(0.5*Tabelle1!G115+SUM(Tabelle1!G116:G126)+0.5*Tabelle1!G127)/12,"")</f>
        <v>92.24770875</v>
      </c>
      <c r="L120" s="24" t="n">
        <f aca="false">IFERROR(Tabelle1!G121/K120,"")</f>
        <v>0.991350476225243</v>
      </c>
      <c r="M120" s="24" t="n">
        <f aca="false">IFERROR(AVERAGEIFS($L$7:$L$294,$B$7:$B$294,$B120,$A$7:$A$294,"&gt;="&amp;EDATE($A120,-12*'Seasonal Factors'!$E$4),$A$7:$A$294,"&lt;="&amp;EDATE($A120,12*'Seasonal Factors'!$E$4)),"")</f>
        <v>0.982699602224284</v>
      </c>
      <c r="N120" s="24" t="n">
        <f aca="false">IFERROR(M120/AVERAGE(M115:M126),"")</f>
        <v>0.982643657816584</v>
      </c>
      <c r="O120" s="23" t="n">
        <f aca="false">IF(ISNUMBER(Tabelle1!H127),(0.5*Tabelle1!H115+SUM(Tabelle1!H116:H126)+0.5*Tabelle1!H127)/12,"")</f>
        <v>142.504521666667</v>
      </c>
      <c r="P120" s="24" t="n">
        <f aca="false">IFERROR(Tabelle1!H121/O120,"")</f>
        <v>0.99804552400577</v>
      </c>
      <c r="Q120" s="24" t="n">
        <f aca="false">IFERROR(AVERAGEIFS($P$7:$P$294,$B$7:$B$294,$B120,$A$7:$A$294,"&gt;="&amp;EDATE($A120,-12*'Seasonal Factors'!$E$4),$A$7:$A$294,"&lt;="&amp;EDATE($A120,12*'Seasonal Factors'!$E$4)),"")</f>
        <v>1.01370758799937</v>
      </c>
      <c r="R120" s="24" t="n">
        <f aca="false">IFERROR(Q120/AVERAGE(Q115:Q126),"")</f>
        <v>1.01411253369233</v>
      </c>
      <c r="S120" s="23" t="n">
        <f aca="false">IF(ISNUMBER(Tabelle1!I127),(0.5*Tabelle1!I115+SUM(Tabelle1!I116:I126)+0.5*Tabelle1!I127)/12,"")</f>
        <v>134.141195833333</v>
      </c>
      <c r="T120" s="24" t="n">
        <f aca="false">IFERROR(Tabelle1!I121/S120,"")</f>
        <v>1.00061110359243</v>
      </c>
      <c r="U120" s="24" t="n">
        <f aca="false">IFERROR(AVERAGEIFS($T$7:$T$294,$B$7:$B$294,$B120,$A$7:$A$294,"&gt;="&amp;EDATE($A120,-12*'Seasonal Factors'!$E$4),$A$7:$A$294,"&lt;="&amp;EDATE($A120,12*'Seasonal Factors'!$E$4)),"")</f>
        <v>1.02718562406146</v>
      </c>
      <c r="V120" s="24" t="n">
        <f aca="false">IFERROR(U120/AVERAGE(U115:U126),"")</f>
        <v>1.02778041641519</v>
      </c>
      <c r="W120" s="23" t="n">
        <f aca="false">IF(ISNUMBER(Tabelle1!J127),(0.5*Tabelle1!J115+SUM(Tabelle1!J116:J126)+0.5*Tabelle1!J127)/12,"")</f>
        <v>149.998476666667</v>
      </c>
      <c r="X120" s="24" t="n">
        <f aca="false">IFERROR(Tabelle1!J121/W120,"")</f>
        <v>0.994241630409447</v>
      </c>
      <c r="Y120" s="24" t="n">
        <f aca="false">IFERROR(AVERAGEIFS($X$7:$X$294,$B$7:$B$294,$B120,$A$7:$A$294,"&gt;="&amp;EDATE($A120,-12*'Seasonal Factors'!$E$4),$A$7:$A$294,"&lt;="&amp;EDATE($A120,12*'Seasonal Factors'!$E$4)),"")</f>
        <v>0.989654461851527</v>
      </c>
      <c r="Z120" s="24" t="n">
        <f aca="false">IFERROR(Y120/AVERAGE(Y115:Y126),"")</f>
        <v>0.991647706762541</v>
      </c>
      <c r="AA120" s="23" t="n">
        <f aca="false">IF(ISNUMBER(Tabelle1!K127),(0.5*Tabelle1!K115+SUM(Tabelle1!K116:K126)+0.5*Tabelle1!K127)/12,"")</f>
        <v>164.030223333333</v>
      </c>
      <c r="AB120" s="24" t="n">
        <f aca="false">IFERROR(Tabelle1!K121/AA120,"")</f>
        <v>1.00230144578844</v>
      </c>
      <c r="AC120" s="24" t="n">
        <f aca="false">IFERROR(AVERAGEIFS($AB$7:$AB$294,$B$7:$B$294,$B120,$A$7:$A$294,"&gt;="&amp;EDATE($A120,-12*'Seasonal Factors'!$E$4),$A$7:$A$294,"&lt;="&amp;EDATE($A120,12*'Seasonal Factors'!$E$4)),"")</f>
        <v>1.02628569804228</v>
      </c>
      <c r="AD120" s="24" t="n">
        <f aca="false">IFERROR(AC120/AVERAGE(AC115:AC126),"")</f>
        <v>1.02700898376356</v>
      </c>
      <c r="AE120" s="23" t="n">
        <f aca="false">IF(ISNUMBER(Tabelle1!L127),(0.5*Tabelle1!L115+SUM(Tabelle1!L116:L126)+0.5*Tabelle1!L127)/12,"")</f>
        <v>158.312102916667</v>
      </c>
      <c r="AF120" s="24" t="n">
        <f aca="false">IFERROR(Tabelle1!L121/AE120,"")</f>
        <v>0.953691330090374</v>
      </c>
      <c r="AG120" s="24" t="n">
        <f aca="false">IFERROR(AVERAGEIFS($AF$7:$AF$294,$B$7:$B$294,$B120,$A$7:$A$294,"&gt;="&amp;EDATE($A120,-12*'Seasonal Factors'!$E$4),$A$7:$A$294,"&lt;="&amp;EDATE($A120,12*'Seasonal Factors'!$E$4)),"")</f>
        <v>0.929552416380477</v>
      </c>
      <c r="AH120" s="24" t="n">
        <f aca="false">IFERROR(AG120/AVERAGE(AG115:AG126),"")</f>
        <v>0.928979182173609</v>
      </c>
      <c r="AI120" s="23" t="n">
        <f aca="false">IF(ISNUMBER(Tabelle1!M127),(0.5*Tabelle1!M115+SUM(Tabelle1!M116:M126)+0.5*Tabelle1!M127)/12,"")</f>
        <v>180.349667916667</v>
      </c>
      <c r="AJ120" s="24" t="n">
        <f aca="false">IFERROR(Tabelle1!M121/AI120,"")</f>
        <v>1.03800967399896</v>
      </c>
      <c r="AK120" s="24" t="n">
        <f aca="false">IFERROR(AVERAGEIFS($AJ$7:$AJ$294,$B$7:$B$294,$B120,$A$7:$A$294,"&gt;="&amp;EDATE($A120,-12*'Seasonal Factors'!$E$4),$A$7:$A$294,"&lt;="&amp;EDATE($A120,12*'Seasonal Factors'!$E$4)),"")</f>
        <v>1.03596602838403</v>
      </c>
      <c r="AL120" s="24" t="n">
        <f aca="false">IFERROR(AK120/AVERAGE(AK115:AK126),"")</f>
        <v>1.03620377029763</v>
      </c>
      <c r="AM120" s="23" t="n">
        <f aca="false">IF(ISNUMBER(Tabelle1!N127),(0.5*Tabelle1!N115+SUM(Tabelle1!N116:N126)+0.5*Tabelle1!N127)/12,"")</f>
        <v>183.008036666667</v>
      </c>
      <c r="AN120" s="24" t="n">
        <f aca="false">IFERROR(Tabelle1!N121/AM120,"")</f>
        <v>1.02888776596715</v>
      </c>
      <c r="AO120" s="24" t="n">
        <f aca="false">IFERROR(AVERAGEIFS($AN$7:$AN$294,$B$7:$B$294,$B120,$A$7:$A$294,"&gt;="&amp;EDATE($A120,-12*'Seasonal Factors'!$E$4),$A$7:$A$294,"&lt;="&amp;EDATE($A120,12*'Seasonal Factors'!$E$4)),"")</f>
        <v>1.01333022954471</v>
      </c>
      <c r="AP120" s="24" t="n">
        <f aca="false">IFERROR(AO120/AVERAGE(AO115:AO126),"")</f>
        <v>1.01391524653308</v>
      </c>
      <c r="AQ120" s="23" t="n">
        <f aca="false">IF(ISNUMBER(Tabelle1!O127),(0.5*Tabelle1!O115+SUM(Tabelle1!O116:O126)+0.5*Tabelle1!O127)/12,"")</f>
        <v>134.326630833333</v>
      </c>
      <c r="AR120" s="24" t="n">
        <f aca="false">IFERROR(Tabelle1!O121/AQ120,"")</f>
        <v>1.00880956485937</v>
      </c>
      <c r="AS120" s="24" t="n">
        <f aca="false">IFERROR(AVERAGEIFS($AR$7:$AR$294,$B$7:$B$294,$B120,$A$7:$A$294,"&gt;="&amp;EDATE($A120,-12*'Seasonal Factors'!$E$4),$A$7:$A$294,"&lt;="&amp;EDATE($A120,12*'Seasonal Factors'!$E$4)),"")</f>
        <v>1.02088676542855</v>
      </c>
      <c r="AT120" s="24" t="n">
        <f aca="false">IFERROR(AS120/AVERAGE(AS115:AS126),"")</f>
        <v>1.02158344973024</v>
      </c>
      <c r="AU120" s="23" t="n">
        <f aca="false">IF(ISNUMBER(Tabelle1!P127),(0.5*Tabelle1!P115+SUM(Tabelle1!P116:P126)+0.5*Tabelle1!P127)/12,"")</f>
        <v>139.375093333333</v>
      </c>
      <c r="AV120" s="24" t="n">
        <f aca="false">IFERROR(Tabelle1!P121/AU120,"")</f>
        <v>1.00551251050881</v>
      </c>
      <c r="AW120" s="24" t="n">
        <f aca="false">IFERROR(AVERAGEIFS($AV$7:$AV$294,$B$7:$B$294,$B120,$A$7:$A$294,"&gt;="&amp;EDATE($A120,-12*'Seasonal Factors'!$E$4),$A$7:$A$294,"&lt;="&amp;EDATE($A120,12*'Seasonal Factors'!$E$4)),"")</f>
        <v>1.00377306114282</v>
      </c>
      <c r="AX120" s="24" t="n">
        <f aca="false">IFERROR(AW120/AVERAGE(AW115:AW126),"")</f>
        <v>1.00402346890339</v>
      </c>
      <c r="AY120" s="23" t="n">
        <f aca="false">IF(ISNUMBER(Tabelle1!Q127),(0.5*Tabelle1!Q115+SUM(Tabelle1!Q116:Q126)+0.5*Tabelle1!Q127)/12,"")</f>
        <v>143.212864583333</v>
      </c>
      <c r="AZ120" s="24" t="n">
        <f aca="false">IFERROR(Tabelle1!Q121/AY120,"")</f>
        <v>1.01260239729104</v>
      </c>
      <c r="BA120" s="24" t="n">
        <f aca="false">IFERROR(AVERAGEIFS($AZ$7:$AZ$294,$B$7:$B$294,$B120,$A$7:$A$294,"&gt;="&amp;EDATE($A120,-12*'Seasonal Factors'!$E$4),$A$7:$A$294,"&lt;="&amp;EDATE($A120,12*'Seasonal Factors'!$E$4)),"")</f>
        <v>1.01084082864063</v>
      </c>
      <c r="BB120" s="24" t="n">
        <f aca="false">IFERROR(BA120/AVERAGE(BA115:BA126),"")</f>
        <v>1.01101450997588</v>
      </c>
      <c r="BC120" s="23" t="n">
        <f aca="false">IF(ISNUMBER(Tabelle1!R127),(0.5*Tabelle1!R115+SUM(Tabelle1!R116:R126)+0.5*Tabelle1!R127)/12,"")</f>
        <v>162.37656375</v>
      </c>
      <c r="BD120" s="24" t="n">
        <f aca="false">IFERROR(Tabelle1!R121/BC120,"")</f>
        <v>1.09334725344562</v>
      </c>
      <c r="BE120" s="24" t="n">
        <f aca="false">IFERROR(AVERAGEIFS($BD$7:$BD$294,$B$7:$B$294,$B120,$A$7:$A$294,"&gt;="&amp;EDATE($A120,-12*'Seasonal Factors'!$E$4),$A$7:$A$294,"&lt;="&amp;EDATE($A120,12*'Seasonal Factors'!$E$4)),"")</f>
        <v>1.08871841381709</v>
      </c>
      <c r="BF120" s="24" t="n">
        <f aca="false">IFERROR(BE120/AVERAGE(BE115:BE126),"")</f>
        <v>1.08897362183061</v>
      </c>
      <c r="BG120" s="23" t="n">
        <f aca="false">IF(ISNUMBER(Tabelle1!S127),(0.5*Tabelle1!S115+SUM(Tabelle1!S116:S126)+0.5*Tabelle1!S127)/12,"")</f>
        <v>151.9959625</v>
      </c>
      <c r="BH120" s="24" t="n">
        <f aca="false">IFERROR(Tabelle1!S121/BG120,"")</f>
        <v>1.0313115389496</v>
      </c>
      <c r="BI120" s="24" t="n">
        <f aca="false">IFERROR(AVERAGEIFS($BH$7:$BH$294,$B$7:$B$294,$B120,$A$7:$A$294,"&gt;="&amp;EDATE($A120,-12*'Seasonal Factors'!$E$4),$A$7:$A$294,"&lt;="&amp;EDATE($A120,12*'Seasonal Factors'!$E$4)),"")</f>
        <v>1.0033175186605</v>
      </c>
      <c r="BJ120" s="24" t="n">
        <f aca="false">IFERROR(BI120/AVERAGE(BI115:BI126),"")</f>
        <v>1.00363349354451</v>
      </c>
    </row>
    <row r="121" customFormat="false" ht="15" hidden="false" customHeight="false" outlineLevel="0" collapsed="false">
      <c r="A121" s="20" t="n">
        <v>41486</v>
      </c>
      <c r="B121" s="22" t="n">
        <f aca="false">MONTH(A121)</f>
        <v>7</v>
      </c>
      <c r="C121" s="23" t="n">
        <f aca="false">IF(ISNUMBER(Tabelle1!E128),(0.5*Tabelle1!E116+SUM(Tabelle1!E117:E127)+0.5*Tabelle1!E128)/12,"")</f>
        <v>121.622593333333</v>
      </c>
      <c r="D121" s="24" t="n">
        <f aca="false">IFERROR(Tabelle1!E122/C121,"")</f>
        <v>0.88033585755366</v>
      </c>
      <c r="E121" s="24" t="n">
        <f aca="false">IFERROR(AVERAGEIFS($D$7:$D$294,$B$7:$B$294,$B121,$A$7:$A$294,"&gt;="&amp;EDATE($A121,-12*'Seasonal Factors'!$E$4),$A$7:$A$294,"&lt;="&amp;EDATE($A121,12*'Seasonal Factors'!$E$4)),"")</f>
        <v>0.879692016079453</v>
      </c>
      <c r="F121" s="24" t="n">
        <f aca="false">IFERROR(E121/AVERAGE(E116:E127),"")</f>
        <v>0.880667106106493</v>
      </c>
      <c r="G121" s="23" t="n">
        <f aca="false">IF(ISNUMBER(Tabelle1!F128),(0.5*Tabelle1!F116+SUM(Tabelle1!F117:F127)+0.5*Tabelle1!F128)/12,"")</f>
        <v>149.72905</v>
      </c>
      <c r="H121" s="24" t="n">
        <f aca="false">IFERROR(Tabelle1!F122/G121,"")</f>
        <v>1.52135500759539</v>
      </c>
      <c r="I121" s="24" t="n">
        <f aca="false">IFERROR(AVERAGEIFS($H$7:$H$294,$B$7:$B$294,$B121,$A$7:$A$294,"&gt;="&amp;EDATE($A121,-12*'Seasonal Factors'!$E$4),$A$7:$A$294,"&lt;="&amp;EDATE($A121,12*'Seasonal Factors'!$E$4)),"")</f>
        <v>1.3139676927578</v>
      </c>
      <c r="J121" s="24" t="n">
        <f aca="false">IFERROR(I121/AVERAGE(I116:I127),"")</f>
        <v>1.30848682757541</v>
      </c>
      <c r="K121" s="23" t="n">
        <f aca="false">IF(ISNUMBER(Tabelle1!G128),(0.5*Tabelle1!G116+SUM(Tabelle1!G117:G127)+0.5*Tabelle1!G128)/12,"")</f>
        <v>92.1546666666667</v>
      </c>
      <c r="L121" s="24" t="n">
        <f aca="false">IFERROR(Tabelle1!G122/K121,"")</f>
        <v>1.02473475750912</v>
      </c>
      <c r="M121" s="24" t="n">
        <f aca="false">IFERROR(AVERAGEIFS($L$7:$L$294,$B$7:$B$294,$B121,$A$7:$A$294,"&gt;="&amp;EDATE($A121,-12*'Seasonal Factors'!$E$4),$A$7:$A$294,"&lt;="&amp;EDATE($A121,12*'Seasonal Factors'!$E$4)),"")</f>
        <v>1.02162742671358</v>
      </c>
      <c r="N121" s="24" t="n">
        <f aca="false">IFERROR(M121/AVERAGE(M116:M127),"")</f>
        <v>1.02173819107697</v>
      </c>
      <c r="O121" s="23" t="n">
        <f aca="false">IF(ISNUMBER(Tabelle1!H128),(0.5*Tabelle1!H116+SUM(Tabelle1!H117:H127)+0.5*Tabelle1!H128)/12,"")</f>
        <v>142.522215416667</v>
      </c>
      <c r="P121" s="24" t="n">
        <f aca="false">IFERROR(Tabelle1!H122/O121,"")</f>
        <v>1.01269370236804</v>
      </c>
      <c r="Q121" s="24" t="n">
        <f aca="false">IFERROR(AVERAGEIFS($P$7:$P$294,$B$7:$B$294,$B121,$A$7:$A$294,"&gt;="&amp;EDATE($A121,-12*'Seasonal Factors'!$E$4),$A$7:$A$294,"&lt;="&amp;EDATE($A121,12*'Seasonal Factors'!$E$4)),"")</f>
        <v>1.01959445582526</v>
      </c>
      <c r="R121" s="24" t="n">
        <f aca="false">IFERROR(Q121/AVERAGE(Q116:Q127),"")</f>
        <v>1.01973590748116</v>
      </c>
      <c r="S121" s="23" t="n">
        <f aca="false">IF(ISNUMBER(Tabelle1!I128),(0.5*Tabelle1!I116+SUM(Tabelle1!I117:I127)+0.5*Tabelle1!I128)/12,"")</f>
        <v>135.076824583333</v>
      </c>
      <c r="T121" s="24" t="n">
        <f aca="false">IFERROR(Tabelle1!I122/S121,"")</f>
        <v>1.05627534878847</v>
      </c>
      <c r="U121" s="24" t="n">
        <f aca="false">IFERROR(AVERAGEIFS($T$7:$T$294,$B$7:$B$294,$B121,$A$7:$A$294,"&gt;="&amp;EDATE($A121,-12*'Seasonal Factors'!$E$4),$A$7:$A$294,"&lt;="&amp;EDATE($A121,12*'Seasonal Factors'!$E$4)),"")</f>
        <v>1.06408826209086</v>
      </c>
      <c r="V121" s="24" t="n">
        <f aca="false">IFERROR(U121/AVERAGE(U116:U127),"")</f>
        <v>1.06424614110783</v>
      </c>
      <c r="W121" s="23" t="n">
        <f aca="false">IF(ISNUMBER(Tabelle1!J128),(0.5*Tabelle1!J116+SUM(Tabelle1!J117:J127)+0.5*Tabelle1!J128)/12,"")</f>
        <v>149.990812083333</v>
      </c>
      <c r="X121" s="24" t="n">
        <f aca="false">IFERROR(Tabelle1!J122/W121,"")</f>
        <v>1.01904921959539</v>
      </c>
      <c r="Y121" s="24" t="n">
        <f aca="false">IFERROR(AVERAGEIFS($X$7:$X$294,$B$7:$B$294,$B121,$A$7:$A$294,"&gt;="&amp;EDATE($A121,-12*'Seasonal Factors'!$E$4),$A$7:$A$294,"&lt;="&amp;EDATE($A121,12*'Seasonal Factors'!$E$4)),"")</f>
        <v>1.0130953780837</v>
      </c>
      <c r="Z121" s="24" t="n">
        <f aca="false">IFERROR(Y121/AVERAGE(Y116:Y127),"")</f>
        <v>1.01433171627703</v>
      </c>
      <c r="AA121" s="23" t="n">
        <f aca="false">IF(ISNUMBER(Tabelle1!K128),(0.5*Tabelle1!K116+SUM(Tabelle1!K117:K127)+0.5*Tabelle1!K128)/12,"")</f>
        <v>163.67942625</v>
      </c>
      <c r="AB121" s="24" t="n">
        <f aca="false">IFERROR(Tabelle1!K122/AA121,"")</f>
        <v>1.02845014707522</v>
      </c>
      <c r="AC121" s="24" t="n">
        <f aca="false">IFERROR(AVERAGEIFS($AB$7:$AB$294,$B$7:$B$294,$B121,$A$7:$A$294,"&gt;="&amp;EDATE($A121,-12*'Seasonal Factors'!$E$4),$A$7:$A$294,"&lt;="&amp;EDATE($A121,12*'Seasonal Factors'!$E$4)),"")</f>
        <v>1.01210222702672</v>
      </c>
      <c r="AD121" s="24" t="n">
        <f aca="false">IFERROR(AC121/AVERAGE(AC116:AC127),"")</f>
        <v>1.01288846904068</v>
      </c>
      <c r="AE121" s="23" t="n">
        <f aca="false">IF(ISNUMBER(Tabelle1!L128),(0.5*Tabelle1!L116+SUM(Tabelle1!L117:L127)+0.5*Tabelle1!L128)/12,"")</f>
        <v>158.16086375</v>
      </c>
      <c r="AF121" s="24" t="n">
        <f aca="false">IFERROR(Tabelle1!L122/AE121,"")</f>
        <v>1.04215579057875</v>
      </c>
      <c r="AG121" s="24" t="n">
        <f aca="false">IFERROR(AVERAGEIFS($AF$7:$AF$294,$B$7:$B$294,$B121,$A$7:$A$294,"&gt;="&amp;EDATE($A121,-12*'Seasonal Factors'!$E$4),$A$7:$A$294,"&lt;="&amp;EDATE($A121,12*'Seasonal Factors'!$E$4)),"")</f>
        <v>1.01908147402252</v>
      </c>
      <c r="AH121" s="24" t="n">
        <f aca="false">IFERROR(AG121/AVERAGE(AG116:AG127),"")</f>
        <v>1.01863163065562</v>
      </c>
      <c r="AI121" s="23" t="n">
        <f aca="false">IF(ISNUMBER(Tabelle1!M128),(0.5*Tabelle1!M116+SUM(Tabelle1!M117:M127)+0.5*Tabelle1!M128)/12,"")</f>
        <v>180.570100416667</v>
      </c>
      <c r="AJ121" s="24" t="n">
        <f aca="false">IFERROR(Tabelle1!M122/AI121,"")</f>
        <v>1.02352105677259</v>
      </c>
      <c r="AK121" s="24" t="n">
        <f aca="false">IFERROR(AVERAGEIFS($AJ$7:$AJ$294,$B$7:$B$294,$B121,$A$7:$A$294,"&gt;="&amp;EDATE($A121,-12*'Seasonal Factors'!$E$4),$A$7:$A$294,"&lt;="&amp;EDATE($A121,12*'Seasonal Factors'!$E$4)),"")</f>
        <v>1.01513983643231</v>
      </c>
      <c r="AL121" s="24" t="n">
        <f aca="false">IFERROR(AK121/AVERAGE(AK116:AK127),"")</f>
        <v>1.01495280091417</v>
      </c>
      <c r="AM121" s="23" t="n">
        <f aca="false">IF(ISNUMBER(Tabelle1!N128),(0.5*Tabelle1!N116+SUM(Tabelle1!N117:N127)+0.5*Tabelle1!N128)/12,"")</f>
        <v>183.386152916667</v>
      </c>
      <c r="AN121" s="24" t="n">
        <f aca="false">IFERROR(Tabelle1!N122/AM121,"")</f>
        <v>0.995503188743801</v>
      </c>
      <c r="AO121" s="24" t="n">
        <f aca="false">IFERROR(AVERAGEIFS($AN$7:$AN$294,$B$7:$B$294,$B121,$A$7:$A$294,"&gt;="&amp;EDATE($A121,-12*'Seasonal Factors'!$E$4),$A$7:$A$294,"&lt;="&amp;EDATE($A121,12*'Seasonal Factors'!$E$4)),"")</f>
        <v>0.986989321618893</v>
      </c>
      <c r="AP121" s="24" t="n">
        <f aca="false">IFERROR(AO121/AVERAGE(AO116:AO127),"")</f>
        <v>0.987411678533785</v>
      </c>
      <c r="AQ121" s="23" t="n">
        <f aca="false">IF(ISNUMBER(Tabelle1!O128),(0.5*Tabelle1!O116+SUM(Tabelle1!O117:O127)+0.5*Tabelle1!O128)/12,"")</f>
        <v>134.37714625</v>
      </c>
      <c r="AR121" s="24" t="n">
        <f aca="false">IFERROR(Tabelle1!O122/AQ121,"")</f>
        <v>1.01002256550005</v>
      </c>
      <c r="AS121" s="24" t="n">
        <f aca="false">IFERROR(AVERAGEIFS($AR$7:$AR$294,$B$7:$B$294,$B121,$A$7:$A$294,"&gt;="&amp;EDATE($A121,-12*'Seasonal Factors'!$E$4),$A$7:$A$294,"&lt;="&amp;EDATE($A121,12*'Seasonal Factors'!$E$4)),"")</f>
        <v>1.00555099626781</v>
      </c>
      <c r="AT121" s="24" t="n">
        <f aca="false">IFERROR(AS121/AVERAGE(AS116:AS127),"")</f>
        <v>1.00598311993266</v>
      </c>
      <c r="AU121" s="23" t="n">
        <f aca="false">IF(ISNUMBER(Tabelle1!P128),(0.5*Tabelle1!P116+SUM(Tabelle1!P117:P127)+0.5*Tabelle1!P128)/12,"")</f>
        <v>139.750861666667</v>
      </c>
      <c r="AV121" s="24" t="n">
        <f aca="false">IFERROR(Tabelle1!P122/AU121,"")</f>
        <v>0.998063613608966</v>
      </c>
      <c r="AW121" s="24" t="n">
        <f aca="false">IFERROR(AVERAGEIFS($AV$7:$AV$294,$B$7:$B$294,$B121,$A$7:$A$294,"&gt;="&amp;EDATE($A121,-12*'Seasonal Factors'!$E$4),$A$7:$A$294,"&lt;="&amp;EDATE($A121,12*'Seasonal Factors'!$E$4)),"")</f>
        <v>1.00165394240638</v>
      </c>
      <c r="AX121" s="24" t="n">
        <f aca="false">IFERROR(AW121/AVERAGE(AW116:AW127),"")</f>
        <v>1.00168221378245</v>
      </c>
      <c r="AY121" s="23" t="n">
        <f aca="false">IF(ISNUMBER(Tabelle1!Q128),(0.5*Tabelle1!Q116+SUM(Tabelle1!Q117:Q127)+0.5*Tabelle1!Q128)/12,"")</f>
        <v>143.471407916667</v>
      </c>
      <c r="AZ121" s="24" t="n">
        <f aca="false">IFERROR(Tabelle1!Q122/AY121,"")</f>
        <v>1.00805883276761</v>
      </c>
      <c r="BA121" s="24" t="n">
        <f aca="false">IFERROR(AVERAGEIFS($AZ$7:$AZ$294,$B$7:$B$294,$B121,$A$7:$A$294,"&gt;="&amp;EDATE($A121,-12*'Seasonal Factors'!$E$4),$A$7:$A$294,"&lt;="&amp;EDATE($A121,12*'Seasonal Factors'!$E$4)),"")</f>
        <v>1.00750706784833</v>
      </c>
      <c r="BB121" s="24" t="n">
        <f aca="false">IFERROR(BA121/AVERAGE(BA116:BA127),"")</f>
        <v>1.00770849594201</v>
      </c>
      <c r="BC121" s="23" t="n">
        <f aca="false">IF(ISNUMBER(Tabelle1!R128),(0.5*Tabelle1!R116+SUM(Tabelle1!R117:R127)+0.5*Tabelle1!R128)/12,"")</f>
        <v>162.64326</v>
      </c>
      <c r="BD121" s="24" t="n">
        <f aca="false">IFERROR(Tabelle1!R122/BC121,"")</f>
        <v>1.00602969960145</v>
      </c>
      <c r="BE121" s="24" t="n">
        <f aca="false">IFERROR(AVERAGEIFS($BD$7:$BD$294,$B$7:$B$294,$B121,$A$7:$A$294,"&gt;="&amp;EDATE($A121,-12*'Seasonal Factors'!$E$4),$A$7:$A$294,"&lt;="&amp;EDATE($A121,12*'Seasonal Factors'!$E$4)),"")</f>
        <v>1.01087638009746</v>
      </c>
      <c r="BF121" s="24" t="n">
        <f aca="false">IFERROR(BE121/AVERAGE(BE116:BE127),"")</f>
        <v>1.01102629800336</v>
      </c>
      <c r="BG121" s="23" t="n">
        <f aca="false">IF(ISNUMBER(Tabelle1!S128),(0.5*Tabelle1!S116+SUM(Tabelle1!S117:S127)+0.5*Tabelle1!S128)/12,"")</f>
        <v>152.007748333333</v>
      </c>
      <c r="BH121" s="24" t="n">
        <f aca="false">IFERROR(Tabelle1!S122/BG121,"")</f>
        <v>1.11310253493767</v>
      </c>
      <c r="BI121" s="24" t="n">
        <f aca="false">IFERROR(AVERAGEIFS($BH$7:$BH$294,$B$7:$B$294,$B121,$A$7:$A$294,"&gt;="&amp;EDATE($A121,-12*'Seasonal Factors'!$E$4),$A$7:$A$294,"&lt;="&amp;EDATE($A121,12*'Seasonal Factors'!$E$4)),"")</f>
        <v>1.09801868342782</v>
      </c>
      <c r="BJ121" s="24" t="n">
        <f aca="false">IFERROR(BI121/AVERAGE(BI116:BI127),"")</f>
        <v>1.09792328446738</v>
      </c>
    </row>
    <row r="122" customFormat="false" ht="15" hidden="false" customHeight="false" outlineLevel="0" collapsed="false">
      <c r="A122" s="20" t="n">
        <v>41517</v>
      </c>
      <c r="B122" s="22" t="n">
        <f aca="false">MONTH(A122)</f>
        <v>8</v>
      </c>
      <c r="C122" s="23" t="n">
        <f aca="false">IF(ISNUMBER(Tabelle1!E129),(0.5*Tabelle1!E117+SUM(Tabelle1!E118:E128)+0.5*Tabelle1!E129)/12,"")</f>
        <v>121.503040833333</v>
      </c>
      <c r="D122" s="24" t="n">
        <f aca="false">IFERROR(Tabelle1!E123/C122,"")</f>
        <v>0.573016193853969</v>
      </c>
      <c r="E122" s="24" t="n">
        <f aca="false">IFERROR(AVERAGEIFS($D$7:$D$294,$B$7:$B$294,$B122,$A$7:$A$294,"&gt;="&amp;EDATE($A122,-12*'Seasonal Factors'!$E$4),$A$7:$A$294,"&lt;="&amp;EDATE($A122,12*'Seasonal Factors'!$E$4)),"")</f>
        <v>0.572667011590352</v>
      </c>
      <c r="F122" s="24" t="n">
        <f aca="false">IFERROR(E122/AVERAGE(E117:E128),"")</f>
        <v>0.573276758854856</v>
      </c>
      <c r="G122" s="23" t="n">
        <f aca="false">IF(ISNUMBER(Tabelle1!F129),(0.5*Tabelle1!F117+SUM(Tabelle1!F118:F128)+0.5*Tabelle1!F129)/12,"")</f>
        <v>148.53957125</v>
      </c>
      <c r="H122" s="24" t="n">
        <f aca="false">IFERROR(Tabelle1!F123/G122,"")</f>
        <v>1.22752205668562</v>
      </c>
      <c r="I122" s="24" t="n">
        <f aca="false">IFERROR(AVERAGEIFS($H$7:$H$294,$B$7:$B$294,$B122,$A$7:$A$294,"&gt;="&amp;EDATE($A122,-12*'Seasonal Factors'!$E$4),$A$7:$A$294,"&lt;="&amp;EDATE($A122,12*'Seasonal Factors'!$E$4)),"")</f>
        <v>1.37738567167385</v>
      </c>
      <c r="J122" s="24" t="n">
        <f aca="false">IFERROR(I122/AVERAGE(I117:I128),"")</f>
        <v>1.36656804432247</v>
      </c>
      <c r="K122" s="23" t="n">
        <f aca="false">IF(ISNUMBER(Tabelle1!G129),(0.5*Tabelle1!G117+SUM(Tabelle1!G118:G128)+0.5*Tabelle1!G129)/12,"")</f>
        <v>92.2420891666667</v>
      </c>
      <c r="L122" s="24" t="n">
        <f aca="false">IFERROR(Tabelle1!G123/K122,"")</f>
        <v>1.01981807708226</v>
      </c>
      <c r="M122" s="24" t="n">
        <f aca="false">IFERROR(AVERAGEIFS($L$7:$L$294,$B$7:$B$294,$B122,$A$7:$A$294,"&gt;="&amp;EDATE($A122,-12*'Seasonal Factors'!$E$4),$A$7:$A$294,"&lt;="&amp;EDATE($A122,12*'Seasonal Factors'!$E$4)),"")</f>
        <v>1.01503997899027</v>
      </c>
      <c r="N122" s="24" t="n">
        <f aca="false">IFERROR(M122/AVERAGE(M117:M128),"")</f>
        <v>1.01535098954598</v>
      </c>
      <c r="O122" s="23" t="n">
        <f aca="false">IF(ISNUMBER(Tabelle1!H129),(0.5*Tabelle1!H117+SUM(Tabelle1!H118:H128)+0.5*Tabelle1!H129)/12,"")</f>
        <v>142.539942083333</v>
      </c>
      <c r="P122" s="24" t="n">
        <f aca="false">IFERROR(Tabelle1!H123/O122,"")</f>
        <v>1.04815589101793</v>
      </c>
      <c r="Q122" s="24" t="n">
        <f aca="false">IFERROR(AVERAGEIFS($P$7:$P$294,$B$7:$B$294,$B122,$A$7:$A$294,"&gt;="&amp;EDATE($A122,-12*'Seasonal Factors'!$E$4),$A$7:$A$294,"&lt;="&amp;EDATE($A122,12*'Seasonal Factors'!$E$4)),"")</f>
        <v>1.04107023664914</v>
      </c>
      <c r="R122" s="24" t="n">
        <f aca="false">IFERROR(Q122/AVERAGE(Q117:Q128),"")</f>
        <v>1.04110644991723</v>
      </c>
      <c r="S122" s="23" t="n">
        <f aca="false">IF(ISNUMBER(Tabelle1!I129),(0.5*Tabelle1!I117+SUM(Tabelle1!I118:I128)+0.5*Tabelle1!I129)/12,"")</f>
        <v>135.518319166667</v>
      </c>
      <c r="T122" s="24" t="n">
        <f aca="false">IFERROR(Tabelle1!I123/S122,"")</f>
        <v>1.04695336300259</v>
      </c>
      <c r="U122" s="24" t="n">
        <f aca="false">IFERROR(AVERAGEIFS($T$7:$T$294,$B$7:$B$294,$B122,$A$7:$A$294,"&gt;="&amp;EDATE($A122,-12*'Seasonal Factors'!$E$4),$A$7:$A$294,"&lt;="&amp;EDATE($A122,12*'Seasonal Factors'!$E$4)),"")</f>
        <v>1.02162554735223</v>
      </c>
      <c r="V122" s="24" t="n">
        <f aca="false">IFERROR(U122/AVERAGE(U117:U128),"")</f>
        <v>1.02120167441063</v>
      </c>
      <c r="W122" s="23" t="n">
        <f aca="false">IF(ISNUMBER(Tabelle1!J129),(0.5*Tabelle1!J117+SUM(Tabelle1!J118:J128)+0.5*Tabelle1!J129)/12,"")</f>
        <v>150.0557425</v>
      </c>
      <c r="X122" s="24" t="n">
        <f aca="false">IFERROR(Tabelle1!J123/W122,"")</f>
        <v>1.02157023414149</v>
      </c>
      <c r="Y122" s="24" t="n">
        <f aca="false">IFERROR(AVERAGEIFS($X$7:$X$294,$B$7:$B$294,$B122,$A$7:$A$294,"&gt;="&amp;EDATE($A122,-12*'Seasonal Factors'!$E$4),$A$7:$A$294,"&lt;="&amp;EDATE($A122,12*'Seasonal Factors'!$E$4)),"")</f>
        <v>1.0360207625105</v>
      </c>
      <c r="Z122" s="24" t="n">
        <f aca="false">IFERROR(Y122/AVERAGE(Y117:Y128),"")</f>
        <v>1.03697988153991</v>
      </c>
      <c r="AA122" s="23" t="n">
        <f aca="false">IF(ISNUMBER(Tabelle1!K129),(0.5*Tabelle1!K117+SUM(Tabelle1!K118:K128)+0.5*Tabelle1!K129)/12,"")</f>
        <v>163.39725625</v>
      </c>
      <c r="AB122" s="24" t="n">
        <f aca="false">IFERROR(Tabelle1!K123/AA122,"")</f>
        <v>1.03135544541924</v>
      </c>
      <c r="AC122" s="24" t="n">
        <f aca="false">IFERROR(AVERAGEIFS($AB$7:$AB$294,$B$7:$B$294,$B122,$A$7:$A$294,"&gt;="&amp;EDATE($A122,-12*'Seasonal Factors'!$E$4),$A$7:$A$294,"&lt;="&amp;EDATE($A122,12*'Seasonal Factors'!$E$4)),"")</f>
        <v>1.02968121066753</v>
      </c>
      <c r="AD122" s="24" t="n">
        <f aca="false">IFERROR(AC122/AVERAGE(AC117:AC128),"")</f>
        <v>1.02987357848767</v>
      </c>
      <c r="AE122" s="23" t="n">
        <f aca="false">IF(ISNUMBER(Tabelle1!L129),(0.5*Tabelle1!L117+SUM(Tabelle1!L118:L128)+0.5*Tabelle1!L129)/12,"")</f>
        <v>158.017470833333</v>
      </c>
      <c r="AF122" s="24" t="n">
        <f aca="false">IFERROR(Tabelle1!L123/AE122,"")</f>
        <v>1.01024639337744</v>
      </c>
      <c r="AG122" s="24" t="n">
        <f aca="false">IFERROR(AVERAGEIFS($AF$7:$AF$294,$B$7:$B$294,$B122,$A$7:$A$294,"&gt;="&amp;EDATE($A122,-12*'Seasonal Factors'!$E$4),$A$7:$A$294,"&lt;="&amp;EDATE($A122,12*'Seasonal Factors'!$E$4)),"")</f>
        <v>0.996371005510191</v>
      </c>
      <c r="AH122" s="24" t="n">
        <f aca="false">IFERROR(AG122/AVERAGE(AG117:AG128),"")</f>
        <v>0.996156642335652</v>
      </c>
      <c r="AI122" s="23" t="n">
        <f aca="false">IF(ISNUMBER(Tabelle1!M129),(0.5*Tabelle1!M117+SUM(Tabelle1!M118:M128)+0.5*Tabelle1!M129)/12,"")</f>
        <v>180.929987083333</v>
      </c>
      <c r="AJ122" s="24" t="n">
        <f aca="false">IFERROR(Tabelle1!M123/AI122,"")</f>
        <v>1.01301770344781</v>
      </c>
      <c r="AK122" s="24" t="n">
        <f aca="false">IFERROR(AVERAGEIFS($AJ$7:$AJ$294,$B$7:$B$294,$B122,$A$7:$A$294,"&gt;="&amp;EDATE($A122,-12*'Seasonal Factors'!$E$4),$A$7:$A$294,"&lt;="&amp;EDATE($A122,12*'Seasonal Factors'!$E$4)),"")</f>
        <v>1.0007801290528</v>
      </c>
      <c r="AL122" s="24" t="n">
        <f aca="false">IFERROR(AK122/AVERAGE(AK117:AK128),"")</f>
        <v>1.0004380212994</v>
      </c>
      <c r="AM122" s="23" t="n">
        <f aca="false">IF(ISNUMBER(Tabelle1!N129),(0.5*Tabelle1!N117+SUM(Tabelle1!N118:N128)+0.5*Tabelle1!N129)/12,"")</f>
        <v>183.92100875</v>
      </c>
      <c r="AN122" s="24" t="n">
        <f aca="false">IFERROR(Tabelle1!N123/AM122,"")</f>
        <v>1.01971145805821</v>
      </c>
      <c r="AO122" s="24" t="n">
        <f aca="false">IFERROR(AVERAGEIFS($AN$7:$AN$294,$B$7:$B$294,$B122,$A$7:$A$294,"&gt;="&amp;EDATE($A122,-12*'Seasonal Factors'!$E$4),$A$7:$A$294,"&lt;="&amp;EDATE($A122,12*'Seasonal Factors'!$E$4)),"")</f>
        <v>1.01317270442636</v>
      </c>
      <c r="AP122" s="24" t="n">
        <f aca="false">IFERROR(AO122/AVERAGE(AO117:AO128),"")</f>
        <v>1.01345105331832</v>
      </c>
      <c r="AQ122" s="23" t="n">
        <f aca="false">IF(ISNUMBER(Tabelle1!O129),(0.5*Tabelle1!O117+SUM(Tabelle1!O118:O128)+0.5*Tabelle1!O129)/12,"")</f>
        <v>134.433945416667</v>
      </c>
      <c r="AR122" s="24" t="n">
        <f aca="false">IFERROR(Tabelle1!O123/AQ122,"")</f>
        <v>1.00546703126993</v>
      </c>
      <c r="AS122" s="24" t="n">
        <f aca="false">IFERROR(AVERAGEIFS($AR$7:$AR$294,$B$7:$B$294,$B122,$A$7:$A$294,"&gt;="&amp;EDATE($A122,-12*'Seasonal Factors'!$E$4),$A$7:$A$294,"&lt;="&amp;EDATE($A122,12*'Seasonal Factors'!$E$4)),"")</f>
        <v>1.00745786085175</v>
      </c>
      <c r="AT122" s="24" t="n">
        <f aca="false">IFERROR(AS122/AVERAGE(AS117:AS128),"")</f>
        <v>1.00780533296879</v>
      </c>
      <c r="AU122" s="23" t="n">
        <f aca="false">IF(ISNUMBER(Tabelle1!P129),(0.5*Tabelle1!P117+SUM(Tabelle1!P118:P128)+0.5*Tabelle1!P129)/12,"")</f>
        <v>140.056169583333</v>
      </c>
      <c r="AV122" s="24" t="n">
        <f aca="false">IFERROR(Tabelle1!P123/AU122,"")</f>
        <v>1.00249600155214</v>
      </c>
      <c r="AW122" s="24" t="n">
        <f aca="false">IFERROR(AVERAGEIFS($AV$7:$AV$294,$B$7:$B$294,$B122,$A$7:$A$294,"&gt;="&amp;EDATE($A122,-12*'Seasonal Factors'!$E$4),$A$7:$A$294,"&lt;="&amp;EDATE($A122,12*'Seasonal Factors'!$E$4)),"")</f>
        <v>1.00130681001426</v>
      </c>
      <c r="AX122" s="24" t="n">
        <f aca="false">IFERROR(AW122/AVERAGE(AW117:AW128),"")</f>
        <v>1.00125218409421</v>
      </c>
      <c r="AY122" s="23" t="n">
        <f aca="false">IF(ISNUMBER(Tabelle1!Q129),(0.5*Tabelle1!Q117+SUM(Tabelle1!Q118:Q128)+0.5*Tabelle1!Q129)/12,"")</f>
        <v>143.730211666667</v>
      </c>
      <c r="AZ122" s="24" t="n">
        <f aca="false">IFERROR(Tabelle1!Q123/AY122,"")</f>
        <v>1.00821398869203</v>
      </c>
      <c r="BA122" s="24" t="n">
        <f aca="false">IFERROR(AVERAGEIFS($AZ$7:$AZ$294,$B$7:$B$294,$B122,$A$7:$A$294,"&gt;="&amp;EDATE($A122,-12*'Seasonal Factors'!$E$4),$A$7:$A$294,"&lt;="&amp;EDATE($A122,12*'Seasonal Factors'!$E$4)),"")</f>
        <v>1.00854436215334</v>
      </c>
      <c r="BB122" s="24" t="n">
        <f aca="false">IFERROR(BA122/AVERAGE(BA117:BA128),"")</f>
        <v>1.00874469432327</v>
      </c>
      <c r="BC122" s="23" t="n">
        <f aca="false">IF(ISNUMBER(Tabelle1!R129),(0.5*Tabelle1!R117+SUM(Tabelle1!R118:R128)+0.5*Tabelle1!R129)/12,"")</f>
        <v>162.878769583333</v>
      </c>
      <c r="BD122" s="24" t="n">
        <f aca="false">IFERROR(Tabelle1!R123/BC122,"")</f>
        <v>1.00690341914752</v>
      </c>
      <c r="BE122" s="24" t="n">
        <f aca="false">IFERROR(AVERAGEIFS($BD$7:$BD$294,$B$7:$B$294,$B122,$A$7:$A$294,"&gt;="&amp;EDATE($A122,-12*'Seasonal Factors'!$E$4),$A$7:$A$294,"&lt;="&amp;EDATE($A122,12*'Seasonal Factors'!$E$4)),"")</f>
        <v>1.01131124452767</v>
      </c>
      <c r="BF122" s="24" t="n">
        <f aca="false">IFERROR(BE122/AVERAGE(BE117:BE128),"")</f>
        <v>1.01125615323305</v>
      </c>
      <c r="BG122" s="23" t="n">
        <f aca="false">IF(ISNUMBER(Tabelle1!S129),(0.5*Tabelle1!S117+SUM(Tabelle1!S118:S128)+0.5*Tabelle1!S129)/12,"")</f>
        <v>152.06693625</v>
      </c>
      <c r="BH122" s="24" t="n">
        <f aca="false">IFERROR(Tabelle1!S123/BG122,"")</f>
        <v>1.0231385851308</v>
      </c>
      <c r="BI122" s="24" t="n">
        <f aca="false">IFERROR(AVERAGEIFS($BH$7:$BH$294,$B$7:$B$294,$B122,$A$7:$A$294,"&gt;="&amp;EDATE($A122,-12*'Seasonal Factors'!$E$4),$A$7:$A$294,"&lt;="&amp;EDATE($A122,12*'Seasonal Factors'!$E$4)),"")</f>
        <v>1.00911378403983</v>
      </c>
      <c r="BJ122" s="24" t="n">
        <f aca="false">IFERROR(BI122/AVERAGE(BI117:BI128),"")</f>
        <v>1.0090058509185</v>
      </c>
    </row>
    <row r="123" customFormat="false" ht="15" hidden="false" customHeight="false" outlineLevel="0" collapsed="false">
      <c r="A123" s="20" t="n">
        <v>41547</v>
      </c>
      <c r="B123" s="22" t="n">
        <f aca="false">MONTH(A123)</f>
        <v>9</v>
      </c>
      <c r="C123" s="23" t="n">
        <f aca="false">IF(ISNUMBER(Tabelle1!E130),(0.5*Tabelle1!E118+SUM(Tabelle1!E119:E129)+0.5*Tabelle1!E130)/12,"")</f>
        <v>120.975350833333</v>
      </c>
      <c r="D123" s="24" t="n">
        <f aca="false">IFERROR(Tabelle1!E124/C123,"")</f>
        <v>0.553040098988209</v>
      </c>
      <c r="E123" s="24" t="n">
        <f aca="false">IFERROR(AVERAGEIFS($D$7:$D$294,$B$7:$B$294,$B123,$A$7:$A$294,"&gt;="&amp;EDATE($A123,-12*'Seasonal Factors'!$E$4),$A$7:$A$294,"&lt;="&amp;EDATE($A123,12*'Seasonal Factors'!$E$4)),"")</f>
        <v>0.538970169551095</v>
      </c>
      <c r="F123" s="24" t="n">
        <f aca="false">IFERROR(E123/AVERAGE(E118:E129),"")</f>
        <v>0.538771038642371</v>
      </c>
      <c r="G123" s="23" t="n">
        <f aca="false">IF(ISNUMBER(Tabelle1!F130),(0.5*Tabelle1!F118+SUM(Tabelle1!F119:F129)+0.5*Tabelle1!F130)/12,"")</f>
        <v>149.473715416667</v>
      </c>
      <c r="H123" s="24" t="n">
        <f aca="false">IFERROR(Tabelle1!F124/G123,"")</f>
        <v>1.26044702558449</v>
      </c>
      <c r="I123" s="24" t="n">
        <f aca="false">IFERROR(AVERAGEIFS($H$7:$H$294,$B$7:$B$294,$B123,$A$7:$A$294,"&gt;="&amp;EDATE($A123,-12*'Seasonal Factors'!$E$4),$A$7:$A$294,"&lt;="&amp;EDATE($A123,12*'Seasonal Factors'!$E$4)),"")</f>
        <v>1.36161650536945</v>
      </c>
      <c r="J123" s="24" t="n">
        <f aca="false">IFERROR(I123/AVERAGE(I118:I129),"")</f>
        <v>1.35544908917891</v>
      </c>
      <c r="K123" s="23" t="n">
        <f aca="false">IF(ISNUMBER(Tabelle1!G130),(0.5*Tabelle1!G118+SUM(Tabelle1!G119:G129)+0.5*Tabelle1!G130)/12,"")</f>
        <v>92.4000433333333</v>
      </c>
      <c r="L123" s="24" t="n">
        <f aca="false">IFERROR(Tabelle1!G124/K123,"")</f>
        <v>0.989116419245547</v>
      </c>
      <c r="M123" s="24" t="n">
        <f aca="false">IFERROR(AVERAGEIFS($L$7:$L$294,$B$7:$B$294,$B123,$A$7:$A$294,"&gt;="&amp;EDATE($A123,-12*'Seasonal Factors'!$E$4),$A$7:$A$294,"&lt;="&amp;EDATE($A123,12*'Seasonal Factors'!$E$4)),"")</f>
        <v>1.00427807346588</v>
      </c>
      <c r="N123" s="24" t="n">
        <f aca="false">IFERROR(M123/AVERAGE(M118:M129),"")</f>
        <v>1.00481896106247</v>
      </c>
      <c r="O123" s="23" t="n">
        <f aca="false">IF(ISNUMBER(Tabelle1!H130),(0.5*Tabelle1!H118+SUM(Tabelle1!H119:H129)+0.5*Tabelle1!H130)/12,"")</f>
        <v>142.290394583333</v>
      </c>
      <c r="P123" s="24" t="n">
        <f aca="false">IFERROR(Tabelle1!H124/O123,"")</f>
        <v>1.05958452389913</v>
      </c>
      <c r="Q123" s="24" t="n">
        <f aca="false">IFERROR(AVERAGEIFS($P$7:$P$294,$B$7:$B$294,$B123,$A$7:$A$294,"&gt;="&amp;EDATE($A123,-12*'Seasonal Factors'!$E$4),$A$7:$A$294,"&lt;="&amp;EDATE($A123,12*'Seasonal Factors'!$E$4)),"")</f>
        <v>1.04183838713218</v>
      </c>
      <c r="R123" s="24" t="n">
        <f aca="false">IFERROR(Q123/AVERAGE(Q118:Q129),"")</f>
        <v>1.04137556890707</v>
      </c>
      <c r="S123" s="23" t="n">
        <f aca="false">IF(ISNUMBER(Tabelle1!I130),(0.5*Tabelle1!I118+SUM(Tabelle1!I119:I129)+0.5*Tabelle1!I130)/12,"")</f>
        <v>135.617369166667</v>
      </c>
      <c r="T123" s="24" t="n">
        <f aca="false">IFERROR(Tabelle1!I124/S123,"")</f>
        <v>0.974166442040613</v>
      </c>
      <c r="U123" s="24" t="n">
        <f aca="false">IFERROR(AVERAGEIFS($T$7:$T$294,$B$7:$B$294,$B123,$A$7:$A$294,"&gt;="&amp;EDATE($A123,-12*'Seasonal Factors'!$E$4),$A$7:$A$294,"&lt;="&amp;EDATE($A123,12*'Seasonal Factors'!$E$4)),"")</f>
        <v>0.95398393181637</v>
      </c>
      <c r="V123" s="24" t="n">
        <f aca="false">IFERROR(U123/AVERAGE(U118:U129),"")</f>
        <v>0.953762153351497</v>
      </c>
      <c r="W123" s="23" t="n">
        <f aca="false">IF(ISNUMBER(Tabelle1!J130),(0.5*Tabelle1!J118+SUM(Tabelle1!J119:J129)+0.5*Tabelle1!J130)/12,"")</f>
        <v>150.002229166667</v>
      </c>
      <c r="X123" s="24" t="n">
        <f aca="false">IFERROR(Tabelle1!J124/W123,"")</f>
        <v>1.02806832176244</v>
      </c>
      <c r="Y123" s="24" t="n">
        <f aca="false">IFERROR(AVERAGEIFS($X$7:$X$294,$B$7:$B$294,$B123,$A$7:$A$294,"&gt;="&amp;EDATE($A123,-12*'Seasonal Factors'!$E$4),$A$7:$A$294,"&lt;="&amp;EDATE($A123,12*'Seasonal Factors'!$E$4)),"")</f>
        <v>1.02753732524656</v>
      </c>
      <c r="Z123" s="24" t="n">
        <f aca="false">IFERROR(Y123/AVERAGE(Y118:Y129),"")</f>
        <v>1.02789571004297</v>
      </c>
      <c r="AA123" s="23" t="n">
        <f aca="false">IF(ISNUMBER(Tabelle1!K130),(0.5*Tabelle1!K118+SUM(Tabelle1!K119:K129)+0.5*Tabelle1!K130)/12,"")</f>
        <v>162.569950833333</v>
      </c>
      <c r="AB123" s="24" t="n">
        <f aca="false">IFERROR(Tabelle1!K124/AA123,"")</f>
        <v>1.03685016287425</v>
      </c>
      <c r="AC123" s="24" t="n">
        <f aca="false">IFERROR(AVERAGEIFS($AB$7:$AB$294,$B$7:$B$294,$B123,$A$7:$A$294,"&gt;="&amp;EDATE($A123,-12*'Seasonal Factors'!$E$4),$A$7:$A$294,"&lt;="&amp;EDATE($A123,12*'Seasonal Factors'!$E$4)),"")</f>
        <v>1.03150157268863</v>
      </c>
      <c r="AD123" s="24" t="n">
        <f aca="false">IFERROR(AC123/AVERAGE(AC118:AC129),"")</f>
        <v>1.03098199859752</v>
      </c>
      <c r="AE123" s="23" t="n">
        <f aca="false">IF(ISNUMBER(Tabelle1!L130),(0.5*Tabelle1!L118+SUM(Tabelle1!L119:L129)+0.5*Tabelle1!L130)/12,"")</f>
        <v>157.55961625</v>
      </c>
      <c r="AF123" s="24" t="n">
        <f aca="false">IFERROR(Tabelle1!L124/AE123,"")</f>
        <v>1.01880116123982</v>
      </c>
      <c r="AG123" s="24" t="n">
        <f aca="false">IFERROR(AVERAGEIFS($AF$7:$AF$294,$B$7:$B$294,$B123,$A$7:$A$294,"&gt;="&amp;EDATE($A123,-12*'Seasonal Factors'!$E$4),$A$7:$A$294,"&lt;="&amp;EDATE($A123,12*'Seasonal Factors'!$E$4)),"")</f>
        <v>1.0010287482758</v>
      </c>
      <c r="AH123" s="24" t="n">
        <f aca="false">IFERROR(AG123/AVERAGE(AG118:AG129),"")</f>
        <v>1.0007582524394</v>
      </c>
      <c r="AI123" s="23" t="n">
        <f aca="false">IF(ISNUMBER(Tabelle1!M130),(0.5*Tabelle1!M118+SUM(Tabelle1!M119:M129)+0.5*Tabelle1!M130)/12,"")</f>
        <v>181.102655</v>
      </c>
      <c r="AJ123" s="24" t="n">
        <f aca="false">IFERROR(Tabelle1!M124/AI123,"")</f>
        <v>0.989460866821638</v>
      </c>
      <c r="AK123" s="24" t="n">
        <f aca="false">IFERROR(AVERAGEIFS($AJ$7:$AJ$294,$B$7:$B$294,$B123,$A$7:$A$294,"&gt;="&amp;EDATE($A123,-12*'Seasonal Factors'!$E$4),$A$7:$A$294,"&lt;="&amp;EDATE($A123,12*'Seasonal Factors'!$E$4)),"")</f>
        <v>0.98652745441418</v>
      </c>
      <c r="AL123" s="24" t="n">
        <f aca="false">IFERROR(AK123/AVERAGE(AK118:AK129),"")</f>
        <v>0.985922753634087</v>
      </c>
      <c r="AM123" s="23" t="n">
        <f aca="false">IF(ISNUMBER(Tabelle1!N130),(0.5*Tabelle1!N118+SUM(Tabelle1!N119:N129)+0.5*Tabelle1!N130)/12,"")</f>
        <v>183.926299583333</v>
      </c>
      <c r="AN123" s="24" t="n">
        <f aca="false">IFERROR(Tabelle1!N124/AM123,"")</f>
        <v>1.00783199803361</v>
      </c>
      <c r="AO123" s="24" t="n">
        <f aca="false">IFERROR(AVERAGEIFS($AN$7:$AN$294,$B$7:$B$294,$B123,$A$7:$A$294,"&gt;="&amp;EDATE($A123,-12*'Seasonal Factors'!$E$4),$A$7:$A$294,"&lt;="&amp;EDATE($A123,12*'Seasonal Factors'!$E$4)),"")</f>
        <v>1.00226292398845</v>
      </c>
      <c r="AP123" s="24" t="n">
        <f aca="false">IFERROR(AO123/AVERAGE(AO118:AO129),"")</f>
        <v>1.00249191365631</v>
      </c>
      <c r="AQ123" s="23" t="n">
        <f aca="false">IF(ISNUMBER(Tabelle1!O130),(0.5*Tabelle1!O118+SUM(Tabelle1!O119:O129)+0.5*Tabelle1!O130)/12,"")</f>
        <v>134.363505416667</v>
      </c>
      <c r="AR123" s="24" t="n">
        <f aca="false">IFERROR(Tabelle1!O124/AQ123,"")</f>
        <v>1.00329162730581</v>
      </c>
      <c r="AS123" s="24" t="n">
        <f aca="false">IFERROR(AVERAGEIFS($AR$7:$AR$294,$B$7:$B$294,$B123,$A$7:$A$294,"&gt;="&amp;EDATE($A123,-12*'Seasonal Factors'!$E$4),$A$7:$A$294,"&lt;="&amp;EDATE($A123,12*'Seasonal Factors'!$E$4)),"")</f>
        <v>1.00529133276729</v>
      </c>
      <c r="AT123" s="24" t="n">
        <f aca="false">IFERROR(AS123/AVERAGE(AS118:AS129),"")</f>
        <v>1.00553197503572</v>
      </c>
      <c r="AU123" s="23" t="n">
        <f aca="false">IF(ISNUMBER(Tabelle1!P130),(0.5*Tabelle1!P118+SUM(Tabelle1!P119:P129)+0.5*Tabelle1!P130)/12,"")</f>
        <v>140.363901666667</v>
      </c>
      <c r="AV123" s="24" t="n">
        <f aca="false">IFERROR(Tabelle1!P124/AU123,"")</f>
        <v>1.00038085528187</v>
      </c>
      <c r="AW123" s="24" t="n">
        <f aca="false">IFERROR(AVERAGEIFS($AV$7:$AV$294,$B$7:$B$294,$B123,$A$7:$A$294,"&gt;="&amp;EDATE($A123,-12*'Seasonal Factors'!$E$4),$A$7:$A$294,"&lt;="&amp;EDATE($A123,12*'Seasonal Factors'!$E$4)),"")</f>
        <v>1.00100693457167</v>
      </c>
      <c r="AX123" s="24" t="n">
        <f aca="false">IFERROR(AW123/AVERAGE(AW118:AW129),"")</f>
        <v>1.00087626879695</v>
      </c>
      <c r="AY123" s="23" t="n">
        <f aca="false">IF(ISNUMBER(Tabelle1!Q130),(0.5*Tabelle1!Q118+SUM(Tabelle1!Q119:Q129)+0.5*Tabelle1!Q130)/12,"")</f>
        <v>143.981175</v>
      </c>
      <c r="AZ123" s="24" t="n">
        <f aca="false">IFERROR(Tabelle1!Q124/AY123,"")</f>
        <v>1.01125789534639</v>
      </c>
      <c r="BA123" s="24" t="n">
        <f aca="false">IFERROR(AVERAGEIFS($AZ$7:$AZ$294,$B$7:$B$294,$B123,$A$7:$A$294,"&gt;="&amp;EDATE($A123,-12*'Seasonal Factors'!$E$4),$A$7:$A$294,"&lt;="&amp;EDATE($A123,12*'Seasonal Factors'!$E$4)),"")</f>
        <v>1.01050609574581</v>
      </c>
      <c r="BB123" s="24" t="n">
        <f aca="false">IFERROR(BA123/AVERAGE(BA118:BA129),"")</f>
        <v>1.01058270524625</v>
      </c>
      <c r="BC123" s="23" t="n">
        <f aca="false">IF(ISNUMBER(Tabelle1!R130),(0.5*Tabelle1!R118+SUM(Tabelle1!R119:R129)+0.5*Tabelle1!R130)/12,"")</f>
        <v>163.07532625</v>
      </c>
      <c r="BD123" s="24" t="n">
        <f aca="false">IFERROR(Tabelle1!R124/BC123,"")</f>
        <v>0.989084699133018</v>
      </c>
      <c r="BE123" s="24" t="n">
        <f aca="false">IFERROR(AVERAGEIFS($BD$7:$BD$294,$B$7:$B$294,$B123,$A$7:$A$294,"&gt;="&amp;EDATE($A123,-12*'Seasonal Factors'!$E$4),$A$7:$A$294,"&lt;="&amp;EDATE($A123,12*'Seasonal Factors'!$E$4)),"")</f>
        <v>0.991614295363495</v>
      </c>
      <c r="BF123" s="24" t="n">
        <f aca="false">IFERROR(BE123/AVERAGE(BE118:BE129),"")</f>
        <v>0.99123750503433</v>
      </c>
      <c r="BG123" s="23" t="n">
        <f aca="false">IF(ISNUMBER(Tabelle1!S130),(0.5*Tabelle1!S118+SUM(Tabelle1!S119:S129)+0.5*Tabelle1!S130)/12,"")</f>
        <v>152.08458625</v>
      </c>
      <c r="BH123" s="24" t="n">
        <f aca="false">IFERROR(Tabelle1!S124/BG123,"")</f>
        <v>0.996411100799507</v>
      </c>
      <c r="BI123" s="24" t="n">
        <f aca="false">IFERROR(AVERAGEIFS($BH$7:$BH$294,$B$7:$B$294,$B123,$A$7:$A$294,"&gt;="&amp;EDATE($A123,-12*'Seasonal Factors'!$E$4),$A$7:$A$294,"&lt;="&amp;EDATE($A123,12*'Seasonal Factors'!$E$4)),"")</f>
        <v>0.979673604477153</v>
      </c>
      <c r="BJ123" s="24" t="n">
        <f aca="false">IFERROR(BI123/AVERAGE(BI118:BI129),"")</f>
        <v>0.979574142021619</v>
      </c>
    </row>
    <row r="124" customFormat="false" ht="15" hidden="false" customHeight="false" outlineLevel="0" collapsed="false">
      <c r="A124" s="20" t="n">
        <v>41578</v>
      </c>
      <c r="B124" s="22" t="n">
        <f aca="false">MONTH(A124)</f>
        <v>10</v>
      </c>
      <c r="C124" s="23" t="n">
        <f aca="false">IF(ISNUMBER(Tabelle1!E131),(0.5*Tabelle1!E119+SUM(Tabelle1!E120:E130)+0.5*Tabelle1!E131)/12,"")</f>
        <v>121.103043333333</v>
      </c>
      <c r="D124" s="24" t="n">
        <f aca="false">IFERROR(Tabelle1!E125/C124,"")</f>
        <v>0.581888597184442</v>
      </c>
      <c r="E124" s="24" t="n">
        <f aca="false">IFERROR(AVERAGEIFS($D$7:$D$294,$B$7:$B$294,$B124,$A$7:$A$294,"&gt;="&amp;EDATE($A124,-12*'Seasonal Factors'!$E$4),$A$7:$A$294,"&lt;="&amp;EDATE($A124,12*'Seasonal Factors'!$E$4)),"")</f>
        <v>0.569874483061501</v>
      </c>
      <c r="F124" s="24" t="n">
        <f aca="false">IFERROR(E124/AVERAGE(E119:E130),"")</f>
        <v>0.569348170606671</v>
      </c>
      <c r="G124" s="23" t="n">
        <f aca="false">IF(ISNUMBER(Tabelle1!F131),(0.5*Tabelle1!F119+SUM(Tabelle1!F120:F130)+0.5*Tabelle1!F131)/12,"")</f>
        <v>150.607344166667</v>
      </c>
      <c r="H124" s="24" t="n">
        <f aca="false">IFERROR(Tabelle1!F125/G124,"")</f>
        <v>1.28139295641808</v>
      </c>
      <c r="I124" s="24" t="n">
        <f aca="false">IFERROR(AVERAGEIFS($H$7:$H$294,$B$7:$B$294,$B124,$A$7:$A$294,"&gt;="&amp;EDATE($A124,-12*'Seasonal Factors'!$E$4),$A$7:$A$294,"&lt;="&amp;EDATE($A124,12*'Seasonal Factors'!$E$4)),"")</f>
        <v>1.22335587717214</v>
      </c>
      <c r="J124" s="24" t="n">
        <f aca="false">IFERROR(I124/AVERAGE(I119:I130),"")</f>
        <v>1.22680826304469</v>
      </c>
      <c r="K124" s="23" t="n">
        <f aca="false">IF(ISNUMBER(Tabelle1!G131),(0.5*Tabelle1!G119+SUM(Tabelle1!G120:G130)+0.5*Tabelle1!G131)/12,"")</f>
        <v>92.4684933333333</v>
      </c>
      <c r="L124" s="24" t="n">
        <f aca="false">IFERROR(Tabelle1!G125/K124,"")</f>
        <v>1.0204687737243</v>
      </c>
      <c r="M124" s="24" t="n">
        <f aca="false">IFERROR(AVERAGEIFS($L$7:$L$294,$B$7:$B$294,$B124,$A$7:$A$294,"&gt;="&amp;EDATE($A124,-12*'Seasonal Factors'!$E$4),$A$7:$A$294,"&lt;="&amp;EDATE($A124,12*'Seasonal Factors'!$E$4)),"")</f>
        <v>1.02831074633617</v>
      </c>
      <c r="N124" s="24" t="n">
        <f aca="false">IFERROR(M124/AVERAGE(M119:M130),"")</f>
        <v>1.02898315409609</v>
      </c>
      <c r="O124" s="23" t="n">
        <f aca="false">IF(ISNUMBER(Tabelle1!H131),(0.5*Tabelle1!H119+SUM(Tabelle1!H120:H130)+0.5*Tabelle1!H131)/12,"")</f>
        <v>141.654245833333</v>
      </c>
      <c r="P124" s="24" t="n">
        <f aca="false">IFERROR(Tabelle1!H125/O124,"")</f>
        <v>1.09365504075519</v>
      </c>
      <c r="Q124" s="24" t="n">
        <f aca="false">IFERROR(AVERAGEIFS($P$7:$P$294,$B$7:$B$294,$B124,$A$7:$A$294,"&gt;="&amp;EDATE($A124,-12*'Seasonal Factors'!$E$4),$A$7:$A$294,"&lt;="&amp;EDATE($A124,12*'Seasonal Factors'!$E$4)),"")</f>
        <v>1.07288182036632</v>
      </c>
      <c r="R124" s="24" t="n">
        <f aca="false">IFERROR(Q124/AVERAGE(Q119:Q130),"")</f>
        <v>1.07252440351957</v>
      </c>
      <c r="S124" s="23" t="n">
        <f aca="false">IF(ISNUMBER(Tabelle1!I131),(0.5*Tabelle1!I119+SUM(Tabelle1!I120:I130)+0.5*Tabelle1!I131)/12,"")</f>
        <v>135.730943333333</v>
      </c>
      <c r="T124" s="24" t="n">
        <f aca="false">IFERROR(Tabelle1!I125/S124,"")</f>
        <v>0.956803929970967</v>
      </c>
      <c r="U124" s="24" t="n">
        <f aca="false">IFERROR(AVERAGEIFS($T$7:$T$294,$B$7:$B$294,$B124,$A$7:$A$294,"&gt;="&amp;EDATE($A124,-12*'Seasonal Factors'!$E$4),$A$7:$A$294,"&lt;="&amp;EDATE($A124,12*'Seasonal Factors'!$E$4)),"")</f>
        <v>0.957564976532862</v>
      </c>
      <c r="V124" s="24" t="n">
        <f aca="false">IFERROR(U124/AVERAGE(U119:U130),"")</f>
        <v>0.957328207519358</v>
      </c>
      <c r="W124" s="23" t="n">
        <f aca="false">IF(ISNUMBER(Tabelle1!J131),(0.5*Tabelle1!J119+SUM(Tabelle1!J120:J130)+0.5*Tabelle1!J131)/12,"")</f>
        <v>149.730962916667</v>
      </c>
      <c r="X124" s="24" t="n">
        <f aca="false">IFERROR(Tabelle1!J125/W124,"")</f>
        <v>0.989239413910913</v>
      </c>
      <c r="Y124" s="24" t="n">
        <f aca="false">IFERROR(AVERAGEIFS($X$7:$X$294,$B$7:$B$294,$B124,$A$7:$A$294,"&gt;="&amp;EDATE($A124,-12*'Seasonal Factors'!$E$4),$A$7:$A$294,"&lt;="&amp;EDATE($A124,12*'Seasonal Factors'!$E$4)),"")</f>
        <v>0.982978864410284</v>
      </c>
      <c r="Z124" s="24" t="n">
        <f aca="false">IFERROR(Y124/AVERAGE(Y119:Y130),"")</f>
        <v>0.983071341842146</v>
      </c>
      <c r="AA124" s="23" t="n">
        <f aca="false">IF(ISNUMBER(Tabelle1!K131),(0.5*Tabelle1!K119+SUM(Tabelle1!K120:K130)+0.5*Tabelle1!K131)/12,"")</f>
        <v>161.122012916667</v>
      </c>
      <c r="AB124" s="24" t="n">
        <f aca="false">IFERROR(Tabelle1!K125/AA124,"")</f>
        <v>1.07392402110501</v>
      </c>
      <c r="AC124" s="24" t="n">
        <f aca="false">IFERROR(AVERAGEIFS($AB$7:$AB$294,$B$7:$B$294,$B124,$A$7:$A$294,"&gt;="&amp;EDATE($A124,-12*'Seasonal Factors'!$E$4),$A$7:$A$294,"&lt;="&amp;EDATE($A124,12*'Seasonal Factors'!$E$4)),"")</f>
        <v>1.04383994185911</v>
      </c>
      <c r="AD124" s="24" t="n">
        <f aca="false">IFERROR(AC124/AVERAGE(AC119:AC130),"")</f>
        <v>1.04326335850711</v>
      </c>
      <c r="AE124" s="23" t="n">
        <f aca="false">IF(ISNUMBER(Tabelle1!L131),(0.5*Tabelle1!L119+SUM(Tabelle1!L120:L130)+0.5*Tabelle1!L131)/12,"")</f>
        <v>156.971232083333</v>
      </c>
      <c r="AF124" s="24" t="n">
        <f aca="false">IFERROR(Tabelle1!L125/AE124,"")</f>
        <v>1.01573841196172</v>
      </c>
      <c r="AG124" s="24" t="n">
        <f aca="false">IFERROR(AVERAGEIFS($AF$7:$AF$294,$B$7:$B$294,$B124,$A$7:$A$294,"&gt;="&amp;EDATE($A124,-12*'Seasonal Factors'!$E$4),$A$7:$A$294,"&lt;="&amp;EDATE($A124,12*'Seasonal Factors'!$E$4)),"")</f>
        <v>1.03140017497171</v>
      </c>
      <c r="AH124" s="24" t="n">
        <f aca="false">IFERROR(AG124/AVERAGE(AG119:AG130),"")</f>
        <v>1.03144899829709</v>
      </c>
      <c r="AI124" s="23" t="n">
        <f aca="false">IF(ISNUMBER(Tabelle1!M131),(0.5*Tabelle1!M119+SUM(Tabelle1!M120:M130)+0.5*Tabelle1!M131)/12,"")</f>
        <v>181.074615</v>
      </c>
      <c r="AJ124" s="24" t="n">
        <f aca="false">IFERROR(Tabelle1!M125/AI124,"")</f>
        <v>0.995876478875849</v>
      </c>
      <c r="AK124" s="24" t="n">
        <f aca="false">IFERROR(AVERAGEIFS($AJ$7:$AJ$294,$B$7:$B$294,$B124,$A$7:$A$294,"&gt;="&amp;EDATE($A124,-12*'Seasonal Factors'!$E$4),$A$7:$A$294,"&lt;="&amp;EDATE($A124,12*'Seasonal Factors'!$E$4)),"")</f>
        <v>0.991746267619538</v>
      </c>
      <c r="AL124" s="24" t="n">
        <f aca="false">IFERROR(AK124/AVERAGE(AK119:AK130),"")</f>
        <v>0.991248546646838</v>
      </c>
      <c r="AM124" s="23" t="n">
        <f aca="false">IF(ISNUMBER(Tabelle1!N131),(0.5*Tabelle1!N119+SUM(Tabelle1!N120:N130)+0.5*Tabelle1!N131)/12,"")</f>
        <v>183.604571666667</v>
      </c>
      <c r="AN124" s="24" t="n">
        <f aca="false">IFERROR(Tabelle1!N125/AM124,"")</f>
        <v>1.00869013401382</v>
      </c>
      <c r="AO124" s="24" t="n">
        <f aca="false">IFERROR(AVERAGEIFS($AN$7:$AN$294,$B$7:$B$294,$B124,$A$7:$A$294,"&gt;="&amp;EDATE($A124,-12*'Seasonal Factors'!$E$4),$A$7:$A$294,"&lt;="&amp;EDATE($A124,12*'Seasonal Factors'!$E$4)),"")</f>
        <v>1.00466595071834</v>
      </c>
      <c r="AP124" s="24" t="n">
        <f aca="false">IFERROR(AO124/AVERAGE(AO119:AO130),"")</f>
        <v>1.00480481799474</v>
      </c>
      <c r="AQ124" s="23" t="n">
        <f aca="false">IF(ISNUMBER(Tabelle1!O131),(0.5*Tabelle1!O119+SUM(Tabelle1!O120:O130)+0.5*Tabelle1!O131)/12,"")</f>
        <v>134.171180833333</v>
      </c>
      <c r="AR124" s="24" t="n">
        <f aca="false">IFERROR(Tabelle1!O125/AQ124,"")</f>
        <v>1.02036882398808</v>
      </c>
      <c r="AS124" s="24" t="n">
        <f aca="false">IFERROR(AVERAGEIFS($AR$7:$AR$294,$B$7:$B$294,$B124,$A$7:$A$294,"&gt;="&amp;EDATE($A124,-12*'Seasonal Factors'!$E$4),$A$7:$A$294,"&lt;="&amp;EDATE($A124,12*'Seasonal Factors'!$E$4)),"")</f>
        <v>1.00932236183433</v>
      </c>
      <c r="AT124" s="24" t="n">
        <f aca="false">IFERROR(AS124/AVERAGE(AS119:AS130),"")</f>
        <v>1.00932961584703</v>
      </c>
      <c r="AU124" s="23" t="n">
        <f aca="false">IF(ISNUMBER(Tabelle1!P131),(0.5*Tabelle1!P119+SUM(Tabelle1!P120:P130)+0.5*Tabelle1!P131)/12,"")</f>
        <v>140.754838333333</v>
      </c>
      <c r="AV124" s="24" t="n">
        <f aca="false">IFERROR(Tabelle1!P125/AU124,"")</f>
        <v>0.998844243400372</v>
      </c>
      <c r="AW124" s="24" t="n">
        <f aca="false">IFERROR(AVERAGEIFS($AV$7:$AV$294,$B$7:$B$294,$B124,$A$7:$A$294,"&gt;="&amp;EDATE($A124,-12*'Seasonal Factors'!$E$4),$A$7:$A$294,"&lt;="&amp;EDATE($A124,12*'Seasonal Factors'!$E$4)),"")</f>
        <v>1.00030296708602</v>
      </c>
      <c r="AX124" s="24" t="n">
        <f aca="false">IFERROR(AW124/AVERAGE(AW119:AW130),"")</f>
        <v>0.999947179141324</v>
      </c>
      <c r="AY124" s="23" t="n">
        <f aca="false">IF(ISNUMBER(Tabelle1!Q131),(0.5*Tabelle1!Q119+SUM(Tabelle1!Q120:Q130)+0.5*Tabelle1!Q131)/12,"")</f>
        <v>144.25791875</v>
      </c>
      <c r="AZ124" s="24" t="n">
        <f aca="false">IFERROR(Tabelle1!Q125/AY124,"")</f>
        <v>1.00385081980118</v>
      </c>
      <c r="BA124" s="24" t="n">
        <f aca="false">IFERROR(AVERAGEIFS($AZ$7:$AZ$294,$B$7:$B$294,$B124,$A$7:$A$294,"&gt;="&amp;EDATE($A124,-12*'Seasonal Factors'!$E$4),$A$7:$A$294,"&lt;="&amp;EDATE($A124,12*'Seasonal Factors'!$E$4)),"")</f>
        <v>1.01006078458194</v>
      </c>
      <c r="BB124" s="24" t="n">
        <f aca="false">IFERROR(BA124/AVERAGE(BA119:BA130),"")</f>
        <v>1.00987852628232</v>
      </c>
      <c r="BC124" s="23" t="n">
        <f aca="false">IF(ISNUMBER(Tabelle1!R131),(0.5*Tabelle1!R119+SUM(Tabelle1!R120:R130)+0.5*Tabelle1!R131)/12,"")</f>
        <v>163.285466666667</v>
      </c>
      <c r="BD124" s="24" t="n">
        <f aca="false">IFERROR(Tabelle1!R125/BC124,"")</f>
        <v>0.955544808641879</v>
      </c>
      <c r="BE124" s="24" t="n">
        <f aca="false">IFERROR(AVERAGEIFS($BD$7:$BD$294,$B$7:$B$294,$B124,$A$7:$A$294,"&gt;="&amp;EDATE($A124,-12*'Seasonal Factors'!$E$4),$A$7:$A$294,"&lt;="&amp;EDATE($A124,12*'Seasonal Factors'!$E$4)),"")</f>
        <v>0.95791266202902</v>
      </c>
      <c r="BF124" s="24" t="n">
        <f aca="false">IFERROR(BE124/AVERAGE(BE119:BE130),"")</f>
        <v>0.957531983536291</v>
      </c>
      <c r="BG124" s="23" t="n">
        <f aca="false">IF(ISNUMBER(Tabelle1!S131),(0.5*Tabelle1!S119+SUM(Tabelle1!S120:S130)+0.5*Tabelle1!S131)/12,"")</f>
        <v>152.16567125</v>
      </c>
      <c r="BH124" s="24" t="n">
        <f aca="false">IFERROR(Tabelle1!S125/BG124,"")</f>
        <v>0.988338163033602</v>
      </c>
      <c r="BI124" s="24" t="n">
        <f aca="false">IFERROR(AVERAGEIFS($BH$7:$BH$294,$B$7:$B$294,$B124,$A$7:$A$294,"&gt;="&amp;EDATE($A124,-12*'Seasonal Factors'!$E$4),$A$7:$A$294,"&lt;="&amp;EDATE($A124,12*'Seasonal Factors'!$E$4)),"")</f>
        <v>0.992270846448567</v>
      </c>
      <c r="BJ124" s="24" t="n">
        <f aca="false">IFERROR(BI124/AVERAGE(BI119:BI130),"")</f>
        <v>0.992368624254356</v>
      </c>
    </row>
    <row r="125" customFormat="false" ht="15" hidden="false" customHeight="false" outlineLevel="0" collapsed="false">
      <c r="A125" s="20" t="n">
        <v>41608</v>
      </c>
      <c r="B125" s="22" t="n">
        <f aca="false">MONTH(A125)</f>
        <v>11</v>
      </c>
      <c r="C125" s="23" t="n">
        <f aca="false">IF(ISNUMBER(Tabelle1!E132),(0.5*Tabelle1!E120+SUM(Tabelle1!E121:E131)+0.5*Tabelle1!E132)/12,"")</f>
        <v>122.6675575</v>
      </c>
      <c r="D125" s="24" t="n">
        <f aca="false">IFERROR(Tabelle1!E126/C125,"")</f>
        <v>0.688262094074874</v>
      </c>
      <c r="E125" s="24" t="n">
        <f aca="false">IFERROR(AVERAGEIFS($D$7:$D$294,$B$7:$B$294,$B125,$A$7:$A$294,"&gt;="&amp;EDATE($A125,-12*'Seasonal Factors'!$E$4),$A$7:$A$294,"&lt;="&amp;EDATE($A125,12*'Seasonal Factors'!$E$4)),"")</f>
        <v>0.689246949924859</v>
      </c>
      <c r="F125" s="24" t="n">
        <f aca="false">IFERROR(E125/AVERAGE(E120:E131),"")</f>
        <v>0.688652505955724</v>
      </c>
      <c r="G125" s="23" t="n">
        <f aca="false">IF(ISNUMBER(Tabelle1!F132),(0.5*Tabelle1!F120+SUM(Tabelle1!F121:F131)+0.5*Tabelle1!F132)/12,"")</f>
        <v>151.230191666667</v>
      </c>
      <c r="H125" s="24" t="n">
        <f aca="false">IFERROR(Tabelle1!F126/G125,"")</f>
        <v>0.90091011919302</v>
      </c>
      <c r="I125" s="24" t="n">
        <f aca="false">IFERROR(AVERAGEIFS($H$7:$H$294,$B$7:$B$294,$B125,$A$7:$A$294,"&gt;="&amp;EDATE($A125,-12*'Seasonal Factors'!$E$4),$A$7:$A$294,"&lt;="&amp;EDATE($A125,12*'Seasonal Factors'!$E$4)),"")</f>
        <v>0.82004992711367</v>
      </c>
      <c r="J125" s="24" t="n">
        <f aca="false">IFERROR(I125/AVERAGE(I120:I131),"")</f>
        <v>0.829380028704317</v>
      </c>
      <c r="K125" s="23" t="n">
        <f aca="false">IF(ISNUMBER(Tabelle1!G132),(0.5*Tabelle1!G120+SUM(Tabelle1!G121:G131)+0.5*Tabelle1!G132)/12,"")</f>
        <v>92.5818654166667</v>
      </c>
      <c r="L125" s="24" t="n">
        <f aca="false">IFERROR(Tabelle1!G126/K125,"")</f>
        <v>0.978383397140901</v>
      </c>
      <c r="M125" s="24" t="n">
        <f aca="false">IFERROR(AVERAGEIFS($L$7:$L$294,$B$7:$B$294,$B125,$A$7:$A$294,"&gt;="&amp;EDATE($A125,-12*'Seasonal Factors'!$E$4),$A$7:$A$294,"&lt;="&amp;EDATE($A125,12*'Seasonal Factors'!$E$4)),"")</f>
        <v>0.989961647193539</v>
      </c>
      <c r="N125" s="24" t="n">
        <f aca="false">IFERROR(M125/AVERAGE(M120:M131),"")</f>
        <v>0.990397365913095</v>
      </c>
      <c r="O125" s="23" t="n">
        <f aca="false">IF(ISNUMBER(Tabelle1!H132),(0.5*Tabelle1!H120+SUM(Tabelle1!H121:H131)+0.5*Tabelle1!H132)/12,"")</f>
        <v>140.935387083333</v>
      </c>
      <c r="P125" s="24" t="n">
        <f aca="false">IFERROR(Tabelle1!H126/O125,"")</f>
        <v>1.05065280668258</v>
      </c>
      <c r="Q125" s="24" t="n">
        <f aca="false">IFERROR(AVERAGEIFS($P$7:$P$294,$B$7:$B$294,$B125,$A$7:$A$294,"&gt;="&amp;EDATE($A125,-12*'Seasonal Factors'!$E$4),$A$7:$A$294,"&lt;="&amp;EDATE($A125,12*'Seasonal Factors'!$E$4)),"")</f>
        <v>1.05292066640981</v>
      </c>
      <c r="R125" s="24" t="n">
        <f aca="false">IFERROR(Q125/AVERAGE(Q120:Q131),"")</f>
        <v>1.05224697181839</v>
      </c>
      <c r="S125" s="23" t="n">
        <f aca="false">IF(ISNUMBER(Tabelle1!I132),(0.5*Tabelle1!I120+SUM(Tabelle1!I121:I131)+0.5*Tabelle1!I132)/12,"")</f>
        <v>136.007993333333</v>
      </c>
      <c r="T125" s="24" t="n">
        <f aca="false">IFERROR(Tabelle1!I126/S125,"")</f>
        <v>0.940700666661798</v>
      </c>
      <c r="U125" s="24" t="n">
        <f aca="false">IFERROR(AVERAGEIFS($T$7:$T$294,$B$7:$B$294,$B125,$A$7:$A$294,"&gt;="&amp;EDATE($A125,-12*'Seasonal Factors'!$E$4),$A$7:$A$294,"&lt;="&amp;EDATE($A125,12*'Seasonal Factors'!$E$4)),"")</f>
        <v>0.946325187612276</v>
      </c>
      <c r="V125" s="24" t="n">
        <f aca="false">IFERROR(U125/AVERAGE(U120:U131),"")</f>
        <v>0.946334531207772</v>
      </c>
      <c r="W125" s="23" t="n">
        <f aca="false">IF(ISNUMBER(Tabelle1!J132),(0.5*Tabelle1!J120+SUM(Tabelle1!J121:J131)+0.5*Tabelle1!J132)/12,"")</f>
        <v>149.351081666667</v>
      </c>
      <c r="X125" s="24" t="n">
        <f aca="false">IFERROR(Tabelle1!J126/W125,"")</f>
        <v>0.978517318851245</v>
      </c>
      <c r="Y125" s="24" t="n">
        <f aca="false">IFERROR(AVERAGEIFS($X$7:$X$294,$B$7:$B$294,$B125,$A$7:$A$294,"&gt;="&amp;EDATE($A125,-12*'Seasonal Factors'!$E$4),$A$7:$A$294,"&lt;="&amp;EDATE($A125,12*'Seasonal Factors'!$E$4)),"")</f>
        <v>0.990759811880294</v>
      </c>
      <c r="Z125" s="24" t="n">
        <f aca="false">IFERROR(Y125/AVERAGE(Y120:Y131),"")</f>
        <v>0.99019199799929</v>
      </c>
      <c r="AA125" s="23" t="n">
        <f aca="false">IF(ISNUMBER(Tabelle1!K132),(0.5*Tabelle1!K120+SUM(Tabelle1!K121:K131)+0.5*Tabelle1!K132)/12,"")</f>
        <v>159.717809166667</v>
      </c>
      <c r="AB125" s="24" t="n">
        <f aca="false">IFERROR(Tabelle1!K126/AA125,"")</f>
        <v>1.03058018926516</v>
      </c>
      <c r="AC125" s="24" t="n">
        <f aca="false">IFERROR(AVERAGEIFS($AB$7:$AB$294,$B$7:$B$294,$B125,$A$7:$A$294,"&gt;="&amp;EDATE($A125,-12*'Seasonal Factors'!$E$4),$A$7:$A$294,"&lt;="&amp;EDATE($A125,12*'Seasonal Factors'!$E$4)),"")</f>
        <v>1.04916848870286</v>
      </c>
      <c r="AD125" s="24" t="n">
        <f aca="false">IFERROR(AC125/AVERAGE(AC120:AC131),"")</f>
        <v>1.0478684007492</v>
      </c>
      <c r="AE125" s="23" t="n">
        <f aca="false">IF(ISNUMBER(Tabelle1!L132),(0.5*Tabelle1!L120+SUM(Tabelle1!L121:L131)+0.5*Tabelle1!L132)/12,"")</f>
        <v>156.4878075</v>
      </c>
      <c r="AF125" s="24" t="n">
        <f aca="false">IFERROR(Tabelle1!L126/AE125,"")</f>
        <v>1.01994495641458</v>
      </c>
      <c r="AG125" s="24" t="n">
        <f aca="false">IFERROR(AVERAGEIFS($AF$7:$AF$294,$B$7:$B$294,$B125,$A$7:$A$294,"&gt;="&amp;EDATE($A125,-12*'Seasonal Factors'!$E$4),$A$7:$A$294,"&lt;="&amp;EDATE($A125,12*'Seasonal Factors'!$E$4)),"")</f>
        <v>1.03469874864055</v>
      </c>
      <c r="AH125" s="24" t="n">
        <f aca="false">IFERROR(AG125/AVERAGE(AG120:AG131),"")</f>
        <v>1.03508444121598</v>
      </c>
      <c r="AI125" s="23" t="n">
        <f aca="false">IF(ISNUMBER(Tabelle1!M132),(0.5*Tabelle1!M120+SUM(Tabelle1!M121:M131)+0.5*Tabelle1!M132)/12,"")</f>
        <v>181.131567083333</v>
      </c>
      <c r="AJ125" s="24" t="n">
        <f aca="false">IFERROR(Tabelle1!M126/AI125,"")</f>
        <v>0.992093056409795</v>
      </c>
      <c r="AK125" s="24" t="n">
        <f aca="false">IFERROR(AVERAGEIFS($AJ$7:$AJ$294,$B$7:$B$294,$B125,$A$7:$A$294,"&gt;="&amp;EDATE($A125,-12*'Seasonal Factors'!$E$4),$A$7:$A$294,"&lt;="&amp;EDATE($A125,12*'Seasonal Factors'!$E$4)),"")</f>
        <v>0.985557575733784</v>
      </c>
      <c r="AL125" s="24" t="n">
        <f aca="false">IFERROR(AK125/AVERAGE(AK120:AK131),"")</f>
        <v>0.985156965575591</v>
      </c>
      <c r="AM125" s="23" t="n">
        <f aca="false">IF(ISNUMBER(Tabelle1!N132),(0.5*Tabelle1!N120+SUM(Tabelle1!N121:N131)+0.5*Tabelle1!N132)/12,"")</f>
        <v>183.273904583333</v>
      </c>
      <c r="AN125" s="24" t="n">
        <f aca="false">IFERROR(Tabelle1!N126/AM125,"")</f>
        <v>0.977365110473504</v>
      </c>
      <c r="AO125" s="24" t="n">
        <f aca="false">IFERROR(AVERAGEIFS($AN$7:$AN$294,$B$7:$B$294,$B125,$A$7:$A$294,"&gt;="&amp;EDATE($A125,-12*'Seasonal Factors'!$E$4),$A$7:$A$294,"&lt;="&amp;EDATE($A125,12*'Seasonal Factors'!$E$4)),"")</f>
        <v>0.995032711570827</v>
      </c>
      <c r="AP125" s="24" t="n">
        <f aca="false">IFERROR(AO125/AVERAGE(AO120:AO131),"")</f>
        <v>0.994904206555807</v>
      </c>
      <c r="AQ125" s="23" t="n">
        <f aca="false">IF(ISNUMBER(Tabelle1!O132),(0.5*Tabelle1!O120+SUM(Tabelle1!O121:O131)+0.5*Tabelle1!O132)/12,"")</f>
        <v>133.972403333333</v>
      </c>
      <c r="AR125" s="24" t="n">
        <f aca="false">IFERROR(Tabelle1!O126/AQ125,"")</f>
        <v>1.02314608523482</v>
      </c>
      <c r="AS125" s="24" t="n">
        <f aca="false">IFERROR(AVERAGEIFS($AR$7:$AR$294,$B$7:$B$294,$B125,$A$7:$A$294,"&gt;="&amp;EDATE($A125,-12*'Seasonal Factors'!$E$4),$A$7:$A$294,"&lt;="&amp;EDATE($A125,12*'Seasonal Factors'!$E$4)),"")</f>
        <v>1.01731401724329</v>
      </c>
      <c r="AT125" s="24" t="n">
        <f aca="false">IFERROR(AS125/AVERAGE(AS120:AS131),"")</f>
        <v>1.01702229085012</v>
      </c>
      <c r="AU125" s="23" t="n">
        <f aca="false">IF(ISNUMBER(Tabelle1!P132),(0.5*Tabelle1!P120+SUM(Tabelle1!P121:P131)+0.5*Tabelle1!P132)/12,"")</f>
        <v>141.128812916667</v>
      </c>
      <c r="AV125" s="24" t="n">
        <f aca="false">IFERROR(Tabelle1!P126/AU125,"")</f>
        <v>1.00115445655615</v>
      </c>
      <c r="AW125" s="24" t="n">
        <f aca="false">IFERROR(AVERAGEIFS($AV$7:$AV$294,$B$7:$B$294,$B125,$A$7:$A$294,"&gt;="&amp;EDATE($A125,-12*'Seasonal Factors'!$E$4),$A$7:$A$294,"&lt;="&amp;EDATE($A125,12*'Seasonal Factors'!$E$4)),"")</f>
        <v>1.00279902556065</v>
      </c>
      <c r="AX125" s="24" t="n">
        <f aca="false">IFERROR(AW125/AVERAGE(AW120:AW131),"")</f>
        <v>1.00231713218282</v>
      </c>
      <c r="AY125" s="23" t="n">
        <f aca="false">IF(ISNUMBER(Tabelle1!Q132),(0.5*Tabelle1!Q120+SUM(Tabelle1!Q121:Q131)+0.5*Tabelle1!Q132)/12,"")</f>
        <v>144.603311666667</v>
      </c>
      <c r="AZ125" s="24" t="n">
        <f aca="false">IFERROR(Tabelle1!Q126/AY125,"")</f>
        <v>1.0056952245688</v>
      </c>
      <c r="BA125" s="24" t="n">
        <f aca="false">IFERROR(AVERAGEIFS($AZ$7:$AZ$294,$B$7:$B$294,$B125,$A$7:$A$294,"&gt;="&amp;EDATE($A125,-12*'Seasonal Factors'!$E$4),$A$7:$A$294,"&lt;="&amp;EDATE($A125,12*'Seasonal Factors'!$E$4)),"")</f>
        <v>1.01101969030574</v>
      </c>
      <c r="BB125" s="24" t="n">
        <f aca="false">IFERROR(BA125/AVERAGE(BA120:BA131),"")</f>
        <v>1.0106680230555</v>
      </c>
      <c r="BC125" s="23" t="n">
        <f aca="false">IF(ISNUMBER(Tabelle1!R132),(0.5*Tabelle1!R120+SUM(Tabelle1!R121:R131)+0.5*Tabelle1!R132)/12,"")</f>
        <v>163.507174583333</v>
      </c>
      <c r="BD125" s="24" t="n">
        <f aca="false">IFERROR(Tabelle1!R126/BC125,"")</f>
        <v>0.954094218786052</v>
      </c>
      <c r="BE125" s="24" t="n">
        <f aca="false">IFERROR(AVERAGEIFS($BD$7:$BD$294,$B$7:$B$294,$B125,$A$7:$A$294,"&gt;="&amp;EDATE($A125,-12*'Seasonal Factors'!$E$4),$A$7:$A$294,"&lt;="&amp;EDATE($A125,12*'Seasonal Factors'!$E$4)),"")</f>
        <v>0.955520419344058</v>
      </c>
      <c r="BF125" s="24" t="n">
        <f aca="false">IFERROR(BE125/AVERAGE(BE120:BE131),"")</f>
        <v>0.955070293857071</v>
      </c>
      <c r="BG125" s="23" t="n">
        <f aca="false">IF(ISNUMBER(Tabelle1!S132),(0.5*Tabelle1!S120+SUM(Tabelle1!S121:S131)+0.5*Tabelle1!S132)/12,"")</f>
        <v>152.02112</v>
      </c>
      <c r="BH125" s="24" t="n">
        <f aca="false">IFERROR(Tabelle1!S126/BG125,"")</f>
        <v>1.00179843432281</v>
      </c>
      <c r="BI125" s="24" t="n">
        <f aca="false">IFERROR(AVERAGEIFS($BH$7:$BH$294,$B$7:$B$294,$B125,$A$7:$A$294,"&gt;="&amp;EDATE($A125,-12*'Seasonal Factors'!$E$4),$A$7:$A$294,"&lt;="&amp;EDATE($A125,12*'Seasonal Factors'!$E$4)),"")</f>
        <v>0.985262758408887</v>
      </c>
      <c r="BJ125" s="24" t="n">
        <f aca="false">IFERROR(BI125/AVERAGE(BI120:BI131),"")</f>
        <v>0.98530249875843</v>
      </c>
    </row>
    <row r="126" customFormat="false" ht="15" hidden="false" customHeight="false" outlineLevel="0" collapsed="false">
      <c r="A126" s="20" t="n">
        <v>41639</v>
      </c>
      <c r="B126" s="22" t="n">
        <f aca="false">MONTH(A126)</f>
        <v>12</v>
      </c>
      <c r="C126" s="23" t="n">
        <f aca="false">IF(ISNUMBER(Tabelle1!E133),(0.5*Tabelle1!E121+SUM(Tabelle1!E122:E132)+0.5*Tabelle1!E133)/12,"")</f>
        <v>124.426170416667</v>
      </c>
      <c r="D126" s="24" t="n">
        <f aca="false">IFERROR(Tabelle1!E127/C126,"")</f>
        <v>0.686138854182435</v>
      </c>
      <c r="E126" s="24" t="n">
        <f aca="false">IFERROR(AVERAGEIFS($D$7:$D$294,$B$7:$B$294,$B126,$A$7:$A$294,"&gt;="&amp;EDATE($A126,-12*'Seasonal Factors'!$E$4),$A$7:$A$294,"&lt;="&amp;EDATE($A126,12*'Seasonal Factors'!$E$4)),"")</f>
        <v>0.726689609309178</v>
      </c>
      <c r="F126" s="24" t="n">
        <f aca="false">IFERROR(E126/AVERAGE(E121:E132),"")</f>
        <v>0.726454541357118</v>
      </c>
      <c r="G126" s="23" t="n">
        <f aca="false">IF(ISNUMBER(Tabelle1!F133),(0.5*Tabelle1!F121+SUM(Tabelle1!F122:F132)+0.5*Tabelle1!F133)/12,"")</f>
        <v>153.109715</v>
      </c>
      <c r="H126" s="24" t="n">
        <f aca="false">IFERROR(Tabelle1!F127/G126,"")</f>
        <v>0.506398173362154</v>
      </c>
      <c r="I126" s="24" t="n">
        <f aca="false">IFERROR(AVERAGEIFS($H$7:$H$294,$B$7:$B$294,$B126,$A$7:$A$294,"&gt;="&amp;EDATE($A126,-12*'Seasonal Factors'!$E$4),$A$7:$A$294,"&lt;="&amp;EDATE($A126,12*'Seasonal Factors'!$E$4)),"")</f>
        <v>0.577550263435884</v>
      </c>
      <c r="J126" s="24" t="n">
        <f aca="false">IFERROR(I126/AVERAGE(I121:I132),"")</f>
        <v>0.584454258852715</v>
      </c>
      <c r="K126" s="23" t="n">
        <f aca="false">IF(ISNUMBER(Tabelle1!G133),(0.5*Tabelle1!G121+SUM(Tabelle1!G122:G132)+0.5*Tabelle1!G133)/12,"")</f>
        <v>92.7901579166667</v>
      </c>
      <c r="L126" s="24" t="n">
        <f aca="false">IFERROR(Tabelle1!G127/K126,"")</f>
        <v>0.999617331002944</v>
      </c>
      <c r="M126" s="24" t="n">
        <f aca="false">IFERROR(AVERAGEIFS($L$7:$L$294,$B$7:$B$294,$B126,$A$7:$A$294,"&gt;="&amp;EDATE($A126,-12*'Seasonal Factors'!$E$4),$A$7:$A$294,"&lt;="&amp;EDATE($A126,12*'Seasonal Factors'!$E$4)),"")</f>
        <v>0.997953129003586</v>
      </c>
      <c r="N126" s="24" t="n">
        <f aca="false">IFERROR(M126/AVERAGE(M121:M132),"")</f>
        <v>0.998311440485095</v>
      </c>
      <c r="O126" s="23" t="n">
        <f aca="false">IF(ISNUMBER(Tabelle1!H133),(0.5*Tabelle1!H121+SUM(Tabelle1!H122:H132)+0.5*Tabelle1!H133)/12,"")</f>
        <v>140.347826666667</v>
      </c>
      <c r="P126" s="24" t="n">
        <f aca="false">IFERROR(Tabelle1!H127/O126,"")</f>
        <v>1.00978670896412</v>
      </c>
      <c r="Q126" s="24" t="n">
        <f aca="false">IFERROR(AVERAGEIFS($P$7:$P$294,$B$7:$B$294,$B126,$A$7:$A$294,"&gt;="&amp;EDATE($A126,-12*'Seasonal Factors'!$E$4),$A$7:$A$294,"&lt;="&amp;EDATE($A126,12*'Seasonal Factors'!$E$4)),"")</f>
        <v>0.997687077508925</v>
      </c>
      <c r="R126" s="24" t="n">
        <f aca="false">IFERROR(Q126/AVERAGE(Q121:Q132),"")</f>
        <v>0.996681213726455</v>
      </c>
      <c r="S126" s="23" t="n">
        <f aca="false">IF(ISNUMBER(Tabelle1!I133),(0.5*Tabelle1!I121+SUM(Tabelle1!I122:I132)+0.5*Tabelle1!I133)/12,"")</f>
        <v>136.605576666667</v>
      </c>
      <c r="T126" s="24" t="n">
        <f aca="false">IFERROR(Tabelle1!I127/S126,"")</f>
        <v>1.10291536902361</v>
      </c>
      <c r="U126" s="24" t="n">
        <f aca="false">IFERROR(AVERAGEIFS($T$7:$T$294,$B$7:$B$294,$B126,$A$7:$A$294,"&gt;="&amp;EDATE($A126,-12*'Seasonal Factors'!$E$4),$A$7:$A$294,"&lt;="&amp;EDATE($A126,12*'Seasonal Factors'!$E$4)),"")</f>
        <v>1.03524788038638</v>
      </c>
      <c r="V126" s="24" t="n">
        <f aca="false">IFERROR(U126/AVERAGE(U121:U132),"")</f>
        <v>1.03516836445662</v>
      </c>
      <c r="W126" s="23" t="n">
        <f aca="false">IF(ISNUMBER(Tabelle1!J133),(0.5*Tabelle1!J121+SUM(Tabelle1!J122:J132)+0.5*Tabelle1!J133)/12,"")</f>
        <v>149.1526975</v>
      </c>
      <c r="X126" s="24" t="n">
        <f aca="false">IFERROR(Tabelle1!J127/W126,"")</f>
        <v>0.946288483988029</v>
      </c>
      <c r="Y126" s="24" t="n">
        <f aca="false">IFERROR(AVERAGEIFS($X$7:$X$294,$B$7:$B$294,$B126,$A$7:$A$294,"&gt;="&amp;EDATE($A126,-12*'Seasonal Factors'!$E$4),$A$7:$A$294,"&lt;="&amp;EDATE($A126,12*'Seasonal Factors'!$E$4)),"")</f>
        <v>0.952443738846004</v>
      </c>
      <c r="Z126" s="24" t="n">
        <f aca="false">IFERROR(Y126/AVERAGE(Y121:Y132),"")</f>
        <v>0.95149352878202</v>
      </c>
      <c r="AA126" s="23" t="n">
        <f aca="false">IF(ISNUMBER(Tabelle1!K133),(0.5*Tabelle1!K121+SUM(Tabelle1!K122:K132)+0.5*Tabelle1!K133)/12,"")</f>
        <v>158.572233333333</v>
      </c>
      <c r="AB126" s="24" t="n">
        <f aca="false">IFERROR(Tabelle1!K127/AA126,"")</f>
        <v>0.953459233194883</v>
      </c>
      <c r="AC126" s="24" t="n">
        <f aca="false">IFERROR(AVERAGEIFS($AB$7:$AB$294,$B$7:$B$294,$B126,$A$7:$A$294,"&gt;="&amp;EDATE($A126,-12*'Seasonal Factors'!$E$4),$A$7:$A$294,"&lt;="&amp;EDATE($A126,12*'Seasonal Factors'!$E$4)),"")</f>
        <v>0.951921964905383</v>
      </c>
      <c r="AD126" s="24" t="n">
        <f aca="false">IFERROR(AC126/AVERAGE(AC121:AC132),"")</f>
        <v>0.950635796633848</v>
      </c>
      <c r="AE126" s="23" t="n">
        <f aca="false">IF(ISNUMBER(Tabelle1!L133),(0.5*Tabelle1!L121+SUM(Tabelle1!L122:L132)+0.5*Tabelle1!L133)/12,"")</f>
        <v>155.9367775</v>
      </c>
      <c r="AF126" s="24" t="n">
        <f aca="false">IFERROR(Tabelle1!L127/AE126,"")</f>
        <v>1.00147170220957</v>
      </c>
      <c r="AG126" s="24" t="n">
        <f aca="false">IFERROR(AVERAGEIFS($AF$7:$AF$294,$B$7:$B$294,$B126,$A$7:$A$294,"&gt;="&amp;EDATE($A126,-12*'Seasonal Factors'!$E$4),$A$7:$A$294,"&lt;="&amp;EDATE($A126,12*'Seasonal Factors'!$E$4)),"")</f>
        <v>1.02270333746286</v>
      </c>
      <c r="AH126" s="24" t="n">
        <f aca="false">IFERROR(AG126/AVERAGE(AG121:AG132),"")</f>
        <v>1.02340263448999</v>
      </c>
      <c r="AI126" s="23" t="n">
        <f aca="false">IF(ISNUMBER(Tabelle1!M133),(0.5*Tabelle1!M121+SUM(Tabelle1!M122:M132)+0.5*Tabelle1!M133)/12,"")</f>
        <v>181.2665675</v>
      </c>
      <c r="AJ126" s="24" t="n">
        <f aca="false">IFERROR(Tabelle1!M127/AI126,"")</f>
        <v>0.968570224622365</v>
      </c>
      <c r="AK126" s="24" t="n">
        <f aca="false">IFERROR(AVERAGEIFS($AJ$7:$AJ$294,$B$7:$B$294,$B126,$A$7:$A$294,"&gt;="&amp;EDATE($A126,-12*'Seasonal Factors'!$E$4),$A$7:$A$294,"&lt;="&amp;EDATE($A126,12*'Seasonal Factors'!$E$4)),"")</f>
        <v>0.976101933674524</v>
      </c>
      <c r="AL126" s="24" t="n">
        <f aca="false">IFERROR(AK126/AVERAGE(AK121:AK132),"")</f>
        <v>0.975945234418795</v>
      </c>
      <c r="AM126" s="23" t="n">
        <f aca="false">IF(ISNUMBER(Tabelle1!N133),(0.5*Tabelle1!N121+SUM(Tabelle1!N122:N132)+0.5*Tabelle1!N133)/12,"")</f>
        <v>182.747361666667</v>
      </c>
      <c r="AN126" s="24" t="n">
        <f aca="false">IFERROR(Tabelle1!N127/AM126,"")</f>
        <v>1.03470741397024</v>
      </c>
      <c r="AO126" s="24" t="n">
        <f aca="false">IFERROR(AVERAGEIFS($AN$7:$AN$294,$B$7:$B$294,$B126,$A$7:$A$294,"&gt;="&amp;EDATE($A126,-12*'Seasonal Factors'!$E$4),$A$7:$A$294,"&lt;="&amp;EDATE($A126,12*'Seasonal Factors'!$E$4)),"")</f>
        <v>1.02609016111661</v>
      </c>
      <c r="AP126" s="24" t="n">
        <f aca="false">IFERROR(AO126/AVERAGE(AO121:AO132),"")</f>
        <v>1.02619149152936</v>
      </c>
      <c r="AQ126" s="23" t="n">
        <f aca="false">IF(ISNUMBER(Tabelle1!O133),(0.5*Tabelle1!O121+SUM(Tabelle1!O122:O132)+0.5*Tabelle1!O133)/12,"")</f>
        <v>133.96865375</v>
      </c>
      <c r="AR126" s="24" t="n">
        <f aca="false">IFERROR(Tabelle1!O127/AQ126,"")</f>
        <v>1.04682973273515</v>
      </c>
      <c r="AS126" s="24" t="n">
        <f aca="false">IFERROR(AVERAGEIFS($AR$7:$AR$294,$B$7:$B$294,$B126,$A$7:$A$294,"&gt;="&amp;EDATE($A126,-12*'Seasonal Factors'!$E$4),$A$7:$A$294,"&lt;="&amp;EDATE($A126,12*'Seasonal Factors'!$E$4)),"")</f>
        <v>1.03926620460542</v>
      </c>
      <c r="AT126" s="24" t="n">
        <f aca="false">IFERROR(AS126/AVERAGE(AS121:AS132),"")</f>
        <v>1.03887397827099</v>
      </c>
      <c r="AU126" s="23" t="n">
        <f aca="false">IF(ISNUMBER(Tabelle1!P133),(0.5*Tabelle1!P121+SUM(Tabelle1!P122:P132)+0.5*Tabelle1!P133)/12,"")</f>
        <v>141.480384583333</v>
      </c>
      <c r="AV126" s="24" t="n">
        <f aca="false">IFERROR(Tabelle1!P127/AU126,"")</f>
        <v>1.01077481815699</v>
      </c>
      <c r="AW126" s="24" t="n">
        <f aca="false">IFERROR(AVERAGEIFS($AV$7:$AV$294,$B$7:$B$294,$B126,$A$7:$A$294,"&gt;="&amp;EDATE($A126,-12*'Seasonal Factors'!$E$4),$A$7:$A$294,"&lt;="&amp;EDATE($A126,12*'Seasonal Factors'!$E$4)),"")</f>
        <v>1.00907623200576</v>
      </c>
      <c r="AX126" s="24" t="n">
        <f aca="false">IFERROR(AW126/AVERAGE(AW121:AW132),"")</f>
        <v>1.00850689460609</v>
      </c>
      <c r="AY126" s="23" t="n">
        <f aca="false">IF(ISNUMBER(Tabelle1!Q133),(0.5*Tabelle1!Q121+SUM(Tabelle1!Q122:Q132)+0.5*Tabelle1!Q133)/12,"")</f>
        <v>144.941708333333</v>
      </c>
      <c r="AZ126" s="24" t="n">
        <f aca="false">IFERROR(Tabelle1!Q127/AY126,"")</f>
        <v>1.01381611745641</v>
      </c>
      <c r="BA126" s="24" t="n">
        <f aca="false">IFERROR(AVERAGEIFS($AZ$7:$AZ$294,$B$7:$B$294,$B126,$A$7:$A$294,"&gt;="&amp;EDATE($A126,-12*'Seasonal Factors'!$E$4),$A$7:$A$294,"&lt;="&amp;EDATE($A126,12*'Seasonal Factors'!$E$4)),"")</f>
        <v>1.01435319786438</v>
      </c>
      <c r="BB126" s="24" t="n">
        <f aca="false">IFERROR(BA126/AVERAGE(BA121:BA132),"")</f>
        <v>1.01395201719987</v>
      </c>
      <c r="BC126" s="23" t="n">
        <f aca="false">IF(ISNUMBER(Tabelle1!R133),(0.5*Tabelle1!R121+SUM(Tabelle1!R122:R132)+0.5*Tabelle1!R133)/12,"")</f>
        <v>163.729863333333</v>
      </c>
      <c r="BD126" s="24" t="n">
        <f aca="false">IFERROR(Tabelle1!R127/BC126,"")</f>
        <v>0.922712979320266</v>
      </c>
      <c r="BE126" s="24" t="n">
        <f aca="false">IFERROR(AVERAGEIFS($BD$7:$BD$294,$B$7:$B$294,$B126,$A$7:$A$294,"&gt;="&amp;EDATE($A126,-12*'Seasonal Factors'!$E$4),$A$7:$A$294,"&lt;="&amp;EDATE($A126,12*'Seasonal Factors'!$E$4)),"")</f>
        <v>0.919304776598739</v>
      </c>
      <c r="BF126" s="24" t="n">
        <f aca="false">IFERROR(BE126/AVERAGE(BE121:BE132),"")</f>
        <v>0.918509636965341</v>
      </c>
      <c r="BG126" s="23" t="n">
        <f aca="false">IF(ISNUMBER(Tabelle1!S133),(0.5*Tabelle1!S121+SUM(Tabelle1!S122:S132)+0.5*Tabelle1!S133)/12,"")</f>
        <v>151.443185833333</v>
      </c>
      <c r="BH126" s="24" t="n">
        <f aca="false">IFERROR(Tabelle1!S127/BG126,"")</f>
        <v>0.975942953040206</v>
      </c>
      <c r="BI126" s="24" t="n">
        <f aca="false">IFERROR(AVERAGEIFS($BH$7:$BH$294,$B$7:$B$294,$B126,$A$7:$A$294,"&gt;="&amp;EDATE($A126,-12*'Seasonal Factors'!$E$4),$A$7:$A$294,"&lt;="&amp;EDATE($A126,12*'Seasonal Factors'!$E$4)),"")</f>
        <v>0.97579529992683</v>
      </c>
      <c r="BJ126" s="24" t="n">
        <f aca="false">IFERROR(BI126/AVERAGE(BI121:BI132),"")</f>
        <v>0.975634271898224</v>
      </c>
    </row>
    <row r="127" customFormat="false" ht="15" hidden="false" customHeight="false" outlineLevel="0" collapsed="false">
      <c r="A127" s="20" t="n">
        <v>41670</v>
      </c>
      <c r="B127" s="22" t="n">
        <f aca="false">MONTH(A127)</f>
        <v>1</v>
      </c>
      <c r="C127" s="23" t="n">
        <f aca="false">IF(ISNUMBER(Tabelle1!E134),(0.5*Tabelle1!E122+SUM(Tabelle1!E123:E133)+0.5*Tabelle1!E134)/12,"")</f>
        <v>125.253190416667</v>
      </c>
      <c r="D127" s="24" t="n">
        <f aca="false">IFERROR(Tabelle1!E128/C127,"")</f>
        <v>0.519305255088695</v>
      </c>
      <c r="E127" s="24" t="n">
        <f aca="false">IFERROR(AVERAGEIFS($D$7:$D$294,$B$7:$B$294,$B127,$A$7:$A$294,"&gt;="&amp;EDATE($A127,-12*'Seasonal Factors'!$E$4),$A$7:$A$294,"&lt;="&amp;EDATE($A127,12*'Seasonal Factors'!$E$4)),"")</f>
        <v>0.531198695433767</v>
      </c>
      <c r="F127" s="24" t="n">
        <f aca="false">IFERROR(E127/AVERAGE(E122:E133),"")</f>
        <v>0.531160888144329</v>
      </c>
      <c r="G127" s="23" t="n">
        <f aca="false">IF(ISNUMBER(Tabelle1!F134),(0.5*Tabelle1!F122+SUM(Tabelle1!F123:F133)+0.5*Tabelle1!F134)/12,"")</f>
        <v>151.148689583333</v>
      </c>
      <c r="H127" s="24" t="n">
        <f aca="false">IFERROR(Tabelle1!F128/G127,"")</f>
        <v>0.324035756677844</v>
      </c>
      <c r="I127" s="24" t="n">
        <f aca="false">IFERROR(AVERAGEIFS($H$7:$H$294,$B$7:$B$294,$B127,$A$7:$A$294,"&gt;="&amp;EDATE($A127,-12*'Seasonal Factors'!$E$4),$A$7:$A$294,"&lt;="&amp;EDATE($A127,12*'Seasonal Factors'!$E$4)),"")</f>
        <v>0.378862197296137</v>
      </c>
      <c r="J127" s="24" t="n">
        <f aca="false">IFERROR(I127/AVERAGE(I122:I133),"")</f>
        <v>0.38142838674887</v>
      </c>
      <c r="K127" s="23" t="n">
        <f aca="false">IF(ISNUMBER(Tabelle1!G134),(0.5*Tabelle1!G122+SUM(Tabelle1!G123:G133)+0.5*Tabelle1!G134)/12,"")</f>
        <v>92.875515</v>
      </c>
      <c r="L127" s="24" t="n">
        <f aca="false">IFERROR(Tabelle1!G128/K127,"")</f>
        <v>1.00285365846962</v>
      </c>
      <c r="M127" s="24" t="n">
        <f aca="false">IFERROR(AVERAGEIFS($L$7:$L$294,$B$7:$B$294,$B127,$A$7:$A$294,"&gt;="&amp;EDATE($A127,-12*'Seasonal Factors'!$E$4),$A$7:$A$294,"&lt;="&amp;EDATE($A127,12*'Seasonal Factors'!$E$4)),"")</f>
        <v>0.996252341143963</v>
      </c>
      <c r="N127" s="24" t="n">
        <f aca="false">IFERROR(M127/AVERAGE(M122:M133),"")</f>
        <v>0.996606248499459</v>
      </c>
      <c r="O127" s="23" t="n">
        <f aca="false">IF(ISNUMBER(Tabelle1!H134),(0.5*Tabelle1!H122+SUM(Tabelle1!H123:H133)+0.5*Tabelle1!H134)/12,"")</f>
        <v>139.81487875</v>
      </c>
      <c r="P127" s="24" t="n">
        <f aca="false">IFERROR(Tabelle1!H128/O127,"")</f>
        <v>0.889899781141855</v>
      </c>
      <c r="Q127" s="24" t="n">
        <f aca="false">IFERROR(AVERAGEIFS($P$7:$P$294,$B$7:$B$294,$B127,$A$7:$A$294,"&gt;="&amp;EDATE($A127,-12*'Seasonal Factors'!$E$4),$A$7:$A$294,"&lt;="&amp;EDATE($A127,12*'Seasonal Factors'!$E$4)),"")</f>
        <v>0.882405921544562</v>
      </c>
      <c r="R127" s="24" t="n">
        <f aca="false">IFERROR(Q127/AVERAGE(Q122:Q133),"")</f>
        <v>0.881645207265354</v>
      </c>
      <c r="S127" s="23" t="n">
        <f aca="false">IF(ISNUMBER(Tabelle1!I134),(0.5*Tabelle1!I122+SUM(Tabelle1!I123:I133)+0.5*Tabelle1!I134)/12,"")</f>
        <v>137.158335</v>
      </c>
      <c r="T127" s="24" t="n">
        <f aca="false">IFERROR(Tabelle1!I128/S127,"")</f>
        <v>1.09649625011852</v>
      </c>
      <c r="U127" s="24" t="n">
        <f aca="false">IFERROR(AVERAGEIFS($T$7:$T$294,$B$7:$B$294,$B127,$A$7:$A$294,"&gt;="&amp;EDATE($A127,-12*'Seasonal Factors'!$E$4),$A$7:$A$294,"&lt;="&amp;EDATE($A127,12*'Seasonal Factors'!$E$4)),"")</f>
        <v>1.06757933528804</v>
      </c>
      <c r="V127" s="24" t="n">
        <f aca="false">IFERROR(U127/AVERAGE(U122:U133),"")</f>
        <v>1.06749117137294</v>
      </c>
      <c r="W127" s="23" t="n">
        <f aca="false">IF(ISNUMBER(Tabelle1!J134),(0.5*Tabelle1!J122+SUM(Tabelle1!J123:J133)+0.5*Tabelle1!J134)/12,"")</f>
        <v>148.87349125</v>
      </c>
      <c r="X127" s="24" t="n">
        <f aca="false">IFERROR(Tabelle1!J128/W127,"")</f>
        <v>1.00965631112651</v>
      </c>
      <c r="Y127" s="24" t="n">
        <f aca="false">IFERROR(AVERAGEIFS($X$7:$X$294,$B$7:$B$294,$B127,$A$7:$A$294,"&gt;="&amp;EDATE($A127,-12*'Seasonal Factors'!$E$4),$A$7:$A$294,"&lt;="&amp;EDATE($A127,12*'Seasonal Factors'!$E$4)),"")</f>
        <v>1.0036755570473</v>
      </c>
      <c r="Z127" s="24" t="n">
        <f aca="false">IFERROR(Y127/AVERAGE(Y122:Y133),"")</f>
        <v>1.00304737992572</v>
      </c>
      <c r="AA127" s="23" t="n">
        <f aca="false">IF(ISNUMBER(Tabelle1!K134),(0.5*Tabelle1!K122+SUM(Tabelle1!K123:K133)+0.5*Tabelle1!K134)/12,"")</f>
        <v>157.470079583333</v>
      </c>
      <c r="AB127" s="24" t="n">
        <f aca="false">IFERROR(Tabelle1!K128/AA127,"")</f>
        <v>0.918106159484673</v>
      </c>
      <c r="AC127" s="24" t="n">
        <f aca="false">IFERROR(AVERAGEIFS($AB$7:$AB$294,$B$7:$B$294,$B127,$A$7:$A$294,"&gt;="&amp;EDATE($A127,-12*'Seasonal Factors'!$E$4),$A$7:$A$294,"&lt;="&amp;EDATE($A127,12*'Seasonal Factors'!$E$4)),"")</f>
        <v>0.889045998440987</v>
      </c>
      <c r="AD127" s="24" t="n">
        <f aca="false">IFERROR(AC127/AVERAGE(AC122:AC133),"")</f>
        <v>0.888146364439338</v>
      </c>
      <c r="AE127" s="23" t="n">
        <f aca="false">IF(ISNUMBER(Tabelle1!L134),(0.5*Tabelle1!L122+SUM(Tabelle1!L123:L133)+0.5*Tabelle1!L134)/12,"")</f>
        <v>155.442657083333</v>
      </c>
      <c r="AF127" s="24" t="n">
        <f aca="false">IFERROR(Tabelle1!L128/AE127,"")</f>
        <v>1.06534031975033</v>
      </c>
      <c r="AG127" s="24" t="n">
        <f aca="false">IFERROR(AVERAGEIFS($AF$7:$AF$294,$B$7:$B$294,$B127,$A$7:$A$294,"&gt;="&amp;EDATE($A127,-12*'Seasonal Factors'!$E$4),$A$7:$A$294,"&lt;="&amp;EDATE($A127,12*'Seasonal Factors'!$E$4)),"")</f>
        <v>1.06954339348937</v>
      </c>
      <c r="AH127" s="24" t="n">
        <f aca="false">IFERROR(AG127/AVERAGE(AG122:AG133),"")</f>
        <v>1.06953992481458</v>
      </c>
      <c r="AI127" s="23" t="n">
        <f aca="false">IF(ISNUMBER(Tabelle1!M134),(0.5*Tabelle1!M122+SUM(Tabelle1!M123:M133)+0.5*Tabelle1!M134)/12,"")</f>
        <v>181.39062625</v>
      </c>
      <c r="AJ127" s="24" t="n">
        <f aca="false">IFERROR(Tabelle1!M128/AI127,"")</f>
        <v>0.965242105502682</v>
      </c>
      <c r="AK127" s="24" t="n">
        <f aca="false">IFERROR(AVERAGEIFS($AJ$7:$AJ$294,$B$7:$B$294,$B127,$A$7:$A$294,"&gt;="&amp;EDATE($A127,-12*'Seasonal Factors'!$E$4),$A$7:$A$294,"&lt;="&amp;EDATE($A127,12*'Seasonal Factors'!$E$4)),"")</f>
        <v>0.981900360525945</v>
      </c>
      <c r="AL127" s="24" t="n">
        <f aca="false">IFERROR(AK127/AVERAGE(AK122:AK133),"")</f>
        <v>0.981607584743831</v>
      </c>
      <c r="AM127" s="23" t="n">
        <f aca="false">IF(ISNUMBER(Tabelle1!N134),(0.5*Tabelle1!N122+SUM(Tabelle1!N123:N133)+0.5*Tabelle1!N134)/12,"")</f>
        <v>182.126023333333</v>
      </c>
      <c r="AN127" s="24" t="n">
        <f aca="false">IFERROR(Tabelle1!N128/AM127,"")</f>
        <v>1.05736493047754</v>
      </c>
      <c r="AO127" s="24" t="n">
        <f aca="false">IFERROR(AVERAGEIFS($AN$7:$AN$294,$B$7:$B$294,$B127,$A$7:$A$294,"&gt;="&amp;EDATE($A127,-12*'Seasonal Factors'!$E$4),$A$7:$A$294,"&lt;="&amp;EDATE($A127,12*'Seasonal Factors'!$E$4)),"")</f>
        <v>1.01537754762164</v>
      </c>
      <c r="AP127" s="24" t="n">
        <f aca="false">IFERROR(AO127/AVERAGE(AO122:AO133),"")</f>
        <v>1.01513364807614</v>
      </c>
      <c r="AQ127" s="23" t="n">
        <f aca="false">IF(ISNUMBER(Tabelle1!O134),(0.5*Tabelle1!O122+SUM(Tabelle1!O123:O133)+0.5*Tabelle1!O134)/12,"")</f>
        <v>134.075313333333</v>
      </c>
      <c r="AR127" s="24" t="n">
        <f aca="false">IFERROR(Tabelle1!O128/AQ127,"")</f>
        <v>0.954982217208567</v>
      </c>
      <c r="AS127" s="24" t="n">
        <f aca="false">IFERROR(AVERAGEIFS($AR$7:$AR$294,$B$7:$B$294,$B127,$A$7:$A$294,"&gt;="&amp;EDATE($A127,-12*'Seasonal Factors'!$E$4),$A$7:$A$294,"&lt;="&amp;EDATE($A127,12*'Seasonal Factors'!$E$4)),"")</f>
        <v>0.955496250489892</v>
      </c>
      <c r="AT127" s="24" t="n">
        <f aca="false">IFERROR(AS127/AVERAGE(AS122:AS133),"")</f>
        <v>0.955028860076984</v>
      </c>
      <c r="AU127" s="23" t="n">
        <f aca="false">IF(ISNUMBER(Tabelle1!P134),(0.5*Tabelle1!P122+SUM(Tabelle1!P123:P133)+0.5*Tabelle1!P134)/12,"")</f>
        <v>141.834852083333</v>
      </c>
      <c r="AV127" s="24" t="n">
        <f aca="false">IFERROR(Tabelle1!P128/AU127,"")</f>
        <v>1.0004937285557</v>
      </c>
      <c r="AW127" s="24" t="n">
        <f aca="false">IFERROR(AVERAGEIFS($AV$7:$AV$294,$B$7:$B$294,$B127,$A$7:$A$294,"&gt;="&amp;EDATE($A127,-12*'Seasonal Factors'!$E$4),$A$7:$A$294,"&lt;="&amp;EDATE($A127,12*'Seasonal Factors'!$E$4)),"")</f>
        <v>0.998634556271929</v>
      </c>
      <c r="AX127" s="24" t="n">
        <f aca="false">IFERROR(AW127/AVERAGE(AW122:AW133),"")</f>
        <v>0.998179794881548</v>
      </c>
      <c r="AY127" s="23" t="n">
        <f aca="false">IF(ISNUMBER(Tabelle1!Q134),(0.5*Tabelle1!Q122+SUM(Tabelle1!Q123:Q133)+0.5*Tabelle1!Q134)/12,"")</f>
        <v>145.250751666667</v>
      </c>
      <c r="AZ127" s="24" t="n">
        <f aca="false">IFERROR(Tabelle1!Q128/AY127,"")</f>
        <v>0.977589020164681</v>
      </c>
      <c r="BA127" s="24" t="n">
        <f aca="false">IFERROR(AVERAGEIFS($AZ$7:$AZ$294,$B$7:$B$294,$B127,$A$7:$A$294,"&gt;="&amp;EDATE($A127,-12*'Seasonal Factors'!$E$4),$A$7:$A$294,"&lt;="&amp;EDATE($A127,12*'Seasonal Factors'!$E$4)),"")</f>
        <v>0.97889133417895</v>
      </c>
      <c r="BB127" s="24" t="n">
        <f aca="false">IFERROR(BA127/AVERAGE(BA122:BA133),"")</f>
        <v>0.978533977281458</v>
      </c>
      <c r="BC127" s="23" t="n">
        <f aca="false">IF(ISNUMBER(Tabelle1!R134),(0.5*Tabelle1!R122+SUM(Tabelle1!R123:R133)+0.5*Tabelle1!R134)/12,"")</f>
        <v>163.95405875</v>
      </c>
      <c r="BD127" s="24" t="n">
        <f aca="false">IFERROR(Tabelle1!R128/BC127,"")</f>
        <v>0.997636845632527</v>
      </c>
      <c r="BE127" s="24" t="n">
        <f aca="false">IFERROR(AVERAGEIFS($BD$7:$BD$294,$B$7:$B$294,$B127,$A$7:$A$294,"&gt;="&amp;EDATE($A127,-12*'Seasonal Factors'!$E$4),$A$7:$A$294,"&lt;="&amp;EDATE($A127,12*'Seasonal Factors'!$E$4)),"")</f>
        <v>0.995464295397598</v>
      </c>
      <c r="BF127" s="24" t="n">
        <f aca="false">IFERROR(BE127/AVERAGE(BE122:BE133),"")</f>
        <v>0.994759825719578</v>
      </c>
      <c r="BG127" s="23" t="n">
        <f aca="false">IF(ISNUMBER(Tabelle1!S134),(0.5*Tabelle1!S122+SUM(Tabelle1!S123:S133)+0.5*Tabelle1!S134)/12,"")</f>
        <v>150.512230833333</v>
      </c>
      <c r="BH127" s="24" t="n">
        <f aca="false">IFERROR(Tabelle1!S128/BG127,"")</f>
        <v>1.0147278341062</v>
      </c>
      <c r="BI127" s="24" t="n">
        <f aca="false">IFERROR(AVERAGEIFS($BH$7:$BH$294,$B$7:$B$294,$B127,$A$7:$A$294,"&gt;="&amp;EDATE($A127,-12*'Seasonal Factors'!$E$4),$A$7:$A$294,"&lt;="&amp;EDATE($A127,12*'Seasonal Factors'!$E$4)),"")</f>
        <v>1.00603623477209</v>
      </c>
      <c r="BJ127" s="24" t="n">
        <f aca="false">IFERROR(BI127/AVERAGE(BI122:BI133),"")</f>
        <v>1.00480242151844</v>
      </c>
    </row>
    <row r="128" customFormat="false" ht="15" hidden="false" customHeight="false" outlineLevel="0" collapsed="false">
      <c r="A128" s="20" t="n">
        <v>41698</v>
      </c>
      <c r="B128" s="22" t="n">
        <f aca="false">MONTH(A128)</f>
        <v>2</v>
      </c>
      <c r="C128" s="23" t="n">
        <f aca="false">IF(ISNUMBER(Tabelle1!E135),(0.5*Tabelle1!E123+SUM(Tabelle1!E124:E134)+0.5*Tabelle1!E135)/12,"")</f>
        <v>125.352796666667</v>
      </c>
      <c r="D128" s="24" t="n">
        <f aca="false">IFERROR(Tabelle1!E129/C128,"")</f>
        <v>0.549937790245818</v>
      </c>
      <c r="E128" s="24" t="n">
        <f aca="false">IFERROR(AVERAGEIFS($D$7:$D$294,$B$7:$B$294,$B128,$A$7:$A$294,"&gt;="&amp;EDATE($A128,-12*'Seasonal Factors'!$E$4),$A$7:$A$294,"&lt;="&amp;EDATE($A128,12*'Seasonal Factors'!$E$4)),"")</f>
        <v>0.573446700940199</v>
      </c>
      <c r="F128" s="24" t="n">
        <f aca="false">IFERROR(E128/AVERAGE(E123:E134),"")</f>
        <v>0.573620391145438</v>
      </c>
      <c r="G128" s="23" t="n">
        <f aca="false">IF(ISNUMBER(Tabelle1!F135),(0.5*Tabelle1!F123+SUM(Tabelle1!F124:F134)+0.5*Tabelle1!F135)/12,"")</f>
        <v>148.756198333333</v>
      </c>
      <c r="H128" s="24" t="n">
        <f aca="false">IFERROR(Tabelle1!F129/G128,"")</f>
        <v>0.548968049163307</v>
      </c>
      <c r="I128" s="24" t="n">
        <f aca="false">IFERROR(AVERAGEIFS($H$7:$H$294,$B$7:$B$294,$B128,$A$7:$A$294,"&gt;="&amp;EDATE($A128,-12*'Seasonal Factors'!$E$4),$A$7:$A$294,"&lt;="&amp;EDATE($A128,12*'Seasonal Factors'!$E$4)),"")</f>
        <v>0.690614943502508</v>
      </c>
      <c r="J128" s="24" t="n">
        <f aca="false">IFERROR(I128/AVERAGE(I123:I134),"")</f>
        <v>0.693907841398008</v>
      </c>
      <c r="K128" s="23" t="n">
        <f aca="false">IF(ISNUMBER(Tabelle1!G135),(0.5*Tabelle1!G123+SUM(Tabelle1!G124:G134)+0.5*Tabelle1!G135)/12,"")</f>
        <v>92.90270875</v>
      </c>
      <c r="L128" s="24" t="n">
        <f aca="false">IFERROR(Tabelle1!G129/K128,"")</f>
        <v>0.934685986752782</v>
      </c>
      <c r="M128" s="24" t="n">
        <f aca="false">IFERROR(AVERAGEIFS($L$7:$L$294,$B$7:$B$294,$B128,$A$7:$A$294,"&gt;="&amp;EDATE($A128,-12*'Seasonal Factors'!$E$4),$A$7:$A$294,"&lt;="&amp;EDATE($A128,12*'Seasonal Factors'!$E$4)),"")</f>
        <v>0.938154078386647</v>
      </c>
      <c r="N128" s="24" t="n">
        <f aca="false">IFERROR(M128/AVERAGE(M123:M134),"")</f>
        <v>0.93778767965103</v>
      </c>
      <c r="O128" s="23" t="n">
        <f aca="false">IF(ISNUMBER(Tabelle1!H135),(0.5*Tabelle1!H123+SUM(Tabelle1!H124:H134)+0.5*Tabelle1!H135)/12,"")</f>
        <v>139.000530833333</v>
      </c>
      <c r="P128" s="24" t="n">
        <f aca="false">IFERROR(Tabelle1!H129/O128,"")</f>
        <v>0.861269588556787</v>
      </c>
      <c r="Q128" s="24" t="n">
        <f aca="false">IFERROR(AVERAGEIFS($P$7:$P$294,$B$7:$B$294,$B128,$A$7:$A$294,"&gt;="&amp;EDATE($A128,-12*'Seasonal Factors'!$E$4),$A$7:$A$294,"&lt;="&amp;EDATE($A128,12*'Seasonal Factors'!$E$4)),"")</f>
        <v>0.858570522446107</v>
      </c>
      <c r="R128" s="24" t="n">
        <f aca="false">IFERROR(Q128/AVERAGE(Q123:Q134),"")</f>
        <v>0.857346793498323</v>
      </c>
      <c r="S128" s="23" t="n">
        <f aca="false">IF(ISNUMBER(Tabelle1!I135),(0.5*Tabelle1!I123+SUM(Tabelle1!I124:I134)+0.5*Tabelle1!I135)/12,"")</f>
        <v>137.15586625</v>
      </c>
      <c r="T128" s="24" t="n">
        <f aca="false">IFERROR(Tabelle1!I129/S128,"")</f>
        <v>0.920197024383563</v>
      </c>
      <c r="U128" s="24" t="n">
        <f aca="false">IFERROR(AVERAGEIFS($T$7:$T$294,$B$7:$B$294,$B128,$A$7:$A$294,"&gt;="&amp;EDATE($A128,-12*'Seasonal Factors'!$E$4),$A$7:$A$294,"&lt;="&amp;EDATE($A128,12*'Seasonal Factors'!$E$4)),"")</f>
        <v>0.970707106883644</v>
      </c>
      <c r="V128" s="24" t="n">
        <f aca="false">IFERROR(U128/AVERAGE(U123:U134),"")</f>
        <v>0.970245585776956</v>
      </c>
      <c r="W128" s="23" t="n">
        <f aca="false">IF(ISNUMBER(Tabelle1!J135),(0.5*Tabelle1!J123+SUM(Tabelle1!J124:J134)+0.5*Tabelle1!J135)/12,"")</f>
        <v>148.377152916667</v>
      </c>
      <c r="X128" s="24" t="n">
        <f aca="false">IFERROR(Tabelle1!J129/W128,"")</f>
        <v>1.00702552288437</v>
      </c>
      <c r="Y128" s="24" t="n">
        <f aca="false">IFERROR(AVERAGEIFS($X$7:$X$294,$B$7:$B$294,$B128,$A$7:$A$294,"&gt;="&amp;EDATE($A128,-12*'Seasonal Factors'!$E$4),$A$7:$A$294,"&lt;="&amp;EDATE($A128,12*'Seasonal Factors'!$E$4)),"")</f>
        <v>0.997126141558109</v>
      </c>
      <c r="Z128" s="24" t="n">
        <f aca="false">IFERROR(Y128/AVERAGE(Y123:Y134),"")</f>
        <v>0.995979858760437</v>
      </c>
      <c r="AA128" s="23" t="n">
        <f aca="false">IF(ISNUMBER(Tabelle1!K135),(0.5*Tabelle1!K123+SUM(Tabelle1!K124:K134)+0.5*Tabelle1!K135)/12,"")</f>
        <v>156.188342083333</v>
      </c>
      <c r="AB128" s="24" t="n">
        <f aca="false">IFERROR(Tabelle1!K129/AA128,"")</f>
        <v>0.901990943247442</v>
      </c>
      <c r="AC128" s="24" t="n">
        <f aca="false">IFERROR(AVERAGEIFS($AB$7:$AB$294,$B$7:$B$294,$B128,$A$7:$A$294,"&gt;="&amp;EDATE($A128,-12*'Seasonal Factors'!$E$4),$A$7:$A$294,"&lt;="&amp;EDATE($A128,12*'Seasonal Factors'!$E$4)),"")</f>
        <v>0.899940285102417</v>
      </c>
      <c r="AD128" s="24" t="n">
        <f aca="false">IFERROR(AC128/AVERAGE(AC123:AC134),"")</f>
        <v>0.898667490250027</v>
      </c>
      <c r="AE128" s="23" t="n">
        <f aca="false">IF(ISNUMBER(Tabelle1!L135),(0.5*Tabelle1!L123+SUM(Tabelle1!L124:L134)+0.5*Tabelle1!L135)/12,"")</f>
        <v>155.21015625</v>
      </c>
      <c r="AF128" s="24" t="n">
        <f aca="false">IFERROR(Tabelle1!L129/AE128,"")</f>
        <v>1.0013778979106</v>
      </c>
      <c r="AG128" s="24" t="n">
        <f aca="false">IFERROR(AVERAGEIFS($AF$7:$AF$294,$B$7:$B$294,$B128,$A$7:$A$294,"&gt;="&amp;EDATE($A128,-12*'Seasonal Factors'!$E$4),$A$7:$A$294,"&lt;="&amp;EDATE($A128,12*'Seasonal Factors'!$E$4)),"")</f>
        <v>1.01377386431219</v>
      </c>
      <c r="AH128" s="24" t="n">
        <f aca="false">IFERROR(AG128/AVERAGE(AG123:AG134),"")</f>
        <v>1.01324037060868</v>
      </c>
      <c r="AI128" s="23" t="n">
        <f aca="false">IF(ISNUMBER(Tabelle1!M135),(0.5*Tabelle1!M123+SUM(Tabelle1!M124:M134)+0.5*Tabelle1!M135)/12,"")</f>
        <v>181.301247083333</v>
      </c>
      <c r="AJ128" s="24" t="n">
        <f aca="false">IFERROR(Tabelle1!M129/AI128,"")</f>
        <v>0.934273606635171</v>
      </c>
      <c r="AK128" s="24" t="n">
        <f aca="false">IFERROR(AVERAGEIFS($AJ$7:$AJ$294,$B$7:$B$294,$B128,$A$7:$A$294,"&gt;="&amp;EDATE($A128,-12*'Seasonal Factors'!$E$4),$A$7:$A$294,"&lt;="&amp;EDATE($A128,12*'Seasonal Factors'!$E$4)),"")</f>
        <v>0.939936743960326</v>
      </c>
      <c r="AL128" s="24" t="n">
        <f aca="false">IFERROR(AK128/AVERAGE(AK123:AK134),"")</f>
        <v>0.93947684162207</v>
      </c>
      <c r="AM128" s="23" t="n">
        <f aca="false">IF(ISNUMBER(Tabelle1!N135),(0.5*Tabelle1!N123+SUM(Tabelle1!N124:N134)+0.5*Tabelle1!N135)/12,"")</f>
        <v>181.418709166667</v>
      </c>
      <c r="AN128" s="24" t="n">
        <f aca="false">IFERROR(Tabelle1!N129/AM128,"")</f>
        <v>0.98524832869245</v>
      </c>
      <c r="AO128" s="24" t="n">
        <f aca="false">IFERROR(AVERAGEIFS($AN$7:$AN$294,$B$7:$B$294,$B128,$A$7:$A$294,"&gt;="&amp;EDATE($A128,-12*'Seasonal Factors'!$E$4),$A$7:$A$294,"&lt;="&amp;EDATE($A128,12*'Seasonal Factors'!$E$4)),"")</f>
        <v>0.972727603155823</v>
      </c>
      <c r="AP128" s="24" t="n">
        <f aca="false">IFERROR(AO128/AVERAGE(AO123:AO134),"")</f>
        <v>0.971954707827772</v>
      </c>
      <c r="AQ128" s="23" t="n">
        <f aca="false">IF(ISNUMBER(Tabelle1!O135),(0.5*Tabelle1!O123+SUM(Tabelle1!O124:O134)+0.5*Tabelle1!O135)/12,"")</f>
        <v>134.009280833333</v>
      </c>
      <c r="AR128" s="24" t="n">
        <f aca="false">IFERROR(Tabelle1!O129/AQ128,"")</f>
        <v>0.959465860875046</v>
      </c>
      <c r="AS128" s="24" t="n">
        <f aca="false">IFERROR(AVERAGEIFS($AR$7:$AR$294,$B$7:$B$294,$B128,$A$7:$A$294,"&gt;="&amp;EDATE($A128,-12*'Seasonal Factors'!$E$4),$A$7:$A$294,"&lt;="&amp;EDATE($A128,12*'Seasonal Factors'!$E$4)),"")</f>
        <v>0.958073916951104</v>
      </c>
      <c r="AT128" s="24" t="n">
        <f aca="false">IFERROR(AS128/AVERAGE(AS123:AS134),"")</f>
        <v>0.957529896302129</v>
      </c>
      <c r="AU128" s="23" t="n">
        <f aca="false">IF(ISNUMBER(Tabelle1!P135),(0.5*Tabelle1!P123+SUM(Tabelle1!P124:P134)+0.5*Tabelle1!P135)/12,"")</f>
        <v>142.205970833333</v>
      </c>
      <c r="AV128" s="24" t="n">
        <f aca="false">IFERROR(Tabelle1!P129/AU128,"")</f>
        <v>0.997705575712318</v>
      </c>
      <c r="AW128" s="24" t="n">
        <f aca="false">IFERROR(AVERAGEIFS($AV$7:$AV$294,$B$7:$B$294,$B128,$A$7:$A$294,"&gt;="&amp;EDATE($A128,-12*'Seasonal Factors'!$E$4),$A$7:$A$294,"&lt;="&amp;EDATE($A128,12*'Seasonal Factors'!$E$4)),"")</f>
        <v>1.00033659067884</v>
      </c>
      <c r="AX128" s="24" t="n">
        <f aca="false">IFERROR(AW128/AVERAGE(AW123:AW134),"")</f>
        <v>1.00000553028901</v>
      </c>
      <c r="AY128" s="23" t="n">
        <f aca="false">IF(ISNUMBER(Tabelle1!Q135),(0.5*Tabelle1!Q123+SUM(Tabelle1!Q124:Q134)+0.5*Tabelle1!Q135)/12,"")</f>
        <v>145.574499583333</v>
      </c>
      <c r="AZ128" s="24" t="n">
        <f aca="false">IFERROR(Tabelle1!Q129/AY128,"")</f>
        <v>0.985462635355845</v>
      </c>
      <c r="BA128" s="24" t="n">
        <f aca="false">IFERROR(AVERAGEIFS($AZ$7:$AZ$294,$B$7:$B$294,$B128,$A$7:$A$294,"&gt;="&amp;EDATE($A128,-12*'Seasonal Factors'!$E$4),$A$7:$A$294,"&lt;="&amp;EDATE($A128,12*'Seasonal Factors'!$E$4)),"")</f>
        <v>0.981312424605707</v>
      </c>
      <c r="BB128" s="24" t="n">
        <f aca="false">IFERROR(BA128/AVERAGE(BA123:BA134),"")</f>
        <v>0.980978226394109</v>
      </c>
      <c r="BC128" s="23" t="n">
        <f aca="false">IF(ISNUMBER(Tabelle1!R135),(0.5*Tabelle1!R123+SUM(Tabelle1!R124:R134)+0.5*Tabelle1!R135)/12,"")</f>
        <v>164.17522875</v>
      </c>
      <c r="BD128" s="24" t="n">
        <f aca="false">IFERROR(Tabelle1!R129/BC128,"")</f>
        <v>0.94032486615311</v>
      </c>
      <c r="BE128" s="24" t="n">
        <f aca="false">IFERROR(AVERAGEIFS($BD$7:$BD$294,$B$7:$B$294,$B128,$A$7:$A$294,"&gt;="&amp;EDATE($A128,-12*'Seasonal Factors'!$E$4),$A$7:$A$294,"&lt;="&amp;EDATE($A128,12*'Seasonal Factors'!$E$4)),"")</f>
        <v>0.941228611988955</v>
      </c>
      <c r="BF128" s="24" t="n">
        <f aca="false">IFERROR(BE128/AVERAGE(BE123:BE134),"")</f>
        <v>0.940916586070628</v>
      </c>
      <c r="BG128" s="23" t="n">
        <f aca="false">IF(ISNUMBER(Tabelle1!S135),(0.5*Tabelle1!S123+SUM(Tabelle1!S124:S134)+0.5*Tabelle1!S135)/12,"")</f>
        <v>149.8468675</v>
      </c>
      <c r="BH128" s="24" t="n">
        <f aca="false">IFERROR(Tabelle1!S129/BG128,"")</f>
        <v>0.969783369011701</v>
      </c>
      <c r="BI128" s="24" t="n">
        <f aca="false">IFERROR(AVERAGEIFS($BH$7:$BH$294,$B$7:$B$294,$B128,$A$7:$A$294,"&gt;="&amp;EDATE($A128,-12*'Seasonal Factors'!$E$4),$A$7:$A$294,"&lt;="&amp;EDATE($A128,12*'Seasonal Factors'!$E$4)),"")</f>
        <v>0.986853258326674</v>
      </c>
      <c r="BJ128" s="24" t="n">
        <f aca="false">IFERROR(BI128/AVERAGE(BI123:BI134),"")</f>
        <v>0.985646575852414</v>
      </c>
    </row>
    <row r="129" customFormat="false" ht="15" hidden="false" customHeight="false" outlineLevel="0" collapsed="false">
      <c r="A129" s="20" t="n">
        <v>41729</v>
      </c>
      <c r="B129" s="22" t="n">
        <f aca="false">MONTH(A129)</f>
        <v>3</v>
      </c>
      <c r="C129" s="23" t="n">
        <f aca="false">IF(ISNUMBER(Tabelle1!E136),(0.5*Tabelle1!E124+SUM(Tabelle1!E125:E135)+0.5*Tabelle1!E136)/12,"")</f>
        <v>125.3212925</v>
      </c>
      <c r="D129" s="24" t="n">
        <f aca="false">IFERROR(Tabelle1!E130/C129,"")</f>
        <v>1.04652966294614</v>
      </c>
      <c r="E129" s="24" t="n">
        <f aca="false">IFERROR(AVERAGEIFS($D$7:$D$294,$B$7:$B$294,$B129,$A$7:$A$294,"&gt;="&amp;EDATE($A129,-12*'Seasonal Factors'!$E$4),$A$7:$A$294,"&lt;="&amp;EDATE($A129,12*'Seasonal Factors'!$E$4)),"")</f>
        <v>1.11117005835475</v>
      </c>
      <c r="F129" s="24" t="n">
        <f aca="false">IFERROR(E129/AVERAGE(E124:E135),"")</f>
        <v>1.11253107485875</v>
      </c>
      <c r="G129" s="23" t="n">
        <f aca="false">IF(ISNUMBER(Tabelle1!F136),(0.5*Tabelle1!F124+SUM(Tabelle1!F125:F135)+0.5*Tabelle1!F136)/12,"")</f>
        <v>148.73125625</v>
      </c>
      <c r="H129" s="24" t="n">
        <f aca="false">IFERROR(Tabelle1!F130/G129,"")</f>
        <v>1.09565886894739</v>
      </c>
      <c r="I129" s="24" t="n">
        <f aca="false">IFERROR(AVERAGEIFS($H$7:$H$294,$B$7:$B$294,$B129,$A$7:$A$294,"&gt;="&amp;EDATE($A129,-12*'Seasonal Factors'!$E$4),$A$7:$A$294,"&lt;="&amp;EDATE($A129,12*'Seasonal Factors'!$E$4)),"")</f>
        <v>0.951809703611738</v>
      </c>
      <c r="J129" s="24" t="n">
        <f aca="false">IFERROR(I129/AVERAGE(I124:I135),"")</f>
        <v>0.954657021297892</v>
      </c>
      <c r="K129" s="23" t="n">
        <f aca="false">IF(ISNUMBER(Tabelle1!G136),(0.5*Tabelle1!G124+SUM(Tabelle1!G125:G135)+0.5*Tabelle1!G136)/12,"")</f>
        <v>92.9847733333333</v>
      </c>
      <c r="L129" s="24" t="n">
        <f aca="false">IFERROR(Tabelle1!G130/K129,"")</f>
        <v>1.03003488169676</v>
      </c>
      <c r="M129" s="24" t="n">
        <f aca="false">IFERROR(AVERAGEIFS($L$7:$L$294,$B$7:$B$294,$B129,$A$7:$A$294,"&gt;="&amp;EDATE($A129,-12*'Seasonal Factors'!$E$4),$A$7:$A$294,"&lt;="&amp;EDATE($A129,12*'Seasonal Factors'!$E$4)),"")</f>
        <v>1.02309500370944</v>
      </c>
      <c r="N129" s="24" t="n">
        <f aca="false">IFERROR(M129/AVERAGE(M124:M135),"")</f>
        <v>1.02267836751251</v>
      </c>
      <c r="O129" s="23" t="n">
        <f aca="false">IF(ISNUMBER(Tabelle1!H136),(0.5*Tabelle1!H124+SUM(Tabelle1!H125:H135)+0.5*Tabelle1!H136)/12,"")</f>
        <v>138.00688125</v>
      </c>
      <c r="P129" s="24" t="n">
        <f aca="false">IFERROR(Tabelle1!H130/O129,"")</f>
        <v>0.98062733375478</v>
      </c>
      <c r="Q129" s="24" t="n">
        <f aca="false">IFERROR(AVERAGEIFS($P$7:$P$294,$B$7:$B$294,$B129,$A$7:$A$294,"&gt;="&amp;EDATE($A129,-12*'Seasonal Factors'!$E$4),$A$7:$A$294,"&lt;="&amp;EDATE($A129,12*'Seasonal Factors'!$E$4)),"")</f>
        <v>1.00654608826104</v>
      </c>
      <c r="R129" s="24" t="n">
        <f aca="false">IFERROR(Q129/AVERAGE(Q124:Q135),"")</f>
        <v>1.00544437114833</v>
      </c>
      <c r="S129" s="23" t="n">
        <f aca="false">IF(ISNUMBER(Tabelle1!I136),(0.5*Tabelle1!I124+SUM(Tabelle1!I125:I135)+0.5*Tabelle1!I136)/12,"")</f>
        <v>136.857624166667</v>
      </c>
      <c r="T129" s="24" t="n">
        <f aca="false">IFERROR(Tabelle1!I130/S129,"")</f>
        <v>0.958670595072011</v>
      </c>
      <c r="U129" s="24" t="n">
        <f aca="false">IFERROR(AVERAGEIFS($T$7:$T$294,$B$7:$B$294,$B129,$A$7:$A$294,"&gt;="&amp;EDATE($A129,-12*'Seasonal Factors'!$E$4),$A$7:$A$294,"&lt;="&amp;EDATE($A129,12*'Seasonal Factors'!$E$4)),"")</f>
        <v>1.00650512024909</v>
      </c>
      <c r="V129" s="24" t="n">
        <f aca="false">IFERROR(U129/AVERAGE(U124:U135),"")</f>
        <v>1.00633896515205</v>
      </c>
      <c r="W129" s="23" t="n">
        <f aca="false">IF(ISNUMBER(Tabelle1!J136),(0.5*Tabelle1!J124+SUM(Tabelle1!J125:J135)+0.5*Tabelle1!J136)/12,"")</f>
        <v>147.928266666667</v>
      </c>
      <c r="X129" s="24" t="n">
        <f aca="false">IFERROR(Tabelle1!J130/W129,"")</f>
        <v>1.01989182594807</v>
      </c>
      <c r="Y129" s="24" t="n">
        <f aca="false">IFERROR(AVERAGEIFS($X$7:$X$294,$B$7:$B$294,$B129,$A$7:$A$294,"&gt;="&amp;EDATE($A129,-12*'Seasonal Factors'!$E$4),$A$7:$A$294,"&lt;="&amp;EDATE($A129,12*'Seasonal Factors'!$E$4)),"")</f>
        <v>1.02574438395997</v>
      </c>
      <c r="Z129" s="24" t="n">
        <f aca="false">IFERROR(Y129/AVERAGE(Y124:Y135),"")</f>
        <v>1.02473535104665</v>
      </c>
      <c r="AA129" s="23" t="n">
        <f aca="false">IF(ISNUMBER(Tabelle1!K136),(0.5*Tabelle1!K124+SUM(Tabelle1!K125:K135)+0.5*Tabelle1!K136)/12,"")</f>
        <v>155.084328333333</v>
      </c>
      <c r="AB129" s="24" t="n">
        <f aca="false">IFERROR(Tabelle1!K130/AA129,"")</f>
        <v>1.01054930362242</v>
      </c>
      <c r="AC129" s="24" t="n">
        <f aca="false">IFERROR(AVERAGEIFS($AB$7:$AB$294,$B$7:$B$294,$B129,$A$7:$A$294,"&gt;="&amp;EDATE($A129,-12*'Seasonal Factors'!$E$4),$A$7:$A$294,"&lt;="&amp;EDATE($A129,12*'Seasonal Factors'!$E$4)),"")</f>
        <v>1.07400679975837</v>
      </c>
      <c r="AD129" s="24" t="n">
        <f aca="false">IFERROR(AC129/AVERAGE(AC124:AC135),"")</f>
        <v>1.07338861453209</v>
      </c>
      <c r="AE129" s="23" t="n">
        <f aca="false">IF(ISNUMBER(Tabelle1!L136),(0.5*Tabelle1!L124+SUM(Tabelle1!L125:L135)+0.5*Tabelle1!L136)/12,"")</f>
        <v>155.05968875</v>
      </c>
      <c r="AF129" s="24" t="n">
        <f aca="false">IFERROR(Tabelle1!L130/AE129,"")</f>
        <v>0.965116409083467</v>
      </c>
      <c r="AG129" s="24" t="n">
        <f aca="false">IFERROR(AVERAGEIFS($AF$7:$AF$294,$B$7:$B$294,$B129,$A$7:$A$294,"&gt;="&amp;EDATE($A129,-12*'Seasonal Factors'!$E$4),$A$7:$A$294,"&lt;="&amp;EDATE($A129,12*'Seasonal Factors'!$E$4)),"")</f>
        <v>0.982998710483666</v>
      </c>
      <c r="AH129" s="24" t="n">
        <f aca="false">IFERROR(AG129/AVERAGE(AG124:AG135),"")</f>
        <v>0.982427620834427</v>
      </c>
      <c r="AI129" s="23" t="n">
        <f aca="false">IF(ISNUMBER(Tabelle1!M136),(0.5*Tabelle1!M124+SUM(Tabelle1!M125:M135)+0.5*Tabelle1!M136)/12,"")</f>
        <v>181.218112083333</v>
      </c>
      <c r="AJ129" s="24" t="n">
        <f aca="false">IFERROR(Tabelle1!M130/AI129,"")</f>
        <v>0.97973153984937</v>
      </c>
      <c r="AK129" s="24" t="n">
        <f aca="false">IFERROR(AVERAGEIFS($AJ$7:$AJ$294,$B$7:$B$294,$B129,$A$7:$A$294,"&gt;="&amp;EDATE($A129,-12*'Seasonal Factors'!$E$4),$A$7:$A$294,"&lt;="&amp;EDATE($A129,12*'Seasonal Factors'!$E$4)),"")</f>
        <v>1.00138968081648</v>
      </c>
      <c r="AL129" s="24" t="n">
        <f aca="false">IFERROR(AK129/AVERAGE(AK124:AK135),"")</f>
        <v>1.00096176007715</v>
      </c>
      <c r="AM129" s="23" t="n">
        <f aca="false">IF(ISNUMBER(Tabelle1!N136),(0.5*Tabelle1!N124+SUM(Tabelle1!N125:N135)+0.5*Tabelle1!N136)/12,"")</f>
        <v>180.673517083333</v>
      </c>
      <c r="AN129" s="24" t="n">
        <f aca="false">IFERROR(Tabelle1!N130/AM129,"")</f>
        <v>0.978413842015737</v>
      </c>
      <c r="AO129" s="24" t="n">
        <f aca="false">IFERROR(AVERAGEIFS($AN$7:$AN$294,$B$7:$B$294,$B129,$A$7:$A$294,"&gt;="&amp;EDATE($A129,-12*'Seasonal Factors'!$E$4),$A$7:$A$294,"&lt;="&amp;EDATE($A129,12*'Seasonal Factors'!$E$4)),"")</f>
        <v>1.00237731144287</v>
      </c>
      <c r="AP129" s="24" t="n">
        <f aca="false">IFERROR(AO129/AVERAGE(AO124:AO135),"")</f>
        <v>1.00172390992659</v>
      </c>
      <c r="AQ129" s="23" t="n">
        <f aca="false">IF(ISNUMBER(Tabelle1!O136),(0.5*Tabelle1!O124+SUM(Tabelle1!O125:O135)+0.5*Tabelle1!O136)/12,"")</f>
        <v>133.98064125</v>
      </c>
      <c r="AR129" s="24" t="n">
        <f aca="false">IFERROR(Tabelle1!O130/AQ129,"")</f>
        <v>0.963698477596292</v>
      </c>
      <c r="AS129" s="24" t="n">
        <f aca="false">IFERROR(AVERAGEIFS($AR$7:$AR$294,$B$7:$B$294,$B129,$A$7:$A$294,"&gt;="&amp;EDATE($A129,-12*'Seasonal Factors'!$E$4),$A$7:$A$294,"&lt;="&amp;EDATE($A129,12*'Seasonal Factors'!$E$4)),"")</f>
        <v>0.987433287380187</v>
      </c>
      <c r="AT129" s="24" t="n">
        <f aca="false">IFERROR(AS129/AVERAGE(AS124:AS135),"")</f>
        <v>0.987127529811695</v>
      </c>
      <c r="AU129" s="23" t="n">
        <f aca="false">IF(ISNUMBER(Tabelle1!P136),(0.5*Tabelle1!P124+SUM(Tabelle1!P125:P135)+0.5*Tabelle1!P136)/12,"")</f>
        <v>142.572088333333</v>
      </c>
      <c r="AV129" s="24" t="n">
        <f aca="false">IFERROR(Tabelle1!P130/AU129,"")</f>
        <v>0.997635172934095</v>
      </c>
      <c r="AW129" s="24" t="n">
        <f aca="false">IFERROR(AVERAGEIFS($AV$7:$AV$294,$B$7:$B$294,$B129,$A$7:$A$294,"&gt;="&amp;EDATE($A129,-12*'Seasonal Factors'!$E$4),$A$7:$A$294,"&lt;="&amp;EDATE($A129,12*'Seasonal Factors'!$E$4)),"")</f>
        <v>0.997741052250473</v>
      </c>
      <c r="AX129" s="24" t="n">
        <f aca="false">IFERROR(AW129/AVERAGE(AW124:AW135),"")</f>
        <v>0.997582644804633</v>
      </c>
      <c r="AY129" s="23" t="n">
        <f aca="false">IF(ISNUMBER(Tabelle1!Q136),(0.5*Tabelle1!Q124+SUM(Tabelle1!Q125:Q135)+0.5*Tabelle1!Q136)/12,"")</f>
        <v>145.91461</v>
      </c>
      <c r="AZ129" s="24" t="n">
        <f aca="false">IFERROR(Tabelle1!Q130/AY129,"")</f>
        <v>0.983236702616688</v>
      </c>
      <c r="BA129" s="24" t="n">
        <f aca="false">IFERROR(AVERAGEIFS($AZ$7:$AZ$294,$B$7:$B$294,$B129,$A$7:$A$294,"&gt;="&amp;EDATE($A129,-12*'Seasonal Factors'!$E$4),$A$7:$A$294,"&lt;="&amp;EDATE($A129,12*'Seasonal Factors'!$E$4)),"")</f>
        <v>0.986139768487588</v>
      </c>
      <c r="BB129" s="24" t="n">
        <f aca="false">IFERROR(BA129/AVERAGE(BA124:BA135),"")</f>
        <v>0.985903796340468</v>
      </c>
      <c r="BC129" s="23" t="n">
        <f aca="false">IF(ISNUMBER(Tabelle1!R136),(0.5*Tabelle1!R124+SUM(Tabelle1!R125:R135)+0.5*Tabelle1!R136)/12,"")</f>
        <v>164.384983333333</v>
      </c>
      <c r="BD129" s="24" t="n">
        <f aca="false">IFERROR(Tabelle1!R130/BC129,"")</f>
        <v>1.01921329188727</v>
      </c>
      <c r="BE129" s="24" t="n">
        <f aca="false">IFERROR(AVERAGEIFS($BD$7:$BD$294,$B$7:$B$294,$B129,$A$7:$A$294,"&gt;="&amp;EDATE($A129,-12*'Seasonal Factors'!$E$4),$A$7:$A$294,"&lt;="&amp;EDATE($A129,12*'Seasonal Factors'!$E$4)),"")</f>
        <v>1.01847083499822</v>
      </c>
      <c r="BF129" s="24" t="n">
        <f aca="false">IFERROR(BE129/AVERAGE(BE124:BE135),"")</f>
        <v>1.01848722453276</v>
      </c>
      <c r="BG129" s="23" t="n">
        <f aca="false">IF(ISNUMBER(Tabelle1!S136),(0.5*Tabelle1!S124+SUM(Tabelle1!S125:S135)+0.5*Tabelle1!S136)/12,"")</f>
        <v>149.547608333333</v>
      </c>
      <c r="BH129" s="24" t="n">
        <f aca="false">IFERROR(Tabelle1!S130/BG129,"")</f>
        <v>0.983141366408791</v>
      </c>
      <c r="BI129" s="24" t="n">
        <f aca="false">IFERROR(AVERAGEIFS($BH$7:$BH$294,$B$7:$B$294,$B129,$A$7:$A$294,"&gt;="&amp;EDATE($A129,-12*'Seasonal Factors'!$E$4),$A$7:$A$294,"&lt;="&amp;EDATE($A129,12*'Seasonal Factors'!$E$4)),"")</f>
        <v>0.977583701387667</v>
      </c>
      <c r="BJ129" s="24" t="n">
        <f aca="false">IFERROR(BI129/AVERAGE(BI124:BI135),"")</f>
        <v>0.976713430300481</v>
      </c>
    </row>
    <row r="130" customFormat="false" ht="15" hidden="false" customHeight="false" outlineLevel="0" collapsed="false">
      <c r="A130" s="20" t="n">
        <v>41759</v>
      </c>
      <c r="B130" s="22" t="n">
        <f aca="false">MONTH(A130)</f>
        <v>4</v>
      </c>
      <c r="C130" s="23" t="n">
        <f aca="false">IF(ISNUMBER(Tabelle1!E137),(0.5*Tabelle1!E125+SUM(Tabelle1!E126:E136)+0.5*Tabelle1!E137)/12,"")</f>
        <v>125.282839583333</v>
      </c>
      <c r="D130" s="24" t="n">
        <f aca="false">IFERROR(Tabelle1!E131/C130,"")</f>
        <v>1.7064701814792</v>
      </c>
      <c r="E130" s="24" t="n">
        <f aca="false">IFERROR(AVERAGEIFS($D$7:$D$294,$B$7:$B$294,$B130,$A$7:$A$294,"&gt;="&amp;EDATE($A130,-12*'Seasonal Factors'!$E$4),$A$7:$A$294,"&lt;="&amp;EDATE($A130,12*'Seasonal Factors'!$E$4)),"")</f>
        <v>1.68433904021311</v>
      </c>
      <c r="F130" s="24" t="n">
        <f aca="false">IFERROR(E130/AVERAGE(E125:E136),"")</f>
        <v>1.68575266853203</v>
      </c>
      <c r="G130" s="23" t="n">
        <f aca="false">IF(ISNUMBER(Tabelle1!F137),(0.5*Tabelle1!F125+SUM(Tabelle1!F126:F136)+0.5*Tabelle1!F137)/12,"")</f>
        <v>149.966497916667</v>
      </c>
      <c r="H130" s="24" t="n">
        <f aca="false">IFERROR(Tabelle1!F131/G130,"")</f>
        <v>0.908882529721673</v>
      </c>
      <c r="I130" s="24" t="n">
        <f aca="false">IFERROR(AVERAGEIFS($H$7:$H$294,$B$7:$B$294,$B130,$A$7:$A$294,"&gt;="&amp;EDATE($A130,-12*'Seasonal Factors'!$E$4),$A$7:$A$294,"&lt;="&amp;EDATE($A130,12*'Seasonal Factors'!$E$4)),"")</f>
        <v>0.841295082032508</v>
      </c>
      <c r="J130" s="24" t="n">
        <f aca="false">IFERROR(I130/AVERAGE(I125:I136),"")</f>
        <v>0.839871716078804</v>
      </c>
      <c r="K130" s="23" t="n">
        <f aca="false">IF(ISNUMBER(Tabelle1!G137),(0.5*Tabelle1!G125+SUM(Tabelle1!G126:G136)+0.5*Tabelle1!G137)/12,"")</f>
        <v>93.1388166666667</v>
      </c>
      <c r="L130" s="24" t="n">
        <f aca="false">IFERROR(Tabelle1!G131/K130,"")</f>
        <v>0.964291078782226</v>
      </c>
      <c r="M130" s="24" t="n">
        <f aca="false">IFERROR(AVERAGEIFS($L$7:$L$294,$B$7:$B$294,$B130,$A$7:$A$294,"&gt;="&amp;EDATE($A130,-12*'Seasonal Factors'!$E$4),$A$7:$A$294,"&lt;="&amp;EDATE($A130,12*'Seasonal Factors'!$E$4)),"")</f>
        <v>0.970968679792642</v>
      </c>
      <c r="N130" s="24" t="n">
        <f aca="false">IFERROR(M130/AVERAGE(M125:M136),"")</f>
        <v>0.970733427385226</v>
      </c>
      <c r="O130" s="23" t="n">
        <f aca="false">IF(ISNUMBER(Tabelle1!H137),(0.5*Tabelle1!H125+SUM(Tabelle1!H126:H136)+0.5*Tabelle1!H137)/12,"")</f>
        <v>137.113437916667</v>
      </c>
      <c r="P130" s="24" t="n">
        <f aca="false">IFERROR(Tabelle1!H131/O130,"")</f>
        <v>0.99003549223602</v>
      </c>
      <c r="Q130" s="24" t="n">
        <f aca="false">IFERROR(AVERAGEIFS($P$7:$P$294,$B$7:$B$294,$B130,$A$7:$A$294,"&gt;="&amp;EDATE($A130,-12*'Seasonal Factors'!$E$4),$A$7:$A$294,"&lt;="&amp;EDATE($A130,12*'Seasonal Factors'!$E$4)),"")</f>
        <v>0.991608419857141</v>
      </c>
      <c r="R130" s="24" t="n">
        <f aca="false">IFERROR(Q130/AVERAGE(Q125:Q136),"")</f>
        <v>0.990442715721896</v>
      </c>
      <c r="S130" s="23" t="n">
        <f aca="false">IF(ISNUMBER(Tabelle1!I137),(0.5*Tabelle1!I125+SUM(Tabelle1!I126:I136)+0.5*Tabelle1!I137)/12,"")</f>
        <v>137.125567083333</v>
      </c>
      <c r="T130" s="24" t="n">
        <f aca="false">IFERROR(Tabelle1!I131/S130,"")</f>
        <v>0.938104197022753</v>
      </c>
      <c r="U130" s="24" t="n">
        <f aca="false">IFERROR(AVERAGEIFS($T$7:$T$294,$B$7:$B$294,$B130,$A$7:$A$294,"&gt;="&amp;EDATE($A130,-12*'Seasonal Factors'!$E$4),$A$7:$A$294,"&lt;="&amp;EDATE($A130,12*'Seasonal Factors'!$E$4)),"")</f>
        <v>0.94501702881485</v>
      </c>
      <c r="V130" s="24" t="n">
        <f aca="false">IFERROR(U130/AVERAGE(U125:U136),"")</f>
        <v>0.944963708305258</v>
      </c>
      <c r="W130" s="23" t="n">
        <f aca="false">IF(ISNUMBER(Tabelle1!J137),(0.5*Tabelle1!J125+SUM(Tabelle1!J126:J136)+0.5*Tabelle1!J137)/12,"")</f>
        <v>147.496132916667</v>
      </c>
      <c r="X130" s="24" t="n">
        <f aca="false">IFERROR(Tabelle1!J131/W130,"")</f>
        <v>0.993629643719558</v>
      </c>
      <c r="Y130" s="24" t="n">
        <f aca="false">IFERROR(AVERAGEIFS($X$7:$X$294,$B$7:$B$294,$B130,$A$7:$A$294,"&gt;="&amp;EDATE($A130,-12*'Seasonal Factors'!$E$4),$A$7:$A$294,"&lt;="&amp;EDATE($A130,12*'Seasonal Factors'!$E$4)),"")</f>
        <v>0.982278535333151</v>
      </c>
      <c r="Z130" s="24" t="n">
        <f aca="false">IFERROR(Y130/AVERAGE(Y125:Y136),"")</f>
        <v>0.981474545300953</v>
      </c>
      <c r="AA130" s="23" t="n">
        <f aca="false">IF(ISNUMBER(Tabelle1!K137),(0.5*Tabelle1!K125+SUM(Tabelle1!K126:K136)+0.5*Tabelle1!K137)/12,"")</f>
        <v>154.202910416667</v>
      </c>
      <c r="AB130" s="24" t="n">
        <f aca="false">IFERROR(Tabelle1!K131/AA130,"")</f>
        <v>0.990404588261865</v>
      </c>
      <c r="AC130" s="24" t="n">
        <f aca="false">IFERROR(AVERAGEIFS($AB$7:$AB$294,$B$7:$B$294,$B130,$A$7:$A$294,"&gt;="&amp;EDATE($A130,-12*'Seasonal Factors'!$E$4),$A$7:$A$294,"&lt;="&amp;EDATE($A130,12*'Seasonal Factors'!$E$4)),"")</f>
        <v>0.98565543261732</v>
      </c>
      <c r="AD130" s="24" t="n">
        <f aca="false">IFERROR(AC130/AVERAGE(AC125:AC136),"")</f>
        <v>0.985136730509727</v>
      </c>
      <c r="AE130" s="23" t="n">
        <f aca="false">IF(ISNUMBER(Tabelle1!L137),(0.5*Tabelle1!L125+SUM(Tabelle1!L126:L136)+0.5*Tabelle1!L137)/12,"")</f>
        <v>155.175419583333</v>
      </c>
      <c r="AF130" s="24" t="n">
        <f aca="false">IFERROR(Tabelle1!L131/AE130,"")</f>
        <v>0.952963300483208</v>
      </c>
      <c r="AG130" s="24" t="n">
        <f aca="false">IFERROR(AVERAGEIFS($AF$7:$AF$294,$B$7:$B$294,$B130,$A$7:$A$294,"&gt;="&amp;EDATE($A130,-12*'Seasonal Factors'!$E$4),$A$7:$A$294,"&lt;="&amp;EDATE($A130,12*'Seasonal Factors'!$E$4)),"")</f>
        <v>0.961049773798882</v>
      </c>
      <c r="AH130" s="24" t="n">
        <f aca="false">IFERROR(AG130/AVERAGE(AG125:AG136),"")</f>
        <v>0.960371596510721</v>
      </c>
      <c r="AI130" s="23" t="n">
        <f aca="false">IF(ISNUMBER(Tabelle1!M137),(0.5*Tabelle1!M125+SUM(Tabelle1!M126:M136)+0.5*Tabelle1!M137)/12,"")</f>
        <v>181.321325833333</v>
      </c>
      <c r="AJ130" s="24" t="n">
        <f aca="false">IFERROR(Tabelle1!M131/AI130,"")</f>
        <v>1.02189369699577</v>
      </c>
      <c r="AK130" s="24" t="n">
        <f aca="false">IFERROR(AVERAGEIFS($AJ$7:$AJ$294,$B$7:$B$294,$B130,$A$7:$A$294,"&gt;="&amp;EDATE($A130,-12*'Seasonal Factors'!$E$4),$A$7:$A$294,"&lt;="&amp;EDATE($A130,12*'Seasonal Factors'!$E$4)),"")</f>
        <v>1.01742851764462</v>
      </c>
      <c r="AL130" s="24" t="n">
        <f aca="false">IFERROR(AK130/AVERAGE(AK125:AK136),"")</f>
        <v>1.01696910874819</v>
      </c>
      <c r="AM130" s="23" t="n">
        <f aca="false">IF(ISNUMBER(Tabelle1!N137),(0.5*Tabelle1!N125+SUM(Tabelle1!N126:N136)+0.5*Tabelle1!N137)/12,"")</f>
        <v>180.10757</v>
      </c>
      <c r="AN130" s="24" t="n">
        <f aca="false">IFERROR(Tabelle1!N131/AM130,"")</f>
        <v>0.977943903190743</v>
      </c>
      <c r="AO130" s="24" t="n">
        <f aca="false">IFERROR(AVERAGEIFS($AN$7:$AN$294,$B$7:$B$294,$B130,$A$7:$A$294,"&gt;="&amp;EDATE($A130,-12*'Seasonal Factors'!$E$4),$A$7:$A$294,"&lt;="&amp;EDATE($A130,12*'Seasonal Factors'!$E$4)),"")</f>
        <v>0.982417704792223</v>
      </c>
      <c r="AP130" s="24" t="n">
        <f aca="false">IFERROR(AO130/AVERAGE(AO125:AO136),"")</f>
        <v>0.981796442495065</v>
      </c>
      <c r="AQ130" s="23" t="n">
        <f aca="false">IF(ISNUMBER(Tabelle1!O137),(0.5*Tabelle1!O125+SUM(Tabelle1!O126:O136)+0.5*Tabelle1!O137)/12,"")</f>
        <v>133.957944583333</v>
      </c>
      <c r="AR130" s="24" t="n">
        <f aca="false">IFERROR(Tabelle1!O131/AQ130,"")</f>
        <v>0.977758358471379</v>
      </c>
      <c r="AS130" s="24" t="n">
        <f aca="false">IFERROR(AVERAGEIFS($AR$7:$AR$294,$B$7:$B$294,$B130,$A$7:$A$294,"&gt;="&amp;EDATE($A130,-12*'Seasonal Factors'!$E$4),$A$7:$A$294,"&lt;="&amp;EDATE($A130,12*'Seasonal Factors'!$E$4)),"")</f>
        <v>0.98923122700035</v>
      </c>
      <c r="AT130" s="24" t="n">
        <f aca="false">IFERROR(AS130/AVERAGE(AS125:AS136),"")</f>
        <v>0.988872406140251</v>
      </c>
      <c r="AU130" s="23" t="n">
        <f aca="false">IF(ISNUMBER(Tabelle1!P137),(0.5*Tabelle1!P125+SUM(Tabelle1!P126:P136)+0.5*Tabelle1!P137)/12,"")</f>
        <v>142.948391666667</v>
      </c>
      <c r="AV130" s="24" t="n">
        <f aca="false">IFERROR(Tabelle1!P131/AU130,"")</f>
        <v>0.991840190343753</v>
      </c>
      <c r="AW130" s="24" t="n">
        <f aca="false">IFERROR(AVERAGEIFS($AV$7:$AV$294,$B$7:$B$294,$B130,$A$7:$A$294,"&gt;="&amp;EDATE($A130,-12*'Seasonal Factors'!$E$4),$A$7:$A$294,"&lt;="&amp;EDATE($A130,12*'Seasonal Factors'!$E$4)),"")</f>
        <v>0.993439823134202</v>
      </c>
      <c r="AX130" s="24" t="n">
        <f aca="false">IFERROR(AW130/AVERAGE(AW125:AW136),"")</f>
        <v>0.993341059529699</v>
      </c>
      <c r="AY130" s="23" t="n">
        <f aca="false">IF(ISNUMBER(Tabelle1!Q137),(0.5*Tabelle1!Q125+SUM(Tabelle1!Q126:Q136)+0.5*Tabelle1!Q137)/12,"")</f>
        <v>146.331571666667</v>
      </c>
      <c r="AZ130" s="24" t="n">
        <f aca="false">IFERROR(Tabelle1!Q131/AY130,"")</f>
        <v>0.989634146278959</v>
      </c>
      <c r="BA130" s="24" t="n">
        <f aca="false">IFERROR(AVERAGEIFS($AZ$7:$AZ$294,$B$7:$B$294,$B130,$A$7:$A$294,"&gt;="&amp;EDATE($A130,-12*'Seasonal Factors'!$E$4),$A$7:$A$294,"&lt;="&amp;EDATE($A130,12*'Seasonal Factors'!$E$4)),"")</f>
        <v>0.98883519715166</v>
      </c>
      <c r="BB130" s="24" t="n">
        <f aca="false">IFERROR(BA130/AVERAGE(BA125:BA136),"")</f>
        <v>0.988618689294634</v>
      </c>
      <c r="BC130" s="23" t="n">
        <f aca="false">IF(ISNUMBER(Tabelle1!R137),(0.5*Tabelle1!R125+SUM(Tabelle1!R126:R136)+0.5*Tabelle1!R137)/12,"")</f>
        <v>164.636428333333</v>
      </c>
      <c r="BD130" s="24" t="n">
        <f aca="false">IFERROR(Tabelle1!R131/BC130,"")</f>
        <v>1.05002970332902</v>
      </c>
      <c r="BE130" s="24" t="n">
        <f aca="false">IFERROR(AVERAGEIFS($BD$7:$BD$294,$B$7:$B$294,$B130,$A$7:$A$294,"&gt;="&amp;EDATE($A130,-12*'Seasonal Factors'!$E$4),$A$7:$A$294,"&lt;="&amp;EDATE($A130,12*'Seasonal Factors'!$E$4)),"")</f>
        <v>1.0493142171897</v>
      </c>
      <c r="BF130" s="24" t="n">
        <f aca="false">IFERROR(BE130/AVERAGE(BE125:BE136),"")</f>
        <v>1.04946613990545</v>
      </c>
      <c r="BG130" s="23" t="n">
        <f aca="false">IF(ISNUMBER(Tabelle1!S137),(0.5*Tabelle1!S125+SUM(Tabelle1!S126:S136)+0.5*Tabelle1!S137)/12,"")</f>
        <v>149.348039583333</v>
      </c>
      <c r="BH130" s="24" t="n">
        <f aca="false">IFERROR(Tabelle1!S131/BG130,"")</f>
        <v>0.986839334558278</v>
      </c>
      <c r="BI130" s="24" t="n">
        <f aca="false">IFERROR(AVERAGEIFS($BH$7:$BH$294,$B$7:$B$294,$B130,$A$7:$A$294,"&gt;="&amp;EDATE($A130,-12*'Seasonal Factors'!$E$4),$A$7:$A$294,"&lt;="&amp;EDATE($A130,12*'Seasonal Factors'!$E$4)),"")</f>
        <v>0.991955108876612</v>
      </c>
      <c r="BJ130" s="24" t="n">
        <f aca="false">IFERROR(BI130/AVERAGE(BI125:BI136),"")</f>
        <v>0.991127024881686</v>
      </c>
    </row>
    <row r="131" customFormat="false" ht="15" hidden="false" customHeight="false" outlineLevel="0" collapsed="false">
      <c r="A131" s="20" t="n">
        <v>41790</v>
      </c>
      <c r="B131" s="22" t="n">
        <f aca="false">MONTH(A131)</f>
        <v>5</v>
      </c>
      <c r="C131" s="23" t="n">
        <f aca="false">IF(ISNUMBER(Tabelle1!E138),(0.5*Tabelle1!E126+SUM(Tabelle1!E127:E137)+0.5*Tabelle1!E138)/12,"")</f>
        <v>125.21465375</v>
      </c>
      <c r="D131" s="24" t="n">
        <f aca="false">IFERROR(Tabelle1!E132/C131,"")</f>
        <v>2.58596873690592</v>
      </c>
      <c r="E131" s="24" t="n">
        <f aca="false">IFERROR(AVERAGEIFS($D$7:$D$294,$B$7:$B$294,$B131,$A$7:$A$294,"&gt;="&amp;EDATE($A131,-12*'Seasonal Factors'!$E$4),$A$7:$A$294,"&lt;="&amp;EDATE($A131,12*'Seasonal Factors'!$E$4)),"")</f>
        <v>2.47186552183998</v>
      </c>
      <c r="F131" s="24" t="n">
        <f aca="false">IFERROR(E131/AVERAGE(E126:E137),"")</f>
        <v>2.47328962899021</v>
      </c>
      <c r="G131" s="23" t="n">
        <f aca="false">IF(ISNUMBER(Tabelle1!F138),(0.5*Tabelle1!F126+SUM(Tabelle1!F127:F137)+0.5*Tabelle1!F138)/12,"")</f>
        <v>151.212762916667</v>
      </c>
      <c r="H131" s="24" t="n">
        <f aca="false">IFERROR(Tabelle1!F132/G131,"")</f>
        <v>1.17867524250068</v>
      </c>
      <c r="I131" s="24" t="n">
        <f aca="false">IFERROR(AVERAGEIFS($H$7:$H$294,$B$7:$B$294,$B131,$A$7:$A$294,"&gt;="&amp;EDATE($A131,-12*'Seasonal Factors'!$E$4),$A$7:$A$294,"&lt;="&amp;EDATE($A131,12*'Seasonal Factors'!$E$4)),"")</f>
        <v>1.012474818051</v>
      </c>
      <c r="J131" s="24" t="n">
        <f aca="false">IFERROR(I131/AVERAGE(I126:I137),"")</f>
        <v>1.01210979677814</v>
      </c>
      <c r="K131" s="23" t="n">
        <f aca="false">IF(ISNUMBER(Tabelle1!G138),(0.5*Tabelle1!G126+SUM(Tabelle1!G127:G137)+0.5*Tabelle1!G138)/12,"")</f>
        <v>93.3002479166667</v>
      </c>
      <c r="L131" s="24" t="n">
        <f aca="false">IFERROR(Tabelle1!G132/K131,"")</f>
        <v>1.05227008708154</v>
      </c>
      <c r="M131" s="24" t="n">
        <f aca="false">IFERROR(AVERAGEIFS($L$7:$L$294,$B$7:$B$294,$B131,$A$7:$A$294,"&gt;="&amp;EDATE($A131,-12*'Seasonal Factors'!$E$4),$A$7:$A$294,"&lt;="&amp;EDATE($A131,12*'Seasonal Factors'!$E$4)),"")</f>
        <v>1.02637997302703</v>
      </c>
      <c r="N131" s="24" t="n">
        <f aca="false">IFERROR(M131/AVERAGE(M126:M137),"")</f>
        <v>1.02613747380116</v>
      </c>
      <c r="O131" s="23" t="n">
        <f aca="false">IF(ISNUMBER(Tabelle1!H138),(0.5*Tabelle1!H126+SUM(Tabelle1!H127:H137)+0.5*Tabelle1!H138)/12,"")</f>
        <v>136.329692083333</v>
      </c>
      <c r="P131" s="24" t="n">
        <f aca="false">IFERROR(Tabelle1!H132/O131,"")</f>
        <v>1.02997914727313</v>
      </c>
      <c r="Q131" s="24" t="n">
        <f aca="false">IFERROR(AVERAGEIFS($P$7:$P$294,$B$7:$B$294,$B131,$A$7:$A$294,"&gt;="&amp;EDATE($A131,-12*'Seasonal Factors'!$E$4),$A$7:$A$294,"&lt;="&amp;EDATE($A131,12*'Seasonal Factors'!$E$4)),"")</f>
        <v>1.02885174150481</v>
      </c>
      <c r="R131" s="24" t="n">
        <f aca="false">IFERROR(Q131/AVERAGE(Q126:Q137),"")</f>
        <v>1.02766555032084</v>
      </c>
      <c r="S131" s="23" t="n">
        <f aca="false">IF(ISNUMBER(Tabelle1!I138),(0.5*Tabelle1!I126+SUM(Tabelle1!I127:I137)+0.5*Tabelle1!I138)/12,"")</f>
        <v>137.740602916667</v>
      </c>
      <c r="T131" s="24" t="n">
        <f aca="false">IFERROR(Tabelle1!I132/S131,"")</f>
        <v>1.01041934660473</v>
      </c>
      <c r="U131" s="24" t="n">
        <f aca="false">IFERROR(AVERAGEIFS($T$7:$T$294,$B$7:$B$294,$B131,$A$7:$A$294,"&gt;="&amp;EDATE($A131,-12*'Seasonal Factors'!$E$4),$A$7:$A$294,"&lt;="&amp;EDATE($A131,12*'Seasonal Factors'!$E$4)),"")</f>
        <v>1.00405151740012</v>
      </c>
      <c r="V131" s="24" t="n">
        <f aca="false">IFERROR(U131/AVERAGE(U126:U137),"")</f>
        <v>1.00415262373594</v>
      </c>
      <c r="W131" s="23" t="n">
        <f aca="false">IF(ISNUMBER(Tabelle1!J138),(0.5*Tabelle1!J126+SUM(Tabelle1!J127:J137)+0.5*Tabelle1!J138)/12,"")</f>
        <v>147.128740833333</v>
      </c>
      <c r="X131" s="24" t="n">
        <f aca="false">IFERROR(Tabelle1!J132/W131,"")</f>
        <v>1.0074215218623</v>
      </c>
      <c r="Y131" s="24" t="n">
        <f aca="false">IFERROR(AVERAGEIFS($X$7:$X$294,$B$7:$B$294,$B131,$A$7:$A$294,"&gt;="&amp;EDATE($A131,-12*'Seasonal Factors'!$E$4),$A$7:$A$294,"&lt;="&amp;EDATE($A131,12*'Seasonal Factors'!$E$4)),"")</f>
        <v>1.00556629723653</v>
      </c>
      <c r="Z131" s="24" t="n">
        <f aca="false">IFERROR(Y131/AVERAGE(Y126:Y137),"")</f>
        <v>1.00510548337926</v>
      </c>
      <c r="AA131" s="23" t="n">
        <f aca="false">IF(ISNUMBER(Tabelle1!K138),(0.5*Tabelle1!K126+SUM(Tabelle1!K127:K137)+0.5*Tabelle1!K138)/12,"")</f>
        <v>153.306517916667</v>
      </c>
      <c r="AB131" s="24" t="n">
        <f aca="false">IFERROR(Tabelle1!K132/AA131,"")</f>
        <v>1.01459176109231</v>
      </c>
      <c r="AC131" s="24" t="n">
        <f aca="false">IFERROR(AVERAGEIFS($AB$7:$AB$294,$B$7:$B$294,$B131,$A$7:$A$294,"&gt;="&amp;EDATE($A131,-12*'Seasonal Factors'!$E$4),$A$7:$A$294,"&lt;="&amp;EDATE($A131,12*'Seasonal Factors'!$E$4)),"")</f>
        <v>1.02173875303449</v>
      </c>
      <c r="AD131" s="24" t="n">
        <f aca="false">IFERROR(AC131/AVERAGE(AC126:AC137),"")</f>
        <v>1.02092597642601</v>
      </c>
      <c r="AE131" s="23" t="n">
        <f aca="false">IF(ISNUMBER(Tabelle1!L138),(0.5*Tabelle1!L126+SUM(Tabelle1!L127:L137)+0.5*Tabelle1!L138)/12,"")</f>
        <v>155.569527916667</v>
      </c>
      <c r="AF131" s="24" t="n">
        <f aca="false">IFERROR(Tabelle1!L132/AE131,"")</f>
        <v>0.933994413596427</v>
      </c>
      <c r="AG131" s="24" t="n">
        <f aca="false">IFERROR(AVERAGEIFS($AF$7:$AF$294,$B$7:$B$294,$B131,$A$7:$A$294,"&gt;="&amp;EDATE($A131,-12*'Seasonal Factors'!$E$4),$A$7:$A$294,"&lt;="&amp;EDATE($A131,12*'Seasonal Factors'!$E$4)),"")</f>
        <v>0.933326919480942</v>
      </c>
      <c r="AH131" s="24" t="n">
        <f aca="false">IFERROR(AG131/AVERAGE(AG126:AG137),"")</f>
        <v>0.932453570720323</v>
      </c>
      <c r="AI131" s="23" t="n">
        <f aca="false">IF(ISNUMBER(Tabelle1!M138),(0.5*Tabelle1!M126+SUM(Tabelle1!M127:M137)+0.5*Tabelle1!M138)/12,"")</f>
        <v>181.438933333333</v>
      </c>
      <c r="AJ131" s="24" t="n">
        <f aca="false">IFERROR(Tabelle1!M132/AI131,"")</f>
        <v>1.08271635194798</v>
      </c>
      <c r="AK131" s="24" t="n">
        <f aca="false">IFERROR(AVERAGEIFS($AJ$7:$AJ$294,$B$7:$B$294,$B131,$A$7:$A$294,"&gt;="&amp;EDATE($A131,-12*'Seasonal Factors'!$E$4),$A$7:$A$294,"&lt;="&amp;EDATE($A131,12*'Seasonal Factors'!$E$4)),"")</f>
        <v>1.07240522397009</v>
      </c>
      <c r="AL131" s="24" t="n">
        <f aca="false">IFERROR(AK131/AVERAGE(AK126:AK137),"")</f>
        <v>1.07194422741873</v>
      </c>
      <c r="AM131" s="23" t="n">
        <f aca="false">IF(ISNUMBER(Tabelle1!N138),(0.5*Tabelle1!N126+SUM(Tabelle1!N127:N137)+0.5*Tabelle1!N138)/12,"")</f>
        <v>179.447321666667</v>
      </c>
      <c r="AN131" s="24" t="n">
        <f aca="false">IFERROR(Tabelle1!N132/AM131,"")</f>
        <v>0.980552444950117</v>
      </c>
      <c r="AO131" s="24" t="n">
        <f aca="false">IFERROR(AVERAGEIFS($AN$7:$AN$294,$B$7:$B$294,$B131,$A$7:$A$294,"&gt;="&amp;EDATE($A131,-12*'Seasonal Factors'!$E$4),$A$7:$A$294,"&lt;="&amp;EDATE($A131,12*'Seasonal Factors'!$E$4)),"")</f>
        <v>0.987105788451585</v>
      </c>
      <c r="AP131" s="24" t="n">
        <f aca="false">IFERROR(AO131/AVERAGE(AO126:AO137),"")</f>
        <v>0.986830046947969</v>
      </c>
      <c r="AQ131" s="23" t="n">
        <f aca="false">IF(ISNUMBER(Tabelle1!O138),(0.5*Tabelle1!O126+SUM(Tabelle1!O127:O137)+0.5*Tabelle1!O138)/12,"")</f>
        <v>133.83449</v>
      </c>
      <c r="AR131" s="24" t="n">
        <f aca="false">IFERROR(Tabelle1!O132/AQ131,"")</f>
        <v>1.00157933877882</v>
      </c>
      <c r="AS131" s="24" t="n">
        <f aca="false">IFERROR(AVERAGEIFS($AR$7:$AR$294,$B$7:$B$294,$B131,$A$7:$A$294,"&gt;="&amp;EDATE($A131,-12*'Seasonal Factors'!$E$4),$A$7:$A$294,"&lt;="&amp;EDATE($A131,12*'Seasonal Factors'!$E$4)),"")</f>
        <v>1.00811790306415</v>
      </c>
      <c r="AT131" s="24" t="n">
        <f aca="false">IFERROR(AS131/AVERAGE(AS126:AS137),"")</f>
        <v>1.00780727478999</v>
      </c>
      <c r="AU131" s="23" t="n">
        <f aca="false">IF(ISNUMBER(Tabelle1!P138),(0.5*Tabelle1!P126+SUM(Tabelle1!P127:P137)+0.5*Tabelle1!P138)/12,"")</f>
        <v>143.32838</v>
      </c>
      <c r="AV131" s="24" t="n">
        <f aca="false">IFERROR(Tabelle1!P132/AU131,"")</f>
        <v>0.995465029326362</v>
      </c>
      <c r="AW131" s="24" t="n">
        <f aca="false">IFERROR(AVERAGEIFS($AV$7:$AV$294,$B$7:$B$294,$B131,$A$7:$A$294,"&gt;="&amp;EDATE($A131,-12*'Seasonal Factors'!$E$4),$A$7:$A$294,"&lt;="&amp;EDATE($A131,12*'Seasonal Factors'!$E$4)),"")</f>
        <v>0.995698357059293</v>
      </c>
      <c r="AX131" s="24" t="n">
        <f aca="false">IFERROR(AW131/AVERAGE(AW126:AW137),"")</f>
        <v>0.99564993358915</v>
      </c>
      <c r="AY131" s="23" t="n">
        <f aca="false">IF(ISNUMBER(Tabelle1!Q138),(0.5*Tabelle1!Q126+SUM(Tabelle1!Q127:Q137)+0.5*Tabelle1!Q138)/12,"")</f>
        <v>146.803998333333</v>
      </c>
      <c r="AZ131" s="24" t="n">
        <f aca="false">IFERROR(Tabelle1!Q132/AY131,"")</f>
        <v>0.996913446919174</v>
      </c>
      <c r="BA131" s="24" t="n">
        <f aca="false">IFERROR(AVERAGEIFS($AZ$7:$AZ$294,$B$7:$B$294,$B131,$A$7:$A$294,"&gt;="&amp;EDATE($A131,-12*'Seasonal Factors'!$E$4),$A$7:$A$294,"&lt;="&amp;EDATE($A131,12*'Seasonal Factors'!$E$4)),"")</f>
        <v>0.996164711502578</v>
      </c>
      <c r="BB131" s="24" t="n">
        <f aca="false">IFERROR(BA131/AVERAGE(BA126:BA137),"")</f>
        <v>0.995961913153987</v>
      </c>
      <c r="BC131" s="23" t="n">
        <f aca="false">IF(ISNUMBER(Tabelle1!R138),(0.5*Tabelle1!R126+SUM(Tabelle1!R127:R137)+0.5*Tabelle1!R138)/12,"")</f>
        <v>164.942188333333</v>
      </c>
      <c r="BD131" s="24" t="n">
        <f aca="false">IFERROR(Tabelle1!R132/BC131,"")</f>
        <v>1.06363812541067</v>
      </c>
      <c r="BE131" s="24" t="n">
        <f aca="false">IFERROR(AVERAGEIFS($BD$7:$BD$294,$B$7:$B$294,$B131,$A$7:$A$294,"&gt;="&amp;EDATE($A131,-12*'Seasonal Factors'!$E$4),$A$7:$A$294,"&lt;="&amp;EDATE($A131,12*'Seasonal Factors'!$E$4)),"")</f>
        <v>1.06591945942198</v>
      </c>
      <c r="BF131" s="24" t="n">
        <f aca="false">IFERROR(BE131/AVERAGE(BE126:BE137),"")</f>
        <v>1.06619087786922</v>
      </c>
      <c r="BG131" s="23" t="n">
        <f aca="false">IF(ISNUMBER(Tabelle1!S138),(0.5*Tabelle1!S126+SUM(Tabelle1!S127:S137)+0.5*Tabelle1!S138)/12,"")</f>
        <v>149.12970625</v>
      </c>
      <c r="BH131" s="24" t="n">
        <f aca="false">IFERROR(Tabelle1!S132/BG131,"")</f>
        <v>0.982560173184811</v>
      </c>
      <c r="BI131" s="24" t="n">
        <f aca="false">IFERROR(AVERAGEIFS($BH$7:$BH$294,$B$7:$B$294,$B131,$A$7:$A$294,"&gt;="&amp;EDATE($A131,-12*'Seasonal Factors'!$E$4),$A$7:$A$294,"&lt;="&amp;EDATE($A131,12*'Seasonal Factors'!$E$4)),"")</f>
        <v>0.993635203495292</v>
      </c>
      <c r="BJ131" s="24" t="n">
        <f aca="false">IFERROR(BI131/AVERAGE(BI126:BI137),"")</f>
        <v>0.993146761508865</v>
      </c>
    </row>
    <row r="132" customFormat="false" ht="15" hidden="false" customHeight="false" outlineLevel="0" collapsed="false">
      <c r="A132" s="20" t="n">
        <v>41820</v>
      </c>
      <c r="B132" s="22" t="n">
        <f aca="false">MONTH(A132)</f>
        <v>6</v>
      </c>
      <c r="C132" s="23" t="n">
        <f aca="false">IF(ISNUMBER(Tabelle1!E139),(0.5*Tabelle1!E127+SUM(Tabelle1!E128:E138)+0.5*Tabelle1!E139)/12,"")</f>
        <v>125.3250025</v>
      </c>
      <c r="D132" s="24" t="n">
        <f aca="false">IFERROR(Tabelle1!E133/C132,"")</f>
        <v>1.71368438632188</v>
      </c>
      <c r="E132" s="24" t="n">
        <f aca="false">IFERROR(AVERAGEIFS($D$7:$D$294,$B$7:$B$294,$B132,$A$7:$A$294,"&gt;="&amp;EDATE($A132,-12*'Seasonal Factors'!$E$4),$A$7:$A$294,"&lt;="&amp;EDATE($A132,12*'Seasonal Factors'!$E$4)),"")</f>
        <v>1.65472273329592</v>
      </c>
      <c r="F132" s="24" t="n">
        <f aca="false">IFERROR(E132/AVERAGE(E127:E138),"")</f>
        <v>1.65309078994734</v>
      </c>
      <c r="G132" s="23" t="n">
        <f aca="false">IF(ISNUMBER(Tabelle1!F139),(0.5*Tabelle1!F127+SUM(Tabelle1!F128:F138)+0.5*Tabelle1!F139)/12,"")</f>
        <v>151.479572083333</v>
      </c>
      <c r="H132" s="24" t="n">
        <f aca="false">IFERROR(Tabelle1!F133/G132,"")</f>
        <v>1.48617755452961</v>
      </c>
      <c r="I132" s="24" t="n">
        <f aca="false">IFERROR(AVERAGEIFS($H$7:$H$294,$B$7:$B$294,$B132,$A$7:$A$294,"&gt;="&amp;EDATE($A132,-12*'Seasonal Factors'!$E$4),$A$7:$A$294,"&lt;="&amp;EDATE($A132,12*'Seasonal Factors'!$E$4)),"")</f>
        <v>1.30926465941838</v>
      </c>
      <c r="J132" s="24" t="n">
        <f aca="false">IFERROR(I132/AVERAGE(I127:I138),"")</f>
        <v>1.31219479220952</v>
      </c>
      <c r="K132" s="23" t="n">
        <f aca="false">IF(ISNUMBER(Tabelle1!G139),(0.5*Tabelle1!G127+SUM(Tabelle1!G128:G138)+0.5*Tabelle1!G139)/12,"")</f>
        <v>93.47412875</v>
      </c>
      <c r="L132" s="24" t="n">
        <f aca="false">IFERROR(Tabelle1!G133/K132,"")</f>
        <v>0.993193959029011</v>
      </c>
      <c r="M132" s="24" t="n">
        <f aca="false">IFERROR(AVERAGEIFS($L$7:$L$294,$B$7:$B$294,$B132,$A$7:$A$294,"&gt;="&amp;EDATE($A132,-12*'Seasonal Factors'!$E$4),$A$7:$A$294,"&lt;="&amp;EDATE($A132,12*'Seasonal Factors'!$E$4)),"")</f>
        <v>0.983671911815734</v>
      </c>
      <c r="N132" s="24" t="n">
        <f aca="false">IFERROR(M132/AVERAGE(M127:M138),"")</f>
        <v>0.98337833958861</v>
      </c>
      <c r="O132" s="23" t="n">
        <f aca="false">IF(ISNUMBER(Tabelle1!H139),(0.5*Tabelle1!H127+SUM(Tabelle1!H128:H138)+0.5*Tabelle1!H139)/12,"")</f>
        <v>135.642014166667</v>
      </c>
      <c r="P132" s="24" t="n">
        <f aca="false">IFERROR(Tabelle1!H133/O132,"")</f>
        <v>1.0056617106289</v>
      </c>
      <c r="Q132" s="24" t="n">
        <f aca="false">IFERROR(AVERAGEIFS($P$7:$P$294,$B$7:$B$294,$B132,$A$7:$A$294,"&gt;="&amp;EDATE($A132,-12*'Seasonal Factors'!$E$4),$A$7:$A$294,"&lt;="&amp;EDATE($A132,12*'Seasonal Factors'!$E$4)),"")</f>
        <v>1.01813522023713</v>
      </c>
      <c r="R132" s="24" t="n">
        <f aca="false">IFERROR(Q132/AVERAGE(Q127:Q138),"")</f>
        <v>1.01748682740998</v>
      </c>
      <c r="S132" s="23" t="n">
        <f aca="false">IF(ISNUMBER(Tabelle1!I139),(0.5*Tabelle1!I127+SUM(Tabelle1!I128:I138)+0.5*Tabelle1!I139)/12,"")</f>
        <v>137.64632875</v>
      </c>
      <c r="T132" s="24" t="n">
        <f aca="false">IFERROR(Tabelle1!I133/S132,"")</f>
        <v>1.03725868533199</v>
      </c>
      <c r="U132" s="24" t="n">
        <f aca="false">IFERROR(AVERAGEIFS($T$7:$T$294,$B$7:$B$294,$B132,$A$7:$A$294,"&gt;="&amp;EDATE($A132,-12*'Seasonal Factors'!$E$4),$A$7:$A$294,"&lt;="&amp;EDATE($A132,12*'Seasonal Factors'!$E$4)),"")</f>
        <v>1.0282258794507</v>
      </c>
      <c r="V132" s="24" t="n">
        <f aca="false">IFERROR(U132/AVERAGE(U127:U138),"")</f>
        <v>1.02800006809848</v>
      </c>
      <c r="W132" s="23" t="n">
        <f aca="false">IF(ISNUMBER(Tabelle1!J139),(0.5*Tabelle1!J127+SUM(Tabelle1!J128:J138)+0.5*Tabelle1!J139)/12,"")</f>
        <v>146.949179583333</v>
      </c>
      <c r="X132" s="24" t="n">
        <f aca="false">IFERROR(Tabelle1!J133/W132,"")</f>
        <v>1.00891253983439</v>
      </c>
      <c r="Y132" s="24" t="n">
        <f aca="false">IFERROR(AVERAGEIFS($X$7:$X$294,$B$7:$B$294,$B132,$A$7:$A$294,"&gt;="&amp;EDATE($A132,-12*'Seasonal Factors'!$E$4),$A$7:$A$294,"&lt;="&amp;EDATE($A132,12*'Seasonal Factors'!$E$4)),"")</f>
        <v>0.994757017148424</v>
      </c>
      <c r="Z132" s="24" t="n">
        <f aca="false">IFERROR(Y132/AVERAGE(Y127:Y138),"")</f>
        <v>0.995026407838741</v>
      </c>
      <c r="AA132" s="23" t="n">
        <f aca="false">IF(ISNUMBER(Tabelle1!K139),(0.5*Tabelle1!K127+SUM(Tabelle1!K128:K138)+0.5*Tabelle1!K139)/12,"")</f>
        <v>152.736245416667</v>
      </c>
      <c r="AB132" s="24" t="n">
        <f aca="false">IFERROR(Tabelle1!K133/AA132,"")</f>
        <v>0.994873545473567</v>
      </c>
      <c r="AC132" s="24" t="n">
        <f aca="false">IFERROR(AVERAGEIFS($AB$7:$AB$294,$B$7:$B$294,$B132,$A$7:$A$294,"&gt;="&amp;EDATE($A132,-12*'Seasonal Factors'!$E$4),$A$7:$A$294,"&lt;="&amp;EDATE($A132,12*'Seasonal Factors'!$E$4)),"")</f>
        <v>1.02763279551307</v>
      </c>
      <c r="AD132" s="24" t="n">
        <f aca="false">IFERROR(AC132/AVERAGE(AC127:AC138),"")</f>
        <v>1.02721857583358</v>
      </c>
      <c r="AE132" s="23" t="n">
        <f aca="false">IF(ISNUMBER(Tabelle1!L139),(0.5*Tabelle1!L127+SUM(Tabelle1!L128:L138)+0.5*Tabelle1!L139)/12,"")</f>
        <v>156.033446666667</v>
      </c>
      <c r="AF132" s="24" t="n">
        <f aca="false">IFERROR(Tabelle1!L133/AE132,"")</f>
        <v>0.918977969552426</v>
      </c>
      <c r="AG132" s="24" t="n">
        <f aca="false">IFERROR(AVERAGEIFS($AF$7:$AF$294,$B$7:$B$294,$B132,$A$7:$A$294,"&gt;="&amp;EDATE($A132,-12*'Seasonal Factors'!$E$4),$A$7:$A$294,"&lt;="&amp;EDATE($A132,12*'Seasonal Factors'!$E$4)),"")</f>
        <v>0.925824179115893</v>
      </c>
      <c r="AH132" s="24" t="n">
        <f aca="false">IFERROR(AG132/AVERAGE(AG127:AG138),"")</f>
        <v>0.924599692782331</v>
      </c>
      <c r="AI132" s="23" t="n">
        <f aca="false">IF(ISNUMBER(Tabelle1!M139),(0.5*Tabelle1!M127+SUM(Tabelle1!M128:M138)+0.5*Tabelle1!M139)/12,"")</f>
        <v>181.652405833333</v>
      </c>
      <c r="AJ132" s="24" t="n">
        <f aca="false">IFERROR(Tabelle1!M133/AI132,"")</f>
        <v>1.04539446713539</v>
      </c>
      <c r="AK132" s="24" t="n">
        <f aca="false">IFERROR(AVERAGEIFS($AJ$7:$AJ$294,$B$7:$B$294,$B132,$A$7:$A$294,"&gt;="&amp;EDATE($A132,-12*'Seasonal Factors'!$E$4),$A$7:$A$294,"&lt;="&amp;EDATE($A132,12*'Seasonal Factors'!$E$4)),"")</f>
        <v>1.03301301446246</v>
      </c>
      <c r="AL132" s="24" t="n">
        <f aca="false">IFERROR(AK132/AVERAGE(AK127:AK138),"")</f>
        <v>1.03268573052992</v>
      </c>
      <c r="AM132" s="23" t="n">
        <f aca="false">IF(ISNUMBER(Tabelle1!N139),(0.5*Tabelle1!N127+SUM(Tabelle1!N128:N138)+0.5*Tabelle1!N139)/12,"")</f>
        <v>178.520904166667</v>
      </c>
      <c r="AN132" s="24" t="n">
        <f aca="false">IFERROR(Tabelle1!N133/AM132,"")</f>
        <v>1.00546639531033</v>
      </c>
      <c r="AO132" s="24" t="n">
        <f aca="false">IFERROR(AVERAGEIFS($AN$7:$AN$294,$B$7:$B$294,$B132,$A$7:$A$294,"&gt;="&amp;EDATE($A132,-12*'Seasonal Factors'!$E$4),$A$7:$A$294,"&lt;="&amp;EDATE($A132,12*'Seasonal Factors'!$E$4)),"")</f>
        <v>1.01059534122404</v>
      </c>
      <c r="AP132" s="24" t="n">
        <f aca="false">IFERROR(AO132/AVERAGE(AO127:AO138),"")</f>
        <v>1.01008533579623</v>
      </c>
      <c r="AQ132" s="23" t="n">
        <f aca="false">IF(ISNUMBER(Tabelle1!O139),(0.5*Tabelle1!O127+SUM(Tabelle1!O128:O138)+0.5*Tabelle1!O139)/12,"")</f>
        <v>133.7199875</v>
      </c>
      <c r="AR132" s="24" t="n">
        <f aca="false">IFERROR(Tabelle1!O133/AQ132,"")</f>
        <v>1.03488268722729</v>
      </c>
      <c r="AS132" s="24" t="n">
        <f aca="false">IFERROR(AVERAGEIFS($AR$7:$AR$294,$B$7:$B$294,$B132,$A$7:$A$294,"&gt;="&amp;EDATE($A132,-12*'Seasonal Factors'!$E$4),$A$7:$A$294,"&lt;="&amp;EDATE($A132,12*'Seasonal Factors'!$E$4)),"")</f>
        <v>1.02197523535228</v>
      </c>
      <c r="AT132" s="24" t="n">
        <f aca="false">IFERROR(AS132/AVERAGE(AS127:AS138),"")</f>
        <v>1.02182364072356</v>
      </c>
      <c r="AU132" s="23" t="n">
        <f aca="false">IF(ISNUMBER(Tabelle1!P139),(0.5*Tabelle1!P127+SUM(Tabelle1!P128:P138)+0.5*Tabelle1!P139)/12,"")</f>
        <v>143.694764166667</v>
      </c>
      <c r="AV132" s="24" t="n">
        <f aca="false">IFERROR(Tabelle1!P133/AU132,"")</f>
        <v>1.00241641256275</v>
      </c>
      <c r="AW132" s="24" t="n">
        <f aca="false">IFERROR(AVERAGEIFS($AV$7:$AV$294,$B$7:$B$294,$B132,$A$7:$A$294,"&gt;="&amp;EDATE($A132,-12*'Seasonal Factors'!$E$4),$A$7:$A$294,"&lt;="&amp;EDATE($A132,12*'Seasonal Factors'!$E$4)),"")</f>
        <v>1.0047781284836</v>
      </c>
      <c r="AX132" s="24" t="n">
        <f aca="false">IFERROR(AW132/AVERAGE(AW127:AW138),"")</f>
        <v>1.00484200791278</v>
      </c>
      <c r="AY132" s="23" t="n">
        <f aca="false">IF(ISNUMBER(Tabelle1!Q139),(0.5*Tabelle1!Q127+SUM(Tabelle1!Q128:Q138)+0.5*Tabelle1!Q139)/12,"")</f>
        <v>147.19198375</v>
      </c>
      <c r="AZ132" s="24" t="n">
        <f aca="false">IFERROR(Tabelle1!Q133/AY132,"")</f>
        <v>1.01063418136044</v>
      </c>
      <c r="BA132" s="24" t="n">
        <f aca="false">IFERROR(AVERAGEIFS($AZ$7:$AZ$294,$B$7:$B$294,$B132,$A$7:$A$294,"&gt;="&amp;EDATE($A132,-12*'Seasonal Factors'!$E$4),$A$7:$A$294,"&lt;="&amp;EDATE($A132,12*'Seasonal Factors'!$E$4)),"")</f>
        <v>1.01141329041906</v>
      </c>
      <c r="BB132" s="24" t="n">
        <f aca="false">IFERROR(BA132/AVERAGE(BA127:BA138),"")</f>
        <v>1.01128892688069</v>
      </c>
      <c r="BC132" s="23" t="n">
        <f aca="false">IF(ISNUMBER(Tabelle1!R139),(0.5*Tabelle1!R127+SUM(Tabelle1!R128:R138)+0.5*Tabelle1!R139)/12,"")</f>
        <v>165.19868375</v>
      </c>
      <c r="BD132" s="24" t="n">
        <f aca="false">IFERROR(Tabelle1!R133/BC132,"")</f>
        <v>1.09160028340722</v>
      </c>
      <c r="BE132" s="24" t="n">
        <f aca="false">IFERROR(AVERAGEIFS($BD$7:$BD$294,$B$7:$B$294,$B132,$A$7:$A$294,"&gt;="&amp;EDATE($A132,-12*'Seasonal Factors'!$E$4),$A$7:$A$294,"&lt;="&amp;EDATE($A132,12*'Seasonal Factors'!$E$4)),"")</f>
        <v>1.09345101805661</v>
      </c>
      <c r="BF132" s="24" t="n">
        <f aca="false">IFERROR(BE132/AVERAGE(BE127:BE138),"")</f>
        <v>1.09389041458967</v>
      </c>
      <c r="BG132" s="23" t="n">
        <f aca="false">IF(ISNUMBER(Tabelle1!S139),(0.5*Tabelle1!S127+SUM(Tabelle1!S128:S138)+0.5*Tabelle1!S139)/12,"")</f>
        <v>148.96973625</v>
      </c>
      <c r="BH132" s="24" t="n">
        <f aca="false">IFERROR(Tabelle1!S133/BG132,"")</f>
        <v>0.982007712992779</v>
      </c>
      <c r="BI132" s="24" t="n">
        <f aca="false">IFERROR(AVERAGEIFS($BH$7:$BH$294,$B$7:$B$294,$B132,$A$7:$A$294,"&gt;="&amp;EDATE($A132,-12*'Seasonal Factors'!$E$4),$A$7:$A$294,"&lt;="&amp;EDATE($A132,12*'Seasonal Factors'!$E$4)),"")</f>
        <v>1.00578211139465</v>
      </c>
      <c r="BJ132" s="24" t="n">
        <f aca="false">IFERROR(BI132/AVERAGE(BI127:BI138),"")</f>
        <v>1.00597122126591</v>
      </c>
    </row>
    <row r="133" customFormat="false" ht="15" hidden="false" customHeight="false" outlineLevel="0" collapsed="false">
      <c r="A133" s="20" t="n">
        <v>41851</v>
      </c>
      <c r="B133" s="22" t="n">
        <f aca="false">MONTH(A133)</f>
        <v>7</v>
      </c>
      <c r="C133" s="23" t="n">
        <f aca="false">IF(ISNUMBER(Tabelle1!E140),(0.5*Tabelle1!E128+SUM(Tabelle1!E129:E139)+0.5*Tabelle1!E140)/12,"")</f>
        <v>125.301145</v>
      </c>
      <c r="D133" s="24" t="n">
        <f aca="false">IFERROR(Tabelle1!E134/C133,"")</f>
        <v>0.881292984194199</v>
      </c>
      <c r="E133" s="24" t="n">
        <f aca="false">IFERROR(AVERAGEIFS($D$7:$D$294,$B$7:$B$294,$B133,$A$7:$A$294,"&gt;="&amp;EDATE($A133,-12*'Seasonal Factors'!$E$4),$A$7:$A$294,"&lt;="&amp;EDATE($A133,12*'Seasonal Factors'!$E$4)),"")</f>
        <v>0.876663169708894</v>
      </c>
      <c r="F133" s="24" t="n">
        <f aca="false">IFERROR(E133/AVERAGE(E128:E139),"")</f>
        <v>0.875059987363961</v>
      </c>
      <c r="G133" s="23" t="n">
        <f aca="false">IF(ISNUMBER(Tabelle1!F140),(0.5*Tabelle1!F128+SUM(Tabelle1!F129:F139)+0.5*Tabelle1!F140)/12,"")</f>
        <v>151.436005416667</v>
      </c>
      <c r="H133" s="24" t="n">
        <f aca="false">IFERROR(Tabelle1!F134/G133,"")</f>
        <v>1.17707892194825</v>
      </c>
      <c r="I133" s="24" t="n">
        <f aca="false">IFERROR(AVERAGEIFS($H$7:$H$294,$B$7:$B$294,$B133,$A$7:$A$294,"&gt;="&amp;EDATE($A133,-12*'Seasonal Factors'!$E$4),$A$7:$A$294,"&lt;="&amp;EDATE($A133,12*'Seasonal Factors'!$E$4)),"")</f>
        <v>1.37498626203465</v>
      </c>
      <c r="J133" s="24" t="n">
        <f aca="false">IFERROR(I133/AVERAGE(I128:I139),"")</f>
        <v>1.37035015549909</v>
      </c>
      <c r="K133" s="23" t="n">
        <f aca="false">IF(ISNUMBER(Tabelle1!G140),(0.5*Tabelle1!G128+SUM(Tabelle1!G129:G139)+0.5*Tabelle1!G140)/12,"")</f>
        <v>93.6418208333333</v>
      </c>
      <c r="L133" s="24" t="n">
        <f aca="false">IFERROR(Tabelle1!G134/K133,"")</f>
        <v>1.01551346560478</v>
      </c>
      <c r="M133" s="24" t="n">
        <f aca="false">IFERROR(AVERAGEIFS($L$7:$L$294,$B$7:$B$294,$B133,$A$7:$A$294,"&gt;="&amp;EDATE($A133,-12*'Seasonal Factors'!$E$4),$A$7:$A$294,"&lt;="&amp;EDATE($A133,12*'Seasonal Factors'!$E$4)),"")</f>
        <v>1.02167308690543</v>
      </c>
      <c r="N133" s="24" t="n">
        <f aca="false">IFERROR(M133/AVERAGE(M128:M139),"")</f>
        <v>1.02149218583124</v>
      </c>
      <c r="O133" s="23" t="n">
        <f aca="false">IF(ISNUMBER(Tabelle1!H140),(0.5*Tabelle1!H128+SUM(Tabelle1!H129:H139)+0.5*Tabelle1!H140)/12,"")</f>
        <v>135.058367083333</v>
      </c>
      <c r="P133" s="24" t="n">
        <f aca="false">IFERROR(Tabelle1!H134/O133,"")</f>
        <v>1.01701673851312</v>
      </c>
      <c r="Q133" s="24" t="n">
        <f aca="false">IFERROR(AVERAGEIFS($P$7:$P$294,$B$7:$B$294,$B133,$A$7:$A$294,"&gt;="&amp;EDATE($A133,-12*'Seasonal Factors'!$E$4),$A$7:$A$294,"&lt;="&amp;EDATE($A133,12*'Seasonal Factors'!$E$4)),"")</f>
        <v>1.01783791722257</v>
      </c>
      <c r="R133" s="24" t="n">
        <f aca="false">IFERROR(Q133/AVERAGE(Q128:Q139),"")</f>
        <v>1.01743778843458</v>
      </c>
      <c r="S133" s="23" t="n">
        <f aca="false">IF(ISNUMBER(Tabelle1!I140),(0.5*Tabelle1!I128+SUM(Tabelle1!I129:I139)+0.5*Tabelle1!I140)/12,"")</f>
        <v>137.25140625</v>
      </c>
      <c r="T133" s="24" t="n">
        <f aca="false">IFERROR(Tabelle1!I134/S133,"")</f>
        <v>1.07388947062246</v>
      </c>
      <c r="U133" s="24" t="n">
        <f aca="false">IFERROR(AVERAGEIFS($T$7:$T$294,$B$7:$B$294,$B133,$A$7:$A$294,"&gt;="&amp;EDATE($A133,-12*'Seasonal Factors'!$E$4),$A$7:$A$294,"&lt;="&amp;EDATE($A133,12*'Seasonal Factors'!$E$4)),"")</f>
        <v>1.06415756618165</v>
      </c>
      <c r="V133" s="24" t="n">
        <f aca="false">IFERROR(U133/AVERAGE(U128:U139),"")</f>
        <v>1.06377547396517</v>
      </c>
      <c r="W133" s="23" t="n">
        <f aca="false">IF(ISNUMBER(Tabelle1!J140),(0.5*Tabelle1!J128+SUM(Tabelle1!J129:J139)+0.5*Tabelle1!J140)/12,"")</f>
        <v>146.749247083333</v>
      </c>
      <c r="X133" s="24" t="n">
        <f aca="false">IFERROR(Tabelle1!J134/W133,"")</f>
        <v>1.00186496981829</v>
      </c>
      <c r="Y133" s="24" t="n">
        <f aca="false">IFERROR(AVERAGEIFS($X$7:$X$294,$B$7:$B$294,$B133,$A$7:$A$294,"&gt;="&amp;EDATE($A133,-12*'Seasonal Factors'!$E$4),$A$7:$A$294,"&lt;="&amp;EDATE($A133,12*'Seasonal Factors'!$E$4)),"")</f>
        <v>1.00862678853999</v>
      </c>
      <c r="Z133" s="24" t="n">
        <f aca="false">IFERROR(Y133/AVERAGE(Y128:Y139),"")</f>
        <v>1.00885379828922</v>
      </c>
      <c r="AA133" s="23" t="n">
        <f aca="false">IF(ISNUMBER(Tabelle1!K140),(0.5*Tabelle1!K128+SUM(Tabelle1!K129:K139)+0.5*Tabelle1!K140)/12,"")</f>
        <v>152.1062525</v>
      </c>
      <c r="AB133" s="24" t="n">
        <f aca="false">IFERROR(Tabelle1!K134/AA133,"")</f>
        <v>1.0146783413785</v>
      </c>
      <c r="AC133" s="24" t="n">
        <f aca="false">IFERROR(AVERAGEIFS($AB$7:$AB$294,$B$7:$B$294,$B133,$A$7:$A$294,"&gt;="&amp;EDATE($A133,-12*'Seasonal Factors'!$E$4),$A$7:$A$294,"&lt;="&amp;EDATE($A133,12*'Seasonal Factors'!$E$4)),"")</f>
        <v>1.0080219694676</v>
      </c>
      <c r="AD133" s="24" t="n">
        <f aca="false">IFERROR(AC133/AVERAGE(AC128:AC139),"")</f>
        <v>1.0078228190198</v>
      </c>
      <c r="AE133" s="23" t="n">
        <f aca="false">IF(ISNUMBER(Tabelle1!L140),(0.5*Tabelle1!L128+SUM(Tabelle1!L129:L139)+0.5*Tabelle1!L140)/12,"")</f>
        <v>156.568133333333</v>
      </c>
      <c r="AF133" s="24" t="n">
        <f aca="false">IFERROR(Tabelle1!L134/AE133,"")</f>
        <v>1.02548932903332</v>
      </c>
      <c r="AG133" s="24" t="n">
        <f aca="false">IFERROR(AVERAGEIFS($AF$7:$AF$294,$B$7:$B$294,$B133,$A$7:$A$294,"&gt;="&amp;EDATE($A133,-12*'Seasonal Factors'!$E$4),$A$7:$A$294,"&lt;="&amp;EDATE($A133,12*'Seasonal Factors'!$E$4)),"")</f>
        <v>1.0273200622174</v>
      </c>
      <c r="AH133" s="24" t="n">
        <f aca="false">IFERROR(AG133/AVERAGE(AG128:AG139),"")</f>
        <v>1.02642257170873</v>
      </c>
      <c r="AI133" s="23" t="n">
        <f aca="false">IF(ISNUMBER(Tabelle1!M140),(0.5*Tabelle1!M128+SUM(Tabelle1!M129:M139)+0.5*Tabelle1!M140)/12,"")</f>
        <v>181.989995833333</v>
      </c>
      <c r="AJ133" s="24" t="n">
        <f aca="false">IFERROR(Tabelle1!M134/AI133,"")</f>
        <v>1.01709431418151</v>
      </c>
      <c r="AK133" s="24" t="n">
        <f aca="false">IFERROR(AVERAGEIFS($AJ$7:$AJ$294,$B$7:$B$294,$B133,$A$7:$A$294,"&gt;="&amp;EDATE($A133,-12*'Seasonal Factors'!$E$4),$A$7:$A$294,"&lt;="&amp;EDATE($A133,12*'Seasonal Factors'!$E$4)),"")</f>
        <v>1.01679223651005</v>
      </c>
      <c r="AL133" s="24" t="n">
        <f aca="false">IFERROR(AK133/AVERAGE(AK128:AK139),"")</f>
        <v>1.01640490377571</v>
      </c>
      <c r="AM133" s="23" t="n">
        <f aca="false">IF(ISNUMBER(Tabelle1!N140),(0.5*Tabelle1!N128+SUM(Tabelle1!N129:N139)+0.5*Tabelle1!N140)/12,"")</f>
        <v>177.296271666667</v>
      </c>
      <c r="AN133" s="24" t="n">
        <f aca="false">IFERROR(Tabelle1!N134/AM133,"")</f>
        <v>0.995211790644629</v>
      </c>
      <c r="AO133" s="24" t="n">
        <f aca="false">IFERROR(AVERAGEIFS($AN$7:$AN$294,$B$7:$B$294,$B133,$A$7:$A$294,"&gt;="&amp;EDATE($A133,-12*'Seasonal Factors'!$E$4),$A$7:$A$294,"&lt;="&amp;EDATE($A133,12*'Seasonal Factors'!$E$4)),"")</f>
        <v>0.99105741328139</v>
      </c>
      <c r="AP133" s="24" t="n">
        <f aca="false">IFERROR(AO133/AVERAGE(AO128:AO139),"")</f>
        <v>0.990327430201726</v>
      </c>
      <c r="AQ133" s="23" t="n">
        <f aca="false">IF(ISNUMBER(Tabelle1!O140),(0.5*Tabelle1!O128+SUM(Tabelle1!O129:O139)+0.5*Tabelle1!O140)/12,"")</f>
        <v>133.696049166667</v>
      </c>
      <c r="AR133" s="24" t="n">
        <f aca="false">IFERROR(Tabelle1!O134/AQ133,"")</f>
        <v>1.01281429663787</v>
      </c>
      <c r="AS133" s="24" t="n">
        <f aca="false">IFERROR(AVERAGEIFS($AR$7:$AR$294,$B$7:$B$294,$B133,$A$7:$A$294,"&gt;="&amp;EDATE($A133,-12*'Seasonal Factors'!$E$4),$A$7:$A$294,"&lt;="&amp;EDATE($A133,12*'Seasonal Factors'!$E$4)),"")</f>
        <v>1.0068931935235</v>
      </c>
      <c r="AT133" s="24" t="n">
        <f aca="false">IFERROR(AS133/AVERAGE(AS128:AS139),"")</f>
        <v>1.00672089614452</v>
      </c>
      <c r="AU133" s="23" t="n">
        <f aca="false">IF(ISNUMBER(Tabelle1!P140),(0.5*Tabelle1!P128+SUM(Tabelle1!P129:P139)+0.5*Tabelle1!P140)/12,"")</f>
        <v>144.049643333333</v>
      </c>
      <c r="AV133" s="24" t="n">
        <f aca="false">IFERROR(Tabelle1!P134/AU133,"")</f>
        <v>1.00027238294909</v>
      </c>
      <c r="AW133" s="24" t="n">
        <f aca="false">IFERROR(AVERAGEIFS($AV$7:$AV$294,$B$7:$B$294,$B133,$A$7:$A$294,"&gt;="&amp;EDATE($A133,-12*'Seasonal Factors'!$E$4),$A$7:$A$294,"&lt;="&amp;EDATE($A133,12*'Seasonal Factors'!$E$4)),"")</f>
        <v>1.00034661078927</v>
      </c>
      <c r="AX133" s="24" t="n">
        <f aca="false">IFERROR(AW133/AVERAGE(AW128:AW139),"")</f>
        <v>1.00039740997401</v>
      </c>
      <c r="AY133" s="23" t="n">
        <f aca="false">IF(ISNUMBER(Tabelle1!Q140),(0.5*Tabelle1!Q128+SUM(Tabelle1!Q129:Q139)+0.5*Tabelle1!Q140)/12,"")</f>
        <v>147.5445575</v>
      </c>
      <c r="AZ133" s="24" t="n">
        <f aca="false">IFERROR(Tabelle1!Q134/AY133,"")</f>
        <v>1.00515466319386</v>
      </c>
      <c r="BA133" s="24" t="n">
        <f aca="false">IFERROR(AVERAGEIFS($AZ$7:$AZ$294,$B$7:$B$294,$B133,$A$7:$A$294,"&gt;="&amp;EDATE($A133,-12*'Seasonal Factors'!$E$4),$A$7:$A$294,"&lt;="&amp;EDATE($A133,12*'Seasonal Factors'!$E$4)),"")</f>
        <v>1.0071414974942</v>
      </c>
      <c r="BB133" s="24" t="n">
        <f aca="false">IFERROR(BA133/AVERAGE(BA128:BA139),"")</f>
        <v>1.00710222253174</v>
      </c>
      <c r="BC133" s="23" t="n">
        <f aca="false">IF(ISNUMBER(Tabelle1!R140),(0.5*Tabelle1!R128+SUM(Tabelle1!R129:R139)+0.5*Tabelle1!R140)/12,"")</f>
        <v>165.466485416667</v>
      </c>
      <c r="BD133" s="24" t="n">
        <f aca="false">IFERROR(Tabelle1!R134/BC133,"")</f>
        <v>1.0044794242258</v>
      </c>
      <c r="BE133" s="24" t="n">
        <f aca="false">IFERROR(AVERAGEIFS($BD$7:$BD$294,$B$7:$B$294,$B133,$A$7:$A$294,"&gt;="&amp;EDATE($A133,-12*'Seasonal Factors'!$E$4),$A$7:$A$294,"&lt;="&amp;EDATE($A133,12*'Seasonal Factors'!$E$4)),"")</f>
        <v>1.00898633310167</v>
      </c>
      <c r="BF133" s="24" t="n">
        <f aca="false">IFERROR(BE133/AVERAGE(BE128:BE139),"")</f>
        <v>1.00916446825214</v>
      </c>
      <c r="BG133" s="23" t="n">
        <f aca="false">IF(ISNUMBER(Tabelle1!S140),(0.5*Tabelle1!S128+SUM(Tabelle1!S129:S139)+0.5*Tabelle1!S140)/12,"")</f>
        <v>148.876604166667</v>
      </c>
      <c r="BH133" s="24" t="n">
        <f aca="false">IFERROR(Tabelle1!S134/BG133,"")</f>
        <v>1.05673454120352</v>
      </c>
      <c r="BI133" s="24" t="n">
        <f aca="false">IFERROR(AVERAGEIFS($BH$7:$BH$294,$B$7:$B$294,$B133,$A$7:$A$294,"&gt;="&amp;EDATE($A133,-12*'Seasonal Factors'!$E$4),$A$7:$A$294,"&lt;="&amp;EDATE($A133,12*'Seasonal Factors'!$E$4)),"")</f>
        <v>1.11077308383073</v>
      </c>
      <c r="BJ133" s="24" t="n">
        <f aca="false">IFERROR(BI133/AVERAGE(BI128:BI139),"")</f>
        <v>1.11068028906647</v>
      </c>
    </row>
    <row r="134" customFormat="false" ht="15" hidden="false" customHeight="false" outlineLevel="0" collapsed="false">
      <c r="A134" s="20" t="n">
        <v>41882</v>
      </c>
      <c r="B134" s="22" t="n">
        <f aca="false">MONTH(A134)</f>
        <v>8</v>
      </c>
      <c r="C134" s="23" t="n">
        <f aca="false">IF(ISNUMBER(Tabelle1!E141),(0.5*Tabelle1!E129+SUM(Tabelle1!E130:E140)+0.5*Tabelle1!E141)/12,"")</f>
        <v>125.204826666667</v>
      </c>
      <c r="D134" s="24" t="n">
        <f aca="false">IFERROR(Tabelle1!E135/C134,"")</f>
        <v>0.54834523418799</v>
      </c>
      <c r="E134" s="24" t="n">
        <f aca="false">IFERROR(AVERAGEIFS($D$7:$D$294,$B$7:$B$294,$B134,$A$7:$A$294,"&gt;="&amp;EDATE($A134,-12*'Seasonal Factors'!$E$4),$A$7:$A$294,"&lt;="&amp;EDATE($A134,12*'Seasonal Factors'!$E$4)),"")</f>
        <v>0.568179311235504</v>
      </c>
      <c r="F134" s="24" t="n">
        <f aca="false">IFERROR(E134/AVERAGE(E129:E140),"")</f>
        <v>0.566870011876976</v>
      </c>
      <c r="G134" s="23" t="n">
        <f aca="false">IF(ISNUMBER(Tabelle1!F141),(0.5*Tabelle1!F129+SUM(Tabelle1!F130:F140)+0.5*Tabelle1!F141)/12,"")</f>
        <v>151.4683225</v>
      </c>
      <c r="H134" s="24" t="n">
        <f aca="false">IFERROR(Tabelle1!F135/G134,"")</f>
        <v>1.15175712730297</v>
      </c>
      <c r="I134" s="24" t="n">
        <f aca="false">IFERROR(AVERAGEIFS($H$7:$H$294,$B$7:$B$294,$B134,$A$7:$A$294,"&gt;="&amp;EDATE($A134,-12*'Seasonal Factors'!$E$4),$A$7:$A$294,"&lt;="&amp;EDATE($A134,12*'Seasonal Factors'!$E$4)),"")</f>
        <v>1.40117448323402</v>
      </c>
      <c r="J134" s="24" t="n">
        <f aca="false">IFERROR(I134/AVERAGE(I129:I140),"")</f>
        <v>1.39148220761034</v>
      </c>
      <c r="K134" s="23" t="n">
        <f aca="false">IF(ISNUMBER(Tabelle1!G141),(0.5*Tabelle1!G129+SUM(Tabelle1!G130:G140)+0.5*Tabelle1!G141)/12,"")</f>
        <v>93.78597625</v>
      </c>
      <c r="L134" s="24" t="n">
        <f aca="false">IFERROR(Tabelle1!G135/K134,"")</f>
        <v>1.00294696244632</v>
      </c>
      <c r="M134" s="24" t="n">
        <f aca="false">IFERROR(AVERAGEIFS($L$7:$L$294,$B$7:$B$294,$B134,$A$7:$A$294,"&gt;="&amp;EDATE($A134,-12*'Seasonal Factors'!$E$4),$A$7:$A$294,"&lt;="&amp;EDATE($A134,12*'Seasonal Factors'!$E$4)),"")</f>
        <v>1.02398979434144</v>
      </c>
      <c r="N134" s="24" t="n">
        <f aca="false">IFERROR(M134/AVERAGE(M129:M140),"")</f>
        <v>1.02406852309235</v>
      </c>
      <c r="O134" s="23" t="n">
        <f aca="false">IF(ISNUMBER(Tabelle1!H141),(0.5*Tabelle1!H129+SUM(Tabelle1!H130:H140)+0.5*Tabelle1!H141)/12,"")</f>
        <v>134.682231666667</v>
      </c>
      <c r="P134" s="24" t="n">
        <f aca="false">IFERROR(Tabelle1!H135/O134,"")</f>
        <v>1.01598004656368</v>
      </c>
      <c r="Q134" s="24" t="n">
        <f aca="false">IFERROR(AVERAGEIFS($P$7:$P$294,$B$7:$B$294,$B134,$A$7:$A$294,"&gt;="&amp;EDATE($A134,-12*'Seasonal Factors'!$E$4),$A$7:$A$294,"&lt;="&amp;EDATE($A134,12*'Seasonal Factors'!$E$4)),"")</f>
        <v>1.04784434755521</v>
      </c>
      <c r="R134" s="24" t="n">
        <f aca="false">IFERROR(Q134/AVERAGE(Q129:Q140),"")</f>
        <v>1.0473539027908</v>
      </c>
      <c r="S134" s="23" t="n">
        <f aca="false">IF(ISNUMBER(Tabelle1!I141),(0.5*Tabelle1!I129+SUM(Tabelle1!I130:I140)+0.5*Tabelle1!I141)/12,"")</f>
        <v>137.65222875</v>
      </c>
      <c r="T134" s="24" t="n">
        <f aca="false">IFERROR(Tabelle1!I135/S134,"")</f>
        <v>0.996043371364592</v>
      </c>
      <c r="U134" s="24" t="n">
        <f aca="false">IFERROR(AVERAGEIFS($T$7:$T$294,$B$7:$B$294,$B134,$A$7:$A$294,"&gt;="&amp;EDATE($A134,-12*'Seasonal Factors'!$E$4),$A$7:$A$294,"&lt;="&amp;EDATE($A134,12*'Seasonal Factors'!$E$4)),"")</f>
        <v>1.02634256366597</v>
      </c>
      <c r="V134" s="24" t="n">
        <f aca="false">IFERROR(U134/AVERAGE(U129:U140),"")</f>
        <v>1.02556464983625</v>
      </c>
      <c r="W134" s="23" t="n">
        <f aca="false">IF(ISNUMBER(Tabelle1!J141),(0.5*Tabelle1!J129+SUM(Tabelle1!J130:J140)+0.5*Tabelle1!J141)/12,"")</f>
        <v>146.53016625</v>
      </c>
      <c r="X134" s="24" t="n">
        <f aca="false">IFERROR(Tabelle1!J135/W134,"")</f>
        <v>1.0046084964433</v>
      </c>
      <c r="Y134" s="24" t="n">
        <f aca="false">IFERROR(AVERAGEIFS($X$7:$X$294,$B$7:$B$294,$B134,$A$7:$A$294,"&gt;="&amp;EDATE($A134,-12*'Seasonal Factors'!$E$4),$A$7:$A$294,"&lt;="&amp;EDATE($A134,12*'Seasonal Factors'!$E$4)),"")</f>
        <v>1.04231645419602</v>
      </c>
      <c r="Z134" s="24" t="n">
        <f aca="false">IFERROR(Y134/AVERAGE(Y129:Y140),"")</f>
        <v>1.04228056775873</v>
      </c>
      <c r="AA134" s="23" t="n">
        <f aca="false">IF(ISNUMBER(Tabelle1!K141),(0.5*Tabelle1!K129+SUM(Tabelle1!K130:K140)+0.5*Tabelle1!K141)/12,"")</f>
        <v>151.691576666667</v>
      </c>
      <c r="AB134" s="24" t="n">
        <f aca="false">IFERROR(Tabelle1!K135/AA134,"")</f>
        <v>1.0004257542492</v>
      </c>
      <c r="AC134" s="24" t="n">
        <f aca="false">IFERROR(AVERAGEIFS($AB$7:$AB$294,$B$7:$B$294,$B134,$A$7:$A$294,"&gt;="&amp;EDATE($A134,-12*'Seasonal Factors'!$E$4),$A$7:$A$294,"&lt;="&amp;EDATE($A134,12*'Seasonal Factors'!$E$4)),"")</f>
        <v>1.03452175929469</v>
      </c>
      <c r="AD134" s="24" t="n">
        <f aca="false">IFERROR(AC134/AVERAGE(AC129:AC140),"")</f>
        <v>1.03377253850545</v>
      </c>
      <c r="AE134" s="23" t="n">
        <f aca="false">IF(ISNUMBER(Tabelle1!L141),(0.5*Tabelle1!L129+SUM(Tabelle1!L130:L140)+0.5*Tabelle1!L141)/12,"")</f>
        <v>157.034505</v>
      </c>
      <c r="AF134" s="24" t="n">
        <f aca="false">IFERROR(Tabelle1!L135/AE134,"")</f>
        <v>1.00822344745188</v>
      </c>
      <c r="AG134" s="24" t="n">
        <f aca="false">IFERROR(AVERAGEIFS($AF$7:$AF$294,$B$7:$B$294,$B134,$A$7:$A$294,"&gt;="&amp;EDATE($A134,-12*'Seasonal Factors'!$E$4),$A$7:$A$294,"&lt;="&amp;EDATE($A134,12*'Seasonal Factors'!$E$4)),"")</f>
        <v>1.00265035597987</v>
      </c>
      <c r="AH134" s="24" t="n">
        <f aca="false">IFERROR(AG134/AVERAGE(AG129:AG140),"")</f>
        <v>1.00225984806668</v>
      </c>
      <c r="AI134" s="23" t="n">
        <f aca="false">IF(ISNUMBER(Tabelle1!M141),(0.5*Tabelle1!M129+SUM(Tabelle1!M130:M140)+0.5*Tabelle1!M141)/12,"")</f>
        <v>182.318417916667</v>
      </c>
      <c r="AJ134" s="24" t="n">
        <f aca="false">IFERROR(Tabelle1!M135/AI134,"")</f>
        <v>0.991981457861625</v>
      </c>
      <c r="AK134" s="24" t="n">
        <f aca="false">IFERROR(AVERAGEIFS($AJ$7:$AJ$294,$B$7:$B$294,$B134,$A$7:$A$294,"&gt;="&amp;EDATE($A134,-12*'Seasonal Factors'!$E$4),$A$7:$A$294,"&lt;="&amp;EDATE($A134,12*'Seasonal Factors'!$E$4)),"")</f>
        <v>1.00307535373325</v>
      </c>
      <c r="AL134" s="24" t="n">
        <f aca="false">IFERROR(AK134/AVERAGE(AK129:AK140),"")</f>
        <v>1.00259573069104</v>
      </c>
      <c r="AM134" s="23" t="n">
        <f aca="false">IF(ISNUMBER(Tabelle1!N141),(0.5*Tabelle1!N129+SUM(Tabelle1!N130:N140)+0.5*Tabelle1!N141)/12,"")</f>
        <v>176.345312916667</v>
      </c>
      <c r="AN134" s="24" t="n">
        <f aca="false">IFERROR(Tabelle1!N135/AM134,"")</f>
        <v>1.00192614749842</v>
      </c>
      <c r="AO134" s="24" t="n">
        <f aca="false">IFERROR(AVERAGEIFS($AN$7:$AN$294,$B$7:$B$294,$B134,$A$7:$A$294,"&gt;="&amp;EDATE($A134,-12*'Seasonal Factors'!$E$4),$A$7:$A$294,"&lt;="&amp;EDATE($A134,12*'Seasonal Factors'!$E$4)),"")</f>
        <v>1.01983190491081</v>
      </c>
      <c r="AP134" s="24" t="n">
        <f aca="false">IFERROR(AO134/AVERAGE(AO129:AO140),"")</f>
        <v>1.01896975139116</v>
      </c>
      <c r="AQ134" s="23" t="n">
        <f aca="false">IF(ISNUMBER(Tabelle1!O141),(0.5*Tabelle1!O129+SUM(Tabelle1!O130:O140)+0.5*Tabelle1!O141)/12,"")</f>
        <v>133.735727916667</v>
      </c>
      <c r="AR134" s="24" t="n">
        <f aca="false">IFERROR(Tabelle1!O135/AQ134,"")</f>
        <v>1.00121936064411</v>
      </c>
      <c r="AS134" s="24" t="n">
        <f aca="false">IFERROR(AVERAGEIFS($AR$7:$AR$294,$B$7:$B$294,$B134,$A$7:$A$294,"&gt;="&amp;EDATE($A134,-12*'Seasonal Factors'!$E$4),$A$7:$A$294,"&lt;="&amp;EDATE($A134,12*'Seasonal Factors'!$E$4)),"")</f>
        <v>1.00840287026933</v>
      </c>
      <c r="AT134" s="24" t="n">
        <f aca="false">IFERROR(AS134/AVERAGE(AS129:AS140),"")</f>
        <v>1.00821568135973</v>
      </c>
      <c r="AU134" s="23" t="n">
        <f aca="false">IF(ISNUMBER(Tabelle1!P141),(0.5*Tabelle1!P129+SUM(Tabelle1!P130:P140)+0.5*Tabelle1!P141)/12,"")</f>
        <v>144.415826666667</v>
      </c>
      <c r="AV134" s="24" t="n">
        <f aca="false">IFERROR(Tabelle1!P135/AU134,"")</f>
        <v>1.00199523376339</v>
      </c>
      <c r="AW134" s="24" t="n">
        <f aca="false">IFERROR(AVERAGEIFS($AV$7:$AV$294,$B$7:$B$294,$B134,$A$7:$A$294,"&gt;="&amp;EDATE($A134,-12*'Seasonal Factors'!$E$4),$A$7:$A$294,"&lt;="&amp;EDATE($A134,12*'Seasonal Factors'!$E$4)),"")</f>
        <v>0.999812424816108</v>
      </c>
      <c r="AX134" s="24" t="n">
        <f aca="false">IFERROR(AW134/AVERAGE(AW129:AW140),"")</f>
        <v>0.99988280518185</v>
      </c>
      <c r="AY134" s="23" t="n">
        <f aca="false">IF(ISNUMBER(Tabelle1!Q141),(0.5*Tabelle1!Q129+SUM(Tabelle1!Q130:Q140)+0.5*Tabelle1!Q141)/12,"")</f>
        <v>147.852962916667</v>
      </c>
      <c r="AZ134" s="24" t="n">
        <f aca="false">IFERROR(Tabelle1!Q135/AY134,"")</f>
        <v>1.00778014224836</v>
      </c>
      <c r="BA134" s="24" t="n">
        <f aca="false">IFERROR(AVERAGEIFS($AZ$7:$AZ$294,$B$7:$B$294,$B134,$A$7:$A$294,"&gt;="&amp;EDATE($A134,-12*'Seasonal Factors'!$E$4),$A$7:$A$294,"&lt;="&amp;EDATE($A134,12*'Seasonal Factors'!$E$4)),"")</f>
        <v>1.00825014991802</v>
      </c>
      <c r="BB134" s="24" t="n">
        <f aca="false">IFERROR(BA134/AVERAGE(BA129:BA140),"")</f>
        <v>1.00829416715769</v>
      </c>
      <c r="BC134" s="23" t="n">
        <f aca="false">IF(ISNUMBER(Tabelle1!R141),(0.5*Tabelle1!R129+SUM(Tabelle1!R130:R140)+0.5*Tabelle1!R141)/12,"")</f>
        <v>165.799650416667</v>
      </c>
      <c r="BD134" s="24" t="n">
        <f aca="false">IFERROR(Tabelle1!R135/BC134,"")</f>
        <v>1.00559645078263</v>
      </c>
      <c r="BE134" s="24" t="n">
        <f aca="false">IFERROR(AVERAGEIFS($BD$7:$BD$294,$B$7:$B$294,$B134,$A$7:$A$294,"&gt;="&amp;EDATE($A134,-12*'Seasonal Factors'!$E$4),$A$7:$A$294,"&lt;="&amp;EDATE($A134,12*'Seasonal Factors'!$E$4)),"")</f>
        <v>1.00679250579769</v>
      </c>
      <c r="BF134" s="24" t="n">
        <f aca="false">IFERROR(BE134/AVERAGE(BE129:BE140),"")</f>
        <v>1.00671665361202</v>
      </c>
      <c r="BG134" s="23" t="n">
        <f aca="false">IF(ISNUMBER(Tabelle1!S141),(0.5*Tabelle1!S129+SUM(Tabelle1!S130:S140)+0.5*Tabelle1!S141)/12,"")</f>
        <v>148.937593333333</v>
      </c>
      <c r="BH134" s="24" t="n">
        <f aca="false">IFERROR(Tabelle1!S135/BG134,"")</f>
        <v>1.0171642136109</v>
      </c>
      <c r="BI134" s="24" t="n">
        <f aca="false">IFERROR(AVERAGEIFS($BH$7:$BH$294,$B$7:$B$294,$B134,$A$7:$A$294,"&gt;="&amp;EDATE($A134,-12*'Seasonal Factors'!$E$4),$A$7:$A$294,"&lt;="&amp;EDATE($A134,12*'Seasonal Factors'!$E$4)),"")</f>
        <v>1.00906984531336</v>
      </c>
      <c r="BJ134" s="24" t="n">
        <f aca="false">IFERROR(BI134/AVERAGE(BI129:BI140),"")</f>
        <v>1.00905532957148</v>
      </c>
    </row>
    <row r="135" customFormat="false" ht="15" hidden="false" customHeight="false" outlineLevel="0" collapsed="false">
      <c r="A135" s="20" t="n">
        <v>41912</v>
      </c>
      <c r="B135" s="22" t="n">
        <f aca="false">MONTH(A135)</f>
        <v>9</v>
      </c>
      <c r="C135" s="23" t="n">
        <f aca="false">IF(ISNUMBER(Tabelle1!E142),(0.5*Tabelle1!E130+SUM(Tabelle1!E131:E141)+0.5*Tabelle1!E142)/12,"")</f>
        <v>125.816785833333</v>
      </c>
      <c r="D135" s="24" t="n">
        <f aca="false">IFERROR(Tabelle1!E136/C135,"")</f>
        <v>0.533441222134755</v>
      </c>
      <c r="E135" s="24" t="n">
        <f aca="false">IFERROR(AVERAGEIFS($D$7:$D$294,$B$7:$B$294,$B135,$A$7:$A$294,"&gt;="&amp;EDATE($A135,-12*'Seasonal Factors'!$E$4),$A$7:$A$294,"&lt;="&amp;EDATE($A135,12*'Seasonal Factors'!$E$4)),"")</f>
        <v>0.527923509278008</v>
      </c>
      <c r="F135" s="24" t="n">
        <f aca="false">IFERROR(E135/AVERAGE(E130:E141),"")</f>
        <v>0.526136528554784</v>
      </c>
      <c r="G135" s="23" t="n">
        <f aca="false">IF(ISNUMBER(Tabelle1!F142),(0.5*Tabelle1!F130+SUM(Tabelle1!F131:F141)+0.5*Tabelle1!F142)/12,"")</f>
        <v>150.615825833333</v>
      </c>
      <c r="H135" s="24" t="n">
        <f aca="false">IFERROR(Tabelle1!F136/G135,"")</f>
        <v>1.29923909999033</v>
      </c>
      <c r="I135" s="24" t="n">
        <f aca="false">IFERROR(AVERAGEIFS($H$7:$H$294,$B$7:$B$294,$B135,$A$7:$A$294,"&gt;="&amp;EDATE($A135,-12*'Seasonal Factors'!$E$4),$A$7:$A$294,"&lt;="&amp;EDATE($A135,12*'Seasonal Factors'!$E$4)),"")</f>
        <v>1.38277111537947</v>
      </c>
      <c r="J135" s="24" t="n">
        <f aca="false">IFERROR(I135/AVERAGE(I130:I141),"")</f>
        <v>1.37414670215835</v>
      </c>
      <c r="K135" s="23" t="n">
        <f aca="false">IF(ISNUMBER(Tabelle1!G142),(0.5*Tabelle1!G130+SUM(Tabelle1!G131:G141)+0.5*Tabelle1!G142)/12,"")</f>
        <v>93.91311</v>
      </c>
      <c r="L135" s="24" t="n">
        <f aca="false">IFERROR(Tabelle1!G136/K135,"")</f>
        <v>0.994235416120284</v>
      </c>
      <c r="M135" s="24" t="n">
        <f aca="false">IFERROR(AVERAGEIFS($L$7:$L$294,$B$7:$B$294,$B135,$A$7:$A$294,"&gt;="&amp;EDATE($A135,-12*'Seasonal Factors'!$E$4),$A$7:$A$294,"&lt;="&amp;EDATE($A135,12*'Seasonal Factors'!$E$4)),"")</f>
        <v>1.00447837349475</v>
      </c>
      <c r="N135" s="24" t="n">
        <f aca="false">IFERROR(M135/AVERAGE(M130:M141),"")</f>
        <v>1.00478037478383</v>
      </c>
      <c r="O135" s="23" t="n">
        <f aca="false">IF(ISNUMBER(Tabelle1!H142),(0.5*Tabelle1!H130+SUM(Tabelle1!H131:H141)+0.5*Tabelle1!H142)/12,"")</f>
        <v>134.5453625</v>
      </c>
      <c r="P135" s="24" t="n">
        <f aca="false">IFERROR(Tabelle1!H136/O135,"")</f>
        <v>1.03675613494296</v>
      </c>
      <c r="Q135" s="24" t="n">
        <f aca="false">IFERROR(AVERAGEIFS($P$7:$P$294,$B$7:$B$294,$B135,$A$7:$A$294,"&gt;="&amp;EDATE($A135,-12*'Seasonal Factors'!$E$4),$A$7:$A$294,"&lt;="&amp;EDATE($A135,12*'Seasonal Factors'!$E$4)),"")</f>
        <v>1.03785927430895</v>
      </c>
      <c r="R135" s="24" t="n">
        <f aca="false">IFERROR(Q135/AVERAGE(Q130:Q141),"")</f>
        <v>1.03781124046555</v>
      </c>
      <c r="S135" s="23" t="n">
        <f aca="false">IF(ISNUMBER(Tabelle1!I142),(0.5*Tabelle1!I130+SUM(Tabelle1!I131:I141)+0.5*Tabelle1!I142)/12,"")</f>
        <v>138.95335625</v>
      </c>
      <c r="T135" s="24" t="n">
        <f aca="false">IFERROR(Tabelle1!I136/S135,"")</f>
        <v>0.933621565546028</v>
      </c>
      <c r="U135" s="24" t="n">
        <f aca="false">IFERROR(AVERAGEIFS($T$7:$T$294,$B$7:$B$294,$B135,$A$7:$A$294,"&gt;="&amp;EDATE($A135,-12*'Seasonal Factors'!$E$4),$A$7:$A$294,"&lt;="&amp;EDATE($A135,12*'Seasonal Factors'!$E$4)),"")</f>
        <v>0.950257139296122</v>
      </c>
      <c r="V135" s="24" t="n">
        <f aca="false">IFERROR(U135/AVERAGE(U130:U141),"")</f>
        <v>0.950070066625866</v>
      </c>
      <c r="W135" s="23" t="n">
        <f aca="false">IF(ISNUMBER(Tabelle1!J142),(0.5*Tabelle1!J130+SUM(Tabelle1!J131:J141)+0.5*Tabelle1!J142)/12,"")</f>
        <v>146.505697083333</v>
      </c>
      <c r="X135" s="24" t="n">
        <f aca="false">IFERROR(Tabelle1!J136/W135,"")</f>
        <v>1.02061764816524</v>
      </c>
      <c r="Y135" s="24" t="n">
        <f aca="false">IFERROR(AVERAGEIFS($X$7:$X$294,$B$7:$B$294,$B135,$A$7:$A$294,"&gt;="&amp;EDATE($A135,-12*'Seasonal Factors'!$E$4),$A$7:$A$294,"&lt;="&amp;EDATE($A135,12*'Seasonal Factors'!$E$4)),"")</f>
        <v>1.02554252894968</v>
      </c>
      <c r="Z135" s="24" t="n">
        <f aca="false">IFERROR(Y135/AVERAGE(Y130:Y141),"")</f>
        <v>1.02530945826102</v>
      </c>
      <c r="AA135" s="23" t="n">
        <f aca="false">IF(ISNUMBER(Tabelle1!K142),(0.5*Tabelle1!K130+SUM(Tabelle1!K131:K141)+0.5*Tabelle1!K142)/12,"")</f>
        <v>152.311454583333</v>
      </c>
      <c r="AB135" s="24" t="n">
        <f aca="false">IFERROR(Tabelle1!K136/AA135,"")</f>
        <v>1.04278985736494</v>
      </c>
      <c r="AC135" s="24" t="n">
        <f aca="false">IFERROR(AVERAGEIFS($AB$7:$AB$294,$B$7:$B$294,$B135,$A$7:$A$294,"&gt;="&amp;EDATE($A135,-12*'Seasonal Factors'!$E$4),$A$7:$A$294,"&lt;="&amp;EDATE($A135,12*'Seasonal Factors'!$E$4)),"")</f>
        <v>1.02141684297949</v>
      </c>
      <c r="AD135" s="24" t="n">
        <f aca="false">IFERROR(AC135/AVERAGE(AC130:AC141),"")</f>
        <v>1.02085749242389</v>
      </c>
      <c r="AE135" s="23" t="n">
        <f aca="false">IF(ISNUMBER(Tabelle1!L142),(0.5*Tabelle1!L130+SUM(Tabelle1!L131:L141)+0.5*Tabelle1!L142)/12,"")</f>
        <v>157.300364583333</v>
      </c>
      <c r="AF135" s="24" t="n">
        <f aca="false">IFERROR(Tabelle1!L136/AE135,"")</f>
        <v>1.00585532919206</v>
      </c>
      <c r="AG135" s="24" t="n">
        <f aca="false">IFERROR(AVERAGEIFS($AF$7:$AF$294,$B$7:$B$294,$B135,$A$7:$A$294,"&gt;="&amp;EDATE($A135,-12*'Seasonal Factors'!$E$4),$A$7:$A$294,"&lt;="&amp;EDATE($A135,12*'Seasonal Factors'!$E$4)),"")</f>
        <v>1.00168613468579</v>
      </c>
      <c r="AH135" s="24" t="n">
        <f aca="false">IFERROR(AG135/AVERAGE(AG130:AG141),"")</f>
        <v>1.00156051557718</v>
      </c>
      <c r="AI135" s="23" t="n">
        <f aca="false">IF(ISNUMBER(Tabelle1!M142),(0.5*Tabelle1!M130+SUM(Tabelle1!M131:M141)+0.5*Tabelle1!M142)/12,"")</f>
        <v>182.717532916667</v>
      </c>
      <c r="AJ135" s="24" t="n">
        <f aca="false">IFERROR(Tabelle1!M136/AI135,"")</f>
        <v>0.983088689589105</v>
      </c>
      <c r="AK135" s="24" t="n">
        <f aca="false">IFERROR(AVERAGEIFS($AJ$7:$AJ$294,$B$7:$B$294,$B135,$A$7:$A$294,"&gt;="&amp;EDATE($A135,-12*'Seasonal Factors'!$E$4),$A$7:$A$294,"&lt;="&amp;EDATE($A135,12*'Seasonal Factors'!$E$4)),"")</f>
        <v>0.985783206281088</v>
      </c>
      <c r="AL135" s="24" t="n">
        <f aca="false">IFERROR(AK135/AVERAGE(AK130:AK141),"")</f>
        <v>0.985232650695512</v>
      </c>
      <c r="AM135" s="23" t="n">
        <f aca="false">IF(ISNUMBER(Tabelle1!N142),(0.5*Tabelle1!N130+SUM(Tabelle1!N131:N141)+0.5*Tabelle1!N142)/12,"")</f>
        <v>176.087370416667</v>
      </c>
      <c r="AN135" s="24" t="n">
        <f aca="false">IFERROR(Tabelle1!N136/AM135,"")</f>
        <v>1.01281301196102</v>
      </c>
      <c r="AO135" s="24" t="n">
        <f aca="false">IFERROR(AVERAGEIFS($AN$7:$AN$294,$B$7:$B$294,$B135,$A$7:$A$294,"&gt;="&amp;EDATE($A135,-12*'Seasonal Factors'!$E$4),$A$7:$A$294,"&lt;="&amp;EDATE($A135,12*'Seasonal Factors'!$E$4)),"")</f>
        <v>1.00054788630663</v>
      </c>
      <c r="AP135" s="24" t="n">
        <f aca="false">IFERROR(AO135/AVERAGE(AO130:AO141),"")</f>
        <v>0.9998692024913</v>
      </c>
      <c r="AQ135" s="23" t="n">
        <f aca="false">IF(ISNUMBER(Tabelle1!O142),(0.5*Tabelle1!O130+SUM(Tabelle1!O131:O141)+0.5*Tabelle1!O142)/12,"")</f>
        <v>133.930375416667</v>
      </c>
      <c r="AR135" s="24" t="n">
        <f aca="false">IFERROR(Tabelle1!O136/AQ135,"")</f>
        <v>1.01088740757126</v>
      </c>
      <c r="AS135" s="24" t="n">
        <f aca="false">IFERROR(AVERAGEIFS($AR$7:$AR$294,$B$7:$B$294,$B135,$A$7:$A$294,"&gt;="&amp;EDATE($A135,-12*'Seasonal Factors'!$E$4),$A$7:$A$294,"&lt;="&amp;EDATE($A135,12*'Seasonal Factors'!$E$4)),"")</f>
        <v>1.00219046926858</v>
      </c>
      <c r="AT135" s="24" t="n">
        <f aca="false">IFERROR(AS135/AVERAGE(AS130:AS141),"")</f>
        <v>1.00220328703166</v>
      </c>
      <c r="AU135" s="23" t="n">
        <f aca="false">IF(ISNUMBER(Tabelle1!P142),(0.5*Tabelle1!P130+SUM(Tabelle1!P131:P141)+0.5*Tabelle1!P142)/12,"")</f>
        <v>144.8378575</v>
      </c>
      <c r="AV135" s="24" t="n">
        <f aca="false">IFERROR(Tabelle1!P136/AU135,"")</f>
        <v>1.00047019820077</v>
      </c>
      <c r="AW135" s="24" t="n">
        <f aca="false">IFERROR(AVERAGEIFS($AV$7:$AV$294,$B$7:$B$294,$B135,$A$7:$A$294,"&gt;="&amp;EDATE($A135,-12*'Seasonal Factors'!$E$4),$A$7:$A$294,"&lt;="&amp;EDATE($A135,12*'Seasonal Factors'!$E$4)),"")</f>
        <v>0.998939727473657</v>
      </c>
      <c r="AX135" s="24" t="n">
        <f aca="false">IFERROR(AW135/AVERAGE(AW130:AW141),"")</f>
        <v>0.999007152993162</v>
      </c>
      <c r="AY135" s="23" t="n">
        <f aca="false">IF(ISNUMBER(Tabelle1!Q142),(0.5*Tabelle1!Q130+SUM(Tabelle1!Q131:Q141)+0.5*Tabelle1!Q142)/12,"")</f>
        <v>148.130092083333</v>
      </c>
      <c r="AZ135" s="24" t="n">
        <f aca="false">IFERROR(Tabelle1!Q136/AY135,"")</f>
        <v>1.01041103731846</v>
      </c>
      <c r="BA135" s="24" t="n">
        <f aca="false">IFERROR(AVERAGEIFS($AZ$7:$AZ$294,$B$7:$B$294,$B135,$A$7:$A$294,"&gt;="&amp;EDATE($A135,-12*'Seasonal Factors'!$E$4),$A$7:$A$294,"&lt;="&amp;EDATE($A135,12*'Seasonal Factors'!$E$4)),"")</f>
        <v>1.00929010569808</v>
      </c>
      <c r="BB135" s="24" t="n">
        <f aca="false">IFERROR(BA135/AVERAGE(BA130:BA141),"")</f>
        <v>1.00930635793222</v>
      </c>
      <c r="BC135" s="23" t="n">
        <f aca="false">IF(ISNUMBER(Tabelle1!R142),(0.5*Tabelle1!R130+SUM(Tabelle1!R131:R141)+0.5*Tabelle1!R142)/12,"")</f>
        <v>166.163207083333</v>
      </c>
      <c r="BD135" s="24" t="n">
        <f aca="false">IFERROR(Tabelle1!R136/BC135,"")</f>
        <v>0.98460467194732</v>
      </c>
      <c r="BE135" s="24" t="n">
        <f aca="false">IFERROR(AVERAGEIFS($BD$7:$BD$294,$B$7:$B$294,$B135,$A$7:$A$294,"&gt;="&amp;EDATE($A135,-12*'Seasonal Factors'!$E$4),$A$7:$A$294,"&lt;="&amp;EDATE($A135,12*'Seasonal Factors'!$E$4)),"")</f>
        <v>0.987441761626584</v>
      </c>
      <c r="BF135" s="24" t="n">
        <f aca="false">IFERROR(BE135/AVERAGE(BE130:BE141),"")</f>
        <v>0.987035136474591</v>
      </c>
      <c r="BG135" s="23" t="n">
        <f aca="false">IF(ISNUMBER(Tabelle1!S142),(0.5*Tabelle1!S130+SUM(Tabelle1!S131:S141)+0.5*Tabelle1!S142)/12,"")</f>
        <v>148.8411675</v>
      </c>
      <c r="BH135" s="24" t="n">
        <f aca="false">IFERROR(Tabelle1!S136/BG135,"")</f>
        <v>0.997359215151279</v>
      </c>
      <c r="BI135" s="24" t="n">
        <f aca="false">IFERROR(AVERAGEIFS($BH$7:$BH$294,$B$7:$B$294,$B135,$A$7:$A$294,"&gt;="&amp;EDATE($A135,-12*'Seasonal Factors'!$E$4),$A$7:$A$294,"&lt;="&amp;EDATE($A135,12*'Seasonal Factors'!$E$4)),"")</f>
        <v>0.975674786424409</v>
      </c>
      <c r="BJ135" s="24" t="n">
        <f aca="false">IFERROR(BI135/AVERAGE(BI130:BI141),"")</f>
        <v>0.975680544151536</v>
      </c>
    </row>
    <row r="136" customFormat="false" ht="15" hidden="false" customHeight="false" outlineLevel="0" collapsed="false">
      <c r="A136" s="20" t="n">
        <v>41943</v>
      </c>
      <c r="B136" s="22" t="n">
        <f aca="false">MONTH(A136)</f>
        <v>10</v>
      </c>
      <c r="C136" s="23" t="n">
        <f aca="false">IF(ISNUMBER(Tabelle1!E143),(0.5*Tabelle1!E131+SUM(Tabelle1!E132:E142)+0.5*Tabelle1!E143)/12,"")</f>
        <v>127.500178333333</v>
      </c>
      <c r="D136" s="24" t="n">
        <f aca="false">IFERROR(Tabelle1!E137/C136,"")</f>
        <v>0.543795082534983</v>
      </c>
      <c r="E136" s="24" t="n">
        <f aca="false">IFERROR(AVERAGEIFS($D$7:$D$294,$B$7:$B$294,$B136,$A$7:$A$294,"&gt;="&amp;EDATE($A136,-12*'Seasonal Factors'!$E$4),$A$7:$A$294,"&lt;="&amp;EDATE($A136,12*'Seasonal Factors'!$E$4)),"")</f>
        <v>0.574491812745859</v>
      </c>
      <c r="F136" s="24" t="n">
        <f aca="false">IFERROR(E136/AVERAGE(E131:E142),"")</f>
        <v>0.5734020260541</v>
      </c>
      <c r="G136" s="23" t="n">
        <f aca="false">IF(ISNUMBER(Tabelle1!F143),(0.5*Tabelle1!F131+SUM(Tabelle1!F132:F142)+0.5*Tabelle1!F143)/12,"")</f>
        <v>150.16247</v>
      </c>
      <c r="H136" s="24" t="n">
        <f aca="false">IFERROR(Tabelle1!F137/G136,"")</f>
        <v>1.43411812552098</v>
      </c>
      <c r="I136" s="24" t="n">
        <f aca="false">IFERROR(AVERAGEIFS($H$7:$H$294,$B$7:$B$294,$B136,$A$7:$A$294,"&gt;="&amp;EDATE($A136,-12*'Seasonal Factors'!$E$4),$A$7:$A$294,"&lt;="&amp;EDATE($A136,12*'Seasonal Factors'!$E$4)),"")</f>
        <v>1.27948345005956</v>
      </c>
      <c r="J136" s="24" t="n">
        <f aca="false">IFERROR(I136/AVERAGE(I131:I142),"")</f>
        <v>1.27037398050635</v>
      </c>
      <c r="K136" s="23" t="n">
        <f aca="false">IF(ISNUMBER(Tabelle1!G143),(0.5*Tabelle1!G131+SUM(Tabelle1!G132:G142)+0.5*Tabelle1!G143)/12,"")</f>
        <v>94.1476029166667</v>
      </c>
      <c r="L136" s="24" t="n">
        <f aca="false">IFERROR(Tabelle1!G137/K136,"")</f>
        <v>1.02053485190743</v>
      </c>
      <c r="M136" s="24" t="n">
        <f aca="false">IFERROR(AVERAGEIFS($L$7:$L$294,$B$7:$B$294,$B136,$A$7:$A$294,"&gt;="&amp;EDATE($A136,-12*'Seasonal Factors'!$E$4),$A$7:$A$294,"&lt;="&amp;EDATE($A136,12*'Seasonal Factors'!$E$4)),"")</f>
        <v>1.0263301213707</v>
      </c>
      <c r="N136" s="24" t="n">
        <f aca="false">IFERROR(M136/AVERAGE(M131:M142),"")</f>
        <v>1.02676619599091</v>
      </c>
      <c r="O136" s="23" t="n">
        <f aca="false">IF(ISNUMBER(Tabelle1!H143),(0.5*Tabelle1!H131+SUM(Tabelle1!H132:H142)+0.5*Tabelle1!H143)/12,"")</f>
        <v>134.596534166667</v>
      </c>
      <c r="P136" s="24" t="n">
        <f aca="false">IFERROR(Tabelle1!H137/O136,"")</f>
        <v>1.07548244756996</v>
      </c>
      <c r="Q136" s="24" t="n">
        <f aca="false">IFERROR(AVERAGEIFS($P$7:$P$294,$B$7:$B$294,$B136,$A$7:$A$294,"&gt;="&amp;EDATE($A136,-12*'Seasonal Factors'!$E$4),$A$7:$A$294,"&lt;="&amp;EDATE($A136,12*'Seasonal Factors'!$E$4)),"")</f>
        <v>1.07385623441431</v>
      </c>
      <c r="R136" s="24" t="n">
        <f aca="false">IFERROR(Q136/AVERAGE(Q131:Q142),"")</f>
        <v>1.07411544939533</v>
      </c>
      <c r="S136" s="23" t="n">
        <f aca="false">IF(ISNUMBER(Tabelle1!I143),(0.5*Tabelle1!I131+SUM(Tabelle1!I132:I142)+0.5*Tabelle1!I143)/12,"")</f>
        <v>139.942830416667</v>
      </c>
      <c r="T136" s="24" t="n">
        <f aca="false">IFERROR(Tabelle1!I137/S136,"")</f>
        <v>0.990994462432163</v>
      </c>
      <c r="U136" s="24" t="n">
        <f aca="false">IFERROR(AVERAGEIFS($T$7:$T$294,$B$7:$B$294,$B136,$A$7:$A$294,"&gt;="&amp;EDATE($A136,-12*'Seasonal Factors'!$E$4),$A$7:$A$294,"&lt;="&amp;EDATE($A136,12*'Seasonal Factors'!$E$4)),"")</f>
        <v>0.956260786610997</v>
      </c>
      <c r="V136" s="24" t="n">
        <f aca="false">IFERROR(U136/AVERAGE(U131:U142),"")</f>
        <v>0.956197807878787</v>
      </c>
      <c r="W136" s="23" t="n">
        <f aca="false">IF(ISNUMBER(Tabelle1!J143),(0.5*Tabelle1!J131+SUM(Tabelle1!J132:J142)+0.5*Tabelle1!J143)/12,"")</f>
        <v>146.775588333333</v>
      </c>
      <c r="X136" s="24" t="n">
        <f aca="false">IFERROR(Tabelle1!J137/W136,"")</f>
        <v>0.97042567921121</v>
      </c>
      <c r="Y136" s="24" t="n">
        <f aca="false">IFERROR(AVERAGEIFS($X$7:$X$294,$B$7:$B$294,$B136,$A$7:$A$294,"&gt;="&amp;EDATE($A136,-12*'Seasonal Factors'!$E$4),$A$7:$A$294,"&lt;="&amp;EDATE($A136,12*'Seasonal Factors'!$E$4)),"")</f>
        <v>0.980992730638911</v>
      </c>
      <c r="Z136" s="24" t="n">
        <f aca="false">IFERROR(Y136/AVERAGE(Y131:Y142),"")</f>
        <v>0.981012337318177</v>
      </c>
      <c r="AA136" s="23" t="n">
        <f aca="false">IF(ISNUMBER(Tabelle1!K143),(0.5*Tabelle1!K131+SUM(Tabelle1!K132:K142)+0.5*Tabelle1!K143)/12,"")</f>
        <v>152.9102725</v>
      </c>
      <c r="AB136" s="24" t="n">
        <f aca="false">IFERROR(Tabelle1!K137/AA136,"")</f>
        <v>1.05689831924144</v>
      </c>
      <c r="AC136" s="24" t="n">
        <f aca="false">IFERROR(AVERAGEIFS($AB$7:$AB$294,$B$7:$B$294,$B136,$A$7:$A$294,"&gt;="&amp;EDATE($A136,-12*'Seasonal Factors'!$E$4),$A$7:$A$294,"&lt;="&amp;EDATE($A136,12*'Seasonal Factors'!$E$4)),"")</f>
        <v>1.04324724661149</v>
      </c>
      <c r="AD136" s="24" t="n">
        <f aca="false">IFERROR(AC136/AVERAGE(AC131:AC142),"")</f>
        <v>1.04290987490924</v>
      </c>
      <c r="AE136" s="23" t="n">
        <f aca="false">IF(ISNUMBER(Tabelle1!L143),(0.5*Tabelle1!L131+SUM(Tabelle1!L132:L142)+0.5*Tabelle1!L143)/12,"")</f>
        <v>157.343235833333</v>
      </c>
      <c r="AF136" s="24" t="n">
        <f aca="false">IFERROR(Tabelle1!L137/AE136,"")</f>
        <v>1.04561063034364</v>
      </c>
      <c r="AG136" s="24" t="n">
        <f aca="false">IFERROR(AVERAGEIFS($AF$7:$AF$294,$B$7:$B$294,$B136,$A$7:$A$294,"&gt;="&amp;EDATE($A136,-12*'Seasonal Factors'!$E$4),$A$7:$A$294,"&lt;="&amp;EDATE($A136,12*'Seasonal Factors'!$E$4)),"")</f>
        <v>1.032898456346</v>
      </c>
      <c r="AH136" s="24" t="n">
        <f aca="false">IFERROR(AG136/AVERAGE(AG131:AG142),"")</f>
        <v>1.03302118370659</v>
      </c>
      <c r="AI136" s="23" t="n">
        <f aca="false">IF(ISNUMBER(Tabelle1!M143),(0.5*Tabelle1!M131+SUM(Tabelle1!M132:M142)+0.5*Tabelle1!M143)/12,"")</f>
        <v>183.166497916667</v>
      </c>
      <c r="AJ136" s="24" t="n">
        <f aca="false">IFERROR(Tabelle1!M137/AI136,"")</f>
        <v>0.995659861788544</v>
      </c>
      <c r="AK136" s="24" t="n">
        <f aca="false">IFERROR(AVERAGEIFS($AJ$7:$AJ$294,$B$7:$B$294,$B136,$A$7:$A$294,"&gt;="&amp;EDATE($A136,-12*'Seasonal Factors'!$E$4),$A$7:$A$294,"&lt;="&amp;EDATE($A136,12*'Seasonal Factors'!$E$4)),"")</f>
        <v>0.992037071287322</v>
      </c>
      <c r="AL136" s="24" t="n">
        <f aca="false">IFERROR(AK136/AVERAGE(AK131:AK142),"")</f>
        <v>0.991642113509477</v>
      </c>
      <c r="AM136" s="23" t="n">
        <f aca="false">IF(ISNUMBER(Tabelle1!N143),(0.5*Tabelle1!N131+SUM(Tabelle1!N132:N142)+0.5*Tabelle1!N143)/12,"")</f>
        <v>176.102386666667</v>
      </c>
      <c r="AN136" s="24" t="n">
        <f aca="false">IFERROR(Tabelle1!N137/AM136,"")</f>
        <v>1.01441339541944</v>
      </c>
      <c r="AO136" s="24" t="n">
        <f aca="false">IFERROR(AVERAGEIFS($AN$7:$AN$294,$B$7:$B$294,$B136,$A$7:$A$294,"&gt;="&amp;EDATE($A136,-12*'Seasonal Factors'!$E$4),$A$7:$A$294,"&lt;="&amp;EDATE($A136,12*'Seasonal Factors'!$E$4)),"")</f>
        <v>1.00443200011146</v>
      </c>
      <c r="AP136" s="24" t="n">
        <f aca="false">IFERROR(AO136/AVERAGE(AO131:AO142),"")</f>
        <v>1.00364736058695</v>
      </c>
      <c r="AQ136" s="23" t="n">
        <f aca="false">IF(ISNUMBER(Tabelle1!O143),(0.5*Tabelle1!O131+SUM(Tabelle1!O132:O142)+0.5*Tabelle1!O143)/12,"")</f>
        <v>134.288607083333</v>
      </c>
      <c r="AR136" s="24" t="n">
        <f aca="false">IFERROR(Tabelle1!O137/AQ136,"")</f>
        <v>1.01108070854993</v>
      </c>
      <c r="AS136" s="24" t="n">
        <f aca="false">IFERROR(AVERAGEIFS($AR$7:$AR$294,$B$7:$B$294,$B136,$A$7:$A$294,"&gt;="&amp;EDATE($A136,-12*'Seasonal Factors'!$E$4),$A$7:$A$294,"&lt;="&amp;EDATE($A136,12*'Seasonal Factors'!$E$4)),"")</f>
        <v>1.0099597280911</v>
      </c>
      <c r="AT136" s="24" t="n">
        <f aca="false">IFERROR(AS136/AVERAGE(AS131:AS142),"")</f>
        <v>1.00993625119213</v>
      </c>
      <c r="AU136" s="23" t="n">
        <f aca="false">IF(ISNUMBER(Tabelle1!P143),(0.5*Tabelle1!P131+SUM(Tabelle1!P132:P142)+0.5*Tabelle1!P143)/12,"")</f>
        <v>145.289597083333</v>
      </c>
      <c r="AV136" s="24" t="n">
        <f aca="false">IFERROR(Tabelle1!P137/AU136,"")</f>
        <v>0.998934837136037</v>
      </c>
      <c r="AW136" s="24" t="n">
        <f aca="false">IFERROR(AVERAGEIFS($AV$7:$AV$294,$B$7:$B$294,$B136,$A$7:$A$294,"&gt;="&amp;EDATE($A136,-12*'Seasonal Factors'!$E$4),$A$7:$A$294,"&lt;="&amp;EDATE($A136,12*'Seasonal Factors'!$E$4)),"")</f>
        <v>0.999590579566016</v>
      </c>
      <c r="AX136" s="24" t="n">
        <f aca="false">IFERROR(AW136/AVERAGE(AW131:AW142),"")</f>
        <v>0.999623570152682</v>
      </c>
      <c r="AY136" s="23" t="n">
        <f aca="false">IF(ISNUMBER(Tabelle1!Q143),(0.5*Tabelle1!Q131+SUM(Tabelle1!Q132:Q142)+0.5*Tabelle1!Q143)/12,"")</f>
        <v>148.50823125</v>
      </c>
      <c r="AZ136" s="24" t="n">
        <f aca="false">IFERROR(Tabelle1!Q137/AY136,"")</f>
        <v>1.01509747123865</v>
      </c>
      <c r="BA136" s="24" t="n">
        <f aca="false">IFERROR(AVERAGEIFS($AZ$7:$AZ$294,$B$7:$B$294,$B136,$A$7:$A$294,"&gt;="&amp;EDATE($A136,-12*'Seasonal Factors'!$E$4),$A$7:$A$294,"&lt;="&amp;EDATE($A136,12*'Seasonal Factors'!$E$4)),"")</f>
        <v>1.00981663679318</v>
      </c>
      <c r="BB136" s="24" t="n">
        <f aca="false">IFERROR(BA136/AVERAGE(BA131:BA142),"")</f>
        <v>1.00982660701762</v>
      </c>
      <c r="BC136" s="23" t="n">
        <f aca="false">IF(ISNUMBER(Tabelle1!R143),(0.5*Tabelle1!R131+SUM(Tabelle1!R132:R142)+0.5*Tabelle1!R143)/12,"")</f>
        <v>166.5458375</v>
      </c>
      <c r="BD136" s="24" t="n">
        <f aca="false">IFERROR(Tabelle1!R137/BC136,"")</f>
        <v>0.959204399209317</v>
      </c>
      <c r="BE136" s="24" t="n">
        <f aca="false">IFERROR(AVERAGEIFS($BD$7:$BD$294,$B$7:$B$294,$B136,$A$7:$A$294,"&gt;="&amp;EDATE($A136,-12*'Seasonal Factors'!$E$4),$A$7:$A$294,"&lt;="&amp;EDATE($A136,12*'Seasonal Factors'!$E$4)),"")</f>
        <v>0.95636862363989</v>
      </c>
      <c r="BF136" s="24" t="n">
        <f aca="false">IFERROR(BE136/AVERAGE(BE131:BE142),"")</f>
        <v>0.955968026218071</v>
      </c>
      <c r="BG136" s="23" t="n">
        <f aca="false">IF(ISNUMBER(Tabelle1!S143),(0.5*Tabelle1!S131+SUM(Tabelle1!S132:S142)+0.5*Tabelle1!S143)/12,"")</f>
        <v>148.744361666667</v>
      </c>
      <c r="BH136" s="24" t="n">
        <f aca="false">IFERROR(Tabelle1!S137/BG136,"")</f>
        <v>0.999648983893697</v>
      </c>
      <c r="BI136" s="24" t="n">
        <f aca="false">IFERROR(AVERAGEIFS($BH$7:$BH$294,$B$7:$B$294,$B136,$A$7:$A$294,"&gt;="&amp;EDATE($A136,-12*'Seasonal Factors'!$E$4),$A$7:$A$294,"&lt;="&amp;EDATE($A136,12*'Seasonal Factors'!$E$4)),"")</f>
        <v>0.991604575947441</v>
      </c>
      <c r="BJ136" s="24" t="n">
        <f aca="false">IFERROR(BI136/AVERAGE(BI131:BI142),"")</f>
        <v>0.991650715508297</v>
      </c>
    </row>
    <row r="137" customFormat="false" ht="15" hidden="false" customHeight="false" outlineLevel="0" collapsed="false">
      <c r="A137" s="20" t="n">
        <v>41973</v>
      </c>
      <c r="B137" s="22" t="n">
        <f aca="false">MONTH(A137)</f>
        <v>11</v>
      </c>
      <c r="C137" s="23" t="n">
        <f aca="false">IF(ISNUMBER(Tabelle1!E144),(0.5*Tabelle1!E132+SUM(Tabelle1!E133:E143)+0.5*Tabelle1!E144)/12,"")</f>
        <v>130.37448875</v>
      </c>
      <c r="D137" s="24" t="n">
        <f aca="false">IFERROR(Tabelle1!E138/C137,"")</f>
        <v>0.643726244333978</v>
      </c>
      <c r="E137" s="24" t="n">
        <f aca="false">IFERROR(AVERAGEIFS($D$7:$D$294,$B$7:$B$294,$B137,$A$7:$A$294,"&gt;="&amp;EDATE($A137,-12*'Seasonal Factors'!$E$4),$A$7:$A$294,"&lt;="&amp;EDATE($A137,12*'Seasonal Factors'!$E$4)),"")</f>
        <v>0.692400300806753</v>
      </c>
      <c r="F137" s="24" t="n">
        <f aca="false">IFERROR(E137/AVERAGE(E132:E143),"")</f>
        <v>0.69290893089296</v>
      </c>
      <c r="G137" s="23" t="n">
        <f aca="false">IF(ISNUMBER(Tabelle1!F144),(0.5*Tabelle1!F132+SUM(Tabelle1!F133:F143)+0.5*Tabelle1!F144)/12,"")</f>
        <v>150.778168333333</v>
      </c>
      <c r="H137" s="24" t="n">
        <f aca="false">IFERROR(Tabelle1!F138/G137,"")</f>
        <v>0.953663528277596</v>
      </c>
      <c r="I137" s="24" t="n">
        <f aca="false">IFERROR(AVERAGEIFS($H$7:$H$294,$B$7:$B$294,$B137,$A$7:$A$294,"&gt;="&amp;EDATE($A137,-12*'Seasonal Factors'!$E$4),$A$7:$A$294,"&lt;="&amp;EDATE($A137,12*'Seasonal Factors'!$E$4)),"")</f>
        <v>0.804040867883682</v>
      </c>
      <c r="J137" s="24" t="n">
        <f aca="false">IFERROR(I137/AVERAGE(I132:I143),"")</f>
        <v>0.804867557854521</v>
      </c>
      <c r="K137" s="23" t="n">
        <f aca="false">IF(ISNUMBER(Tabelle1!G144),(0.5*Tabelle1!G132+SUM(Tabelle1!G133:G143)+0.5*Tabelle1!G144)/12,"")</f>
        <v>94.4197566666667</v>
      </c>
      <c r="L137" s="24" t="n">
        <f aca="false">IFERROR(Tabelle1!G138/K137,"")</f>
        <v>0.982158959881525</v>
      </c>
      <c r="M137" s="24" t="n">
        <f aca="false">IFERROR(AVERAGEIFS($L$7:$L$294,$B$7:$B$294,$B137,$A$7:$A$294,"&gt;="&amp;EDATE($A137,-12*'Seasonal Factors'!$E$4),$A$7:$A$294,"&lt;="&amp;EDATE($A137,12*'Seasonal Factors'!$E$4)),"")</f>
        <v>0.989889375286278</v>
      </c>
      <c r="N137" s="24" t="n">
        <f aca="false">IFERROR(M137/AVERAGE(M132:M143),"")</f>
        <v>0.990043758071985</v>
      </c>
      <c r="O137" s="23" t="n">
        <f aca="false">IF(ISNUMBER(Tabelle1!H144),(0.5*Tabelle1!H132+SUM(Tabelle1!H133:H143)+0.5*Tabelle1!H144)/12,"")</f>
        <v>134.62064</v>
      </c>
      <c r="P137" s="24" t="n">
        <f aca="false">IFERROR(Tabelle1!H138/O137,"")</f>
        <v>1.03571733130967</v>
      </c>
      <c r="Q137" s="24" t="n">
        <f aca="false">IFERROR(AVERAGEIFS($P$7:$P$294,$B$7:$B$294,$B137,$A$7:$A$294,"&gt;="&amp;EDATE($A137,-12*'Seasonal Factors'!$E$4),$A$7:$A$294,"&lt;="&amp;EDATE($A137,12*'Seasonal Factors'!$E$4)),"")</f>
        <v>1.05264833115314</v>
      </c>
      <c r="R137" s="24" t="n">
        <f aca="false">IFERROR(Q137/AVERAGE(Q132:Q143),"")</f>
        <v>1.052622808001</v>
      </c>
      <c r="S137" s="23" t="n">
        <f aca="false">IF(ISNUMBER(Tabelle1!I144),(0.5*Tabelle1!I132+SUM(Tabelle1!I133:I143)+0.5*Tabelle1!I144)/12,"")</f>
        <v>140.276829166667</v>
      </c>
      <c r="T137" s="24" t="n">
        <f aca="false">IFERROR(Tabelle1!I138/S137,"")</f>
        <v>0.954462692059591</v>
      </c>
      <c r="U137" s="24" t="n">
        <f aca="false">IFERROR(AVERAGEIFS($T$7:$T$294,$B$7:$B$294,$B137,$A$7:$A$294,"&gt;="&amp;EDATE($A137,-12*'Seasonal Factors'!$E$4),$A$7:$A$294,"&lt;="&amp;EDATE($A137,12*'Seasonal Factors'!$E$4)),"")</f>
        <v>0.944439817185931</v>
      </c>
      <c r="V137" s="24" t="n">
        <f aca="false">IFERROR(U137/AVERAGE(U132:U143),"")</f>
        <v>0.944469749505078</v>
      </c>
      <c r="W137" s="23" t="n">
        <f aca="false">IF(ISNUMBER(Tabelle1!J144),(0.5*Tabelle1!J132+SUM(Tabelle1!J133:J143)+0.5*Tabelle1!J144)/12,"")</f>
        <v>147.217961666667</v>
      </c>
      <c r="X137" s="24" t="n">
        <f aca="false">IFERROR(Tabelle1!J138/W137,"")</f>
        <v>0.971418014357555</v>
      </c>
      <c r="Y137" s="24" t="n">
        <f aca="false">IFERROR(AVERAGEIFS($X$7:$X$294,$B$7:$B$294,$B137,$A$7:$A$294,"&gt;="&amp;EDATE($A137,-12*'Seasonal Factors'!$E$4),$A$7:$A$294,"&lt;="&amp;EDATE($A137,12*'Seasonal Factors'!$E$4)),"")</f>
        <v>0.986431504109881</v>
      </c>
      <c r="Z137" s="24" t="n">
        <f aca="false">IFERROR(Y137/AVERAGE(Y132:Y143),"")</f>
        <v>0.986012880629093</v>
      </c>
      <c r="AA137" s="23" t="n">
        <f aca="false">IF(ISNUMBER(Tabelle1!K144),(0.5*Tabelle1!K132+SUM(Tabelle1!K133:K143)+0.5*Tabelle1!K144)/12,"")</f>
        <v>153.005845833333</v>
      </c>
      <c r="AB137" s="24" t="n">
        <f aca="false">IFERROR(Tabelle1!K138/AA137,"")</f>
        <v>1.0098357952173</v>
      </c>
      <c r="AC137" s="24" t="n">
        <f aca="false">IFERROR(AVERAGEIFS($AB$7:$AB$294,$B$7:$B$294,$B137,$A$7:$A$294,"&gt;="&amp;EDATE($A137,-12*'Seasonal Factors'!$E$4),$A$7:$A$294,"&lt;="&amp;EDATE($A137,12*'Seasonal Factors'!$E$4)),"")</f>
        <v>1.05240355724915</v>
      </c>
      <c r="AD137" s="24" t="n">
        <f aca="false">IFERROR(AC137/AVERAGE(AC132:AC143),"")</f>
        <v>1.05168366970198</v>
      </c>
      <c r="AE137" s="23" t="n">
        <f aca="false">IF(ISNUMBER(Tabelle1!L144),(0.5*Tabelle1!L132+SUM(Tabelle1!L133:L143)+0.5*Tabelle1!L144)/12,"")</f>
        <v>157.298548333333</v>
      </c>
      <c r="AF137" s="24" t="n">
        <f aca="false">IFERROR(Tabelle1!L138/AE137,"")</f>
        <v>1.04253663964201</v>
      </c>
      <c r="AG137" s="24" t="n">
        <f aca="false">IFERROR(AVERAGEIFS($AF$7:$AF$294,$B$7:$B$294,$B137,$A$7:$A$294,"&gt;="&amp;EDATE($A137,-12*'Seasonal Factors'!$E$4),$A$7:$A$294,"&lt;="&amp;EDATE($A137,12*'Seasonal Factors'!$E$4)),"")</f>
        <v>1.03746417666254</v>
      </c>
      <c r="AH137" s="24" t="n">
        <f aca="false">IFERROR(AG137/AVERAGE(AG132:AG143),"")</f>
        <v>1.03771324954548</v>
      </c>
      <c r="AI137" s="23" t="n">
        <f aca="false">IF(ISNUMBER(Tabelle1!M144),(0.5*Tabelle1!M132+SUM(Tabelle1!M133:M143)+0.5*Tabelle1!M144)/12,"")</f>
        <v>183.464572083333</v>
      </c>
      <c r="AJ137" s="24" t="n">
        <f aca="false">IFERROR(Tabelle1!M138/AI137,"")</f>
        <v>0.983723276655414</v>
      </c>
      <c r="AK137" s="24" t="n">
        <f aca="false">IFERROR(AVERAGEIFS($AJ$7:$AJ$294,$B$7:$B$294,$B137,$A$7:$A$294,"&gt;="&amp;EDATE($A137,-12*'Seasonal Factors'!$E$4),$A$7:$A$294,"&lt;="&amp;EDATE($A137,12*'Seasonal Factors'!$E$4)),"")</f>
        <v>0.985297334783689</v>
      </c>
      <c r="AL137" s="24" t="n">
        <f aca="false">IFERROR(AK137/AVERAGE(AK132:AK143),"")</f>
        <v>0.985098404509224</v>
      </c>
      <c r="AM137" s="23" t="n">
        <f aca="false">IF(ISNUMBER(Tabelle1!N144),(0.5*Tabelle1!N132+SUM(Tabelle1!N133:N143)+0.5*Tabelle1!N144)/12,"")</f>
        <v>175.977607083333</v>
      </c>
      <c r="AN137" s="24" t="n">
        <f aca="false">IFERROR(Tabelle1!N138/AM137,"")</f>
        <v>0.965117453379017</v>
      </c>
      <c r="AO137" s="24" t="n">
        <f aca="false">IFERROR(AVERAGEIFS($AN$7:$AN$294,$B$7:$B$294,$B137,$A$7:$A$294,"&gt;="&amp;EDATE($A137,-12*'Seasonal Factors'!$E$4),$A$7:$A$294,"&lt;="&amp;EDATE($A137,12*'Seasonal Factors'!$E$4)),"")</f>
        <v>0.990792395240219</v>
      </c>
      <c r="AP137" s="24" t="n">
        <f aca="false">IFERROR(AO137/AVERAGE(AO132:AO143),"")</f>
        <v>0.990317888346313</v>
      </c>
      <c r="AQ137" s="23" t="n">
        <f aca="false">IF(ISNUMBER(Tabelle1!O144),(0.5*Tabelle1!O132+SUM(Tabelle1!O133:O143)+0.5*Tabelle1!O144)/12,"")</f>
        <v>134.58073125</v>
      </c>
      <c r="AR137" s="24" t="n">
        <f aca="false">IFERROR(Tabelle1!O138/AQ137,"")</f>
        <v>1.00488308202739</v>
      </c>
      <c r="AS137" s="24" t="n">
        <f aca="false">IFERROR(AVERAGEIFS($AR$7:$AR$294,$B$7:$B$294,$B137,$A$7:$A$294,"&gt;="&amp;EDATE($A137,-12*'Seasonal Factors'!$E$4),$A$7:$A$294,"&lt;="&amp;EDATE($A137,12*'Seasonal Factors'!$E$4)),"")</f>
        <v>1.01665837681711</v>
      </c>
      <c r="AT137" s="24" t="n">
        <f aca="false">IFERROR(AS137/AVERAGE(AS132:AS143),"")</f>
        <v>1.01644236207276</v>
      </c>
      <c r="AU137" s="23" t="n">
        <f aca="false">IF(ISNUMBER(Tabelle1!P144),(0.5*Tabelle1!P132+SUM(Tabelle1!P133:P143)+0.5*Tabelle1!P144)/12,"")</f>
        <v>145.70507875</v>
      </c>
      <c r="AV137" s="24" t="n">
        <f aca="false">IFERROR(Tabelle1!P138/AU137,"")</f>
        <v>1.00112351094007</v>
      </c>
      <c r="AW137" s="24" t="n">
        <f aca="false">IFERROR(AVERAGEIFS($AV$7:$AV$294,$B$7:$B$294,$B137,$A$7:$A$294,"&gt;="&amp;EDATE($A137,-12*'Seasonal Factors'!$E$4),$A$7:$A$294,"&lt;="&amp;EDATE($A137,12*'Seasonal Factors'!$E$4)),"")</f>
        <v>1.00218953790021</v>
      </c>
      <c r="AX137" s="24" t="n">
        <f aca="false">IFERROR(AW137/AVERAGE(AW132:AW143),"")</f>
        <v>1.00220948825484</v>
      </c>
      <c r="AY137" s="23" t="n">
        <f aca="false">IF(ISNUMBER(Tabelle1!Q144),(0.5*Tabelle1!Q132+SUM(Tabelle1!Q133:Q143)+0.5*Tabelle1!Q144)/12,"")</f>
        <v>148.966200416667</v>
      </c>
      <c r="AZ137" s="24" t="n">
        <f aca="false">IFERROR(Tabelle1!Q138/AY137,"")</f>
        <v>1.01249947691574</v>
      </c>
      <c r="BA137" s="24" t="n">
        <f aca="false">IFERROR(AVERAGEIFS($AZ$7:$AZ$294,$B$7:$B$294,$B137,$A$7:$A$294,"&gt;="&amp;EDATE($A137,-12*'Seasonal Factors'!$E$4),$A$7:$A$294,"&lt;="&amp;EDATE($A137,12*'Seasonal Factors'!$E$4)),"")</f>
        <v>1.01083513292101</v>
      </c>
      <c r="BB137" s="24" t="n">
        <f aca="false">IFERROR(BA137/AVERAGE(BA132:BA143),"")</f>
        <v>1.01085058550673</v>
      </c>
      <c r="BC137" s="23" t="n">
        <f aca="false">IF(ISNUMBER(Tabelle1!R144),(0.5*Tabelle1!R132+SUM(Tabelle1!R133:R143)+0.5*Tabelle1!R144)/12,"")</f>
        <v>166.95265875</v>
      </c>
      <c r="BD137" s="24" t="n">
        <f aca="false">IFERROR(Tabelle1!R138/BC137,"")</f>
        <v>0.956046888950788</v>
      </c>
      <c r="BE137" s="24" t="n">
        <f aca="false">IFERROR(AVERAGEIFS($BD$7:$BD$294,$B$7:$B$294,$B137,$A$7:$A$294,"&gt;="&amp;EDATE($A137,-12*'Seasonal Factors'!$E$4),$A$7:$A$294,"&lt;="&amp;EDATE($A137,12*'Seasonal Factors'!$E$4)),"")</f>
        <v>0.954202742042327</v>
      </c>
      <c r="BF137" s="24" t="n">
        <f aca="false">IFERROR(BE137/AVERAGE(BE132:BE143),"")</f>
        <v>0.953705234736198</v>
      </c>
      <c r="BG137" s="23" t="n">
        <f aca="false">IF(ISNUMBER(Tabelle1!S144),(0.5*Tabelle1!S132+SUM(Tabelle1!S133:S143)+0.5*Tabelle1!S144)/12,"")</f>
        <v>148.784821666667</v>
      </c>
      <c r="BH137" s="24" t="n">
        <f aca="false">IFERROR(Tabelle1!S138/BG137,"")</f>
        <v>0.999789550665747</v>
      </c>
      <c r="BI137" s="24" t="n">
        <f aca="false">IFERROR(AVERAGEIFS($BH$7:$BH$294,$B$7:$B$294,$B137,$A$7:$A$294,"&gt;="&amp;EDATE($A137,-12*'Seasonal Factors'!$E$4),$A$7:$A$294,"&lt;="&amp;EDATE($A137,12*'Seasonal Factors'!$E$4)),"")</f>
        <v>0.981138540241206</v>
      </c>
      <c r="BJ137" s="24" t="n">
        <f aca="false">IFERROR(BI137/AVERAGE(BI132:BI143),"")</f>
        <v>0.981111081916949</v>
      </c>
    </row>
    <row r="138" customFormat="false" ht="15" hidden="false" customHeight="false" outlineLevel="0" collapsed="false">
      <c r="A138" s="20" t="n">
        <v>42004</v>
      </c>
      <c r="B138" s="22" t="n">
        <f aca="false">MONTH(A138)</f>
        <v>12</v>
      </c>
      <c r="C138" s="23" t="n">
        <f aca="false">IF(ISNUMBER(Tabelle1!E145),(0.5*Tabelle1!E133+SUM(Tabelle1!E134:E144)+0.5*Tabelle1!E145)/12,"")</f>
        <v>133.349856666667</v>
      </c>
      <c r="D138" s="24" t="n">
        <f aca="false">IFERROR(Tabelle1!E139/C138,"")</f>
        <v>0.663847357716195</v>
      </c>
      <c r="E138" s="24" t="n">
        <f aca="false">IFERROR(AVERAGEIFS($D$7:$D$294,$B$7:$B$294,$B138,$A$7:$A$294,"&gt;="&amp;EDATE($A138,-12*'Seasonal Factors'!$E$4),$A$7:$A$294,"&lt;="&amp;EDATE($A138,12*'Seasonal Factors'!$E$4)),"")</f>
        <v>0.745445634133362</v>
      </c>
      <c r="F138" s="24" t="n">
        <f aca="false">IFERROR(E138/AVERAGE(E133:E144),"")</f>
        <v>0.74725553198923</v>
      </c>
      <c r="G138" s="23" t="n">
        <f aca="false">IF(ISNUMBER(Tabelle1!F145),(0.5*Tabelle1!F133+SUM(Tabelle1!F134:F144)+0.5*Tabelle1!F145)/12,"")</f>
        <v>148.724082083333</v>
      </c>
      <c r="H138" s="24" t="n">
        <f aca="false">IFERROR(Tabelle1!F139/G138,"")</f>
        <v>0.513642907926616</v>
      </c>
      <c r="I138" s="24" t="n">
        <f aca="false">IFERROR(AVERAGEIFS($H$7:$H$294,$B$7:$B$294,$B138,$A$7:$A$294,"&gt;="&amp;EDATE($A138,-12*'Seasonal Factors'!$E$4),$A$7:$A$294,"&lt;="&amp;EDATE($A138,12*'Seasonal Factors'!$E$4)),"")</f>
        <v>0.546426400851265</v>
      </c>
      <c r="J138" s="24" t="n">
        <f aca="false">IFERROR(I138/AVERAGE(I133:I144),"")</f>
        <v>0.548803442411825</v>
      </c>
      <c r="K138" s="23" t="n">
        <f aca="false">IF(ISNUMBER(Tabelle1!G145),(0.5*Tabelle1!G133+SUM(Tabelle1!G134:G144)+0.5*Tabelle1!G145)/12,"")</f>
        <v>94.5915733333333</v>
      </c>
      <c r="L138" s="24" t="n">
        <f aca="false">IFERROR(Tabelle1!G139/K138,"")</f>
        <v>1.00191948035399</v>
      </c>
      <c r="M138" s="24" t="n">
        <f aca="false">IFERROR(AVERAGEIFS($L$7:$L$294,$B$7:$B$294,$B138,$A$7:$A$294,"&gt;="&amp;EDATE($A138,-12*'Seasonal Factors'!$E$4),$A$7:$A$294,"&lt;="&amp;EDATE($A138,12*'Seasonal Factors'!$E$4)),"")</f>
        <v>0.998699673093273</v>
      </c>
      <c r="N138" s="24" t="n">
        <f aca="false">IFERROR(M138/AVERAGE(M133:M144),"")</f>
        <v>0.99901958722864</v>
      </c>
      <c r="O138" s="23" t="n">
        <f aca="false">IF(ISNUMBER(Tabelle1!H145),(0.5*Tabelle1!H133+SUM(Tabelle1!H134:H144)+0.5*Tabelle1!H145)/12,"")</f>
        <v>134.870889166667</v>
      </c>
      <c r="P138" s="24" t="n">
        <f aca="false">IFERROR(Tabelle1!H139/O138,"")</f>
        <v>0.992522039612119</v>
      </c>
      <c r="Q138" s="24" t="n">
        <f aca="false">IFERROR(AVERAGEIFS($P$7:$P$294,$B$7:$B$294,$B138,$A$7:$A$294,"&gt;="&amp;EDATE($A138,-12*'Seasonal Factors'!$E$4),$A$7:$A$294,"&lt;="&amp;EDATE($A138,12*'Seasonal Factors'!$E$4)),"")</f>
        <v>0.99148297378648</v>
      </c>
      <c r="R138" s="24" t="n">
        <f aca="false">IFERROR(Q138/AVERAGE(Q133:Q144),"")</f>
        <v>0.99125202629352</v>
      </c>
      <c r="S138" s="23" t="n">
        <f aca="false">IF(ISNUMBER(Tabelle1!I145),(0.5*Tabelle1!I133+SUM(Tabelle1!I134:I144)+0.5*Tabelle1!I145)/12,"")</f>
        <v>140.56557125</v>
      </c>
      <c r="T138" s="24" t="n">
        <f aca="false">IFERROR(Tabelle1!I139/S138,"")</f>
        <v>1.01344602901829</v>
      </c>
      <c r="U138" s="24" t="n">
        <f aca="false">IFERROR(AVERAGEIFS($T$7:$T$294,$B$7:$B$294,$B138,$A$7:$A$294,"&gt;="&amp;EDATE($A138,-12*'Seasonal Factors'!$E$4),$A$7:$A$294,"&lt;="&amp;EDATE($A138,12*'Seasonal Factors'!$E$4)),"")</f>
        <v>1.03909206897986</v>
      </c>
      <c r="V138" s="24" t="n">
        <f aca="false">IFERROR(U138/AVERAGE(U133:U144),"")</f>
        <v>1.03932888018257</v>
      </c>
      <c r="W138" s="23" t="n">
        <f aca="false">IF(ISNUMBER(Tabelle1!J145),(0.5*Tabelle1!J133+SUM(Tabelle1!J134:J144)+0.5*Tabelle1!J145)/12,"")</f>
        <v>147.741985416667</v>
      </c>
      <c r="X138" s="24" t="n">
        <f aca="false">IFERROR(Tabelle1!J139/W138,"")</f>
        <v>0.947357310823107</v>
      </c>
      <c r="Y138" s="24" t="n">
        <f aca="false">IFERROR(AVERAGEIFS($X$7:$X$294,$B$7:$B$294,$B138,$A$7:$A$294,"&gt;="&amp;EDATE($A138,-12*'Seasonal Factors'!$E$4),$A$7:$A$294,"&lt;="&amp;EDATE($A138,12*'Seasonal Factors'!$E$4)),"")</f>
        <v>0.943693214559631</v>
      </c>
      <c r="Z138" s="24" t="n">
        <f aca="false">IFERROR(Y138/AVERAGE(Y133:Y144),"")</f>
        <v>0.943497028819454</v>
      </c>
      <c r="AA138" s="23" t="n">
        <f aca="false">IF(ISNUMBER(Tabelle1!K145),(0.5*Tabelle1!K133+SUM(Tabelle1!K134:K144)+0.5*Tabelle1!K145)/12,"")</f>
        <v>153.854939583333</v>
      </c>
      <c r="AB138" s="24" t="n">
        <f aca="false">IFERROR(Tabelle1!K139/AA138,"")</f>
        <v>0.959324740562238</v>
      </c>
      <c r="AC138" s="24" t="n">
        <f aca="false">IFERROR(AVERAGEIFS($AB$7:$AB$294,$B$7:$B$294,$B138,$A$7:$A$294,"&gt;="&amp;EDATE($A138,-12*'Seasonal Factors'!$E$4),$A$7:$A$294,"&lt;="&amp;EDATE($A138,12*'Seasonal Factors'!$E$4)),"")</f>
        <v>0.947207487371318</v>
      </c>
      <c r="AD138" s="24" t="n">
        <f aca="false">IFERROR(AC138/AVERAGE(AC133:AC144),"")</f>
        <v>0.94651864838524</v>
      </c>
      <c r="AE138" s="23" t="n">
        <f aca="false">IF(ISNUMBER(Tabelle1!L145),(0.5*Tabelle1!L133+SUM(Tabelle1!L134:L144)+0.5*Tabelle1!L145)/12,"")</f>
        <v>157.344552083333</v>
      </c>
      <c r="AF138" s="24" t="n">
        <f aca="false">IFERROR(Tabelle1!L139/AE138,"")</f>
        <v>1.03543318051275</v>
      </c>
      <c r="AG138" s="24" t="n">
        <f aca="false">IFERROR(AVERAGEIFS($AF$7:$AF$294,$B$7:$B$294,$B138,$A$7:$A$294,"&gt;="&amp;EDATE($A138,-12*'Seasonal Factors'!$E$4),$A$7:$A$294,"&lt;="&amp;EDATE($A138,12*'Seasonal Factors'!$E$4)),"")</f>
        <v>1.02735607907864</v>
      </c>
      <c r="AH138" s="24" t="n">
        <f aca="false">IFERROR(AG138/AVERAGE(AG133:AG144),"")</f>
        <v>1.02759555909561</v>
      </c>
      <c r="AI138" s="23" t="n">
        <f aca="false">IF(ISNUMBER(Tabelle1!M145),(0.5*Tabelle1!M133+SUM(Tabelle1!M134:M144)+0.5*Tabelle1!M145)/12,"")</f>
        <v>183.77037625</v>
      </c>
      <c r="AJ138" s="24" t="n">
        <f aca="false">IFERROR(Tabelle1!M139/AI138,"")</f>
        <v>0.979013830581957</v>
      </c>
      <c r="AK138" s="24" t="n">
        <f aca="false">IFERROR(AVERAGEIFS($AJ$7:$AJ$294,$B$7:$B$294,$B138,$A$7:$A$294,"&gt;="&amp;EDATE($A138,-12*'Seasonal Factors'!$E$4),$A$7:$A$294,"&lt;="&amp;EDATE($A138,12*'Seasonal Factors'!$E$4)),"")</f>
        <v>0.974744356110563</v>
      </c>
      <c r="AL138" s="24" t="n">
        <f aca="false">IFERROR(AK138/AVERAGE(AK133:AK144),"")</f>
        <v>0.974702690164515</v>
      </c>
      <c r="AM138" s="23" t="n">
        <f aca="false">IF(ISNUMBER(Tabelle1!N145),(0.5*Tabelle1!N133+SUM(Tabelle1!N134:N144)+0.5*Tabelle1!N145)/12,"")</f>
        <v>176.069961666667</v>
      </c>
      <c r="AN138" s="24" t="n">
        <f aca="false">IFERROR(Tabelle1!N139/AM138,"")</f>
        <v>1.00041192905733</v>
      </c>
      <c r="AO138" s="24" t="n">
        <f aca="false">IFERROR(AVERAGEIFS($AN$7:$AN$294,$B$7:$B$294,$B138,$A$7:$A$294,"&gt;="&amp;EDATE($A138,-12*'Seasonal Factors'!$E$4),$A$7:$A$294,"&lt;="&amp;EDATE($A138,12*'Seasonal Factors'!$E$4)),"")</f>
        <v>1.02879606196398</v>
      </c>
      <c r="AP138" s="24" t="n">
        <f aca="false">IFERROR(AO138/AVERAGE(AO133:AO144),"")</f>
        <v>1.02913872719177</v>
      </c>
      <c r="AQ138" s="23" t="n">
        <f aca="false">IF(ISNUMBER(Tabelle1!O145),(0.5*Tabelle1!O133+SUM(Tabelle1!O134:O144)+0.5*Tabelle1!O145)/12,"")</f>
        <v>134.7189675</v>
      </c>
      <c r="AR138" s="24" t="n">
        <f aca="false">IFERROR(Tabelle1!O139/AQ138,"")</f>
        <v>1.03422519178675</v>
      </c>
      <c r="AS138" s="24" t="n">
        <f aca="false">IFERROR(AVERAGEIFS($AR$7:$AR$294,$B$7:$B$294,$B138,$A$7:$A$294,"&gt;="&amp;EDATE($A138,-12*'Seasonal Factors'!$E$4),$A$7:$A$294,"&lt;="&amp;EDATE($A138,12*'Seasonal Factors'!$E$4)),"")</f>
        <v>1.03734782507425</v>
      </c>
      <c r="AT138" s="24" t="n">
        <f aca="false">IFERROR(AS138/AVERAGE(AS133:AS144),"")</f>
        <v>1.03712474453828</v>
      </c>
      <c r="AU138" s="23" t="n">
        <f aca="false">IF(ISNUMBER(Tabelle1!P145),(0.5*Tabelle1!P133+SUM(Tabelle1!P134:P144)+0.5*Tabelle1!P145)/12,"")</f>
        <v>146.1278825</v>
      </c>
      <c r="AV138" s="24" t="n">
        <f aca="false">IFERROR(Tabelle1!P139/AU138,"")</f>
        <v>1.00748048545766</v>
      </c>
      <c r="AW138" s="24" t="n">
        <f aca="false">IFERROR(AVERAGEIFS($AV$7:$AV$294,$B$7:$B$294,$B138,$A$7:$A$294,"&gt;="&amp;EDATE($A138,-12*'Seasonal Factors'!$E$4),$A$7:$A$294,"&lt;="&amp;EDATE($A138,12*'Seasonal Factors'!$E$4)),"")</f>
        <v>1.00772975219736</v>
      </c>
      <c r="AX138" s="24" t="n">
        <f aca="false">IFERROR(AW138/AVERAGE(AW133:AW144),"")</f>
        <v>1.00781618288152</v>
      </c>
      <c r="AY138" s="23" t="n">
        <f aca="false">IF(ISNUMBER(Tabelle1!Q145),(0.5*Tabelle1!Q133+SUM(Tabelle1!Q134:Q144)+0.5*Tabelle1!Q145)/12,"")</f>
        <v>149.432529166667</v>
      </c>
      <c r="AZ138" s="24" t="n">
        <f aca="false">IFERROR(Tabelle1!Q139/AY138,"")</f>
        <v>1.00951613976731</v>
      </c>
      <c r="BA138" s="24" t="n">
        <f aca="false">IFERROR(AVERAGEIFS($AZ$7:$AZ$294,$B$7:$B$294,$B138,$A$7:$A$294,"&gt;="&amp;EDATE($A138,-12*'Seasonal Factors'!$E$4),$A$7:$A$294,"&lt;="&amp;EDATE($A138,12*'Seasonal Factors'!$E$4)),"")</f>
        <v>1.01338545418313</v>
      </c>
      <c r="BB138" s="24" t="n">
        <f aca="false">IFERROR(BA138/AVERAGE(BA133:BA144),"")</f>
        <v>1.01355901042308</v>
      </c>
      <c r="BC138" s="23" t="n">
        <f aca="false">IF(ISNUMBER(Tabelle1!R145),(0.5*Tabelle1!R133+SUM(Tabelle1!R134:R144)+0.5*Tabelle1!R145)/12,"")</f>
        <v>167.410917083333</v>
      </c>
      <c r="BD138" s="24" t="n">
        <f aca="false">IFERROR(Tabelle1!R139/BC138,"")</f>
        <v>0.917611842025406</v>
      </c>
      <c r="BE138" s="24" t="n">
        <f aca="false">IFERROR(AVERAGEIFS($BD$7:$BD$294,$B$7:$B$294,$B138,$A$7:$A$294,"&gt;="&amp;EDATE($A138,-12*'Seasonal Factors'!$E$4),$A$7:$A$294,"&lt;="&amp;EDATE($A138,12*'Seasonal Factors'!$E$4)),"")</f>
        <v>0.917539407873066</v>
      </c>
      <c r="BF138" s="24" t="n">
        <f aca="false">IFERROR(BE138/AVERAGE(BE133:BE144),"")</f>
        <v>0.916917252422299</v>
      </c>
      <c r="BG138" s="23" t="n">
        <f aca="false">IF(ISNUMBER(Tabelle1!S145),(0.5*Tabelle1!S133+SUM(Tabelle1!S134:S144)+0.5*Tabelle1!S145)/12,"")</f>
        <v>148.901382916667</v>
      </c>
      <c r="BH138" s="24" t="n">
        <f aca="false">IFERROR(Tabelle1!S139/BG138,"")</f>
        <v>0.990599530445933</v>
      </c>
      <c r="BI138" s="24" t="n">
        <f aca="false">IFERROR(AVERAGEIFS($BH$7:$BH$294,$B$7:$B$294,$B138,$A$7:$A$294,"&gt;="&amp;EDATE($A138,-12*'Seasonal Factors'!$E$4),$A$7:$A$294,"&lt;="&amp;EDATE($A138,12*'Seasonal Factors'!$E$4)),"")</f>
        <v>0.967637701703994</v>
      </c>
      <c r="BJ138" s="24" t="n">
        <f aca="false">IFERROR(BI138/AVERAGE(BI133:BI144),"")</f>
        <v>0.967253661761095</v>
      </c>
    </row>
    <row r="139" customFormat="false" ht="15" hidden="false" customHeight="false" outlineLevel="0" collapsed="false">
      <c r="A139" s="20" t="n">
        <v>42035</v>
      </c>
      <c r="B139" s="22" t="n">
        <f aca="false">MONTH(A139)</f>
        <v>1</v>
      </c>
      <c r="C139" s="23" t="n">
        <f aca="false">IF(ISNUMBER(Tabelle1!E146),(0.5*Tabelle1!E134+SUM(Tabelle1!E135:E145)+0.5*Tabelle1!E146)/12,"")</f>
        <v>134.79703</v>
      </c>
      <c r="D139" s="24" t="n">
        <f aca="false">IFERROR(Tabelle1!E140/C139,"")</f>
        <v>0.454919073513712</v>
      </c>
      <c r="E139" s="24" t="n">
        <f aca="false">IFERROR(AVERAGEIFS($D$7:$D$294,$B$7:$B$294,$B139,$A$7:$A$294,"&gt;="&amp;EDATE($A139,-12*'Seasonal Factors'!$E$4),$A$7:$A$294,"&lt;="&amp;EDATE($A139,12*'Seasonal Factors'!$E$4)),"")</f>
        <v>0.541337200953245</v>
      </c>
      <c r="F139" s="24" t="n">
        <f aca="false">IFERROR(E139/AVERAGE(E134:E145),"")</f>
        <v>0.542233844727962</v>
      </c>
      <c r="G139" s="23" t="n">
        <f aca="false">IF(ISNUMBER(Tabelle1!F146),(0.5*Tabelle1!F134+SUM(Tabelle1!F135:F145)+0.5*Tabelle1!F146)/12,"")</f>
        <v>147.210129583333</v>
      </c>
      <c r="H139" s="24" t="n">
        <f aca="false">IFERROR(Tabelle1!F140/G139,"")</f>
        <v>0.333369654241213</v>
      </c>
      <c r="I139" s="24" t="n">
        <f aca="false">IFERROR(AVERAGEIFS($H$7:$H$294,$B$7:$B$294,$B139,$A$7:$A$294,"&gt;="&amp;EDATE($A139,-12*'Seasonal Factors'!$E$4),$A$7:$A$294,"&lt;="&amp;EDATE($A139,12*'Seasonal Factors'!$E$4)),"")</f>
        <v>0.446256070046426</v>
      </c>
      <c r="J139" s="24" t="n">
        <f aca="false">IFERROR(I139/AVERAGE(I134:I145),"")</f>
        <v>0.448412433921526</v>
      </c>
      <c r="K139" s="23" t="n">
        <f aca="false">IF(ISNUMBER(Tabelle1!G146),(0.5*Tabelle1!G134+SUM(Tabelle1!G135:G145)+0.5*Tabelle1!G146)/12,"")</f>
        <v>94.8002608333333</v>
      </c>
      <c r="L139" s="24" t="n">
        <f aca="false">IFERROR(Tabelle1!G140/K139,"")</f>
        <v>1.00365409507971</v>
      </c>
      <c r="M139" s="24" t="n">
        <f aca="false">IFERROR(AVERAGEIFS($L$7:$L$294,$B$7:$B$294,$B139,$A$7:$A$294,"&gt;="&amp;EDATE($A139,-12*'Seasonal Factors'!$E$4),$A$7:$A$294,"&lt;="&amp;EDATE($A139,12*'Seasonal Factors'!$E$4)),"")</f>
        <v>0.994795067784477</v>
      </c>
      <c r="N139" s="24" t="n">
        <f aca="false">IFERROR(M139/AVERAGE(M134:M145),"")</f>
        <v>0.995171134128972</v>
      </c>
      <c r="O139" s="23" t="n">
        <f aca="false">IF(ISNUMBER(Tabelle1!H146),(0.5*Tabelle1!H134+SUM(Tabelle1!H135:H145)+0.5*Tabelle1!H146)/12,"")</f>
        <v>135.353740833333</v>
      </c>
      <c r="P139" s="24" t="n">
        <f aca="false">IFERROR(Tabelle1!H140/O139,"")</f>
        <v>0.873804737658741</v>
      </c>
      <c r="Q139" s="24" t="n">
        <f aca="false">IFERROR(AVERAGEIFS($P$7:$P$294,$B$7:$B$294,$B139,$A$7:$A$294,"&gt;="&amp;EDATE($A139,-12*'Seasonal Factors'!$E$4),$A$7:$A$294,"&lt;="&amp;EDATE($A139,12*'Seasonal Factors'!$E$4)),"")</f>
        <v>0.879478181388778</v>
      </c>
      <c r="R139" s="24" t="n">
        <f aca="false">IFERROR(Q139/AVERAGE(Q134:Q145),"")</f>
        <v>0.87894486293391</v>
      </c>
      <c r="S139" s="23" t="n">
        <f aca="false">IF(ISNUMBER(Tabelle1!I146),(0.5*Tabelle1!I134+SUM(Tabelle1!I135:I145)+0.5*Tabelle1!I146)/12,"")</f>
        <v>140.811095416667</v>
      </c>
      <c r="T139" s="24" t="n">
        <f aca="false">IFERROR(Tabelle1!I140/S139,"")</f>
        <v>1.05903749671668</v>
      </c>
      <c r="U139" s="24" t="n">
        <f aca="false">IFERROR(AVERAGEIFS($T$7:$T$294,$B$7:$B$294,$B139,$A$7:$A$294,"&gt;="&amp;EDATE($A139,-12*'Seasonal Factors'!$E$4),$A$7:$A$294,"&lt;="&amp;EDATE($A139,12*'Seasonal Factors'!$E$4)),"")</f>
        <v>1.06925362553894</v>
      </c>
      <c r="V139" s="24" t="n">
        <f aca="false">IFERROR(U139/AVERAGE(U134:U145),"")</f>
        <v>1.06930056865501</v>
      </c>
      <c r="W139" s="23" t="n">
        <f aca="false">IF(ISNUMBER(Tabelle1!J146),(0.5*Tabelle1!J134+SUM(Tabelle1!J135:J145)+0.5*Tabelle1!J146)/12,"")</f>
        <v>148.51152625</v>
      </c>
      <c r="X139" s="24" t="n">
        <f aca="false">IFERROR(Tabelle1!J140/W139,"")</f>
        <v>0.987732829255736</v>
      </c>
      <c r="Y139" s="24" t="n">
        <f aca="false">IFERROR(AVERAGEIFS($X$7:$X$294,$B$7:$B$294,$B139,$A$7:$A$294,"&gt;="&amp;EDATE($A139,-12*'Seasonal Factors'!$E$4),$A$7:$A$294,"&lt;="&amp;EDATE($A139,12*'Seasonal Factors'!$E$4)),"")</f>
        <v>1.00422419389253</v>
      </c>
      <c r="Z139" s="24" t="n">
        <f aca="false">IFERROR(Y139/AVERAGE(Y134:Y145),"")</f>
        <v>1.00382889011671</v>
      </c>
      <c r="AA139" s="23" t="n">
        <f aca="false">IF(ISNUMBER(Tabelle1!K146),(0.5*Tabelle1!K134+SUM(Tabelle1!K135:K145)+0.5*Tabelle1!K146)/12,"")</f>
        <v>155.003829583333</v>
      </c>
      <c r="AB139" s="24" t="n">
        <f aca="false">IFERROR(Tabelle1!K140/AA139,"")</f>
        <v>0.858364147244954</v>
      </c>
      <c r="AC139" s="24" t="n">
        <f aca="false">IFERROR(AVERAGEIFS($AB$7:$AB$294,$B$7:$B$294,$B139,$A$7:$A$294,"&gt;="&amp;EDATE($A139,-12*'Seasonal Factors'!$E$4),$A$7:$A$294,"&lt;="&amp;EDATE($A139,12*'Seasonal Factors'!$E$4)),"")</f>
        <v>0.886578326471712</v>
      </c>
      <c r="AD139" s="24" t="n">
        <f aca="false">IFERROR(AC139/AVERAGE(AC134:AC145),"")</f>
        <v>0.885732931492747</v>
      </c>
      <c r="AE139" s="23" t="n">
        <f aca="false">IF(ISNUMBER(Tabelle1!L146),(0.5*Tabelle1!L134+SUM(Tabelle1!L135:L145)+0.5*Tabelle1!L146)/12,"")</f>
        <v>157.54503375</v>
      </c>
      <c r="AF139" s="24" t="n">
        <f aca="false">IFERROR(Tabelle1!L140/AE139,"")</f>
        <v>1.08970943681048</v>
      </c>
      <c r="AG139" s="24" t="n">
        <f aca="false">IFERROR(AVERAGEIFS($AF$7:$AF$294,$B$7:$B$294,$B139,$A$7:$A$294,"&gt;="&amp;EDATE($A139,-12*'Seasonal Factors'!$E$4),$A$7:$A$294,"&lt;="&amp;EDATE($A139,12*'Seasonal Factors'!$E$4)),"")</f>
        <v>1.06414393131753</v>
      </c>
      <c r="AH139" s="24" t="n">
        <f aca="false">IFERROR(AG139/AVERAGE(AG134:AG145),"")</f>
        <v>1.06403109609746</v>
      </c>
      <c r="AI139" s="23" t="n">
        <f aca="false">IF(ISNUMBER(Tabelle1!M146),(0.5*Tabelle1!M134+SUM(Tabelle1!M135:M145)+0.5*Tabelle1!M146)/12,"")</f>
        <v>184.331185833333</v>
      </c>
      <c r="AJ139" s="24" t="n">
        <f aca="false">IFERROR(Tabelle1!M140/AI139,"")</f>
        <v>0.970230236362202</v>
      </c>
      <c r="AK139" s="24" t="n">
        <f aca="false">IFERROR(AVERAGEIFS($AJ$7:$AJ$294,$B$7:$B$294,$B139,$A$7:$A$294,"&gt;="&amp;EDATE($A139,-12*'Seasonal Factors'!$E$4),$A$7:$A$294,"&lt;="&amp;EDATE($A139,12*'Seasonal Factors'!$E$4)),"")</f>
        <v>0.982670234060021</v>
      </c>
      <c r="AL139" s="24" t="n">
        <f aca="false">IFERROR(AK139/AVERAGE(AK134:AK145),"")</f>
        <v>0.982456080370421</v>
      </c>
      <c r="AM139" s="23" t="n">
        <f aca="false">IF(ISNUMBER(Tabelle1!N146),(0.5*Tabelle1!N134+SUM(Tabelle1!N135:N145)+0.5*Tabelle1!N146)/12,"")</f>
        <v>176.559950833333</v>
      </c>
      <c r="AN139" s="24" t="n">
        <f aca="false">IFERROR(Tabelle1!N140/AM139,"")</f>
        <v>0.99756512826774</v>
      </c>
      <c r="AO139" s="24" t="n">
        <f aca="false">IFERROR(AVERAGEIFS($AN$7:$AN$294,$B$7:$B$294,$B139,$A$7:$A$294,"&gt;="&amp;EDATE($A139,-12*'Seasonal Factors'!$E$4),$A$7:$A$294,"&lt;="&amp;EDATE($A139,12*'Seasonal Factors'!$E$4)),"")</f>
        <v>1.01816394338143</v>
      </c>
      <c r="AP139" s="24" t="n">
        <f aca="false">IFERROR(AO139/AVERAGE(AO134:AO145),"")</f>
        <v>1.01814842170292</v>
      </c>
      <c r="AQ139" s="23" t="n">
        <f aca="false">IF(ISNUMBER(Tabelle1!O146),(0.5*Tabelle1!O134+SUM(Tabelle1!O135:O145)+0.5*Tabelle1!O146)/12,"")</f>
        <v>135.001422916667</v>
      </c>
      <c r="AR139" s="24" t="n">
        <f aca="false">IFERROR(Tabelle1!O140/AQ139,"")</f>
        <v>0.950935458504349</v>
      </c>
      <c r="AS139" s="24" t="n">
        <f aca="false">IFERROR(AVERAGEIFS($AR$7:$AR$294,$B$7:$B$294,$B139,$A$7:$A$294,"&gt;="&amp;EDATE($A139,-12*'Seasonal Factors'!$E$4),$A$7:$A$294,"&lt;="&amp;EDATE($A139,12*'Seasonal Factors'!$E$4)),"")</f>
        <v>0.955769732611777</v>
      </c>
      <c r="AT139" s="24" t="n">
        <f aca="false">IFERROR(AS139/AVERAGE(AS134:AS145),"")</f>
        <v>0.955373253602314</v>
      </c>
      <c r="AU139" s="23" t="n">
        <f aca="false">IF(ISNUMBER(Tabelle1!P146),(0.5*Tabelle1!P134+SUM(Tabelle1!P135:P145)+0.5*Tabelle1!P146)/12,"")</f>
        <v>146.592527083333</v>
      </c>
      <c r="AV139" s="24" t="n">
        <f aca="false">IFERROR(Tabelle1!P140/AU139,"")</f>
        <v>0.99736189087515</v>
      </c>
      <c r="AW139" s="24" t="n">
        <f aca="false">IFERROR(AVERAGEIFS($AV$7:$AV$294,$B$7:$B$294,$B139,$A$7:$A$294,"&gt;="&amp;EDATE($A139,-12*'Seasonal Factors'!$E$4),$A$7:$A$294,"&lt;="&amp;EDATE($A139,12*'Seasonal Factors'!$E$4)),"")</f>
        <v>0.998788067595108</v>
      </c>
      <c r="AX139" s="24" t="n">
        <f aca="false">IFERROR(AW139/AVERAGE(AW134:AW145),"")</f>
        <v>0.998837712122943</v>
      </c>
      <c r="AY139" s="23" t="n">
        <f aca="false">IF(ISNUMBER(Tabelle1!Q146),(0.5*Tabelle1!Q134+SUM(Tabelle1!Q135:Q145)+0.5*Tabelle1!Q146)/12,"")</f>
        <v>149.884322083333</v>
      </c>
      <c r="AZ139" s="24" t="n">
        <f aca="false">IFERROR(Tabelle1!Q140/AY139,"")</f>
        <v>0.977734014892646</v>
      </c>
      <c r="BA139" s="24" t="n">
        <f aca="false">IFERROR(AVERAGEIFS($AZ$7:$AZ$294,$B$7:$B$294,$B139,$A$7:$A$294,"&gt;="&amp;EDATE($A139,-12*'Seasonal Factors'!$E$4),$A$7:$A$294,"&lt;="&amp;EDATE($A139,12*'Seasonal Factors'!$E$4)),"")</f>
        <v>0.977883606706545</v>
      </c>
      <c r="BB139" s="24" t="n">
        <f aca="false">IFERROR(BA139/AVERAGE(BA134:BA145),"")</f>
        <v>0.977970694754665</v>
      </c>
      <c r="BC139" s="23" t="n">
        <f aca="false">IF(ISNUMBER(Tabelle1!R146),(0.5*Tabelle1!R134+SUM(Tabelle1!R135:R145)+0.5*Tabelle1!R146)/12,"")</f>
        <v>167.85954</v>
      </c>
      <c r="BD139" s="24" t="n">
        <f aca="false">IFERROR(Tabelle1!R140/BC139,"")</f>
        <v>0.997567847499165</v>
      </c>
      <c r="BE139" s="24" t="n">
        <f aca="false">IFERROR(AVERAGEIFS($BD$7:$BD$294,$B$7:$B$294,$B139,$A$7:$A$294,"&gt;="&amp;EDATE($A139,-12*'Seasonal Factors'!$E$4),$A$7:$A$294,"&lt;="&amp;EDATE($A139,12*'Seasonal Factors'!$E$4)),"")</f>
        <v>0.998166274721753</v>
      </c>
      <c r="BF139" s="24" t="n">
        <f aca="false">IFERROR(BE139/AVERAGE(BE134:BE145),"")</f>
        <v>0.997774316322576</v>
      </c>
      <c r="BG139" s="23" t="n">
        <f aca="false">IF(ISNUMBER(Tabelle1!S146),(0.5*Tabelle1!S134+SUM(Tabelle1!S135:S145)+0.5*Tabelle1!S146)/12,"")</f>
        <v>149.671595416667</v>
      </c>
      <c r="BH139" s="24" t="n">
        <f aca="false">IFERROR(Tabelle1!S140/BG139,"")</f>
        <v>1.00748608699075</v>
      </c>
      <c r="BI139" s="24" t="n">
        <f aca="false">IFERROR(AVERAGEIFS($BH$7:$BH$294,$B$7:$B$294,$B139,$A$7:$A$294,"&gt;="&amp;EDATE($A139,-12*'Seasonal Factors'!$E$4),$A$7:$A$294,"&lt;="&amp;EDATE($A139,12*'Seasonal Factors'!$E$4)),"")</f>
        <v>1.00929465524918</v>
      </c>
      <c r="BJ139" s="24" t="n">
        <f aca="false">IFERROR(BI139/AVERAGE(BI134:BI145),"")</f>
        <v>1.00834106516692</v>
      </c>
    </row>
    <row r="140" customFormat="false" ht="15" hidden="false" customHeight="false" outlineLevel="0" collapsed="false">
      <c r="A140" s="20" t="n">
        <v>42063</v>
      </c>
      <c r="B140" s="22" t="n">
        <f aca="false">MONTH(A140)</f>
        <v>2</v>
      </c>
      <c r="C140" s="23" t="n">
        <f aca="false">IF(ISNUMBER(Tabelle1!E147),(0.5*Tabelle1!E135+SUM(Tabelle1!E136:E146)+0.5*Tabelle1!E147)/12,"")</f>
        <v>135.019671666667</v>
      </c>
      <c r="D140" s="24" t="n">
        <f aca="false">IFERROR(Tabelle1!E141/C140,"")</f>
        <v>0.521016672101471</v>
      </c>
      <c r="E140" s="24" t="n">
        <f aca="false">IFERROR(AVERAGEIFS($D$7:$D$294,$B$7:$B$294,$B140,$A$7:$A$294,"&gt;="&amp;EDATE($A140,-12*'Seasonal Factors'!$E$4),$A$7:$A$294,"&lt;="&amp;EDATE($A140,12*'Seasonal Factors'!$E$4)),"")</f>
        <v>0.579178100916615</v>
      </c>
      <c r="F140" s="24" t="n">
        <f aca="false">IFERROR(E140/AVERAGE(E135:E146),"")</f>
        <v>0.579804185158859</v>
      </c>
      <c r="G140" s="23" t="n">
        <f aca="false">IF(ISNUMBER(Tabelle1!F147),(0.5*Tabelle1!F135+SUM(Tabelle1!F136:F146)+0.5*Tabelle1!F147)/12,"")</f>
        <v>149.562020833333</v>
      </c>
      <c r="H140" s="24" t="n">
        <f aca="false">IFERROR(Tabelle1!F141/G140,"")</f>
        <v>0.550542173348654</v>
      </c>
      <c r="I140" s="24" t="n">
        <f aca="false">IFERROR(AVERAGEIFS($H$7:$H$294,$B$7:$B$294,$B140,$A$7:$A$294,"&gt;="&amp;EDATE($A140,-12*'Seasonal Factors'!$E$4),$A$7:$A$294,"&lt;="&amp;EDATE($A140,12*'Seasonal Factors'!$E$4)),"")</f>
        <v>0.733602279394755</v>
      </c>
      <c r="J140" s="24" t="n">
        <f aca="false">IFERROR(I140/AVERAGE(I135:I146),"")</f>
        <v>0.734687967532536</v>
      </c>
      <c r="K140" s="23" t="n">
        <f aca="false">IF(ISNUMBER(Tabelle1!G147),(0.5*Tabelle1!G135+SUM(Tabelle1!G136:G146)+0.5*Tabelle1!G147)/12,"")</f>
        <v>95.0502366666667</v>
      </c>
      <c r="L140" s="24" t="n">
        <f aca="false">IFERROR(Tabelle1!G141/K140,"")</f>
        <v>0.928861127506924</v>
      </c>
      <c r="M140" s="24" t="n">
        <f aca="false">IFERROR(AVERAGEIFS($L$7:$L$294,$B$7:$B$294,$B140,$A$7:$A$294,"&gt;="&amp;EDATE($A140,-12*'Seasonal Factors'!$E$4),$A$7:$A$294,"&lt;="&amp;EDATE($A140,12*'Seasonal Factors'!$E$4)),"")</f>
        <v>0.935106398562793</v>
      </c>
      <c r="N140" s="24" t="n">
        <f aca="false">IFERROR(M140/AVERAGE(M135:M146),"")</f>
        <v>0.935580811573976</v>
      </c>
      <c r="O140" s="23" t="n">
        <f aca="false">IF(ISNUMBER(Tabelle1!H147),(0.5*Tabelle1!H135+SUM(Tabelle1!H136:H146)+0.5*Tabelle1!H147)/12,"")</f>
        <v>135.826405833333</v>
      </c>
      <c r="P140" s="24" t="n">
        <f aca="false">IFERROR(Tabelle1!H141/O140,"")</f>
        <v>0.860202177059496</v>
      </c>
      <c r="Q140" s="24" t="n">
        <f aca="false">IFERROR(AVERAGEIFS($P$7:$P$294,$B$7:$B$294,$B140,$A$7:$A$294,"&gt;="&amp;EDATE($A140,-12*'Seasonal Factors'!$E$4),$A$7:$A$294,"&lt;="&amp;EDATE($A140,12*'Seasonal Factors'!$E$4)),"")</f>
        <v>0.85947051434756</v>
      </c>
      <c r="R140" s="24" t="n">
        <f aca="false">IFERROR(Q140/AVERAGE(Q135:Q146),"")</f>
        <v>0.858768280893242</v>
      </c>
      <c r="S140" s="23" t="n">
        <f aca="false">IF(ISNUMBER(Tabelle1!I147),(0.5*Tabelle1!I135+SUM(Tabelle1!I136:I146)+0.5*Tabelle1!I147)/12,"")</f>
        <v>141.356034166667</v>
      </c>
      <c r="T140" s="24" t="n">
        <f aca="false">IFERROR(Tabelle1!I141/S140,"")</f>
        <v>0.969888061788378</v>
      </c>
      <c r="U140" s="24" t="n">
        <f aca="false">IFERROR(AVERAGEIFS($T$7:$T$294,$B$7:$B$294,$B140,$A$7:$A$294,"&gt;="&amp;EDATE($A140,-12*'Seasonal Factors'!$E$4),$A$7:$A$294,"&lt;="&amp;EDATE($A140,12*'Seasonal Factors'!$E$4)),"")</f>
        <v>0.975499156246751</v>
      </c>
      <c r="V140" s="24" t="n">
        <f aca="false">IFERROR(U140/AVERAGE(U135:U146),"")</f>
        <v>0.975687829485338</v>
      </c>
      <c r="W140" s="23" t="n">
        <f aca="false">IF(ISNUMBER(Tabelle1!J147),(0.5*Tabelle1!J135+SUM(Tabelle1!J136:J146)+0.5*Tabelle1!J147)/12,"")</f>
        <v>149.358319583333</v>
      </c>
      <c r="X140" s="24" t="n">
        <f aca="false">IFERROR(Tabelle1!J141/W140,"")</f>
        <v>0.989452682731514</v>
      </c>
      <c r="Y140" s="24" t="n">
        <f aca="false">IFERROR(AVERAGEIFS($X$7:$X$294,$B$7:$B$294,$B140,$A$7:$A$294,"&gt;="&amp;EDATE($A140,-12*'Seasonal Factors'!$E$4),$A$7:$A$294,"&lt;="&amp;EDATE($A140,12*'Seasonal Factors'!$E$4)),"")</f>
        <v>1.00023951969421</v>
      </c>
      <c r="Z140" s="24" t="n">
        <f aca="false">IFERROR(Y140/AVERAGE(Y135:Y146),"")</f>
        <v>0.999056195353768</v>
      </c>
      <c r="AA140" s="23" t="n">
        <f aca="false">IF(ISNUMBER(Tabelle1!K147),(0.5*Tabelle1!K135+SUM(Tabelle1!K136:K146)+0.5*Tabelle1!K147)/12,"")</f>
        <v>155.887618333333</v>
      </c>
      <c r="AB140" s="24" t="n">
        <f aca="false">IFERROR(Tabelle1!K141/AA140,"")</f>
        <v>0.913817091588341</v>
      </c>
      <c r="AC140" s="24" t="n">
        <f aca="false">IFERROR(AVERAGEIFS($AB$7:$AB$294,$B$7:$B$294,$B140,$A$7:$A$294,"&gt;="&amp;EDATE($A140,-12*'Seasonal Factors'!$E$4),$A$7:$A$294,"&lt;="&amp;EDATE($A140,12*'Seasonal Factors'!$E$4)),"")</f>
        <v>0.906265961631371</v>
      </c>
      <c r="AD140" s="24" t="n">
        <f aca="false">IFERROR(AC140/AVERAGE(AC135:AC146),"")</f>
        <v>0.905528280133113</v>
      </c>
      <c r="AE140" s="23" t="n">
        <f aca="false">IF(ISNUMBER(Tabelle1!L147),(0.5*Tabelle1!L135+SUM(Tabelle1!L136:L146)+0.5*Tabelle1!L147)/12,"")</f>
        <v>157.705005416667</v>
      </c>
      <c r="AF140" s="24" t="n">
        <f aca="false">IFERROR(Tabelle1!L141/AE140,"")</f>
        <v>1.01796363137523</v>
      </c>
      <c r="AG140" s="24" t="n">
        <f aca="false">IFERROR(AVERAGEIFS($AF$7:$AF$294,$B$7:$B$294,$B140,$A$7:$A$294,"&gt;="&amp;EDATE($A140,-12*'Seasonal Factors'!$E$4),$A$7:$A$294,"&lt;="&amp;EDATE($A140,12*'Seasonal Factors'!$E$4)),"")</f>
        <v>1.00795674980605</v>
      </c>
      <c r="AH140" s="24" t="n">
        <f aca="false">IFERROR(AG140/AVERAGE(AG135:AG146),"")</f>
        <v>1.00770489404764</v>
      </c>
      <c r="AI140" s="23" t="n">
        <f aca="false">IF(ISNUMBER(Tabelle1!M147),(0.5*Tabelle1!M135+SUM(Tabelle1!M136:M146)+0.5*Tabelle1!M147)/12,"")</f>
        <v>185.02144375</v>
      </c>
      <c r="AJ140" s="24" t="n">
        <f aca="false">IFERROR(Tabelle1!M141/AI140,"")</f>
        <v>0.937779299973709</v>
      </c>
      <c r="AK140" s="24" t="n">
        <f aca="false">IFERROR(AVERAGEIFS($AJ$7:$AJ$294,$B$7:$B$294,$B140,$A$7:$A$294,"&gt;="&amp;EDATE($A140,-12*'Seasonal Factors'!$E$4),$A$7:$A$294,"&lt;="&amp;EDATE($A140,12*'Seasonal Factors'!$E$4)),"")</f>
        <v>0.941104345858837</v>
      </c>
      <c r="AL140" s="24" t="n">
        <f aca="false">IFERROR(AK140/AVERAGE(AK135:AK146),"")</f>
        <v>0.940883682683681</v>
      </c>
      <c r="AM140" s="23" t="n">
        <f aca="false">IF(ISNUMBER(Tabelle1!N147),(0.5*Tabelle1!N135+SUM(Tabelle1!N136:N146)+0.5*Tabelle1!N147)/12,"")</f>
        <v>177.072553333333</v>
      </c>
      <c r="AN140" s="24" t="n">
        <f aca="false">IFERROR(Tabelle1!N141/AM140,"")</f>
        <v>0.973403764475752</v>
      </c>
      <c r="AO140" s="24" t="n">
        <f aca="false">IFERROR(AVERAGEIFS($AN$7:$AN$294,$B$7:$B$294,$B140,$A$7:$A$294,"&gt;="&amp;EDATE($A140,-12*'Seasonal Factors'!$E$4),$A$7:$A$294,"&lt;="&amp;EDATE($A140,12*'Seasonal Factors'!$E$4)),"")</f>
        <v>0.974035486731504</v>
      </c>
      <c r="AP140" s="24" t="n">
        <f aca="false">IFERROR(AO140/AVERAGE(AO135:AO146),"")</f>
        <v>0.973760558618847</v>
      </c>
      <c r="AQ140" s="23" t="n">
        <f aca="false">IF(ISNUMBER(Tabelle1!O147),(0.5*Tabelle1!O135+SUM(Tabelle1!O136:O146)+0.5*Tabelle1!O147)/12,"")</f>
        <v>135.321307083333</v>
      </c>
      <c r="AR140" s="24" t="n">
        <f aca="false">IFERROR(Tabelle1!O141/AQ140,"")</f>
        <v>0.954701981414069</v>
      </c>
      <c r="AS140" s="24" t="n">
        <f aca="false">IFERROR(AVERAGEIFS($AR$7:$AR$294,$B$7:$B$294,$B140,$A$7:$A$294,"&gt;="&amp;EDATE($A140,-12*'Seasonal Factors'!$E$4),$A$7:$A$294,"&lt;="&amp;EDATE($A140,12*'Seasonal Factors'!$E$4)),"")</f>
        <v>0.958248114231074</v>
      </c>
      <c r="AT140" s="24" t="n">
        <f aca="false">IFERROR(AS140/AVERAGE(AS135:AS146),"")</f>
        <v>0.957841053323414</v>
      </c>
      <c r="AU140" s="23" t="n">
        <f aca="false">IF(ISNUMBER(Tabelle1!P147),(0.5*Tabelle1!P135+SUM(Tabelle1!P136:P146)+0.5*Tabelle1!P147)/12,"")</f>
        <v>147.086901666667</v>
      </c>
      <c r="AV140" s="24" t="n">
        <f aca="false">IFERROR(Tabelle1!P141/AU140,"")</f>
        <v>0.995106758939707</v>
      </c>
      <c r="AW140" s="24" t="n">
        <f aca="false">IFERROR(AVERAGEIFS($AV$7:$AV$294,$B$7:$B$294,$B140,$A$7:$A$294,"&gt;="&amp;EDATE($A140,-12*'Seasonal Factors'!$E$4),$A$7:$A$294,"&lt;="&amp;EDATE($A140,12*'Seasonal Factors'!$E$4)),"")</f>
        <v>1.00010127535564</v>
      </c>
      <c r="AX140" s="24" t="n">
        <f aca="false">IFERROR(AW140/AVERAGE(AW135:AW146),"")</f>
        <v>1.0001217639063</v>
      </c>
      <c r="AY140" s="23" t="n">
        <f aca="false">IF(ISNUMBER(Tabelle1!Q147),(0.5*Tabelle1!Q135+SUM(Tabelle1!Q136:Q146)+0.5*Tabelle1!Q147)/12,"")</f>
        <v>150.364768333333</v>
      </c>
      <c r="AZ140" s="24" t="n">
        <f aca="false">IFERROR(Tabelle1!Q141/AY140,"")</f>
        <v>0.973023811506554</v>
      </c>
      <c r="BA140" s="24" t="n">
        <f aca="false">IFERROR(AVERAGEIFS($AZ$7:$AZ$294,$B$7:$B$294,$B140,$A$7:$A$294,"&gt;="&amp;EDATE($A140,-12*'Seasonal Factors'!$E$4),$A$7:$A$294,"&lt;="&amp;EDATE($A140,12*'Seasonal Factors'!$E$4)),"")</f>
        <v>0.980320586846842</v>
      </c>
      <c r="BB140" s="24" t="n">
        <f aca="false">IFERROR(BA140/AVERAGE(BA135:BA146),"")</f>
        <v>0.980349926767814</v>
      </c>
      <c r="BC140" s="23" t="n">
        <f aca="false">IF(ISNUMBER(Tabelle1!R147),(0.5*Tabelle1!R135+SUM(Tabelle1!R136:R146)+0.5*Tabelle1!R147)/12,"")</f>
        <v>168.279426666667</v>
      </c>
      <c r="BD140" s="24" t="n">
        <f aca="false">IFERROR(Tabelle1!R141/BC140,"")</f>
        <v>0.941822438662932</v>
      </c>
      <c r="BE140" s="24" t="n">
        <f aca="false">IFERROR(AVERAGEIFS($BD$7:$BD$294,$B$7:$B$294,$B140,$A$7:$A$294,"&gt;="&amp;EDATE($A140,-12*'Seasonal Factors'!$E$4),$A$7:$A$294,"&lt;="&amp;EDATE($A140,12*'Seasonal Factors'!$E$4)),"")</f>
        <v>0.944250974873753</v>
      </c>
      <c r="BF140" s="24" t="n">
        <f aca="false">IFERROR(BE140/AVERAGE(BE135:BE146),"")</f>
        <v>0.94406141877143</v>
      </c>
      <c r="BG140" s="23" t="n">
        <f aca="false">IF(ISNUMBER(Tabelle1!S147),(0.5*Tabelle1!S135+SUM(Tabelle1!S136:S146)+0.5*Tabelle1!S147)/12,"")</f>
        <v>150.246061666667</v>
      </c>
      <c r="BH140" s="24" t="n">
        <f aca="false">IFERROR(Tabelle1!S141/BG140,"")</f>
        <v>0.989840521277335</v>
      </c>
      <c r="BI140" s="24" t="n">
        <f aca="false">IFERROR(AVERAGEIFS($BH$7:$BH$294,$B$7:$B$294,$B140,$A$7:$A$294,"&gt;="&amp;EDATE($A140,-12*'Seasonal Factors'!$E$4),$A$7:$A$294,"&lt;="&amp;EDATE($A140,12*'Seasonal Factors'!$E$4)),"")</f>
        <v>0.986023311855229</v>
      </c>
      <c r="BJ140" s="24" t="n">
        <f aca="false">IFERROR(BI140/AVERAGE(BI135:BI146),"")</f>
        <v>0.985130814853951</v>
      </c>
    </row>
    <row r="141" customFormat="false" ht="15" hidden="false" customHeight="false" outlineLevel="0" collapsed="false">
      <c r="A141" s="20" t="n">
        <v>42094</v>
      </c>
      <c r="B141" s="22" t="n">
        <f aca="false">MONTH(A141)</f>
        <v>3</v>
      </c>
      <c r="C141" s="23" t="n">
        <f aca="false">IF(ISNUMBER(Tabelle1!E148),(0.5*Tabelle1!E136+SUM(Tabelle1!E137:E147)+0.5*Tabelle1!E148)/12,"")</f>
        <v>134.91952625</v>
      </c>
      <c r="D141" s="24" t="n">
        <f aca="false">IFERROR(Tabelle1!E142/C141,"")</f>
        <v>1.07047670573925</v>
      </c>
      <c r="E141" s="24" t="n">
        <f aca="false">IFERROR(AVERAGEIFS($D$7:$D$294,$B$7:$B$294,$B141,$A$7:$A$294,"&gt;="&amp;EDATE($A141,-12*'Seasonal Factors'!$E$4),$A$7:$A$294,"&lt;="&amp;EDATE($A141,12*'Seasonal Factors'!$E$4)),"")</f>
        <v>1.12421070703742</v>
      </c>
      <c r="F141" s="24" t="n">
        <f aca="false">IFERROR(E141/AVERAGE(E136:E147),"")</f>
        <v>1.12496375553376</v>
      </c>
      <c r="G141" s="23" t="n">
        <f aca="false">IF(ISNUMBER(Tabelle1!F148),(0.5*Tabelle1!F136+SUM(Tabelle1!F137:F147)+0.5*Tabelle1!F148)/12,"")</f>
        <v>151.742111666667</v>
      </c>
      <c r="H141" s="24" t="n">
        <f aca="false">IFERROR(Tabelle1!F142/G141,"")</f>
        <v>0.934618600217846</v>
      </c>
      <c r="I141" s="24" t="n">
        <f aca="false">IFERROR(AVERAGEIFS($H$7:$H$294,$B$7:$B$294,$B141,$A$7:$A$294,"&gt;="&amp;EDATE($A141,-12*'Seasonal Factors'!$E$4),$A$7:$A$294,"&lt;="&amp;EDATE($A141,12*'Seasonal Factors'!$E$4)),"")</f>
        <v>0.943538856502591</v>
      </c>
      <c r="J141" s="24" t="n">
        <f aca="false">IFERROR(I141/AVERAGE(I136:I147),"")</f>
        <v>0.949545568297149</v>
      </c>
      <c r="K141" s="23" t="n">
        <f aca="false">IF(ISNUMBER(Tabelle1!G148),(0.5*Tabelle1!G136+SUM(Tabelle1!G137:G147)+0.5*Tabelle1!G148)/12,"")</f>
        <v>95.1978579166667</v>
      </c>
      <c r="L141" s="24" t="n">
        <f aca="false">IFERROR(Tabelle1!G142/K141,"")</f>
        <v>1.02287133482814</v>
      </c>
      <c r="M141" s="24" t="n">
        <f aca="false">IFERROR(AVERAGEIFS($L$7:$L$294,$B$7:$B$294,$B141,$A$7:$A$294,"&gt;="&amp;EDATE($A141,-12*'Seasonal Factors'!$E$4),$A$7:$A$294,"&lt;="&amp;EDATE($A141,12*'Seasonal Factors'!$E$4)),"")</f>
        <v>1.02041077078667</v>
      </c>
      <c r="N141" s="24" t="n">
        <f aca="false">IFERROR(M141/AVERAGE(M136:M147),"")</f>
        <v>1.02109398349233</v>
      </c>
      <c r="O141" s="23" t="n">
        <f aca="false">IF(ISNUMBER(Tabelle1!H148),(0.5*Tabelle1!H136+SUM(Tabelle1!H137:H147)+0.5*Tabelle1!H148)/12,"")</f>
        <v>136.151035416667</v>
      </c>
      <c r="P141" s="24" t="n">
        <f aca="false">IFERROR(Tabelle1!H142/O141,"")</f>
        <v>0.991011339627926</v>
      </c>
      <c r="Q141" s="24" t="n">
        <f aca="false">IFERROR(AVERAGEIFS($P$7:$P$294,$B$7:$B$294,$B141,$A$7:$A$294,"&gt;="&amp;EDATE($A141,-12*'Seasonal Factors'!$E$4),$A$7:$A$294,"&lt;="&amp;EDATE($A141,12*'Seasonal Factors'!$E$4)),"")</f>
        <v>1.00148224977198</v>
      </c>
      <c r="R141" s="24" t="n">
        <f aca="false">IFERROR(Q141/AVERAGE(Q136:Q147),"")</f>
        <v>1.00105482167913</v>
      </c>
      <c r="S141" s="23" t="n">
        <f aca="false">IF(ISNUMBER(Tabelle1!I148),(0.5*Tabelle1!I136+SUM(Tabelle1!I137:I147)+0.5*Tabelle1!I148)/12,"")</f>
        <v>142.173534166667</v>
      </c>
      <c r="T141" s="24" t="n">
        <f aca="false">IFERROR(Tabelle1!I142/S141,"")</f>
        <v>1.06587580373682</v>
      </c>
      <c r="U141" s="24" t="n">
        <f aca="false">IFERROR(AVERAGEIFS($T$7:$T$294,$B$7:$B$294,$B141,$A$7:$A$294,"&gt;="&amp;EDATE($A141,-12*'Seasonal Factors'!$E$4),$A$7:$A$294,"&lt;="&amp;EDATE($A141,12*'Seasonal Factors'!$E$4)),"")</f>
        <v>0.999765699560981</v>
      </c>
      <c r="V141" s="24" t="n">
        <f aca="false">IFERROR(U141/AVERAGE(U136:U147),"")</f>
        <v>1.00007333417138</v>
      </c>
      <c r="W141" s="23" t="n">
        <f aca="false">IF(ISNUMBER(Tabelle1!J148),(0.5*Tabelle1!J136+SUM(Tabelle1!J137:J147)+0.5*Tabelle1!J148)/12,"")</f>
        <v>150.067712916667</v>
      </c>
      <c r="X141" s="24" t="n">
        <f aca="false">IFERROR(Tabelle1!J142/W141,"")</f>
        <v>1.0123440748668</v>
      </c>
      <c r="Y141" s="24" t="n">
        <f aca="false">IFERROR(AVERAGEIFS($X$7:$X$294,$B$7:$B$294,$B141,$A$7:$A$294,"&gt;="&amp;EDATE($A141,-12*'Seasonal Factors'!$E$4),$A$7:$A$294,"&lt;="&amp;EDATE($A141,12*'Seasonal Factors'!$E$4)),"")</f>
        <v>1.02805902459946</v>
      </c>
      <c r="Z141" s="24" t="n">
        <f aca="false">IFERROR(Y141/AVERAGE(Y136:Y147),"")</f>
        <v>1.0267802568798</v>
      </c>
      <c r="AA141" s="23" t="n">
        <f aca="false">IF(ISNUMBER(Tabelle1!K148),(0.5*Tabelle1!K136+SUM(Tabelle1!K137:K147)+0.5*Tabelle1!K148)/12,"")</f>
        <v>156.607202916667</v>
      </c>
      <c r="AB141" s="24" t="n">
        <f aca="false">IFERROR(Tabelle1!K142/AA141,"")</f>
        <v>1.08567886299887</v>
      </c>
      <c r="AC141" s="24" t="n">
        <f aca="false">IFERROR(AVERAGEIFS($AB$7:$AB$294,$B$7:$B$294,$B141,$A$7:$A$294,"&gt;="&amp;EDATE($A141,-12*'Seasonal Factors'!$E$4),$A$7:$A$294,"&lt;="&amp;EDATE($A141,12*'Seasonal Factors'!$E$4)),"")</f>
        <v>1.07188493501013</v>
      </c>
      <c r="AD141" s="24" t="n">
        <f aca="false">IFERROR(AC141/AVERAGE(AC136:AC147),"")</f>
        <v>1.07176583937815</v>
      </c>
      <c r="AE141" s="23" t="n">
        <f aca="false">IF(ISNUMBER(Tabelle1!L148),(0.5*Tabelle1!L136+SUM(Tabelle1!L137:L147)+0.5*Tabelle1!L148)/12,"")</f>
        <v>157.806628333333</v>
      </c>
      <c r="AF141" s="24" t="n">
        <f aca="false">IFERROR(Tabelle1!L142/AE141,"")</f>
        <v>0.956343479319632</v>
      </c>
      <c r="AG141" s="24" t="n">
        <f aca="false">IFERROR(AVERAGEIFS($AF$7:$AF$294,$B$7:$B$294,$B141,$A$7:$A$294,"&gt;="&amp;EDATE($A141,-12*'Seasonal Factors'!$E$4),$A$7:$A$294,"&lt;="&amp;EDATE($A141,12*'Seasonal Factors'!$E$4)),"")</f>
        <v>0.979828262112062</v>
      </c>
      <c r="AH141" s="24" t="n">
        <f aca="false">IFERROR(AG141/AVERAGE(AG136:AG147),"")</f>
        <v>0.979673525960691</v>
      </c>
      <c r="AI141" s="23" t="n">
        <f aca="false">IF(ISNUMBER(Tabelle1!M148),(0.5*Tabelle1!M136+SUM(Tabelle1!M137:M147)+0.5*Tabelle1!M148)/12,"")</f>
        <v>185.767892083333</v>
      </c>
      <c r="AJ141" s="24" t="n">
        <f aca="false">IFERROR(Tabelle1!M142/AI141,"")</f>
        <v>0.98509784413072</v>
      </c>
      <c r="AK141" s="24" t="n">
        <f aca="false">IFERROR(AVERAGEIFS($AJ$7:$AJ$294,$B$7:$B$294,$B141,$A$7:$A$294,"&gt;="&amp;EDATE($A141,-12*'Seasonal Factors'!$E$4),$A$7:$A$294,"&lt;="&amp;EDATE($A141,12*'Seasonal Factors'!$E$4)),"")</f>
        <v>1.00235479762585</v>
      </c>
      <c r="AL141" s="24" t="n">
        <f aca="false">IFERROR(AK141/AVERAGE(AK136:AK147),"")</f>
        <v>1.00204000283195</v>
      </c>
      <c r="AM141" s="23" t="n">
        <f aca="false">IF(ISNUMBER(Tabelle1!N148),(0.5*Tabelle1!N136+SUM(Tabelle1!N137:N147)+0.5*Tabelle1!N148)/12,"")</f>
        <v>177.463222916667</v>
      </c>
      <c r="AN141" s="24" t="n">
        <f aca="false">IFERROR(Tabelle1!N142/AM141,"")</f>
        <v>0.997176976116894</v>
      </c>
      <c r="AO141" s="24" t="n">
        <f aca="false">IFERROR(AVERAGEIFS($AN$7:$AN$294,$B$7:$B$294,$B141,$A$7:$A$294,"&gt;="&amp;EDATE($A141,-12*'Seasonal Factors'!$E$4),$A$7:$A$294,"&lt;="&amp;EDATE($A141,12*'Seasonal Factors'!$E$4)),"")</f>
        <v>1.00036934476981</v>
      </c>
      <c r="AP141" s="24" t="n">
        <f aca="false">IFERROR(AO141/AVERAGE(AO136:AO147),"")</f>
        <v>1.00024390009122</v>
      </c>
      <c r="AQ141" s="23" t="n">
        <f aca="false">IF(ISNUMBER(Tabelle1!O148),(0.5*Tabelle1!O136+SUM(Tabelle1!O137:O147)+0.5*Tabelle1!O148)/12,"")</f>
        <v>135.489912916667</v>
      </c>
      <c r="AR141" s="24" t="n">
        <f aca="false">IFERROR(Tabelle1!O142/AQ141,"")</f>
        <v>0.98290925968717</v>
      </c>
      <c r="AS141" s="24" t="n">
        <f aca="false">IFERROR(AVERAGEIFS($AR$7:$AR$294,$B$7:$B$294,$B141,$A$7:$A$294,"&gt;="&amp;EDATE($A141,-12*'Seasonal Factors'!$E$4),$A$7:$A$294,"&lt;="&amp;EDATE($A141,12*'Seasonal Factors'!$E$4)),"")</f>
        <v>0.985051849688955</v>
      </c>
      <c r="AT141" s="24" t="n">
        <f aca="false">IFERROR(AS141/AVERAGE(AS136:AS147),"")</f>
        <v>0.984791671033692</v>
      </c>
      <c r="AU141" s="23" t="n">
        <f aca="false">IF(ISNUMBER(Tabelle1!P148),(0.5*Tabelle1!P136+SUM(Tabelle1!P137:P147)+0.5*Tabelle1!P148)/12,"")</f>
        <v>147.568074583333</v>
      </c>
      <c r="AV141" s="24" t="n">
        <f aca="false">IFERROR(Tabelle1!P142/AU141,"")</f>
        <v>1.00208795444094</v>
      </c>
      <c r="AW141" s="24" t="n">
        <f aca="false">IFERROR(AVERAGEIFS($AV$7:$AV$294,$B$7:$B$294,$B141,$A$7:$A$294,"&gt;="&amp;EDATE($A141,-12*'Seasonal Factors'!$E$4),$A$7:$A$294,"&lt;="&amp;EDATE($A141,12*'Seasonal Factors'!$E$4)),"")</f>
        <v>0.997775805278431</v>
      </c>
      <c r="AX141" s="24" t="n">
        <f aca="false">IFERROR(AW141/AVERAGE(AW136:AW147),"")</f>
        <v>0.997750049822079</v>
      </c>
      <c r="AY141" s="23" t="n">
        <f aca="false">IF(ISNUMBER(Tabelle1!Q148),(0.5*Tabelle1!Q136+SUM(Tabelle1!Q137:Q147)+0.5*Tabelle1!Q148)/12,"")</f>
        <v>150.874890833333</v>
      </c>
      <c r="AZ141" s="24" t="n">
        <f aca="false">IFERROR(Tabelle1!Q142/AY141,"")</f>
        <v>0.976102976357304</v>
      </c>
      <c r="BA141" s="24" t="n">
        <f aca="false">IFERROR(AVERAGEIFS($AZ$7:$AZ$294,$B$7:$B$294,$B141,$A$7:$A$294,"&gt;="&amp;EDATE($A141,-12*'Seasonal Factors'!$E$4),$A$7:$A$294,"&lt;="&amp;EDATE($A141,12*'Seasonal Factors'!$E$4)),"")</f>
        <v>0.986470401810064</v>
      </c>
      <c r="BB141" s="24" t="n">
        <f aca="false">IFERROR(BA141/AVERAGE(BA136:BA147),"")</f>
        <v>0.986388319602485</v>
      </c>
      <c r="BC141" s="23" t="n">
        <f aca="false">IF(ISNUMBER(Tabelle1!R148),(0.5*Tabelle1!R136+SUM(Tabelle1!R137:R147)+0.5*Tabelle1!R148)/12,"")</f>
        <v>168.720387083333</v>
      </c>
      <c r="BD141" s="24" t="n">
        <f aca="false">IFERROR(Tabelle1!R142/BC141,"")</f>
        <v>1.02037123655346</v>
      </c>
      <c r="BE141" s="24" t="n">
        <f aca="false">IFERROR(AVERAGEIFS($BD$7:$BD$294,$B$7:$B$294,$B141,$A$7:$A$294,"&gt;="&amp;EDATE($A141,-12*'Seasonal Factors'!$E$4),$A$7:$A$294,"&lt;="&amp;EDATE($A141,12*'Seasonal Factors'!$E$4)),"")</f>
        <v>1.02251027651153</v>
      </c>
      <c r="BF141" s="24" t="n">
        <f aca="false">IFERROR(BE141/AVERAGE(BE136:BE147),"")</f>
        <v>1.02243381586295</v>
      </c>
      <c r="BG141" s="23" t="n">
        <f aca="false">IF(ISNUMBER(Tabelle1!S148),(0.5*Tabelle1!S136+SUM(Tabelle1!S137:S147)+0.5*Tabelle1!S148)/12,"")</f>
        <v>150.08076</v>
      </c>
      <c r="BH141" s="24" t="n">
        <f aca="false">IFERROR(Tabelle1!S142/BG141,"")</f>
        <v>0.941570258572784</v>
      </c>
      <c r="BI141" s="24" t="n">
        <f aca="false">IFERROR(AVERAGEIFS($BH$7:$BH$294,$B$7:$B$294,$B141,$A$7:$A$294,"&gt;="&amp;EDATE($A141,-12*'Seasonal Factors'!$E$4),$A$7:$A$294,"&lt;="&amp;EDATE($A141,12*'Seasonal Factors'!$E$4)),"")</f>
        <v>0.977340260762406</v>
      </c>
      <c r="BJ141" s="24" t="n">
        <f aca="false">IFERROR(BI141/AVERAGE(BI136:BI147),"")</f>
        <v>0.976460171864204</v>
      </c>
    </row>
    <row r="142" customFormat="false" ht="15" hidden="false" customHeight="false" outlineLevel="0" collapsed="false">
      <c r="A142" s="20" t="n">
        <v>42124</v>
      </c>
      <c r="B142" s="22" t="n">
        <f aca="false">MONTH(A142)</f>
        <v>4</v>
      </c>
      <c r="C142" s="23" t="n">
        <f aca="false">IF(ISNUMBER(Tabelle1!E149),(0.5*Tabelle1!E137+SUM(Tabelle1!E138:E148)+0.5*Tabelle1!E149)/12,"")</f>
        <v>134.838742083333</v>
      </c>
      <c r="D142" s="24" t="n">
        <f aca="false">IFERROR(Tabelle1!E143/C142,"")</f>
        <v>1.786705261987</v>
      </c>
      <c r="E142" s="24" t="n">
        <f aca="false">IFERROR(AVERAGEIFS($D$7:$D$294,$B$7:$B$294,$B142,$A$7:$A$294,"&gt;="&amp;EDATE($A142,-12*'Seasonal Factors'!$E$4),$A$7:$A$294,"&lt;="&amp;EDATE($A142,12*'Seasonal Factors'!$E$4)),"")</f>
        <v>1.66638875440244</v>
      </c>
      <c r="F142" s="24" t="n">
        <f aca="false">IFERROR(E142/AVERAGE(E137:E148),"")</f>
        <v>1.66608578901677</v>
      </c>
      <c r="G142" s="23" t="n">
        <f aca="false">IF(ISNUMBER(Tabelle1!F149),(0.5*Tabelle1!F137+SUM(Tabelle1!F138:F148)+0.5*Tabelle1!F149)/12,"")</f>
        <v>152.130220416667</v>
      </c>
      <c r="H142" s="24" t="n">
        <f aca="false">IFERROR(Tabelle1!F143/G142,"")</f>
        <v>0.963379331197917</v>
      </c>
      <c r="I142" s="24" t="n">
        <f aca="false">IFERROR(AVERAGEIFS($H$7:$H$294,$B$7:$B$294,$B142,$A$7:$A$294,"&gt;="&amp;EDATE($A142,-12*'Seasonal Factors'!$E$4),$A$7:$A$294,"&lt;="&amp;EDATE($A142,12*'Seasonal Factors'!$E$4)),"")</f>
        <v>0.852029126292577</v>
      </c>
      <c r="J142" s="24" t="n">
        <f aca="false">IFERROR(I142/AVERAGE(I137:I148),"")</f>
        <v>0.852513232908577</v>
      </c>
      <c r="K142" s="23" t="n">
        <f aca="false">IF(ISNUMBER(Tabelle1!G149),(0.5*Tabelle1!G137+SUM(Tabelle1!G138:G148)+0.5*Tabelle1!G149)/12,"")</f>
        <v>95.2407241666667</v>
      </c>
      <c r="L142" s="24" t="n">
        <f aca="false">IFERROR(Tabelle1!G143/K142,"")</f>
        <v>0.985325981307944</v>
      </c>
      <c r="M142" s="24" t="n">
        <f aca="false">IFERROR(AVERAGEIFS($L$7:$L$294,$B$7:$B$294,$B142,$A$7:$A$294,"&gt;="&amp;EDATE($A142,-12*'Seasonal Factors'!$E$4),$A$7:$A$294,"&lt;="&amp;EDATE($A142,12*'Seasonal Factors'!$E$4)),"")</f>
        <v>0.969478971525185</v>
      </c>
      <c r="N142" s="24" t="n">
        <f aca="false">IFERROR(M142/AVERAGE(M137:M148),"")</f>
        <v>0.970017818956578</v>
      </c>
      <c r="O142" s="23" t="n">
        <f aca="false">IF(ISNUMBER(Tabelle1!H149),(0.5*Tabelle1!H137+SUM(Tabelle1!H138:H148)+0.5*Tabelle1!H149)/12,"")</f>
        <v>136.228052083333</v>
      </c>
      <c r="P142" s="24" t="n">
        <f aca="false">IFERROR(Tabelle1!H143/O142,"")</f>
        <v>1.00846622923127</v>
      </c>
      <c r="Q142" s="24" t="n">
        <f aca="false">IFERROR(AVERAGEIFS($P$7:$P$294,$B$7:$B$294,$B142,$A$7:$A$294,"&gt;="&amp;EDATE($A142,-12*'Seasonal Factors'!$E$4),$A$7:$A$294,"&lt;="&amp;EDATE($A142,12*'Seasonal Factors'!$E$4)),"")</f>
        <v>0.988157068836847</v>
      </c>
      <c r="R142" s="24" t="n">
        <f aca="false">IFERROR(Q142/AVERAGE(Q137:Q148),"")</f>
        <v>0.987046327722749</v>
      </c>
      <c r="S142" s="23" t="n">
        <f aca="false">IF(ISNUMBER(Tabelle1!I149),(0.5*Tabelle1!I137+SUM(Tabelle1!I138:I148)+0.5*Tabelle1!I149)/12,"")</f>
        <v>142.700639583333</v>
      </c>
      <c r="T142" s="24" t="n">
        <f aca="false">IFERROR(Tabelle1!I143/S142,"")</f>
        <v>0.925346238009591</v>
      </c>
      <c r="U142" s="24" t="n">
        <f aca="false">IFERROR(AVERAGEIFS($T$7:$T$294,$B$7:$B$294,$B142,$A$7:$A$294,"&gt;="&amp;EDATE($A142,-12*'Seasonal Factors'!$E$4),$A$7:$A$294,"&lt;="&amp;EDATE($A142,12*'Seasonal Factors'!$E$4)),"")</f>
        <v>0.943444544365443</v>
      </c>
      <c r="V142" s="24" t="n">
        <f aca="false">IFERROR(U142/AVERAGE(U137:U148),"")</f>
        <v>0.943563703378966</v>
      </c>
      <c r="W142" s="23" t="n">
        <f aca="false">IF(ISNUMBER(Tabelle1!J149),(0.5*Tabelle1!J137+SUM(Tabelle1!J138:J148)+0.5*Tabelle1!J149)/12,"")</f>
        <v>150.712897916667</v>
      </c>
      <c r="X142" s="24" t="n">
        <f aca="false">IFERROR(Tabelle1!J143/W142,"")</f>
        <v>1.00843784507439</v>
      </c>
      <c r="Y142" s="24" t="n">
        <f aca="false">IFERROR(AVERAGEIFS($X$7:$X$294,$B$7:$B$294,$B142,$A$7:$A$294,"&gt;="&amp;EDATE($A142,-12*'Seasonal Factors'!$E$4),$A$7:$A$294,"&lt;="&amp;EDATE($A142,12*'Seasonal Factors'!$E$4)),"")</f>
        <v>0.979310892395722</v>
      </c>
      <c r="Z142" s="24" t="n">
        <f aca="false">IFERROR(Y142/AVERAGE(Y137:Y148),"")</f>
        <v>0.977361966091232</v>
      </c>
      <c r="AA142" s="23" t="n">
        <f aca="false">IF(ISNUMBER(Tabelle1!K149),(0.5*Tabelle1!K137+SUM(Tabelle1!K138:K148)+0.5*Tabelle1!K149)/12,"")</f>
        <v>156.9658725</v>
      </c>
      <c r="AB142" s="24" t="n">
        <f aca="false">IFERROR(Tabelle1!K143/AA142,"")</f>
        <v>0.979767942869237</v>
      </c>
      <c r="AC142" s="24" t="n">
        <f aca="false">IFERROR(AVERAGEIFS($AB$7:$AB$294,$B$7:$B$294,$B142,$A$7:$A$294,"&gt;="&amp;EDATE($A142,-12*'Seasonal Factors'!$E$4),$A$7:$A$294,"&lt;="&amp;EDATE($A142,12*'Seasonal Factors'!$E$4)),"")</f>
        <v>0.982962254418825</v>
      </c>
      <c r="AD142" s="24" t="n">
        <f aca="false">IFERROR(AC142/AVERAGE(AC137:AC148),"")</f>
        <v>0.982257006979197</v>
      </c>
      <c r="AE142" s="23" t="n">
        <f aca="false">IF(ISNUMBER(Tabelle1!L149),(0.5*Tabelle1!L137+SUM(Tabelle1!L138:L148)+0.5*Tabelle1!L149)/12,"")</f>
        <v>157.952850833333</v>
      </c>
      <c r="AF142" s="24" t="n">
        <f aca="false">IFERROR(Tabelle1!L143/AE142,"")</f>
        <v>0.934701078334974</v>
      </c>
      <c r="AG142" s="24" t="n">
        <f aca="false">IFERROR(AVERAGEIFS($AF$7:$AF$294,$B$7:$B$294,$B142,$A$7:$A$294,"&gt;="&amp;EDATE($A142,-12*'Seasonal Factors'!$E$4),$A$7:$A$294,"&lt;="&amp;EDATE($A142,12*'Seasonal Factors'!$E$4)),"")</f>
        <v>0.958119041574311</v>
      </c>
      <c r="AH142" s="24" t="n">
        <f aca="false">IFERROR(AG142/AVERAGE(AG137:AG148),"")</f>
        <v>0.957223077531101</v>
      </c>
      <c r="AI142" s="23" t="n">
        <f aca="false">IF(ISNUMBER(Tabelle1!M149),(0.5*Tabelle1!M137+SUM(Tabelle1!M138:M148)+0.5*Tabelle1!M149)/12,"")</f>
        <v>186.402880833333</v>
      </c>
      <c r="AJ142" s="24" t="n">
        <f aca="false">IFERROR(Tabelle1!M143/AI142,"")</f>
        <v>1.02257985041782</v>
      </c>
      <c r="AK142" s="24" t="n">
        <f aca="false">IFERROR(AVERAGEIFS($AJ$7:$AJ$294,$B$7:$B$294,$B142,$A$7:$A$294,"&gt;="&amp;EDATE($A142,-12*'Seasonal Factors'!$E$4),$A$7:$A$294,"&lt;="&amp;EDATE($A142,12*'Seasonal Factors'!$E$4)),"")</f>
        <v>1.01550226466246</v>
      </c>
      <c r="AL142" s="24" t="n">
        <f aca="false">IFERROR(AK142/AVERAGE(AK137:AK148),"")</f>
        <v>1.01486245583157</v>
      </c>
      <c r="AM142" s="23" t="n">
        <f aca="false">IF(ISNUMBER(Tabelle1!N149),(0.5*Tabelle1!N137+SUM(Tabelle1!N138:N148)+0.5*Tabelle1!N149)/12,"")</f>
        <v>177.873395833333</v>
      </c>
      <c r="AN142" s="24" t="n">
        <f aca="false">IFERROR(Tabelle1!N143/AM142,"")</f>
        <v>0.991192185734165</v>
      </c>
      <c r="AO142" s="24" t="n">
        <f aca="false">IFERROR(AVERAGEIFS($AN$7:$AN$294,$B$7:$B$294,$B142,$A$7:$A$294,"&gt;="&amp;EDATE($A142,-12*'Seasonal Factors'!$E$4),$A$7:$A$294,"&lt;="&amp;EDATE($A142,12*'Seasonal Factors'!$E$4)),"")</f>
        <v>0.983653890365755</v>
      </c>
      <c r="AP142" s="24" t="n">
        <f aca="false">IFERROR(AO142/AVERAGE(AO137:AO148),"")</f>
        <v>0.983092853453435</v>
      </c>
      <c r="AQ142" s="23" t="n">
        <f aca="false">IF(ISNUMBER(Tabelle1!O149),(0.5*Tabelle1!O137+SUM(Tabelle1!O138:O148)+0.5*Tabelle1!O149)/12,"")</f>
        <v>135.673782916667</v>
      </c>
      <c r="AR142" s="24" t="n">
        <f aca="false">IFERROR(Tabelle1!O143/AQ142,"")</f>
        <v>0.998857016342192</v>
      </c>
      <c r="AS142" s="24" t="n">
        <f aca="false">IFERROR(AVERAGEIFS($AR$7:$AR$294,$B$7:$B$294,$B142,$A$7:$A$294,"&gt;="&amp;EDATE($A142,-12*'Seasonal Factors'!$E$4),$A$7:$A$294,"&lt;="&amp;EDATE($A142,12*'Seasonal Factors'!$E$4)),"")</f>
        <v>0.989663653067818</v>
      </c>
      <c r="AT142" s="24" t="n">
        <f aca="false">IFERROR(AS142/AVERAGE(AS137:AS148),"")</f>
        <v>0.989232550342129</v>
      </c>
      <c r="AU142" s="23" t="n">
        <f aca="false">IF(ISNUMBER(Tabelle1!P149),(0.5*Tabelle1!P137+SUM(Tabelle1!P138:P148)+0.5*Tabelle1!P149)/12,"")</f>
        <v>148.045492083333</v>
      </c>
      <c r="AV142" s="24" t="n">
        <f aca="false">IFERROR(Tabelle1!P143/AU142,"")</f>
        <v>0.992819490358174</v>
      </c>
      <c r="AW142" s="24" t="n">
        <f aca="false">IFERROR(AVERAGEIFS($AV$7:$AV$294,$B$7:$B$294,$B142,$A$7:$A$294,"&gt;="&amp;EDATE($A142,-12*'Seasonal Factors'!$E$4),$A$7:$A$294,"&lt;="&amp;EDATE($A142,12*'Seasonal Factors'!$E$4)),"")</f>
        <v>0.99385369736551</v>
      </c>
      <c r="AX142" s="24" t="n">
        <f aca="false">IFERROR(AW142/AVERAGE(AW137:AW148),"")</f>
        <v>0.993682377515907</v>
      </c>
      <c r="AY142" s="23" t="n">
        <f aca="false">IF(ISNUMBER(Tabelle1!Q149),(0.5*Tabelle1!Q137+SUM(Tabelle1!Q138:Q148)+0.5*Tabelle1!Q149)/12,"")</f>
        <v>151.351189583333</v>
      </c>
      <c r="AZ142" s="24" t="n">
        <f aca="false">IFERROR(Tabelle1!Q143/AY142,"")</f>
        <v>0.991662043841165</v>
      </c>
      <c r="BA142" s="24" t="n">
        <f aca="false">IFERROR(AVERAGEIFS($AZ$7:$AZ$294,$B$7:$B$294,$B142,$A$7:$A$294,"&gt;="&amp;EDATE($A142,-12*'Seasonal Factors'!$E$4),$A$7:$A$294,"&lt;="&amp;EDATE($A142,12*'Seasonal Factors'!$E$4)),"")</f>
        <v>0.98890994725519</v>
      </c>
      <c r="BB142" s="24" t="n">
        <f aca="false">IFERROR(BA142/AVERAGE(BA137:BA148),"")</f>
        <v>0.988666944962277</v>
      </c>
      <c r="BC142" s="23" t="n">
        <f aca="false">IF(ISNUMBER(Tabelle1!R149),(0.5*Tabelle1!R137+SUM(Tabelle1!R138:R148)+0.5*Tabelle1!R149)/12,"")</f>
        <v>169.144107916667</v>
      </c>
      <c r="BD142" s="24" t="n">
        <f aca="false">IFERROR(Tabelle1!R143/BC142,"")</f>
        <v>1.04905930325058</v>
      </c>
      <c r="BE142" s="24" t="n">
        <f aca="false">IFERROR(AVERAGEIFS($BD$7:$BD$294,$B$7:$B$294,$B142,$A$7:$A$294,"&gt;="&amp;EDATE($A142,-12*'Seasonal Factors'!$E$4),$A$7:$A$294,"&lt;="&amp;EDATE($A142,12*'Seasonal Factors'!$E$4)),"")</f>
        <v>1.0493992100369</v>
      </c>
      <c r="BF142" s="24" t="n">
        <f aca="false">IFERROR(BE142/AVERAGE(BE137:BE148),"")</f>
        <v>1.04913800062882</v>
      </c>
      <c r="BG142" s="23" t="n">
        <f aca="false">IF(ISNUMBER(Tabelle1!S149),(0.5*Tabelle1!S137+SUM(Tabelle1!S138:S148)+0.5*Tabelle1!S149)/12,"")</f>
        <v>149.86527625</v>
      </c>
      <c r="BH142" s="24" t="n">
        <f aca="false">IFERROR(Tabelle1!S143/BG142,"")</f>
        <v>1.00606387131656</v>
      </c>
      <c r="BI142" s="24" t="n">
        <f aca="false">IFERROR(AVERAGEIFS($BH$7:$BH$294,$B$7:$B$294,$B142,$A$7:$A$294,"&gt;="&amp;EDATE($A142,-12*'Seasonal Factors'!$E$4),$A$7:$A$294,"&lt;="&amp;EDATE($A142,12*'Seasonal Factors'!$E$4)),"")</f>
        <v>0.99146758734205</v>
      </c>
      <c r="BJ142" s="24" t="n">
        <f aca="false">IFERROR(BI142/AVERAGE(BI137:BI148),"")</f>
        <v>0.990388584805048</v>
      </c>
    </row>
    <row r="143" customFormat="false" ht="15" hidden="false" customHeight="false" outlineLevel="0" collapsed="false">
      <c r="A143" s="20" t="n">
        <v>42155</v>
      </c>
      <c r="B143" s="22" t="n">
        <f aca="false">MONTH(A143)</f>
        <v>5</v>
      </c>
      <c r="C143" s="23" t="n">
        <f aca="false">IF(ISNUMBER(Tabelle1!E150),(0.5*Tabelle1!E138+SUM(Tabelle1!E139:E149)+0.5*Tabelle1!E150)/12,"")</f>
        <v>134.974865833333</v>
      </c>
      <c r="D143" s="24" t="n">
        <f aca="false">IFERROR(Tabelle1!E144/C143,"")</f>
        <v>2.70908933854037</v>
      </c>
      <c r="E143" s="24" t="n">
        <f aca="false">IFERROR(AVERAGEIFS($D$7:$D$294,$B$7:$B$294,$B143,$A$7:$A$294,"&gt;="&amp;EDATE($A143,-12*'Seasonal Factors'!$E$4),$A$7:$A$294,"&lt;="&amp;EDATE($A143,12*'Seasonal Factors'!$E$4)),"")</f>
        <v>2.44025016054187</v>
      </c>
      <c r="F143" s="24" t="n">
        <f aca="false">IFERROR(E143/AVERAGE(E138:E149),"")</f>
        <v>2.4392973451894</v>
      </c>
      <c r="G143" s="23" t="n">
        <f aca="false">IF(ISNUMBER(Tabelle1!F150),(0.5*Tabelle1!F138+SUM(Tabelle1!F139:F149)+0.5*Tabelle1!F150)/12,"")</f>
        <v>153.001789583333</v>
      </c>
      <c r="H143" s="24" t="n">
        <f aca="false">IFERROR(Tabelle1!F144/G143,"")</f>
        <v>1.19443256512019</v>
      </c>
      <c r="I143" s="24" t="n">
        <f aca="false">IFERROR(AVERAGEIFS($H$7:$H$294,$B$7:$B$294,$B143,$A$7:$A$294,"&gt;="&amp;EDATE($A143,-12*'Seasonal Factors'!$E$4),$A$7:$A$294,"&lt;="&amp;EDATE($A143,12*'Seasonal Factors'!$E$4)),"")</f>
        <v>0.914101072322843</v>
      </c>
      <c r="J143" s="24" t="n">
        <f aca="false">IFERROR(I143/AVERAGE(I138:I149),"")</f>
        <v>0.91474905280021</v>
      </c>
      <c r="K143" s="23" t="n">
        <f aca="false">IF(ISNUMBER(Tabelle1!G150),(0.5*Tabelle1!G138+SUM(Tabelle1!G139:G149)+0.5*Tabelle1!G150)/12,"")</f>
        <v>95.2377220833333</v>
      </c>
      <c r="L143" s="24" t="n">
        <f aca="false">IFERROR(Tabelle1!G144/K143,"")</f>
        <v>1.057128601962</v>
      </c>
      <c r="M143" s="24" t="n">
        <f aca="false">IFERROR(AVERAGEIFS($L$7:$L$294,$B$7:$B$294,$B143,$A$7:$A$294,"&gt;="&amp;EDATE($A143,-12*'Seasonal Factors'!$E$4),$A$7:$A$294,"&lt;="&amp;EDATE($A143,12*'Seasonal Factors'!$E$4)),"")</f>
        <v>1.02960523124809</v>
      </c>
      <c r="N143" s="24" t="n">
        <f aca="false">IFERROR(M143/AVERAGE(M138:M149),"")</f>
        <v>1.03030309512061</v>
      </c>
      <c r="O143" s="23" t="n">
        <f aca="false">IF(ISNUMBER(Tabelle1!H150),(0.5*Tabelle1!H138+SUM(Tabelle1!H139:H149)+0.5*Tabelle1!H150)/12,"")</f>
        <v>136.34859625</v>
      </c>
      <c r="P143" s="24" t="n">
        <f aca="false">IFERROR(Tabelle1!H144/O143,"")</f>
        <v>1.02209383765475</v>
      </c>
      <c r="Q143" s="24" t="n">
        <f aca="false">IFERROR(AVERAGEIFS($P$7:$P$294,$B$7:$B$294,$B143,$A$7:$A$294,"&gt;="&amp;EDATE($A143,-12*'Seasonal Factors'!$E$4),$A$7:$A$294,"&lt;="&amp;EDATE($A143,12*'Seasonal Factors'!$E$4)),"")</f>
        <v>1.03203865333589</v>
      </c>
      <c r="R143" s="24" t="n">
        <f aca="false">IFERROR(Q143/AVERAGE(Q138:Q149),"")</f>
        <v>1.03062052508549</v>
      </c>
      <c r="S143" s="23" t="n">
        <f aca="false">IF(ISNUMBER(Tabelle1!I150),(0.5*Tabelle1!I138+SUM(Tabelle1!I139:I149)+0.5*Tabelle1!I150)/12,"")</f>
        <v>142.789210833333</v>
      </c>
      <c r="T143" s="24" t="n">
        <f aca="false">IFERROR(Tabelle1!I144/S143,"")</f>
        <v>1.00695500143793</v>
      </c>
      <c r="U143" s="24" t="n">
        <f aca="false">IFERROR(AVERAGEIFS($T$7:$T$294,$B$7:$B$294,$B143,$A$7:$A$294,"&gt;="&amp;EDATE($A143,-12*'Seasonal Factors'!$E$4),$A$7:$A$294,"&lt;="&amp;EDATE($A143,12*'Seasonal Factors'!$E$4)),"")</f>
        <v>1.0028808465808</v>
      </c>
      <c r="V143" s="24" t="n">
        <f aca="false">IFERROR(U143/AVERAGE(U138:U149),"")</f>
        <v>1.00266087798564</v>
      </c>
      <c r="W143" s="23" t="n">
        <f aca="false">IF(ISNUMBER(Tabelle1!J150),(0.5*Tabelle1!J138+SUM(Tabelle1!J139:J149)+0.5*Tabelle1!J150)/12,"")</f>
        <v>151.225747916667</v>
      </c>
      <c r="X143" s="24" t="n">
        <f aca="false">IFERROR(Tabelle1!J144/W143,"")</f>
        <v>1.01444074248875</v>
      </c>
      <c r="Y143" s="24" t="n">
        <f aca="false">IFERROR(AVERAGEIFS($X$7:$X$294,$B$7:$B$294,$B143,$A$7:$A$294,"&gt;="&amp;EDATE($A143,-12*'Seasonal Factors'!$E$4),$A$7:$A$294,"&lt;="&amp;EDATE($A143,12*'Seasonal Factors'!$E$4)),"")</f>
        <v>1.0109008738171</v>
      </c>
      <c r="Z143" s="24" t="n">
        <f aca="false">IFERROR(Y143/AVERAGE(Y138:Y149),"")</f>
        <v>1.00788360049925</v>
      </c>
      <c r="AA143" s="23" t="n">
        <f aca="false">IF(ISNUMBER(Tabelle1!K150),(0.5*Tabelle1!K138+SUM(Tabelle1!K139:K149)+0.5*Tabelle1!K150)/12,"")</f>
        <v>157.641752083333</v>
      </c>
      <c r="AB143" s="24" t="n">
        <f aca="false">IFERROR(Tabelle1!K144/AA143,"")</f>
        <v>0.99447277087562</v>
      </c>
      <c r="AC143" s="24" t="n">
        <f aca="false">IFERROR(AVERAGEIFS($AB$7:$AB$294,$B$7:$B$294,$B143,$A$7:$A$294,"&gt;="&amp;EDATE($A143,-12*'Seasonal Factors'!$E$4),$A$7:$A$294,"&lt;="&amp;EDATE($A143,12*'Seasonal Factors'!$E$4)),"")</f>
        <v>1.02607097894265</v>
      </c>
      <c r="AD143" s="24" t="n">
        <f aca="false">IFERROR(AC143/AVERAGE(AC138:AC149),"")</f>
        <v>1.0253076705966</v>
      </c>
      <c r="AE143" s="23" t="n">
        <f aca="false">IF(ISNUMBER(Tabelle1!L150),(0.5*Tabelle1!L138+SUM(Tabelle1!L139:L149)+0.5*Tabelle1!L150)/12,"")</f>
        <v>158.16152</v>
      </c>
      <c r="AF143" s="24" t="n">
        <f aca="false">IFERROR(Tabelle1!L144/AE143,"")</f>
        <v>0.913410227721636</v>
      </c>
      <c r="AG143" s="24" t="n">
        <f aca="false">IFERROR(AVERAGEIFS($AF$7:$AF$294,$B$7:$B$294,$B143,$A$7:$A$294,"&gt;="&amp;EDATE($A143,-12*'Seasonal Factors'!$E$4),$A$7:$A$294,"&lt;="&amp;EDATE($A143,12*'Seasonal Factors'!$E$4)),"")</f>
        <v>0.931872320132257</v>
      </c>
      <c r="AH143" s="24" t="n">
        <f aca="false">IFERROR(AG143/AVERAGE(AG138:AG149),"")</f>
        <v>0.929632381969466</v>
      </c>
      <c r="AI143" s="23" t="n">
        <f aca="false">IF(ISNUMBER(Tabelle1!M150),(0.5*Tabelle1!M138+SUM(Tabelle1!M139:M149)+0.5*Tabelle1!M150)/12,"")</f>
        <v>186.846002916667</v>
      </c>
      <c r="AJ143" s="24" t="n">
        <f aca="false">IFERROR(Tabelle1!M144/AI143,"")</f>
        <v>1.06119460360323</v>
      </c>
      <c r="AK143" s="24" t="n">
        <f aca="false">IFERROR(AVERAGEIFS($AJ$7:$AJ$294,$B$7:$B$294,$B143,$A$7:$A$294,"&gt;="&amp;EDATE($A143,-12*'Seasonal Factors'!$E$4),$A$7:$A$294,"&lt;="&amp;EDATE($A143,12*'Seasonal Factors'!$E$4)),"")</f>
        <v>1.07004905856603</v>
      </c>
      <c r="AL143" s="24" t="n">
        <f aca="false">IFERROR(AK143/AVERAGE(AK138:AK149),"")</f>
        <v>1.06894910882294</v>
      </c>
      <c r="AM143" s="23" t="n">
        <f aca="false">IF(ISNUMBER(Tabelle1!N150),(0.5*Tabelle1!N138+SUM(Tabelle1!N139:N149)+0.5*Tabelle1!N150)/12,"")</f>
        <v>178.7140825</v>
      </c>
      <c r="AN143" s="24" t="n">
        <f aca="false">IFERROR(Tabelle1!N144/AM143,"")</f>
        <v>0.96685822170729</v>
      </c>
      <c r="AO143" s="24" t="n">
        <f aca="false">IFERROR(AVERAGEIFS($AN$7:$AN$294,$B$7:$B$294,$B143,$A$7:$A$294,"&gt;="&amp;EDATE($A143,-12*'Seasonal Factors'!$E$4),$A$7:$A$294,"&lt;="&amp;EDATE($A143,12*'Seasonal Factors'!$E$4)),"")</f>
        <v>0.983474084185257</v>
      </c>
      <c r="AP143" s="24" t="n">
        <f aca="false">IFERROR(AO143/AVERAGE(AO138:AO149),"")</f>
        <v>0.983048430960238</v>
      </c>
      <c r="AQ143" s="23" t="n">
        <f aca="false">IF(ISNUMBER(Tabelle1!O150),(0.5*Tabelle1!O138+SUM(Tabelle1!O139:O149)+0.5*Tabelle1!O150)/12,"")</f>
        <v>135.880105</v>
      </c>
      <c r="AR143" s="24" t="n">
        <f aca="false">IFERROR(Tabelle1!O144/AQ143,"")</f>
        <v>1.00468446061327</v>
      </c>
      <c r="AS143" s="24" t="n">
        <f aca="false">IFERROR(AVERAGEIFS($AR$7:$AR$294,$B$7:$B$294,$B143,$A$7:$A$294,"&gt;="&amp;EDATE($A143,-12*'Seasonal Factors'!$E$4),$A$7:$A$294,"&lt;="&amp;EDATE($A143,12*'Seasonal Factors'!$E$4)),"")</f>
        <v>1.01038919688677</v>
      </c>
      <c r="AT143" s="24" t="n">
        <f aca="false">IFERROR(AS143/AVERAGE(AS138:AS149),"")</f>
        <v>1.00999736461413</v>
      </c>
      <c r="AU143" s="23" t="n">
        <f aca="false">IF(ISNUMBER(Tabelle1!P150),(0.5*Tabelle1!P138+SUM(Tabelle1!P139:P149)+0.5*Tabelle1!P150)/12,"")</f>
        <v>148.549248333333</v>
      </c>
      <c r="AV143" s="24" t="n">
        <f aca="false">IFERROR(Tabelle1!P144/AU143,"")</f>
        <v>0.992596473252658</v>
      </c>
      <c r="AW143" s="24" t="n">
        <f aca="false">IFERROR(AVERAGEIFS($AV$7:$AV$294,$B$7:$B$294,$B143,$A$7:$A$294,"&gt;="&amp;EDATE($A143,-12*'Seasonal Factors'!$E$4),$A$7:$A$294,"&lt;="&amp;EDATE($A143,12*'Seasonal Factors'!$E$4)),"")</f>
        <v>0.995855516718257</v>
      </c>
      <c r="AX143" s="24" t="n">
        <f aca="false">IFERROR(AW143/AVERAGE(AW138:AW149),"")</f>
        <v>0.995491102806467</v>
      </c>
      <c r="AY143" s="23" t="n">
        <f aca="false">IF(ISNUMBER(Tabelle1!Q150),(0.5*Tabelle1!Q138+SUM(Tabelle1!Q139:Q149)+0.5*Tabelle1!Q150)/12,"")</f>
        <v>151.81606375</v>
      </c>
      <c r="AZ143" s="24" t="n">
        <f aca="false">IFERROR(Tabelle1!Q144/AY143,"")</f>
        <v>1.00165704632162</v>
      </c>
      <c r="BA143" s="24" t="n">
        <f aca="false">IFERROR(AVERAGEIFS($AZ$7:$AZ$294,$B$7:$B$294,$B143,$A$7:$A$294,"&gt;="&amp;EDATE($A143,-12*'Seasonal Factors'!$E$4),$A$7:$A$294,"&lt;="&amp;EDATE($A143,12*'Seasonal Factors'!$E$4)),"")</f>
        <v>0.996099749363944</v>
      </c>
      <c r="BB143" s="24" t="n">
        <f aca="false">IFERROR(BA143/AVERAGE(BA138:BA149),"")</f>
        <v>0.995659899692248</v>
      </c>
      <c r="BC143" s="23" t="n">
        <f aca="false">IF(ISNUMBER(Tabelle1!R150),(0.5*Tabelle1!R138+SUM(Tabelle1!R139:R149)+0.5*Tabelle1!R150)/12,"")</f>
        <v>169.5464</v>
      </c>
      <c r="BD143" s="24" t="n">
        <f aca="false">IFERROR(Tabelle1!R144/BC143,"")</f>
        <v>1.06539242354895</v>
      </c>
      <c r="BE143" s="24" t="n">
        <f aca="false">IFERROR(AVERAGEIFS($BD$7:$BD$294,$B$7:$B$294,$B143,$A$7:$A$294,"&gt;="&amp;EDATE($A143,-12*'Seasonal Factors'!$E$4),$A$7:$A$294,"&lt;="&amp;EDATE($A143,12*'Seasonal Factors'!$E$4)),"")</f>
        <v>1.06715075942368</v>
      </c>
      <c r="BF143" s="24" t="n">
        <f aca="false">IFERROR(BE143/AVERAGE(BE138:BE149),"")</f>
        <v>1.06644355586019</v>
      </c>
      <c r="BG143" s="23" t="n">
        <f aca="false">IF(ISNUMBER(Tabelle1!S150),(0.5*Tabelle1!S138+SUM(Tabelle1!S139:S149)+0.5*Tabelle1!S150)/12,"")</f>
        <v>149.73419375</v>
      </c>
      <c r="BH143" s="24" t="n">
        <f aca="false">IFERROR(Tabelle1!S144/BG143,"")</f>
        <v>0.962428329768196</v>
      </c>
      <c r="BI143" s="24" t="n">
        <f aca="false">IFERROR(AVERAGEIFS($BH$7:$BH$294,$B$7:$B$294,$B143,$A$7:$A$294,"&gt;="&amp;EDATE($A143,-12*'Seasonal Factors'!$E$4),$A$7:$A$294,"&lt;="&amp;EDATE($A143,12*'Seasonal Factors'!$E$4)),"")</f>
        <v>0.994529383548931</v>
      </c>
      <c r="BJ143" s="24" t="n">
        <f aca="false">IFERROR(BI143/AVERAGE(BI138:BI149),"")</f>
        <v>0.992870617809213</v>
      </c>
    </row>
    <row r="144" customFormat="false" ht="15" hidden="false" customHeight="false" outlineLevel="0" collapsed="false">
      <c r="A144" s="20" t="n">
        <v>42185</v>
      </c>
      <c r="B144" s="22" t="n">
        <f aca="false">MONTH(A144)</f>
        <v>6</v>
      </c>
      <c r="C144" s="23" t="n">
        <f aca="false">IF(ISNUMBER(Tabelle1!E151),(0.5*Tabelle1!E139+SUM(Tabelle1!E140:E150)+0.5*Tabelle1!E151)/12,"")</f>
        <v>135.141811666667</v>
      </c>
      <c r="D144" s="24" t="n">
        <f aca="false">IFERROR(Tabelle1!E145/C144,"")</f>
        <v>1.8078678758771</v>
      </c>
      <c r="E144" s="24" t="n">
        <f aca="false">IFERROR(AVERAGEIFS($D$7:$D$294,$B$7:$B$294,$B144,$A$7:$A$294,"&gt;="&amp;EDATE($A144,-12*'Seasonal Factors'!$E$4),$A$7:$A$294,"&lt;="&amp;EDATE($A144,12*'Seasonal Factors'!$E$4)),"")</f>
        <v>1.63446661627992</v>
      </c>
      <c r="F144" s="24" t="n">
        <f aca="false">IFERROR(E144/AVERAGE(E139:E150),"")</f>
        <v>1.63415394504409</v>
      </c>
      <c r="G144" s="23" t="n">
        <f aca="false">IF(ISNUMBER(Tabelle1!F151),(0.5*Tabelle1!F139+SUM(Tabelle1!F140:F150)+0.5*Tabelle1!F151)/12,"")</f>
        <v>154.64161375</v>
      </c>
      <c r="H144" s="24" t="n">
        <f aca="false">IFERROR(Tabelle1!F145/G144,"")</f>
        <v>1.10777355361115</v>
      </c>
      <c r="I144" s="24" t="n">
        <f aca="false">IFERROR(AVERAGEIFS($H$7:$H$294,$B$7:$B$294,$B144,$A$7:$A$294,"&gt;="&amp;EDATE($A144,-12*'Seasonal Factors'!$E$4),$A$7:$A$294,"&lt;="&amp;EDATE($A144,12*'Seasonal Factors'!$E$4)),"")</f>
        <v>1.26961421460495</v>
      </c>
      <c r="J144" s="24" t="n">
        <f aca="false">IFERROR(I144/AVERAGE(I139:I150),"")</f>
        <v>1.27101600815612</v>
      </c>
      <c r="K144" s="23" t="n">
        <f aca="false">IF(ISNUMBER(Tabelle1!G151),(0.5*Tabelle1!G139+SUM(Tabelle1!G140:G150)+0.5*Tabelle1!G151)/12,"")</f>
        <v>95.1651704166667</v>
      </c>
      <c r="L144" s="24" t="n">
        <f aca="false">IFERROR(Tabelle1!G145/K144,"")</f>
        <v>0.992590877381089</v>
      </c>
      <c r="M144" s="24" t="n">
        <f aca="false">IFERROR(AVERAGEIFS($L$7:$L$294,$B$7:$B$294,$B144,$A$7:$A$294,"&gt;="&amp;EDATE($A144,-12*'Seasonal Factors'!$E$4),$A$7:$A$294,"&lt;="&amp;EDATE($A144,12*'Seasonal Factors'!$E$4)),"")</f>
        <v>0.981700398507988</v>
      </c>
      <c r="N144" s="24" t="n">
        <f aca="false">IFERROR(M144/AVERAGE(M139:M150),"")</f>
        <v>0.98134089834501</v>
      </c>
      <c r="O144" s="23" t="n">
        <f aca="false">IF(ISNUMBER(Tabelle1!H151),(0.5*Tabelle1!H139+SUM(Tabelle1!H140:H150)+0.5*Tabelle1!H151)/12,"")</f>
        <v>136.39183875</v>
      </c>
      <c r="P144" s="24" t="n">
        <f aca="false">IFERROR(Tabelle1!H145/O144,"")</f>
        <v>1.05190780705711</v>
      </c>
      <c r="Q144" s="24" t="n">
        <f aca="false">IFERROR(AVERAGEIFS($P$7:$P$294,$B$7:$B$294,$B144,$A$7:$A$294,"&gt;="&amp;EDATE($A144,-12*'Seasonal Factors'!$E$4),$A$7:$A$294,"&lt;="&amp;EDATE($A144,12*'Seasonal Factors'!$E$4)),"")</f>
        <v>1.02064008162138</v>
      </c>
      <c r="R144" s="24" t="n">
        <f aca="false">IFERROR(Q144/AVERAGE(Q139:Q150),"")</f>
        <v>1.01870307797866</v>
      </c>
      <c r="S144" s="23" t="n">
        <f aca="false">IF(ISNUMBER(Tabelle1!I151),(0.5*Tabelle1!I139+SUM(Tabelle1!I140:I150)+0.5*Tabelle1!I151)/12,"")</f>
        <v>143.0753925</v>
      </c>
      <c r="T144" s="24" t="n">
        <f aca="false">IFERROR(Tabelle1!I145/S144,"")</f>
        <v>1.01413749397892</v>
      </c>
      <c r="U144" s="24" t="n">
        <f aca="false">IFERROR(AVERAGEIFS($T$7:$T$294,$B$7:$B$294,$B144,$A$7:$A$294,"&gt;="&amp;EDATE($A144,-12*'Seasonal Factors'!$E$4),$A$7:$A$294,"&lt;="&amp;EDATE($A144,12*'Seasonal Factors'!$E$4)),"")</f>
        <v>1.0258719844315</v>
      </c>
      <c r="V144" s="24" t="n">
        <f aca="false">IFERROR(U144/AVERAGE(U139:U150),"")</f>
        <v>1.0257011227005</v>
      </c>
      <c r="W144" s="23" t="n">
        <f aca="false">IF(ISNUMBER(Tabelle1!J151),(0.5*Tabelle1!J139+SUM(Tabelle1!J140:J150)+0.5*Tabelle1!J151)/12,"")</f>
        <v>151.3682825</v>
      </c>
      <c r="X144" s="24" t="n">
        <f aca="false">IFERROR(Tabelle1!J145/W144,"")</f>
        <v>1.02826389669844</v>
      </c>
      <c r="Y144" s="24" t="n">
        <f aca="false">IFERROR(AVERAGEIFS($X$7:$X$294,$B$7:$B$294,$B144,$A$7:$A$294,"&gt;="&amp;EDATE($A144,-12*'Seasonal Factors'!$E$4),$A$7:$A$294,"&lt;="&amp;EDATE($A144,12*'Seasonal Factors'!$E$4)),"")</f>
        <v>0.992157490606736</v>
      </c>
      <c r="Z144" s="24" t="n">
        <f aca="false">IFERROR(Y144/AVERAGE(Y139:Y150),"")</f>
        <v>0.9885158902649</v>
      </c>
      <c r="AA144" s="23" t="n">
        <f aca="false">IF(ISNUMBER(Tabelle1!K151),(0.5*Tabelle1!K139+SUM(Tabelle1!K140:K150)+0.5*Tabelle1!K151)/12,"")</f>
        <v>158.068705416667</v>
      </c>
      <c r="AB144" s="24" t="n">
        <f aca="false">IFERROR(Tabelle1!K145/AA144,"")</f>
        <v>1.0824698003882</v>
      </c>
      <c r="AC144" s="24" t="n">
        <f aca="false">IFERROR(AVERAGEIFS($AB$7:$AB$294,$B$7:$B$294,$B144,$A$7:$A$294,"&gt;="&amp;EDATE($A144,-12*'Seasonal Factors'!$E$4),$A$7:$A$294,"&lt;="&amp;EDATE($A144,12*'Seasonal Factors'!$E$4)),"")</f>
        <v>1.02815180783548</v>
      </c>
      <c r="AD144" s="24" t="n">
        <f aca="false">IFERROR(AC144/AVERAGE(AC139:AC150),"")</f>
        <v>1.02711087771534</v>
      </c>
      <c r="AE144" s="23" t="n">
        <f aca="false">IF(ISNUMBER(Tabelle1!L151),(0.5*Tabelle1!L139+SUM(Tabelle1!L140:L150)+0.5*Tabelle1!L151)/12,"")</f>
        <v>158.380756666667</v>
      </c>
      <c r="AF144" s="24" t="n">
        <f aca="false">IFERROR(Tabelle1!L145/AE144,"")</f>
        <v>0.917599543395708</v>
      </c>
      <c r="AG144" s="24" t="n">
        <f aca="false">IFERROR(AVERAGEIFS($AF$7:$AF$294,$B$7:$B$294,$B144,$A$7:$A$294,"&gt;="&amp;EDATE($A144,-12*'Seasonal Factors'!$E$4),$A$7:$A$294,"&lt;="&amp;EDATE($A144,12*'Seasonal Factors'!$E$4)),"")</f>
        <v>0.925907843260901</v>
      </c>
      <c r="AH144" s="24" t="n">
        <f aca="false">IFERROR(AG144/AVERAGE(AG139:AG150),"")</f>
        <v>0.921365377197156</v>
      </c>
      <c r="AI144" s="23" t="n">
        <f aca="false">IF(ISNUMBER(Tabelle1!M151),(0.5*Tabelle1!M139+SUM(Tabelle1!M140:M150)+0.5*Tabelle1!M151)/12,"")</f>
        <v>187.195134583333</v>
      </c>
      <c r="AJ144" s="24" t="n">
        <f aca="false">IFERROR(Tabelle1!M145/AI144,"")</f>
        <v>1.04385538884298</v>
      </c>
      <c r="AK144" s="24" t="n">
        <f aca="false">IFERROR(AVERAGEIFS($AJ$7:$AJ$294,$B$7:$B$294,$B144,$A$7:$A$294,"&gt;="&amp;EDATE($A144,-12*'Seasonal Factors'!$E$4),$A$7:$A$294,"&lt;="&amp;EDATE($A144,12*'Seasonal Factors'!$E$4)),"")</f>
        <v>1.03110270858548</v>
      </c>
      <c r="AL144" s="24" t="n">
        <f aca="false">IFERROR(AK144/AVERAGE(AK139:AK150),"")</f>
        <v>1.0294200477391</v>
      </c>
      <c r="AM144" s="23" t="n">
        <f aca="false">IF(ISNUMBER(Tabelle1!N151),(0.5*Tabelle1!N139+SUM(Tabelle1!N140:N150)+0.5*Tabelle1!N151)/12,"")</f>
        <v>179.765490416667</v>
      </c>
      <c r="AN144" s="24" t="n">
        <f aca="false">IFERROR(Tabelle1!N145/AM144,"")</f>
        <v>1.0284488394935</v>
      </c>
      <c r="AO144" s="24" t="n">
        <f aca="false">IFERROR(AVERAGEIFS($AN$7:$AN$294,$B$7:$B$294,$B144,$A$7:$A$294,"&gt;="&amp;EDATE($A144,-12*'Seasonal Factors'!$E$4),$A$7:$A$294,"&lt;="&amp;EDATE($A144,12*'Seasonal Factors'!$E$4)),"")</f>
        <v>1.00085003147192</v>
      </c>
      <c r="AP144" s="24" t="n">
        <f aca="false">IFERROR(AO144/AVERAGE(AO139:AO150),"")</f>
        <v>1.0002598433788</v>
      </c>
      <c r="AQ144" s="23" t="n">
        <f aca="false">IF(ISNUMBER(Tabelle1!O151),(0.5*Tabelle1!O139+SUM(Tabelle1!O140:O150)+0.5*Tabelle1!O151)/12,"")</f>
        <v>136.049648333333</v>
      </c>
      <c r="AR144" s="24" t="n">
        <f aca="false">IFERROR(Tabelle1!O145/AQ144,"")</f>
        <v>1.02338669526636</v>
      </c>
      <c r="AS144" s="24" t="n">
        <f aca="false">IFERROR(AVERAGEIFS($AR$7:$AR$294,$B$7:$B$294,$B144,$A$7:$A$294,"&gt;="&amp;EDATE($A144,-12*'Seasonal Factors'!$E$4),$A$7:$A$294,"&lt;="&amp;EDATE($A144,12*'Seasonal Factors'!$E$4)),"")</f>
        <v>1.02200613265707</v>
      </c>
      <c r="AT144" s="24" t="n">
        <f aca="false">IFERROR(AS144/AVERAGE(AS139:AS150),"")</f>
        <v>1.02152054370176</v>
      </c>
      <c r="AU144" s="23" t="n">
        <f aca="false">IF(ISNUMBER(Tabelle1!P151),(0.5*Tabelle1!P139+SUM(Tabelle1!P140:P150)+0.5*Tabelle1!P151)/12,"")</f>
        <v>149.03670375</v>
      </c>
      <c r="AV144" s="24" t="n">
        <f aca="false">IFERROR(Tabelle1!P145/AU144,"")</f>
        <v>1.00255981406191</v>
      </c>
      <c r="AW144" s="24" t="n">
        <f aca="false">IFERROR(AVERAGEIFS($AV$7:$AV$294,$B$7:$B$294,$B144,$A$7:$A$294,"&gt;="&amp;EDATE($A144,-12*'Seasonal Factors'!$E$4),$A$7:$A$294,"&lt;="&amp;EDATE($A144,12*'Seasonal Factors'!$E$4)),"")</f>
        <v>1.00398788055886</v>
      </c>
      <c r="AX144" s="24" t="n">
        <f aca="false">IFERROR(AW144/AVERAGE(AW139:AW150),"")</f>
        <v>1.0033780897241</v>
      </c>
      <c r="AY144" s="23" t="n">
        <f aca="false">IF(ISNUMBER(Tabelle1!Q151),(0.5*Tabelle1!Q139+SUM(Tabelle1!Q140:Q150)+0.5*Tabelle1!Q151)/12,"")</f>
        <v>152.30149625</v>
      </c>
      <c r="AZ144" s="24" t="n">
        <f aca="false">IFERROR(Tabelle1!Q145/AY144,"")</f>
        <v>1.01267810098747</v>
      </c>
      <c r="BA144" s="24" t="n">
        <f aca="false">IFERROR(AVERAGEIFS($AZ$7:$AZ$294,$B$7:$B$294,$B144,$A$7:$A$294,"&gt;="&amp;EDATE($A144,-12*'Seasonal Factors'!$E$4),$A$7:$A$294,"&lt;="&amp;EDATE($A144,12*'Seasonal Factors'!$E$4)),"")</f>
        <v>1.00954191736988</v>
      </c>
      <c r="BB144" s="24" t="n">
        <f aca="false">IFERROR(BA144/AVERAGE(BA139:BA150),"")</f>
        <v>1.00894421786767</v>
      </c>
      <c r="BC144" s="23" t="n">
        <f aca="false">IF(ISNUMBER(Tabelle1!R151),(0.5*Tabelle1!R139+SUM(Tabelle1!R140:R150)+0.5*Tabelle1!R151)/12,"")</f>
        <v>169.944054166667</v>
      </c>
      <c r="BD144" s="24" t="n">
        <f aca="false">IFERROR(Tabelle1!R145/BC144,"")</f>
        <v>1.09526915144354</v>
      </c>
      <c r="BE144" s="24" t="n">
        <f aca="false">IFERROR(AVERAGEIFS($BD$7:$BD$294,$B$7:$B$294,$B144,$A$7:$A$294,"&gt;="&amp;EDATE($A144,-12*'Seasonal Factors'!$E$4),$A$7:$A$294,"&lt;="&amp;EDATE($A144,12*'Seasonal Factors'!$E$4)),"")</f>
        <v>1.09533348495239</v>
      </c>
      <c r="BF144" s="24" t="n">
        <f aca="false">IFERROR(BE144/AVERAGE(BE139:BE150),"")</f>
        <v>1.09401062733862</v>
      </c>
      <c r="BG144" s="23" t="n">
        <f aca="false">IF(ISNUMBER(Tabelle1!S151),(0.5*Tabelle1!S139+SUM(Tabelle1!S140:S150)+0.5*Tabelle1!S151)/12,"")</f>
        <v>149.5946575</v>
      </c>
      <c r="BH144" s="24" t="n">
        <f aca="false">IFERROR(Tabelle1!S145/BG144,"")</f>
        <v>1.01278603482213</v>
      </c>
      <c r="BI144" s="24" t="n">
        <f aca="false">IFERROR(AVERAGEIFS($BH$7:$BH$294,$B$7:$B$294,$B144,$A$7:$A$294,"&gt;="&amp;EDATE($A144,-12*'Seasonal Factors'!$E$4),$A$7:$A$294,"&lt;="&amp;EDATE($A144,12*'Seasonal Factors'!$E$4)),"")</f>
        <v>1.01021076699879</v>
      </c>
      <c r="BJ144" s="24" t="n">
        <f aca="false">IFERROR(BI144/AVERAGE(BI139:BI150),"")</f>
        <v>1.00752372590966</v>
      </c>
    </row>
    <row r="145" customFormat="false" ht="15" hidden="false" customHeight="false" outlineLevel="0" collapsed="false">
      <c r="A145" s="20" t="n">
        <v>42216</v>
      </c>
      <c r="B145" s="22" t="n">
        <f aca="false">MONTH(A145)</f>
        <v>7</v>
      </c>
      <c r="C145" s="23" t="n">
        <f aca="false">IF(ISNUMBER(Tabelle1!E152),(0.5*Tabelle1!E140+SUM(Tabelle1!E141:E151)+0.5*Tabelle1!E152)/12,"")</f>
        <v>135.336063333333</v>
      </c>
      <c r="D145" s="24" t="n">
        <f aca="false">IFERROR(Tabelle1!E146/C145,"")</f>
        <v>0.854230108018265</v>
      </c>
      <c r="E145" s="24" t="n">
        <f aca="false">IFERROR(AVERAGEIFS($D$7:$D$294,$B$7:$B$294,$B145,$A$7:$A$294,"&gt;="&amp;EDATE($A145,-12*'Seasonal Factors'!$E$4),$A$7:$A$294,"&lt;="&amp;EDATE($A145,12*'Seasonal Factors'!$E$4)),"")</f>
        <v>0.885884561339805</v>
      </c>
      <c r="F145" s="24" t="n">
        <f aca="false">IFERROR(E145/AVERAGE(E140:E151),"")</f>
        <v>0.884914194997589</v>
      </c>
      <c r="G145" s="23" t="n">
        <f aca="false">IF(ISNUMBER(Tabelle1!F152),(0.5*Tabelle1!F140+SUM(Tabelle1!F141:F151)+0.5*Tabelle1!F152)/12,"")</f>
        <v>155.699379166667</v>
      </c>
      <c r="H145" s="24" t="n">
        <f aca="false">IFERROR(Tabelle1!F146/G145,"")</f>
        <v>1.25713359325908</v>
      </c>
      <c r="I145" s="24" t="n">
        <f aca="false">IFERROR(AVERAGEIFS($H$7:$H$294,$B$7:$B$294,$B145,$A$7:$A$294,"&gt;="&amp;EDATE($A145,-12*'Seasonal Factors'!$E$4),$A$7:$A$294,"&lt;="&amp;EDATE($A145,12*'Seasonal Factors'!$E$4)),"")</f>
        <v>1.36925544214866</v>
      </c>
      <c r="J145" s="24" t="n">
        <f aca="false">IFERROR(I145/AVERAGE(I140:I151),"")</f>
        <v>1.36635362113126</v>
      </c>
      <c r="K145" s="23" t="n">
        <f aca="false">IF(ISNUMBER(Tabelle1!G152),(0.5*Tabelle1!G140+SUM(Tabelle1!G141:G151)+0.5*Tabelle1!G152)/12,"")</f>
        <v>94.9229520833333</v>
      </c>
      <c r="L145" s="24" t="n">
        <f aca="false">IFERROR(Tabelle1!G146/K145,"")</f>
        <v>1.03748237742905</v>
      </c>
      <c r="M145" s="24" t="n">
        <f aca="false">IFERROR(AVERAGEIFS($L$7:$L$294,$B$7:$B$294,$B145,$A$7:$A$294,"&gt;="&amp;EDATE($A145,-12*'Seasonal Factors'!$E$4),$A$7:$A$294,"&lt;="&amp;EDATE($A145,12*'Seasonal Factors'!$E$4)),"")</f>
        <v>1.02098113043744</v>
      </c>
      <c r="N145" s="24" t="n">
        <f aca="false">IFERROR(M145/AVERAGE(M140:M151),"")</f>
        <v>1.02030789895719</v>
      </c>
      <c r="O145" s="23" t="n">
        <f aca="false">IF(ISNUMBER(Tabelle1!H152),(0.5*Tabelle1!H140+SUM(Tabelle1!H141:H151)+0.5*Tabelle1!H152)/12,"")</f>
        <v>136.172212083333</v>
      </c>
      <c r="P145" s="24" t="n">
        <f aca="false">IFERROR(Tabelle1!H146/O145,"")</f>
        <v>1.041940920466</v>
      </c>
      <c r="Q145" s="24" t="n">
        <f aca="false">IFERROR(AVERAGEIFS($P$7:$P$294,$B$7:$B$294,$B145,$A$7:$A$294,"&gt;="&amp;EDATE($A145,-12*'Seasonal Factors'!$E$4),$A$7:$A$294,"&lt;="&amp;EDATE($A145,12*'Seasonal Factors'!$E$4)),"")</f>
        <v>1.02232334422969</v>
      </c>
      <c r="R145" s="24" t="n">
        <f aca="false">IFERROR(Q145/AVERAGE(Q140:Q151),"")</f>
        <v>1.02010016103529</v>
      </c>
      <c r="S145" s="23" t="n">
        <f aca="false">IF(ISNUMBER(Tabelle1!I152),(0.5*Tabelle1!I140+SUM(Tabelle1!I141:I151)+0.5*Tabelle1!I152)/12,"")</f>
        <v>143.582363333333</v>
      </c>
      <c r="T145" s="24" t="n">
        <f aca="false">IFERROR(Tabelle1!I146/S145,"")</f>
        <v>1.05139758460121</v>
      </c>
      <c r="U145" s="24" t="n">
        <f aca="false">IFERROR(AVERAGEIFS($T$7:$T$294,$B$7:$B$294,$B145,$A$7:$A$294,"&gt;="&amp;EDATE($A145,-12*'Seasonal Factors'!$E$4),$A$7:$A$294,"&lt;="&amp;EDATE($A145,12*'Seasonal Factors'!$E$4)),"")</f>
        <v>1.06636495832204</v>
      </c>
      <c r="V145" s="24" t="n">
        <f aca="false">IFERROR(U145/AVERAGE(U140:U151),"")</f>
        <v>1.06593964168919</v>
      </c>
      <c r="W145" s="23" t="n">
        <f aca="false">IF(ISNUMBER(Tabelle1!J152),(0.5*Tabelle1!J140+SUM(Tabelle1!J141:J151)+0.5*Tabelle1!J152)/12,"")</f>
        <v>151.10932375</v>
      </c>
      <c r="X145" s="24" t="n">
        <f aca="false">IFERROR(Tabelle1!J146/W145,"")</f>
        <v>1.04629043447757</v>
      </c>
      <c r="Y145" s="24" t="n">
        <f aca="false">IFERROR(AVERAGEIFS($X$7:$X$294,$B$7:$B$294,$B145,$A$7:$A$294,"&gt;="&amp;EDATE($A145,-12*'Seasonal Factors'!$E$4),$A$7:$A$294,"&lt;="&amp;EDATE($A145,12*'Seasonal Factors'!$E$4)),"")</f>
        <v>1.01085712423176</v>
      </c>
      <c r="Z145" s="24" t="n">
        <f aca="false">IFERROR(Y145/AVERAGE(Y140:Y151),"")</f>
        <v>1.00607481647663</v>
      </c>
      <c r="AA145" s="23" t="n">
        <f aca="false">IF(ISNUMBER(Tabelle1!K152),(0.5*Tabelle1!K140+SUM(Tabelle1!K141:K151)+0.5*Tabelle1!K152)/12,"")</f>
        <v>157.887975833333</v>
      </c>
      <c r="AB145" s="24" t="n">
        <f aca="false">IFERROR(Tabelle1!K146/AA145,"")</f>
        <v>1.03086336461626</v>
      </c>
      <c r="AC145" s="24" t="n">
        <f aca="false">IFERROR(AVERAGEIFS($AB$7:$AB$294,$B$7:$B$294,$B145,$A$7:$A$294,"&gt;="&amp;EDATE($A145,-12*'Seasonal Factors'!$E$4),$A$7:$A$294,"&lt;="&amp;EDATE($A145,12*'Seasonal Factors'!$E$4)),"")</f>
        <v>1.01074233949295</v>
      </c>
      <c r="AD145" s="24" t="n">
        <f aca="false">IFERROR(AC145/AVERAGE(AC140:AC151),"")</f>
        <v>1.00913235906003</v>
      </c>
      <c r="AE145" s="23" t="n">
        <f aca="false">IF(ISNUMBER(Tabelle1!L152),(0.5*Tabelle1!L140+SUM(Tabelle1!L141:L151)+0.5*Tabelle1!L152)/12,"")</f>
        <v>158.402878333333</v>
      </c>
      <c r="AF145" s="24" t="n">
        <f aca="false">IFERROR(Tabelle1!L146/AE145,"")</f>
        <v>1.03174703464721</v>
      </c>
      <c r="AG145" s="24" t="n">
        <f aca="false">IFERROR(AVERAGEIFS($AF$7:$AF$294,$B$7:$B$294,$B145,$A$7:$A$294,"&gt;="&amp;EDATE($A145,-12*'Seasonal Factors'!$E$4),$A$7:$A$294,"&lt;="&amp;EDATE($A145,12*'Seasonal Factors'!$E$4)),"")</f>
        <v>1.0313891895232</v>
      </c>
      <c r="AH145" s="24" t="n">
        <f aca="false">IFERROR(AG145/AVERAGE(AG140:AG151),"")</f>
        <v>1.02354137257179</v>
      </c>
      <c r="AI145" s="23" t="n">
        <f aca="false">IF(ISNUMBER(Tabelle1!M152),(0.5*Tabelle1!M140+SUM(Tabelle1!M141:M151)+0.5*Tabelle1!M152)/12,"")</f>
        <v>187.7791875</v>
      </c>
      <c r="AJ145" s="24" t="n">
        <f aca="false">IFERROR(Tabelle1!M146/AI145,"")</f>
        <v>1.02809151839578</v>
      </c>
      <c r="AK145" s="24" t="n">
        <f aca="false">IFERROR(AVERAGEIFS($AJ$7:$AJ$294,$B$7:$B$294,$B145,$A$7:$A$294,"&gt;="&amp;EDATE($A145,-12*'Seasonal Factors'!$E$4),$A$7:$A$294,"&lt;="&amp;EDATE($A145,12*'Seasonal Factors'!$E$4)),"")</f>
        <v>1.01889500295664</v>
      </c>
      <c r="AL145" s="24" t="n">
        <f aca="false">IFERROR(AK145/AVERAGE(AK140:AK151),"")</f>
        <v>1.01667301089113</v>
      </c>
      <c r="AM145" s="23" t="n">
        <f aca="false">IF(ISNUMBER(Tabelle1!N152),(0.5*Tabelle1!N140+SUM(Tabelle1!N141:N151)+0.5*Tabelle1!N152)/12,"")</f>
        <v>180.381824583333</v>
      </c>
      <c r="AN145" s="24" t="n">
        <f aca="false">IFERROR(Tabelle1!N146/AM145,"")</f>
        <v>1.01354025230817</v>
      </c>
      <c r="AO145" s="24" t="n">
        <f aca="false">IFERROR(AVERAGEIFS($AN$7:$AN$294,$B$7:$B$294,$B145,$A$7:$A$294,"&gt;="&amp;EDATE($A145,-12*'Seasonal Factors'!$E$4),$A$7:$A$294,"&lt;="&amp;EDATE($A145,12*'Seasonal Factors'!$E$4)),"")</f>
        <v>0.995235910629922</v>
      </c>
      <c r="AP145" s="24" t="n">
        <f aca="false">IFERROR(AO145/AVERAGE(AO140:AO151),"")</f>
        <v>0.994916985269366</v>
      </c>
      <c r="AQ145" s="23" t="n">
        <f aca="false">IF(ISNUMBER(Tabelle1!O152),(0.5*Tabelle1!O140+SUM(Tabelle1!O141:O151)+0.5*Tabelle1!O152)/12,"")</f>
        <v>136.144335</v>
      </c>
      <c r="AR145" s="24" t="n">
        <f aca="false">IFERROR(Tabelle1!O146/AQ145,"")</f>
        <v>1.03817246600823</v>
      </c>
      <c r="AS145" s="24" t="n">
        <f aca="false">IFERROR(AVERAGEIFS($AR$7:$AR$294,$B$7:$B$294,$B145,$A$7:$A$294,"&gt;="&amp;EDATE($A145,-12*'Seasonal Factors'!$E$4),$A$7:$A$294,"&lt;="&amp;EDATE($A145,12*'Seasonal Factors'!$E$4)),"")</f>
        <v>1.00929204014747</v>
      </c>
      <c r="AT145" s="24" t="n">
        <f aca="false">IFERROR(AS145/AVERAGE(AS140:AS151),"")</f>
        <v>1.00812618782544</v>
      </c>
      <c r="AU145" s="23" t="n">
        <f aca="false">IF(ISNUMBER(Tabelle1!P152),(0.5*Tabelle1!P140+SUM(Tabelle1!P141:P151)+0.5*Tabelle1!P152)/12,"")</f>
        <v>149.522137916667</v>
      </c>
      <c r="AV145" s="24" t="n">
        <f aca="false">IFERROR(Tabelle1!P146/AU145,"")</f>
        <v>1.00228723377085</v>
      </c>
      <c r="AW145" s="24" t="n">
        <f aca="false">IFERROR(AVERAGEIFS($AV$7:$AV$294,$B$7:$B$294,$B145,$A$7:$A$294,"&gt;="&amp;EDATE($A145,-12*'Seasonal Factors'!$E$4),$A$7:$A$294,"&lt;="&amp;EDATE($A145,12*'Seasonal Factors'!$E$4)),"")</f>
        <v>1.00077930762031</v>
      </c>
      <c r="AX145" s="24" t="n">
        <f aca="false">IFERROR(AW145/AVERAGE(AW140:AW151),"")</f>
        <v>0.999833442341476</v>
      </c>
      <c r="AY145" s="23" t="n">
        <f aca="false">IF(ISNUMBER(Tabelle1!Q152),(0.5*Tabelle1!Q140+SUM(Tabelle1!Q141:Q151)+0.5*Tabelle1!Q152)/12,"")</f>
        <v>152.763082916667</v>
      </c>
      <c r="AZ145" s="24" t="n">
        <f aca="false">IFERROR(Tabelle1!Q146/AY145,"")</f>
        <v>1.00595632836128</v>
      </c>
      <c r="BA145" s="24" t="n">
        <f aca="false">IFERROR(AVERAGEIFS($AZ$7:$AZ$294,$B$7:$B$294,$B145,$A$7:$A$294,"&gt;="&amp;EDATE($A145,-12*'Seasonal Factors'!$E$4),$A$7:$A$294,"&lt;="&amp;EDATE($A145,12*'Seasonal Factors'!$E$4)),"")</f>
        <v>1.00812771410658</v>
      </c>
      <c r="BB145" s="24" t="n">
        <f aca="false">IFERROR(BA145/AVERAGE(BA140:BA151),"")</f>
        <v>1.00739940131753</v>
      </c>
      <c r="BC145" s="23" t="n">
        <f aca="false">IF(ISNUMBER(Tabelle1!R152),(0.5*Tabelle1!R140+SUM(Tabelle1!R141:R151)+0.5*Tabelle1!R152)/12,"")</f>
        <v>170.330312916667</v>
      </c>
      <c r="BD145" s="24" t="n">
        <f aca="false">IFERROR(Tabelle1!R146/BC145,"")</f>
        <v>1.00493609780277</v>
      </c>
      <c r="BE145" s="24" t="n">
        <f aca="false">IFERROR(AVERAGEIFS($BD$7:$BD$294,$B$7:$B$294,$B145,$A$7:$A$294,"&gt;="&amp;EDATE($A145,-12*'Seasonal Factors'!$E$4),$A$7:$A$294,"&lt;="&amp;EDATE($A145,12*'Seasonal Factors'!$E$4)),"")</f>
        <v>1.00555797114704</v>
      </c>
      <c r="BF145" s="24" t="n">
        <f aca="false">IFERROR(BE145/AVERAGE(BE140:BE151),"")</f>
        <v>1.003457760641</v>
      </c>
      <c r="BG145" s="23" t="n">
        <f aca="false">IF(ISNUMBER(Tabelle1!S152),(0.5*Tabelle1!S140+SUM(Tabelle1!S141:S151)+0.5*Tabelle1!S152)/12,"")</f>
        <v>149.303740416667</v>
      </c>
      <c r="BH145" s="24" t="n">
        <f aca="false">IFERROR(Tabelle1!S146/BG145,"")</f>
        <v>1.14257150908563</v>
      </c>
      <c r="BI145" s="24" t="n">
        <f aca="false">IFERROR(AVERAGEIFS($BH$7:$BH$294,$B$7:$B$294,$B145,$A$7:$A$294,"&gt;="&amp;EDATE($A145,-12*'Seasonal Factors'!$E$4),$A$7:$A$294,"&lt;="&amp;EDATE($A145,12*'Seasonal Factors'!$E$4)),"")</f>
        <v>1.11735700766385</v>
      </c>
      <c r="BJ145" s="24" t="n">
        <f aca="false">IFERROR(BI145/AVERAGE(BI140:BI151),"")</f>
        <v>1.11095632662309</v>
      </c>
    </row>
    <row r="146" customFormat="false" ht="15" hidden="false" customHeight="false" outlineLevel="0" collapsed="false">
      <c r="A146" s="20" t="n">
        <v>42247</v>
      </c>
      <c r="B146" s="22" t="n">
        <f aca="false">MONTH(A146)</f>
        <v>8</v>
      </c>
      <c r="C146" s="23" t="n">
        <f aca="false">IF(ISNUMBER(Tabelle1!E153),(0.5*Tabelle1!E141+SUM(Tabelle1!E142:E152)+0.5*Tabelle1!E153)/12,"")</f>
        <v>135.461945416667</v>
      </c>
      <c r="D146" s="24" t="n">
        <f aca="false">IFERROR(Tabelle1!E147/C146,"")</f>
        <v>0.508022749771708</v>
      </c>
      <c r="E146" s="24" t="n">
        <f aca="false">IFERROR(AVERAGEIFS($D$7:$D$294,$B$7:$B$294,$B146,$A$7:$A$294,"&gt;="&amp;EDATE($A146,-12*'Seasonal Factors'!$E$4),$A$7:$A$294,"&lt;="&amp;EDATE($A146,12*'Seasonal Factors'!$E$4)),"")</f>
        <v>0.575064799763564</v>
      </c>
      <c r="F146" s="24" t="n">
        <f aca="false">IFERROR(E146/AVERAGE(E141:E152),"")</f>
        <v>0.574595783113507</v>
      </c>
      <c r="G146" s="23" t="n">
        <f aca="false">IF(ISNUMBER(Tabelle1!F153),(0.5*Tabelle1!F141+SUM(Tabelle1!F142:F152)+0.5*Tabelle1!F153)/12,"")</f>
        <v>157.132374583333</v>
      </c>
      <c r="H146" s="24" t="n">
        <f aca="false">IFERROR(Tabelle1!F147/G146,"")</f>
        <v>1.35820081995144</v>
      </c>
      <c r="I146" s="24" t="n">
        <f aca="false">IFERROR(AVERAGEIFS($H$7:$H$294,$B$7:$B$294,$B146,$A$7:$A$294,"&gt;="&amp;EDATE($A146,-12*'Seasonal Factors'!$E$4),$A$7:$A$294,"&lt;="&amp;EDATE($A146,12*'Seasonal Factors'!$E$4)),"")</f>
        <v>1.44114805561475</v>
      </c>
      <c r="J146" s="24" t="n">
        <f aca="false">IFERROR(I146/AVERAGE(I141:I152),"")</f>
        <v>1.42869595429916</v>
      </c>
      <c r="K146" s="23" t="n">
        <f aca="false">IF(ISNUMBER(Tabelle1!G153),(0.5*Tabelle1!G141+SUM(Tabelle1!G142:G152)+0.5*Tabelle1!G153)/12,"")</f>
        <v>94.68774125</v>
      </c>
      <c r="L146" s="24" t="n">
        <f aca="false">IFERROR(Tabelle1!G147/K146,"")</f>
        <v>1.02099193331428</v>
      </c>
      <c r="M146" s="24" t="n">
        <f aca="false">IFERROR(AVERAGEIFS($L$7:$L$294,$B$7:$B$294,$B146,$A$7:$A$294,"&gt;="&amp;EDATE($A146,-12*'Seasonal Factors'!$E$4),$A$7:$A$294,"&lt;="&amp;EDATE($A146,12*'Seasonal Factors'!$E$4)),"")</f>
        <v>1.02243954466308</v>
      </c>
      <c r="N146" s="24" t="n">
        <f aca="false">IFERROR(M146/AVERAGE(M141:M152),"")</f>
        <v>1.02111412145862</v>
      </c>
      <c r="O146" s="23" t="n">
        <f aca="false">IF(ISNUMBER(Tabelle1!H153),(0.5*Tabelle1!H141+SUM(Tabelle1!H142:H152)+0.5*Tabelle1!H153)/12,"")</f>
        <v>135.8842525</v>
      </c>
      <c r="P146" s="24" t="n">
        <f aca="false">IFERROR(Tabelle1!H147/O146,"")</f>
        <v>1.05716179290165</v>
      </c>
      <c r="Q146" s="24" t="n">
        <f aca="false">IFERROR(AVERAGEIFS($P$7:$P$294,$B$7:$B$294,$B146,$A$7:$A$294,"&gt;="&amp;EDATE($A146,-12*'Seasonal Factors'!$E$4),$A$7:$A$294,"&lt;="&amp;EDATE($A146,12*'Seasonal Factors'!$E$4)),"")</f>
        <v>1.05037575314574</v>
      </c>
      <c r="R146" s="24" t="n">
        <f aca="false">IFERROR(Q146/AVERAGE(Q141:Q152),"")</f>
        <v>1.04742534245342</v>
      </c>
      <c r="S146" s="23" t="n">
        <f aca="false">IF(ISNUMBER(Tabelle1!I153),(0.5*Tabelle1!I141+SUM(Tabelle1!I142:I152)+0.5*Tabelle1!I153)/12,"")</f>
        <v>144.189335833333</v>
      </c>
      <c r="T146" s="24" t="n">
        <f aca="false">IFERROR(Tabelle1!I147/S146,"")</f>
        <v>1.01683532386523</v>
      </c>
      <c r="U146" s="24" t="n">
        <f aca="false">IFERROR(AVERAGEIFS($T$7:$T$294,$B$7:$B$294,$B146,$A$7:$A$294,"&gt;="&amp;EDATE($A146,-12*'Seasonal Factors'!$E$4),$A$7:$A$294,"&lt;="&amp;EDATE($A146,12*'Seasonal Factors'!$E$4)),"")</f>
        <v>1.02454887774415</v>
      </c>
      <c r="V146" s="24" t="n">
        <f aca="false">IFERROR(U146/AVERAGE(U141:U152),"")</f>
        <v>1.02380104994587</v>
      </c>
      <c r="W146" s="23" t="n">
        <f aca="false">IF(ISNUMBER(Tabelle1!J153),(0.5*Tabelle1!J141+SUM(Tabelle1!J142:J152)+0.5*Tabelle1!J153)/12,"")</f>
        <v>150.532275416667</v>
      </c>
      <c r="X146" s="24" t="n">
        <f aca="false">IFERROR(Tabelle1!J147/W146,"")</f>
        <v>1.03929326496236</v>
      </c>
      <c r="Y146" s="24" t="n">
        <f aca="false">IFERROR(AVERAGEIFS($X$7:$X$294,$B$7:$B$294,$B146,$A$7:$A$294,"&gt;="&amp;EDATE($A146,-12*'Seasonal Factors'!$E$4),$A$7:$A$294,"&lt;="&amp;EDATE($A146,12*'Seasonal Factors'!$E$4)),"")</f>
        <v>1.05180420917453</v>
      </c>
      <c r="Z146" s="24" t="n">
        <f aca="false">IFERROR(Y146/AVERAGE(Y141:Y152),"")</f>
        <v>1.04591309245612</v>
      </c>
      <c r="AA146" s="23" t="n">
        <f aca="false">IF(ISNUMBER(Tabelle1!K153),(0.5*Tabelle1!K141+SUM(Tabelle1!K142:K152)+0.5*Tabelle1!K153)/12,"")</f>
        <v>157.695400416667</v>
      </c>
      <c r="AB146" s="24" t="n">
        <f aca="false">IFERROR(Tabelle1!K147/AA146,"")</f>
        <v>1.04343614059278</v>
      </c>
      <c r="AC146" s="24" t="n">
        <f aca="false">IFERROR(AVERAGEIFS($AB$7:$AB$294,$B$7:$B$294,$B146,$A$7:$A$294,"&gt;="&amp;EDATE($A146,-12*'Seasonal Factors'!$E$4),$A$7:$A$294,"&lt;="&amp;EDATE($A146,12*'Seasonal Factors'!$E$4)),"")</f>
        <v>1.03284396769591</v>
      </c>
      <c r="AD146" s="24" t="n">
        <f aca="false">IFERROR(AC146/AVERAGE(AC141:AC152),"")</f>
        <v>1.03020085913945</v>
      </c>
      <c r="AE146" s="23" t="n">
        <f aca="false">IF(ISNUMBER(Tabelle1!L153),(0.5*Tabelle1!L141+SUM(Tabelle1!L142:L152)+0.5*Tabelle1!L153)/12,"")</f>
        <v>158.460034583333</v>
      </c>
      <c r="AF146" s="24" t="n">
        <f aca="false">IFERROR(Tabelle1!L147/AE146,"")</f>
        <v>1.00525309374604</v>
      </c>
      <c r="AG146" s="24" t="n">
        <f aca="false">IFERROR(AVERAGEIFS($AF$7:$AF$294,$B$7:$B$294,$B146,$A$7:$A$294,"&gt;="&amp;EDATE($A146,-12*'Seasonal Factors'!$E$4),$A$7:$A$294,"&lt;="&amp;EDATE($A146,12*'Seasonal Factors'!$E$4)),"")</f>
        <v>1.0043769763849</v>
      </c>
      <c r="AH146" s="24" t="n">
        <f aca="false">IFERROR(AG146/AVERAGE(AG141:AG152),"")</f>
        <v>0.992955747223351</v>
      </c>
      <c r="AI146" s="23" t="n">
        <f aca="false">IF(ISNUMBER(Tabelle1!M153),(0.5*Tabelle1!M141+SUM(Tabelle1!M142:M152)+0.5*Tabelle1!M153)/12,"")</f>
        <v>188.650619583333</v>
      </c>
      <c r="AJ146" s="24" t="n">
        <f aca="false">IFERROR(Tabelle1!M147/AI146,"")</f>
        <v>1.00434061875055</v>
      </c>
      <c r="AK146" s="24" t="n">
        <f aca="false">IFERROR(AVERAGEIFS($AJ$7:$AJ$294,$B$7:$B$294,$B146,$A$7:$A$294,"&gt;="&amp;EDATE($A146,-12*'Seasonal Factors'!$E$4),$A$7:$A$294,"&lt;="&amp;EDATE($A146,12*'Seasonal Factors'!$E$4)),"")</f>
        <v>1.00327395020745</v>
      </c>
      <c r="AL146" s="24" t="n">
        <f aca="false">IFERROR(AK146/AVERAGE(AK141:AK152),"")</f>
        <v>1.00019029305765</v>
      </c>
      <c r="AM146" s="23" t="n">
        <f aca="false">IF(ISNUMBER(Tabelle1!N153),(0.5*Tabelle1!N141+SUM(Tabelle1!N142:N152)+0.5*Tabelle1!N153)/12,"")</f>
        <v>180.534057083333</v>
      </c>
      <c r="AN146" s="24" t="n">
        <f aca="false">IFERROR(Tabelle1!N147/AM146,"")</f>
        <v>1.01150189028161</v>
      </c>
      <c r="AO146" s="24" t="n">
        <f aca="false">IFERROR(AVERAGEIFS($AN$7:$AN$294,$B$7:$B$294,$B146,$A$7:$A$294,"&gt;="&amp;EDATE($A146,-12*'Seasonal Factors'!$E$4),$A$7:$A$294,"&lt;="&amp;EDATE($A146,12*'Seasonal Factors'!$E$4)),"")</f>
        <v>1.02303700240708</v>
      </c>
      <c r="AP146" s="24" t="n">
        <f aca="false">IFERROR(AO146/AVERAGE(AO141:AO152),"")</f>
        <v>1.02310297810494</v>
      </c>
      <c r="AQ146" s="23" t="n">
        <f aca="false">IF(ISNUMBER(Tabelle1!O153),(0.5*Tabelle1!O141+SUM(Tabelle1!O142:O152)+0.5*Tabelle1!O153)/12,"")</f>
        <v>136.242427083333</v>
      </c>
      <c r="AR146" s="24" t="n">
        <f aca="false">IFERROR(Tabelle1!O147/AQ146,"")</f>
        <v>0.995607557086698</v>
      </c>
      <c r="AS146" s="24" t="n">
        <f aca="false">IFERROR(AVERAGEIFS($AR$7:$AR$294,$B$7:$B$294,$B146,$A$7:$A$294,"&gt;="&amp;EDATE($A146,-12*'Seasonal Factors'!$E$4),$A$7:$A$294,"&lt;="&amp;EDATE($A146,12*'Seasonal Factors'!$E$4)),"")</f>
        <v>1.00852261160111</v>
      </c>
      <c r="AT146" s="24" t="n">
        <f aca="false">IFERROR(AS146/AVERAGE(AS141:AS152),"")</f>
        <v>1.00673374370108</v>
      </c>
      <c r="AU146" s="23" t="n">
        <f aca="false">IF(ISNUMBER(Tabelle1!P153),(0.5*Tabelle1!P141+SUM(Tabelle1!P142:P152)+0.5*Tabelle1!P153)/12,"")</f>
        <v>150.021840833333</v>
      </c>
      <c r="AV146" s="24" t="n">
        <f aca="false">IFERROR(Tabelle1!P147/AU146,"")</f>
        <v>1.00514504529727</v>
      </c>
      <c r="AW146" s="24" t="n">
        <f aca="false">IFERROR(AVERAGEIFS($AV$7:$AV$294,$B$7:$B$294,$B146,$A$7:$A$294,"&gt;="&amp;EDATE($A146,-12*'Seasonal Factors'!$E$4),$A$7:$A$294,"&lt;="&amp;EDATE($A146,12*'Seasonal Factors'!$E$4)),"")</f>
        <v>1.00016301969622</v>
      </c>
      <c r="AX146" s="24" t="n">
        <f aca="false">IFERROR(AW146/AVERAGE(AW141:AW152),"")</f>
        <v>0.998778684249075</v>
      </c>
      <c r="AY146" s="23" t="n">
        <f aca="false">IF(ISNUMBER(Tabelle1!Q153),(0.5*Tabelle1!Q141+SUM(Tabelle1!Q142:Q152)+0.5*Tabelle1!Q153)/12,"")</f>
        <v>153.231957916667</v>
      </c>
      <c r="AZ146" s="24" t="n">
        <f aca="false">IFERROR(Tabelle1!Q147/AY146,"")</f>
        <v>1.01262231527698</v>
      </c>
      <c r="BA146" s="24" t="n">
        <f aca="false">IFERROR(AVERAGEIFS($AZ$7:$AZ$294,$B$7:$B$294,$B146,$A$7:$A$294,"&gt;="&amp;EDATE($A146,-12*'Seasonal Factors'!$E$4),$A$7:$A$294,"&lt;="&amp;EDATE($A146,12*'Seasonal Factors'!$E$4)),"")</f>
        <v>1.00895961084318</v>
      </c>
      <c r="BB146" s="24" t="n">
        <f aca="false">IFERROR(BA146/AVERAGE(BA141:BA152),"")</f>
        <v>1.00803879450354</v>
      </c>
      <c r="BC146" s="23" t="n">
        <f aca="false">IF(ISNUMBER(Tabelle1!R153),(0.5*Tabelle1!R141+SUM(Tabelle1!R142:R152)+0.5*Tabelle1!R153)/12,"")</f>
        <v>170.735651666667</v>
      </c>
      <c r="BD146" s="24" t="n">
        <f aca="false">IFERROR(Tabelle1!R147/BC146,"")</f>
        <v>1.00647649347128</v>
      </c>
      <c r="BE146" s="24" t="n">
        <f aca="false">IFERROR(AVERAGEIFS($BD$7:$BD$294,$B$7:$B$294,$B146,$A$7:$A$294,"&gt;="&amp;EDATE($A146,-12*'Seasonal Factors'!$E$4),$A$7:$A$294,"&lt;="&amp;EDATE($A146,12*'Seasonal Factors'!$E$4)),"")</f>
        <v>1.00448796785673</v>
      </c>
      <c r="BF146" s="24" t="n">
        <f aca="false">IFERROR(BE146/AVERAGE(BE141:BE152),"")</f>
        <v>1.00140531965641</v>
      </c>
      <c r="BG146" s="23" t="n">
        <f aca="false">IF(ISNUMBER(Tabelle1!S153),(0.5*Tabelle1!S141+SUM(Tabelle1!S142:S152)+0.5*Tabelle1!S153)/12,"")</f>
        <v>149.027285</v>
      </c>
      <c r="BH146" s="24" t="n">
        <f aca="false">IFERROR(Tabelle1!S147/BG146,"")</f>
        <v>1.02004159842273</v>
      </c>
      <c r="BI146" s="24" t="n">
        <f aca="false">IFERROR(AVERAGEIFS($BH$7:$BH$294,$B$7:$B$294,$B146,$A$7:$A$294,"&gt;="&amp;EDATE($A146,-12*'Seasonal Factors'!$E$4),$A$7:$A$294,"&lt;="&amp;EDATE($A146,12*'Seasonal Factors'!$E$4)),"")</f>
        <v>1.0085930383503</v>
      </c>
      <c r="BJ146" s="24" t="n">
        <f aca="false">IFERROR(BI146/AVERAGE(BI141:BI152),"")</f>
        <v>0.999333250072849</v>
      </c>
    </row>
    <row r="147" customFormat="false" ht="15" hidden="false" customHeight="false" outlineLevel="0" collapsed="false">
      <c r="A147" s="20" t="n">
        <v>42277</v>
      </c>
      <c r="B147" s="22" t="n">
        <f aca="false">MONTH(A147)</f>
        <v>9</v>
      </c>
      <c r="C147" s="23" t="n">
        <f aca="false">IF(ISNUMBER(Tabelle1!E154),(0.5*Tabelle1!E142+SUM(Tabelle1!E143:E153)+0.5*Tabelle1!E154)/12,"")</f>
        <v>135.127195</v>
      </c>
      <c r="D147" s="24" t="n">
        <f aca="false">IFERROR(Tabelle1!E148/C147,"")</f>
        <v>0.477698734144522</v>
      </c>
      <c r="E147" s="24" t="n">
        <f aca="false">IFERROR(AVERAGEIFS($D$7:$D$294,$B$7:$B$294,$B147,$A$7:$A$294,"&gt;="&amp;EDATE($A147,-12*'Seasonal Factors'!$E$4),$A$7:$A$294,"&lt;="&amp;EDATE($A147,12*'Seasonal Factors'!$E$4)),"")</f>
        <v>0.532848574990503</v>
      </c>
      <c r="F147" s="24" t="n">
        <f aca="false">IFERROR(E147/AVERAGE(E142:E153),"")</f>
        <v>0.532515155636166</v>
      </c>
      <c r="G147" s="23" t="n">
        <f aca="false">IF(ISNUMBER(Tabelle1!F154),(0.5*Tabelle1!F142+SUM(Tabelle1!F143:F153)+0.5*Tabelle1!F154)/12,"")</f>
        <v>157.537714166667</v>
      </c>
      <c r="H147" s="24" t="n">
        <f aca="false">IFERROR(Tabelle1!F148/G147,"")</f>
        <v>1.32695558714811</v>
      </c>
      <c r="I147" s="24" t="n">
        <f aca="false">IFERROR(AVERAGEIFS($H$7:$H$294,$B$7:$B$294,$B147,$A$7:$A$294,"&gt;="&amp;EDATE($A147,-12*'Seasonal Factors'!$E$4),$A$7:$A$294,"&lt;="&amp;EDATE($A147,12*'Seasonal Factors'!$E$4)),"")</f>
        <v>1.32459359827534</v>
      </c>
      <c r="J147" s="24" t="n">
        <f aca="false">IFERROR(I147/AVERAGE(I142:I153),"")</f>
        <v>1.31923372697826</v>
      </c>
      <c r="K147" s="23" t="n">
        <f aca="false">IF(ISNUMBER(Tabelle1!G154),(0.5*Tabelle1!G142+SUM(Tabelle1!G143:G153)+0.5*Tabelle1!G154)/12,"")</f>
        <v>94.4361275</v>
      </c>
      <c r="L147" s="24" t="n">
        <f aca="false">IFERROR(Tabelle1!G148/K147,"")</f>
        <v>0.998575359837791</v>
      </c>
      <c r="M147" s="24" t="n">
        <f aca="false">IFERROR(AVERAGEIFS($L$7:$L$294,$B$7:$B$294,$B147,$A$7:$A$294,"&gt;="&amp;EDATE($A147,-12*'Seasonal Factors'!$E$4),$A$7:$A$294,"&lt;="&amp;EDATE($A147,12*'Seasonal Factors'!$E$4)),"")</f>
        <v>1.00253413176132</v>
      </c>
      <c r="N147" s="24" t="n">
        <f aca="false">IFERROR(M147/AVERAGE(M142:M153),"")</f>
        <v>1.00127251292554</v>
      </c>
      <c r="O147" s="23" t="n">
        <f aca="false">IF(ISNUMBER(Tabelle1!H154),(0.5*Tabelle1!H142+SUM(Tabelle1!H143:H153)+0.5*Tabelle1!H154)/12,"")</f>
        <v>135.59111875</v>
      </c>
      <c r="P147" s="24" t="n">
        <f aca="false">IFERROR(Tabelle1!H148/O147,"")</f>
        <v>1.03594292380599</v>
      </c>
      <c r="Q147" s="24" t="n">
        <f aca="false">IFERROR(AVERAGEIFS($P$7:$P$294,$B$7:$B$294,$B147,$A$7:$A$294,"&gt;="&amp;EDATE($A147,-12*'Seasonal Factors'!$E$4),$A$7:$A$294,"&lt;="&amp;EDATE($A147,12*'Seasonal Factors'!$E$4)),"")</f>
        <v>1.03317034645834</v>
      </c>
      <c r="R147" s="24" t="n">
        <f aca="false">IFERROR(Q147/AVERAGE(Q142:Q153),"")</f>
        <v>1.0312337488516</v>
      </c>
      <c r="S147" s="23" t="n">
        <f aca="false">IF(ISNUMBER(Tabelle1!I154),(0.5*Tabelle1!I142+SUM(Tabelle1!I143:I153)+0.5*Tabelle1!I154)/12,"")</f>
        <v>144.132370833333</v>
      </c>
      <c r="T147" s="24" t="n">
        <f aca="false">IFERROR(Tabelle1!I148/S147,"")</f>
        <v>0.970223615912791</v>
      </c>
      <c r="U147" s="24" t="n">
        <f aca="false">IFERROR(AVERAGEIFS($T$7:$T$294,$B$7:$B$294,$B147,$A$7:$A$294,"&gt;="&amp;EDATE($A147,-12*'Seasonal Factors'!$E$4),$A$7:$A$294,"&lt;="&amp;EDATE($A147,12*'Seasonal Factors'!$E$4)),"")</f>
        <v>0.948886289809579</v>
      </c>
      <c r="V147" s="24" t="n">
        <f aca="false">IFERROR(U147/AVERAGE(U142:U153),"")</f>
        <v>0.948109737310106</v>
      </c>
      <c r="W147" s="23" t="n">
        <f aca="false">IF(ISNUMBER(Tabelle1!J154),(0.5*Tabelle1!J142+SUM(Tabelle1!J143:J153)+0.5*Tabelle1!J154)/12,"")</f>
        <v>149.694673333333</v>
      </c>
      <c r="X147" s="24" t="n">
        <f aca="false">IFERROR(Tabelle1!J148/W147,"")</f>
        <v>1.05087246257393</v>
      </c>
      <c r="Y147" s="24" t="n">
        <f aca="false">IFERROR(AVERAGEIFS($X$7:$X$294,$B$7:$B$294,$B147,$A$7:$A$294,"&gt;="&amp;EDATE($A147,-12*'Seasonal Factors'!$E$4),$A$7:$A$294,"&lt;="&amp;EDATE($A147,12*'Seasonal Factors'!$E$4)),"")</f>
        <v>1.02627420445374</v>
      </c>
      <c r="Z147" s="24" t="n">
        <f aca="false">IFERROR(Y147/AVERAGE(Y142:Y153),"")</f>
        <v>1.02184288617524</v>
      </c>
      <c r="AA147" s="23" t="n">
        <f aca="false">IF(ISNUMBER(Tabelle1!K154),(0.5*Tabelle1!K142+SUM(Tabelle1!K143:K153)+0.5*Tabelle1!K154)/12,"")</f>
        <v>157.686976666667</v>
      </c>
      <c r="AB147" s="24" t="n">
        <f aca="false">IFERROR(Tabelle1!K148/AA147,"")</f>
        <v>1.03565908518381</v>
      </c>
      <c r="AC147" s="24" t="n">
        <f aca="false">IFERROR(AVERAGEIFS($AB$7:$AB$294,$B$7:$B$294,$B147,$A$7:$A$294,"&gt;="&amp;EDATE($A147,-12*'Seasonal Factors'!$E$4),$A$7:$A$294,"&lt;="&amp;EDATE($A147,12*'Seasonal Factors'!$E$4)),"")</f>
        <v>1.01297458859889</v>
      </c>
      <c r="AD147" s="24" t="n">
        <f aca="false">IFERROR(AC147/AVERAGE(AC142:AC153),"")</f>
        <v>1.01126208699608</v>
      </c>
      <c r="AE147" s="23" t="n">
        <f aca="false">IF(ISNUMBER(Tabelle1!L154),(0.5*Tabelle1!L142+SUM(Tabelle1!L143:L153)+0.5*Tabelle1!L154)/12,"")</f>
        <v>158.817423333333</v>
      </c>
      <c r="AF147" s="24" t="n">
        <f aca="false">IFERROR(Tabelle1!L148/AE147,"")</f>
        <v>1.00551807634372</v>
      </c>
      <c r="AG147" s="24" t="n">
        <f aca="false">IFERROR(AVERAGEIFS($AF$7:$AF$294,$B$7:$B$294,$B147,$A$7:$A$294,"&gt;="&amp;EDATE($A147,-12*'Seasonal Factors'!$E$4),$A$7:$A$294,"&lt;="&amp;EDATE($A147,12*'Seasonal Factors'!$E$4)),"")</f>
        <v>1.0005823335998</v>
      </c>
      <c r="AH147" s="24" t="n">
        <f aca="false">IFERROR(AG147/AVERAGE(AG142:AG153),"")</f>
        <v>0.989930918692589</v>
      </c>
      <c r="AI147" s="23" t="n">
        <f aca="false">IF(ISNUMBER(Tabelle1!M154),(0.5*Tabelle1!M142+SUM(Tabelle1!M143:M153)+0.5*Tabelle1!M154)/12,"")</f>
        <v>189.545170416667</v>
      </c>
      <c r="AJ147" s="24" t="n">
        <f aca="false">IFERROR(Tabelle1!M148/AI147,"")</f>
        <v>0.996750851444472</v>
      </c>
      <c r="AK147" s="24" t="n">
        <f aca="false">IFERROR(AVERAGEIFS($AJ$7:$AJ$294,$B$7:$B$294,$B147,$A$7:$A$294,"&gt;="&amp;EDATE($A147,-12*'Seasonal Factors'!$E$4),$A$7:$A$294,"&lt;="&amp;EDATE($A147,12*'Seasonal Factors'!$E$4)),"")</f>
        <v>0.986738722323874</v>
      </c>
      <c r="AL147" s="24" t="n">
        <f aca="false">IFERROR(AK147/AVERAGE(AK142:AK153),"")</f>
        <v>0.984004763683993</v>
      </c>
      <c r="AM147" s="23" t="n">
        <f aca="false">IF(ISNUMBER(Tabelle1!N154),(0.5*Tabelle1!N142+SUM(Tabelle1!N143:N153)+0.5*Tabelle1!N154)/12,"")</f>
        <v>180.56036625</v>
      </c>
      <c r="AN147" s="24" t="n">
        <f aca="false">IFERROR(Tabelle1!N148/AM147,"")</f>
        <v>1.00683274948774</v>
      </c>
      <c r="AO147" s="24" t="n">
        <f aca="false">IFERROR(AVERAGEIFS($AN$7:$AN$294,$B$7:$B$294,$B147,$A$7:$A$294,"&gt;="&amp;EDATE($A147,-12*'Seasonal Factors'!$E$4),$A$7:$A$294,"&lt;="&amp;EDATE($A147,12*'Seasonal Factors'!$E$4)),"")</f>
        <v>0.998664817822673</v>
      </c>
      <c r="AP147" s="24" t="n">
        <f aca="false">IFERROR(AO147/AVERAGE(AO142:AO153),"")</f>
        <v>0.998337232390791</v>
      </c>
      <c r="AQ147" s="23" t="n">
        <f aca="false">IF(ISNUMBER(Tabelle1!O154),(0.5*Tabelle1!O142+SUM(Tabelle1!O143:O153)+0.5*Tabelle1!O154)/12,"")</f>
        <v>136.34561375</v>
      </c>
      <c r="AR147" s="24" t="n">
        <f aca="false">IFERROR(Tabelle1!O148/AQ147,"")</f>
        <v>1.00985925555673</v>
      </c>
      <c r="AS147" s="24" t="n">
        <f aca="false">IFERROR(AVERAGEIFS($AR$7:$AR$294,$B$7:$B$294,$B147,$A$7:$A$294,"&gt;="&amp;EDATE($A147,-12*'Seasonal Factors'!$E$4),$A$7:$A$294,"&lt;="&amp;EDATE($A147,12*'Seasonal Factors'!$E$4)),"")</f>
        <v>1.00026109886248</v>
      </c>
      <c r="AT147" s="24" t="n">
        <f aca="false">IFERROR(AS147/AVERAGE(AS142:AS153),"")</f>
        <v>0.99850072453473</v>
      </c>
      <c r="AU147" s="23" t="n">
        <f aca="false">IF(ISNUMBER(Tabelle1!P154),(0.5*Tabelle1!P142+SUM(Tabelle1!P143:P153)+0.5*Tabelle1!P154)/12,"")</f>
        <v>150.431964583333</v>
      </c>
      <c r="AV147" s="24" t="n">
        <f aca="false">IFERROR(Tabelle1!P148/AU147,"")</f>
        <v>0.99955066342768</v>
      </c>
      <c r="AW147" s="24" t="n">
        <f aca="false">IFERROR(AVERAGEIFS($AV$7:$AV$294,$B$7:$B$294,$B147,$A$7:$A$294,"&gt;="&amp;EDATE($A147,-12*'Seasonal Factors'!$E$4),$A$7:$A$294,"&lt;="&amp;EDATE($A147,12*'Seasonal Factors'!$E$4)),"")</f>
        <v>0.99949532257432</v>
      </c>
      <c r="AX147" s="24" t="n">
        <f aca="false">IFERROR(AW147/AVERAGE(AW142:AW153),"")</f>
        <v>0.997663837179394</v>
      </c>
      <c r="AY147" s="23" t="n">
        <f aca="false">IF(ISNUMBER(Tabelle1!Q154),(0.5*Tabelle1!Q142+SUM(Tabelle1!Q143:Q153)+0.5*Tabelle1!Q154)/12,"")</f>
        <v>153.759404583333</v>
      </c>
      <c r="AZ147" s="24" t="n">
        <f aca="false">IFERROR(Tabelle1!Q148/AY147,"")</f>
        <v>1.01296177896934</v>
      </c>
      <c r="BA147" s="24" t="n">
        <f aca="false">IFERROR(AVERAGEIFS($AZ$7:$AZ$294,$B$7:$B$294,$B147,$A$7:$A$294,"&gt;="&amp;EDATE($A147,-12*'Seasonal Factors'!$E$4),$A$7:$A$294,"&lt;="&amp;EDATE($A147,12*'Seasonal Factors'!$E$4)),"")</f>
        <v>1.01064782062724</v>
      </c>
      <c r="BB147" s="24" t="n">
        <f aca="false">IFERROR(BA147/AVERAGE(BA142:BA153),"")</f>
        <v>1.00948907421954</v>
      </c>
      <c r="BC147" s="23" t="n">
        <f aca="false">IF(ISNUMBER(Tabelle1!R154),(0.5*Tabelle1!R142+SUM(Tabelle1!R143:R153)+0.5*Tabelle1!R154)/12,"")</f>
        <v>171.15482375</v>
      </c>
      <c r="BD147" s="24" t="n">
        <f aca="false">IFERROR(Tabelle1!R148/BC147,"")</f>
        <v>0.98784384977055</v>
      </c>
      <c r="BE147" s="24" t="n">
        <f aca="false">IFERROR(AVERAGEIFS($BD$7:$BD$294,$B$7:$B$294,$B147,$A$7:$A$294,"&gt;="&amp;EDATE($A147,-12*'Seasonal Factors'!$E$4),$A$7:$A$294,"&lt;="&amp;EDATE($A147,12*'Seasonal Factors'!$E$4)),"")</f>
        <v>0.985929702692462</v>
      </c>
      <c r="BF147" s="24" t="n">
        <f aca="false">IFERROR(BE147/AVERAGE(BE142:BE153),"")</f>
        <v>0.982729967706104</v>
      </c>
      <c r="BG147" s="23" t="n">
        <f aca="false">IF(ISNUMBER(Tabelle1!S154),(0.5*Tabelle1!S142+SUM(Tabelle1!S143:S153)+0.5*Tabelle1!S154)/12,"")</f>
        <v>149.4925425</v>
      </c>
      <c r="BH147" s="24" t="n">
        <f aca="false">IFERROR(Tabelle1!S148/BG147,"")</f>
        <v>0.962996732763442</v>
      </c>
      <c r="BI147" s="24" t="n">
        <f aca="false">IFERROR(AVERAGEIFS($BH$7:$BH$294,$B$7:$B$294,$B147,$A$7:$A$294,"&gt;="&amp;EDATE($A147,-12*'Seasonal Factors'!$E$4),$A$7:$A$294,"&lt;="&amp;EDATE($A147,12*'Seasonal Factors'!$E$4)),"")</f>
        <v>0.975618836026574</v>
      </c>
      <c r="BJ147" s="24" t="n">
        <f aca="false">IFERROR(BI147/AVERAGE(BI142:BI153),"")</f>
        <v>0.965006411046664</v>
      </c>
    </row>
    <row r="148" customFormat="false" ht="15" hidden="false" customHeight="false" outlineLevel="0" collapsed="false">
      <c r="A148" s="20" t="n">
        <v>42308</v>
      </c>
      <c r="B148" s="22" t="n">
        <f aca="false">MONTH(A148)</f>
        <v>10</v>
      </c>
      <c r="C148" s="23" t="n">
        <f aca="false">IF(ISNUMBER(Tabelle1!E155),(0.5*Tabelle1!E143+SUM(Tabelle1!E144:E154)+0.5*Tabelle1!E155)/12,"")</f>
        <v>134.025826666667</v>
      </c>
      <c r="D148" s="24" t="n">
        <f aca="false">IFERROR(Tabelle1!E149/C148,"")</f>
        <v>0.521995810359735</v>
      </c>
      <c r="E148" s="24" t="n">
        <f aca="false">IFERROR(AVERAGEIFS($D$7:$D$294,$B$7:$B$294,$B148,$A$7:$A$294,"&gt;="&amp;EDATE($A148,-12*'Seasonal Factors'!$E$4),$A$7:$A$294,"&lt;="&amp;EDATE($A148,12*'Seasonal Factors'!$E$4)),"")</f>
        <v>0.584706700135166</v>
      </c>
      <c r="F148" s="24" t="n">
        <f aca="false">IFERROR(E148/AVERAGE(E143:E154),"")</f>
        <v>0.584619951816885</v>
      </c>
      <c r="G148" s="23" t="n">
        <f aca="false">IF(ISNUMBER(Tabelle1!F155),(0.5*Tabelle1!F143+SUM(Tabelle1!F144:F154)+0.5*Tabelle1!F155)/12,"")</f>
        <v>154.630172083333</v>
      </c>
      <c r="H148" s="24" t="n">
        <f aca="false">IFERROR(Tabelle1!F149/G148,"")</f>
        <v>1.36652340971413</v>
      </c>
      <c r="I148" s="24" t="n">
        <f aca="false">IFERROR(AVERAGEIFS($H$7:$H$294,$B$7:$B$294,$B148,$A$7:$A$294,"&gt;="&amp;EDATE($A148,-12*'Seasonal Factors'!$E$4),$A$7:$A$294,"&lt;="&amp;EDATE($A148,12*'Seasonal Factors'!$E$4)),"")</f>
        <v>1.34857971785805</v>
      </c>
      <c r="J148" s="24" t="n">
        <f aca="false">IFERROR(I148/AVERAGE(I143:I154),"")</f>
        <v>1.34466155957278</v>
      </c>
      <c r="K148" s="23" t="n">
        <f aca="false">IF(ISNUMBER(Tabelle1!G155),(0.5*Tabelle1!G143+SUM(Tabelle1!G144:G154)+0.5*Tabelle1!G155)/12,"")</f>
        <v>94.0995775</v>
      </c>
      <c r="L148" s="24" t="n">
        <f aca="false">IFERROR(Tabelle1!G149/K148,"")</f>
        <v>1.02210713964151</v>
      </c>
      <c r="M148" s="24" t="n">
        <f aca="false">IFERROR(AVERAGEIFS($L$7:$L$294,$B$7:$B$294,$B148,$A$7:$A$294,"&gt;="&amp;EDATE($A148,-12*'Seasonal Factors'!$E$4),$A$7:$A$294,"&lt;="&amp;EDATE($A148,12*'Seasonal Factors'!$E$4)),"")</f>
        <v>1.02769327500836</v>
      </c>
      <c r="N148" s="24" t="n">
        <f aca="false">IFERROR(M148/AVERAGE(M143:M154),"")</f>
        <v>1.02687791223831</v>
      </c>
      <c r="O148" s="23" t="n">
        <f aca="false">IF(ISNUMBER(Tabelle1!H155),(0.5*Tabelle1!H143+SUM(Tabelle1!H144:H154)+0.5*Tabelle1!H155)/12,"")</f>
        <v>135.086815416667</v>
      </c>
      <c r="P148" s="24" t="n">
        <f aca="false">IFERROR(Tabelle1!H149/O148,"")</f>
        <v>1.07805250683282</v>
      </c>
      <c r="Q148" s="24" t="n">
        <f aca="false">IFERROR(AVERAGEIFS($P$7:$P$294,$B$7:$B$294,$B148,$A$7:$A$294,"&gt;="&amp;EDATE($A148,-12*'Seasonal Factors'!$E$4),$A$7:$A$294,"&lt;="&amp;EDATE($A148,12*'Seasonal Factors'!$E$4)),"")</f>
        <v>1.08223631931836</v>
      </c>
      <c r="R148" s="24" t="n">
        <f aca="false">IFERROR(Q148/AVERAGE(Q143:Q154),"")</f>
        <v>1.08297043924136</v>
      </c>
      <c r="S148" s="23" t="n">
        <f aca="false">IF(ISNUMBER(Tabelle1!I155),(0.5*Tabelle1!I143+SUM(Tabelle1!I144:I154)+0.5*Tabelle1!I155)/12,"")</f>
        <v>143.940710833333</v>
      </c>
      <c r="T148" s="24" t="n">
        <f aca="false">IFERROR(Tabelle1!I149/S148,"")</f>
        <v>0.981114510150774</v>
      </c>
      <c r="U148" s="24" t="n">
        <f aca="false">IFERROR(AVERAGEIFS($T$7:$T$294,$B$7:$B$294,$B148,$A$7:$A$294,"&gt;="&amp;EDATE($A148,-12*'Seasonal Factors'!$E$4),$A$7:$A$294,"&lt;="&amp;EDATE($A148,12*'Seasonal Factors'!$E$4)),"")</f>
        <v>0.958436697610257</v>
      </c>
      <c r="V148" s="24" t="n">
        <f aca="false">IFERROR(U148/AVERAGE(U143:U154),"")</f>
        <v>0.958365062659249</v>
      </c>
      <c r="W148" s="23" t="n">
        <f aca="false">IF(ISNUMBER(Tabelle1!J155),(0.5*Tabelle1!J143+SUM(Tabelle1!J144:J154)+0.5*Tabelle1!J155)/12,"")</f>
        <v>148.14303625</v>
      </c>
      <c r="X148" s="24" t="n">
        <f aca="false">IFERROR(Tabelle1!J149/W148,"")</f>
        <v>1.01344979690195</v>
      </c>
      <c r="Y148" s="24" t="n">
        <f aca="false">IFERROR(AVERAGEIFS($X$7:$X$294,$B$7:$B$294,$B148,$A$7:$A$294,"&gt;="&amp;EDATE($A148,-12*'Seasonal Factors'!$E$4),$A$7:$A$294,"&lt;="&amp;EDATE($A148,12*'Seasonal Factors'!$E$4)),"")</f>
        <v>0.989976565489795</v>
      </c>
      <c r="Z148" s="24" t="n">
        <f aca="false">IFERROR(Y148/AVERAGE(Y143:Y154),"")</f>
        <v>0.991064023048844</v>
      </c>
      <c r="AA148" s="23" t="n">
        <f aca="false">IF(ISNUMBER(Tabelle1!K155),(0.5*Tabelle1!K143+SUM(Tabelle1!K144:K154)+0.5*Tabelle1!K155)/12,"")</f>
        <v>157.71860875</v>
      </c>
      <c r="AB148" s="24" t="n">
        <f aca="false">IFERROR(Tabelle1!K149/AA148,"")</f>
        <v>1.0508434693506</v>
      </c>
      <c r="AC148" s="24" t="n">
        <f aca="false">IFERROR(AVERAGEIFS($AB$7:$AB$294,$B$7:$B$294,$B148,$A$7:$A$294,"&gt;="&amp;EDATE($A148,-12*'Seasonal Factors'!$E$4),$A$7:$A$294,"&lt;="&amp;EDATE($A148,12*'Seasonal Factors'!$E$4)),"")</f>
        <v>1.05052963534731</v>
      </c>
      <c r="AD148" s="24" t="n">
        <f aca="false">IFERROR(AC148/AVERAGE(AC143:AC154),"")</f>
        <v>1.05048764369607</v>
      </c>
      <c r="AE148" s="23" t="n">
        <f aca="false">IF(ISNUMBER(Tabelle1!L155),(0.5*Tabelle1!L143+SUM(Tabelle1!L144:L154)+0.5*Tabelle1!L155)/12,"")</f>
        <v>159.234312083333</v>
      </c>
      <c r="AF148" s="24" t="n">
        <f aca="false">IFERROR(Tabelle1!L149/AE148,"")</f>
        <v>1.0459851135152</v>
      </c>
      <c r="AG148" s="24" t="n">
        <f aca="false">IFERROR(AVERAGEIFS($AF$7:$AF$294,$B$7:$B$294,$B148,$A$7:$A$294,"&gt;="&amp;EDATE($A148,-12*'Seasonal Factors'!$E$4),$A$7:$A$294,"&lt;="&amp;EDATE($A148,12*'Seasonal Factors'!$E$4)),"")</f>
        <v>1.04223513719841</v>
      </c>
      <c r="AH148" s="24" t="n">
        <f aca="false">IFERROR(AG148/AVERAGE(AG143:AG154),"")</f>
        <v>1.03824081456019</v>
      </c>
      <c r="AI148" s="23" t="n">
        <f aca="false">IF(ISNUMBER(Tabelle1!M155),(0.5*Tabelle1!M143+SUM(Tabelle1!M144:M154)+0.5*Tabelle1!M155)/12,"")</f>
        <v>190.1205375</v>
      </c>
      <c r="AJ148" s="24" t="n">
        <f aca="false">IFERROR(Tabelle1!M149/AI148,"")</f>
        <v>0.990474214286292</v>
      </c>
      <c r="AK148" s="24" t="n">
        <f aca="false">IFERROR(AVERAGEIFS($AJ$7:$AJ$294,$B$7:$B$294,$B148,$A$7:$A$294,"&gt;="&amp;EDATE($A148,-12*'Seasonal Factors'!$E$4),$A$7:$A$294,"&lt;="&amp;EDATE($A148,12*'Seasonal Factors'!$E$4)),"")</f>
        <v>0.995832491775505</v>
      </c>
      <c r="AL148" s="24" t="n">
        <f aca="false">IFERROR(AK148/AVERAGE(AK143:AK154),"")</f>
        <v>0.994506803627132</v>
      </c>
      <c r="AM148" s="23" t="n">
        <f aca="false">IF(ISNUMBER(Tabelle1!N155),(0.5*Tabelle1!N143+SUM(Tabelle1!N144:N154)+0.5*Tabelle1!N155)/12,"")</f>
        <v>180.413759583333</v>
      </c>
      <c r="AN148" s="24" t="n">
        <f aca="false">IFERROR(Tabelle1!N149/AM148,"")</f>
        <v>1.02561057663971</v>
      </c>
      <c r="AO148" s="24" t="n">
        <f aca="false">IFERROR(AVERAGEIFS($AN$7:$AN$294,$B$7:$B$294,$B148,$A$7:$A$294,"&gt;="&amp;EDATE($A148,-12*'Seasonal Factors'!$E$4),$A$7:$A$294,"&lt;="&amp;EDATE($A148,12*'Seasonal Factors'!$E$4)),"")</f>
        <v>1.00977525795447</v>
      </c>
      <c r="AP148" s="24" t="n">
        <f aca="false">IFERROR(AO148/AVERAGE(AO143:AO154),"")</f>
        <v>1.00922466192811</v>
      </c>
      <c r="AQ148" s="23" t="n">
        <f aca="false">IF(ISNUMBER(Tabelle1!O155),(0.5*Tabelle1!O143+SUM(Tabelle1!O144:O154)+0.5*Tabelle1!O155)/12,"")</f>
        <v>136.360661666667</v>
      </c>
      <c r="AR148" s="24" t="n">
        <f aca="false">IFERROR(Tabelle1!O149/AQ148,"")</f>
        <v>1.01120182547271</v>
      </c>
      <c r="AS148" s="24" t="n">
        <f aca="false">IFERROR(AVERAGEIFS($AR$7:$AR$294,$B$7:$B$294,$B148,$A$7:$A$294,"&gt;="&amp;EDATE($A148,-12*'Seasonal Factors'!$E$4),$A$7:$A$294,"&lt;="&amp;EDATE($A148,12*'Seasonal Factors'!$E$4)),"")</f>
        <v>1.01201890988758</v>
      </c>
      <c r="AT148" s="24" t="n">
        <f aca="false">IFERROR(AS148/AVERAGE(AS143:AS154),"")</f>
        <v>1.01129013534639</v>
      </c>
      <c r="AU148" s="23" t="n">
        <f aca="false">IF(ISNUMBER(Tabelle1!P155),(0.5*Tabelle1!P143+SUM(Tabelle1!P144:P154)+0.5*Tabelle1!P155)/12,"")</f>
        <v>150.81143125</v>
      </c>
      <c r="AV148" s="24" t="n">
        <f aca="false">IFERROR(Tabelle1!P149/AU148,"")</f>
        <v>1.00214187178865</v>
      </c>
      <c r="AW148" s="24" t="n">
        <f aca="false">IFERROR(AVERAGEIFS($AV$7:$AV$294,$B$7:$B$294,$B148,$A$7:$A$294,"&gt;="&amp;EDATE($A148,-12*'Seasonal Factors'!$E$4),$A$7:$A$294,"&lt;="&amp;EDATE($A148,12*'Seasonal Factors'!$E$4)),"")</f>
        <v>1.00134972591963</v>
      </c>
      <c r="AX148" s="24" t="n">
        <f aca="false">IFERROR(AW148/AVERAGE(AW143:AW154),"")</f>
        <v>1.00015394571931</v>
      </c>
      <c r="AY148" s="23" t="n">
        <f aca="false">IF(ISNUMBER(Tabelle1!Q155),(0.5*Tabelle1!Q143+SUM(Tabelle1!Q144:Q154)+0.5*Tabelle1!Q155)/12,"")</f>
        <v>154.194744583333</v>
      </c>
      <c r="AZ148" s="24" t="n">
        <f aca="false">IFERROR(Tabelle1!Q149/AY148,"")</f>
        <v>1.01236511284362</v>
      </c>
      <c r="BA148" s="24" t="n">
        <f aca="false">IFERROR(AVERAGEIFS($AZ$7:$AZ$294,$B$7:$B$294,$B148,$A$7:$A$294,"&gt;="&amp;EDATE($A148,-12*'Seasonal Factors'!$E$4),$A$7:$A$294,"&lt;="&amp;EDATE($A148,12*'Seasonal Factors'!$E$4)),"")</f>
        <v>1.01176751180403</v>
      </c>
      <c r="BB148" s="24" t="n">
        <f aca="false">IFERROR(BA148/AVERAGE(BA143:BA154),"")</f>
        <v>1.01110970159098</v>
      </c>
      <c r="BC148" s="23" t="n">
        <f aca="false">IF(ISNUMBER(Tabelle1!R155),(0.5*Tabelle1!R143+SUM(Tabelle1!R144:R154)+0.5*Tabelle1!R155)/12,"")</f>
        <v>171.55495875</v>
      </c>
      <c r="BD148" s="24" t="n">
        <f aca="false">IFERROR(Tabelle1!R149/BC148,"")</f>
        <v>0.95859444226062</v>
      </c>
      <c r="BE148" s="24" t="n">
        <f aca="false">IFERROR(AVERAGEIFS($BD$7:$BD$294,$B$7:$B$294,$B148,$A$7:$A$294,"&gt;="&amp;EDATE($A148,-12*'Seasonal Factors'!$E$4),$A$7:$A$294,"&lt;="&amp;EDATE($A148,12*'Seasonal Factors'!$E$4)),"")</f>
        <v>0.958458931006656</v>
      </c>
      <c r="BF148" s="24" t="n">
        <f aca="false">IFERROR(BE148/AVERAGE(BE143:BE154),"")</f>
        <v>0.957943603738567</v>
      </c>
      <c r="BG148" s="23" t="n">
        <f aca="false">IF(ISNUMBER(Tabelle1!S155),(0.5*Tabelle1!S143+SUM(Tabelle1!S144:S154)+0.5*Tabelle1!S155)/12,"")</f>
        <v>149.80195</v>
      </c>
      <c r="BH148" s="24" t="n">
        <f aca="false">IFERROR(Tabelle1!S149/BG148,"")</f>
        <v>0.98802332012367</v>
      </c>
      <c r="BI148" s="24" t="n">
        <f aca="false">IFERROR(AVERAGEIFS($BH$7:$BH$294,$B$7:$B$294,$B148,$A$7:$A$294,"&gt;="&amp;EDATE($A148,-12*'Seasonal Factors'!$E$4),$A$7:$A$294,"&lt;="&amp;EDATE($A148,12*'Seasonal Factors'!$E$4)),"")</f>
        <v>0.993862597336157</v>
      </c>
      <c r="BJ148" s="24" t="n">
        <f aca="false">IFERROR(BI148/AVERAGE(BI143:BI154),"")</f>
        <v>0.988570385568814</v>
      </c>
    </row>
    <row r="149" customFormat="false" ht="15" hidden="false" customHeight="false" outlineLevel="0" collapsed="false">
      <c r="A149" s="20" t="n">
        <v>42338</v>
      </c>
      <c r="B149" s="22" t="n">
        <f aca="false">MONTH(A149)</f>
        <v>11</v>
      </c>
      <c r="C149" s="23" t="n">
        <f aca="false">IF(ISNUMBER(Tabelle1!E156),(0.5*Tabelle1!E144+SUM(Tabelle1!E145:E155)+0.5*Tabelle1!E156)/12,"")</f>
        <v>131.751382916667</v>
      </c>
      <c r="D149" s="24" t="n">
        <f aca="false">IFERROR(Tabelle1!E150/C149,"")</f>
        <v>0.657036746663624</v>
      </c>
      <c r="E149" s="24" t="n">
        <f aca="false">IFERROR(AVERAGEIFS($D$7:$D$294,$B$7:$B$294,$B149,$A$7:$A$294,"&gt;="&amp;EDATE($A149,-12*'Seasonal Factors'!$E$4),$A$7:$A$294,"&lt;="&amp;EDATE($A149,12*'Seasonal Factors'!$E$4)),"")</f>
        <v>0.694905516474322</v>
      </c>
      <c r="F149" s="24" t="n">
        <f aca="false">IFERROR(E149/AVERAGE(E144:E155),"")</f>
        <v>0.695943829635621</v>
      </c>
      <c r="G149" s="23" t="n">
        <f aca="false">IF(ISNUMBER(Tabelle1!F156),(0.5*Tabelle1!F144+SUM(Tabelle1!F145:F155)+0.5*Tabelle1!F156)/12,"")</f>
        <v>149.5634</v>
      </c>
      <c r="H149" s="24" t="n">
        <f aca="false">IFERROR(Tabelle1!F150/G149,"")</f>
        <v>1.128312608566</v>
      </c>
      <c r="I149" s="24" t="n">
        <f aca="false">IFERROR(AVERAGEIFS($H$7:$H$294,$B$7:$B$294,$B149,$A$7:$A$294,"&gt;="&amp;EDATE($A149,-12*'Seasonal Factors'!$E$4),$A$7:$A$294,"&lt;="&amp;EDATE($A149,12*'Seasonal Factors'!$E$4)),"")</f>
        <v>0.802354730143528</v>
      </c>
      <c r="J149" s="24" t="n">
        <f aca="false">IFERROR(I149/AVERAGE(I144:I155),"")</f>
        <v>0.798866965307285</v>
      </c>
      <c r="K149" s="23" t="n">
        <f aca="false">IF(ISNUMBER(Tabelle1!G156),(0.5*Tabelle1!G144+SUM(Tabelle1!G145:G155)+0.5*Tabelle1!G156)/12,"")</f>
        <v>93.6287879166667</v>
      </c>
      <c r="L149" s="24" t="n">
        <f aca="false">IFERROR(Tabelle1!G150/K149,"")</f>
        <v>0.988629908168691</v>
      </c>
      <c r="M149" s="24" t="n">
        <f aca="false">IFERROR(AVERAGEIFS($L$7:$L$294,$B$7:$B$294,$B149,$A$7:$A$294,"&gt;="&amp;EDATE($A149,-12*'Seasonal Factors'!$E$4),$A$7:$A$294,"&lt;="&amp;EDATE($A149,12*'Seasonal Factors'!$E$4)),"")</f>
        <v>0.988427345558721</v>
      </c>
      <c r="N149" s="24" t="n">
        <f aca="false">IFERROR(M149/AVERAGE(M144:M155),"")</f>
        <v>0.987984374106196</v>
      </c>
      <c r="O149" s="23" t="n">
        <f aca="false">IF(ISNUMBER(Tabelle1!H156),(0.5*Tabelle1!H144+SUM(Tabelle1!H145:H155)+0.5*Tabelle1!H156)/12,"")</f>
        <v>134.463668333333</v>
      </c>
      <c r="P149" s="24" t="n">
        <f aca="false">IFERROR(Tabelle1!H150/O149,"")</f>
        <v>1.05193857755951</v>
      </c>
      <c r="Q149" s="24" t="n">
        <f aca="false">IFERROR(AVERAGEIFS($P$7:$P$294,$B$7:$B$294,$B149,$A$7:$A$294,"&gt;="&amp;EDATE($A149,-12*'Seasonal Factors'!$E$4),$A$7:$A$294,"&lt;="&amp;EDATE($A149,12*'Seasonal Factors'!$E$4)),"")</f>
        <v>1.05565644864733</v>
      </c>
      <c r="R149" s="24" t="n">
        <f aca="false">IFERROR(Q149/AVERAGE(Q144:Q155),"")</f>
        <v>1.05824620506127</v>
      </c>
      <c r="S149" s="23" t="n">
        <f aca="false">IF(ISNUMBER(Tabelle1!I156),(0.5*Tabelle1!I144+SUM(Tabelle1!I145:I155)+0.5*Tabelle1!I156)/12,"")</f>
        <v>144.504244583333</v>
      </c>
      <c r="T149" s="24" t="n">
        <f aca="false">IFERROR(Tabelle1!I150/S149,"")</f>
        <v>0.923675013041067</v>
      </c>
      <c r="U149" s="24" t="n">
        <f aca="false">IFERROR(AVERAGEIFS($T$7:$T$294,$B$7:$B$294,$B149,$A$7:$A$294,"&gt;="&amp;EDATE($A149,-12*'Seasonal Factors'!$E$4),$A$7:$A$294,"&lt;="&amp;EDATE($A149,12*'Seasonal Factors'!$E$4)),"")</f>
        <v>0.948587868876083</v>
      </c>
      <c r="V149" s="24" t="n">
        <f aca="false">IFERROR(U149/AVERAGE(U144:U155),"")</f>
        <v>0.949040371702804</v>
      </c>
      <c r="W149" s="23" t="n">
        <f aca="false">IF(ISNUMBER(Tabelle1!J156),(0.5*Tabelle1!J144+SUM(Tabelle1!J145:J155)+0.5*Tabelle1!J156)/12,"")</f>
        <v>146.262099583333</v>
      </c>
      <c r="X149" s="24" t="n">
        <f aca="false">IFERROR(Tabelle1!J150/W149,"")</f>
        <v>1.00926932144779</v>
      </c>
      <c r="Y149" s="24" t="n">
        <f aca="false">IFERROR(AVERAGEIFS($X$7:$X$294,$B$7:$B$294,$B149,$A$7:$A$294,"&gt;="&amp;EDATE($A149,-12*'Seasonal Factors'!$E$4),$A$7:$A$294,"&lt;="&amp;EDATE($A149,12*'Seasonal Factors'!$E$4)),"")</f>
        <v>0.998426755892205</v>
      </c>
      <c r="Z149" s="24" t="n">
        <f aca="false">IFERROR(Y149/AVERAGE(Y144:Y155),"")</f>
        <v>1.00242992868296</v>
      </c>
      <c r="AA149" s="23" t="n">
        <f aca="false">IF(ISNUMBER(Tabelle1!K156),(0.5*Tabelle1!K144+SUM(Tabelle1!K145:K155)+0.5*Tabelle1!K156)/12,"")</f>
        <v>157.55287125</v>
      </c>
      <c r="AB149" s="24" t="n">
        <f aca="false">IFERROR(Tabelle1!K150/AA149,"")</f>
        <v>1.057454102094</v>
      </c>
      <c r="AC149" s="24" t="n">
        <f aca="false">IFERROR(AVERAGEIFS($AB$7:$AB$294,$B$7:$B$294,$B149,$A$7:$A$294,"&gt;="&amp;EDATE($A149,-12*'Seasonal Factors'!$E$4),$A$7:$A$294,"&lt;="&amp;EDATE($A149,12*'Seasonal Factors'!$E$4)),"")</f>
        <v>1.05272132844506</v>
      </c>
      <c r="AD149" s="24" t="n">
        <f aca="false">IFERROR(AC149/AVERAGE(AC144:AC155),"")</f>
        <v>1.05402298441135</v>
      </c>
      <c r="AE149" s="23" t="n">
        <f aca="false">IF(ISNUMBER(Tabelle1!L156),(0.5*Tabelle1!L144+SUM(Tabelle1!L145:L155)+0.5*Tabelle1!L156)/12,"")</f>
        <v>159.55576125</v>
      </c>
      <c r="AF149" s="24" t="n">
        <f aca="false">IFERROR(Tabelle1!L150/AE149,"")</f>
        <v>1.04640909668187</v>
      </c>
      <c r="AG149" s="24" t="n">
        <f aca="false">IFERROR(AVERAGEIFS($AF$7:$AF$294,$B$7:$B$294,$B149,$A$7:$A$294,"&gt;="&amp;EDATE($A149,-12*'Seasonal Factors'!$E$4),$A$7:$A$294,"&lt;="&amp;EDATE($A149,12*'Seasonal Factors'!$E$4)),"")</f>
        <v>1.05514599322563</v>
      </c>
      <c r="AH149" s="24" t="n">
        <f aca="false">IFERROR(AG149/AVERAGE(AG144:AG155),"")</f>
        <v>1.05605037610275</v>
      </c>
      <c r="AI149" s="23" t="n">
        <f aca="false">IF(ISNUMBER(Tabelle1!M156),(0.5*Tabelle1!M144+SUM(Tabelle1!M145:M155)+0.5*Tabelle1!M156)/12,"")</f>
        <v>190.500049583333</v>
      </c>
      <c r="AJ149" s="24" t="n">
        <f aca="false">IFERROR(Tabelle1!M150/AI149,"")</f>
        <v>0.97204877586657</v>
      </c>
      <c r="AK149" s="24" t="n">
        <f aca="false">IFERROR(AVERAGEIFS($AJ$7:$AJ$294,$B$7:$B$294,$B149,$A$7:$A$294,"&gt;="&amp;EDATE($A149,-12*'Seasonal Factors'!$E$4),$A$7:$A$294,"&lt;="&amp;EDATE($A149,12*'Seasonal Factors'!$E$4)),"")</f>
        <v>0.990080079729393</v>
      </c>
      <c r="AL149" s="24" t="n">
        <f aca="false">IFERROR(AK149/AVERAGE(AK144:AK155),"")</f>
        <v>0.989532225182036</v>
      </c>
      <c r="AM149" s="23" t="n">
        <f aca="false">IF(ISNUMBER(Tabelle1!N156),(0.5*Tabelle1!N144+SUM(Tabelle1!N145:N155)+0.5*Tabelle1!N156)/12,"")</f>
        <v>180.100332083333</v>
      </c>
      <c r="AN149" s="24" t="n">
        <f aca="false">IFERROR(Tabelle1!N150/AM149,"")</f>
        <v>1.0195533671478</v>
      </c>
      <c r="AO149" s="24" t="n">
        <f aca="false">IFERROR(AVERAGEIFS($AN$7:$AN$294,$B$7:$B$294,$B149,$A$7:$A$294,"&gt;="&amp;EDATE($A149,-12*'Seasonal Factors'!$E$4),$A$7:$A$294,"&lt;="&amp;EDATE($A149,12*'Seasonal Factors'!$E$4)),"")</f>
        <v>0.989140085973304</v>
      </c>
      <c r="AP149" s="24" t="n">
        <f aca="false">IFERROR(AO149/AVERAGE(AO144:AO155),"")</f>
        <v>0.989153167637377</v>
      </c>
      <c r="AQ149" s="23" t="n">
        <f aca="false">IF(ISNUMBER(Tabelle1!O156),(0.5*Tabelle1!O144+SUM(Tabelle1!O145:O155)+0.5*Tabelle1!O156)/12,"")</f>
        <v>136.323445833333</v>
      </c>
      <c r="AR149" s="24" t="n">
        <f aca="false">IFERROR(Tabelle1!O150/AQ149,"")</f>
        <v>1.01287125744175</v>
      </c>
      <c r="AS149" s="24" t="n">
        <f aca="false">IFERROR(AVERAGEIFS($AR$7:$AR$294,$B$7:$B$294,$B149,$A$7:$A$294,"&gt;="&amp;EDATE($A149,-12*'Seasonal Factors'!$E$4),$A$7:$A$294,"&lt;="&amp;EDATE($A149,12*'Seasonal Factors'!$E$4)),"")</f>
        <v>1.0160842803733</v>
      </c>
      <c r="AT149" s="24" t="n">
        <f aca="false">IFERROR(AS149/AVERAGE(AS144:AS155),"")</f>
        <v>1.01613288422534</v>
      </c>
      <c r="AU149" s="23" t="n">
        <f aca="false">IF(ISNUMBER(Tabelle1!P156),(0.5*Tabelle1!P144+SUM(Tabelle1!P145:P155)+0.5*Tabelle1!P156)/12,"")</f>
        <v>151.242897916667</v>
      </c>
      <c r="AV149" s="24" t="n">
        <f aca="false">IFERROR(Tabelle1!P150/AU149,"")</f>
        <v>1.00473689735652</v>
      </c>
      <c r="AW149" s="24" t="n">
        <f aca="false">IFERROR(AVERAGEIFS($AV$7:$AV$294,$B$7:$B$294,$B149,$A$7:$A$294,"&gt;="&amp;EDATE($A149,-12*'Seasonal Factors'!$E$4),$A$7:$A$294,"&lt;="&amp;EDATE($A149,12*'Seasonal Factors'!$E$4)),"")</f>
        <v>1.00451340262595</v>
      </c>
      <c r="AX149" s="24" t="n">
        <f aca="false">IFERROR(AW149/AVERAGE(AW144:AW155),"")</f>
        <v>1.003812764768</v>
      </c>
      <c r="AY149" s="23" t="n">
        <f aca="false">IF(ISNUMBER(Tabelle1!Q156),(0.5*Tabelle1!Q144+SUM(Tabelle1!Q145:Q155)+0.5*Tabelle1!Q156)/12,"")</f>
        <v>154.481067916667</v>
      </c>
      <c r="AZ149" s="24" t="n">
        <f aca="false">IFERROR(Tabelle1!Q150/AY149,"")</f>
        <v>1.01393738477064</v>
      </c>
      <c r="BA149" s="24" t="n">
        <f aca="false">IFERROR(AVERAGEIFS($AZ$7:$AZ$294,$B$7:$B$294,$B149,$A$7:$A$294,"&gt;="&amp;EDATE($A149,-12*'Seasonal Factors'!$E$4),$A$7:$A$294,"&lt;="&amp;EDATE($A149,12*'Seasonal Factors'!$E$4)),"")</f>
        <v>1.01318688290003</v>
      </c>
      <c r="BB149" s="24" t="n">
        <f aca="false">IFERROR(BA149/AVERAGE(BA144:BA155),"")</f>
        <v>1.01278378687256</v>
      </c>
      <c r="BC149" s="23" t="n">
        <f aca="false">IF(ISNUMBER(Tabelle1!R156),(0.5*Tabelle1!R144+SUM(Tabelle1!R145:R155)+0.5*Tabelle1!R156)/12,"")</f>
        <v>171.953541666667</v>
      </c>
      <c r="BD149" s="24" t="n">
        <f aca="false">IFERROR(Tabelle1!R150/BC149,"")</f>
        <v>0.957057635480514</v>
      </c>
      <c r="BE149" s="24" t="n">
        <f aca="false">IFERROR(AVERAGEIFS($BD$7:$BD$294,$B$7:$B$294,$B149,$A$7:$A$294,"&gt;="&amp;EDATE($A149,-12*'Seasonal Factors'!$E$4),$A$7:$A$294,"&lt;="&amp;EDATE($A149,12*'Seasonal Factors'!$E$4)),"")</f>
        <v>0.959172743477567</v>
      </c>
      <c r="BF149" s="24" t="n">
        <f aca="false">IFERROR(BE149/AVERAGE(BE144:BE155),"")</f>
        <v>0.959806761747758</v>
      </c>
      <c r="BG149" s="23" t="n">
        <f aca="false">IF(ISNUMBER(Tabelle1!S156),(0.5*Tabelle1!S144+SUM(Tabelle1!S145:S155)+0.5*Tabelle1!S156)/12,"")</f>
        <v>149.856397083333</v>
      </c>
      <c r="BH149" s="24" t="n">
        <f aca="false">IFERROR(Tabelle1!S150/BG149,"")</f>
        <v>0.976213647513819</v>
      </c>
      <c r="BI149" s="24" t="n">
        <f aca="false">IFERROR(AVERAGEIFS($BH$7:$BH$294,$B$7:$B$294,$B149,$A$7:$A$294,"&gt;="&amp;EDATE($A149,-12*'Seasonal Factors'!$E$4),$A$7:$A$294,"&lt;="&amp;EDATE($A149,12*'Seasonal Factors'!$E$4)),"")</f>
        <v>0.988112972745862</v>
      </c>
      <c r="BJ149" s="24" t="n">
        <f aca="false">IFERROR(BI149/AVERAGE(BI144:BI155),"")</f>
        <v>0.987954719495312</v>
      </c>
    </row>
    <row r="150" customFormat="false" ht="15" hidden="false" customHeight="false" outlineLevel="0" collapsed="false">
      <c r="A150" s="20" t="n">
        <v>42369</v>
      </c>
      <c r="B150" s="22" t="n">
        <f aca="false">MONTH(A150)</f>
        <v>12</v>
      </c>
      <c r="C150" s="23" t="n">
        <f aca="false">IF(ISNUMBER(Tabelle1!E157),(0.5*Tabelle1!E145+SUM(Tabelle1!E146:E156)+0.5*Tabelle1!E157)/12,"")</f>
        <v>129.34006625</v>
      </c>
      <c r="D150" s="24" t="n">
        <f aca="false">IFERROR(Tabelle1!E151/C150,"")</f>
        <v>0.694994463867456</v>
      </c>
      <c r="E150" s="24" t="n">
        <f aca="false">IFERROR(AVERAGEIFS($D$7:$D$294,$B$7:$B$294,$B150,$A$7:$A$294,"&gt;="&amp;EDATE($A150,-12*'Seasonal Factors'!$E$4),$A$7:$A$294,"&lt;="&amp;EDATE($A150,12*'Seasonal Factors'!$E$4)),"")</f>
        <v>0.743054330034508</v>
      </c>
      <c r="F150" s="24" t="n">
        <f aca="false">IFERROR(E150/AVERAGE(E145:E156),"")</f>
        <v>0.744814687377606</v>
      </c>
      <c r="G150" s="23" t="n">
        <f aca="false">IF(ISNUMBER(Tabelle1!F157),(0.5*Tabelle1!F145+SUM(Tabelle1!F146:F156)+0.5*Tabelle1!F157)/12,"")</f>
        <v>148.6084425</v>
      </c>
      <c r="H150" s="24" t="n">
        <f aca="false">IFERROR(Tabelle1!F151/G150,"")</f>
        <v>0.610895440883179</v>
      </c>
      <c r="I150" s="24" t="n">
        <f aca="false">IFERROR(AVERAGEIFS($H$7:$H$294,$B$7:$B$294,$B150,$A$7:$A$294,"&gt;="&amp;EDATE($A150,-12*'Seasonal Factors'!$E$4),$A$7:$A$294,"&lt;="&amp;EDATE($A150,12*'Seasonal Factors'!$E$4)),"")</f>
        <v>0.541692131248084</v>
      </c>
      <c r="J150" s="24" t="n">
        <f aca="false">IFERROR(I150/AVERAGE(I145:I156),"")</f>
        <v>0.544172126059318</v>
      </c>
      <c r="K150" s="23" t="n">
        <f aca="false">IF(ISNUMBER(Tabelle1!G157),(0.5*Tabelle1!G145+SUM(Tabelle1!G146:G156)+0.5*Tabelle1!G157)/12,"")</f>
        <v>93.03879</v>
      </c>
      <c r="L150" s="24" t="n">
        <f aca="false">IFERROR(Tabelle1!G151/K150,"")</f>
        <v>1.00176378046189</v>
      </c>
      <c r="M150" s="24" t="n">
        <f aca="false">IFERROR(AVERAGEIFS($L$7:$L$294,$B$7:$B$294,$B150,$A$7:$A$294,"&gt;="&amp;EDATE($A150,-12*'Seasonal Factors'!$E$4),$A$7:$A$294,"&lt;="&amp;EDATE($A150,12*'Seasonal Factors'!$E$4)),"")</f>
        <v>1.01122376204283</v>
      </c>
      <c r="N150" s="24" t="n">
        <f aca="false">IFERROR(M150/AVERAGE(M145:M156),"")</f>
        <v>1.01083497075779</v>
      </c>
      <c r="O150" s="23" t="n">
        <f aca="false">IF(ISNUMBER(Tabelle1!H157),(0.5*Tabelle1!H145+SUM(Tabelle1!H146:H156)+0.5*Tabelle1!H157)/12,"")</f>
        <v>133.41860375</v>
      </c>
      <c r="P150" s="24" t="n">
        <f aca="false">IFERROR(Tabelle1!H151/O150,"")</f>
        <v>0.995974746138055</v>
      </c>
      <c r="Q150" s="24" t="n">
        <f aca="false">IFERROR(AVERAGEIFS($P$7:$P$294,$B$7:$B$294,$B150,$A$7:$A$294,"&gt;="&amp;EDATE($A150,-12*'Seasonal Factors'!$E$4),$A$7:$A$294,"&lt;="&amp;EDATE($A150,12*'Seasonal Factors'!$E$4)),"")</f>
        <v>0.997788329053685</v>
      </c>
      <c r="R150" s="24" t="n">
        <f aca="false">IFERROR(Q150/AVERAGE(Q145:Q156),"")</f>
        <v>1.00014878576658</v>
      </c>
      <c r="S150" s="23" t="n">
        <f aca="false">IF(ISNUMBER(Tabelle1!I157),(0.5*Tabelle1!I145+SUM(Tabelle1!I146:I156)+0.5*Tabelle1!I157)/12,"")</f>
        <v>144.936755</v>
      </c>
      <c r="T150" s="24" t="n">
        <f aca="false">IFERROR(Tabelle1!I151/S150,"")</f>
        <v>1.03312662133218</v>
      </c>
      <c r="U150" s="24" t="n">
        <f aca="false">IFERROR(AVERAGEIFS($T$7:$T$294,$B$7:$B$294,$B150,$A$7:$A$294,"&gt;="&amp;EDATE($A150,-12*'Seasonal Factors'!$E$4),$A$7:$A$294,"&lt;="&amp;EDATE($A150,12*'Seasonal Factors'!$E$4)),"")</f>
        <v>1.03845841603758</v>
      </c>
      <c r="V150" s="24" t="n">
        <f aca="false">IFERROR(U150/AVERAGE(U145:U156),"")</f>
        <v>1.03898989551109</v>
      </c>
      <c r="W150" s="23" t="n">
        <f aca="false">IF(ISNUMBER(Tabelle1!J157),(0.5*Tabelle1!J145+SUM(Tabelle1!J146:J156)+0.5*Tabelle1!J157)/12,"")</f>
        <v>144.334475</v>
      </c>
      <c r="X150" s="24" t="n">
        <f aca="false">IFERROR(Tabelle1!J151/W150,"")</f>
        <v>0.961500085132121</v>
      </c>
      <c r="Y150" s="24" t="n">
        <f aca="false">IFERROR(AVERAGEIFS($X$7:$X$294,$B$7:$B$294,$B150,$A$7:$A$294,"&gt;="&amp;EDATE($A150,-12*'Seasonal Factors'!$E$4),$A$7:$A$294,"&lt;="&amp;EDATE($A150,12*'Seasonal Factors'!$E$4)),"")</f>
        <v>0.951976026524085</v>
      </c>
      <c r="Z150" s="24" t="n">
        <f aca="false">IFERROR(Y150/AVERAGE(Y145:Y156),"")</f>
        <v>0.956895121669714</v>
      </c>
      <c r="AA150" s="23" t="n">
        <f aca="false">IF(ISNUMBER(Tabelle1!K157),(0.5*Tabelle1!K145+SUM(Tabelle1!K146:K156)+0.5*Tabelle1!K157)/12,"")</f>
        <v>156.80392875</v>
      </c>
      <c r="AB150" s="24" t="n">
        <f aca="false">IFERROR(Tabelle1!K151/AA150,"")</f>
        <v>0.929502093231194</v>
      </c>
      <c r="AC150" s="24" t="n">
        <f aca="false">IFERROR(AVERAGEIFS($AB$7:$AB$294,$B$7:$B$294,$B150,$A$7:$A$294,"&gt;="&amp;EDATE($A150,-12*'Seasonal Factors'!$E$4),$A$7:$A$294,"&lt;="&amp;EDATE($A150,12*'Seasonal Factors'!$E$4)),"")</f>
        <v>0.950435329865808</v>
      </c>
      <c r="AD150" s="24" t="n">
        <f aca="false">IFERROR(AC150/AVERAGE(AC145:AC156),"")</f>
        <v>0.951866989712347</v>
      </c>
      <c r="AE150" s="23" t="n">
        <f aca="false">IF(ISNUMBER(Tabelle1!L157),(0.5*Tabelle1!L145+SUM(Tabelle1!L146:L156)+0.5*Tabelle1!L157)/12,"")</f>
        <v>159.799020416667</v>
      </c>
      <c r="AF150" s="24" t="n">
        <f aca="false">IFERROR(Tabelle1!L151/AE150,"")</f>
        <v>1.03386334640365</v>
      </c>
      <c r="AG150" s="24" t="n">
        <f aca="false">IFERROR(AVERAGEIFS($AF$7:$AF$294,$B$7:$B$294,$B150,$A$7:$A$294,"&gt;="&amp;EDATE($A150,-12*'Seasonal Factors'!$E$4),$A$7:$A$294,"&lt;="&amp;EDATE($A150,12*'Seasonal Factors'!$E$4)),"")</f>
        <v>1.05760397692325</v>
      </c>
      <c r="AH150" s="24" t="n">
        <f aca="false">IFERROR(AG150/AVERAGE(AG145:AG156),"")</f>
        <v>1.06118704039208</v>
      </c>
      <c r="AI150" s="23" t="n">
        <f aca="false">IF(ISNUMBER(Tabelle1!M157),(0.5*Tabelle1!M145+SUM(Tabelle1!M146:M156)+0.5*Tabelle1!M157)/12,"")</f>
        <v>190.85688</v>
      </c>
      <c r="AJ150" s="24" t="n">
        <f aca="false">IFERROR(Tabelle1!M151/AI150,"")</f>
        <v>0.961956047903539</v>
      </c>
      <c r="AK150" s="24" t="n">
        <f aca="false">IFERROR(AVERAGEIFS($AJ$7:$AJ$294,$B$7:$B$294,$B150,$A$7:$A$294,"&gt;="&amp;EDATE($A150,-12*'Seasonal Factors'!$E$4),$A$7:$A$294,"&lt;="&amp;EDATE($A150,12*'Seasonal Factors'!$E$4)),"")</f>
        <v>0.982011203686391</v>
      </c>
      <c r="AL150" s="24" t="n">
        <f aca="false">IFERROR(AK150/AVERAGE(AK145:AK156),"")</f>
        <v>0.981825680883345</v>
      </c>
      <c r="AM150" s="23" t="n">
        <f aca="false">IF(ISNUMBER(Tabelle1!N157),(0.5*Tabelle1!N145+SUM(Tabelle1!N146:N156)+0.5*Tabelle1!N157)/12,"")</f>
        <v>179.346714583333</v>
      </c>
      <c r="AN150" s="24" t="n">
        <f aca="false">IFERROR(Tabelle1!N151/AM150,"")</f>
        <v>1.04598202668962</v>
      </c>
      <c r="AO150" s="24" t="n">
        <f aca="false">IFERROR(AVERAGEIFS($AN$7:$AN$294,$B$7:$B$294,$B150,$A$7:$A$294,"&gt;="&amp;EDATE($A150,-12*'Seasonal Factors'!$E$4),$A$7:$A$294,"&lt;="&amp;EDATE($A150,12*'Seasonal Factors'!$E$4)),"")</f>
        <v>1.03068056162468</v>
      </c>
      <c r="AP150" s="24" t="n">
        <f aca="false">IFERROR(AO150/AVERAGE(AO145:AO156),"")</f>
        <v>1.03088086802009</v>
      </c>
      <c r="AQ150" s="23" t="n">
        <f aca="false">IF(ISNUMBER(Tabelle1!O157),(0.5*Tabelle1!O145+SUM(Tabelle1!O146:O156)+0.5*Tabelle1!O157)/12,"")</f>
        <v>136.297426666667</v>
      </c>
      <c r="AR150" s="24" t="n">
        <f aca="false">IFERROR(Tabelle1!O151/AQ150,"")</f>
        <v>1.03126371082379</v>
      </c>
      <c r="AS150" s="24" t="n">
        <f aca="false">IFERROR(AVERAGEIFS($AR$7:$AR$294,$B$7:$B$294,$B150,$A$7:$A$294,"&gt;="&amp;EDATE($A150,-12*'Seasonal Factors'!$E$4),$A$7:$A$294,"&lt;="&amp;EDATE($A150,12*'Seasonal Factors'!$E$4)),"")</f>
        <v>1.03839668764599</v>
      </c>
      <c r="AT150" s="24" t="n">
        <f aca="false">IFERROR(AS150/AVERAGE(AS145:AS156),"")</f>
        <v>1.03902322727446</v>
      </c>
      <c r="AU150" s="23" t="n">
        <f aca="false">IF(ISNUMBER(Tabelle1!P157),(0.5*Tabelle1!P145+SUM(Tabelle1!P146:P156)+0.5*Tabelle1!P157)/12,"")</f>
        <v>151.629025833333</v>
      </c>
      <c r="AV150" s="24" t="n">
        <f aca="false">IFERROR(Tabelle1!P151/AU150,"")</f>
        <v>1.00791638777648</v>
      </c>
      <c r="AW150" s="24" t="n">
        <f aca="false">IFERROR(AVERAGEIFS($AV$7:$AV$294,$B$7:$B$294,$B150,$A$7:$A$294,"&gt;="&amp;EDATE($A150,-12*'Seasonal Factors'!$E$4),$A$7:$A$294,"&lt;="&amp;EDATE($A150,12*'Seasonal Factors'!$E$4)),"")</f>
        <v>1.01062983279344</v>
      </c>
      <c r="AX150" s="24" t="n">
        <f aca="false">IFERROR(AW150/AVERAGE(AW145:AW156),"")</f>
        <v>1.01042616709848</v>
      </c>
      <c r="AY150" s="23" t="n">
        <f aca="false">IF(ISNUMBER(Tabelle1!Q157),(0.5*Tabelle1!Q145+SUM(Tabelle1!Q146:Q156)+0.5*Tabelle1!Q157)/12,"")</f>
        <v>154.7316075</v>
      </c>
      <c r="AZ150" s="24" t="n">
        <f aca="false">IFERROR(Tabelle1!Q151/AY150,"")</f>
        <v>1.01271487145896</v>
      </c>
      <c r="BA150" s="24" t="n">
        <f aca="false">IFERROR(AVERAGEIFS($AZ$7:$AZ$294,$B$7:$B$294,$B150,$A$7:$A$294,"&gt;="&amp;EDATE($A150,-12*'Seasonal Factors'!$E$4),$A$7:$A$294,"&lt;="&amp;EDATE($A150,12*'Seasonal Factors'!$E$4)),"")</f>
        <v>1.01519306163624</v>
      </c>
      <c r="BB150" s="24" t="n">
        <f aca="false">IFERROR(BA150/AVERAGE(BA145:BA156),"")</f>
        <v>1.01517980545865</v>
      </c>
      <c r="BC150" s="23" t="n">
        <f aca="false">IF(ISNUMBER(Tabelle1!R157),(0.5*Tabelle1!R145+SUM(Tabelle1!R146:R156)+0.5*Tabelle1!R157)/12,"")</f>
        <v>172.349712083333</v>
      </c>
      <c r="BD150" s="24" t="n">
        <f aca="false">IFERROR(Tabelle1!R151/BC150,"")</f>
        <v>0.917942119471049</v>
      </c>
      <c r="BE150" s="24" t="n">
        <f aca="false">IFERROR(AVERAGEIFS($BD$7:$BD$294,$B$7:$B$294,$B150,$A$7:$A$294,"&gt;="&amp;EDATE($A150,-12*'Seasonal Factors'!$E$4),$A$7:$A$294,"&lt;="&amp;EDATE($A150,12*'Seasonal Factors'!$E$4)),"")</f>
        <v>0.92409188351955</v>
      </c>
      <c r="BF150" s="24" t="n">
        <f aca="false">IFERROR(BE150/AVERAGE(BE145:BE156),"")</f>
        <v>0.925570529112683</v>
      </c>
      <c r="BG150" s="23" t="n">
        <f aca="false">IF(ISNUMBER(Tabelle1!S157),(0.5*Tabelle1!S145+SUM(Tabelle1!S146:S156)+0.5*Tabelle1!S157)/12,"")</f>
        <v>150.185879166667</v>
      </c>
      <c r="BH150" s="24" t="n">
        <f aca="false">IFERROR(Tabelle1!S151/BG150,"")</f>
        <v>0.976219740587574</v>
      </c>
      <c r="BI150" s="24" t="n">
        <f aca="false">IFERROR(AVERAGEIFS($BH$7:$BH$294,$B$7:$B$294,$B150,$A$7:$A$294,"&gt;="&amp;EDATE($A150,-12*'Seasonal Factors'!$E$4),$A$7:$A$294,"&lt;="&amp;EDATE($A150,12*'Seasonal Factors'!$E$4)),"")</f>
        <v>0.979593288078596</v>
      </c>
      <c r="BJ150" s="24" t="n">
        <f aca="false">IFERROR(BI150/AVERAGE(BI145:BI156),"")</f>
        <v>0.982813069223414</v>
      </c>
    </row>
    <row r="151" customFormat="false" ht="15" hidden="false" customHeight="false" outlineLevel="0" collapsed="false">
      <c r="A151" s="20" t="n">
        <v>42400</v>
      </c>
      <c r="B151" s="22" t="n">
        <f aca="false">MONTH(A151)</f>
        <v>1</v>
      </c>
      <c r="C151" s="23" t="n">
        <f aca="false">IF(ISNUMBER(Tabelle1!E158),(0.5*Tabelle1!E146+SUM(Tabelle1!E147:E157)+0.5*Tabelle1!E158)/12,"")</f>
        <v>128.325585</v>
      </c>
      <c r="D151" s="24" t="n">
        <f aca="false">IFERROR(Tabelle1!E152/C151,"")</f>
        <v>0.503540272191239</v>
      </c>
      <c r="E151" s="24" t="n">
        <f aca="false">IFERROR(AVERAGEIFS($D$7:$D$294,$B$7:$B$294,$B151,$A$7:$A$294,"&gt;="&amp;EDATE($A151,-12*'Seasonal Factors'!$E$4),$A$7:$A$294,"&lt;="&amp;EDATE($A151,12*'Seasonal Factors'!$E$4)),"")</f>
        <v>0.552199963616318</v>
      </c>
      <c r="F151" s="24" t="n">
        <f aca="false">IFERROR(E151/AVERAGE(E146:E157),"")</f>
        <v>0.553142424049336</v>
      </c>
      <c r="G151" s="23" t="n">
        <f aca="false">IF(ISNUMBER(Tabelle1!F158),(0.5*Tabelle1!F146+SUM(Tabelle1!F147:F157)+0.5*Tabelle1!F158)/12,"")</f>
        <v>152.177680833333</v>
      </c>
      <c r="H151" s="24" t="n">
        <f aca="false">IFERROR(Tabelle1!F152/G151,"")</f>
        <v>0.39472680665825</v>
      </c>
      <c r="I151" s="24" t="n">
        <f aca="false">IFERROR(AVERAGEIFS($H$7:$H$294,$B$7:$B$294,$B151,$A$7:$A$294,"&gt;="&amp;EDATE($A151,-12*'Seasonal Factors'!$E$4),$A$7:$A$294,"&lt;="&amp;EDATE($A151,12*'Seasonal Factors'!$E$4)),"")</f>
        <v>0.48497601724014</v>
      </c>
      <c r="J151" s="24" t="n">
        <f aca="false">IFERROR(I151/AVERAGE(I146:I157),"")</f>
        <v>0.490179011057936</v>
      </c>
      <c r="K151" s="23" t="n">
        <f aca="false">IF(ISNUMBER(Tabelle1!G158),(0.5*Tabelle1!G146+SUM(Tabelle1!G147:G157)+0.5*Tabelle1!G158)/12,"")</f>
        <v>92.5008045833333</v>
      </c>
      <c r="L151" s="24" t="n">
        <f aca="false">IFERROR(Tabelle1!G152/K151,"")</f>
        <v>0.982733938471914</v>
      </c>
      <c r="M151" s="24" t="n">
        <f aca="false">IFERROR(AVERAGEIFS($L$7:$L$294,$B$7:$B$294,$B151,$A$7:$A$294,"&gt;="&amp;EDATE($A151,-12*'Seasonal Factors'!$E$4),$A$7:$A$294,"&lt;="&amp;EDATE($A151,12*'Seasonal Factors'!$E$4)),"")</f>
        <v>0.998317020118254</v>
      </c>
      <c r="N151" s="24" t="n">
        <f aca="false">IFERROR(M151/AVERAGE(M146:M157),"")</f>
        <v>0.998033080759033</v>
      </c>
      <c r="O151" s="23" t="n">
        <f aca="false">IF(ISNUMBER(Tabelle1!H158),(0.5*Tabelle1!H146+SUM(Tabelle1!H147:H157)+0.5*Tabelle1!H158)/12,"")</f>
        <v>132.058550833333</v>
      </c>
      <c r="P151" s="24" t="n">
        <f aca="false">IFERROR(Tabelle1!H152/O151,"")</f>
        <v>0.863120708812362</v>
      </c>
      <c r="Q151" s="24" t="n">
        <f aca="false">IFERROR(AVERAGEIFS($P$7:$P$294,$B$7:$B$294,$B151,$A$7:$A$294,"&gt;="&amp;EDATE($A151,-12*'Seasonal Factors'!$E$4),$A$7:$A$294,"&lt;="&amp;EDATE($A151,12*'Seasonal Factors'!$E$4)),"")</f>
        <v>0.882813419535695</v>
      </c>
      <c r="R151" s="24" t="n">
        <f aca="false">IFERROR(Q151/AVERAGE(Q146:Q157),"")</f>
        <v>0.884674287790551</v>
      </c>
      <c r="S151" s="23" t="n">
        <f aca="false">IF(ISNUMBER(Tabelle1!I158),(0.5*Tabelle1!I146+SUM(Tabelle1!I147:I157)+0.5*Tabelle1!I158)/12,"")</f>
        <v>145.20466125</v>
      </c>
      <c r="T151" s="24" t="n">
        <f aca="false">IFERROR(Tabelle1!I152/S151,"")</f>
        <v>1.06063489060342</v>
      </c>
      <c r="U151" s="24" t="n">
        <f aca="false">IFERROR(AVERAGEIFS($T$7:$T$294,$B$7:$B$294,$B151,$A$7:$A$294,"&gt;="&amp;EDATE($A151,-12*'Seasonal Factors'!$E$4),$A$7:$A$294,"&lt;="&amp;EDATE($A151,12*'Seasonal Factors'!$E$4)),"")</f>
        <v>1.07204273601927</v>
      </c>
      <c r="V151" s="24" t="n">
        <f aca="false">IFERROR(U151/AVERAGE(U146:U157),"")</f>
        <v>1.07188387456611</v>
      </c>
      <c r="W151" s="23" t="n">
        <f aca="false">IF(ISNUMBER(Tabelle1!J158),(0.5*Tabelle1!J146+SUM(Tabelle1!J147:J157)+0.5*Tabelle1!J158)/12,"")</f>
        <v>141.979658333333</v>
      </c>
      <c r="X151" s="24" t="n">
        <f aca="false">IFERROR(Tabelle1!J152/W151,"")</f>
        <v>0.997759409079669</v>
      </c>
      <c r="Y151" s="24" t="n">
        <f aca="false">IFERROR(AVERAGEIFS($X$7:$X$294,$B$7:$B$294,$B151,$A$7:$A$294,"&gt;="&amp;EDATE($A151,-12*'Seasonal Factors'!$E$4),$A$7:$A$294,"&lt;="&amp;EDATE($A151,12*'Seasonal Factors'!$E$4)),"")</f>
        <v>1.01705849149194</v>
      </c>
      <c r="Z151" s="24" t="n">
        <f aca="false">IFERROR(Y151/AVERAGE(Y146:Y157),"")</f>
        <v>1.0222534145265</v>
      </c>
      <c r="AA151" s="23" t="n">
        <f aca="false">IF(ISNUMBER(Tabelle1!K158),(0.5*Tabelle1!K146+SUM(Tabelle1!K147:K157)+0.5*Tabelle1!K158)/12,"")</f>
        <v>155.58727625</v>
      </c>
      <c r="AB151" s="24" t="n">
        <f aca="false">IFERROR(Tabelle1!K152/AA151,"")</f>
        <v>0.839139890785253</v>
      </c>
      <c r="AC151" s="24" t="n">
        <f aca="false">IFERROR(AVERAGEIFS($AB$7:$AB$294,$B$7:$B$294,$B151,$A$7:$A$294,"&gt;="&amp;EDATE($A151,-12*'Seasonal Factors'!$E$4),$A$7:$A$294,"&lt;="&amp;EDATE($A151,12*'Seasonal Factors'!$E$4)),"")</f>
        <v>0.893561799564446</v>
      </c>
      <c r="AD151" s="24" t="n">
        <f aca="false">IFERROR(AC151/AVERAGE(AC146:AC157),"")</f>
        <v>0.894669357431177</v>
      </c>
      <c r="AE151" s="23" t="n">
        <f aca="false">IF(ISNUMBER(Tabelle1!L158),(0.5*Tabelle1!L146+SUM(Tabelle1!L147:L157)+0.5*Tabelle1!L158)/12,"")</f>
        <v>159.976037916667</v>
      </c>
      <c r="AF151" s="24" t="n">
        <f aca="false">IFERROR(Tabelle1!L152/AE151,"")</f>
        <v>1.06215063338744</v>
      </c>
      <c r="AG151" s="24" t="n">
        <f aca="false">IFERROR(AVERAGEIFS($AF$7:$AF$294,$B$7:$B$294,$B151,$A$7:$A$294,"&gt;="&amp;EDATE($A151,-12*'Seasonal Factors'!$E$4),$A$7:$A$294,"&lt;="&amp;EDATE($A151,12*'Seasonal Factors'!$E$4)),"")</f>
        <v>1.09698998946589</v>
      </c>
      <c r="AH151" s="24" t="n">
        <f aca="false">IFERROR(AG151/AVERAGE(AG146:AG157),"")</f>
        <v>1.10374964391815</v>
      </c>
      <c r="AI151" s="23" t="n">
        <f aca="false">IF(ISNUMBER(Tabelle1!M158),(0.5*Tabelle1!M146+SUM(Tabelle1!M147:M157)+0.5*Tabelle1!M158)/12,"")</f>
        <v>191.033346666667</v>
      </c>
      <c r="AJ151" s="24" t="n">
        <f aca="false">IFERROR(Tabelle1!M152/AI151,"")</f>
        <v>0.990291869461395</v>
      </c>
      <c r="AK151" s="24" t="n">
        <f aca="false">IFERROR(AVERAGEIFS($AJ$7:$AJ$294,$B$7:$B$294,$B151,$A$7:$A$294,"&gt;="&amp;EDATE($A151,-12*'Seasonal Factors'!$E$4),$A$7:$A$294,"&lt;="&amp;EDATE($A151,12*'Seasonal Factors'!$E$4)),"")</f>
        <v>0.989282001955078</v>
      </c>
      <c r="AL151" s="24" t="n">
        <f aca="false">IFERROR(AK151/AVERAGE(AK146:AK157),"")</f>
        <v>0.989497639029141</v>
      </c>
      <c r="AM151" s="23" t="n">
        <f aca="false">IF(ISNUMBER(Tabelle1!N158),(0.5*Tabelle1!N146+SUM(Tabelle1!N147:N157)+0.5*Tabelle1!N158)/12,"")</f>
        <v>178.191879166667</v>
      </c>
      <c r="AN151" s="24" t="n">
        <f aca="false">IFERROR(Tabelle1!N152/AM151,"")</f>
        <v>1.00717900747955</v>
      </c>
      <c r="AO151" s="24" t="n">
        <f aca="false">IFERROR(AVERAGEIFS($AN$7:$AN$294,$B$7:$B$294,$B151,$A$7:$A$294,"&gt;="&amp;EDATE($A151,-12*'Seasonal Factors'!$E$4),$A$7:$A$294,"&lt;="&amp;EDATE($A151,12*'Seasonal Factors'!$E$4)),"")</f>
        <v>1.0149301830042</v>
      </c>
      <c r="AP151" s="24" t="n">
        <f aca="false">IFERROR(AO151/AVERAGE(AO146:AO157),"")</f>
        <v>1.0149333751641</v>
      </c>
      <c r="AQ151" s="23" t="n">
        <f aca="false">IF(ISNUMBER(Tabelle1!O158),(0.5*Tabelle1!O146+SUM(Tabelle1!O147:O157)+0.5*Tabelle1!O158)/12,"")</f>
        <v>136.050593333333</v>
      </c>
      <c r="AR151" s="24" t="n">
        <f aca="false">IFERROR(Tabelle1!O152/AQ151,"")</f>
        <v>0.951273175875896</v>
      </c>
      <c r="AS151" s="24" t="n">
        <f aca="false">IFERROR(AVERAGEIFS($AR$7:$AR$294,$B$7:$B$294,$B151,$A$7:$A$294,"&gt;="&amp;EDATE($A151,-12*'Seasonal Factors'!$E$4),$A$7:$A$294,"&lt;="&amp;EDATE($A151,12*'Seasonal Factors'!$E$4)),"")</f>
        <v>0.963942881992278</v>
      </c>
      <c r="AT151" s="24" t="n">
        <f aca="false">IFERROR(AS151/AVERAGE(AS146:AS157),"")</f>
        <v>0.964733103366145</v>
      </c>
      <c r="AU151" s="23" t="n">
        <f aca="false">IF(ISNUMBER(Tabelle1!P158),(0.5*Tabelle1!P146+SUM(Tabelle1!P147:P157)+0.5*Tabelle1!P158)/12,"")</f>
        <v>151.952069166667</v>
      </c>
      <c r="AV151" s="24" t="n">
        <f aca="false">IFERROR(Tabelle1!P152/AU151,"")</f>
        <v>1.00194640872583</v>
      </c>
      <c r="AW151" s="24" t="n">
        <f aca="false">IFERROR(AVERAGEIFS($AV$7:$AV$294,$B$7:$B$294,$B151,$A$7:$A$294,"&gt;="&amp;EDATE($A151,-12*'Seasonal Factors'!$E$4),$A$7:$A$294,"&lt;="&amp;EDATE($A151,12*'Seasonal Factors'!$E$4)),"")</f>
        <v>1.00284748764767</v>
      </c>
      <c r="AX151" s="24" t="n">
        <f aca="false">IFERROR(AW151/AVERAGE(AW146:AW157),"")</f>
        <v>1.00284792346422</v>
      </c>
      <c r="AY151" s="23" t="n">
        <f aca="false">IF(ISNUMBER(Tabelle1!Q158),(0.5*Tabelle1!Q146+SUM(Tabelle1!Q147:Q157)+0.5*Tabelle1!Q158)/12,"")</f>
        <v>155.02441375</v>
      </c>
      <c r="AZ151" s="24" t="n">
        <f aca="false">IFERROR(Tabelle1!Q152/AY151,"")</f>
        <v>0.979075658655732</v>
      </c>
      <c r="BA151" s="24" t="n">
        <f aca="false">IFERROR(AVERAGEIFS($AZ$7:$AZ$294,$B$7:$B$294,$B151,$A$7:$A$294,"&gt;="&amp;EDATE($A151,-12*'Seasonal Factors'!$E$4),$A$7:$A$294,"&lt;="&amp;EDATE($A151,12*'Seasonal Factors'!$E$4)),"")</f>
        <v>0.979450354958736</v>
      </c>
      <c r="BB151" s="24" t="n">
        <f aca="false">IFERROR(BA151/AVERAGE(BA146:BA157),"")</f>
        <v>0.979539484913899</v>
      </c>
      <c r="BC151" s="23" t="n">
        <f aca="false">IF(ISNUMBER(Tabelle1!R158),(0.5*Tabelle1!R146+SUM(Tabelle1!R147:R157)+0.5*Tabelle1!R158)/12,"")</f>
        <v>172.723969166667</v>
      </c>
      <c r="BD151" s="24" t="n">
        <f aca="false">IFERROR(Tabelle1!R152/BC151,"")</f>
        <v>0.99657662356001</v>
      </c>
      <c r="BE151" s="24" t="n">
        <f aca="false">IFERROR(AVERAGEIFS($BD$7:$BD$294,$B$7:$B$294,$B151,$A$7:$A$294,"&gt;="&amp;EDATE($A151,-12*'Seasonal Factors'!$E$4),$A$7:$A$294,"&lt;="&amp;EDATE($A151,12*'Seasonal Factors'!$E$4)),"")</f>
        <v>1.00877177655729</v>
      </c>
      <c r="BF151" s="24" t="n">
        <f aca="false">IFERROR(BE151/AVERAGE(BE146:BE157),"")</f>
        <v>1.01045204545139</v>
      </c>
      <c r="BG151" s="23" t="n">
        <f aca="false">IF(ISNUMBER(Tabelle1!S158),(0.5*Tabelle1!S146+SUM(Tabelle1!S147:S157)+0.5*Tabelle1!S158)/12,"")</f>
        <v>150.168495</v>
      </c>
      <c r="BH151" s="24" t="n">
        <f aca="false">IFERROR(Tabelle1!S152/BG151,"")</f>
        <v>0.963566026282677</v>
      </c>
      <c r="BI151" s="24" t="n">
        <f aca="false">IFERROR(AVERAGEIFS($BH$7:$BH$294,$B$7:$B$294,$B151,$A$7:$A$294,"&gt;="&amp;EDATE($A151,-12*'Seasonal Factors'!$E$4),$A$7:$A$294,"&lt;="&amp;EDATE($A151,12*'Seasonal Factors'!$E$4)),"")</f>
        <v>1.04642793573119</v>
      </c>
      <c r="BJ151" s="24" t="n">
        <f aca="false">IFERROR(BI151/AVERAGE(BI146:BI157),"")</f>
        <v>1.05353239548766</v>
      </c>
    </row>
    <row r="152" customFormat="false" ht="15" hidden="false" customHeight="false" outlineLevel="0" collapsed="false">
      <c r="A152" s="20" t="n">
        <v>42429</v>
      </c>
      <c r="B152" s="22" t="n">
        <f aca="false">MONTH(A152)</f>
        <v>2</v>
      </c>
      <c r="C152" s="23" t="n">
        <f aca="false">IF(ISNUMBER(Tabelle1!E159),(0.5*Tabelle1!E147+SUM(Tabelle1!E148:E158)+0.5*Tabelle1!E159)/12,"")</f>
        <v>128.304654166667</v>
      </c>
      <c r="D152" s="24" t="n">
        <f aca="false">IFERROR(Tabelle1!E153/C152,"")</f>
        <v>0.546147842064836</v>
      </c>
      <c r="E152" s="24" t="n">
        <f aca="false">IFERROR(AVERAGEIFS($D$7:$D$294,$B$7:$B$294,$B152,$A$7:$A$294,"&gt;="&amp;EDATE($A152,-12*'Seasonal Factors'!$E$4),$A$7:$A$294,"&lt;="&amp;EDATE($A152,12*'Seasonal Factors'!$E$4)),"")</f>
        <v>0.575814374739083</v>
      </c>
      <c r="F152" s="24" t="n">
        <f aca="false">IFERROR(E152/AVERAGE(E147:E158),"")</f>
        <v>0.576572152200248</v>
      </c>
      <c r="G152" s="23" t="n">
        <f aca="false">IF(ISNUMBER(Tabelle1!F159),(0.5*Tabelle1!F147+SUM(Tabelle1!F148:F158)+0.5*Tabelle1!F159)/12,"")</f>
        <v>155.676944166667</v>
      </c>
      <c r="H152" s="24" t="n">
        <f aca="false">IFERROR(Tabelle1!F153/G152,"")</f>
        <v>0.679219845726138</v>
      </c>
      <c r="I152" s="24" t="n">
        <f aca="false">IFERROR(AVERAGEIFS($H$7:$H$294,$B$7:$B$294,$B152,$A$7:$A$294,"&gt;="&amp;EDATE($A152,-12*'Seasonal Factors'!$E$4),$A$7:$A$294,"&lt;="&amp;EDATE($A152,12*'Seasonal Factors'!$E$4)),"")</f>
        <v>0.812705572025081</v>
      </c>
      <c r="J152" s="24" t="n">
        <f aca="false">IFERROR(I152/AVERAGE(I147:I158),"")</f>
        <v>0.818285664438528</v>
      </c>
      <c r="K152" s="23" t="n">
        <f aca="false">IF(ISNUMBER(Tabelle1!G159),(0.5*Tabelle1!G147+SUM(Tabelle1!G148:G158)+0.5*Tabelle1!G159)/12,"")</f>
        <v>91.9978470833333</v>
      </c>
      <c r="L152" s="24" t="n">
        <f aca="false">IFERROR(Tabelle1!G153/K152,"")</f>
        <v>0.944439492386128</v>
      </c>
      <c r="M152" s="24" t="n">
        <f aca="false">IFERROR(AVERAGEIFS($L$7:$L$294,$B$7:$B$294,$B152,$A$7:$A$294,"&gt;="&amp;EDATE($A152,-12*'Seasonal Factors'!$E$4),$A$7:$A$294,"&lt;="&amp;EDATE($A152,12*'Seasonal Factors'!$E$4)),"")</f>
        <v>0.942764619002943</v>
      </c>
      <c r="N152" s="24" t="n">
        <f aca="false">IFERROR(M152/AVERAGE(M147:M158),"")</f>
        <v>0.942627378057629</v>
      </c>
      <c r="O152" s="23" t="n">
        <f aca="false">IF(ISNUMBER(Tabelle1!H159),(0.5*Tabelle1!H147+SUM(Tabelle1!H148:H158)+0.5*Tabelle1!H159)/12,"")</f>
        <v>130.985129583333</v>
      </c>
      <c r="P152" s="24" t="n">
        <f aca="false">IFERROR(Tabelle1!H153/O152,"")</f>
        <v>0.871987609305943</v>
      </c>
      <c r="Q152" s="24" t="n">
        <f aca="false">IFERROR(AVERAGEIFS($P$7:$P$294,$B$7:$B$294,$B152,$A$7:$A$294,"&gt;="&amp;EDATE($A152,-12*'Seasonal Factors'!$E$4),$A$7:$A$294,"&lt;="&amp;EDATE($A152,12*'Seasonal Factors'!$E$4)),"")</f>
        <v>0.867119849407349</v>
      </c>
      <c r="R152" s="24" t="n">
        <f aca="false">IFERROR(Q152/AVERAGE(Q147:Q158),"")</f>
        <v>0.868915690127762</v>
      </c>
      <c r="S152" s="23" t="n">
        <f aca="false">IF(ISNUMBER(Tabelle1!I159),(0.5*Tabelle1!I147+SUM(Tabelle1!I148:I158)+0.5*Tabelle1!I159)/12,"")</f>
        <v>145.29462375</v>
      </c>
      <c r="T152" s="24" t="n">
        <f aca="false">IFERROR(Tabelle1!I153/S152,"")</f>
        <v>1.01023676039493</v>
      </c>
      <c r="U152" s="24" t="n">
        <f aca="false">IFERROR(AVERAGEIFS($T$7:$T$294,$B$7:$B$294,$B152,$A$7:$A$294,"&gt;="&amp;EDATE($A152,-12*'Seasonal Factors'!$E$4),$A$7:$A$294,"&lt;="&amp;EDATE($A152,12*'Seasonal Factors'!$E$4)),"")</f>
        <v>0.97947639064054</v>
      </c>
      <c r="V152" s="24" t="n">
        <f aca="false">IFERROR(U152/AVERAGE(U147:U158),"")</f>
        <v>0.979377216237685</v>
      </c>
      <c r="W152" s="23" t="n">
        <f aca="false">IF(ISNUMBER(Tabelle1!J159),(0.5*Tabelle1!J147+SUM(Tabelle1!J148:J158)+0.5*Tabelle1!J159)/12,"")</f>
        <v>140.26401125</v>
      </c>
      <c r="X152" s="24" t="n">
        <f aca="false">IFERROR(Tabelle1!J153/W152,"")</f>
        <v>0.99071742467368</v>
      </c>
      <c r="Y152" s="24" t="n">
        <f aca="false">IFERROR(AVERAGEIFS($X$7:$X$294,$B$7:$B$294,$B152,$A$7:$A$294,"&gt;="&amp;EDATE($A152,-12*'Seasonal Factors'!$E$4),$A$7:$A$294,"&lt;="&amp;EDATE($A152,12*'Seasonal Factors'!$E$4)),"")</f>
        <v>1.01078847011164</v>
      </c>
      <c r="Z152" s="24" t="n">
        <f aca="false">IFERROR(Y152/AVERAGE(Y147:Y158),"")</f>
        <v>1.01586635821739</v>
      </c>
      <c r="AA152" s="23" t="n">
        <f aca="false">IF(ISNUMBER(Tabelle1!K159),(0.5*Tabelle1!K147+SUM(Tabelle1!K148:K158)+0.5*Tabelle1!K159)/12,"")</f>
        <v>154.705589583333</v>
      </c>
      <c r="AB152" s="24" t="n">
        <f aca="false">IFERROR(Tabelle1!K153/AA152,"")</f>
        <v>0.907020879969013</v>
      </c>
      <c r="AC152" s="24" t="n">
        <f aca="false">IFERROR(AVERAGEIFS($AB$7:$AB$294,$B$7:$B$294,$B152,$A$7:$A$294,"&gt;="&amp;EDATE($A152,-12*'Seasonal Factors'!$E$4),$A$7:$A$294,"&lt;="&amp;EDATE($A152,12*'Seasonal Factors'!$E$4)),"")</f>
        <v>0.91790852869321</v>
      </c>
      <c r="AD152" s="24" t="n">
        <f aca="false">IFERROR(AC152/AVERAGE(AC147:AC158),"")</f>
        <v>0.919442217674876</v>
      </c>
      <c r="AE152" s="23" t="n">
        <f aca="false">IF(ISNUMBER(Tabelle1!L159),(0.5*Tabelle1!L147+SUM(Tabelle1!L148:L158)+0.5*Tabelle1!L159)/12,"")</f>
        <v>160.213518333333</v>
      </c>
      <c r="AF152" s="24" t="n">
        <f aca="false">IFERROR(Tabelle1!L153/AE152,"")</f>
        <v>1.02157028759256</v>
      </c>
      <c r="AG152" s="24" t="n">
        <f aca="false">IFERROR(AVERAGEIFS($AF$7:$AF$294,$B$7:$B$294,$B152,$A$7:$A$294,"&gt;="&amp;EDATE($A152,-12*'Seasonal Factors'!$E$4),$A$7:$A$294,"&lt;="&amp;EDATE($A152,12*'Seasonal Factors'!$E$4)),"")</f>
        <v>1.05397598394954</v>
      </c>
      <c r="AH152" s="24" t="n">
        <f aca="false">IFERROR(AG152/AVERAGE(AG147:AG158),"")</f>
        <v>1.06103266457914</v>
      </c>
      <c r="AI152" s="23" t="n">
        <f aca="false">IF(ISNUMBER(Tabelle1!M159),(0.5*Tabelle1!M147+SUM(Tabelle1!M148:M158)+0.5*Tabelle1!M159)/12,"")</f>
        <v>191.341914583333</v>
      </c>
      <c r="AJ152" s="24" t="n">
        <f aca="false">IFERROR(Tabelle1!M153/AI152,"")</f>
        <v>0.962092233689998</v>
      </c>
      <c r="AK152" s="24" t="n">
        <f aca="false">IFERROR(AVERAGEIFS($AJ$7:$AJ$294,$B$7:$B$294,$B152,$A$7:$A$294,"&gt;="&amp;EDATE($A152,-12*'Seasonal Factors'!$E$4),$A$7:$A$294,"&lt;="&amp;EDATE($A152,12*'Seasonal Factors'!$E$4)),"")</f>
        <v>0.951874563480626</v>
      </c>
      <c r="AL152" s="24" t="n">
        <f aca="false">IFERROR(AK152/AVERAGE(AK147:AK158),"")</f>
        <v>0.952419709000376</v>
      </c>
      <c r="AM152" s="23" t="n">
        <f aca="false">IF(ISNUMBER(Tabelle1!N159),(0.5*Tabelle1!N147+SUM(Tabelle1!N148:N158)+0.5*Tabelle1!N159)/12,"")</f>
        <v>177.430137083333</v>
      </c>
      <c r="AN152" s="24" t="n">
        <f aca="false">IFERROR(Tabelle1!N153/AM152,"")</f>
        <v>0.973203328580532</v>
      </c>
      <c r="AO152" s="24" t="n">
        <f aca="false">IFERROR(AVERAGEIFS($AN$7:$AN$294,$B$7:$B$294,$B152,$A$7:$A$294,"&gt;="&amp;EDATE($A152,-12*'Seasonal Factors'!$E$4),$A$7:$A$294,"&lt;="&amp;EDATE($A152,12*'Seasonal Factors'!$E$4)),"")</f>
        <v>0.969414999207695</v>
      </c>
      <c r="AP152" s="24" t="n">
        <f aca="false">IFERROR(AO152/AVERAGE(AO147:AO158),"")</f>
        <v>0.969451379309213</v>
      </c>
      <c r="AQ152" s="23" t="n">
        <f aca="false">IF(ISNUMBER(Tabelle1!O159),(0.5*Tabelle1!O147+SUM(Tabelle1!O148:O158)+0.5*Tabelle1!O159)/12,"")</f>
        <v>135.928843333333</v>
      </c>
      <c r="AR152" s="24" t="n">
        <f aca="false">IFERROR(Tabelle1!O153/AQ152,"")</f>
        <v>0.960076513562133</v>
      </c>
      <c r="AS152" s="24" t="n">
        <f aca="false">IFERROR(AVERAGEIFS($AR$7:$AR$294,$B$7:$B$294,$B152,$A$7:$A$294,"&gt;="&amp;EDATE($A152,-12*'Seasonal Factors'!$E$4),$A$7:$A$294,"&lt;="&amp;EDATE($A152,12*'Seasonal Factors'!$E$4)),"")</f>
        <v>0.965693489501817</v>
      </c>
      <c r="AT152" s="24" t="n">
        <f aca="false">IFERROR(AS152/AVERAGE(AS147:AS158),"")</f>
        <v>0.966477488956482</v>
      </c>
      <c r="AU152" s="23" t="n">
        <f aca="false">IF(ISNUMBER(Tabelle1!P159),(0.5*Tabelle1!P147+SUM(Tabelle1!P148:P158)+0.5*Tabelle1!P159)/12,"")</f>
        <v>152.190400833333</v>
      </c>
      <c r="AV152" s="24" t="n">
        <f aca="false">IFERROR(Tabelle1!P153/AU152,"")</f>
        <v>1.0008384836755</v>
      </c>
      <c r="AW152" s="24" t="n">
        <f aca="false">IFERROR(AVERAGEIFS($AV$7:$AV$294,$B$7:$B$294,$B152,$A$7:$A$294,"&gt;="&amp;EDATE($A152,-12*'Seasonal Factors'!$E$4),$A$7:$A$294,"&lt;="&amp;EDATE($A152,12*'Seasonal Factors'!$E$4)),"")</f>
        <v>1.00538133990439</v>
      </c>
      <c r="AX152" s="24" t="n">
        <f aca="false">IFERROR(AW152/AVERAGE(AW147:AW158),"")</f>
        <v>1.00562547191314</v>
      </c>
      <c r="AY152" s="23" t="n">
        <f aca="false">IF(ISNUMBER(Tabelle1!Q159),(0.5*Tabelle1!Q147+SUM(Tabelle1!Q148:Q158)+0.5*Tabelle1!Q159)/12,"")</f>
        <v>155.299900416667</v>
      </c>
      <c r="AZ152" s="24" t="n">
        <f aca="false">IFERROR(Tabelle1!Q153/AY152,"")</f>
        <v>0.980862637975345</v>
      </c>
      <c r="BA152" s="24" t="n">
        <f aca="false">IFERROR(AVERAGEIFS($AZ$7:$AZ$294,$B$7:$B$294,$B152,$A$7:$A$294,"&gt;="&amp;EDATE($A152,-12*'Seasonal Factors'!$E$4),$A$7:$A$294,"&lt;="&amp;EDATE($A152,12*'Seasonal Factors'!$E$4)),"")</f>
        <v>0.982606704728512</v>
      </c>
      <c r="BB152" s="24" t="n">
        <f aca="false">IFERROR(BA152/AVERAGE(BA147:BA158),"")</f>
        <v>0.982832028349263</v>
      </c>
      <c r="BC152" s="23" t="n">
        <f aca="false">IF(ISNUMBER(Tabelle1!R159),(0.5*Tabelle1!R147+SUM(Tabelle1!R148:R158)+0.5*Tabelle1!R159)/12,"")</f>
        <v>173.0706075</v>
      </c>
      <c r="BD152" s="24" t="n">
        <f aca="false">IFERROR(Tabelle1!R153/BC152,"")</f>
        <v>0.944909608640508</v>
      </c>
      <c r="BE152" s="24" t="n">
        <f aca="false">IFERROR(AVERAGEIFS($BD$7:$BD$294,$B$7:$B$294,$B152,$A$7:$A$294,"&gt;="&amp;EDATE($A152,-12*'Seasonal Factors'!$E$4),$A$7:$A$294,"&lt;="&amp;EDATE($A152,12*'Seasonal Factors'!$E$4)),"")</f>
        <v>0.956075158902145</v>
      </c>
      <c r="BF152" s="24" t="n">
        <f aca="false">IFERROR(BE152/AVERAGE(BE147:BE158),"")</f>
        <v>0.957787281313424</v>
      </c>
      <c r="BG152" s="23" t="n">
        <f aca="false">IF(ISNUMBER(Tabelle1!S159),(0.5*Tabelle1!S147+SUM(Tabelle1!S148:S158)+0.5*Tabelle1!S159)/12,"")</f>
        <v>149.906154166667</v>
      </c>
      <c r="BH152" s="24" t="n">
        <f aca="false">IFERROR(Tabelle1!S153/BG152,"")</f>
        <v>0.98848176596708</v>
      </c>
      <c r="BI152" s="24" t="n">
        <f aca="false">IFERROR(AVERAGEIFS($BH$7:$BH$294,$B$7:$B$294,$B152,$A$7:$A$294,"&gt;="&amp;EDATE($A152,-12*'Seasonal Factors'!$E$4),$A$7:$A$294,"&lt;="&amp;EDATE($A152,12*'Seasonal Factors'!$E$4)),"")</f>
        <v>1.02807792173344</v>
      </c>
      <c r="BJ152" s="24" t="n">
        <f aca="false">IFERROR(BI152/AVERAGE(BI147:BI158),"")</f>
        <v>1.03718177344278</v>
      </c>
    </row>
    <row r="153" customFormat="false" ht="15" hidden="false" customHeight="false" outlineLevel="0" collapsed="false">
      <c r="A153" s="20" t="n">
        <v>42460</v>
      </c>
      <c r="B153" s="22" t="n">
        <f aca="false">MONTH(A153)</f>
        <v>3</v>
      </c>
      <c r="C153" s="23" t="n">
        <f aca="false">IF(ISNUMBER(Tabelle1!E160),(0.5*Tabelle1!E148+SUM(Tabelle1!E149:E159)+0.5*Tabelle1!E160)/12,"")</f>
        <v>128.27388375</v>
      </c>
      <c r="D153" s="24" t="n">
        <f aca="false">IFERROR(Tabelle1!E154/C153,"")</f>
        <v>1.06544205261891</v>
      </c>
      <c r="E153" s="24" t="n">
        <f aca="false">IFERROR(AVERAGEIFS($D$7:$D$294,$B$7:$B$294,$B153,$A$7:$A$294,"&gt;="&amp;EDATE($A153,-12*'Seasonal Factors'!$E$4),$A$7:$A$294,"&lt;="&amp;EDATE($A153,12*'Seasonal Factors'!$E$4)),"")</f>
        <v>1.12192910943038</v>
      </c>
      <c r="F153" s="24" t="n">
        <f aca="false">IFERROR(E153/AVERAGE(E148:E159),"")</f>
        <v>1.12292478760311</v>
      </c>
      <c r="G153" s="23" t="n">
        <f aca="false">IF(ISNUMBER(Tabelle1!F160),(0.5*Tabelle1!F148+SUM(Tabelle1!F149:F159)+0.5*Tabelle1!F160)/12,"")</f>
        <v>156.990419583333</v>
      </c>
      <c r="H153" s="24" t="n">
        <f aca="false">IFERROR(Tabelle1!F154/G153,"")</f>
        <v>0.816294907295126</v>
      </c>
      <c r="I153" s="24" t="n">
        <f aca="false">IFERROR(AVERAGEIFS($H$7:$H$294,$B$7:$B$294,$B153,$A$7:$A$294,"&gt;="&amp;EDATE($A153,-12*'Seasonal Factors'!$E$4),$A$7:$A$294,"&lt;="&amp;EDATE($A153,12*'Seasonal Factors'!$E$4)),"")</f>
        <v>0.88770472733986</v>
      </c>
      <c r="J153" s="24" t="n">
        <f aca="false">IFERROR(I153/AVERAGE(I148:I159),"")</f>
        <v>0.89020776191123</v>
      </c>
      <c r="K153" s="23" t="n">
        <f aca="false">IF(ISNUMBER(Tabelle1!G160),(0.5*Tabelle1!G148+SUM(Tabelle1!G149:G159)+0.5*Tabelle1!G160)/12,"")</f>
        <v>91.5889925</v>
      </c>
      <c r="L153" s="24" t="n">
        <f aca="false">IFERROR(Tabelle1!G154/K153,"")</f>
        <v>1.01255071672505</v>
      </c>
      <c r="M153" s="24" t="n">
        <f aca="false">IFERROR(AVERAGEIFS($L$7:$L$294,$B$7:$B$294,$B153,$A$7:$A$294,"&gt;="&amp;EDATE($A153,-12*'Seasonal Factors'!$E$4),$A$7:$A$294,"&lt;="&amp;EDATE($A153,12*'Seasonal Factors'!$E$4)),"")</f>
        <v>1.01995475552376</v>
      </c>
      <c r="N153" s="24" t="n">
        <f aca="false">IFERROR(M153/AVERAGE(M148:M159),"")</f>
        <v>1.0201620898997</v>
      </c>
      <c r="O153" s="23" t="n">
        <f aca="false">IF(ISNUMBER(Tabelle1!H160),(0.5*Tabelle1!H148+SUM(Tabelle1!H149:H159)+0.5*Tabelle1!H160)/12,"")</f>
        <v>130.324085416667</v>
      </c>
      <c r="P153" s="24" t="n">
        <f aca="false">IFERROR(Tabelle1!H154/O153,"")</f>
        <v>1.00144781053119</v>
      </c>
      <c r="Q153" s="24" t="n">
        <f aca="false">IFERROR(AVERAGEIFS($P$7:$P$294,$B$7:$B$294,$B153,$A$7:$A$294,"&gt;="&amp;EDATE($A153,-12*'Seasonal Factors'!$E$4),$A$7:$A$294,"&lt;="&amp;EDATE($A153,12*'Seasonal Factors'!$E$4)),"")</f>
        <v>0.990215695505957</v>
      </c>
      <c r="R153" s="24" t="n">
        <f aca="false">IFERROR(Q153/AVERAGE(Q148:Q159),"")</f>
        <v>0.992095224195198</v>
      </c>
      <c r="S153" s="23" t="n">
        <f aca="false">IF(ISNUMBER(Tabelle1!I160),(0.5*Tabelle1!I148+SUM(Tabelle1!I149:I159)+0.5*Tabelle1!I160)/12,"")</f>
        <v>145.2831775</v>
      </c>
      <c r="T153" s="24" t="n">
        <f aca="false">IFERROR(Tabelle1!I154/S153,"")</f>
        <v>0.967006176609814</v>
      </c>
      <c r="U153" s="24" t="n">
        <f aca="false">IFERROR(AVERAGEIFS($T$7:$T$294,$B$7:$B$294,$B153,$A$7:$A$294,"&gt;="&amp;EDATE($A153,-12*'Seasonal Factors'!$E$4),$A$7:$A$294,"&lt;="&amp;EDATE($A153,12*'Seasonal Factors'!$E$4)),"")</f>
        <v>1.0008290303065</v>
      </c>
      <c r="V153" s="24" t="n">
        <f aca="false">IFERROR(U153/AVERAGE(U148:U159),"")</f>
        <v>1.00041085741092</v>
      </c>
      <c r="W153" s="23" t="n">
        <f aca="false">IF(ISNUMBER(Tabelle1!J160),(0.5*Tabelle1!J148+SUM(Tabelle1!J149:J159)+0.5*Tabelle1!J160)/12,"")</f>
        <v>138.924850416667</v>
      </c>
      <c r="X153" s="24" t="n">
        <f aca="false">IFERROR(Tabelle1!J154/W153,"")</f>
        <v>1.01233652279051</v>
      </c>
      <c r="Y153" s="24" t="n">
        <f aca="false">IFERROR(AVERAGEIFS($X$7:$X$294,$B$7:$B$294,$B153,$A$7:$A$294,"&gt;="&amp;EDATE($A153,-12*'Seasonal Factors'!$E$4),$A$7:$A$294,"&lt;="&amp;EDATE($A153,12*'Seasonal Factors'!$E$4)),"")</f>
        <v>1.01250803026229</v>
      </c>
      <c r="Z153" s="24" t="n">
        <f aca="false">IFERROR(Y153/AVERAGE(Y148:Y159),"")</f>
        <v>1.01800611489782</v>
      </c>
      <c r="AA153" s="23" t="n">
        <f aca="false">IF(ISNUMBER(Tabelle1!K160),(0.5*Tabelle1!K148+SUM(Tabelle1!K149:K159)+0.5*Tabelle1!K160)/12,"")</f>
        <v>154.15635625</v>
      </c>
      <c r="AB153" s="24" t="n">
        <f aca="false">IFERROR(Tabelle1!K154/AA153,"")</f>
        <v>1.11545533497909</v>
      </c>
      <c r="AC153" s="24" t="n">
        <f aca="false">IFERROR(AVERAGEIFS($AB$7:$AB$294,$B$7:$B$294,$B153,$A$7:$A$294,"&gt;="&amp;EDATE($A153,-12*'Seasonal Factors'!$E$4),$A$7:$A$294,"&lt;="&amp;EDATE($A153,12*'Seasonal Factors'!$E$4)),"")</f>
        <v>1.0614186016551</v>
      </c>
      <c r="AD153" s="24" t="n">
        <f aca="false">IFERROR(AC153/AVERAGE(AC148:AC159),"")</f>
        <v>1.06341000603303</v>
      </c>
      <c r="AE153" s="23" t="n">
        <f aca="false">IF(ISNUMBER(Tabelle1!L160),(0.5*Tabelle1!L148+SUM(Tabelle1!L149:L159)+0.5*Tabelle1!L160)/12,"")</f>
        <v>160.432579583333</v>
      </c>
      <c r="AF153" s="24" t="n">
        <f aca="false">IFERROR(Tabelle1!L154/AE153,"")</f>
        <v>0.974635329096484</v>
      </c>
      <c r="AG153" s="24" t="n">
        <f aca="false">IFERROR(AVERAGEIFS($AF$7:$AF$294,$B$7:$B$294,$B153,$A$7:$A$294,"&gt;="&amp;EDATE($A153,-12*'Seasonal Factors'!$E$4),$A$7:$A$294,"&lt;="&amp;EDATE($A153,12*'Seasonal Factors'!$E$4)),"")</f>
        <v>0.970918283915902</v>
      </c>
      <c r="AH153" s="24" t="n">
        <f aca="false">IFERROR(AG153/AVERAGE(AG148:AG159),"")</f>
        <v>0.978776991565701</v>
      </c>
      <c r="AI153" s="23" t="n">
        <f aca="false">IF(ISNUMBER(Tabelle1!M160),(0.5*Tabelle1!M148+SUM(Tabelle1!M149:M159)+0.5*Tabelle1!M160)/12,"")</f>
        <v>191.704598333333</v>
      </c>
      <c r="AJ153" s="24" t="n">
        <f aca="false">IFERROR(Tabelle1!M154/AI153,"")</f>
        <v>1.0113971270677</v>
      </c>
      <c r="AK153" s="24" t="n">
        <f aca="false">IFERROR(AVERAGEIFS($AJ$7:$AJ$294,$B$7:$B$294,$B153,$A$7:$A$294,"&gt;="&amp;EDATE($A153,-12*'Seasonal Factors'!$E$4),$A$7:$A$294,"&lt;="&amp;EDATE($A153,12*'Seasonal Factors'!$E$4)),"")</f>
        <v>0.998698749686465</v>
      </c>
      <c r="AL153" s="24" t="n">
        <f aca="false">IFERROR(AK153/AVERAGE(AK148:AK159),"")</f>
        <v>0.999384359064014</v>
      </c>
      <c r="AM153" s="23" t="n">
        <f aca="false">IF(ISNUMBER(Tabelle1!N160),(0.5*Tabelle1!N148+SUM(Tabelle1!N149:N159)+0.5*Tabelle1!N160)/12,"")</f>
        <v>176.791107916667</v>
      </c>
      <c r="AN153" s="24" t="n">
        <f aca="false">IFERROR(Tabelle1!N154/AM153,"")</f>
        <v>1.00277187065067</v>
      </c>
      <c r="AO153" s="24" t="n">
        <f aca="false">IFERROR(AVERAGEIFS($AN$7:$AN$294,$B$7:$B$294,$B153,$A$7:$A$294,"&gt;="&amp;EDATE($A153,-12*'Seasonal Factors'!$E$4),$A$7:$A$294,"&lt;="&amp;EDATE($A153,12*'Seasonal Factors'!$E$4)),"")</f>
        <v>1.00508074780356</v>
      </c>
      <c r="AP153" s="24" t="n">
        <f aca="false">IFERROR(AO153/AVERAGE(AO148:AO159),"")</f>
        <v>1.00535391660959</v>
      </c>
      <c r="AQ153" s="23" t="n">
        <f aca="false">IF(ISNUMBER(Tabelle1!O160),(0.5*Tabelle1!O148+SUM(Tabelle1!O149:O159)+0.5*Tabelle1!O160)/12,"")</f>
        <v>135.97357375</v>
      </c>
      <c r="AR153" s="24" t="n">
        <f aca="false">IFERROR(Tabelle1!O154/AQ153,"")</f>
        <v>0.987987564752817</v>
      </c>
      <c r="AS153" s="24" t="n">
        <f aca="false">IFERROR(AVERAGEIFS($AR$7:$AR$294,$B$7:$B$294,$B153,$A$7:$A$294,"&gt;="&amp;EDATE($A153,-12*'Seasonal Factors'!$E$4),$A$7:$A$294,"&lt;="&amp;EDATE($A153,12*'Seasonal Factors'!$E$4)),"")</f>
        <v>0.984885228297324</v>
      </c>
      <c r="AT153" s="24" t="n">
        <f aca="false">IFERROR(AS153/AVERAGE(AS148:AS159),"")</f>
        <v>0.985640503765271</v>
      </c>
      <c r="AU153" s="23" t="n">
        <f aca="false">IF(ISNUMBER(Tabelle1!P160),(0.5*Tabelle1!P148+SUM(Tabelle1!P149:P159)+0.5*Tabelle1!P160)/12,"")</f>
        <v>152.381433333333</v>
      </c>
      <c r="AV153" s="24" t="n">
        <f aca="false">IFERROR(Tabelle1!P154/AU153,"")</f>
        <v>0.995976456449309</v>
      </c>
      <c r="AW153" s="24" t="n">
        <f aca="false">IFERROR(AVERAGEIFS($AV$7:$AV$294,$B$7:$B$294,$B153,$A$7:$A$294,"&gt;="&amp;EDATE($A153,-12*'Seasonal Factors'!$E$4),$A$7:$A$294,"&lt;="&amp;EDATE($A153,12*'Seasonal Factors'!$E$4)),"")</f>
        <v>1.00317275531987</v>
      </c>
      <c r="AX153" s="24" t="n">
        <f aca="false">IFERROR(AW153/AVERAGE(AW148:AW159),"")</f>
        <v>1.00358865750737</v>
      </c>
      <c r="AY153" s="23" t="n">
        <f aca="false">IF(ISNUMBER(Tabelle1!Q160),(0.5*Tabelle1!Q148+SUM(Tabelle1!Q149:Q159)+0.5*Tabelle1!Q160)/12,"")</f>
        <v>155.50337875</v>
      </c>
      <c r="AZ153" s="24" t="n">
        <f aca="false">IFERROR(Tabelle1!Q154/AY153,"")</f>
        <v>0.989745568470486</v>
      </c>
      <c r="BA153" s="24" t="n">
        <f aca="false">IFERROR(AVERAGEIFS($AZ$7:$AZ$294,$B$7:$B$294,$B153,$A$7:$A$294,"&gt;="&amp;EDATE($A153,-12*'Seasonal Factors'!$E$4),$A$7:$A$294,"&lt;="&amp;EDATE($A153,12*'Seasonal Factors'!$E$4)),"")</f>
        <v>0.989282976399403</v>
      </c>
      <c r="BB153" s="24" t="n">
        <f aca="false">IFERROR(BA153/AVERAGE(BA148:BA159),"")</f>
        <v>0.989525132016937</v>
      </c>
      <c r="BC153" s="23" t="n">
        <f aca="false">IF(ISNUMBER(Tabelle1!R160),(0.5*Tabelle1!R148+SUM(Tabelle1!R149:R159)+0.5*Tabelle1!R160)/12,"")</f>
        <v>173.381685833333</v>
      </c>
      <c r="BD153" s="24" t="n">
        <f aca="false">IFERROR(Tabelle1!R154/BC153,"")</f>
        <v>1.02185429302094</v>
      </c>
      <c r="BE153" s="24" t="n">
        <f aca="false">IFERROR(AVERAGEIFS($BD$7:$BD$294,$B$7:$B$294,$B153,$A$7:$A$294,"&gt;="&amp;EDATE($A153,-12*'Seasonal Factors'!$E$4),$A$7:$A$294,"&lt;="&amp;EDATE($A153,12*'Seasonal Factors'!$E$4)),"")</f>
        <v>1.02464199784027</v>
      </c>
      <c r="BF153" s="24" t="n">
        <f aca="false">IFERROR(BE153/AVERAGE(BE148:BE159),"")</f>
        <v>1.02621945829155</v>
      </c>
      <c r="BG153" s="23" t="n">
        <f aca="false">IF(ISNUMBER(Tabelle1!S160),(0.5*Tabelle1!S148+SUM(Tabelle1!S149:S159)+0.5*Tabelle1!S160)/12,"")</f>
        <v>149.70677125</v>
      </c>
      <c r="BH153" s="24" t="n">
        <f aca="false">IFERROR(Tabelle1!S154/BG153,"")</f>
        <v>1.02211742810531</v>
      </c>
      <c r="BI153" s="24" t="n">
        <f aca="false">IFERROR(AVERAGEIFS($BH$7:$BH$294,$B$7:$B$294,$B153,$A$7:$A$294,"&gt;="&amp;EDATE($A153,-12*'Seasonal Factors'!$E$4),$A$7:$A$294,"&lt;="&amp;EDATE($A153,12*'Seasonal Factors'!$E$4)),"")</f>
        <v>0.998115766736145</v>
      </c>
      <c r="BJ153" s="24" t="n">
        <f aca="false">IFERROR(BI153/AVERAGE(BI148:BI159),"")</f>
        <v>1.00832566934874</v>
      </c>
    </row>
    <row r="154" customFormat="false" ht="15" hidden="false" customHeight="false" outlineLevel="0" collapsed="false">
      <c r="A154" s="20" t="n">
        <v>42490</v>
      </c>
      <c r="B154" s="22" t="n">
        <f aca="false">MONTH(A154)</f>
        <v>4</v>
      </c>
      <c r="C154" s="23" t="n">
        <f aca="false">IF(ISNUMBER(Tabelle1!E161),(0.5*Tabelle1!E149+SUM(Tabelle1!E150:E160)+0.5*Tabelle1!E161)/12,"")</f>
        <v>128.201067916667</v>
      </c>
      <c r="D154" s="24" t="n">
        <f aca="false">IFERROR(Tabelle1!E155/C154,"")</f>
        <v>1.73355864823578</v>
      </c>
      <c r="E154" s="24" t="n">
        <f aca="false">IFERROR(AVERAGEIFS($D$7:$D$294,$B$7:$B$294,$B154,$A$7:$A$294,"&gt;="&amp;EDATE($A154,-12*'Seasonal Factors'!$E$4),$A$7:$A$294,"&lt;="&amp;EDATE($A154,12*'Seasonal Factors'!$E$4)),"")</f>
        <v>1.66065590211911</v>
      </c>
      <c r="F154" s="24" t="n">
        <f aca="false">IFERROR(E154/AVERAGE(E149:E160),"")</f>
        <v>1.6619540879692</v>
      </c>
      <c r="G154" s="23" t="n">
        <f aca="false">IF(ISNUMBER(Tabelle1!F161),(0.5*Tabelle1!F149+SUM(Tabelle1!F150:F160)+0.5*Tabelle1!F161)/12,"")</f>
        <v>157.15743625</v>
      </c>
      <c r="H154" s="24" t="n">
        <f aca="false">IFERROR(Tabelle1!F155/G154,"")</f>
        <v>0.575528731940612</v>
      </c>
      <c r="I154" s="24" t="n">
        <f aca="false">IFERROR(AVERAGEIFS($H$7:$H$294,$B$7:$B$294,$B154,$A$7:$A$294,"&gt;="&amp;EDATE($A154,-12*'Seasonal Factors'!$E$4),$A$7:$A$294,"&lt;="&amp;EDATE($A154,12*'Seasonal Factors'!$E$4)),"")</f>
        <v>0.838241065749533</v>
      </c>
      <c r="J154" s="24" t="n">
        <f aca="false">IFERROR(I154/AVERAGE(I149:I160),"")</f>
        <v>0.841302145218148</v>
      </c>
      <c r="K154" s="23" t="n">
        <f aca="false">IF(ISNUMBER(Tabelle1!G161),(0.5*Tabelle1!G149+SUM(Tabelle1!G150:G160)+0.5*Tabelle1!G161)/12,"")</f>
        <v>91.14908375</v>
      </c>
      <c r="L154" s="24" t="n">
        <f aca="false">IFERROR(Tabelle1!G155/K154,"")</f>
        <v>0.991810518336669</v>
      </c>
      <c r="M154" s="24" t="n">
        <f aca="false">IFERROR(AVERAGEIFS($L$7:$L$294,$B$7:$B$294,$B154,$A$7:$A$294,"&gt;="&amp;EDATE($A154,-12*'Seasonal Factors'!$E$4),$A$7:$A$294,"&lt;="&amp;EDATE($A154,12*'Seasonal Factors'!$E$4)),"")</f>
        <v>0.963887039801737</v>
      </c>
      <c r="N154" s="24" t="n">
        <f aca="false">IFERROR(M154/AVERAGE(M149:M160),"")</f>
        <v>0.964388666760219</v>
      </c>
      <c r="O154" s="23" t="n">
        <f aca="false">IF(ISNUMBER(Tabelle1!H161),(0.5*Tabelle1!H149+SUM(Tabelle1!H150:H160)+0.5*Tabelle1!H161)/12,"")</f>
        <v>129.655175416667</v>
      </c>
      <c r="P154" s="24" t="n">
        <f aca="false">IFERROR(Tabelle1!H155/O154,"")</f>
        <v>1.00028833853499</v>
      </c>
      <c r="Q154" s="24" t="n">
        <f aca="false">IFERROR(AVERAGEIFS($P$7:$P$294,$B$7:$B$294,$B154,$A$7:$A$294,"&gt;="&amp;EDATE($A154,-12*'Seasonal Factors'!$E$4),$A$7:$A$294,"&lt;="&amp;EDATE($A154,12*'Seasonal Factors'!$E$4)),"")</f>
        <v>0.957487244931404</v>
      </c>
      <c r="R154" s="24" t="n">
        <f aca="false">IFERROR(Q154/AVERAGE(Q149:Q160),"")</f>
        <v>0.958828790212299</v>
      </c>
      <c r="S154" s="23" t="n">
        <f aca="false">IF(ISNUMBER(Tabelle1!I161),(0.5*Tabelle1!I149+SUM(Tabelle1!I150:I160)+0.5*Tabelle1!I161)/12,"")</f>
        <v>145.059889166667</v>
      </c>
      <c r="T154" s="24" t="n">
        <f aca="false">IFERROR(Tabelle1!I155/S154,"")</f>
        <v>0.954759174266799</v>
      </c>
      <c r="U154" s="24" t="n">
        <f aca="false">IFERROR(AVERAGEIFS($T$7:$T$294,$B$7:$B$294,$B154,$A$7:$A$294,"&gt;="&amp;EDATE($A154,-12*'Seasonal Factors'!$E$4),$A$7:$A$294,"&lt;="&amp;EDATE($A154,12*'Seasonal Factors'!$E$4)),"")</f>
        <v>0.93451286809337</v>
      </c>
      <c r="V154" s="24" t="n">
        <f aca="false">IFERROR(U154/AVERAGE(U149:U160),"")</f>
        <v>0.934137174381358</v>
      </c>
      <c r="W154" s="23" t="n">
        <f aca="false">IF(ISNUMBER(Tabelle1!J161),(0.5*Tabelle1!J149+SUM(Tabelle1!J150:J160)+0.5*Tabelle1!J161)/12,"")</f>
        <v>137.13650875</v>
      </c>
      <c r="X154" s="24" t="n">
        <f aca="false">IFERROR(Tabelle1!J155/W154,"")</f>
        <v>0.918987665274073</v>
      </c>
      <c r="Y154" s="24" t="n">
        <f aca="false">IFERROR(AVERAGEIFS($X$7:$X$294,$B$7:$B$294,$B154,$A$7:$A$294,"&gt;="&amp;EDATE($A154,-12*'Seasonal Factors'!$E$4),$A$7:$A$294,"&lt;="&amp;EDATE($A154,12*'Seasonal Factors'!$E$4)),"")</f>
        <v>0.914104605868128</v>
      </c>
      <c r="Z154" s="24" t="n">
        <f aca="false">IFERROR(Y154/AVERAGE(Y149:Y160),"")</f>
        <v>0.918098657945148</v>
      </c>
      <c r="AA154" s="23" t="n">
        <f aca="false">IF(ISNUMBER(Tabelle1!K161),(0.5*Tabelle1!K149+SUM(Tabelle1!K150:K160)+0.5*Tabelle1!K161)/12,"")</f>
        <v>153.445320416667</v>
      </c>
      <c r="AB154" s="24" t="n">
        <f aca="false">IFERROR(Tabelle1!K155/AA154,"")</f>
        <v>0.994620752106188</v>
      </c>
      <c r="AC154" s="24" t="n">
        <f aca="false">IFERROR(AVERAGEIFS($AB$7:$AB$294,$B$7:$B$294,$B154,$A$7:$A$294,"&gt;="&amp;EDATE($A154,-12*'Seasonal Factors'!$E$4),$A$7:$A$294,"&lt;="&amp;EDATE($A154,12*'Seasonal Factors'!$E$4)),"")</f>
        <v>0.963120775673745</v>
      </c>
      <c r="AD154" s="24" t="n">
        <f aca="false">IFERROR(AC154/AVERAGE(AC149:AC160),"")</f>
        <v>0.96486056239945</v>
      </c>
      <c r="AE154" s="23" t="n">
        <f aca="false">IF(ISNUMBER(Tabelle1!L161),(0.5*Tabelle1!L149+SUM(Tabelle1!L150:L160)+0.5*Tabelle1!L161)/12,"")</f>
        <v>160.621647916667</v>
      </c>
      <c r="AF154" s="24" t="n">
        <f aca="false">IFERROR(Tabelle1!L155/AE154,"")</f>
        <v>0.947556646156209</v>
      </c>
      <c r="AG154" s="24" t="n">
        <f aca="false">IFERROR(AVERAGEIFS($AF$7:$AF$294,$B$7:$B$294,$B154,$A$7:$A$294,"&gt;="&amp;EDATE($A154,-12*'Seasonal Factors'!$E$4),$A$7:$A$294,"&lt;="&amp;EDATE($A154,12*'Seasonal Factors'!$E$4)),"")</f>
        <v>0.875168402198939</v>
      </c>
      <c r="AH154" s="24" t="n">
        <f aca="false">IFERROR(AG154/AVERAGE(AG149:AG160),"")</f>
        <v>0.882512892622576</v>
      </c>
      <c r="AI154" s="23" t="n">
        <f aca="false">IF(ISNUMBER(Tabelle1!M161),(0.5*Tabelle1!M149+SUM(Tabelle1!M150:M160)+0.5*Tabelle1!M161)/12,"")</f>
        <v>192.003929166667</v>
      </c>
      <c r="AJ154" s="24" t="n">
        <f aca="false">IFERROR(Tabelle1!M155/AI154,"")</f>
        <v>1.00795182077763</v>
      </c>
      <c r="AK154" s="24" t="n">
        <f aca="false">IFERROR(AVERAGEIFS($AJ$7:$AJ$294,$B$7:$B$294,$B154,$A$7:$A$294,"&gt;="&amp;EDATE($A154,-12*'Seasonal Factors'!$E$4),$A$7:$A$294,"&lt;="&amp;EDATE($A154,12*'Seasonal Factors'!$E$4)),"")</f>
        <v>0.998157594697932</v>
      </c>
      <c r="AL154" s="24" t="n">
        <f aca="false">IFERROR(AK154/AVERAGE(AK149:AK160),"")</f>
        <v>0.999000756863526</v>
      </c>
      <c r="AM154" s="23" t="n">
        <f aca="false">IF(ISNUMBER(Tabelle1!N161),(0.5*Tabelle1!N149+SUM(Tabelle1!N150:N160)+0.5*Tabelle1!N161)/12,"")</f>
        <v>175.889924583333</v>
      </c>
      <c r="AN154" s="24" t="n">
        <f aca="false">IFERROR(Tabelle1!N155/AM154,"")</f>
        <v>0.980552185740959</v>
      </c>
      <c r="AO154" s="24" t="n">
        <f aca="false">IFERROR(AVERAGEIFS($AN$7:$AN$294,$B$7:$B$294,$B154,$A$7:$A$294,"&gt;="&amp;EDATE($A154,-12*'Seasonal Factors'!$E$4),$A$7:$A$294,"&lt;="&amp;EDATE($A154,12*'Seasonal Factors'!$E$4)),"")</f>
        <v>0.986263078577797</v>
      </c>
      <c r="AP154" s="24" t="n">
        <f aca="false">IFERROR(AO154/AVERAGE(AO149:AO160),"")</f>
        <v>0.98633830917773</v>
      </c>
      <c r="AQ154" s="23" t="n">
        <f aca="false">IF(ISNUMBER(Tabelle1!O161),(0.5*Tabelle1!O149+SUM(Tabelle1!O150:O160)+0.5*Tabelle1!O161)/12,"")</f>
        <v>135.858635416667</v>
      </c>
      <c r="AR154" s="24" t="n">
        <f aca="false">IFERROR(Tabelle1!O155/AQ154,"")</f>
        <v>0.991574437553005</v>
      </c>
      <c r="AS154" s="24" t="n">
        <f aca="false">IFERROR(AVERAGEIFS($AR$7:$AR$294,$B$7:$B$294,$B154,$A$7:$A$294,"&gt;="&amp;EDATE($A154,-12*'Seasonal Factors'!$E$4),$A$7:$A$294,"&lt;="&amp;EDATE($A154,12*'Seasonal Factors'!$E$4)),"")</f>
        <v>0.977155103375376</v>
      </c>
      <c r="AT154" s="24" t="n">
        <f aca="false">IFERROR(AS154/AVERAGE(AS149:AS160),"")</f>
        <v>0.977888888551889</v>
      </c>
      <c r="AU154" s="23" t="n">
        <f aca="false">IF(ISNUMBER(Tabelle1!P161),(0.5*Tabelle1!P149+SUM(Tabelle1!P150:P160)+0.5*Tabelle1!P161)/12,"")</f>
        <v>152.566764166667</v>
      </c>
      <c r="AV154" s="24" t="n">
        <f aca="false">IFERROR(Tabelle1!P155/AU154,"")</f>
        <v>0.997579786340206</v>
      </c>
      <c r="AW154" s="24" t="n">
        <f aca="false">IFERROR(AVERAGEIFS($AV$7:$AV$294,$B$7:$B$294,$B154,$A$7:$A$294,"&gt;="&amp;EDATE($A154,-12*'Seasonal Factors'!$E$4),$A$7:$A$294,"&lt;="&amp;EDATE($A154,12*'Seasonal Factors'!$E$4)),"")</f>
        <v>0.98617156234203</v>
      </c>
      <c r="AX154" s="24" t="n">
        <f aca="false">IFERROR(AW154/AVERAGE(AW149:AW160),"")</f>
        <v>0.986534221709486</v>
      </c>
      <c r="AY154" s="23" t="n">
        <f aca="false">IF(ISNUMBER(Tabelle1!Q161),(0.5*Tabelle1!Q149+SUM(Tabelle1!Q150:Q160)+0.5*Tabelle1!Q161)/12,"")</f>
        <v>155.730177083333</v>
      </c>
      <c r="AZ154" s="24" t="n">
        <f aca="false">IFERROR(Tabelle1!Q155/AY154,"")</f>
        <v>0.988235182688112</v>
      </c>
      <c r="BA154" s="24" t="n">
        <f aca="false">IFERROR(AVERAGEIFS($AZ$7:$AZ$294,$B$7:$B$294,$B154,$A$7:$A$294,"&gt;="&amp;EDATE($A154,-12*'Seasonal Factors'!$E$4),$A$7:$A$294,"&lt;="&amp;EDATE($A154,12*'Seasonal Factors'!$E$4)),"")</f>
        <v>0.982942684498008</v>
      </c>
      <c r="BB154" s="24" t="n">
        <f aca="false">IFERROR(BA154/AVERAGE(BA149:BA160),"")</f>
        <v>0.983108989319852</v>
      </c>
      <c r="BC154" s="23" t="n">
        <f aca="false">IF(ISNUMBER(Tabelle1!R161),(0.5*Tabelle1!R149+SUM(Tabelle1!R150:R160)+0.5*Tabelle1!R161)/12,"")</f>
        <v>173.690446666667</v>
      </c>
      <c r="BD154" s="24" t="n">
        <f aca="false">IFERROR(Tabelle1!R155/BC154,"")</f>
        <v>1.04802568876653</v>
      </c>
      <c r="BE154" s="24" t="n">
        <f aca="false">IFERROR(AVERAGEIFS($BD$7:$BD$294,$B$7:$B$294,$B154,$A$7:$A$294,"&gt;="&amp;EDATE($A154,-12*'Seasonal Factors'!$E$4),$A$7:$A$294,"&lt;="&amp;EDATE($A154,12*'Seasonal Factors'!$E$4)),"")</f>
        <v>1.01678304149537</v>
      </c>
      <c r="BF154" s="24" t="n">
        <f aca="false">IFERROR(BE154/AVERAGE(BE149:BE160),"")</f>
        <v>1.01767727229141</v>
      </c>
      <c r="BG154" s="23" t="n">
        <f aca="false">IF(ISNUMBER(Tabelle1!S161),(0.5*Tabelle1!S149+SUM(Tabelle1!S150:S160)+0.5*Tabelle1!S161)/12,"")</f>
        <v>149.631471666667</v>
      </c>
      <c r="BH154" s="24" t="n">
        <f aca="false">IFERROR(Tabelle1!S155/BG154,"")</f>
        <v>0.979028665348844</v>
      </c>
      <c r="BI154" s="24" t="n">
        <f aca="false">IFERROR(AVERAGEIFS($BH$7:$BH$294,$B$7:$B$294,$B154,$A$7:$A$294,"&gt;="&amp;EDATE($A154,-12*'Seasonal Factors'!$E$4),$A$7:$A$294,"&lt;="&amp;EDATE($A154,12*'Seasonal Factors'!$E$4)),"")</f>
        <v>0.923741273703338</v>
      </c>
      <c r="BJ154" s="24" t="n">
        <f aca="false">IFERROR(BI154/AVERAGE(BI149:BI160),"")</f>
        <v>0.931708055622286</v>
      </c>
    </row>
    <row r="155" customFormat="false" ht="15" hidden="false" customHeight="false" outlineLevel="0" collapsed="false">
      <c r="A155" s="20" t="n">
        <v>42521</v>
      </c>
      <c r="B155" s="22" t="n">
        <f aca="false">MONTH(A155)</f>
        <v>5</v>
      </c>
      <c r="C155" s="23" t="n">
        <f aca="false">IF(ISNUMBER(Tabelle1!E162),(0.5*Tabelle1!E150+SUM(Tabelle1!E151:E161)+0.5*Tabelle1!E162)/12,"")</f>
        <v>128.236100416667</v>
      </c>
      <c r="D155" s="24" t="n">
        <f aca="false">IFERROR(Tabelle1!E156/C155,"")</f>
        <v>2.57139244665571</v>
      </c>
      <c r="E155" s="24" t="n">
        <f aca="false">IFERROR(AVERAGEIFS($D$7:$D$294,$B$7:$B$294,$B155,$A$7:$A$294,"&gt;="&amp;EDATE($A155,-12*'Seasonal Factors'!$E$4),$A$7:$A$294,"&lt;="&amp;EDATE($A155,12*'Seasonal Factors'!$E$4)),"")</f>
        <v>2.42056615513499</v>
      </c>
      <c r="F155" s="24" t="n">
        <f aca="false">IFERROR(E155/AVERAGE(E150:E161),"")</f>
        <v>2.42369669751694</v>
      </c>
      <c r="G155" s="23" t="n">
        <f aca="false">IF(ISNUMBER(Tabelle1!F162),(0.5*Tabelle1!F150+SUM(Tabelle1!F151:F161)+0.5*Tabelle1!F162)/12,"")</f>
        <v>155.99979</v>
      </c>
      <c r="H155" s="24" t="n">
        <f aca="false">IFERROR(Tabelle1!F156/G155,"")</f>
        <v>0.751656652871135</v>
      </c>
      <c r="I155" s="24" t="n">
        <f aca="false">IFERROR(AVERAGEIFS($H$7:$H$294,$B$7:$B$294,$B155,$A$7:$A$294,"&gt;="&amp;EDATE($A155,-12*'Seasonal Factors'!$E$4),$A$7:$A$294,"&lt;="&amp;EDATE($A155,12*'Seasonal Factors'!$E$4)),"")</f>
        <v>0.93152540085843</v>
      </c>
      <c r="J155" s="24" t="n">
        <f aca="false">IFERROR(I155/AVERAGE(I150:I161),"")</f>
        <v>0.935541668878599</v>
      </c>
      <c r="K155" s="23" t="n">
        <f aca="false">IF(ISNUMBER(Tabelle1!G162),(0.5*Tabelle1!G150+SUM(Tabelle1!G151:G161)+0.5*Tabelle1!G162)/12,"")</f>
        <v>90.6150958333333</v>
      </c>
      <c r="L155" s="24" t="n">
        <f aca="false">IFERROR(Tabelle1!G156/K155,"")</f>
        <v>1.02433385018675</v>
      </c>
      <c r="M155" s="24" t="n">
        <f aca="false">IFERROR(AVERAGEIFS($L$7:$L$294,$B$7:$B$294,$B155,$A$7:$A$294,"&gt;="&amp;EDATE($A155,-12*'Seasonal Factors'!$E$4),$A$7:$A$294,"&lt;="&amp;EDATE($A155,12*'Seasonal Factors'!$E$4)),"")</f>
        <v>1.02545728273792</v>
      </c>
      <c r="N155" s="24" t="n">
        <f aca="false">IFERROR(M155/AVERAGE(M150:M161),"")</f>
        <v>1.02652249889859</v>
      </c>
      <c r="O155" s="23" t="n">
        <f aca="false">IF(ISNUMBER(Tabelle1!H162),(0.5*Tabelle1!H150+SUM(Tabelle1!H151:H161)+0.5*Tabelle1!H162)/12,"")</f>
        <v>129.062982083333</v>
      </c>
      <c r="P155" s="24" t="n">
        <f aca="false">IFERROR(Tabelle1!H156/O155,"")</f>
        <v>1.0234875861981</v>
      </c>
      <c r="Q155" s="24" t="n">
        <f aca="false">IFERROR(AVERAGEIFS($P$7:$P$294,$B$7:$B$294,$B155,$A$7:$A$294,"&gt;="&amp;EDATE($A155,-12*'Seasonal Factors'!$E$4),$A$7:$A$294,"&lt;="&amp;EDATE($A155,12*'Seasonal Factors'!$E$4)),"")</f>
        <v>1.01080658330053</v>
      </c>
      <c r="R155" s="24" t="n">
        <f aca="false">IFERROR(Q155/AVERAGE(Q150:Q161),"")</f>
        <v>1.01191422881401</v>
      </c>
      <c r="S155" s="23" t="n">
        <f aca="false">IF(ISNUMBER(Tabelle1!I162),(0.5*Tabelle1!I150+SUM(Tabelle1!I151:I161)+0.5*Tabelle1!I162)/12,"")</f>
        <v>144.81668625</v>
      </c>
      <c r="T155" s="24" t="n">
        <f aca="false">IFERROR(Tabelle1!I156/S155,"")</f>
        <v>1.0417125533419</v>
      </c>
      <c r="U155" s="24" t="n">
        <f aca="false">IFERROR(AVERAGEIFS($T$7:$T$294,$B$7:$B$294,$B155,$A$7:$A$294,"&gt;="&amp;EDATE($A155,-12*'Seasonal Factors'!$E$4),$A$7:$A$294,"&lt;="&amp;EDATE($A155,12*'Seasonal Factors'!$E$4)),"")</f>
        <v>0.996262277335973</v>
      </c>
      <c r="V155" s="24" t="n">
        <f aca="false">IFERROR(U155/AVERAGE(U150:U161),"")</f>
        <v>0.995791876718428</v>
      </c>
      <c r="W155" s="23" t="n">
        <f aca="false">IF(ISNUMBER(Tabelle1!J162),(0.5*Tabelle1!J150+SUM(Tabelle1!J151:J161)+0.5*Tabelle1!J162)/12,"")</f>
        <v>135.63032375</v>
      </c>
      <c r="X155" s="24" t="n">
        <f aca="false">IFERROR(Tabelle1!J156/W155,"")</f>
        <v>0.989637909052031</v>
      </c>
      <c r="Y155" s="24" t="n">
        <f aca="false">IFERROR(AVERAGEIFS($X$7:$X$294,$B$7:$B$294,$B155,$A$7:$A$294,"&gt;="&amp;EDATE($A155,-12*'Seasonal Factors'!$E$4),$A$7:$A$294,"&lt;="&amp;EDATE($A155,12*'Seasonal Factors'!$E$4)),"")</f>
        <v>0.976146398540932</v>
      </c>
      <c r="Z155" s="24" t="n">
        <f aca="false">IFERROR(Y155/AVERAGE(Y150:Y161),"")</f>
        <v>0.97967212048463</v>
      </c>
      <c r="AA155" s="23" t="n">
        <f aca="false">IF(ISNUMBER(Tabelle1!K162),(0.5*Tabelle1!K150+SUM(Tabelle1!K151:K161)+0.5*Tabelle1!K162)/12,"")</f>
        <v>152.880073333333</v>
      </c>
      <c r="AB155" s="24" t="n">
        <f aca="false">IFERROR(Tabelle1!K156/AA155,"")</f>
        <v>1.00708324272128</v>
      </c>
      <c r="AC155" s="24" t="n">
        <f aca="false">IFERROR(AVERAGEIFS($AB$7:$AB$294,$B$7:$B$294,$B155,$A$7:$A$294,"&gt;="&amp;EDATE($A155,-12*'Seasonal Factors'!$E$4),$A$7:$A$294,"&lt;="&amp;EDATE($A155,12*'Seasonal Factors'!$E$4)),"")</f>
        <v>1.0107720077746</v>
      </c>
      <c r="AD155" s="24" t="n">
        <f aca="false">IFERROR(AC155/AVERAGE(AC150:AC161),"")</f>
        <v>1.01274390594985</v>
      </c>
      <c r="AE155" s="23" t="n">
        <f aca="false">IF(ISNUMBER(Tabelle1!L162),(0.5*Tabelle1!L150+SUM(Tabelle1!L151:L161)+0.5*Tabelle1!L162)/12,"")</f>
        <v>160.887257916667</v>
      </c>
      <c r="AF155" s="24" t="n">
        <f aca="false">IFERROR(Tabelle1!L156/AE155,"")</f>
        <v>0.917547616334305</v>
      </c>
      <c r="AG155" s="24" t="n">
        <f aca="false">IFERROR(AVERAGEIFS($AF$7:$AF$294,$B$7:$B$294,$B155,$A$7:$A$294,"&gt;="&amp;EDATE($A155,-12*'Seasonal Factors'!$E$4),$A$7:$A$294,"&lt;="&amp;EDATE($A155,12*'Seasonal Factors'!$E$4)),"")</f>
        <v>0.875429302445505</v>
      </c>
      <c r="AH155" s="24" t="n">
        <f aca="false">IFERROR(AG155/AVERAGE(AG150:AG161),"")</f>
        <v>0.883327235592351</v>
      </c>
      <c r="AI155" s="23" t="n">
        <f aca="false">IF(ISNUMBER(Tabelle1!M162),(0.5*Tabelle1!M150+SUM(Tabelle1!M151:M161)+0.5*Tabelle1!M162)/12,"")</f>
        <v>192.542140833333</v>
      </c>
      <c r="AJ155" s="24" t="n">
        <f aca="false">IFERROR(Tabelle1!M156/AI155,"")</f>
        <v>1.06194612314502</v>
      </c>
      <c r="AK155" s="24" t="n">
        <f aca="false">IFERROR(AVERAGEIFS($AJ$7:$AJ$294,$B$7:$B$294,$B155,$A$7:$A$294,"&gt;="&amp;EDATE($A155,-12*'Seasonal Factors'!$E$4),$A$7:$A$294,"&lt;="&amp;EDATE($A155,12*'Seasonal Factors'!$E$4)),"")</f>
        <v>1.0606967312897</v>
      </c>
      <c r="AL155" s="24" t="n">
        <f aca="false">IFERROR(AK155/AVERAGE(AK150:AK161),"")</f>
        <v>1.06168944258013</v>
      </c>
      <c r="AM155" s="23" t="n">
        <f aca="false">IF(ISNUMBER(Tabelle1!N162),(0.5*Tabelle1!N150+SUM(Tabelle1!N151:N161)+0.5*Tabelle1!N162)/12,"")</f>
        <v>175.03725625</v>
      </c>
      <c r="AN155" s="24" t="n">
        <f aca="false">IFERROR(Tabelle1!N156/AM155,"")</f>
        <v>0.966116549258924</v>
      </c>
      <c r="AO155" s="24" t="n">
        <f aca="false">IFERROR(AVERAGEIFS($AN$7:$AN$294,$B$7:$B$294,$B155,$A$7:$A$294,"&gt;="&amp;EDATE($A155,-12*'Seasonal Factors'!$E$4),$A$7:$A$294,"&lt;="&amp;EDATE($A155,12*'Seasonal Factors'!$E$4)),"")</f>
        <v>0.976768622146595</v>
      </c>
      <c r="AP155" s="24" t="n">
        <f aca="false">IFERROR(AO155/AVERAGE(AO150:AO161),"")</f>
        <v>0.976769889342093</v>
      </c>
      <c r="AQ155" s="23" t="n">
        <f aca="false">IF(ISNUMBER(Tabelle1!O162),(0.5*Tabelle1!O150+SUM(Tabelle1!O151:O161)+0.5*Tabelle1!O162)/12,"")</f>
        <v>135.81970625</v>
      </c>
      <c r="AR155" s="24" t="n">
        <f aca="false">IFERROR(Tabelle1!O156/AQ155,"")</f>
        <v>1.00448023167478</v>
      </c>
      <c r="AS155" s="24" t="n">
        <f aca="false">IFERROR(AVERAGEIFS($AR$7:$AR$294,$B$7:$B$294,$B155,$A$7:$A$294,"&gt;="&amp;EDATE($A155,-12*'Seasonal Factors'!$E$4),$A$7:$A$294,"&lt;="&amp;EDATE($A155,12*'Seasonal Factors'!$E$4)),"")</f>
        <v>1.00116754948623</v>
      </c>
      <c r="AT155" s="24" t="n">
        <f aca="false">IFERROR(AS155/AVERAGE(AS150:AS161),"")</f>
        <v>1.00210604863167</v>
      </c>
      <c r="AU155" s="23" t="n">
        <f aca="false">IF(ISNUMBER(Tabelle1!P162),(0.5*Tabelle1!P150+SUM(Tabelle1!P151:P161)+0.5*Tabelle1!P162)/12,"")</f>
        <v>152.715748333333</v>
      </c>
      <c r="AV155" s="24" t="n">
        <f aca="false">IFERROR(Tabelle1!P156/AU155,"")</f>
        <v>0.999173900958414</v>
      </c>
      <c r="AW155" s="24" t="n">
        <f aca="false">IFERROR(AVERAGEIFS($AV$7:$AV$294,$B$7:$B$294,$B155,$A$7:$A$294,"&gt;="&amp;EDATE($A155,-12*'Seasonal Factors'!$E$4),$A$7:$A$294,"&lt;="&amp;EDATE($A155,12*'Seasonal Factors'!$E$4)),"")</f>
        <v>0.989884082643985</v>
      </c>
      <c r="AX155" s="24" t="n">
        <f aca="false">IFERROR(AW155/AVERAGE(AW150:AW161),"")</f>
        <v>0.990255663139113</v>
      </c>
      <c r="AY155" s="23" t="n">
        <f aca="false">IF(ISNUMBER(Tabelle1!Q162),(0.5*Tabelle1!Q150+SUM(Tabelle1!Q151:Q161)+0.5*Tabelle1!Q162)/12,"")</f>
        <v>155.983920833333</v>
      </c>
      <c r="AZ155" s="24" t="n">
        <f aca="false">IFERROR(Tabelle1!Q156/AY155,"")</f>
        <v>0.994529302579558</v>
      </c>
      <c r="BA155" s="24" t="n">
        <f aca="false">IFERROR(AVERAGEIFS($AZ$7:$AZ$294,$B$7:$B$294,$B155,$A$7:$A$294,"&gt;="&amp;EDATE($A155,-12*'Seasonal Factors'!$E$4),$A$7:$A$294,"&lt;="&amp;EDATE($A155,12*'Seasonal Factors'!$E$4)),"")</f>
        <v>0.993068855867797</v>
      </c>
      <c r="BB155" s="24" t="n">
        <f aca="false">IFERROR(BA155/AVERAGE(BA150:BA161),"")</f>
        <v>0.993191779745228</v>
      </c>
      <c r="BC155" s="23" t="n">
        <f aca="false">IF(ISNUMBER(Tabelle1!R162),(0.5*Tabelle1!R150+SUM(Tabelle1!R151:R161)+0.5*Tabelle1!R162)/12,"")</f>
        <v>173.993965416667</v>
      </c>
      <c r="BD155" s="24" t="n">
        <f aca="false">IFERROR(Tabelle1!R156/BC155,"")</f>
        <v>1.06675877841807</v>
      </c>
      <c r="BE155" s="24" t="n">
        <f aca="false">IFERROR(AVERAGEIFS($BD$7:$BD$294,$B$7:$B$294,$B155,$A$7:$A$294,"&gt;="&amp;EDATE($A155,-12*'Seasonal Factors'!$E$4),$A$7:$A$294,"&lt;="&amp;EDATE($A155,12*'Seasonal Factors'!$E$4)),"")</f>
        <v>1.05276851658596</v>
      </c>
      <c r="BF155" s="24" t="n">
        <f aca="false">IFERROR(BE155/AVERAGE(BE150:BE161),"")</f>
        <v>1.05320158055483</v>
      </c>
      <c r="BG155" s="23" t="n">
        <f aca="false">IF(ISNUMBER(Tabelle1!S162),(0.5*Tabelle1!S150+SUM(Tabelle1!S151:S161)+0.5*Tabelle1!S162)/12,"")</f>
        <v>149.57127125</v>
      </c>
      <c r="BH155" s="24" t="n">
        <f aca="false">IFERROR(Tabelle1!S156/BG155,"")</f>
        <v>1.00083190273747</v>
      </c>
      <c r="BI155" s="24" t="n">
        <f aca="false">IFERROR(AVERAGEIFS($BH$7:$BH$294,$B$7:$B$294,$B155,$A$7:$A$294,"&gt;="&amp;EDATE($A155,-12*'Seasonal Factors'!$E$4),$A$7:$A$294,"&lt;="&amp;EDATE($A155,12*'Seasonal Factors'!$E$4)),"")</f>
        <v>0.93221078724843</v>
      </c>
      <c r="BJ155" s="24" t="n">
        <f aca="false">IFERROR(BI155/AVERAGE(BI150:BI161),"")</f>
        <v>0.939111948542153</v>
      </c>
    </row>
    <row r="156" customFormat="false" ht="15" hidden="false" customHeight="false" outlineLevel="0" collapsed="false">
      <c r="A156" s="20" t="n">
        <v>42551</v>
      </c>
      <c r="B156" s="22" t="n">
        <f aca="false">MONTH(A156)</f>
        <v>6</v>
      </c>
      <c r="C156" s="23" t="n">
        <f aca="false">IF(ISNUMBER(Tabelle1!E163),(0.5*Tabelle1!E151+SUM(Tabelle1!E152:E162)+0.5*Tabelle1!E163)/12,"")</f>
        <v>128.396925</v>
      </c>
      <c r="D156" s="24" t="n">
        <f aca="false">IFERROR(Tabelle1!E157/C156,"")</f>
        <v>1.73182161488681</v>
      </c>
      <c r="E156" s="24" t="n">
        <f aca="false">IFERROR(AVERAGEIFS($D$7:$D$294,$B$7:$B$294,$B156,$A$7:$A$294,"&gt;="&amp;EDATE($A156,-12*'Seasonal Factors'!$E$4),$A$7:$A$294,"&lt;="&amp;EDATE($A156,12*'Seasonal Factors'!$E$4)),"")</f>
        <v>1.62400820830623</v>
      </c>
      <c r="F156" s="24" t="n">
        <f aca="false">IFERROR(E156/AVERAGE(E151:E162),"")</f>
        <v>1.62581770407532</v>
      </c>
      <c r="G156" s="23" t="n">
        <f aca="false">IF(ISNUMBER(Tabelle1!F163),(0.5*Tabelle1!F151+SUM(Tabelle1!F152:F162)+0.5*Tabelle1!F163)/12,"")</f>
        <v>154.657537916667</v>
      </c>
      <c r="H156" s="24" t="n">
        <f aca="false">IFERROR(Tabelle1!F157/G156,"")</f>
        <v>1.38293259340029</v>
      </c>
      <c r="I156" s="24" t="n">
        <f aca="false">IFERROR(AVERAGEIFS($H$7:$H$294,$B$7:$B$294,$B156,$A$7:$A$294,"&gt;="&amp;EDATE($A156,-12*'Seasonal Factors'!$E$4),$A$7:$A$294,"&lt;="&amp;EDATE($A156,12*'Seasonal Factors'!$E$4)),"")</f>
        <v>1.162535077482</v>
      </c>
      <c r="J156" s="24" t="n">
        <f aca="false">IFERROR(I156/AVERAGE(I151:I162),"")</f>
        <v>1.1662978733706</v>
      </c>
      <c r="K156" s="23" t="n">
        <f aca="false">IF(ISNUMBER(Tabelle1!G163),(0.5*Tabelle1!G151+SUM(Tabelle1!G152:G162)+0.5*Tabelle1!G163)/12,"")</f>
        <v>90.1144070833333</v>
      </c>
      <c r="L156" s="24" t="n">
        <f aca="false">IFERROR(Tabelle1!G157/K156,"")</f>
        <v>0.9782957337607</v>
      </c>
      <c r="M156" s="24" t="n">
        <f aca="false">IFERROR(AVERAGEIFS($L$7:$L$294,$B$7:$B$294,$B156,$A$7:$A$294,"&gt;="&amp;EDATE($A156,-12*'Seasonal Factors'!$E$4),$A$7:$A$294,"&lt;="&amp;EDATE($A156,12*'Seasonal Factors'!$E$4)),"")</f>
        <v>0.980935580100053</v>
      </c>
      <c r="N156" s="24" t="n">
        <f aca="false">IFERROR(M156/AVERAGE(M151:M162),"")</f>
        <v>0.982067153233088</v>
      </c>
      <c r="O156" s="23" t="n">
        <f aca="false">IF(ISNUMBER(Tabelle1!H163),(0.5*Tabelle1!H151+SUM(Tabelle1!H152:H162)+0.5*Tabelle1!H163)/12,"")</f>
        <v>128.824036666667</v>
      </c>
      <c r="P156" s="24" t="n">
        <f aca="false">IFERROR(Tabelle1!H157/O156,"")</f>
        <v>0.97541416378015</v>
      </c>
      <c r="Q156" s="24" t="n">
        <f aca="false">IFERROR(AVERAGEIFS($P$7:$P$294,$B$7:$B$294,$B156,$A$7:$A$294,"&gt;="&amp;EDATE($A156,-12*'Seasonal Factors'!$E$4),$A$7:$A$294,"&lt;="&amp;EDATE($A156,12*'Seasonal Factors'!$E$4)),"")</f>
        <v>1.02168539971257</v>
      </c>
      <c r="R156" s="24" t="n">
        <f aca="false">IFERROR(Q156/AVERAGE(Q151:Q162),"")</f>
        <v>1.02272368933193</v>
      </c>
      <c r="S156" s="23" t="n">
        <f aca="false">IF(ISNUMBER(Tabelle1!I163),(0.5*Tabelle1!I151+SUM(Tabelle1!I152:I162)+0.5*Tabelle1!I163)/12,"")</f>
        <v>144.811957916667</v>
      </c>
      <c r="T156" s="24" t="n">
        <f aca="false">IFERROR(Tabelle1!I157/S156,"")</f>
        <v>1.02480017627688</v>
      </c>
      <c r="U156" s="24" t="n">
        <f aca="false">IFERROR(AVERAGEIFS($T$7:$T$294,$B$7:$B$294,$B156,$A$7:$A$294,"&gt;="&amp;EDATE($A156,-12*'Seasonal Factors'!$E$4),$A$7:$A$294,"&lt;="&amp;EDATE($A156,12*'Seasonal Factors'!$E$4)),"")</f>
        <v>1.0254551717767</v>
      </c>
      <c r="V156" s="24" t="n">
        <f aca="false">IFERROR(U156/AVERAGE(U151:U162),"")</f>
        <v>1.02485965410167</v>
      </c>
      <c r="W156" s="23" t="n">
        <f aca="false">IF(ISNUMBER(Tabelle1!J163),(0.5*Tabelle1!J151+SUM(Tabelle1!J152:J162)+0.5*Tabelle1!J163)/12,"")</f>
        <v>134.720839166667</v>
      </c>
      <c r="X156" s="24" t="n">
        <f aca="false">IFERROR(Tabelle1!J157/W156,"")</f>
        <v>0.954330456930608</v>
      </c>
      <c r="Y156" s="24" t="n">
        <f aca="false">IFERROR(AVERAGEIFS($X$7:$X$294,$B$7:$B$294,$B156,$A$7:$A$294,"&gt;="&amp;EDATE($A156,-12*'Seasonal Factors'!$E$4),$A$7:$A$294,"&lt;="&amp;EDATE($A156,12*'Seasonal Factors'!$E$4)),"")</f>
        <v>0.978390913671177</v>
      </c>
      <c r="Z156" s="24" t="n">
        <f aca="false">IFERROR(Y156/AVERAGE(Y151:Y162),"")</f>
        <v>0.981212446246696</v>
      </c>
      <c r="AA156" s="23" t="n">
        <f aca="false">IF(ISNUMBER(Tabelle1!K163),(0.5*Tabelle1!K151+SUM(Tabelle1!K152:K162)+0.5*Tabelle1!K163)/12,"")</f>
        <v>152.812847083333</v>
      </c>
      <c r="AB156" s="24" t="n">
        <f aca="false">IFERROR(Tabelle1!K157/AA156,"")</f>
        <v>1.02044725280828</v>
      </c>
      <c r="AC156" s="24" t="n">
        <f aca="false">IFERROR(AVERAGEIFS($AB$7:$AB$294,$B$7:$B$294,$B156,$A$7:$A$294,"&gt;="&amp;EDATE($A156,-12*'Seasonal Factors'!$E$4),$A$7:$A$294,"&lt;="&amp;EDATE($A156,12*'Seasonal Factors'!$E$4)),"")</f>
        <v>1.02492244297537</v>
      </c>
      <c r="AD156" s="24" t="n">
        <f aca="false">IFERROR(AC156/AVERAGE(AC151:AC162),"")</f>
        <v>1.02652248448637</v>
      </c>
      <c r="AE156" s="23" t="n">
        <f aca="false">IF(ISNUMBER(Tabelle1!L163),(0.5*Tabelle1!L151+SUM(Tabelle1!L152:L162)+0.5*Tabelle1!L163)/12,"")</f>
        <v>161.256685</v>
      </c>
      <c r="AF156" s="24" t="n">
        <f aca="false">IFERROR(Tabelle1!L157/AE156,"")</f>
        <v>0.917871776912691</v>
      </c>
      <c r="AG156" s="24" t="n">
        <f aca="false">IFERROR(AVERAGEIFS($AF$7:$AF$294,$B$7:$B$294,$B156,$A$7:$A$294,"&gt;="&amp;EDATE($A156,-12*'Seasonal Factors'!$E$4),$A$7:$A$294,"&lt;="&amp;EDATE($A156,12*'Seasonal Factors'!$E$4)),"")</f>
        <v>0.895666822124305</v>
      </c>
      <c r="AH156" s="24" t="n">
        <f aca="false">IFERROR(AG156/AVERAGE(AG151:AG162),"")</f>
        <v>0.903247802367444</v>
      </c>
      <c r="AI156" s="23" t="n">
        <f aca="false">IF(ISNUMBER(Tabelle1!M163),(0.5*Tabelle1!M151+SUM(Tabelle1!M152:M162)+0.5*Tabelle1!M163)/12,"")</f>
        <v>193.315957083333</v>
      </c>
      <c r="AJ156" s="24" t="n">
        <f aca="false">IFERROR(Tabelle1!M157/AI156,"")</f>
        <v>1.02308765910484</v>
      </c>
      <c r="AK156" s="24" t="n">
        <f aca="false">IFERROR(AVERAGEIFS($AJ$7:$AJ$294,$B$7:$B$294,$B156,$A$7:$A$294,"&gt;="&amp;EDATE($A156,-12*'Seasonal Factors'!$E$4),$A$7:$A$294,"&lt;="&amp;EDATE($A156,12*'Seasonal Factors'!$E$4)),"")</f>
        <v>1.02672639181816</v>
      </c>
      <c r="AL156" s="24" t="n">
        <f aca="false">IFERROR(AK156/AVERAGE(AK151:AK162),"")</f>
        <v>1.02800830797032</v>
      </c>
      <c r="AM156" s="23" t="n">
        <f aca="false">IF(ISNUMBER(Tabelle1!N163),(0.5*Tabelle1!N151+SUM(Tabelle1!N152:N162)+0.5*Tabelle1!N163)/12,"")</f>
        <v>174.596779166667</v>
      </c>
      <c r="AN156" s="24" t="n">
        <f aca="false">IFERROR(Tabelle1!N157/AM156,"")</f>
        <v>0.976407358793632</v>
      </c>
      <c r="AO156" s="24" t="n">
        <f aca="false">IFERROR(AVERAGEIFS($AN$7:$AN$294,$B$7:$B$294,$B156,$A$7:$A$294,"&gt;="&amp;EDATE($A156,-12*'Seasonal Factors'!$E$4),$A$7:$A$294,"&lt;="&amp;EDATE($A156,12*'Seasonal Factors'!$E$4)),"")</f>
        <v>0.99867706017903</v>
      </c>
      <c r="AP156" s="24" t="n">
        <f aca="false">IFERROR(AO156/AVERAGE(AO151:AO162),"")</f>
        <v>0.998412279768517</v>
      </c>
      <c r="AQ156" s="23" t="n">
        <f aca="false">IF(ISNUMBER(Tabelle1!O163),(0.5*Tabelle1!O151+SUM(Tabelle1!O152:O162)+0.5*Tabelle1!O163)/12,"")</f>
        <v>135.889798333333</v>
      </c>
      <c r="AR156" s="24" t="n">
        <f aca="false">IFERROR(Tabelle1!O157/AQ156,"")</f>
        <v>1.02064585937338</v>
      </c>
      <c r="AS156" s="24" t="n">
        <f aca="false">IFERROR(AVERAGEIFS($AR$7:$AR$294,$B$7:$B$294,$B156,$A$7:$A$294,"&gt;="&amp;EDATE($A156,-12*'Seasonal Factors'!$E$4),$A$7:$A$294,"&lt;="&amp;EDATE($A156,12*'Seasonal Factors'!$E$4)),"")</f>
        <v>1.01534401924597</v>
      </c>
      <c r="AT156" s="24" t="n">
        <f aca="false">IFERROR(AS156/AVERAGE(AS151:AS162),"")</f>
        <v>1.0165342255502</v>
      </c>
      <c r="AU156" s="23" t="n">
        <f aca="false">IF(ISNUMBER(Tabelle1!P163),(0.5*Tabelle1!P151+SUM(Tabelle1!P152:P162)+0.5*Tabelle1!P163)/12,"")</f>
        <v>152.826688333333</v>
      </c>
      <c r="AV156" s="24" t="n">
        <f aca="false">IFERROR(Tabelle1!P157/AU156,"")</f>
        <v>1.0047011531461</v>
      </c>
      <c r="AW156" s="24" t="n">
        <f aca="false">IFERROR(AVERAGEIFS($AV$7:$AV$294,$B$7:$B$294,$B156,$A$7:$A$294,"&gt;="&amp;EDATE($A156,-12*'Seasonal Factors'!$E$4),$A$7:$A$294,"&lt;="&amp;EDATE($A156,12*'Seasonal Factors'!$E$4)),"")</f>
        <v>0.998030930753185</v>
      </c>
      <c r="AX156" s="24" t="n">
        <f aca="false">IFERROR(AW156/AVERAGE(AW151:AW162),"")</f>
        <v>0.99850396006068</v>
      </c>
      <c r="AY156" s="23" t="n">
        <f aca="false">IF(ISNUMBER(Tabelle1!Q163),(0.5*Tabelle1!Q151+SUM(Tabelle1!Q152:Q162)+0.5*Tabelle1!Q163)/12,"")</f>
        <v>156.213851666667</v>
      </c>
      <c r="AZ156" s="24" t="n">
        <f aca="false">IFERROR(Tabelle1!Q157/AY156,"")</f>
        <v>1.00620007971764</v>
      </c>
      <c r="BA156" s="24" t="n">
        <f aca="false">IFERROR(AVERAGEIFS($AZ$7:$AZ$294,$B$7:$B$294,$B156,$A$7:$A$294,"&gt;="&amp;EDATE($A156,-12*'Seasonal Factors'!$E$4),$A$7:$A$294,"&lt;="&amp;EDATE($A156,12*'Seasonal Factors'!$E$4)),"")</f>
        <v>1.00492251715372</v>
      </c>
      <c r="BB156" s="24" t="n">
        <f aca="false">IFERROR(BA156/AVERAGE(BA151:BA162),"")</f>
        <v>1.00506136260082</v>
      </c>
      <c r="BC156" s="23" t="n">
        <f aca="false">IF(ISNUMBER(Tabelle1!R163),(0.5*Tabelle1!R151+SUM(Tabelle1!R152:R162)+0.5*Tabelle1!R163)/12,"")</f>
        <v>174.260297083333</v>
      </c>
      <c r="BD156" s="24" t="n">
        <f aca="false">IFERROR(Tabelle1!R157/BC156,"")</f>
        <v>1.09414727962286</v>
      </c>
      <c r="BE156" s="24" t="n">
        <f aca="false">IFERROR(AVERAGEIFS($BD$7:$BD$294,$B$7:$B$294,$B156,$A$7:$A$294,"&gt;="&amp;EDATE($A156,-12*'Seasonal Factors'!$E$4),$A$7:$A$294,"&lt;="&amp;EDATE($A156,12*'Seasonal Factors'!$E$4)),"")</f>
        <v>1.08408970380624</v>
      </c>
      <c r="BF156" s="24" t="n">
        <f aca="false">IFERROR(BE156/AVERAGE(BE151:BE162),"")</f>
        <v>1.08424685872625</v>
      </c>
      <c r="BG156" s="23" t="n">
        <f aca="false">IF(ISNUMBER(Tabelle1!S163),(0.5*Tabelle1!S151+SUM(Tabelle1!S152:S162)+0.5*Tabelle1!S163)/12,"")</f>
        <v>149.303612083333</v>
      </c>
      <c r="BH156" s="24" t="n">
        <f aca="false">IFERROR(Tabelle1!S157/BG156,"")</f>
        <v>1.03030112837553</v>
      </c>
      <c r="BI156" s="24" t="n">
        <f aca="false">IFERROR(AVERAGEIFS($BH$7:$BH$294,$B$7:$B$294,$B156,$A$7:$A$294,"&gt;="&amp;EDATE($A156,-12*'Seasonal Factors'!$E$4),$A$7:$A$294,"&lt;="&amp;EDATE($A156,12*'Seasonal Factors'!$E$4)),"")</f>
        <v>0.968975530337153</v>
      </c>
      <c r="BJ156" s="24" t="n">
        <f aca="false">IFERROR(BI156/AVERAGE(BI151:BI162),"")</f>
        <v>0.974974217941585</v>
      </c>
    </row>
    <row r="157" customFormat="false" ht="15" hidden="false" customHeight="false" outlineLevel="0" collapsed="false">
      <c r="A157" s="20" t="n">
        <v>42582</v>
      </c>
      <c r="B157" s="22" t="n">
        <f aca="false">MONTH(A157)</f>
        <v>7</v>
      </c>
      <c r="C157" s="23" t="n">
        <f aca="false">IF(ISNUMBER(Tabelle1!E164),(0.5*Tabelle1!E152+SUM(Tabelle1!E153:E163)+0.5*Tabelle1!E164)/12,"")</f>
        <v>128.672027916667</v>
      </c>
      <c r="D157" s="24" t="n">
        <f aca="false">IFERROR(Tabelle1!E158/C157,"")</f>
        <v>0.87990033135504</v>
      </c>
      <c r="E157" s="24" t="n">
        <f aca="false">IFERROR(AVERAGEIFS($D$7:$D$294,$B$7:$B$294,$B157,$A$7:$A$294,"&gt;="&amp;EDATE($A157,-12*'Seasonal Factors'!$E$4),$A$7:$A$294,"&lt;="&amp;EDATE($A157,12*'Seasonal Factors'!$E$4)),"")</f>
        <v>0.893800410101242</v>
      </c>
      <c r="F157" s="24" t="n">
        <f aca="false">IFERROR(E157/AVERAGE(E152:E163),"")</f>
        <v>0.894434993540156</v>
      </c>
      <c r="G157" s="23" t="n">
        <f aca="false">IF(ISNUMBER(Tabelle1!F164),(0.5*Tabelle1!F152+SUM(Tabelle1!F153:F163)+0.5*Tabelle1!F164)/12,"")</f>
        <v>155.662944166667</v>
      </c>
      <c r="H157" s="24" t="n">
        <f aca="false">IFERROR(Tabelle1!F158/G157,"")</f>
        <v>1.53423527531571</v>
      </c>
      <c r="I157" s="24" t="n">
        <f aca="false">IFERROR(AVERAGEIFS($H$7:$H$294,$B$7:$B$294,$B157,$A$7:$A$294,"&gt;="&amp;EDATE($A157,-12*'Seasonal Factors'!$E$4),$A$7:$A$294,"&lt;="&amp;EDATE($A157,12*'Seasonal Factors'!$E$4)),"")</f>
        <v>1.29657018267835</v>
      </c>
      <c r="J157" s="24" t="n">
        <f aca="false">IFERROR(I157/AVERAGE(I152:I163),"")</f>
        <v>1.29544389015684</v>
      </c>
      <c r="K157" s="23" t="n">
        <f aca="false">IF(ISNUMBER(Tabelle1!G164),(0.5*Tabelle1!G152+SUM(Tabelle1!G153:G163)+0.5*Tabelle1!G164)/12,"")</f>
        <v>89.72990375</v>
      </c>
      <c r="L157" s="24" t="n">
        <f aca="false">IFERROR(Tabelle1!G158/K157,"")</f>
        <v>1.02385911675515</v>
      </c>
      <c r="M157" s="24" t="n">
        <f aca="false">IFERROR(AVERAGEIFS($L$7:$L$294,$B$7:$B$294,$B157,$A$7:$A$294,"&gt;="&amp;EDATE($A157,-12*'Seasonal Factors'!$E$4),$A$7:$A$294,"&lt;="&amp;EDATE($A157,12*'Seasonal Factors'!$E$4)),"")</f>
        <v>1.01977963102908</v>
      </c>
      <c r="N157" s="24" t="n">
        <f aca="false">IFERROR(M157/AVERAGE(M152:M163),"")</f>
        <v>1.02088798595595</v>
      </c>
      <c r="O157" s="23" t="n">
        <f aca="false">IF(ISNUMBER(Tabelle1!H164),(0.5*Tabelle1!H152+SUM(Tabelle1!H153:H163)+0.5*Tabelle1!H164)/12,"")</f>
        <v>128.664398333333</v>
      </c>
      <c r="P157" s="24" t="n">
        <f aca="false">IFERROR(Tabelle1!H158/O157,"")</f>
        <v>0.987506891151281</v>
      </c>
      <c r="Q157" s="24" t="n">
        <f aca="false">IFERROR(AVERAGEIFS($P$7:$P$294,$B$7:$B$294,$B157,$A$7:$A$294,"&gt;="&amp;EDATE($A157,-12*'Seasonal Factors'!$E$4),$A$7:$A$294,"&lt;="&amp;EDATE($A157,12*'Seasonal Factors'!$E$4)),"")</f>
        <v>1.0254032092983</v>
      </c>
      <c r="R157" s="24" t="n">
        <f aca="false">IFERROR(Q157/AVERAGE(Q152:Q163),"")</f>
        <v>1.02638757392538</v>
      </c>
      <c r="S157" s="23" t="n">
        <f aca="false">IF(ISNUMBER(Tabelle1!I164),(0.5*Tabelle1!I152+SUM(Tabelle1!I153:I163)+0.5*Tabelle1!I164)/12,"")</f>
        <v>144.854485416667</v>
      </c>
      <c r="T157" s="24" t="n">
        <f aca="false">IFERROR(Tabelle1!I158/S157,"")</f>
        <v>1.06373440599217</v>
      </c>
      <c r="U157" s="24" t="n">
        <f aca="false">IFERROR(AVERAGEIFS($T$7:$T$294,$B$7:$B$294,$B157,$A$7:$A$294,"&gt;="&amp;EDATE($A157,-12*'Seasonal Factors'!$E$4),$A$7:$A$294,"&lt;="&amp;EDATE($A157,12*'Seasonal Factors'!$E$4)),"")</f>
        <v>1.07428186825571</v>
      </c>
      <c r="V157" s="24" t="n">
        <f aca="false">IFERROR(U157/AVERAGE(U152:U163),"")</f>
        <v>1.07405846743719</v>
      </c>
      <c r="W157" s="23" t="n">
        <f aca="false">IF(ISNUMBER(Tabelle1!J164),(0.5*Tabelle1!J152+SUM(Tabelle1!J153:J163)+0.5*Tabelle1!J164)/12,"")</f>
        <v>134.362638333333</v>
      </c>
      <c r="X157" s="24" t="n">
        <f aca="false">IFERROR(Tabelle1!J158/W157,"")</f>
        <v>0.957609805791374</v>
      </c>
      <c r="Y157" s="24" t="n">
        <f aca="false">IFERROR(AVERAGEIFS($X$7:$X$294,$B$7:$B$294,$B157,$A$7:$A$294,"&gt;="&amp;EDATE($A157,-12*'Seasonal Factors'!$E$4),$A$7:$A$294,"&lt;="&amp;EDATE($A157,12*'Seasonal Factors'!$E$4)),"")</f>
        <v>1.0115633102363</v>
      </c>
      <c r="Z157" s="24" t="n">
        <f aca="false">IFERROR(Y157/AVERAGE(Y152:Y163),"")</f>
        <v>1.013655401653</v>
      </c>
      <c r="AA157" s="23" t="n">
        <f aca="false">IF(ISNUMBER(Tabelle1!K164),(0.5*Tabelle1!K152+SUM(Tabelle1!K153:K163)+0.5*Tabelle1!K164)/12,"")</f>
        <v>152.888906666667</v>
      </c>
      <c r="AB157" s="24" t="n">
        <f aca="false">IFERROR(Tabelle1!K158/AA157,"")</f>
        <v>0.972787517699126</v>
      </c>
      <c r="AC157" s="24" t="n">
        <f aca="false">IFERROR(AVERAGEIFS($AB$7:$AB$294,$B$7:$B$294,$B157,$A$7:$A$294,"&gt;="&amp;EDATE($A157,-12*'Seasonal Factors'!$E$4),$A$7:$A$294,"&lt;="&amp;EDATE($A157,12*'Seasonal Factors'!$E$4)),"")</f>
        <v>1.01393556774745</v>
      </c>
      <c r="AD157" s="24" t="n">
        <f aca="false">IFERROR(AC157/AVERAGE(AC152:AC163),"")</f>
        <v>1.01535762347386</v>
      </c>
      <c r="AE157" s="23" t="n">
        <f aca="false">IF(ISNUMBER(Tabelle1!L164),(0.5*Tabelle1!L152+SUM(Tabelle1!L153:L163)+0.5*Tabelle1!L164)/12,"")</f>
        <v>161.562373333333</v>
      </c>
      <c r="AF157" s="24" t="n">
        <f aca="false">IFERROR(Tabelle1!L158/AE157,"")</f>
        <v>1.02126049893795</v>
      </c>
      <c r="AG157" s="24" t="n">
        <f aca="false">IFERROR(AVERAGEIFS($AF$7:$AF$294,$B$7:$B$294,$B157,$A$7:$A$294,"&gt;="&amp;EDATE($A157,-12*'Seasonal Factors'!$E$4),$A$7:$A$294,"&lt;="&amp;EDATE($A157,12*'Seasonal Factors'!$E$4)),"")</f>
        <v>0.998415627926023</v>
      </c>
      <c r="AH157" s="24" t="n">
        <f aca="false">IFERROR(AG157/AVERAGE(AG152:AG163),"")</f>
        <v>1.00498262678916</v>
      </c>
      <c r="AI157" s="23" t="n">
        <f aca="false">IF(ISNUMBER(Tabelle1!M164),(0.5*Tabelle1!M152+SUM(Tabelle1!M153:M163)+0.5*Tabelle1!M164)/12,"")</f>
        <v>193.99133125</v>
      </c>
      <c r="AJ157" s="24" t="n">
        <f aca="false">IFERROR(Tabelle1!M158/AI157,"")</f>
        <v>1.00476072175003</v>
      </c>
      <c r="AK157" s="24" t="n">
        <f aca="false">IFERROR(AVERAGEIFS($AJ$7:$AJ$294,$B$7:$B$294,$B157,$A$7:$A$294,"&gt;="&amp;EDATE($A157,-12*'Seasonal Factors'!$E$4),$A$7:$A$294,"&lt;="&amp;EDATE($A157,12*'Seasonal Factors'!$E$4)),"")</f>
        <v>1.01401240963446</v>
      </c>
      <c r="AL157" s="24" t="n">
        <f aca="false">IFERROR(AK157/AVERAGE(AK152:AK163),"")</f>
        <v>1.01520131047314</v>
      </c>
      <c r="AM157" s="23" t="n">
        <f aca="false">IF(ISNUMBER(Tabelle1!N164),(0.5*Tabelle1!N152+SUM(Tabelle1!N153:N163)+0.5*Tabelle1!N164)/12,"")</f>
        <v>174.743025833333</v>
      </c>
      <c r="AN157" s="24" t="n">
        <f aca="false">IFERROR(Tabelle1!N158/AM157,"")</f>
        <v>0.970054279371789</v>
      </c>
      <c r="AO157" s="24" t="n">
        <f aca="false">IFERROR(AVERAGEIFS($AN$7:$AN$294,$B$7:$B$294,$B157,$A$7:$A$294,"&gt;="&amp;EDATE($A157,-12*'Seasonal Factors'!$E$4),$A$7:$A$294,"&lt;="&amp;EDATE($A157,12*'Seasonal Factors'!$E$4)),"")</f>
        <v>0.997529840999969</v>
      </c>
      <c r="AP157" s="24" t="n">
        <f aca="false">IFERROR(AO157/AVERAGE(AO152:AO163),"")</f>
        <v>0.997438649275723</v>
      </c>
      <c r="AQ157" s="23" t="n">
        <f aca="false">IF(ISNUMBER(Tabelle1!O164),(0.5*Tabelle1!O152+SUM(Tabelle1!O153:O163)+0.5*Tabelle1!O164)/12,"")</f>
        <v>136.05709125</v>
      </c>
      <c r="AR157" s="24" t="n">
        <f aca="false">IFERROR(Tabelle1!O158/AQ157,"")</f>
        <v>0.999237443274387</v>
      </c>
      <c r="AS157" s="24" t="n">
        <f aca="false">IFERROR(AVERAGEIFS($AR$7:$AR$294,$B$7:$B$294,$B157,$A$7:$A$294,"&gt;="&amp;EDATE($A157,-12*'Seasonal Factors'!$E$4),$A$7:$A$294,"&lt;="&amp;EDATE($A157,12*'Seasonal Factors'!$E$4)),"")</f>
        <v>1.00669883413989</v>
      </c>
      <c r="AT157" s="24" t="n">
        <f aca="false">IFERROR(AS157/AVERAGE(AS152:AS163),"")</f>
        <v>1.0074726298598</v>
      </c>
      <c r="AU157" s="23" t="n">
        <f aca="false">IF(ISNUMBER(Tabelle1!P164),(0.5*Tabelle1!P152+SUM(Tabelle1!P153:P163)+0.5*Tabelle1!P164)/12,"")</f>
        <v>152.910687083333</v>
      </c>
      <c r="AV157" s="24" t="n">
        <f aca="false">IFERROR(Tabelle1!P158/AU157,"")</f>
        <v>1.00379007463586</v>
      </c>
      <c r="AW157" s="24" t="n">
        <f aca="false">IFERROR(AVERAGEIFS($AV$7:$AV$294,$B$7:$B$294,$B157,$A$7:$A$294,"&gt;="&amp;EDATE($A157,-12*'Seasonal Factors'!$E$4),$A$7:$A$294,"&lt;="&amp;EDATE($A157,12*'Seasonal Factors'!$E$4)),"")</f>
        <v>0.998355322832422</v>
      </c>
      <c r="AX157" s="24" t="n">
        <f aca="false">IFERROR(AW157/AVERAGE(AW152:AW163),"")</f>
        <v>0.99869558686684</v>
      </c>
      <c r="AY157" s="23" t="n">
        <f aca="false">IF(ISNUMBER(Tabelle1!Q164),(0.5*Tabelle1!Q152+SUM(Tabelle1!Q153:Q163)+0.5*Tabelle1!Q164)/12,"")</f>
        <v>156.358506666667</v>
      </c>
      <c r="AZ157" s="24" t="n">
        <f aca="false">IFERROR(Tabelle1!Q158/AY157,"")</f>
        <v>1.00890155171602</v>
      </c>
      <c r="BA157" s="24" t="n">
        <f aca="false">IFERROR(AVERAGEIFS($AZ$7:$AZ$294,$B$7:$B$294,$B157,$A$7:$A$294,"&gt;="&amp;EDATE($A157,-12*'Seasonal Factors'!$E$4),$A$7:$A$294,"&lt;="&amp;EDATE($A157,12*'Seasonal Factors'!$E$4)),"")</f>
        <v>1.00687911827849</v>
      </c>
      <c r="BB157" s="24" t="n">
        <f aca="false">IFERROR(BA157/AVERAGE(BA152:BA163),"")</f>
        <v>1.00703570633555</v>
      </c>
      <c r="BC157" s="23" t="n">
        <f aca="false">IF(ISNUMBER(Tabelle1!R164),(0.5*Tabelle1!R152+SUM(Tabelle1!R153:R163)+0.5*Tabelle1!R164)/12,"")</f>
        <v>174.571816666667</v>
      </c>
      <c r="BD157" s="24" t="n">
        <f aca="false">IFERROR(Tabelle1!R158/BC157,"")</f>
        <v>1.00601175695695</v>
      </c>
      <c r="BE157" s="24" t="n">
        <f aca="false">IFERROR(AVERAGEIFS($BD$7:$BD$294,$B$7:$B$294,$B157,$A$7:$A$294,"&gt;="&amp;EDATE($A157,-12*'Seasonal Factors'!$E$4),$A$7:$A$294,"&lt;="&amp;EDATE($A157,12*'Seasonal Factors'!$E$4)),"")</f>
        <v>1.00477391654097</v>
      </c>
      <c r="BF157" s="24" t="n">
        <f aca="false">IFERROR(BE157/AVERAGE(BE152:BE163),"")</f>
        <v>1.0049088367466</v>
      </c>
      <c r="BG157" s="23" t="n">
        <f aca="false">IF(ISNUMBER(Tabelle1!S164),(0.5*Tabelle1!S152+SUM(Tabelle1!S153:S163)+0.5*Tabelle1!S164)/12,"")</f>
        <v>149.345548333333</v>
      </c>
      <c r="BH157" s="24" t="n">
        <f aca="false">IFERROR(Tabelle1!S158/BG157,"")</f>
        <v>1.12392154887241</v>
      </c>
      <c r="BI157" s="24" t="n">
        <f aca="false">IFERROR(AVERAGEIFS($BH$7:$BH$294,$B$7:$B$294,$B157,$A$7:$A$294,"&gt;="&amp;EDATE($A157,-12*'Seasonal Factors'!$E$4),$A$7:$A$294,"&lt;="&amp;EDATE($A157,12*'Seasonal Factors'!$E$4)),"")</f>
        <v>1.0757484614809</v>
      </c>
      <c r="BJ157" s="24" t="n">
        <f aca="false">IFERROR(BI157/AVERAGE(BI152:BI163),"")</f>
        <v>1.07980559449016</v>
      </c>
    </row>
    <row r="158" customFormat="false" ht="15" hidden="false" customHeight="false" outlineLevel="0" collapsed="false">
      <c r="A158" s="20" t="n">
        <v>42613</v>
      </c>
      <c r="B158" s="22" t="n">
        <f aca="false">MONTH(A158)</f>
        <v>8</v>
      </c>
      <c r="C158" s="23" t="n">
        <f aca="false">IF(ISNUMBER(Tabelle1!E165),(0.5*Tabelle1!E153+SUM(Tabelle1!E154:E164)+0.5*Tabelle1!E165)/12,"")</f>
        <v>128.997467916667</v>
      </c>
      <c r="D158" s="24" t="n">
        <f aca="false">IFERROR(Tabelle1!E159/C158,"")</f>
        <v>0.548111456309173</v>
      </c>
      <c r="E158" s="24" t="n">
        <f aca="false">IFERROR(AVERAGEIFS($D$7:$D$294,$B$7:$B$294,$B158,$A$7:$A$294,"&gt;="&amp;EDATE($A158,-12*'Seasonal Factors'!$E$4),$A$7:$A$294,"&lt;="&amp;EDATE($A158,12*'Seasonal Factors'!$E$4)),"")</f>
        <v>0.57973939048567</v>
      </c>
      <c r="F158" s="24" t="n">
        <f aca="false">IFERROR(E158/AVERAGE(E153:E164),"")</f>
        <v>0.580462152375413</v>
      </c>
      <c r="G158" s="23" t="n">
        <f aca="false">IF(ISNUMBER(Tabelle1!F165),(0.5*Tabelle1!F153+SUM(Tabelle1!F154:F164)+0.5*Tabelle1!F165)/12,"")</f>
        <v>158.6369825</v>
      </c>
      <c r="H158" s="24" t="n">
        <f aca="false">IFERROR(Tabelle1!F159/G158,"")</f>
        <v>1.6031002102552</v>
      </c>
      <c r="I158" s="24" t="n">
        <f aca="false">IFERROR(AVERAGEIFS($H$7:$H$294,$B$7:$B$294,$B158,$A$7:$A$294,"&gt;="&amp;EDATE($A158,-12*'Seasonal Factors'!$E$4),$A$7:$A$294,"&lt;="&amp;EDATE($A158,12*'Seasonal Factors'!$E$4)),"")</f>
        <v>1.48669080995307</v>
      </c>
      <c r="J158" s="24" t="n">
        <f aca="false">IFERROR(I158/AVERAGE(I153:I164),"")</f>
        <v>1.48176210699899</v>
      </c>
      <c r="K158" s="23" t="n">
        <f aca="false">IF(ISNUMBER(Tabelle1!G165),(0.5*Tabelle1!G153+SUM(Tabelle1!G154:G164)+0.5*Tabelle1!G165)/12,"")</f>
        <v>89.31122</v>
      </c>
      <c r="L158" s="24" t="n">
        <f aca="false">IFERROR(Tabelle1!G159/K158,"")</f>
        <v>1.02131120815503</v>
      </c>
      <c r="M158" s="24" t="n">
        <f aca="false">IFERROR(AVERAGEIFS($L$7:$L$294,$B$7:$B$294,$B158,$A$7:$A$294,"&gt;="&amp;EDATE($A158,-12*'Seasonal Factors'!$E$4),$A$7:$A$294,"&lt;="&amp;EDATE($A158,12*'Seasonal Factors'!$E$4)),"")</f>
        <v>1.02077268601306</v>
      </c>
      <c r="N158" s="24" t="n">
        <f aca="false">IFERROR(M158/AVERAGE(M153:M164),"")</f>
        <v>1.02207473059903</v>
      </c>
      <c r="O158" s="23" t="n">
        <f aca="false">IF(ISNUMBER(Tabelle1!H165),(0.5*Tabelle1!H153+SUM(Tabelle1!H154:H164)+0.5*Tabelle1!H165)/12,"")</f>
        <v>128.305851666667</v>
      </c>
      <c r="P158" s="24" t="n">
        <f aca="false">IFERROR(Tabelle1!H159/O158,"")</f>
        <v>1.03437176306495</v>
      </c>
      <c r="Q158" s="24" t="n">
        <f aca="false">IFERROR(AVERAGEIFS($P$7:$P$294,$B$7:$B$294,$B158,$A$7:$A$294,"&gt;="&amp;EDATE($A158,-12*'Seasonal Factors'!$E$4),$A$7:$A$294,"&lt;="&amp;EDATE($A158,12*'Seasonal Factors'!$E$4)),"")</f>
        <v>1.05081602752918</v>
      </c>
      <c r="R158" s="24" t="n">
        <f aca="false">IFERROR(Q158/AVERAGE(Q153:Q164),"")</f>
        <v>1.05203833777743</v>
      </c>
      <c r="S158" s="23" t="n">
        <f aca="false">IF(ISNUMBER(Tabelle1!I165),(0.5*Tabelle1!I153+SUM(Tabelle1!I154:I164)+0.5*Tabelle1!I165)/12,"")</f>
        <v>144.685950833333</v>
      </c>
      <c r="T158" s="24" t="n">
        <f aca="false">IFERROR(Tabelle1!I159/S158,"")</f>
        <v>1.00667244581182</v>
      </c>
      <c r="U158" s="24" t="n">
        <f aca="false">IFERROR(AVERAGEIFS($T$7:$T$294,$B$7:$B$294,$B158,$A$7:$A$294,"&gt;="&amp;EDATE($A158,-12*'Seasonal Factors'!$E$4),$A$7:$A$294,"&lt;="&amp;EDATE($A158,12*'Seasonal Factors'!$E$4)),"")</f>
        <v>1.02398553790334</v>
      </c>
      <c r="V158" s="24" t="n">
        <f aca="false">IFERROR(U158/AVERAGE(U153:U164),"")</f>
        <v>1.02475773520458</v>
      </c>
      <c r="W158" s="23" t="n">
        <f aca="false">IF(ISNUMBER(Tabelle1!J165),(0.5*Tabelle1!J153+SUM(Tabelle1!J154:J164)+0.5*Tabelle1!J165)/12,"")</f>
        <v>134.2874725</v>
      </c>
      <c r="X158" s="24" t="n">
        <f aca="false">IFERROR(Tabelle1!J159/W158,"")</f>
        <v>1.07760543337354</v>
      </c>
      <c r="Y158" s="24" t="n">
        <f aca="false">IFERROR(AVERAGEIFS($X$7:$X$294,$B$7:$B$294,$B158,$A$7:$A$294,"&gt;="&amp;EDATE($A158,-12*'Seasonal Factors'!$E$4),$A$7:$A$294,"&lt;="&amp;EDATE($A158,12*'Seasonal Factors'!$E$4)),"")</f>
        <v>1.05280328110251</v>
      </c>
      <c r="Z158" s="24" t="n">
        <f aca="false">IFERROR(Y158/AVERAGE(Y153:Y164),"")</f>
        <v>1.05459820314389</v>
      </c>
      <c r="AA158" s="23" t="n">
        <f aca="false">IF(ISNUMBER(Tabelle1!K165),(0.5*Tabelle1!K153+SUM(Tabelle1!K154:K164)+0.5*Tabelle1!K165)/12,"")</f>
        <v>152.816082916667</v>
      </c>
      <c r="AB158" s="24" t="n">
        <f aca="false">IFERROR(Tabelle1!K159/AA158,"")</f>
        <v>1.03010826475537</v>
      </c>
      <c r="AC158" s="24" t="n">
        <f aca="false">IFERROR(AVERAGEIFS($AB$7:$AB$294,$B$7:$B$294,$B158,$A$7:$A$294,"&gt;="&amp;EDATE($A158,-12*'Seasonal Factors'!$E$4),$A$7:$A$294,"&lt;="&amp;EDATE($A158,12*'Seasonal Factors'!$E$4)),"")</f>
        <v>1.0276826188947</v>
      </c>
      <c r="AD158" s="24" t="n">
        <f aca="false">IFERROR(AC158/AVERAGE(AC153:AC164),"")</f>
        <v>1.02864548350333</v>
      </c>
      <c r="AE158" s="23" t="n">
        <f aca="false">IF(ISNUMBER(Tabelle1!L165),(0.5*Tabelle1!L153+SUM(Tabelle1!L154:L164)+0.5*Tabelle1!L165)/12,"")</f>
        <v>161.637768333333</v>
      </c>
      <c r="AF158" s="24" t="n">
        <f aca="false">IFERROR(Tabelle1!L159/AE158,"")</f>
        <v>1.01106567904958</v>
      </c>
      <c r="AG158" s="24" t="n">
        <f aca="false">IFERROR(AVERAGEIFS($AF$7:$AF$294,$B$7:$B$294,$B158,$A$7:$A$294,"&gt;="&amp;EDATE($A158,-12*'Seasonal Factors'!$E$4),$A$7:$A$294,"&lt;="&amp;EDATE($A158,12*'Seasonal Factors'!$E$4)),"")</f>
        <v>0.998058947572254</v>
      </c>
      <c r="AH158" s="24" t="n">
        <f aca="false">IFERROR(AG158/AVERAGE(AG153:AG164),"")</f>
        <v>1.00269344843326</v>
      </c>
      <c r="AI158" s="23" t="n">
        <f aca="false">IF(ISNUMBER(Tabelle1!M165),(0.5*Tabelle1!M153+SUM(Tabelle1!M154:M164)+0.5*Tabelle1!M165)/12,"")</f>
        <v>194.330710833333</v>
      </c>
      <c r="AJ158" s="24" t="n">
        <f aca="false">IFERROR(Tabelle1!M159/AI158,"")</f>
        <v>1.00351832792529</v>
      </c>
      <c r="AK158" s="24" t="n">
        <f aca="false">IFERROR(AVERAGEIFS($AJ$7:$AJ$294,$B$7:$B$294,$B158,$A$7:$A$294,"&gt;="&amp;EDATE($A158,-12*'Seasonal Factors'!$E$4),$A$7:$A$294,"&lt;="&amp;EDATE($A158,12*'Seasonal Factors'!$E$4)),"")</f>
        <v>0.999020505885601</v>
      </c>
      <c r="AL158" s="24" t="n">
        <f aca="false">IFERROR(AK158/AVERAGE(AK153:AK164),"")</f>
        <v>1.00010301776972</v>
      </c>
      <c r="AM158" s="23" t="n">
        <f aca="false">IF(ISNUMBER(Tabelle1!N165),(0.5*Tabelle1!N153+SUM(Tabelle1!N154:N164)+0.5*Tabelle1!N165)/12,"")</f>
        <v>175.010674583333</v>
      </c>
      <c r="AN158" s="24" t="n">
        <f aca="false">IFERROR(Tabelle1!N159/AM158,"")</f>
        <v>1.01503951357786</v>
      </c>
      <c r="AO158" s="24" t="n">
        <f aca="false">IFERROR(AVERAGEIFS($AN$7:$AN$294,$B$7:$B$294,$B158,$A$7:$A$294,"&gt;="&amp;EDATE($A158,-12*'Seasonal Factors'!$E$4),$A$7:$A$294,"&lt;="&amp;EDATE($A158,12*'Seasonal Factors'!$E$4)),"")</f>
        <v>1.02262442689996</v>
      </c>
      <c r="AP158" s="24" t="n">
        <f aca="false">IFERROR(AO158/AVERAGE(AO153:AO164),"")</f>
        <v>1.02266378633319</v>
      </c>
      <c r="AQ158" s="23" t="n">
        <f aca="false">IF(ISNUMBER(Tabelle1!O165),(0.5*Tabelle1!O153+SUM(Tabelle1!O154:O164)+0.5*Tabelle1!O165)/12,"")</f>
        <v>136.235022916667</v>
      </c>
      <c r="AR158" s="24" t="n">
        <f aca="false">IFERROR(Tabelle1!O159/AQ158,"")</f>
        <v>1.01376244553855</v>
      </c>
      <c r="AS158" s="24" t="n">
        <f aca="false">IFERROR(AVERAGEIFS($AR$7:$AR$294,$B$7:$B$294,$B158,$A$7:$A$294,"&gt;="&amp;EDATE($A158,-12*'Seasonal Factors'!$E$4),$A$7:$A$294,"&lt;="&amp;EDATE($A158,12*'Seasonal Factors'!$E$4)),"")</f>
        <v>1.00861760515296</v>
      </c>
      <c r="AT158" s="24" t="n">
        <f aca="false">IFERROR(AS158/AVERAGE(AS153:AS164),"")</f>
        <v>1.00912685757241</v>
      </c>
      <c r="AU158" s="23" t="n">
        <f aca="false">IF(ISNUMBER(Tabelle1!P165),(0.5*Tabelle1!P153+SUM(Tabelle1!P154:P164)+0.5*Tabelle1!P165)/12,"")</f>
        <v>152.990175</v>
      </c>
      <c r="AV158" s="24" t="n">
        <f aca="false">IFERROR(Tabelle1!P159/AU158,"")</f>
        <v>0.99932933601782</v>
      </c>
      <c r="AW158" s="24" t="n">
        <f aca="false">IFERROR(AVERAGEIFS($AV$7:$AV$294,$B$7:$B$294,$B158,$A$7:$A$294,"&gt;="&amp;EDATE($A158,-12*'Seasonal Factors'!$E$4),$A$7:$A$294,"&lt;="&amp;EDATE($A158,12*'Seasonal Factors'!$E$4)),"")</f>
        <v>0.997255038640458</v>
      </c>
      <c r="AX158" s="24" t="n">
        <f aca="false">IFERROR(AW158/AVERAGE(AW153:AW164),"")</f>
        <v>0.997505040915189</v>
      </c>
      <c r="AY158" s="23" t="n">
        <f aca="false">IF(ISNUMBER(Tabelle1!Q165),(0.5*Tabelle1!Q153+SUM(Tabelle1!Q154:Q164)+0.5*Tabelle1!Q165)/12,"")</f>
        <v>156.418155416667</v>
      </c>
      <c r="AZ158" s="24" t="n">
        <f aca="false">IFERROR(Tabelle1!Q159/AY158,"")</f>
        <v>1.00819773497468</v>
      </c>
      <c r="BA158" s="24" t="n">
        <f aca="false">IFERROR(AVERAGEIFS($AZ$7:$AZ$294,$B$7:$B$294,$B158,$A$7:$A$294,"&gt;="&amp;EDATE($A158,-12*'Seasonal Factors'!$E$4),$A$7:$A$294,"&lt;="&amp;EDATE($A158,12*'Seasonal Factors'!$E$4)),"")</f>
        <v>1.00730039664294</v>
      </c>
      <c r="BB158" s="24" t="n">
        <f aca="false">IFERROR(BA158/AVERAGE(BA153:BA164),"")</f>
        <v>1.00747196898309</v>
      </c>
      <c r="BC158" s="23" t="n">
        <f aca="false">IF(ISNUMBER(Tabelle1!R165),(0.5*Tabelle1!R153+SUM(Tabelle1!R154:R164)+0.5*Tabelle1!R165)/12,"")</f>
        <v>174.9252525</v>
      </c>
      <c r="BD158" s="24" t="n">
        <f aca="false">IFERROR(Tabelle1!R159/BC158,"")</f>
        <v>1.00448916030577</v>
      </c>
      <c r="BE158" s="24" t="n">
        <f aca="false">IFERROR(AVERAGEIFS($BD$7:$BD$294,$B$7:$B$294,$B158,$A$7:$A$294,"&gt;="&amp;EDATE($A158,-12*'Seasonal Factors'!$E$4),$A$7:$A$294,"&lt;="&amp;EDATE($A158,12*'Seasonal Factors'!$E$4)),"")</f>
        <v>1.00299165475911</v>
      </c>
      <c r="BF158" s="24" t="n">
        <f aca="false">IFERROR(BE158/AVERAGE(BE153:BE164),"")</f>
        <v>1.00307638544744</v>
      </c>
      <c r="BG158" s="23" t="n">
        <f aca="false">IF(ISNUMBER(Tabelle1!S165),(0.5*Tabelle1!S153+SUM(Tabelle1!S154:S164)+0.5*Tabelle1!S165)/12,"")</f>
        <v>149.687389166667</v>
      </c>
      <c r="BH158" s="24" t="n">
        <f aca="false">IFERROR(Tabelle1!S159/BG158,"")</f>
        <v>0.991769385694242</v>
      </c>
      <c r="BI158" s="24" t="n">
        <f aca="false">IFERROR(AVERAGEIFS($BH$7:$BH$294,$B$7:$B$294,$B158,$A$7:$A$294,"&gt;="&amp;EDATE($A158,-12*'Seasonal Factors'!$E$4),$A$7:$A$294,"&lt;="&amp;EDATE($A158,12*'Seasonal Factors'!$E$4)),"")</f>
        <v>0.984184759662692</v>
      </c>
      <c r="BJ158" s="24" t="n">
        <f aca="false">IFERROR(BI158/AVERAGE(BI153:BI164),"")</f>
        <v>0.986547708070015</v>
      </c>
    </row>
    <row r="159" customFormat="false" ht="15" hidden="false" customHeight="false" outlineLevel="0" collapsed="false">
      <c r="A159" s="20" t="n">
        <v>42643</v>
      </c>
      <c r="B159" s="22" t="n">
        <f aca="false">MONTH(A159)</f>
        <v>9</v>
      </c>
      <c r="C159" s="23" t="n">
        <f aca="false">IF(ISNUMBER(Tabelle1!E166),(0.5*Tabelle1!E154+SUM(Tabelle1!E155:E165)+0.5*Tabelle1!E166)/12,"")</f>
        <v>129.441558333333</v>
      </c>
      <c r="D159" s="24" t="n">
        <f aca="false">IFERROR(Tabelle1!E160/C159,"")</f>
        <v>0.47839628012307</v>
      </c>
      <c r="E159" s="24" t="n">
        <f aca="false">IFERROR(AVERAGEIFS($D$7:$D$294,$B$7:$B$294,$B159,$A$7:$A$294,"&gt;="&amp;EDATE($A159,-12*'Seasonal Factors'!$E$4),$A$7:$A$294,"&lt;="&amp;EDATE($A159,12*'Seasonal Factors'!$E$4)),"")</f>
        <v>0.537979744990878</v>
      </c>
      <c r="F159" s="24" t="n">
        <f aca="false">IFERROR(E159/AVERAGE(E154:E165),"")</f>
        <v>0.538486557757173</v>
      </c>
      <c r="G159" s="23" t="n">
        <f aca="false">IF(ISNUMBER(Tabelle1!F166),(0.5*Tabelle1!F154+SUM(Tabelle1!F155:F165)+0.5*Tabelle1!F166)/12,"")</f>
        <v>161.85488125</v>
      </c>
      <c r="H159" s="24" t="n">
        <f aca="false">IFERROR(Tabelle1!F160/G159,"")</f>
        <v>1.23366869419022</v>
      </c>
      <c r="I159" s="24" t="n">
        <f aca="false">IFERROR(AVERAGEIFS($H$7:$H$294,$B$7:$B$294,$B159,$A$7:$A$294,"&gt;="&amp;EDATE($A159,-12*'Seasonal Factors'!$E$4),$A$7:$A$294,"&lt;="&amp;EDATE($A159,12*'Seasonal Factors'!$E$4)),"")</f>
        <v>1.37268366317479</v>
      </c>
      <c r="J159" s="24" t="n">
        <f aca="false">IFERROR(I159/AVERAGE(I154:I165),"")</f>
        <v>1.37394565842869</v>
      </c>
      <c r="K159" s="23" t="n">
        <f aca="false">IF(ISNUMBER(Tabelle1!G166),(0.5*Tabelle1!G154+SUM(Tabelle1!G155:G165)+0.5*Tabelle1!G166)/12,"")</f>
        <v>88.8865625</v>
      </c>
      <c r="L159" s="24" t="n">
        <f aca="false">IFERROR(Tabelle1!G160/K159,"")</f>
        <v>1.0119634224802</v>
      </c>
      <c r="M159" s="24" t="n">
        <f aca="false">IFERROR(AVERAGEIFS($L$7:$L$294,$B$7:$B$294,$B159,$A$7:$A$294,"&gt;="&amp;EDATE($A159,-12*'Seasonal Factors'!$E$4),$A$7:$A$294,"&lt;="&amp;EDATE($A159,12*'Seasonal Factors'!$E$4)),"")</f>
        <v>0.998348162671227</v>
      </c>
      <c r="N159" s="24" t="n">
        <f aca="false">IFERROR(M159/AVERAGE(M154:M165),"")</f>
        <v>0.999686570054971</v>
      </c>
      <c r="O159" s="23" t="n">
        <f aca="false">IF(ISNUMBER(Tabelle1!H166),(0.5*Tabelle1!H154+SUM(Tabelle1!H155:H165)+0.5*Tabelle1!H166)/12,"")</f>
        <v>128.006175416667</v>
      </c>
      <c r="P159" s="24" t="n">
        <f aca="false">IFERROR(Tabelle1!H160/O159,"")</f>
        <v>1.05881836996399</v>
      </c>
      <c r="Q159" s="24" t="n">
        <f aca="false">IFERROR(AVERAGEIFS($P$7:$P$294,$B$7:$B$294,$B159,$A$7:$A$294,"&gt;="&amp;EDATE($A159,-12*'Seasonal Factors'!$E$4),$A$7:$A$294,"&lt;="&amp;EDATE($A159,12*'Seasonal Factors'!$E$4)),"")</f>
        <v>1.03523742190571</v>
      </c>
      <c r="R159" s="24" t="n">
        <f aca="false">IFERROR(Q159/AVERAGE(Q154:Q165),"")</f>
        <v>1.03624755997897</v>
      </c>
      <c r="S159" s="23" t="n">
        <f aca="false">IF(ISNUMBER(Tabelle1!I166),(0.5*Tabelle1!I154+SUM(Tabelle1!I155:I165)+0.5*Tabelle1!I166)/12,"")</f>
        <v>144.675386666667</v>
      </c>
      <c r="T159" s="24" t="n">
        <f aca="false">IFERROR(Tabelle1!I160/S159,"")</f>
        <v>0.971356450035178</v>
      </c>
      <c r="U159" s="24" t="n">
        <f aca="false">IFERROR(AVERAGEIFS($T$7:$T$294,$B$7:$B$294,$B159,$A$7:$A$294,"&gt;="&amp;EDATE($A159,-12*'Seasonal Factors'!$E$4),$A$7:$A$294,"&lt;="&amp;EDATE($A159,12*'Seasonal Factors'!$E$4)),"")</f>
        <v>0.952687151025158</v>
      </c>
      <c r="V159" s="24" t="n">
        <f aca="false">IFERROR(U159/AVERAGE(U154:U165),"")</f>
        <v>0.953562041075202</v>
      </c>
      <c r="W159" s="23" t="n">
        <f aca="false">IF(ISNUMBER(Tabelle1!J166),(0.5*Tabelle1!J154+SUM(Tabelle1!J155:J165)+0.5*Tabelle1!J166)/12,"")</f>
        <v>134.66053125</v>
      </c>
      <c r="X159" s="24" t="n">
        <f aca="false">IFERROR(Tabelle1!J160/W159,"")</f>
        <v>1.01669300372673</v>
      </c>
      <c r="Y159" s="24" t="n">
        <f aca="false">IFERROR(AVERAGEIFS($X$7:$X$294,$B$7:$B$294,$B159,$A$7:$A$294,"&gt;="&amp;EDATE($A159,-12*'Seasonal Factors'!$E$4),$A$7:$A$294,"&lt;="&amp;EDATE($A159,12*'Seasonal Factors'!$E$4)),"")</f>
        <v>1.02144711218467</v>
      </c>
      <c r="Z159" s="24" t="n">
        <f aca="false">IFERROR(Y159/AVERAGE(Y154:Y165),"")</f>
        <v>1.0225198624349</v>
      </c>
      <c r="AA159" s="23" t="n">
        <f aca="false">IF(ISNUMBER(Tabelle1!K166),(0.5*Tabelle1!K154+SUM(Tabelle1!K155:K165)+0.5*Tabelle1!K166)/12,"")</f>
        <v>152.665085833333</v>
      </c>
      <c r="AB159" s="24" t="n">
        <f aca="false">IFERROR(Tabelle1!K160/AA159,"")</f>
        <v>1.03007389765384</v>
      </c>
      <c r="AC159" s="24" t="n">
        <f aca="false">IFERROR(AVERAGEIFS($AB$7:$AB$294,$B$7:$B$294,$B159,$A$7:$A$294,"&gt;="&amp;EDATE($A159,-12*'Seasonal Factors'!$E$4),$A$7:$A$294,"&lt;="&amp;EDATE($A159,12*'Seasonal Factors'!$E$4)),"")</f>
        <v>1.0105194546925</v>
      </c>
      <c r="AD159" s="24" t="n">
        <f aca="false">IFERROR(AC159/AVERAGE(AC154:AC165),"")</f>
        <v>1.01141386823107</v>
      </c>
      <c r="AE159" s="23" t="n">
        <f aca="false">IF(ISNUMBER(Tabelle1!L166),(0.5*Tabelle1!L154+SUM(Tabelle1!L155:L165)+0.5*Tabelle1!L166)/12,"")</f>
        <v>161.729335416667</v>
      </c>
      <c r="AF159" s="24" t="n">
        <f aca="false">IFERROR(Tabelle1!L160/AE159,"")</f>
        <v>0.994360729831005</v>
      </c>
      <c r="AG159" s="24" t="n">
        <f aca="false">IFERROR(AVERAGEIFS($AF$7:$AF$294,$B$7:$B$294,$B159,$A$7:$A$294,"&gt;="&amp;EDATE($A159,-12*'Seasonal Factors'!$E$4),$A$7:$A$294,"&lt;="&amp;EDATE($A159,12*'Seasonal Factors'!$E$4)),"")</f>
        <v>0.984042218950912</v>
      </c>
      <c r="AH159" s="24" t="n">
        <f aca="false">IFERROR(AG159/AVERAGE(AG154:AG165),"")</f>
        <v>0.988978667112671</v>
      </c>
      <c r="AI159" s="23" t="n">
        <f aca="false">IF(ISNUMBER(Tabelle1!M166),(0.5*Tabelle1!M154+SUM(Tabelle1!M155:M165)+0.5*Tabelle1!M166)/12,"")</f>
        <v>194.6422125</v>
      </c>
      <c r="AJ159" s="24" t="n">
        <f aca="false">IFERROR(Tabelle1!M160/AI159,"")</f>
        <v>0.986881352882279</v>
      </c>
      <c r="AK159" s="24" t="n">
        <f aca="false">IFERROR(AVERAGEIFS($AJ$7:$AJ$294,$B$7:$B$294,$B159,$A$7:$A$294,"&gt;="&amp;EDATE($A159,-12*'Seasonal Factors'!$E$4),$A$7:$A$294,"&lt;="&amp;EDATE($A159,12*'Seasonal Factors'!$E$4)),"")</f>
        <v>0.985374895639537</v>
      </c>
      <c r="AL159" s="24" t="n">
        <f aca="false">IFERROR(AK159/AVERAGE(AK154:AK165),"")</f>
        <v>0.986140734988086</v>
      </c>
      <c r="AM159" s="23" t="n">
        <f aca="false">IF(ISNUMBER(Tabelle1!N166),(0.5*Tabelle1!N154+SUM(Tabelle1!N155:N165)+0.5*Tabelle1!N166)/12,"")</f>
        <v>175.45941</v>
      </c>
      <c r="AN159" s="24" t="n">
        <f aca="false">IFERROR(Tabelle1!N160/AM159,"")</f>
        <v>0.977007616747372</v>
      </c>
      <c r="AO159" s="24" t="n">
        <f aca="false">IFERROR(AVERAGEIFS($AN$7:$AN$294,$B$7:$B$294,$B159,$A$7:$A$294,"&gt;="&amp;EDATE($A159,-12*'Seasonal Factors'!$E$4),$A$7:$A$294,"&lt;="&amp;EDATE($A159,12*'Seasonal Factors'!$E$4)),"")</f>
        <v>0.995854566770245</v>
      </c>
      <c r="AP159" s="24" t="n">
        <f aca="false">IFERROR(AO159/AVERAGE(AO154:AO165),"")</f>
        <v>0.99536816029654</v>
      </c>
      <c r="AQ159" s="23" t="n">
        <f aca="false">IF(ISNUMBER(Tabelle1!O166),(0.5*Tabelle1!O154+SUM(Tabelle1!O155:O165)+0.5*Tabelle1!O166)/12,"")</f>
        <v>136.445637916667</v>
      </c>
      <c r="AR159" s="24" t="n">
        <f aca="false">IFERROR(Tabelle1!O160/AQ159,"")</f>
        <v>0.998913941706534</v>
      </c>
      <c r="AS159" s="24" t="n">
        <f aca="false">IFERROR(AVERAGEIFS($AR$7:$AR$294,$B$7:$B$294,$B159,$A$7:$A$294,"&gt;="&amp;EDATE($A159,-12*'Seasonal Factors'!$E$4),$A$7:$A$294,"&lt;="&amp;EDATE($A159,12*'Seasonal Factors'!$E$4)),"")</f>
        <v>1.00080006474743</v>
      </c>
      <c r="AT159" s="24" t="n">
        <f aca="false">IFERROR(AS159/AVERAGE(AS154:AS165),"")</f>
        <v>1.00118442979246</v>
      </c>
      <c r="AU159" s="23" t="n">
        <f aca="false">IF(ISNUMBER(Tabelle1!P166),(0.5*Tabelle1!P154+SUM(Tabelle1!P155:P165)+0.5*Tabelle1!P166)/12,"")</f>
        <v>153.109394583333</v>
      </c>
      <c r="AV159" s="24" t="n">
        <f aca="false">IFERROR(Tabelle1!P160/AU159,"")</f>
        <v>0.998340372359091</v>
      </c>
      <c r="AW159" s="24" t="n">
        <f aca="false">IFERROR(AVERAGEIFS($AV$7:$AV$294,$B$7:$B$294,$B159,$A$7:$A$294,"&gt;="&amp;EDATE($A159,-12*'Seasonal Factors'!$E$4),$A$7:$A$294,"&lt;="&amp;EDATE($A159,12*'Seasonal Factors'!$E$4)),"")</f>
        <v>0.997435538648692</v>
      </c>
      <c r="AX159" s="24" t="n">
        <f aca="false">IFERROR(AW159/AVERAGE(AW154:AW165),"")</f>
        <v>0.99757160569844</v>
      </c>
      <c r="AY159" s="23" t="n">
        <f aca="false">IF(ISNUMBER(Tabelle1!Q166),(0.5*Tabelle1!Q154+SUM(Tabelle1!Q155:Q165)+0.5*Tabelle1!Q166)/12,"")</f>
        <v>156.477870833333</v>
      </c>
      <c r="AZ159" s="24" t="n">
        <f aca="false">IFERROR(Tabelle1!Q160/AY159,"")</f>
        <v>1.01037641398122</v>
      </c>
      <c r="BA159" s="24" t="n">
        <f aca="false">IFERROR(AVERAGEIFS($AZ$7:$AZ$294,$B$7:$B$294,$B159,$A$7:$A$294,"&gt;="&amp;EDATE($A159,-12*'Seasonal Factors'!$E$4),$A$7:$A$294,"&lt;="&amp;EDATE($A159,12*'Seasonal Factors'!$E$4)),"")</f>
        <v>1.01046230692893</v>
      </c>
      <c r="BB159" s="24" t="n">
        <f aca="false">IFERROR(BA159/AVERAGE(BA154:BA165),"")</f>
        <v>1.01042798991635</v>
      </c>
      <c r="BC159" s="23" t="n">
        <f aca="false">IF(ISNUMBER(Tabelle1!R166),(0.5*Tabelle1!R154+SUM(Tabelle1!R155:R165)+0.5*Tabelle1!R166)/12,"")</f>
        <v>175.26957</v>
      </c>
      <c r="BD159" s="24" t="n">
        <f aca="false">IFERROR(Tabelle1!R160/BC159,"")</f>
        <v>0.985173980857031</v>
      </c>
      <c r="BE159" s="24" t="n">
        <f aca="false">IFERROR(AVERAGEIFS($BD$7:$BD$294,$B$7:$B$294,$B159,$A$7:$A$294,"&gt;="&amp;EDATE($A159,-12*'Seasonal Factors'!$E$4),$A$7:$A$294,"&lt;="&amp;EDATE($A159,12*'Seasonal Factors'!$E$4)),"")</f>
        <v>0.988934791188144</v>
      </c>
      <c r="BF159" s="24" t="n">
        <f aca="false">IFERROR(BE159/AVERAGE(BE154:BE165),"")</f>
        <v>0.988996822270691</v>
      </c>
      <c r="BG159" s="23" t="n">
        <f aca="false">IF(ISNUMBER(Tabelle1!S166),(0.5*Tabelle1!S154+SUM(Tabelle1!S155:S165)+0.5*Tabelle1!S166)/12,"")</f>
        <v>149.755375833333</v>
      </c>
      <c r="BH159" s="24" t="n">
        <f aca="false">IFERROR(Tabelle1!S160/BG159,"")</f>
        <v>0.953116368649448</v>
      </c>
      <c r="BI159" s="24" t="n">
        <f aca="false">IFERROR(AVERAGEIFS($BH$7:$BH$294,$B$7:$B$294,$B159,$A$7:$A$294,"&gt;="&amp;EDATE($A159,-12*'Seasonal Factors'!$E$4),$A$7:$A$294,"&lt;="&amp;EDATE($A159,12*'Seasonal Factors'!$E$4)),"")</f>
        <v>0.959441502646901</v>
      </c>
      <c r="BJ159" s="24" t="n">
        <f aca="false">IFERROR(BI159/AVERAGE(BI154:BI165),"")</f>
        <v>0.960643669311748</v>
      </c>
    </row>
    <row r="160" customFormat="false" ht="15" hidden="false" customHeight="false" outlineLevel="0" collapsed="false">
      <c r="A160" s="20" t="n">
        <v>42674</v>
      </c>
      <c r="B160" s="22" t="n">
        <f aca="false">MONTH(A160)</f>
        <v>10</v>
      </c>
      <c r="C160" s="23" t="n">
        <f aca="false">IF(ISNUMBER(Tabelle1!E167),(0.5*Tabelle1!E155+SUM(Tabelle1!E156:E166)+0.5*Tabelle1!E167)/12,"")</f>
        <v>130.080479166667</v>
      </c>
      <c r="D160" s="24" t="n">
        <f aca="false">IFERROR(Tabelle1!E161/C160,"")</f>
        <v>0.544578790405875</v>
      </c>
      <c r="E160" s="24" t="n">
        <f aca="false">IFERROR(AVERAGEIFS($D$7:$D$294,$B$7:$B$294,$B160,$A$7:$A$294,"&gt;="&amp;EDATE($A160,-12*'Seasonal Factors'!$E$4),$A$7:$A$294,"&lt;="&amp;EDATE($A160,12*'Seasonal Factors'!$E$4)),"")</f>
        <v>0.58597345259685</v>
      </c>
      <c r="F160" s="24" t="n">
        <f aca="false">IFERROR(E160/AVERAGE(E155:E166),"")</f>
        <v>0.585832912477413</v>
      </c>
      <c r="G160" s="23" t="n">
        <f aca="false">IF(ISNUMBER(Tabelle1!F167),(0.5*Tabelle1!F155+SUM(Tabelle1!F156:F166)+0.5*Tabelle1!F167)/12,"")</f>
        <v>163.316722916667</v>
      </c>
      <c r="H160" s="24" t="n">
        <f aca="false">IFERROR(Tabelle1!F161/G160,"")</f>
        <v>1.37575868525507</v>
      </c>
      <c r="I160" s="24" t="n">
        <f aca="false">IFERROR(AVERAGEIFS($H$7:$H$294,$B$7:$B$294,$B160,$A$7:$A$294,"&gt;="&amp;EDATE($A160,-12*'Seasonal Factors'!$E$4),$A$7:$A$294,"&lt;="&amp;EDATE($A160,12*'Seasonal Factors'!$E$4)),"")</f>
        <v>1.33865859909654</v>
      </c>
      <c r="J160" s="24" t="n">
        <f aca="false">IFERROR(I160/AVERAGE(I155:I166),"")</f>
        <v>1.34224085841079</v>
      </c>
      <c r="K160" s="23" t="n">
        <f aca="false">IF(ISNUMBER(Tabelle1!G167),(0.5*Tabelle1!G155+SUM(Tabelle1!G156:G166)+0.5*Tabelle1!G167)/12,"")</f>
        <v>88.3536979166667</v>
      </c>
      <c r="L160" s="24" t="n">
        <f aca="false">IFERROR(Tabelle1!G161/K160,"")</f>
        <v>1.01833519277101</v>
      </c>
      <c r="M160" s="24" t="n">
        <f aca="false">IFERROR(AVERAGEIFS($L$7:$L$294,$B$7:$B$294,$B160,$A$7:$A$294,"&gt;="&amp;EDATE($A160,-12*'Seasonal Factors'!$E$4),$A$7:$A$294,"&lt;="&amp;EDATE($A160,12*'Seasonal Factors'!$E$4)),"")</f>
        <v>1.02389031299309</v>
      </c>
      <c r="N160" s="24" t="n">
        <f aca="false">IFERROR(M160/AVERAGE(M155:M166),"")</f>
        <v>1.02528639602517</v>
      </c>
      <c r="O160" s="23" t="n">
        <f aca="false">IF(ISNUMBER(Tabelle1!H167),(0.5*Tabelle1!H155+SUM(Tabelle1!H156:H166)+0.5*Tabelle1!H167)/12,"")</f>
        <v>127.72451</v>
      </c>
      <c r="P160" s="24" t="n">
        <f aca="false">IFERROR(Tabelle1!H161/O160,"")</f>
        <v>1.05309630860984</v>
      </c>
      <c r="Q160" s="24" t="n">
        <f aca="false">IFERROR(AVERAGEIFS($P$7:$P$294,$B$7:$B$294,$B160,$A$7:$A$294,"&gt;="&amp;EDATE($A160,-12*'Seasonal Factors'!$E$4),$A$7:$A$294,"&lt;="&amp;EDATE($A160,12*'Seasonal Factors'!$E$4)),"")</f>
        <v>1.08818057143424</v>
      </c>
      <c r="R160" s="24" t="n">
        <f aca="false">IFERROR(Q160/AVERAGE(Q155:Q166),"")</f>
        <v>1.08910229296683</v>
      </c>
      <c r="S160" s="23" t="n">
        <f aca="false">IF(ISNUMBER(Tabelle1!I167),(0.5*Tabelle1!I155+SUM(Tabelle1!I156:I166)+0.5*Tabelle1!I167)/12,"")</f>
        <v>144.711730416667</v>
      </c>
      <c r="T160" s="24" t="n">
        <f aca="false">IFERROR(Tabelle1!I161/S160,"")</f>
        <v>0.934082258644818</v>
      </c>
      <c r="U160" s="24" t="n">
        <f aca="false">IFERROR(AVERAGEIFS($T$7:$T$294,$B$7:$B$294,$B160,$A$7:$A$294,"&gt;="&amp;EDATE($A160,-12*'Seasonal Factors'!$E$4),$A$7:$A$294,"&lt;="&amp;EDATE($A160,12*'Seasonal Factors'!$E$4)),"")</f>
        <v>0.958246874858636</v>
      </c>
      <c r="V160" s="24" t="n">
        <f aca="false">IFERROR(U160/AVERAGE(U155:U166),"")</f>
        <v>0.959401715837081</v>
      </c>
      <c r="W160" s="23" t="n">
        <f aca="false">IF(ISNUMBER(Tabelle1!J167),(0.5*Tabelle1!J155+SUM(Tabelle1!J156:J166)+0.5*Tabelle1!J167)/12,"")</f>
        <v>135.471975833333</v>
      </c>
      <c r="X160" s="24" t="n">
        <f aca="false">IFERROR(Tabelle1!J161/W160,"")</f>
        <v>0.942017116196805</v>
      </c>
      <c r="Y160" s="24" t="n">
        <f aca="false">IFERROR(AVERAGEIFS($X$7:$X$294,$B$7:$B$294,$B160,$A$7:$A$294,"&gt;="&amp;EDATE($A160,-12*'Seasonal Factors'!$E$4),$A$7:$A$294,"&lt;="&amp;EDATE($A160,12*'Seasonal Factors'!$E$4)),"")</f>
        <v>1.00258238345715</v>
      </c>
      <c r="Z160" s="24" t="n">
        <f aca="false">IFERROR(Y160/AVERAGE(Y155:Y166),"")</f>
        <v>1.00371800347962</v>
      </c>
      <c r="AA160" s="23" t="n">
        <f aca="false">IF(ISNUMBER(Tabelle1!K167),(0.5*Tabelle1!K155+SUM(Tabelle1!K156:K166)+0.5*Tabelle1!K167)/12,"")</f>
        <v>152.32273</v>
      </c>
      <c r="AB160" s="24" t="n">
        <f aca="false">IFERROR(Tabelle1!K161/AA160,"")</f>
        <v>1.01577971980938</v>
      </c>
      <c r="AC160" s="24" t="n">
        <f aca="false">IFERROR(AVERAGEIFS($AB$7:$AB$294,$B$7:$B$294,$B160,$A$7:$A$294,"&gt;="&amp;EDATE($A160,-12*'Seasonal Factors'!$E$4),$A$7:$A$294,"&lt;="&amp;EDATE($A160,12*'Seasonal Factors'!$E$4)),"")</f>
        <v>1.05136376388474</v>
      </c>
      <c r="AD160" s="24" t="n">
        <f aca="false">IFERROR(AC160/AVERAGE(AC155:AC166),"")</f>
        <v>1.05151121952006</v>
      </c>
      <c r="AE160" s="23" t="n">
        <f aca="false">IF(ISNUMBER(Tabelle1!L167),(0.5*Tabelle1!L155+SUM(Tabelle1!L156:L166)+0.5*Tabelle1!L167)/12,"")</f>
        <v>162.027054583333</v>
      </c>
      <c r="AF160" s="24" t="n">
        <f aca="false">IFERROR(Tabelle1!L161/AE160,"")</f>
        <v>1.04902758639349</v>
      </c>
      <c r="AG160" s="24" t="n">
        <f aca="false">IFERROR(AVERAGEIFS($AF$7:$AF$294,$B$7:$B$294,$B160,$A$7:$A$294,"&gt;="&amp;EDATE($A160,-12*'Seasonal Factors'!$E$4),$A$7:$A$294,"&lt;="&amp;EDATE($A160,12*'Seasonal Factors'!$E$4)),"")</f>
        <v>1.03871748525477</v>
      </c>
      <c r="AH160" s="24" t="n">
        <f aca="false">IFERROR(AG160/AVERAGE(AG155:AG166),"")</f>
        <v>1.04385452366035</v>
      </c>
      <c r="AI160" s="23" t="n">
        <f aca="false">IF(ISNUMBER(Tabelle1!M167),(0.5*Tabelle1!M155+SUM(Tabelle1!M156:M166)+0.5*Tabelle1!M167)/12,"")</f>
        <v>195.07939625</v>
      </c>
      <c r="AJ160" s="24" t="n">
        <f aca="false">IFERROR(Tabelle1!M161/AI160,"")</f>
        <v>0.985926621146184</v>
      </c>
      <c r="AK160" s="24" t="n">
        <f aca="false">IFERROR(AVERAGEIFS($AJ$7:$AJ$294,$B$7:$B$294,$B160,$A$7:$A$294,"&gt;="&amp;EDATE($A160,-12*'Seasonal Factors'!$E$4),$A$7:$A$294,"&lt;="&amp;EDATE($A160,12*'Seasonal Factors'!$E$4)),"")</f>
        <v>0.99393680610871</v>
      </c>
      <c r="AL160" s="24" t="n">
        <f aca="false">IFERROR(AK160/AVERAGE(AK155:AK166),"")</f>
        <v>0.994428799307107</v>
      </c>
      <c r="AM160" s="23" t="n">
        <f aca="false">IF(ISNUMBER(Tabelle1!N167),(0.5*Tabelle1!N155+SUM(Tabelle1!N156:N166)+0.5*Tabelle1!N167)/12,"")</f>
        <v>175.906655416667</v>
      </c>
      <c r="AN160" s="24" t="n">
        <f aca="false">IFERROR(Tabelle1!N161/AM160,"")</f>
        <v>0.987880586941882</v>
      </c>
      <c r="AO160" s="24" t="n">
        <f aca="false">IFERROR(AVERAGEIFS($AN$7:$AN$294,$B$7:$B$294,$B160,$A$7:$A$294,"&gt;="&amp;EDATE($A160,-12*'Seasonal Factors'!$E$4),$A$7:$A$294,"&lt;="&amp;EDATE($A160,12*'Seasonal Factors'!$E$4)),"")</f>
        <v>1.01212055545952</v>
      </c>
      <c r="AP160" s="24" t="n">
        <f aca="false">IFERROR(AO160/AVERAGE(AO155:AO166),"")</f>
        <v>1.01116213869501</v>
      </c>
      <c r="AQ160" s="23" t="n">
        <f aca="false">IF(ISNUMBER(Tabelle1!O167),(0.5*Tabelle1!O155+SUM(Tabelle1!O156:O166)+0.5*Tabelle1!O167)/12,"")</f>
        <v>136.653327083333</v>
      </c>
      <c r="AR160" s="24" t="n">
        <f aca="false">IFERROR(Tabelle1!O161/AQ160,"")</f>
        <v>0.99903941538684</v>
      </c>
      <c r="AS160" s="24" t="n">
        <f aca="false">IFERROR(AVERAGEIFS($AR$7:$AR$294,$B$7:$B$294,$B160,$A$7:$A$294,"&gt;="&amp;EDATE($A160,-12*'Seasonal Factors'!$E$4),$A$7:$A$294,"&lt;="&amp;EDATE($A160,12*'Seasonal Factors'!$E$4)),"")</f>
        <v>1.01220973393135</v>
      </c>
      <c r="AT160" s="24" t="n">
        <f aca="false">IFERROR(AS160/AVERAGE(AS155:AS166),"")</f>
        <v>1.01223889590858</v>
      </c>
      <c r="AU160" s="23" t="n">
        <f aca="false">IF(ISNUMBER(Tabelle1!P167),(0.5*Tabelle1!P155+SUM(Tabelle1!P156:P166)+0.5*Tabelle1!P167)/12,"")</f>
        <v>153.24639375</v>
      </c>
      <c r="AV160" s="24" t="n">
        <f aca="false">IFERROR(Tabelle1!P161/AU160,"")</f>
        <v>0.998989054514048</v>
      </c>
      <c r="AW160" s="24" t="n">
        <f aca="false">IFERROR(AVERAGEIFS($AV$7:$AV$294,$B$7:$B$294,$B160,$A$7:$A$294,"&gt;="&amp;EDATE($A160,-12*'Seasonal Factors'!$E$4),$A$7:$A$294,"&lt;="&amp;EDATE($A160,12*'Seasonal Factors'!$E$4)),"")</f>
        <v>1.00191139165961</v>
      </c>
      <c r="AX160" s="24" t="n">
        <f aca="false">IFERROR(AW160/AVERAGE(AW155:AW166),"")</f>
        <v>1.00208884770651</v>
      </c>
      <c r="AY160" s="23" t="n">
        <f aca="false">IF(ISNUMBER(Tabelle1!Q167),(0.5*Tabelle1!Q155+SUM(Tabelle1!Q156:Q166)+0.5*Tabelle1!Q167)/12,"")</f>
        <v>156.592267083333</v>
      </c>
      <c r="AZ160" s="24" t="n">
        <f aca="false">IFERROR(Tabelle1!Q161/AY160,"")</f>
        <v>1.01662357257579</v>
      </c>
      <c r="BA160" s="24" t="n">
        <f aca="false">IFERROR(AVERAGEIFS($AZ$7:$AZ$294,$B$7:$B$294,$B160,$A$7:$A$294,"&gt;="&amp;EDATE($A160,-12*'Seasonal Factors'!$E$4),$A$7:$A$294,"&lt;="&amp;EDATE($A160,12*'Seasonal Factors'!$E$4)),"")</f>
        <v>1.01267419431062</v>
      </c>
      <c r="BB160" s="24" t="n">
        <f aca="false">IFERROR(BA160/AVERAGE(BA155:BA166),"")</f>
        <v>1.01262574389059</v>
      </c>
      <c r="BC160" s="23" t="n">
        <f aca="false">IF(ISNUMBER(Tabelle1!R167),(0.5*Tabelle1!R155+SUM(Tabelle1!R156:R166)+0.5*Tabelle1!R167)/12,"")</f>
        <v>175.59312625</v>
      </c>
      <c r="BD160" s="24" t="n">
        <f aca="false">IFERROR(Tabelle1!R161/BC160,"")</f>
        <v>0.958267066561781</v>
      </c>
      <c r="BE160" s="24" t="n">
        <f aca="false">IFERROR(AVERAGEIFS($BD$7:$BD$294,$B$7:$B$294,$B160,$A$7:$A$294,"&gt;="&amp;EDATE($A160,-12*'Seasonal Factors'!$E$4),$A$7:$A$294,"&lt;="&amp;EDATE($A160,12*'Seasonal Factors'!$E$4)),"")</f>
        <v>0.966360441541496</v>
      </c>
      <c r="BF160" s="24" t="n">
        <f aca="false">IFERROR(BE160/AVERAGE(BE155:BE166),"")</f>
        <v>0.966532435579205</v>
      </c>
      <c r="BG160" s="23" t="n">
        <f aca="false">IF(ISNUMBER(Tabelle1!S167),(0.5*Tabelle1!S155+SUM(Tabelle1!S156:S166)+0.5*Tabelle1!S167)/12,"")</f>
        <v>150.11416875</v>
      </c>
      <c r="BH160" s="24" t="n">
        <f aca="false">IFERROR(Tabelle1!S161/BG160,"")</f>
        <v>0.982100232294028</v>
      </c>
      <c r="BI160" s="24" t="n">
        <f aca="false">IFERROR(AVERAGEIFS($BH$7:$BH$294,$B$7:$B$294,$B160,$A$7:$A$294,"&gt;="&amp;EDATE($A160,-12*'Seasonal Factors'!$E$4),$A$7:$A$294,"&lt;="&amp;EDATE($A160,12*'Seasonal Factors'!$E$4)),"")</f>
        <v>1.01276106698757</v>
      </c>
      <c r="BJ160" s="24" t="n">
        <f aca="false">IFERROR(BI160/AVERAGE(BI155:BI166),"")</f>
        <v>1.01494555372606</v>
      </c>
    </row>
    <row r="161" customFormat="false" ht="15" hidden="false" customHeight="false" outlineLevel="0" collapsed="false">
      <c r="A161" s="20" t="n">
        <v>42704</v>
      </c>
      <c r="B161" s="22" t="n">
        <f aca="false">MONTH(A161)</f>
        <v>11</v>
      </c>
      <c r="C161" s="23" t="n">
        <f aca="false">IF(ISNUMBER(Tabelle1!E168),(0.5*Tabelle1!E156+SUM(Tabelle1!E157:E167)+0.5*Tabelle1!E168)/12,"")</f>
        <v>130.499422916667</v>
      </c>
      <c r="D161" s="24" t="n">
        <f aca="false">IFERROR(Tabelle1!E162/C161,"")</f>
        <v>0.663053736683989</v>
      </c>
      <c r="E161" s="24" t="n">
        <f aca="false">IFERROR(AVERAGEIFS($D$7:$D$294,$B$7:$B$294,$B161,$A$7:$A$294,"&gt;="&amp;EDATE($A161,-12*'Seasonal Factors'!$E$4),$A$7:$A$294,"&lt;="&amp;EDATE($A161,12*'Seasonal Factors'!$E$4)),"")</f>
        <v>0.688779284487236</v>
      </c>
      <c r="F161" s="24" t="n">
        <f aca="false">IFERROR(E161/AVERAGE(E156:E167),"")</f>
        <v>0.688323982524519</v>
      </c>
      <c r="G161" s="23" t="n">
        <f aca="false">IF(ISNUMBER(Tabelle1!F168),(0.5*Tabelle1!F156+SUM(Tabelle1!F157:F167)+0.5*Tabelle1!F168)/12,"")</f>
        <v>165.943053333333</v>
      </c>
      <c r="H161" s="24" t="n">
        <f aca="false">IFERROR(Tabelle1!F162/G161,"")</f>
        <v>0.768890938409474</v>
      </c>
      <c r="I161" s="24" t="n">
        <f aca="false">IFERROR(AVERAGEIFS($H$7:$H$294,$B$7:$B$294,$B161,$A$7:$A$294,"&gt;="&amp;EDATE($A161,-12*'Seasonal Factors'!$E$4),$A$7:$A$294,"&lt;="&amp;EDATE($A161,12*'Seasonal Factors'!$E$4)),"")</f>
        <v>0.794500911748794</v>
      </c>
      <c r="J161" s="24" t="n">
        <f aca="false">IFERROR(I161/AVERAGE(I156:I167),"")</f>
        <v>0.797429173314377</v>
      </c>
      <c r="K161" s="23" t="n">
        <f aca="false">IF(ISNUMBER(Tabelle1!G168),(0.5*Tabelle1!G156+SUM(Tabelle1!G157:G167)+0.5*Tabelle1!G168)/12,"")</f>
        <v>87.8251154166667</v>
      </c>
      <c r="L161" s="24" t="n">
        <f aca="false">IFERROR(Tabelle1!G162/K161,"")</f>
        <v>0.978702727485267</v>
      </c>
      <c r="M161" s="24" t="n">
        <f aca="false">IFERROR(AVERAGEIFS($L$7:$L$294,$B$7:$B$294,$B161,$A$7:$A$294,"&gt;="&amp;EDATE($A161,-12*'Seasonal Factors'!$E$4),$A$7:$A$294,"&lt;="&amp;EDATE($A161,12*'Seasonal Factors'!$E$4)),"")</f>
        <v>0.982216820869746</v>
      </c>
      <c r="N161" s="24" t="n">
        <f aca="false">IFERROR(M161/AVERAGE(M156:M167),"")</f>
        <v>0.983228771140867</v>
      </c>
      <c r="O161" s="23" t="n">
        <f aca="false">IF(ISNUMBER(Tabelle1!H168),(0.5*Tabelle1!H156+SUM(Tabelle1!H157:H167)+0.5*Tabelle1!H168)/12,"")</f>
        <v>127.511015833333</v>
      </c>
      <c r="P161" s="24" t="n">
        <f aca="false">IFERROR(Tabelle1!H162/O161,"")</f>
        <v>1.08507762326077</v>
      </c>
      <c r="Q161" s="24" t="n">
        <f aca="false">IFERROR(AVERAGEIFS($P$7:$P$294,$B$7:$B$294,$B161,$A$7:$A$294,"&gt;="&amp;EDATE($A161,-12*'Seasonal Factors'!$E$4),$A$7:$A$294,"&lt;="&amp;EDATE($A161,12*'Seasonal Factors'!$E$4)),"")</f>
        <v>1.05931099859513</v>
      </c>
      <c r="R161" s="24" t="n">
        <f aca="false">IFERROR(Q161/AVERAGE(Q156:Q167),"")</f>
        <v>1.06050191895745</v>
      </c>
      <c r="S161" s="23" t="n">
        <f aca="false">IF(ISNUMBER(Tabelle1!I168),(0.5*Tabelle1!I156+SUM(Tabelle1!I157:I167)+0.5*Tabelle1!I168)/12,"")</f>
        <v>144.229805833333</v>
      </c>
      <c r="T161" s="24" t="n">
        <f aca="false">IFERROR(Tabelle1!I162/S161,"")</f>
        <v>0.926907924666311</v>
      </c>
      <c r="U161" s="24" t="n">
        <f aca="false">IFERROR(AVERAGEIFS($T$7:$T$294,$B$7:$B$294,$B161,$A$7:$A$294,"&gt;="&amp;EDATE($A161,-12*'Seasonal Factors'!$E$4),$A$7:$A$294,"&lt;="&amp;EDATE($A161,12*'Seasonal Factors'!$E$4)),"")</f>
        <v>0.949430339585611</v>
      </c>
      <c r="V161" s="24" t="n">
        <f aca="false">IFERROR(U161/AVERAGE(U156:U167),"")</f>
        <v>0.950335568185193</v>
      </c>
      <c r="W161" s="23" t="n">
        <f aca="false">IF(ISNUMBER(Tabelle1!J168),(0.5*Tabelle1!J156+SUM(Tabelle1!J157:J167)+0.5*Tabelle1!J168)/12,"")</f>
        <v>136.33403375</v>
      </c>
      <c r="X161" s="24" t="n">
        <f aca="false">IFERROR(Tabelle1!J162/W161,"")</f>
        <v>0.98279216358916</v>
      </c>
      <c r="Y161" s="24" t="n">
        <f aca="false">IFERROR(AVERAGEIFS($X$7:$X$294,$B$7:$B$294,$B161,$A$7:$A$294,"&gt;="&amp;EDATE($A161,-12*'Seasonal Factors'!$E$4),$A$7:$A$294,"&lt;="&amp;EDATE($A161,12*'Seasonal Factors'!$E$4)),"")</f>
        <v>1.0074444221503</v>
      </c>
      <c r="Z161" s="24" t="n">
        <f aca="false">IFERROR(Y161/AVERAGE(Y156:Y167),"")</f>
        <v>1.00967235059124</v>
      </c>
      <c r="AA161" s="23" t="n">
        <f aca="false">IF(ISNUMBER(Tabelle1!K168),(0.5*Tabelle1!K156+SUM(Tabelle1!K157:K167)+0.5*Tabelle1!K168)/12,"")</f>
        <v>152.3955825</v>
      </c>
      <c r="AB161" s="24" t="n">
        <f aca="false">IFERROR(Tabelle1!K162/AA161,"")</f>
        <v>1.07647628171899</v>
      </c>
      <c r="AC161" s="24" t="n">
        <f aca="false">IFERROR(AVERAGEIFS($AB$7:$AB$294,$B$7:$B$294,$B161,$A$7:$A$294,"&gt;="&amp;EDATE($A161,-12*'Seasonal Factors'!$E$4),$A$7:$A$294,"&lt;="&amp;EDATE($A161,12*'Seasonal Factors'!$E$4)),"")</f>
        <v>1.05099409204849</v>
      </c>
      <c r="AD161" s="24" t="n">
        <f aca="false">IFERROR(AC161/AVERAGE(AC156:AC167),"")</f>
        <v>1.05119645576812</v>
      </c>
      <c r="AE161" s="23" t="n">
        <f aca="false">IF(ISNUMBER(Tabelle1!L168),(0.5*Tabelle1!L156+SUM(Tabelle1!L157:L167)+0.5*Tabelle1!L168)/12,"")</f>
        <v>162.443645833333</v>
      </c>
      <c r="AF161" s="24" t="n">
        <f aca="false">IFERROR(Tabelle1!L162/AE161,"")</f>
        <v>1.04603112746151</v>
      </c>
      <c r="AG161" s="24" t="n">
        <f aca="false">IFERROR(AVERAGEIFS($AF$7:$AF$294,$B$7:$B$294,$B161,$A$7:$A$294,"&gt;="&amp;EDATE($A161,-12*'Seasonal Factors'!$E$4),$A$7:$A$294,"&lt;="&amp;EDATE($A161,12*'Seasonal Factors'!$E$4)),"")</f>
        <v>1.04771954190333</v>
      </c>
      <c r="AH161" s="24" t="n">
        <f aca="false">IFERROR(AG161/AVERAGE(AG156:AG167),"")</f>
        <v>1.05344955186431</v>
      </c>
      <c r="AI161" s="23" t="n">
        <f aca="false">IF(ISNUMBER(Tabelle1!M168),(0.5*Tabelle1!M156+SUM(Tabelle1!M157:M167)+0.5*Tabelle1!M168)/12,"")</f>
        <v>195.584755</v>
      </c>
      <c r="AJ161" s="24" t="n">
        <f aca="false">IFERROR(Tabelle1!M162/AI161,"")</f>
        <v>0.99224471764172</v>
      </c>
      <c r="AK161" s="24" t="n">
        <f aca="false">IFERROR(AVERAGEIFS($AJ$7:$AJ$294,$B$7:$B$294,$B161,$A$7:$A$294,"&gt;="&amp;EDATE($A161,-12*'Seasonal Factors'!$E$4),$A$7:$A$294,"&lt;="&amp;EDATE($A161,12*'Seasonal Factors'!$E$4)),"")</f>
        <v>0.988987788254368</v>
      </c>
      <c r="AL161" s="24" t="n">
        <f aca="false">IFERROR(AK161/AVERAGE(AK156:AK167),"")</f>
        <v>0.989558691645596</v>
      </c>
      <c r="AM161" s="23" t="n">
        <f aca="false">IF(ISNUMBER(Tabelle1!N168),(0.5*Tabelle1!N156+SUM(Tabelle1!N157:N167)+0.5*Tabelle1!N168)/12,"")</f>
        <v>176.274464166667</v>
      </c>
      <c r="AN161" s="24" t="n">
        <f aca="false">IFERROR(Tabelle1!N162/AM161,"")</f>
        <v>0.989464644380307</v>
      </c>
      <c r="AO161" s="24" t="n">
        <f aca="false">IFERROR(AVERAGEIFS($AN$7:$AN$294,$B$7:$B$294,$B161,$A$7:$A$294,"&gt;="&amp;EDATE($A161,-12*'Seasonal Factors'!$E$4),$A$7:$A$294,"&lt;="&amp;EDATE($A161,12*'Seasonal Factors'!$E$4)),"")</f>
        <v>0.990039789334588</v>
      </c>
      <c r="AP161" s="24" t="n">
        <f aca="false">IFERROR(AO161/AVERAGE(AO156:AO167),"")</f>
        <v>0.989621018004249</v>
      </c>
      <c r="AQ161" s="23" t="n">
        <f aca="false">IF(ISNUMBER(Tabelle1!O168),(0.5*Tabelle1!O156+SUM(Tabelle1!O157:O167)+0.5*Tabelle1!O168)/12,"")</f>
        <v>136.856946666667</v>
      </c>
      <c r="AR161" s="24" t="n">
        <f aca="false">IFERROR(Tabelle1!O162/AQ161,"")</f>
        <v>1.01207789135731</v>
      </c>
      <c r="AS161" s="24" t="n">
        <f aca="false">IFERROR(AVERAGEIFS($AR$7:$AR$294,$B$7:$B$294,$B161,$A$7:$A$294,"&gt;="&amp;EDATE($A161,-12*'Seasonal Factors'!$E$4),$A$7:$A$294,"&lt;="&amp;EDATE($A161,12*'Seasonal Factors'!$E$4)),"")</f>
        <v>1.01385048118929</v>
      </c>
      <c r="AT161" s="24" t="n">
        <f aca="false">IFERROR(AS161/AVERAGE(AS156:AS167),"")</f>
        <v>1.01405879129425</v>
      </c>
      <c r="AU161" s="23" t="n">
        <f aca="false">IF(ISNUMBER(Tabelle1!P168),(0.5*Tabelle1!P156+SUM(Tabelle1!P157:P167)+0.5*Tabelle1!P168)/12,"")</f>
        <v>153.35646375</v>
      </c>
      <c r="AV161" s="24" t="n">
        <f aca="false">IFERROR(Tabelle1!P162/AU161,"")</f>
        <v>1.00144406205376</v>
      </c>
      <c r="AW161" s="24" t="n">
        <f aca="false">IFERROR(AVERAGEIFS($AV$7:$AV$294,$B$7:$B$294,$B161,$A$7:$A$294,"&gt;="&amp;EDATE($A161,-12*'Seasonal Factors'!$E$4),$A$7:$A$294,"&lt;="&amp;EDATE($A161,12*'Seasonal Factors'!$E$4)),"")</f>
        <v>1.00442187365211</v>
      </c>
      <c r="AX161" s="24" t="n">
        <f aca="false">IFERROR(AW161/AVERAGE(AW156:AW167),"")</f>
        <v>1.00468745637968</v>
      </c>
      <c r="AY161" s="23" t="n">
        <f aca="false">IF(ISNUMBER(Tabelle1!Q168),(0.5*Tabelle1!Q156+SUM(Tabelle1!Q157:Q167)+0.5*Tabelle1!Q168)/12,"")</f>
        <v>156.758239166667</v>
      </c>
      <c r="AZ161" s="24" t="n">
        <f aca="false">IFERROR(Tabelle1!Q162/AY161,"")</f>
        <v>1.01831948896976</v>
      </c>
      <c r="BA161" s="24" t="n">
        <f aca="false">IFERROR(AVERAGEIFS($AZ$7:$AZ$294,$B$7:$B$294,$B161,$A$7:$A$294,"&gt;="&amp;EDATE($A161,-12*'Seasonal Factors'!$E$4),$A$7:$A$294,"&lt;="&amp;EDATE($A161,12*'Seasonal Factors'!$E$4)),"")</f>
        <v>1.01373163051174</v>
      </c>
      <c r="BB161" s="24" t="n">
        <f aca="false">IFERROR(BA161/AVERAGE(BA156:BA167),"")</f>
        <v>1.01372839965155</v>
      </c>
      <c r="BC161" s="23" t="n">
        <f aca="false">IF(ISNUMBER(Tabelle1!R168),(0.5*Tabelle1!R156+SUM(Tabelle1!R157:R167)+0.5*Tabelle1!R168)/12,"")</f>
        <v>175.877376666667</v>
      </c>
      <c r="BD161" s="24" t="n">
        <f aca="false">IFERROR(Tabelle1!R162/BC161,"")</f>
        <v>0.955440791674305</v>
      </c>
      <c r="BE161" s="24" t="n">
        <f aca="false">IFERROR(AVERAGEIFS($BD$7:$BD$294,$B$7:$B$294,$B161,$A$7:$A$294,"&gt;="&amp;EDATE($A161,-12*'Seasonal Factors'!$E$4),$A$7:$A$294,"&lt;="&amp;EDATE($A161,12*'Seasonal Factors'!$E$4)),"")</f>
        <v>0.964782859926205</v>
      </c>
      <c r="BF161" s="24" t="n">
        <f aca="false">IFERROR(BE161/AVERAGE(BE156:BE167),"")</f>
        <v>0.964951627429208</v>
      </c>
      <c r="BG161" s="23" t="n">
        <f aca="false">IF(ISNUMBER(Tabelle1!S168),(0.5*Tabelle1!S156+SUM(Tabelle1!S157:S167)+0.5*Tabelle1!S168)/12,"")</f>
        <v>150.380083333333</v>
      </c>
      <c r="BH161" s="24" t="n">
        <f aca="false">IFERROR(Tabelle1!S162/BG161,"")</f>
        <v>0.96706762475749</v>
      </c>
      <c r="BI161" s="24" t="n">
        <f aca="false">IFERROR(AVERAGEIFS($BH$7:$BH$294,$B$7:$B$294,$B161,$A$7:$A$294,"&gt;="&amp;EDATE($A161,-12*'Seasonal Factors'!$E$4),$A$7:$A$294,"&lt;="&amp;EDATE($A161,12*'Seasonal Factors'!$E$4)),"")</f>
        <v>1.00253846439766</v>
      </c>
      <c r="BJ161" s="24" t="n">
        <f aca="false">IFERROR(BI161/AVERAGE(BI156:BI167),"")</f>
        <v>1.00555066510089</v>
      </c>
    </row>
    <row r="162" customFormat="false" ht="15" hidden="false" customHeight="false" outlineLevel="0" collapsed="false">
      <c r="A162" s="20" t="n">
        <v>42735</v>
      </c>
      <c r="B162" s="22" t="n">
        <f aca="false">MONTH(A162)</f>
        <v>12</v>
      </c>
      <c r="C162" s="23" t="n">
        <f aca="false">IF(ISNUMBER(Tabelle1!E169),(0.5*Tabelle1!E157+SUM(Tabelle1!E158:E168)+0.5*Tabelle1!E169)/12,"")</f>
        <v>130.750354583333</v>
      </c>
      <c r="D162" s="24" t="n">
        <f aca="false">IFERROR(Tabelle1!E163/C162,"")</f>
        <v>0.717304287998888</v>
      </c>
      <c r="E162" s="24" t="n">
        <f aca="false">IFERROR(AVERAGEIFS($D$7:$D$294,$B$7:$B$294,$B162,$A$7:$A$294,"&gt;="&amp;EDATE($A162,-12*'Seasonal Factors'!$E$4),$A$7:$A$294,"&lt;="&amp;EDATE($A162,12*'Seasonal Factors'!$E$4)),"")</f>
        <v>0.745198294323795</v>
      </c>
      <c r="F162" s="24" t="n">
        <f aca="false">IFERROR(E162/AVERAGE(E157:E168),"")</f>
        <v>0.7445281345356</v>
      </c>
      <c r="G162" s="23" t="n">
        <f aca="false">IF(ISNUMBER(Tabelle1!F169),(0.5*Tabelle1!F157+SUM(Tabelle1!F158:F168)+0.5*Tabelle1!F169)/12,"")</f>
        <v>168.90808875</v>
      </c>
      <c r="H162" s="24" t="n">
        <f aca="false">IFERROR(Tabelle1!F163/G162,"")</f>
        <v>0.59045325027396</v>
      </c>
      <c r="I162" s="24" t="n">
        <f aca="false">IFERROR(AVERAGEIFS($H$7:$H$294,$B$7:$B$294,$B162,$A$7:$A$294,"&gt;="&amp;EDATE($A162,-12*'Seasonal Factors'!$E$4),$A$7:$A$294,"&lt;="&amp;EDATE($A162,12*'Seasonal Factors'!$E$4)),"")</f>
        <v>0.554492690996617</v>
      </c>
      <c r="J162" s="24" t="n">
        <f aca="false">IFERROR(I162/AVERAGE(I157:I168),"")</f>
        <v>0.555358477480495</v>
      </c>
      <c r="K162" s="23" t="n">
        <f aca="false">IF(ISNUMBER(Tabelle1!G169),(0.5*Tabelle1!G157+SUM(Tabelle1!G158:G168)+0.5*Tabelle1!G169)/12,"")</f>
        <v>87.4499675</v>
      </c>
      <c r="L162" s="24" t="n">
        <f aca="false">IFERROR(Tabelle1!G163/K162,"")</f>
        <v>1.00395577619854</v>
      </c>
      <c r="M162" s="24" t="n">
        <f aca="false">IFERROR(AVERAGEIFS($L$7:$L$294,$B$7:$B$294,$B162,$A$7:$A$294,"&gt;="&amp;EDATE($A162,-12*'Seasonal Factors'!$E$4),$A$7:$A$294,"&lt;="&amp;EDATE($A162,12*'Seasonal Factors'!$E$4)),"")</f>
        <v>1.00984925708217</v>
      </c>
      <c r="N162" s="24" t="n">
        <f aca="false">IFERROR(M162/AVERAGE(M157:M168),"")</f>
        <v>1.01062908831372</v>
      </c>
      <c r="O162" s="23" t="n">
        <f aca="false">IF(ISNUMBER(Tabelle1!H169),(0.5*Tabelle1!H157+SUM(Tabelle1!H158:H168)+0.5*Tabelle1!H169)/12,"")</f>
        <v>128.249474166667</v>
      </c>
      <c r="P162" s="24" t="n">
        <f aca="false">IFERROR(Tabelle1!H163/O162,"")</f>
        <v>1.01548205827926</v>
      </c>
      <c r="Q162" s="24" t="n">
        <f aca="false">IFERROR(AVERAGEIFS($P$7:$P$294,$B$7:$B$294,$B162,$A$7:$A$294,"&gt;="&amp;EDATE($A162,-12*'Seasonal Factors'!$E$4),$A$7:$A$294,"&lt;="&amp;EDATE($A162,12*'Seasonal Factors'!$E$4)),"")</f>
        <v>0.998740937958421</v>
      </c>
      <c r="R162" s="24" t="n">
        <f aca="false">IFERROR(Q162/AVERAGE(Q157:Q168),"")</f>
        <v>0.999156788601344</v>
      </c>
      <c r="S162" s="23" t="n">
        <f aca="false">IF(ISNUMBER(Tabelle1!I169),(0.5*Tabelle1!I157+SUM(Tabelle1!I158:I168)+0.5*Tabelle1!I169)/12,"")</f>
        <v>143.993079166667</v>
      </c>
      <c r="T162" s="24" t="n">
        <f aca="false">IFERROR(Tabelle1!I163/S162,"")</f>
        <v>1.03763146718365</v>
      </c>
      <c r="U162" s="24" t="n">
        <f aca="false">IFERROR(AVERAGEIFS($T$7:$T$294,$B$7:$B$294,$B162,$A$7:$A$294,"&gt;="&amp;EDATE($A162,-12*'Seasonal Factors'!$E$4),$A$7:$A$294,"&lt;="&amp;EDATE($A162,12*'Seasonal Factors'!$E$4)),"")</f>
        <v>1.03976262318839</v>
      </c>
      <c r="V162" s="24" t="n">
        <f aca="false">IFERROR(U162/AVERAGE(U157:U168),"")</f>
        <v>1.04001676856951</v>
      </c>
      <c r="W162" s="23" t="n">
        <f aca="false">IF(ISNUMBER(Tabelle1!J169),(0.5*Tabelle1!J157+SUM(Tabelle1!J158:J168)+0.5*Tabelle1!J169)/12,"")</f>
        <v>137.539601666667</v>
      </c>
      <c r="X162" s="24" t="n">
        <f aca="false">IFERROR(Tabelle1!J163/W162,"")</f>
        <v>0.949397907349376</v>
      </c>
      <c r="Y162" s="24" t="n">
        <f aca="false">IFERROR(AVERAGEIFS($X$7:$X$294,$B$7:$B$294,$B162,$A$7:$A$294,"&gt;="&amp;EDATE($A162,-12*'Seasonal Factors'!$E$4),$A$7:$A$294,"&lt;="&amp;EDATE($A162,12*'Seasonal Factors'!$E$4)),"")</f>
        <v>0.960655893777131</v>
      </c>
      <c r="Z162" s="24" t="n">
        <f aca="false">IFERROR(Y162/AVERAGE(Y157:Y168),"")</f>
        <v>0.963014361830983</v>
      </c>
      <c r="AA162" s="23" t="n">
        <f aca="false">IF(ISNUMBER(Tabelle1!K169),(0.5*Tabelle1!K157+SUM(Tabelle1!K158:K168)+0.5*Tabelle1!K169)/12,"")</f>
        <v>153.304517083333</v>
      </c>
      <c r="AB162" s="24" t="n">
        <f aca="false">IFERROR(Tabelle1!K163/AA162,"")</f>
        <v>0.956859281062552</v>
      </c>
      <c r="AC162" s="24" t="n">
        <f aca="false">IFERROR(AVERAGEIFS($AB$7:$AB$294,$B$7:$B$294,$B162,$A$7:$A$294,"&gt;="&amp;EDATE($A162,-12*'Seasonal Factors'!$E$4),$A$7:$A$294,"&lt;="&amp;EDATE($A162,12*'Seasonal Factors'!$E$4)),"")</f>
        <v>0.955095935705938</v>
      </c>
      <c r="AD162" s="24" t="n">
        <f aca="false">IFERROR(AC162/AVERAGE(AC157:AC168),"")</f>
        <v>0.954888941235872</v>
      </c>
      <c r="AE162" s="23" t="n">
        <f aca="false">IF(ISNUMBER(Tabelle1!L169),(0.5*Tabelle1!L157+SUM(Tabelle1!L158:L168)+0.5*Tabelle1!L169)/12,"")</f>
        <v>162.869572916667</v>
      </c>
      <c r="AF162" s="24" t="n">
        <f aca="false">IFERROR(Tabelle1!L163/AE162,"")</f>
        <v>1.05063264387359</v>
      </c>
      <c r="AG162" s="24" t="n">
        <f aca="false">IFERROR(AVERAGEIFS($AF$7:$AF$294,$B$7:$B$294,$B162,$A$7:$A$294,"&gt;="&amp;EDATE($A162,-12*'Seasonal Factors'!$E$4),$A$7:$A$294,"&lt;="&amp;EDATE($A162,12*'Seasonal Factors'!$E$4)),"")</f>
        <v>1.06418110948215</v>
      </c>
      <c r="AH162" s="24" t="n">
        <f aca="false">IFERROR(AG162/AVERAGE(AG157:AG168),"")</f>
        <v>1.07065345436823</v>
      </c>
      <c r="AI162" s="23" t="n">
        <f aca="false">IF(ISNUMBER(Tabelle1!M169),(0.5*Tabelle1!M157+SUM(Tabelle1!M158:M168)+0.5*Tabelle1!M169)/12,"")</f>
        <v>196.176217083333</v>
      </c>
      <c r="AJ162" s="24" t="n">
        <f aca="false">IFERROR(Tabelle1!M163/AI162,"")</f>
        <v>0.985210760374175</v>
      </c>
      <c r="AK162" s="24" t="n">
        <f aca="false">IFERROR(AVERAGEIFS($AJ$7:$AJ$294,$B$7:$B$294,$B162,$A$7:$A$294,"&gt;="&amp;EDATE($A162,-12*'Seasonal Factors'!$E$4),$A$7:$A$294,"&lt;="&amp;EDATE($A162,12*'Seasonal Factors'!$E$4)),"")</f>
        <v>0.978267680706564</v>
      </c>
      <c r="AL162" s="24" t="n">
        <f aca="false">IFERROR(AK162/AVERAGE(AK157:AK168),"")</f>
        <v>0.978752510564984</v>
      </c>
      <c r="AM162" s="23" t="n">
        <f aca="false">IF(ISNUMBER(Tabelle1!N169),(0.5*Tabelle1!N157+SUM(Tabelle1!N158:N168)+0.5*Tabelle1!N169)/12,"")</f>
        <v>177.027520416667</v>
      </c>
      <c r="AN162" s="24" t="n">
        <f aca="false">IFERROR(Tabelle1!N163/AM162,"")</f>
        <v>1.05196378258975</v>
      </c>
      <c r="AO162" s="24" t="n">
        <f aca="false">IFERROR(AVERAGEIFS($AN$7:$AN$294,$B$7:$B$294,$B162,$A$7:$A$294,"&gt;="&amp;EDATE($A162,-12*'Seasonal Factors'!$E$4),$A$7:$A$294,"&lt;="&amp;EDATE($A162,12*'Seasonal Factors'!$E$4)),"")</f>
        <v>1.03387854733198</v>
      </c>
      <c r="AP162" s="24" t="n">
        <f aca="false">IFERROR(AO162/AVERAGE(AO157:AO168),"")</f>
        <v>1.03361816126397</v>
      </c>
      <c r="AQ162" s="23" t="n">
        <f aca="false">IF(ISNUMBER(Tabelle1!O169),(0.5*Tabelle1!O157+SUM(Tabelle1!O158:O168)+0.5*Tabelle1!O169)/12,"")</f>
        <v>137.1885375</v>
      </c>
      <c r="AR162" s="24" t="n">
        <f aca="false">IFERROR(Tabelle1!O163/AQ162,"")</f>
        <v>1.03367972706903</v>
      </c>
      <c r="AS162" s="24" t="n">
        <f aca="false">IFERROR(AVERAGEIFS($AR$7:$AR$294,$B$7:$B$294,$B162,$A$7:$A$294,"&gt;="&amp;EDATE($A162,-12*'Seasonal Factors'!$E$4),$A$7:$A$294,"&lt;="&amp;EDATE($A162,12*'Seasonal Factors'!$E$4)),"")</f>
        <v>1.03558484191991</v>
      </c>
      <c r="AT162" s="24" t="n">
        <f aca="false">IFERROR(AS162/AVERAGE(AS157:AS168),"")</f>
        <v>1.03592233506694</v>
      </c>
      <c r="AU162" s="23" t="n">
        <f aca="false">IF(ISNUMBER(Tabelle1!P169),(0.5*Tabelle1!P157+SUM(Tabelle1!P158:P168)+0.5*Tabelle1!P169)/12,"")</f>
        <v>153.458093333333</v>
      </c>
      <c r="AV162" s="24" t="n">
        <f aca="false">IFERROR(Tabelle1!P163/AU162,"")</f>
        <v>1.00270592874997</v>
      </c>
      <c r="AW162" s="24" t="n">
        <f aca="false">IFERROR(AVERAGEIFS($AV$7:$AV$294,$B$7:$B$294,$B162,$A$7:$A$294,"&gt;="&amp;EDATE($A162,-12*'Seasonal Factors'!$E$4),$A$7:$A$294,"&lt;="&amp;EDATE($A162,12*'Seasonal Factors'!$E$4)),"")</f>
        <v>1.00944781949332</v>
      </c>
      <c r="AX162" s="24" t="n">
        <f aca="false">IFERROR(AW162/AVERAGE(AW157:AW168),"")</f>
        <v>1.0099484877706</v>
      </c>
      <c r="AY162" s="23" t="n">
        <f aca="false">IF(ISNUMBER(Tabelle1!Q169),(0.5*Tabelle1!Q157+SUM(Tabelle1!Q158:Q168)+0.5*Tabelle1!Q169)/12,"")</f>
        <v>156.923701666667</v>
      </c>
      <c r="AZ162" s="24" t="n">
        <f aca="false">IFERROR(Tabelle1!Q163/AY162,"")</f>
        <v>1.01464277422039</v>
      </c>
      <c r="BA162" s="24" t="n">
        <f aca="false">IFERROR(AVERAGEIFS($AZ$7:$AZ$294,$B$7:$B$294,$B162,$A$7:$A$294,"&gt;="&amp;EDATE($A162,-12*'Seasonal Factors'!$E$4),$A$7:$A$294,"&lt;="&amp;EDATE($A162,12*'Seasonal Factors'!$E$4)),"")</f>
        <v>1.01502050485441</v>
      </c>
      <c r="BB162" s="24" t="n">
        <f aca="false">IFERROR(BA162/AVERAGE(BA157:BA168),"")</f>
        <v>1.01525037759862</v>
      </c>
      <c r="BC162" s="23" t="n">
        <f aca="false">IF(ISNUMBER(Tabelle1!R169),(0.5*Tabelle1!R157+SUM(Tabelle1!R158:R168)+0.5*Tabelle1!R169)/12,"")</f>
        <v>176.189853333333</v>
      </c>
      <c r="BD162" s="24" t="n">
        <f aca="false">IFERROR(Tabelle1!R163/BC162,"")</f>
        <v>0.914513786983874</v>
      </c>
      <c r="BE162" s="24" t="n">
        <f aca="false">IFERROR(AVERAGEIFS($BD$7:$BD$294,$B$7:$B$294,$B162,$A$7:$A$294,"&gt;="&amp;EDATE($A162,-12*'Seasonal Factors'!$E$4),$A$7:$A$294,"&lt;="&amp;EDATE($A162,12*'Seasonal Factors'!$E$4)),"")</f>
        <v>0.927286814590867</v>
      </c>
      <c r="BF162" s="24" t="n">
        <f aca="false">IFERROR(BE162/AVERAGE(BE157:BE168),"")</f>
        <v>0.927366355815494</v>
      </c>
      <c r="BG162" s="23" t="n">
        <f aca="false">IF(ISNUMBER(Tabelle1!S169),(0.5*Tabelle1!S157+SUM(Tabelle1!S158:S168)+0.5*Tabelle1!S169)/12,"")</f>
        <v>149.904337916667</v>
      </c>
      <c r="BH162" s="24" t="n">
        <f aca="false">IFERROR(Tabelle1!S163/BG162,"")</f>
        <v>0.94096509787738</v>
      </c>
      <c r="BI162" s="24" t="n">
        <f aca="false">IFERROR(AVERAGEIFS($BH$7:$BH$294,$B$7:$B$294,$B162,$A$7:$A$294,"&gt;="&amp;EDATE($A162,-12*'Seasonal Factors'!$E$4),$A$7:$A$294,"&lt;="&amp;EDATE($A162,12*'Seasonal Factors'!$E$4)),"")</f>
        <v>0.993944575700819</v>
      </c>
      <c r="BJ162" s="24" t="n">
        <f aca="false">IFERROR(BI162/AVERAGE(BI157:BI168),"")</f>
        <v>0.99741261134616</v>
      </c>
    </row>
    <row r="163" customFormat="false" ht="15" hidden="false" customHeight="false" outlineLevel="0" collapsed="false">
      <c r="A163" s="20" t="n">
        <v>42766</v>
      </c>
      <c r="B163" s="22" t="n">
        <f aca="false">MONTH(A163)</f>
        <v>1</v>
      </c>
      <c r="C163" s="23" t="n">
        <f aca="false">IF(ISNUMBER(Tabelle1!E170),(0.5*Tabelle1!E158+SUM(Tabelle1!E159:E169)+0.5*Tabelle1!E170)/12,"")</f>
        <v>130.925080833333</v>
      </c>
      <c r="D163" s="24" t="n">
        <f aca="false">IFERROR(Tabelle1!E164/C163,"")</f>
        <v>0.51420560194804</v>
      </c>
      <c r="E163" s="24" t="n">
        <f aca="false">IFERROR(AVERAGEIFS($D$7:$D$294,$B$7:$B$294,$B163,$A$7:$A$294,"&gt;="&amp;EDATE($A163,-12*'Seasonal Factors'!$E$4),$A$7:$A$294,"&lt;="&amp;EDATE($A163,12*'Seasonal Factors'!$E$4)),"")</f>
        <v>0.557041917313493</v>
      </c>
      <c r="F163" s="24" t="n">
        <f aca="false">IFERROR(E163/AVERAGE(E158:E169),"")</f>
        <v>0.556763886464453</v>
      </c>
      <c r="G163" s="23" t="n">
        <f aca="false">IF(ISNUMBER(Tabelle1!F170),(0.5*Tabelle1!F158+SUM(Tabelle1!F159:F169)+0.5*Tabelle1!F170)/12,"")</f>
        <v>170.2602175</v>
      </c>
      <c r="H163" s="24" t="n">
        <f aca="false">IFERROR(Tabelle1!F164/G163,"")</f>
        <v>0.441972006760769</v>
      </c>
      <c r="I163" s="24" t="n">
        <f aca="false">IFERROR(AVERAGEIFS($H$7:$H$294,$B$7:$B$294,$B163,$A$7:$A$294,"&gt;="&amp;EDATE($A163,-12*'Seasonal Factors'!$E$4),$A$7:$A$294,"&lt;="&amp;EDATE($A163,12*'Seasonal Factors'!$E$4)),"")</f>
        <v>0.534124410173195</v>
      </c>
      <c r="J163" s="24" t="n">
        <f aca="false">IFERROR(I163/AVERAGE(I158:I169),"")</f>
        <v>0.532535218277574</v>
      </c>
      <c r="K163" s="23" t="n">
        <f aca="false">IF(ISNUMBER(Tabelle1!G170),(0.5*Tabelle1!G158+SUM(Tabelle1!G159:G169)+0.5*Tabelle1!G170)/12,"")</f>
        <v>87.0469808333333</v>
      </c>
      <c r="L163" s="24" t="n">
        <f aca="false">IFERROR(Tabelle1!G164/K163,"")</f>
        <v>1.00040907985924</v>
      </c>
      <c r="M163" s="24" t="n">
        <f aca="false">IFERROR(AVERAGEIFS($L$7:$L$294,$B$7:$B$294,$B163,$A$7:$A$294,"&gt;="&amp;EDATE($A163,-12*'Seasonal Factors'!$E$4),$A$7:$A$294,"&lt;="&amp;EDATE($A163,12*'Seasonal Factors'!$E$4)),"")</f>
        <v>0.99911572440271</v>
      </c>
      <c r="N163" s="24" t="n">
        <f aca="false">IFERROR(M163/AVERAGE(M158:M169),"")</f>
        <v>0.999995981219772</v>
      </c>
      <c r="O163" s="23" t="n">
        <f aca="false">IF(ISNUMBER(Tabelle1!H170),(0.5*Tabelle1!H158+SUM(Tabelle1!H159:H169)+0.5*Tabelle1!H170)/12,"")</f>
        <v>129.227524583333</v>
      </c>
      <c r="P163" s="24" t="n">
        <f aca="false">IFERROR(Tabelle1!H164/O163,"")</f>
        <v>0.872861028358255</v>
      </c>
      <c r="Q163" s="24" t="n">
        <f aca="false">IFERROR(AVERAGEIFS($P$7:$P$294,$B$7:$B$294,$B163,$A$7:$A$294,"&gt;="&amp;EDATE($A163,-12*'Seasonal Factors'!$E$4),$A$7:$A$294,"&lt;="&amp;EDATE($A163,12*'Seasonal Factors'!$E$4)),"")</f>
        <v>0.883487371281703</v>
      </c>
      <c r="R163" s="24" t="n">
        <f aca="false">IFERROR(Q163/AVERAGE(Q158:Q169),"")</f>
        <v>0.883839457176388</v>
      </c>
      <c r="S163" s="23" t="n">
        <f aca="false">IF(ISNUMBER(Tabelle1!I170),(0.5*Tabelle1!I158+SUM(Tabelle1!I159:I169)+0.5*Tabelle1!I170)/12,"")</f>
        <v>143.948154166667</v>
      </c>
      <c r="T163" s="24" t="n">
        <f aca="false">IFERROR(Tabelle1!I164/S163,"")</f>
        <v>1.07925010153395</v>
      </c>
      <c r="U163" s="24" t="n">
        <f aca="false">IFERROR(AVERAGEIFS($T$7:$T$294,$B$7:$B$294,$B163,$A$7:$A$294,"&gt;="&amp;EDATE($A163,-12*'Seasonal Factors'!$E$4),$A$7:$A$294,"&lt;="&amp;EDATE($A163,12*'Seasonal Factors'!$E$4)),"")</f>
        <v>1.0675658296835</v>
      </c>
      <c r="V163" s="24" t="n">
        <f aca="false">IFERROR(U163/AVERAGE(U158:U169),"")</f>
        <v>1.06728174535481</v>
      </c>
      <c r="W163" s="23" t="n">
        <f aca="false">IF(ISNUMBER(Tabelle1!J170),(0.5*Tabelle1!J158+SUM(Tabelle1!J159:J169)+0.5*Tabelle1!J170)/12,"")</f>
        <v>139.002315416667</v>
      </c>
      <c r="X163" s="24" t="n">
        <f aca="false">IFERROR(Tabelle1!J164/W163,"")</f>
        <v>1.01626019377129</v>
      </c>
      <c r="Y163" s="24" t="n">
        <f aca="false">IFERROR(AVERAGEIFS($X$7:$X$294,$B$7:$B$294,$B163,$A$7:$A$294,"&gt;="&amp;EDATE($A163,-12*'Seasonal Factors'!$E$4),$A$7:$A$294,"&lt;="&amp;EDATE($A163,12*'Seasonal Factors'!$E$4)),"")</f>
        <v>1.02679828353772</v>
      </c>
      <c r="Z163" s="24" t="n">
        <f aca="false">IFERROR(Y163/AVERAGE(Y158:Y169),"")</f>
        <v>1.02950345528887</v>
      </c>
      <c r="AA163" s="23" t="n">
        <f aca="false">IF(ISNUMBER(Tabelle1!K170),(0.5*Tabelle1!K158+SUM(Tabelle1!K159:K169)+0.5*Tabelle1!K170)/12,"")</f>
        <v>154.264973333333</v>
      </c>
      <c r="AB163" s="24" t="n">
        <f aca="false">IFERROR(Tabelle1!K164/AA163,"")</f>
        <v>0.852064128102357</v>
      </c>
      <c r="AC163" s="24" t="n">
        <f aca="false">IFERROR(AVERAGEIFS($AB$7:$AB$294,$B$7:$B$294,$B163,$A$7:$A$294,"&gt;="&amp;EDATE($A163,-12*'Seasonal Factors'!$E$4),$A$7:$A$294,"&lt;="&amp;EDATE($A163,12*'Seasonal Factors'!$E$4)),"")</f>
        <v>0.895459650356045</v>
      </c>
      <c r="AD163" s="24" t="n">
        <f aca="false">IFERROR(AC163/AVERAGE(AC158:AC169),"")</f>
        <v>0.895435559132501</v>
      </c>
      <c r="AE163" s="23" t="n">
        <f aca="false">IF(ISNUMBER(Tabelle1!L170),(0.5*Tabelle1!L158+SUM(Tabelle1!L159:L169)+0.5*Tabelle1!L170)/12,"")</f>
        <v>163.433044583333</v>
      </c>
      <c r="AF163" s="24" t="n">
        <f aca="false">IFERROR(Tabelle1!L164/AE163,"")</f>
        <v>1.04843809547114</v>
      </c>
      <c r="AG163" s="24" t="n">
        <f aca="false">IFERROR(AVERAGEIFS($AF$7:$AF$294,$B$7:$B$294,$B163,$A$7:$A$294,"&gt;="&amp;EDATE($A163,-12*'Seasonal Factors'!$E$4),$A$7:$A$294,"&lt;="&amp;EDATE($A163,12*'Seasonal Factors'!$E$4)),"")</f>
        <v>1.11929299203946</v>
      </c>
      <c r="AH163" s="24" t="n">
        <f aca="false">IFERROR(AG163/AVERAGE(AG158:AG169),"")</f>
        <v>1.12703026756273</v>
      </c>
      <c r="AI163" s="23" t="n">
        <f aca="false">IF(ISNUMBER(Tabelle1!M170),(0.5*Tabelle1!M158+SUM(Tabelle1!M159:M169)+0.5*Tabelle1!M170)/12,"")</f>
        <v>196.735510416667</v>
      </c>
      <c r="AJ163" s="24" t="n">
        <f aca="false">IFERROR(Tabelle1!M164/AI163,"")</f>
        <v>0.994781062074192</v>
      </c>
      <c r="AK163" s="24" t="n">
        <f aca="false">IFERROR(AVERAGEIFS($AJ$7:$AJ$294,$B$7:$B$294,$B163,$A$7:$A$294,"&gt;="&amp;EDATE($A163,-12*'Seasonal Factors'!$E$4),$A$7:$A$294,"&lt;="&amp;EDATE($A163,12*'Seasonal Factors'!$E$4)),"")</f>
        <v>0.990192699535629</v>
      </c>
      <c r="AL163" s="24" t="n">
        <f aca="false">IFERROR(AK163/AVERAGE(AK158:AK169),"")</f>
        <v>0.99102294452737</v>
      </c>
      <c r="AM163" s="23" t="n">
        <f aca="false">IF(ISNUMBER(Tabelle1!N170),(0.5*Tabelle1!N158+SUM(Tabelle1!N159:N169)+0.5*Tabelle1!N170)/12,"")</f>
        <v>177.956630416667</v>
      </c>
      <c r="AN163" s="24" t="n">
        <f aca="false">IFERROR(Tabelle1!N164/AM163,"")</f>
        <v>1.03591498427661</v>
      </c>
      <c r="AO163" s="24" t="n">
        <f aca="false">IFERROR(AVERAGEIFS($AN$7:$AN$294,$B$7:$B$294,$B163,$A$7:$A$294,"&gt;="&amp;EDATE($A163,-12*'Seasonal Factors'!$E$4),$A$7:$A$294,"&lt;="&amp;EDATE($A163,12*'Seasonal Factors'!$E$4)),"")</f>
        <v>1.01284487606549</v>
      </c>
      <c r="AP163" s="24" t="n">
        <f aca="false">IFERROR(AO163/AVERAGE(AO158:AO169),"")</f>
        <v>1.01278930804199</v>
      </c>
      <c r="AQ163" s="23" t="n">
        <f aca="false">IF(ISNUMBER(Tabelle1!O170),(0.5*Tabelle1!O158+SUM(Tabelle1!O159:O169)+0.5*Tabelle1!O170)/12,"")</f>
        <v>137.600290833333</v>
      </c>
      <c r="AR163" s="24" t="n">
        <f aca="false">IFERROR(Tabelle1!O164/AQ163,"")</f>
        <v>0.9606512399026</v>
      </c>
      <c r="AS163" s="24" t="n">
        <f aca="false">IFERROR(AVERAGEIFS($AR$7:$AR$294,$B$7:$B$294,$B163,$A$7:$A$294,"&gt;="&amp;EDATE($A163,-12*'Seasonal Factors'!$E$4),$A$7:$A$294,"&lt;="&amp;EDATE($A163,12*'Seasonal Factors'!$E$4)),"")</f>
        <v>0.968776373180619</v>
      </c>
      <c r="AT163" s="24" t="n">
        <f aca="false">IFERROR(AS163/AVERAGE(AS158:AS169),"")</f>
        <v>0.969020429580857</v>
      </c>
      <c r="AU163" s="23" t="n">
        <f aca="false">IF(ISNUMBER(Tabelle1!P170),(0.5*Tabelle1!P158+SUM(Tabelle1!P159:P169)+0.5*Tabelle1!P170)/12,"")</f>
        <v>153.535341666667</v>
      </c>
      <c r="AV163" s="24" t="n">
        <f aca="false">IFERROR(Tabelle1!P164/AU163,"")</f>
        <v>0.997945087670097</v>
      </c>
      <c r="AW163" s="24" t="n">
        <f aca="false">IFERROR(AVERAGEIFS($AV$7:$AV$294,$B$7:$B$294,$B163,$A$7:$A$294,"&gt;="&amp;EDATE($A163,-12*'Seasonal Factors'!$E$4),$A$7:$A$294,"&lt;="&amp;EDATE($A163,12*'Seasonal Factors'!$E$4)),"")</f>
        <v>1.00444384260185</v>
      </c>
      <c r="AX163" s="24" t="n">
        <f aca="false">IFERROR(AW163/AVERAGE(AW158:AW169),"")</f>
        <v>1.00504556852988</v>
      </c>
      <c r="AY163" s="23" t="n">
        <f aca="false">IF(ISNUMBER(Tabelle1!Q170),(0.5*Tabelle1!Q158+SUM(Tabelle1!Q159:Q169)+0.5*Tabelle1!Q170)/12,"")</f>
        <v>157.115119583333</v>
      </c>
      <c r="AZ163" s="24" t="n">
        <f aca="false">IFERROR(Tabelle1!Q164/AY163,"")</f>
        <v>0.972088812362789</v>
      </c>
      <c r="BA163" s="24" t="n">
        <f aca="false">IFERROR(AVERAGEIFS($AZ$7:$AZ$294,$B$7:$B$294,$B163,$A$7:$A$294,"&gt;="&amp;EDATE($A163,-12*'Seasonal Factors'!$E$4),$A$7:$A$294,"&lt;="&amp;EDATE($A163,12*'Seasonal Factors'!$E$4)),"")</f>
        <v>0.979242181266125</v>
      </c>
      <c r="BB163" s="24" t="n">
        <f aca="false">IFERROR(BA163/AVERAGE(BA158:BA169),"")</f>
        <v>0.979557595117799</v>
      </c>
      <c r="BC163" s="23" t="n">
        <f aca="false">IF(ISNUMBER(Tabelle1!R170),(0.5*Tabelle1!R158+SUM(Tabelle1!R159:R169)+0.5*Tabelle1!R170)/12,"")</f>
        <v>176.49314125</v>
      </c>
      <c r="BD163" s="24" t="n">
        <f aca="false">IFERROR(Tabelle1!R164/BC163,"")</f>
        <v>1.00110490837558</v>
      </c>
      <c r="BE163" s="24" t="n">
        <f aca="false">IFERROR(AVERAGEIFS($BD$7:$BD$294,$B$7:$B$294,$B163,$A$7:$A$294,"&gt;="&amp;EDATE($A163,-12*'Seasonal Factors'!$E$4),$A$7:$A$294,"&lt;="&amp;EDATE($A163,12*'Seasonal Factors'!$E$4)),"")</f>
        <v>1.00889996914791</v>
      </c>
      <c r="BF163" s="24" t="n">
        <f aca="false">IFERROR(BE163/AVERAGE(BE158:BE169),"")</f>
        <v>1.00897639353936</v>
      </c>
      <c r="BG163" s="23" t="n">
        <f aca="false">IF(ISNUMBER(Tabelle1!S170),(0.5*Tabelle1!S158+SUM(Tabelle1!S159:S169)+0.5*Tabelle1!S170)/12,"")</f>
        <v>149.628877083333</v>
      </c>
      <c r="BH163" s="24" t="n">
        <f aca="false">IFERROR(Tabelle1!S164/BG163,"")</f>
        <v>1.01092384671013</v>
      </c>
      <c r="BI163" s="24" t="n">
        <f aca="false">IFERROR(AVERAGEIFS($BH$7:$BH$294,$B$7:$B$294,$B163,$A$7:$A$294,"&gt;="&amp;EDATE($A163,-12*'Seasonal Factors'!$E$4),$A$7:$A$294,"&lt;="&amp;EDATE($A163,12*'Seasonal Factors'!$E$4)),"")</f>
        <v>1.07517251774964</v>
      </c>
      <c r="BJ163" s="24" t="n">
        <f aca="false">IFERROR(BI163/AVERAGE(BI158:BI169),"")</f>
        <v>1.07975098716593</v>
      </c>
    </row>
    <row r="164" customFormat="false" ht="15" hidden="false" customHeight="false" outlineLevel="0" collapsed="false">
      <c r="A164" s="20" t="n">
        <v>42794</v>
      </c>
      <c r="B164" s="22" t="n">
        <f aca="false">MONTH(A164)</f>
        <v>2</v>
      </c>
      <c r="C164" s="23" t="n">
        <f aca="false">IF(ISNUMBER(Tabelle1!E171),(0.5*Tabelle1!E159+SUM(Tabelle1!E160:E170)+0.5*Tabelle1!E171)/12,"")</f>
        <v>130.9595325</v>
      </c>
      <c r="D164" s="24" t="n">
        <f aca="false">IFERROR(Tabelle1!E165/C164,"")</f>
        <v>0.574059471386705</v>
      </c>
      <c r="E164" s="24" t="n">
        <f aca="false">IFERROR(AVERAGEIFS($D$7:$D$294,$B$7:$B$294,$B164,$A$7:$A$294,"&gt;="&amp;EDATE($A164,-12*'Seasonal Factors'!$E$4),$A$7:$A$294,"&lt;="&amp;EDATE($A164,12*'Seasonal Factors'!$E$4)),"")</f>
        <v>0.569386342272388</v>
      </c>
      <c r="F164" s="24" t="n">
        <f aca="false">IFERROR(E164/AVERAGE(E159:E170),"")</f>
        <v>0.569479215456795</v>
      </c>
      <c r="G164" s="23" t="n">
        <f aca="false">IF(ISNUMBER(Tabelle1!F171),(0.5*Tabelle1!F159+SUM(Tabelle1!F160:F170)+0.5*Tabelle1!F171)/12,"")</f>
        <v>170.78260375</v>
      </c>
      <c r="H164" s="24" t="n">
        <f aca="false">IFERROR(Tabelle1!F165/G164,"")</f>
        <v>0.948188787641669</v>
      </c>
      <c r="I164" s="24" t="n">
        <f aca="false">IFERROR(AVERAGEIFS($H$7:$H$294,$B$7:$B$294,$B164,$A$7:$A$294,"&gt;="&amp;EDATE($A164,-12*'Seasonal Factors'!$E$4),$A$7:$A$294,"&lt;="&amp;EDATE($A164,12*'Seasonal Factors'!$E$4)),"")</f>
        <v>0.842187393901424</v>
      </c>
      <c r="J164" s="24" t="n">
        <f aca="false">IFERROR(I164/AVERAGE(I159:I170),"")</f>
        <v>0.837943816589221</v>
      </c>
      <c r="K164" s="23" t="n">
        <f aca="false">IF(ISNUMBER(Tabelle1!G171),(0.5*Tabelle1!G159+SUM(Tabelle1!G160:G170)+0.5*Tabelle1!G171)/12,"")</f>
        <v>86.7698825</v>
      </c>
      <c r="L164" s="24" t="n">
        <f aca="false">IFERROR(Tabelle1!G165/K164,"")</f>
        <v>0.929574613633942</v>
      </c>
      <c r="M164" s="24" t="n">
        <f aca="false">IFERROR(AVERAGEIFS($L$7:$L$294,$B$7:$B$294,$B164,$A$7:$A$294,"&gt;="&amp;EDATE($A164,-12*'Seasonal Factors'!$E$4),$A$7:$A$294,"&lt;="&amp;EDATE($A164,12*'Seasonal Factors'!$E$4)),"")</f>
        <v>0.940505669848593</v>
      </c>
      <c r="N164" s="24" t="n">
        <f aca="false">IFERROR(M164/AVERAGE(M159:M170),"")</f>
        <v>0.94138214376234</v>
      </c>
      <c r="O164" s="23" t="n">
        <f aca="false">IF(ISNUMBER(Tabelle1!H171),(0.5*Tabelle1!H159+SUM(Tabelle1!H160:H170)+0.5*Tabelle1!H171)/12,"")</f>
        <v>129.932015</v>
      </c>
      <c r="P164" s="24" t="n">
        <f aca="false">IFERROR(Tabelle1!H165/O164,"")</f>
        <v>0.821945923027516</v>
      </c>
      <c r="Q164" s="24" t="n">
        <f aca="false">IFERROR(AVERAGEIFS($P$7:$P$294,$B$7:$B$294,$B164,$A$7:$A$294,"&gt;="&amp;EDATE($A164,-12*'Seasonal Factors'!$E$4),$A$7:$A$294,"&lt;="&amp;EDATE($A164,12*'Seasonal Factors'!$E$4)),"")</f>
        <v>0.864686344187315</v>
      </c>
      <c r="R164" s="24" t="n">
        <f aca="false">IFERROR(Q164/AVERAGE(Q159:Q170),"")</f>
        <v>0.865001638278296</v>
      </c>
      <c r="S164" s="23" t="n">
        <f aca="false">IF(ISNUMBER(Tabelle1!I171),(0.5*Tabelle1!I159+SUM(Tabelle1!I160:I170)+0.5*Tabelle1!I171)/12,"")</f>
        <v>143.837992916667</v>
      </c>
      <c r="T164" s="24" t="n">
        <f aca="false">IFERROR(Tabelle1!I165/S164,"")</f>
        <v>0.982982361843127</v>
      </c>
      <c r="U164" s="24" t="n">
        <f aca="false">IFERROR(AVERAGEIFS($T$7:$T$294,$B$7:$B$294,$B164,$A$7:$A$294,"&gt;="&amp;EDATE($A164,-12*'Seasonal Factors'!$E$4),$A$7:$A$294,"&lt;="&amp;EDATE($A164,12*'Seasonal Factors'!$E$4)),"")</f>
        <v>0.967937932091199</v>
      </c>
      <c r="V164" s="24" t="n">
        <f aca="false">IFERROR(U164/AVERAGE(U159:U170),"")</f>
        <v>0.967330735684826</v>
      </c>
      <c r="W164" s="23" t="n">
        <f aca="false">IF(ISNUMBER(Tabelle1!J171),(0.5*Tabelle1!J159+SUM(Tabelle1!J160:J170)+0.5*Tabelle1!J171)/12,"")</f>
        <v>140.351703333333</v>
      </c>
      <c r="X164" s="24" t="n">
        <f aca="false">IFERROR(Tabelle1!J165/W164,"")</f>
        <v>0.98008814095618</v>
      </c>
      <c r="Y164" s="24" t="n">
        <f aca="false">IFERROR(AVERAGEIFS($X$7:$X$294,$B$7:$B$294,$B164,$A$7:$A$294,"&gt;="&amp;EDATE($A164,-12*'Seasonal Factors'!$E$4),$A$7:$A$294,"&lt;="&amp;EDATE($A164,12*'Seasonal Factors'!$E$4)),"")</f>
        <v>1.01513141186867</v>
      </c>
      <c r="Z164" s="24" t="n">
        <f aca="false">IFERROR(Y164/AVERAGE(Y159:Y170),"")</f>
        <v>1.01737811861954</v>
      </c>
      <c r="AA164" s="23" t="n">
        <f aca="false">IF(ISNUMBER(Tabelle1!K171),(0.5*Tabelle1!K159+SUM(Tabelle1!K160:K170)+0.5*Tabelle1!K171)/12,"")</f>
        <v>154.98943625</v>
      </c>
      <c r="AB164" s="24" t="n">
        <f aca="false">IFERROR(Tabelle1!K165/AA164,"")</f>
        <v>0.888378416822585</v>
      </c>
      <c r="AC164" s="24" t="n">
        <f aca="false">IFERROR(AVERAGEIFS($AB$7:$AB$294,$B$7:$B$294,$B164,$A$7:$A$294,"&gt;="&amp;EDATE($A164,-12*'Seasonal Factors'!$E$4),$A$7:$A$294,"&lt;="&amp;EDATE($A164,12*'Seasonal Factors'!$E$4)),"")</f>
        <v>0.923482476881291</v>
      </c>
      <c r="AD164" s="24" t="n">
        <f aca="false">IFERROR(AC164/AVERAGE(AC159:AC170),"")</f>
        <v>0.923766149320924</v>
      </c>
      <c r="AE164" s="23" t="n">
        <f aca="false">IF(ISNUMBER(Tabelle1!L171),(0.5*Tabelle1!L159+SUM(Tabelle1!L160:L170)+0.5*Tabelle1!L171)/12,"")</f>
        <v>163.978103333333</v>
      </c>
      <c r="AF164" s="24" t="n">
        <f aca="false">IFERROR(Tabelle1!L165/AE164,"")</f>
        <v>1.00042668298538</v>
      </c>
      <c r="AG164" s="24" t="n">
        <f aca="false">IFERROR(AVERAGEIFS($AF$7:$AF$294,$B$7:$B$294,$B164,$A$7:$A$294,"&gt;="&amp;EDATE($A164,-12*'Seasonal Factors'!$E$4),$A$7:$A$294,"&lt;="&amp;EDATE($A164,12*'Seasonal Factors'!$E$4)),"")</f>
        <v>1.0769246469462</v>
      </c>
      <c r="AH164" s="24" t="n">
        <f aca="false">IFERROR(AG164/AVERAGE(AG159:AG170),"")</f>
        <v>1.08442835358897</v>
      </c>
      <c r="AI164" s="23" t="n">
        <f aca="false">IF(ISNUMBER(Tabelle1!M171),(0.5*Tabelle1!M159+SUM(Tabelle1!M160:M170)+0.5*Tabelle1!M171)/12,"")</f>
        <v>197.144423333333</v>
      </c>
      <c r="AJ164" s="24" t="n">
        <f aca="false">IFERROR(Tabelle1!M165/AI164,"")</f>
        <v>0.941967755719931</v>
      </c>
      <c r="AK164" s="24" t="n">
        <f aca="false">IFERROR(AVERAGEIFS($AJ$7:$AJ$294,$B$7:$B$294,$B164,$A$7:$A$294,"&gt;="&amp;EDATE($A164,-12*'Seasonal Factors'!$E$4),$A$7:$A$294,"&lt;="&amp;EDATE($A164,12*'Seasonal Factors'!$E$4)),"")</f>
        <v>0.952938942211155</v>
      </c>
      <c r="AL164" s="24" t="n">
        <f aca="false">IFERROR(AK164/AVERAGE(AK159:AK170),"")</f>
        <v>0.95385579066299</v>
      </c>
      <c r="AM164" s="23" t="n">
        <f aca="false">IF(ISNUMBER(Tabelle1!N171),(0.5*Tabelle1!N159+SUM(Tabelle1!N160:N170)+0.5*Tabelle1!N171)/12,"")</f>
        <v>178.847072083333</v>
      </c>
      <c r="AN164" s="24" t="n">
        <f aca="false">IFERROR(Tabelle1!N165/AM164,"")</f>
        <v>0.974141471652505</v>
      </c>
      <c r="AO164" s="24" t="n">
        <f aca="false">IFERROR(AVERAGEIFS($AN$7:$AN$294,$B$7:$B$294,$B164,$A$7:$A$294,"&gt;="&amp;EDATE($A164,-12*'Seasonal Factors'!$E$4),$A$7:$A$294,"&lt;="&amp;EDATE($A164,12*'Seasonal Factors'!$E$4)),"")</f>
        <v>0.967856042411941</v>
      </c>
      <c r="AP164" s="24" t="n">
        <f aca="false">IFERROR(AO164/AVERAGE(AO159:AO170),"")</f>
        <v>0.968021252470428</v>
      </c>
      <c r="AQ164" s="23" t="n">
        <f aca="false">IF(ISNUMBER(Tabelle1!O171),(0.5*Tabelle1!O159+SUM(Tabelle1!O160:O170)+0.5*Tabelle1!O171)/12,"")</f>
        <v>138.01201125</v>
      </c>
      <c r="AR164" s="24" t="n">
        <f aca="false">IFERROR(Tabelle1!O165/AQ164,"")</f>
        <v>0.956495299245195</v>
      </c>
      <c r="AS164" s="24" t="n">
        <f aca="false">IFERROR(AVERAGEIFS($AR$7:$AR$294,$B$7:$B$294,$B164,$A$7:$A$294,"&gt;="&amp;EDATE($A164,-12*'Seasonal Factors'!$E$4),$A$7:$A$294,"&lt;="&amp;EDATE($A164,12*'Seasonal Factors'!$E$4)),"")</f>
        <v>0.968854406349971</v>
      </c>
      <c r="AT164" s="24" t="n">
        <f aca="false">IFERROR(AS164/AVERAGE(AS159:AS170),"")</f>
        <v>0.969268541294922</v>
      </c>
      <c r="AU164" s="23" t="n">
        <f aca="false">IF(ISNUMBER(Tabelle1!P171),(0.5*Tabelle1!P159+SUM(Tabelle1!P160:P170)+0.5*Tabelle1!P171)/12,"")</f>
        <v>153.594802083333</v>
      </c>
      <c r="AV164" s="24" t="n">
        <f aca="false">IFERROR(Tabelle1!P165/AU164,"")</f>
        <v>0.997779273265066</v>
      </c>
      <c r="AW164" s="24" t="n">
        <f aca="false">IFERROR(AVERAGEIFS($AV$7:$AV$294,$B$7:$B$294,$B164,$A$7:$A$294,"&gt;="&amp;EDATE($A164,-12*'Seasonal Factors'!$E$4),$A$7:$A$294,"&lt;="&amp;EDATE($A164,12*'Seasonal Factors'!$E$4)),"")</f>
        <v>1.006462310449</v>
      </c>
      <c r="AX164" s="24" t="n">
        <f aca="false">IFERROR(AW164/AVERAGE(AW159:AW170),"")</f>
        <v>1.00720533482976</v>
      </c>
      <c r="AY164" s="23" t="n">
        <f aca="false">IF(ISNUMBER(Tabelle1!Q171),(0.5*Tabelle1!Q159+SUM(Tabelle1!Q160:Q170)+0.5*Tabelle1!Q171)/12,"")</f>
        <v>157.344198333333</v>
      </c>
      <c r="AZ164" s="24" t="n">
        <f aca="false">IFERROR(Tabelle1!Q165/AY164,"")</f>
        <v>0.971184331031208</v>
      </c>
      <c r="BA164" s="24" t="n">
        <f aca="false">IFERROR(AVERAGEIFS($AZ$7:$AZ$294,$B$7:$B$294,$B164,$A$7:$A$294,"&gt;="&amp;EDATE($A164,-12*'Seasonal Factors'!$E$4),$A$7:$A$294,"&lt;="&amp;EDATE($A164,12*'Seasonal Factors'!$E$4)),"")</f>
        <v>0.982429034909735</v>
      </c>
      <c r="BB164" s="24" t="n">
        <f aca="false">IFERROR(BA164/AVERAGE(BA159:BA170),"")</f>
        <v>0.982719919819483</v>
      </c>
      <c r="BC164" s="23" t="n">
        <f aca="false">IF(ISNUMBER(Tabelle1!R171),(0.5*Tabelle1!R159+SUM(Tabelle1!R160:R170)+0.5*Tabelle1!R171)/12,"")</f>
        <v>176.745706666667</v>
      </c>
      <c r="BD164" s="24" t="n">
        <f aca="false">IFERROR(Tabelle1!R165/BC164,"")</f>
        <v>0.94748021413514</v>
      </c>
      <c r="BE164" s="24" t="n">
        <f aca="false">IFERROR(AVERAGEIFS($BD$7:$BD$294,$B$7:$B$294,$B164,$A$7:$A$294,"&gt;="&amp;EDATE($A164,-12*'Seasonal Factors'!$E$4),$A$7:$A$294,"&lt;="&amp;EDATE($A164,12*'Seasonal Factors'!$E$4)),"")</f>
        <v>0.956672642695208</v>
      </c>
      <c r="BF164" s="24" t="n">
        <f aca="false">IFERROR(BE164/AVERAGE(BE159:BE170),"")</f>
        <v>0.956758705128744</v>
      </c>
      <c r="BG164" s="23" t="n">
        <f aca="false">IF(ISNUMBER(Tabelle1!S171),(0.5*Tabelle1!S159+SUM(Tabelle1!S160:S170)+0.5*Tabelle1!S171)/12,"")</f>
        <v>149.841497083333</v>
      </c>
      <c r="BH164" s="24" t="n">
        <f aca="false">IFERROR(Tabelle1!S165/BG164,"")</f>
        <v>0.99984011716514</v>
      </c>
      <c r="BI164" s="24" t="n">
        <f aca="false">IFERROR(AVERAGEIFS($BH$7:$BH$294,$B$7:$B$294,$B164,$A$7:$A$294,"&gt;="&amp;EDATE($A164,-12*'Seasonal Factors'!$E$4),$A$7:$A$294,"&lt;="&amp;EDATE($A164,12*'Seasonal Factors'!$E$4)),"")</f>
        <v>1.04442326632266</v>
      </c>
      <c r="BJ164" s="24" t="n">
        <f aca="false">IFERROR(BI164/AVERAGE(BI159:BI170),"")</f>
        <v>1.04906607000186</v>
      </c>
    </row>
    <row r="165" customFormat="false" ht="15" hidden="false" customHeight="false" outlineLevel="0" collapsed="false">
      <c r="A165" s="20" t="n">
        <v>42825</v>
      </c>
      <c r="B165" s="22" t="n">
        <f aca="false">MONTH(A165)</f>
        <v>3</v>
      </c>
      <c r="C165" s="23" t="n">
        <f aca="false">IF(ISNUMBER(Tabelle1!E172),(0.5*Tabelle1!E160+SUM(Tabelle1!E161:E171)+0.5*Tabelle1!E172)/12,"")</f>
        <v>131.176645</v>
      </c>
      <c r="D165" s="24" t="n">
        <f aca="false">IFERROR(Tabelle1!E166/C165,"")</f>
        <v>1.08419688580997</v>
      </c>
      <c r="E165" s="24" t="n">
        <f aca="false">IFERROR(AVERAGEIFS($D$7:$D$294,$B$7:$B$294,$B165,$A$7:$A$294,"&gt;="&amp;EDATE($A165,-12*'Seasonal Factors'!$E$4),$A$7:$A$294,"&lt;="&amp;EDATE($A165,12*'Seasonal Factors'!$E$4)),"")</f>
        <v>1.12557673813855</v>
      </c>
      <c r="F165" s="24" t="n">
        <f aca="false">IFERROR(E165/AVERAGE(E160:E171),"")</f>
        <v>1.1265961548256</v>
      </c>
      <c r="G165" s="23" t="n">
        <f aca="false">IF(ISNUMBER(Tabelle1!F172),(0.5*Tabelle1!F160+SUM(Tabelle1!F161:F171)+0.5*Tabelle1!F172)/12,"")</f>
        <v>174.196855833333</v>
      </c>
      <c r="H165" s="24" t="n">
        <f aca="false">IFERROR(Tabelle1!F166/G165,"")</f>
        <v>0.856414826124852</v>
      </c>
      <c r="I165" s="24" t="n">
        <f aca="false">IFERROR(AVERAGEIFS($H$7:$H$294,$B$7:$B$294,$B165,$A$7:$A$294,"&gt;="&amp;EDATE($A165,-12*'Seasonal Factors'!$E$4),$A$7:$A$294,"&lt;="&amp;EDATE($A165,12*'Seasonal Factors'!$E$4)),"")</f>
        <v>0.836767565648648</v>
      </c>
      <c r="J165" s="24" t="n">
        <f aca="false">IFERROR(I165/AVERAGE(I160:I171),"")</f>
        <v>0.833771735192507</v>
      </c>
      <c r="K165" s="23" t="n">
        <f aca="false">IF(ISNUMBER(Tabelle1!G172),(0.5*Tabelle1!G160+SUM(Tabelle1!G161:G171)+0.5*Tabelle1!G172)/12,"")</f>
        <v>86.55405375</v>
      </c>
      <c r="L165" s="24" t="n">
        <f aca="false">IFERROR(Tabelle1!G166/K165,"")</f>
        <v>1.02564855317363</v>
      </c>
      <c r="M165" s="24" t="n">
        <f aca="false">IFERROR(AVERAGEIFS($L$7:$L$294,$B$7:$B$294,$B165,$A$7:$A$294,"&gt;="&amp;EDATE($A165,-12*'Seasonal Factors'!$E$4),$A$7:$A$294,"&lt;="&amp;EDATE($A165,12*'Seasonal Factors'!$E$4)),"")</f>
        <v>1.01917590830397</v>
      </c>
      <c r="N165" s="24" t="n">
        <f aca="false">IFERROR(M165/AVERAGE(M160:M171),"")</f>
        <v>1.02024065352561</v>
      </c>
      <c r="O165" s="23" t="n">
        <f aca="false">IF(ISNUMBER(Tabelle1!H172),(0.5*Tabelle1!H160+SUM(Tabelle1!H161:H171)+0.5*Tabelle1!H172)/12,"")</f>
        <v>130.423757083333</v>
      </c>
      <c r="P165" s="24" t="n">
        <f aca="false">IFERROR(Tabelle1!H166/O165,"")</f>
        <v>1.00243132787889</v>
      </c>
      <c r="Q165" s="24" t="n">
        <f aca="false">IFERROR(AVERAGEIFS($P$7:$P$294,$B$7:$B$294,$B165,$A$7:$A$294,"&gt;="&amp;EDATE($A165,-12*'Seasonal Factors'!$E$4),$A$7:$A$294,"&lt;="&amp;EDATE($A165,12*'Seasonal Factors'!$E$4)),"")</f>
        <v>0.992460244102764</v>
      </c>
      <c r="R165" s="24" t="n">
        <f aca="false">IFERROR(Q165/AVERAGE(Q160:Q171),"")</f>
        <v>0.992708691969712</v>
      </c>
      <c r="S165" s="23" t="n">
        <f aca="false">IF(ISNUMBER(Tabelle1!I172),(0.5*Tabelle1!I160+SUM(Tabelle1!I161:I171)+0.5*Tabelle1!I172)/12,"")</f>
        <v>143.679916666667</v>
      </c>
      <c r="T165" s="24" t="n">
        <f aca="false">IFERROR(Tabelle1!I166/S165,"")</f>
        <v>1.01355814631945</v>
      </c>
      <c r="U165" s="24" t="n">
        <f aca="false">IFERROR(AVERAGEIFS($T$7:$T$294,$B$7:$B$294,$B165,$A$7:$A$294,"&gt;="&amp;EDATE($A165,-12*'Seasonal Factors'!$E$4),$A$7:$A$294,"&lt;="&amp;EDATE($A165,12*'Seasonal Factors'!$E$4)),"")</f>
        <v>0.998861565498969</v>
      </c>
      <c r="V165" s="24" t="n">
        <f aca="false">IFERROR(U165/AVERAGE(U160:U171),"")</f>
        <v>0.998170656182368</v>
      </c>
      <c r="W165" s="23" t="n">
        <f aca="false">IF(ISNUMBER(Tabelle1!J172),(0.5*Tabelle1!J160+SUM(Tabelle1!J161:J171)+0.5*Tabelle1!J172)/12,"")</f>
        <v>141.559482916667</v>
      </c>
      <c r="X165" s="24" t="n">
        <f aca="false">IFERROR(Tabelle1!J166/W165,"")</f>
        <v>1.06666870271693</v>
      </c>
      <c r="Y165" s="24" t="n">
        <f aca="false">IFERROR(AVERAGEIFS($X$7:$X$294,$B$7:$B$294,$B165,$A$7:$A$294,"&gt;="&amp;EDATE($A165,-12*'Seasonal Factors'!$E$4),$A$7:$A$294,"&lt;="&amp;EDATE($A165,12*'Seasonal Factors'!$E$4)),"")</f>
        <v>1.02034249417266</v>
      </c>
      <c r="Z165" s="24" t="n">
        <f aca="false">IFERROR(Y165/AVERAGE(Y160:Y171),"")</f>
        <v>1.02220567314138</v>
      </c>
      <c r="AA165" s="23" t="n">
        <f aca="false">IF(ISNUMBER(Tabelle1!K172),(0.5*Tabelle1!K160+SUM(Tabelle1!K161:K171)+0.5*Tabelle1!K172)/12,"")</f>
        <v>155.359675</v>
      </c>
      <c r="AB165" s="24" t="n">
        <f aca="false">IFERROR(Tabelle1!K166/AA165,"")</f>
        <v>1.10043053321269</v>
      </c>
      <c r="AC165" s="24" t="n">
        <f aca="false">IFERROR(AVERAGEIFS($AB$7:$AB$294,$B$7:$B$294,$B165,$A$7:$A$294,"&gt;="&amp;EDATE($A165,-12*'Seasonal Factors'!$E$4),$A$7:$A$294,"&lt;="&amp;EDATE($A165,12*'Seasonal Factors'!$E$4)),"")</f>
        <v>1.06203937304932</v>
      </c>
      <c r="AD165" s="24" t="n">
        <f aca="false">IFERROR(AC165/AVERAGE(AC160:AC171),"")</f>
        <v>1.06228298303774</v>
      </c>
      <c r="AE165" s="23" t="n">
        <f aca="false">IF(ISNUMBER(Tabelle1!L172),(0.5*Tabelle1!L160+SUM(Tabelle1!L161:L171)+0.5*Tabelle1!L172)/12,"")</f>
        <v>164.404753333333</v>
      </c>
      <c r="AF165" s="24" t="n">
        <f aca="false">IFERROR(Tabelle1!L166/AE165,"")</f>
        <v>0.962150830756597</v>
      </c>
      <c r="AG165" s="24" t="n">
        <f aca="false">IFERROR(AVERAGEIFS($AF$7:$AF$294,$B$7:$B$294,$B165,$A$7:$A$294,"&gt;="&amp;EDATE($A165,-12*'Seasonal Factors'!$E$4),$A$7:$A$294,"&lt;="&amp;EDATE($A165,12*'Seasonal Factors'!$E$4)),"")</f>
        <v>0.966485374613832</v>
      </c>
      <c r="AH165" s="24" t="n">
        <f aca="false">IFERROR(AG165/AVERAGE(AG160:AG171),"")</f>
        <v>0.97313372320086</v>
      </c>
      <c r="AI165" s="23" t="n">
        <f aca="false">IF(ISNUMBER(Tabelle1!M172),(0.5*Tabelle1!M160+SUM(Tabelle1!M161:M171)+0.5*Tabelle1!M172)/12,"")</f>
        <v>197.39577875</v>
      </c>
      <c r="AJ165" s="24" t="n">
        <f aca="false">IFERROR(Tabelle1!M166/AI165,"")</f>
        <v>1.01192842757282</v>
      </c>
      <c r="AK165" s="24" t="n">
        <f aca="false">IFERROR(AVERAGEIFS($AJ$7:$AJ$294,$B$7:$B$294,$B165,$A$7:$A$294,"&gt;="&amp;EDATE($A165,-12*'Seasonal Factors'!$E$4),$A$7:$A$294,"&lt;="&amp;EDATE($A165,12*'Seasonal Factors'!$E$4)),"")</f>
        <v>1.00236832435927</v>
      </c>
      <c r="AL165" s="24" t="n">
        <f aca="false">IFERROR(AK165/AVERAGE(AK160:AK171),"")</f>
        <v>1.00320811431705</v>
      </c>
      <c r="AM165" s="23" t="n">
        <f aca="false">IF(ISNUMBER(Tabelle1!N172),(0.5*Tabelle1!N160+SUM(Tabelle1!N161:N171)+0.5*Tabelle1!N172)/12,"")</f>
        <v>179.77518</v>
      </c>
      <c r="AN165" s="24" t="n">
        <f aca="false">IFERROR(Tabelle1!N166/AM165,"")</f>
        <v>1.03742936038223</v>
      </c>
      <c r="AO165" s="24" t="n">
        <f aca="false">IFERROR(AVERAGEIFS($AN$7:$AN$294,$B$7:$B$294,$B165,$A$7:$A$294,"&gt;="&amp;EDATE($A165,-12*'Seasonal Factors'!$E$4),$A$7:$A$294,"&lt;="&amp;EDATE($A165,12*'Seasonal Factors'!$E$4)),"")</f>
        <v>1.01140663279589</v>
      </c>
      <c r="AP165" s="24" t="n">
        <f aca="false">IFERROR(AO165/AVERAGE(AO160:AO171),"")</f>
        <v>1.01166876344532</v>
      </c>
      <c r="AQ165" s="23" t="n">
        <f aca="false">IF(ISNUMBER(Tabelle1!O172),(0.5*Tabelle1!O160+SUM(Tabelle1!O161:O171)+0.5*Tabelle1!O172)/12,"")</f>
        <v>138.405022083333</v>
      </c>
      <c r="AR165" s="24" t="n">
        <f aca="false">IFERROR(Tabelle1!O166/AQ165,"")</f>
        <v>0.996273169314458</v>
      </c>
      <c r="AS165" s="24" t="n">
        <f aca="false">IFERROR(AVERAGEIFS($AR$7:$AR$294,$B$7:$B$294,$B165,$A$7:$A$294,"&gt;="&amp;EDATE($A165,-12*'Seasonal Factors'!$E$4),$A$7:$A$294,"&lt;="&amp;EDATE($A165,12*'Seasonal Factors'!$E$4)),"")</f>
        <v>0.986334063318713</v>
      </c>
      <c r="AT165" s="24" t="n">
        <f aca="false">IFERROR(AS165/AVERAGE(AS160:AS171),"")</f>
        <v>0.986633368219264</v>
      </c>
      <c r="AU165" s="23" t="n">
        <f aca="false">IF(ISNUMBER(Tabelle1!P172),(0.5*Tabelle1!P160+SUM(Tabelle1!P161:P171)+0.5*Tabelle1!P172)/12,"")</f>
        <v>153.661174166667</v>
      </c>
      <c r="AV165" s="24" t="n">
        <f aca="false">IFERROR(Tabelle1!P166/AU165,"")</f>
        <v>1.00021290891151</v>
      </c>
      <c r="AW165" s="24" t="n">
        <f aca="false">IFERROR(AVERAGEIFS($AV$7:$AV$294,$B$7:$B$294,$B165,$A$7:$A$294,"&gt;="&amp;EDATE($A165,-12*'Seasonal Factors'!$E$4),$A$7:$A$294,"&lt;="&amp;EDATE($A165,12*'Seasonal Factors'!$E$4)),"")</f>
        <v>1.00454350694073</v>
      </c>
      <c r="AX165" s="24" t="n">
        <f aca="false">IFERROR(AW165/AVERAGE(AW160:AW171),"")</f>
        <v>1.00538142193851</v>
      </c>
      <c r="AY165" s="23" t="n">
        <f aca="false">IF(ISNUMBER(Tabelle1!Q172),(0.5*Tabelle1!Q160+SUM(Tabelle1!Q161:Q171)+0.5*Tabelle1!Q172)/12,"")</f>
        <v>157.57344625</v>
      </c>
      <c r="AZ165" s="24" t="n">
        <f aca="false">IFERROR(Tabelle1!Q166/AY165,"")</f>
        <v>0.982777261559068</v>
      </c>
      <c r="BA165" s="24" t="n">
        <f aca="false">IFERROR(AVERAGEIFS($AZ$7:$AZ$294,$B$7:$B$294,$B165,$A$7:$A$294,"&gt;="&amp;EDATE($A165,-12*'Seasonal Factors'!$E$4),$A$7:$A$294,"&lt;="&amp;EDATE($A165,12*'Seasonal Factors'!$E$4)),"")</f>
        <v>0.991734128957589</v>
      </c>
      <c r="BB165" s="24" t="n">
        <f aca="false">IFERROR(BA165/AVERAGE(BA160:BA171),"")</f>
        <v>0.99191310273133</v>
      </c>
      <c r="BC165" s="23" t="n">
        <f aca="false">IF(ISNUMBER(Tabelle1!R172),(0.5*Tabelle1!R160+SUM(Tabelle1!R161:R171)+0.5*Tabelle1!R172)/12,"")</f>
        <v>176.990238333333</v>
      </c>
      <c r="BD165" s="24" t="n">
        <f aca="false">IFERROR(Tabelle1!R166/BC165,"")</f>
        <v>1.0255224339444</v>
      </c>
      <c r="BE165" s="24" t="n">
        <f aca="false">IFERROR(AVERAGEIFS($BD$7:$BD$294,$B$7:$B$294,$B165,$A$7:$A$294,"&gt;="&amp;EDATE($A165,-12*'Seasonal Factors'!$E$4),$A$7:$A$294,"&lt;="&amp;EDATE($A165,12*'Seasonal Factors'!$E$4)),"")</f>
        <v>1.02490299313981</v>
      </c>
      <c r="BF165" s="24" t="n">
        <f aca="false">IFERROR(BE165/AVERAGE(BE160:BE171),"")</f>
        <v>1.02498126526209</v>
      </c>
      <c r="BG165" s="23" t="n">
        <f aca="false">IF(ISNUMBER(Tabelle1!S172),(0.5*Tabelle1!S160+SUM(Tabelle1!S161:S171)+0.5*Tabelle1!S172)/12,"")</f>
        <v>150.319474166667</v>
      </c>
      <c r="BH165" s="24" t="n">
        <f aca="false">IFERROR(Tabelle1!S166/BG165,"")</f>
        <v>1.01790896254965</v>
      </c>
      <c r="BI165" s="24" t="n">
        <f aca="false">IFERROR(AVERAGEIFS($BH$7:$BH$294,$B$7:$B$294,$B165,$A$7:$A$294,"&gt;="&amp;EDATE($A165,-12*'Seasonal Factors'!$E$4),$A$7:$A$294,"&lt;="&amp;EDATE($A165,12*'Seasonal Factors'!$E$4)),"")</f>
        <v>1.01184077919273</v>
      </c>
      <c r="BJ165" s="24" t="n">
        <f aca="false">IFERROR(BI165/AVERAGE(BI160:BI171),"")</f>
        <v>1.0165582332061</v>
      </c>
    </row>
    <row r="166" customFormat="false" ht="15" hidden="false" customHeight="false" outlineLevel="0" collapsed="false">
      <c r="A166" s="20" t="n">
        <v>42855</v>
      </c>
      <c r="B166" s="22" t="n">
        <f aca="false">MONTH(A166)</f>
        <v>4</v>
      </c>
      <c r="C166" s="23" t="n">
        <f aca="false">IF(ISNUMBER(Tabelle1!E173),(0.5*Tabelle1!E161+SUM(Tabelle1!E162:E172)+0.5*Tabelle1!E173)/12,"")</f>
        <v>131.602577916667</v>
      </c>
      <c r="D166" s="24" t="n">
        <f aca="false">IFERROR(Tabelle1!E167/C166,"")</f>
        <v>1.76307526549307</v>
      </c>
      <c r="E166" s="24" t="n">
        <f aca="false">IFERROR(AVERAGEIFS($D$7:$D$294,$B$7:$B$294,$B166,$A$7:$A$294,"&gt;="&amp;EDATE($A166,-12*'Seasonal Factors'!$E$4),$A$7:$A$294,"&lt;="&amp;EDATE($A166,12*'Seasonal Factors'!$E$4)),"")</f>
        <v>1.67482883734476</v>
      </c>
      <c r="F166" s="24" t="n">
        <f aca="false">IFERROR(E166/AVERAGE(E161:E172),"")</f>
        <v>1.67737116403577</v>
      </c>
      <c r="G166" s="23" t="n">
        <f aca="false">IF(ISNUMBER(Tabelle1!F173),(0.5*Tabelle1!F161+SUM(Tabelle1!F162:F172)+0.5*Tabelle1!F173)/12,"")</f>
        <v>177.869325416667</v>
      </c>
      <c r="H166" s="24" t="n">
        <f aca="false">IFERROR(Tabelle1!F167/G166,"")</f>
        <v>0.587501694039754</v>
      </c>
      <c r="I166" s="24" t="n">
        <f aca="false">IFERROR(AVERAGEIFS($H$7:$H$294,$B$7:$B$294,$B166,$A$7:$A$294,"&gt;="&amp;EDATE($A166,-12*'Seasonal Factors'!$E$4),$A$7:$A$294,"&lt;="&amp;EDATE($A166,12*'Seasonal Factors'!$E$4)),"")</f>
        <v>0.817236917277215</v>
      </c>
      <c r="J166" s="24" t="n">
        <f aca="false">IFERROR(I166/AVERAGE(I161:I172),"")</f>
        <v>0.817983658014899</v>
      </c>
      <c r="K166" s="23" t="n">
        <f aca="false">IF(ISNUMBER(Tabelle1!G173),(0.5*Tabelle1!G161+SUM(Tabelle1!G162:G172)+0.5*Tabelle1!G173)/12,"")</f>
        <v>86.46869375</v>
      </c>
      <c r="L166" s="24" t="n">
        <f aca="false">IFERROR(Tabelle1!G167/K166,"")</f>
        <v>0.943443533862798</v>
      </c>
      <c r="M166" s="24" t="n">
        <f aca="false">IFERROR(AVERAGEIFS($L$7:$L$294,$B$7:$B$294,$B166,$A$7:$A$294,"&gt;="&amp;EDATE($A166,-12*'Seasonal Factors'!$E$4),$A$7:$A$294,"&lt;="&amp;EDATE($A166,12*'Seasonal Factors'!$E$4)),"")</f>
        <v>0.963613142753158</v>
      </c>
      <c r="N166" s="24" t="n">
        <f aca="false">IFERROR(M166/AVERAGE(M161:M172),"")</f>
        <v>0.964694003161109</v>
      </c>
      <c r="O166" s="23" t="n">
        <f aca="false">IF(ISNUMBER(Tabelle1!H173),(0.5*Tabelle1!H161+SUM(Tabelle1!H162:H172)+0.5*Tabelle1!H173)/12,"")</f>
        <v>130.88221</v>
      </c>
      <c r="P166" s="24" t="n">
        <f aca="false">IFERROR(Tabelle1!H167/O166,"")</f>
        <v>0.937518551986553</v>
      </c>
      <c r="Q166" s="24" t="n">
        <f aca="false">IFERROR(AVERAGEIFS($P$7:$P$294,$B$7:$B$294,$B166,$A$7:$A$294,"&gt;="&amp;EDATE($A166,-12*'Seasonal Factors'!$E$4),$A$7:$A$294,"&lt;="&amp;EDATE($A166,12*'Seasonal Factors'!$E$4)),"")</f>
        <v>0.959029133551288</v>
      </c>
      <c r="R166" s="24" t="n">
        <f aca="false">IFERROR(Q166/AVERAGE(Q161:Q172),"")</f>
        <v>0.959601992416602</v>
      </c>
      <c r="S166" s="23" t="n">
        <f aca="false">IF(ISNUMBER(Tabelle1!I173),(0.5*Tabelle1!I161+SUM(Tabelle1!I162:I172)+0.5*Tabelle1!I173)/12,"")</f>
        <v>143.52074125</v>
      </c>
      <c r="T166" s="24" t="n">
        <f aca="false">IFERROR(Tabelle1!I167/S166,"")</f>
        <v>0.935274503398651</v>
      </c>
      <c r="U166" s="24" t="n">
        <f aca="false">IFERROR(AVERAGEIFS($T$7:$T$294,$B$7:$B$294,$B166,$A$7:$A$294,"&gt;="&amp;EDATE($A166,-12*'Seasonal Factors'!$E$4),$A$7:$A$294,"&lt;="&amp;EDATE($A166,12*'Seasonal Factors'!$E$4)),"")</f>
        <v>0.931078314561968</v>
      </c>
      <c r="V166" s="24" t="n">
        <f aca="false">IFERROR(U166/AVERAGE(U161:U172),"")</f>
        <v>0.931150646395084</v>
      </c>
      <c r="W166" s="23" t="n">
        <f aca="false">IF(ISNUMBER(Tabelle1!J173),(0.5*Tabelle1!J161+SUM(Tabelle1!J162:J172)+0.5*Tabelle1!J173)/12,"")</f>
        <v>143.073000416667</v>
      </c>
      <c r="X166" s="24" t="n">
        <f aca="false">IFERROR(Tabelle1!J167/W166,"")</f>
        <v>0.944574165680648</v>
      </c>
      <c r="Y166" s="24" t="n">
        <f aca="false">IFERROR(AVERAGEIFS($X$7:$X$294,$B$7:$B$294,$B166,$A$7:$A$294,"&gt;="&amp;EDATE($A166,-12*'Seasonal Factors'!$E$4),$A$7:$A$294,"&lt;="&amp;EDATE($A166,12*'Seasonal Factors'!$E$4)),"")</f>
        <v>0.913117134219646</v>
      </c>
      <c r="Z166" s="24" t="n">
        <f aca="false">IFERROR(Y166/AVERAGE(Y161:Y172),"")</f>
        <v>0.914906125747998</v>
      </c>
      <c r="AA166" s="23" t="n">
        <f aca="false">IF(ISNUMBER(Tabelle1!K173),(0.5*Tabelle1!K161+SUM(Tabelle1!K162:K172)+0.5*Tabelle1!K173)/12,"")</f>
        <v>155.958770833333</v>
      </c>
      <c r="AB166" s="24" t="n">
        <f aca="false">IFERROR(Tabelle1!K167/AA166,"")</f>
        <v>0.93226792711375</v>
      </c>
      <c r="AC166" s="24" t="n">
        <f aca="false">IFERROR(AVERAGEIFS($AB$7:$AB$294,$B$7:$B$294,$B166,$A$7:$A$294,"&gt;="&amp;EDATE($A166,-12*'Seasonal Factors'!$E$4),$A$7:$A$294,"&lt;="&amp;EDATE($A166,12*'Seasonal Factors'!$E$4)),"")</f>
        <v>0.972049830688801</v>
      </c>
      <c r="AD166" s="24" t="n">
        <f aca="false">IFERROR(AC166/AVERAGE(AC161:AC172),"")</f>
        <v>0.972893786134946</v>
      </c>
      <c r="AE166" s="23" t="n">
        <f aca="false">IF(ISNUMBER(Tabelle1!L173),(0.5*Tabelle1!L161+SUM(Tabelle1!L162:L172)+0.5*Tabelle1!L173)/12,"")</f>
        <v>164.823447083333</v>
      </c>
      <c r="AF166" s="24" t="n">
        <f aca="false">IFERROR(Tabelle1!L167/AE166,"")</f>
        <v>0.955716330337133</v>
      </c>
      <c r="AG166" s="24" t="n">
        <f aca="false">IFERROR(AVERAGEIFS($AF$7:$AF$294,$B$7:$B$294,$B166,$A$7:$A$294,"&gt;="&amp;EDATE($A166,-12*'Seasonal Factors'!$E$4),$A$7:$A$294,"&lt;="&amp;EDATE($A166,12*'Seasonal Factors'!$E$4)),"")</f>
        <v>0.876011283307444</v>
      </c>
      <c r="AH166" s="24" t="n">
        <f aca="false">IFERROR(AG166/AVERAGE(AG161:AG172),"")</f>
        <v>0.88264979907416</v>
      </c>
      <c r="AI166" s="23" t="n">
        <f aca="false">IF(ISNUMBER(Tabelle1!M173),(0.5*Tabelle1!M161+SUM(Tabelle1!M162:M172)+0.5*Tabelle1!M173)/12,"")</f>
        <v>197.698964583333</v>
      </c>
      <c r="AJ166" s="24" t="n">
        <f aca="false">IFERROR(Tabelle1!M167/AI166,"")</f>
        <v>1.00234313526954</v>
      </c>
      <c r="AK166" s="24" t="n">
        <f aca="false">IFERROR(AVERAGEIFS($AJ$7:$AJ$294,$B$7:$B$294,$B166,$A$7:$A$294,"&gt;="&amp;EDATE($A166,-12*'Seasonal Factors'!$E$4),$A$7:$A$294,"&lt;="&amp;EDATE($A166,12*'Seasonal Factors'!$E$4)),"")</f>
        <v>1.00153982998782</v>
      </c>
      <c r="AL166" s="24" t="n">
        <f aca="false">IFERROR(AK166/AVERAGE(AK161:AK172),"")</f>
        <v>1.00250763747795</v>
      </c>
      <c r="AM166" s="23" t="n">
        <f aca="false">IF(ISNUMBER(Tabelle1!N173),(0.5*Tabelle1!N161+SUM(Tabelle1!N162:N172)+0.5*Tabelle1!N173)/12,"")</f>
        <v>180.90396375</v>
      </c>
      <c r="AN166" s="24" t="n">
        <f aca="false">IFERROR(Tabelle1!N167/AM166,"")</f>
        <v>0.961727075479848</v>
      </c>
      <c r="AO166" s="24" t="n">
        <f aca="false">IFERROR(AVERAGEIFS($AN$7:$AN$294,$B$7:$B$294,$B166,$A$7:$A$294,"&gt;="&amp;EDATE($A166,-12*'Seasonal Factors'!$E$4),$A$7:$A$294,"&lt;="&amp;EDATE($A166,12*'Seasonal Factors'!$E$4)),"")</f>
        <v>0.991773082138651</v>
      </c>
      <c r="AP166" s="24" t="n">
        <f aca="false">IFERROR(AO166/AVERAGE(AO161:AO172),"")</f>
        <v>0.992214485784451</v>
      </c>
      <c r="AQ166" s="23" t="n">
        <f aca="false">IF(ISNUMBER(Tabelle1!O173),(0.5*Tabelle1!O161+SUM(Tabelle1!O162:O172)+0.5*Tabelle1!O173)/12,"")</f>
        <v>138.893014166667</v>
      </c>
      <c r="AR166" s="24" t="n">
        <f aca="false">IFERROR(Tabelle1!O167/AQ166,"")</f>
        <v>0.980247140699427</v>
      </c>
      <c r="AS166" s="24" t="n">
        <f aca="false">IFERROR(AVERAGEIFS($AR$7:$AR$294,$B$7:$B$294,$B166,$A$7:$A$294,"&gt;="&amp;EDATE($A166,-12*'Seasonal Factors'!$E$4),$A$7:$A$294,"&lt;="&amp;EDATE($A166,12*'Seasonal Factors'!$E$4)),"")</f>
        <v>0.981416314751147</v>
      </c>
      <c r="AT166" s="24" t="n">
        <f aca="false">IFERROR(AS166/AVERAGE(AS161:AS172),"")</f>
        <v>0.981822843866143</v>
      </c>
      <c r="AU166" s="23" t="n">
        <f aca="false">IF(ISNUMBER(Tabelle1!P173),(0.5*Tabelle1!P161+SUM(Tabelle1!P162:P172)+0.5*Tabelle1!P173)/12,"")</f>
        <v>153.749146666667</v>
      </c>
      <c r="AV166" s="24" t="n">
        <f aca="false">IFERROR(Tabelle1!P167/AU166,"")</f>
        <v>0.99876931566276</v>
      </c>
      <c r="AW166" s="24" t="n">
        <f aca="false">IFERROR(AVERAGEIFS($AV$7:$AV$294,$B$7:$B$294,$B166,$A$7:$A$294,"&gt;="&amp;EDATE($A166,-12*'Seasonal Factors'!$E$4),$A$7:$A$294,"&lt;="&amp;EDATE($A166,12*'Seasonal Factors'!$E$4)),"")</f>
        <v>0.985683307993619</v>
      </c>
      <c r="AX166" s="24" t="n">
        <f aca="false">IFERROR(AW166/AVERAGE(AW161:AW172),"")</f>
        <v>0.986291990708726</v>
      </c>
      <c r="AY166" s="23" t="n">
        <f aca="false">IF(ISNUMBER(Tabelle1!Q173),(0.5*Tabelle1!Q161+SUM(Tabelle1!Q162:Q172)+0.5*Tabelle1!Q173)/12,"")</f>
        <v>157.76219375</v>
      </c>
      <c r="AZ166" s="24" t="n">
        <f aca="false">IFERROR(Tabelle1!Q167/AY166,"")</f>
        <v>0.986882384804566</v>
      </c>
      <c r="BA166" s="24" t="n">
        <f aca="false">IFERROR(AVERAGEIFS($AZ$7:$AZ$294,$B$7:$B$294,$B166,$A$7:$A$294,"&gt;="&amp;EDATE($A166,-12*'Seasonal Factors'!$E$4),$A$7:$A$294,"&lt;="&amp;EDATE($A166,12*'Seasonal Factors'!$E$4)),"")</f>
        <v>0.983109286212913</v>
      </c>
      <c r="BB166" s="24" t="n">
        <f aca="false">IFERROR(BA166/AVERAGE(BA161:BA172),"")</f>
        <v>0.983246029366495</v>
      </c>
      <c r="BC166" s="23" t="n">
        <f aca="false">IF(ISNUMBER(Tabelle1!R173),(0.5*Tabelle1!R161+SUM(Tabelle1!R162:R172)+0.5*Tabelle1!R173)/12,"")</f>
        <v>177.23764875</v>
      </c>
      <c r="BD166" s="24" t="n">
        <f aca="false">IFERROR(Tabelle1!R167/BC166,"")</f>
        <v>1.04639596218972</v>
      </c>
      <c r="BE166" s="24" t="n">
        <f aca="false">IFERROR(AVERAGEIFS($BD$7:$BD$294,$B$7:$B$294,$B166,$A$7:$A$294,"&gt;="&amp;EDATE($A166,-12*'Seasonal Factors'!$E$4),$A$7:$A$294,"&lt;="&amp;EDATE($A166,12*'Seasonal Factors'!$E$4)),"")</f>
        <v>1.01540030115854</v>
      </c>
      <c r="BF166" s="24" t="n">
        <f aca="false">IFERROR(BE166/AVERAGE(BE161:BE172),"")</f>
        <v>1.01552098368982</v>
      </c>
      <c r="BG166" s="23" t="n">
        <f aca="false">IF(ISNUMBER(Tabelle1!S173),(0.5*Tabelle1!S161+SUM(Tabelle1!S162:S172)+0.5*Tabelle1!S173)/12,"")</f>
        <v>150.913260416667</v>
      </c>
      <c r="BH166" s="24" t="n">
        <f aca="false">IFERROR(Tabelle1!S167/BG166,"")</f>
        <v>1.02781484921699</v>
      </c>
      <c r="BI166" s="24" t="n">
        <f aca="false">IFERROR(AVERAGEIFS($BH$7:$BH$294,$B$7:$B$294,$B166,$A$7:$A$294,"&gt;="&amp;EDATE($A166,-12*'Seasonal Factors'!$E$4),$A$7:$A$294,"&lt;="&amp;EDATE($A166,12*'Seasonal Factors'!$E$4)),"")</f>
        <v>0.912930458626482</v>
      </c>
      <c r="BJ166" s="24" t="n">
        <f aca="false">IFERROR(BI166/AVERAGE(BI161:BI172),"")</f>
        <v>0.917441561663119</v>
      </c>
    </row>
    <row r="167" customFormat="false" ht="15" hidden="false" customHeight="false" outlineLevel="0" collapsed="false">
      <c r="A167" s="20" t="n">
        <v>42886</v>
      </c>
      <c r="B167" s="22" t="n">
        <f aca="false">MONTH(A167)</f>
        <v>5</v>
      </c>
      <c r="C167" s="23" t="n">
        <f aca="false">IF(ISNUMBER(Tabelle1!E174),(0.5*Tabelle1!E162+SUM(Tabelle1!E163:E173)+0.5*Tabelle1!E174)/12,"")</f>
        <v>132.014307083333</v>
      </c>
      <c r="D167" s="24" t="n">
        <f aca="false">IFERROR(Tabelle1!E168/C167,"")</f>
        <v>2.49987154643532</v>
      </c>
      <c r="E167" s="24" t="n">
        <f aca="false">IFERROR(AVERAGEIFS($D$7:$D$294,$B$7:$B$294,$B167,$A$7:$A$294,"&gt;="&amp;EDATE($A167,-12*'Seasonal Factors'!$E$4),$A$7:$A$294,"&lt;="&amp;EDATE($A167,12*'Seasonal Factors'!$E$4)),"")</f>
        <v>2.42562495509947</v>
      </c>
      <c r="F167" s="24" t="n">
        <f aca="false">IFERROR(E167/AVERAGE(E162:E173),"")</f>
        <v>2.42986328880179</v>
      </c>
      <c r="G167" s="23" t="n">
        <f aca="false">IF(ISNUMBER(Tabelle1!F174),(0.5*Tabelle1!F162+SUM(Tabelle1!F163:F173)+0.5*Tabelle1!F174)/12,"")</f>
        <v>178.141277916667</v>
      </c>
      <c r="H167" s="24" t="n">
        <f aca="false">IFERROR(Tabelle1!F168/G167,"")</f>
        <v>0.933193597487081</v>
      </c>
      <c r="I167" s="24" t="n">
        <f aca="false">IFERROR(AVERAGEIFS($H$7:$H$294,$B$7:$B$294,$B167,$A$7:$A$294,"&gt;="&amp;EDATE($A167,-12*'Seasonal Factors'!$E$4),$A$7:$A$294,"&lt;="&amp;EDATE($A167,12*'Seasonal Factors'!$E$4)),"")</f>
        <v>0.919486248336563</v>
      </c>
      <c r="J167" s="24" t="n">
        <f aca="false">IFERROR(I167/AVERAGE(I162:I173),"")</f>
        <v>0.923286517896388</v>
      </c>
      <c r="K167" s="23" t="n">
        <f aca="false">IF(ISNUMBER(Tabelle1!G174),(0.5*Tabelle1!G162+SUM(Tabelle1!G163:G173)+0.5*Tabelle1!G174)/12,"")</f>
        <v>86.5737925</v>
      </c>
      <c r="L167" s="24" t="n">
        <f aca="false">IFERROR(Tabelle1!G168/K167,"")</f>
        <v>1.02754445001355</v>
      </c>
      <c r="M167" s="24" t="n">
        <f aca="false">IFERROR(AVERAGEIFS($L$7:$L$294,$B$7:$B$294,$B167,$A$7:$A$294,"&gt;="&amp;EDATE($A167,-12*'Seasonal Factors'!$E$4),$A$7:$A$294,"&lt;="&amp;EDATE($A167,12*'Seasonal Factors'!$E$4)),"")</f>
        <v>1.02944656699823</v>
      </c>
      <c r="N167" s="24" t="n">
        <f aca="false">IFERROR(M167/AVERAGE(M162:M173),"")</f>
        <v>1.03049981061079</v>
      </c>
      <c r="O167" s="23" t="n">
        <f aca="false">IF(ISNUMBER(Tabelle1!H174),(0.5*Tabelle1!H162+SUM(Tabelle1!H163:H173)+0.5*Tabelle1!H174)/12,"")</f>
        <v>131.522179166667</v>
      </c>
      <c r="P167" s="24" t="n">
        <f aca="false">IFERROR(Tabelle1!H168/O167,"")</f>
        <v>1.01852448650692</v>
      </c>
      <c r="Q167" s="24" t="n">
        <f aca="false">IFERROR(AVERAGEIFS($P$7:$P$294,$B$7:$B$294,$B167,$A$7:$A$294,"&gt;="&amp;EDATE($A167,-12*'Seasonal Factors'!$E$4),$A$7:$A$294,"&lt;="&amp;EDATE($A167,12*'Seasonal Factors'!$E$4)),"")</f>
        <v>1.00748660400925</v>
      </c>
      <c r="R167" s="24" t="n">
        <f aca="false">IFERROR(Q167/AVERAGE(Q162:Q173),"")</f>
        <v>1.00784234927185</v>
      </c>
      <c r="S167" s="23" t="n">
        <f aca="false">IF(ISNUMBER(Tabelle1!I174),(0.5*Tabelle1!I162+SUM(Tabelle1!I163:I173)+0.5*Tabelle1!I174)/12,"")</f>
        <v>143.38781875</v>
      </c>
      <c r="T167" s="24" t="n">
        <f aca="false">IFERROR(Tabelle1!I168/S167,"")</f>
        <v>1.00118086216442</v>
      </c>
      <c r="U167" s="24" t="n">
        <f aca="false">IFERROR(AVERAGEIFS($T$7:$T$294,$B$7:$B$294,$B167,$A$7:$A$294,"&gt;="&amp;EDATE($A167,-12*'Seasonal Factors'!$E$4),$A$7:$A$294,"&lt;="&amp;EDATE($A167,12*'Seasonal Factors'!$E$4)),"")</f>
        <v>0.999276362616414</v>
      </c>
      <c r="V167" s="24" t="n">
        <f aca="false">IFERROR(U167/AVERAGE(U162:U173),"")</f>
        <v>0.999870717907605</v>
      </c>
      <c r="W167" s="23" t="n">
        <f aca="false">IF(ISNUMBER(Tabelle1!J174),(0.5*Tabelle1!J162+SUM(Tabelle1!J163:J173)+0.5*Tabelle1!J174)/12,"")</f>
        <v>144.811455416667</v>
      </c>
      <c r="X167" s="24" t="n">
        <f aca="false">IFERROR(Tabelle1!J168/W167,"")</f>
        <v>1.00681261424032</v>
      </c>
      <c r="Y167" s="24" t="n">
        <f aca="false">IFERROR(AVERAGEIFS($X$7:$X$294,$B$7:$B$294,$B167,$A$7:$A$294,"&gt;="&amp;EDATE($A167,-12*'Seasonal Factors'!$E$4),$A$7:$A$294,"&lt;="&amp;EDATE($A167,12*'Seasonal Factors'!$E$4)),"")</f>
        <v>0.963244332761952</v>
      </c>
      <c r="Z167" s="24" t="n">
        <f aca="false">IFERROR(Y167/AVERAGE(Y162:Y173),"")</f>
        <v>0.965116868437648</v>
      </c>
      <c r="AA167" s="23" t="n">
        <f aca="false">IF(ISNUMBER(Tabelle1!K174),(0.5*Tabelle1!K162+SUM(Tabelle1!K163:K173)+0.5*Tabelle1!K174)/12,"")</f>
        <v>157.107615</v>
      </c>
      <c r="AB167" s="24" t="n">
        <f aca="false">IFERROR(Tabelle1!K168/AA167,"")</f>
        <v>1.03709778803529</v>
      </c>
      <c r="AC167" s="24" t="n">
        <f aca="false">IFERROR(AVERAGEIFS($AB$7:$AB$294,$B$7:$B$294,$B167,$A$7:$A$294,"&gt;="&amp;EDATE($A167,-12*'Seasonal Factors'!$E$4),$A$7:$A$294,"&lt;="&amp;EDATE($A167,12*'Seasonal Factors'!$E$4)),"")</f>
        <v>1.01014469716305</v>
      </c>
      <c r="AD167" s="24" t="n">
        <f aca="false">IFERROR(AC167/AVERAGE(AC162:AC173),"")</f>
        <v>1.01109288964224</v>
      </c>
      <c r="AE167" s="23" t="n">
        <f aca="false">IF(ISNUMBER(Tabelle1!L174),(0.5*Tabelle1!L162+SUM(Tabelle1!L163:L173)+0.5*Tabelle1!L174)/12,"")</f>
        <v>165.336093333333</v>
      </c>
      <c r="AF167" s="24" t="n">
        <f aca="false">IFERROR(Tabelle1!L168/AE167,"")</f>
        <v>0.921115026547541</v>
      </c>
      <c r="AG167" s="24" t="n">
        <f aca="false">IFERROR(AVERAGEIFS($AF$7:$AF$294,$B$7:$B$294,$B167,$A$7:$A$294,"&gt;="&amp;EDATE($A167,-12*'Seasonal Factors'!$E$4),$A$7:$A$294,"&lt;="&amp;EDATE($A167,12*'Seasonal Factors'!$E$4)),"")</f>
        <v>0.869212557044223</v>
      </c>
      <c r="AH167" s="24" t="n">
        <f aca="false">IFERROR(AG167/AVERAGE(AG162:AG173),"")</f>
        <v>0.876287685392444</v>
      </c>
      <c r="AI167" s="23" t="n">
        <f aca="false">IF(ISNUMBER(Tabelle1!M174),(0.5*Tabelle1!M162+SUM(Tabelle1!M163:M173)+0.5*Tabelle1!M174)/12,"")</f>
        <v>197.992616666667</v>
      </c>
      <c r="AJ167" s="24" t="n">
        <f aca="false">IFERROR(Tabelle1!M168/AI167,"")</f>
        <v>1.07057780016544</v>
      </c>
      <c r="AK167" s="24" t="n">
        <f aca="false">IFERROR(AVERAGEIFS($AJ$7:$AJ$294,$B$7:$B$294,$B167,$A$7:$A$294,"&gt;="&amp;EDATE($A167,-12*'Seasonal Factors'!$E$4),$A$7:$A$294,"&lt;="&amp;EDATE($A167,12*'Seasonal Factors'!$E$4)),"")</f>
        <v>1.05971059865812</v>
      </c>
      <c r="AL167" s="24" t="n">
        <f aca="false">IFERROR(AK167/AVERAGE(AK162:AK173),"")</f>
        <v>1.06068385122053</v>
      </c>
      <c r="AM167" s="23" t="n">
        <f aca="false">IF(ISNUMBER(Tabelle1!N174),(0.5*Tabelle1!N162+SUM(Tabelle1!N163:N173)+0.5*Tabelle1!N174)/12,"")</f>
        <v>182.087467916667</v>
      </c>
      <c r="AN167" s="24" t="n">
        <f aca="false">IFERROR(Tabelle1!N168/AM167,"")</f>
        <v>0.968890456979395</v>
      </c>
      <c r="AO167" s="24" t="n">
        <f aca="false">IFERROR(AVERAGEIFS($AN$7:$AN$294,$B$7:$B$294,$B167,$A$7:$A$294,"&gt;="&amp;EDATE($A167,-12*'Seasonal Factors'!$E$4),$A$7:$A$294,"&lt;="&amp;EDATE($A167,12*'Seasonal Factors'!$E$4)),"")</f>
        <v>0.970472539632416</v>
      </c>
      <c r="AP167" s="24" t="n">
        <f aca="false">IFERROR(AO167/AVERAGE(AO162:AO173),"")</f>
        <v>0.970840271278899</v>
      </c>
      <c r="AQ167" s="23" t="n">
        <f aca="false">IF(ISNUMBER(Tabelle1!O174),(0.5*Tabelle1!O162+SUM(Tabelle1!O163:O173)+0.5*Tabelle1!O174)/12,"")</f>
        <v>139.411465833333</v>
      </c>
      <c r="AR167" s="24" t="n">
        <f aca="false">IFERROR(Tabelle1!O168/AQ167,"")</f>
        <v>1.00335757295047</v>
      </c>
      <c r="AS167" s="24" t="n">
        <f aca="false">IFERROR(AVERAGEIFS($AR$7:$AR$294,$B$7:$B$294,$B167,$A$7:$A$294,"&gt;="&amp;EDATE($A167,-12*'Seasonal Factors'!$E$4),$A$7:$A$294,"&lt;="&amp;EDATE($A167,12*'Seasonal Factors'!$E$4)),"")</f>
        <v>0.999048196653463</v>
      </c>
      <c r="AT167" s="24" t="n">
        <f aca="false">IFERROR(AS167/AVERAGE(AS162:AS173),"")</f>
        <v>0.999488299894812</v>
      </c>
      <c r="AU167" s="23" t="n">
        <f aca="false">IF(ISNUMBER(Tabelle1!P174),(0.5*Tabelle1!P162+SUM(Tabelle1!P163:P173)+0.5*Tabelle1!P174)/12,"")</f>
        <v>153.859425</v>
      </c>
      <c r="AV167" s="24" t="n">
        <f aca="false">IFERROR(Tabelle1!P168/AU167,"")</f>
        <v>1.00006132221019</v>
      </c>
      <c r="AW167" s="24" t="n">
        <f aca="false">IFERROR(AVERAGEIFS($AV$7:$AV$294,$B$7:$B$294,$B167,$A$7:$A$294,"&gt;="&amp;EDATE($A167,-12*'Seasonal Factors'!$E$4),$A$7:$A$294,"&lt;="&amp;EDATE($A167,12*'Seasonal Factors'!$E$4)),"")</f>
        <v>0.988836992794856</v>
      </c>
      <c r="AX167" s="24" t="n">
        <f aca="false">IFERROR(AW167/AVERAGE(AW162:AW173),"")</f>
        <v>0.989259542878557</v>
      </c>
      <c r="AY167" s="23" t="n">
        <f aca="false">IF(ISNUMBER(Tabelle1!Q174),(0.5*Tabelle1!Q162+SUM(Tabelle1!Q163:Q173)+0.5*Tabelle1!Q174)/12,"")</f>
        <v>157.91352375</v>
      </c>
      <c r="AZ167" s="24" t="n">
        <f aca="false">IFERROR(Tabelle1!Q168/AY167,"")</f>
        <v>0.996236524042483</v>
      </c>
      <c r="BA167" s="24" t="n">
        <f aca="false">IFERROR(AVERAGEIFS($AZ$7:$AZ$294,$B$7:$B$294,$B167,$A$7:$A$294,"&gt;="&amp;EDATE($A167,-12*'Seasonal Factors'!$E$4),$A$7:$A$294,"&lt;="&amp;EDATE($A167,12*'Seasonal Factors'!$E$4)),"")</f>
        <v>0.992532945248639</v>
      </c>
      <c r="BB167" s="24" t="n">
        <f aca="false">IFERROR(BA167/AVERAGE(BA162:BA173),"")</f>
        <v>0.992631051899483</v>
      </c>
      <c r="BC167" s="23" t="n">
        <f aca="false">IF(ISNUMBER(Tabelle1!R174),(0.5*Tabelle1!R162+SUM(Tabelle1!R163:R173)+0.5*Tabelle1!R174)/12,"")</f>
        <v>177.5000775</v>
      </c>
      <c r="BD167" s="24" t="n">
        <f aca="false">IFERROR(Tabelle1!R168/BC167,"")</f>
        <v>1.06480454916984</v>
      </c>
      <c r="BE167" s="24" t="n">
        <f aca="false">IFERROR(AVERAGEIFS($BD$7:$BD$294,$B$7:$B$294,$B167,$A$7:$A$294,"&gt;="&amp;EDATE($A167,-12*'Seasonal Factors'!$E$4),$A$7:$A$294,"&lt;="&amp;EDATE($A167,12*'Seasonal Factors'!$E$4)),"")</f>
        <v>1.05280514305073</v>
      </c>
      <c r="BF167" s="24" t="n">
        <f aca="false">IFERROR(BE167/AVERAGE(BE162:BE173),"")</f>
        <v>1.05294279402695</v>
      </c>
      <c r="BG167" s="23" t="n">
        <f aca="false">IF(ISNUMBER(Tabelle1!S174),(0.5*Tabelle1!S162+SUM(Tabelle1!S163:S173)+0.5*Tabelle1!S174)/12,"")</f>
        <v>151.25869625</v>
      </c>
      <c r="BH167" s="24" t="n">
        <f aca="false">IFERROR(Tabelle1!S168/BG167,"")</f>
        <v>0.974887815747652</v>
      </c>
      <c r="BI167" s="24" t="n">
        <f aca="false">IFERROR(AVERAGEIFS($BH$7:$BH$294,$B$7:$B$294,$B167,$A$7:$A$294,"&gt;="&amp;EDATE($A167,-12*'Seasonal Factors'!$E$4),$A$7:$A$294,"&lt;="&amp;EDATE($A167,12*'Seasonal Factors'!$E$4)),"")</f>
        <v>0.922091737544751</v>
      </c>
      <c r="BJ167" s="24" t="n">
        <f aca="false">IFERROR(BI167/AVERAGE(BI162:BI173),"")</f>
        <v>0.926838419431751</v>
      </c>
    </row>
    <row r="168" customFormat="false" ht="15" hidden="false" customHeight="false" outlineLevel="0" collapsed="false">
      <c r="A168" s="20" t="n">
        <v>42916</v>
      </c>
      <c r="B168" s="22" t="n">
        <f aca="false">MONTH(A168)</f>
        <v>6</v>
      </c>
      <c r="C168" s="23" t="n">
        <f aca="false">IF(ISNUMBER(Tabelle1!E175),(0.5*Tabelle1!E163+SUM(Tabelle1!E164:E174)+0.5*Tabelle1!E175)/12,"")</f>
        <v>132.242967916667</v>
      </c>
      <c r="D168" s="24" t="n">
        <f aca="false">IFERROR(Tabelle1!E169/C168,"")</f>
        <v>1.724926955237</v>
      </c>
      <c r="E168" s="24" t="n">
        <f aca="false">IFERROR(AVERAGEIFS($D$7:$D$294,$B$7:$B$294,$B168,$A$7:$A$294,"&gt;="&amp;EDATE($A168,-12*'Seasonal Factors'!$E$4),$A$7:$A$294,"&lt;="&amp;EDATE($A168,12*'Seasonal Factors'!$E$4)),"")</f>
        <v>1.62687199425206</v>
      </c>
      <c r="F168" s="24" t="n">
        <f aca="false">IFERROR(E168/AVERAGE(E163:E174),"")</f>
        <v>1.62493274748275</v>
      </c>
      <c r="G168" s="23" t="n">
        <f aca="false">IF(ISNUMBER(Tabelle1!F175),(0.5*Tabelle1!F163+SUM(Tabelle1!F164:F174)+0.5*Tabelle1!F175)/12,"")</f>
        <v>177.627902916667</v>
      </c>
      <c r="H168" s="24" t="n">
        <f aca="false">IFERROR(Tabelle1!F169/G168,"")</f>
        <v>1.32895663419922</v>
      </c>
      <c r="I168" s="24" t="n">
        <f aca="false">IFERROR(AVERAGEIFS($H$7:$H$294,$B$7:$B$294,$B168,$A$7:$A$294,"&gt;="&amp;EDATE($A168,-12*'Seasonal Factors'!$E$4),$A$7:$A$294,"&lt;="&amp;EDATE($A168,12*'Seasonal Factors'!$E$4)),"")</f>
        <v>1.18789298261033</v>
      </c>
      <c r="J168" s="24" t="n">
        <f aca="false">IFERROR(I168/AVERAGE(I163:I174),"")</f>
        <v>1.19178959977337</v>
      </c>
      <c r="K168" s="23" t="n">
        <f aca="false">IF(ISNUMBER(Tabelle1!G175),(0.5*Tabelle1!G163+SUM(Tabelle1!G164:G174)+0.5*Tabelle1!G175)/12,"")</f>
        <v>86.6733241666667</v>
      </c>
      <c r="L168" s="24" t="n">
        <f aca="false">IFERROR(Tabelle1!G169/K168,"")</f>
        <v>0.957811192753664</v>
      </c>
      <c r="M168" s="24" t="n">
        <f aca="false">IFERROR(AVERAGEIFS($L$7:$L$294,$B$7:$B$294,$B168,$A$7:$A$294,"&gt;="&amp;EDATE($A168,-12*'Seasonal Factors'!$E$4),$A$7:$A$294,"&lt;="&amp;EDATE($A168,12*'Seasonal Factors'!$E$4)),"")</f>
        <v>0.984026562875202</v>
      </c>
      <c r="N168" s="24" t="n">
        <f aca="false">IFERROR(M168/AVERAGE(M163:M174),"")</f>
        <v>0.985204319440186</v>
      </c>
      <c r="O168" s="23" t="n">
        <f aca="false">IF(ISNUMBER(Tabelle1!H175),(0.5*Tabelle1!H163+SUM(Tabelle1!H164:H174)+0.5*Tabelle1!H175)/12,"")</f>
        <v>131.91758125</v>
      </c>
      <c r="P168" s="24" t="n">
        <f aca="false">IFERROR(Tabelle1!H169/O168,"")</f>
        <v>1.07275761622562</v>
      </c>
      <c r="Q168" s="24" t="n">
        <f aca="false">IFERROR(AVERAGEIFS($P$7:$P$294,$B$7:$B$294,$B168,$A$7:$A$294,"&gt;="&amp;EDATE($A168,-12*'Seasonal Factors'!$E$4),$A$7:$A$294,"&lt;="&amp;EDATE($A168,12*'Seasonal Factors'!$E$4)),"")</f>
        <v>1.03016671708053</v>
      </c>
      <c r="R168" s="24" t="n">
        <f aca="false">IFERROR(Q168/AVERAGE(Q163:Q174),"")</f>
        <v>1.03042812155978</v>
      </c>
      <c r="S168" s="23" t="n">
        <f aca="false">IF(ISNUMBER(Tabelle1!I175),(0.5*Tabelle1!I163+SUM(Tabelle1!I164:I174)+0.5*Tabelle1!I175)/12,"")</f>
        <v>143.295649583333</v>
      </c>
      <c r="T168" s="24" t="n">
        <f aca="false">IFERROR(Tabelle1!I169/S168,"")</f>
        <v>1.04694106510718</v>
      </c>
      <c r="U168" s="24" t="n">
        <f aca="false">IFERROR(AVERAGEIFS($T$7:$T$294,$B$7:$B$294,$B168,$A$7:$A$294,"&gt;="&amp;EDATE($A168,-12*'Seasonal Factors'!$E$4),$A$7:$A$294,"&lt;="&amp;EDATE($A168,12*'Seasonal Factors'!$E$4)),"")</f>
        <v>1.03395320130674</v>
      </c>
      <c r="V168" s="24" t="n">
        <f aca="false">IFERROR(U168/AVERAGE(U163:U174),"")</f>
        <v>1.0345851235372</v>
      </c>
      <c r="W168" s="23" t="n">
        <f aca="false">IF(ISNUMBER(Tabelle1!J175),(0.5*Tabelle1!J163+SUM(Tabelle1!J164:J174)+0.5*Tabelle1!J175)/12,"")</f>
        <v>146.160875833333</v>
      </c>
      <c r="X168" s="24" t="n">
        <f aca="false">IFERROR(Tabelle1!J169/W168,"")</f>
        <v>0.99841177858295</v>
      </c>
      <c r="Y168" s="24" t="n">
        <f aca="false">IFERROR(AVERAGEIFS($X$7:$X$294,$B$7:$B$294,$B168,$A$7:$A$294,"&gt;="&amp;EDATE($A168,-12*'Seasonal Factors'!$E$4),$A$7:$A$294,"&lt;="&amp;EDATE($A168,12*'Seasonal Factors'!$E$4)),"")</f>
        <v>0.975481368804885</v>
      </c>
      <c r="Z168" s="24" t="n">
        <f aca="false">IFERROR(Y168/AVERAGE(Y163:Y174),"")</f>
        <v>0.977294032781062</v>
      </c>
      <c r="AA168" s="23" t="n">
        <f aca="false">IF(ISNUMBER(Tabelle1!K175),(0.5*Tabelle1!K163+SUM(Tabelle1!K164:K174)+0.5*Tabelle1!K175)/12,"")</f>
        <v>157.807841666667</v>
      </c>
      <c r="AB168" s="24" t="n">
        <f aca="false">IFERROR(Tabelle1!K169/AA168,"")</f>
        <v>1.06952150297136</v>
      </c>
      <c r="AC168" s="24" t="n">
        <f aca="false">IFERROR(AVERAGEIFS($AB$7:$AB$294,$B$7:$B$294,$B168,$A$7:$A$294,"&gt;="&amp;EDATE($A168,-12*'Seasonal Factors'!$E$4),$A$7:$A$294,"&lt;="&amp;EDATE($A168,12*'Seasonal Factors'!$E$4)),"")</f>
        <v>1.02983381902981</v>
      </c>
      <c r="AD168" s="24" t="n">
        <f aca="false">IFERROR(AC168/AVERAGE(AC163:AC174),"")</f>
        <v>1.03042026693955</v>
      </c>
      <c r="AE168" s="23" t="n">
        <f aca="false">IF(ISNUMBER(Tabelle1!L175),(0.5*Tabelle1!L163+SUM(Tabelle1!L164:L174)+0.5*Tabelle1!L175)/12,"")</f>
        <v>165.87787125</v>
      </c>
      <c r="AF168" s="24" t="n">
        <f aca="false">IFERROR(Tabelle1!L169/AE168,"")</f>
        <v>0.925761639227692</v>
      </c>
      <c r="AG168" s="24" t="n">
        <f aca="false">IFERROR(AVERAGEIFS($AF$7:$AF$294,$B$7:$B$294,$B168,$A$7:$A$294,"&gt;="&amp;EDATE($A168,-12*'Seasonal Factors'!$E$4),$A$7:$A$294,"&lt;="&amp;EDATE($A168,12*'Seasonal Factors'!$E$4)),"")</f>
        <v>0.888395471725304</v>
      </c>
      <c r="AH168" s="24" t="n">
        <f aca="false">IFERROR(AG168/AVERAGE(AG163:AG174),"")</f>
        <v>0.895785907174865</v>
      </c>
      <c r="AI168" s="23" t="n">
        <f aca="false">IF(ISNUMBER(Tabelle1!M175),(0.5*Tabelle1!M163+SUM(Tabelle1!M164:M174)+0.5*Tabelle1!M175)/12,"")</f>
        <v>198.09293625</v>
      </c>
      <c r="AJ168" s="24" t="n">
        <f aca="false">IFERROR(Tabelle1!M169/AI168,"")</f>
        <v>1.03222832611226</v>
      </c>
      <c r="AK168" s="24" t="n">
        <f aca="false">IFERROR(AVERAGEIFS($AJ$7:$AJ$294,$B$7:$B$294,$B168,$A$7:$A$294,"&gt;="&amp;EDATE($A168,-12*'Seasonal Factors'!$E$4),$A$7:$A$294,"&lt;="&amp;EDATE($A168,12*'Seasonal Factors'!$E$4)),"")</f>
        <v>1.02770526014001</v>
      </c>
      <c r="AL168" s="24" t="n">
        <f aca="false">IFERROR(AK168/AVERAGE(AK163:AK174),"")</f>
        <v>1.02845235449546</v>
      </c>
      <c r="AM168" s="23" t="n">
        <f aca="false">IF(ISNUMBER(Tabelle1!N175),(0.5*Tabelle1!N163+SUM(Tabelle1!N164:N174)+0.5*Tabelle1!N175)/12,"")</f>
        <v>182.976235</v>
      </c>
      <c r="AN168" s="24" t="n">
        <f aca="false">IFERROR(Tabelle1!N169/AM168,"")</f>
        <v>0.990481140897888</v>
      </c>
      <c r="AO168" s="24" t="n">
        <f aca="false">IFERROR(AVERAGEIFS($AN$7:$AN$294,$B$7:$B$294,$B168,$A$7:$A$294,"&gt;="&amp;EDATE($A168,-12*'Seasonal Factors'!$E$4),$A$7:$A$294,"&lt;="&amp;EDATE($A168,12*'Seasonal Factors'!$E$4)),"")</f>
        <v>0.996622105107596</v>
      </c>
      <c r="AP168" s="24" t="n">
        <f aca="false">IFERROR(AO168/AVERAGE(AO163:AO174),"")</f>
        <v>0.997049992580829</v>
      </c>
      <c r="AQ168" s="23" t="n">
        <f aca="false">IF(ISNUMBER(Tabelle1!O175),(0.5*Tabelle1!O163+SUM(Tabelle1!O164:O174)+0.5*Tabelle1!O175)/12,"")</f>
        <v>139.841500833333</v>
      </c>
      <c r="AR168" s="24" t="n">
        <f aca="false">IFERROR(Tabelle1!O169/AQ168,"")</f>
        <v>1.02403220179017</v>
      </c>
      <c r="AS168" s="24" t="n">
        <f aca="false">IFERROR(AVERAGEIFS($AR$7:$AR$294,$B$7:$B$294,$B168,$A$7:$A$294,"&gt;="&amp;EDATE($A168,-12*'Seasonal Factors'!$E$4),$A$7:$A$294,"&lt;="&amp;EDATE($A168,12*'Seasonal Factors'!$E$4)),"")</f>
        <v>1.01389960455541</v>
      </c>
      <c r="AT168" s="24" t="n">
        <f aca="false">IFERROR(AS168/AVERAGE(AS163:AS174),"")</f>
        <v>1.01454582570893</v>
      </c>
      <c r="AU168" s="23" t="n">
        <f aca="false">IF(ISNUMBER(Tabelle1!P175),(0.5*Tabelle1!P163+SUM(Tabelle1!P164:P174)+0.5*Tabelle1!P175)/12,"")</f>
        <v>153.977964166667</v>
      </c>
      <c r="AV168" s="24" t="n">
        <f aca="false">IFERROR(Tabelle1!P169/AU168,"")</f>
        <v>1.00472162258586</v>
      </c>
      <c r="AW168" s="24" t="n">
        <f aca="false">IFERROR(AVERAGEIFS($AV$7:$AV$294,$B$7:$B$294,$B168,$A$7:$A$294,"&gt;="&amp;EDATE($A168,-12*'Seasonal Factors'!$E$4),$A$7:$A$294,"&lt;="&amp;EDATE($A168,12*'Seasonal Factors'!$E$4)),"")</f>
        <v>0.995254216901998</v>
      </c>
      <c r="AX168" s="24" t="n">
        <f aca="false">IFERROR(AW168/AVERAGE(AW163:AW174),"")</f>
        <v>0.995590233233381</v>
      </c>
      <c r="AY168" s="23" t="n">
        <f aca="false">IF(ISNUMBER(Tabelle1!Q175),(0.5*Tabelle1!Q163+SUM(Tabelle1!Q164:Q174)+0.5*Tabelle1!Q175)/12,"")</f>
        <v>158.091605833333</v>
      </c>
      <c r="AZ168" s="24" t="n">
        <f aca="false">IFERROR(Tabelle1!Q169/AY168,"")</f>
        <v>1.00552365928642</v>
      </c>
      <c r="BA168" s="24" t="n">
        <f aca="false">IFERROR(AVERAGEIFS($AZ$7:$AZ$294,$B$7:$B$294,$B168,$A$7:$A$294,"&gt;="&amp;EDATE($A168,-12*'Seasonal Factors'!$E$4),$A$7:$A$294,"&lt;="&amp;EDATE($A168,12*'Seasonal Factors'!$E$4)),"")</f>
        <v>1.00216723478887</v>
      </c>
      <c r="BB168" s="24" t="n">
        <f aca="false">IFERROR(BA168/AVERAGE(BA163:BA174),"")</f>
        <v>1.00224904818055</v>
      </c>
      <c r="BC168" s="23" t="n">
        <f aca="false">IF(ISNUMBER(Tabelle1!R175),(0.5*Tabelle1!R163+SUM(Tabelle1!R164:R174)+0.5*Tabelle1!R175)/12,"")</f>
        <v>177.766652916667</v>
      </c>
      <c r="BD168" s="24" t="n">
        <f aca="false">IFERROR(Tabelle1!R169/BC168,"")</f>
        <v>1.09566427000966</v>
      </c>
      <c r="BE168" s="24" t="n">
        <f aca="false">IFERROR(AVERAGEIFS($BD$7:$BD$294,$B$7:$B$294,$B168,$A$7:$A$294,"&gt;="&amp;EDATE($A168,-12*'Seasonal Factors'!$E$4),$A$7:$A$294,"&lt;="&amp;EDATE($A168,12*'Seasonal Factors'!$E$4)),"")</f>
        <v>1.08515921916214</v>
      </c>
      <c r="BF168" s="24" t="n">
        <f aca="false">IFERROR(BE168/AVERAGE(BE163:BE174),"")</f>
        <v>1.08535707988558</v>
      </c>
      <c r="BG168" s="23" t="n">
        <f aca="false">IF(ISNUMBER(Tabelle1!S175),(0.5*Tabelle1!S163+SUM(Tabelle1!S164:S174)+0.5*Tabelle1!S175)/12,"")</f>
        <v>151.548505833333</v>
      </c>
      <c r="BH168" s="24" t="n">
        <f aca="false">IFERROR(Tabelle1!S169/BG168,"")</f>
        <v>0.954448407159321</v>
      </c>
      <c r="BI168" s="24" t="n">
        <f aca="false">IFERROR(AVERAGEIFS($BH$7:$BH$294,$B$7:$B$294,$B168,$A$7:$A$294,"&gt;="&amp;EDATE($A168,-12*'Seasonal Factors'!$E$4),$A$7:$A$294,"&lt;="&amp;EDATE($A168,12*'Seasonal Factors'!$E$4)),"")</f>
        <v>0.963198024742903</v>
      </c>
      <c r="BJ168" s="24" t="n">
        <f aca="false">IFERROR(BI168/AVERAGE(BI163:BI174),"")</f>
        <v>0.967936036215489</v>
      </c>
    </row>
    <row r="169" customFormat="false" ht="15" hidden="false" customHeight="false" outlineLevel="0" collapsed="false">
      <c r="A169" s="20" t="n">
        <v>42947</v>
      </c>
      <c r="B169" s="22" t="n">
        <f aca="false">MONTH(A169)</f>
        <v>7</v>
      </c>
      <c r="C169" s="23" t="n">
        <f aca="false">IF(ISNUMBER(Tabelle1!E176),(0.5*Tabelle1!E164+SUM(Tabelle1!E165:E175)+0.5*Tabelle1!E176)/12,"")</f>
        <v>132.413323333333</v>
      </c>
      <c r="D169" s="24" t="n">
        <f aca="false">IFERROR(Tabelle1!E170/C169,"")</f>
        <v>0.84329202824177</v>
      </c>
      <c r="E169" s="24" t="n">
        <f aca="false">IFERROR(AVERAGEIFS($D$7:$D$294,$B$7:$B$294,$B169,$A$7:$A$294,"&gt;="&amp;EDATE($A169,-12*'Seasonal Factors'!$E$4),$A$7:$A$294,"&lt;="&amp;EDATE($A169,12*'Seasonal Factors'!$E$4)),"")</f>
        <v>0.888991481518876</v>
      </c>
      <c r="F169" s="24" t="n">
        <f aca="false">IFERROR(E169/AVERAGE(E164:E175),"")</f>
        <v>0.885750442722836</v>
      </c>
      <c r="G169" s="23" t="n">
        <f aca="false">IF(ISNUMBER(Tabelle1!F176),(0.5*Tabelle1!F164+SUM(Tabelle1!F165:F175)+0.5*Tabelle1!F176)/12,"")</f>
        <v>179.31000375</v>
      </c>
      <c r="H169" s="24" t="n">
        <f aca="false">IFERROR(Tabelle1!F170/G169,"")</f>
        <v>1.38919098092986</v>
      </c>
      <c r="I169" s="24" t="n">
        <f aca="false">IFERROR(AVERAGEIFS($H$7:$H$294,$B$7:$B$294,$B169,$A$7:$A$294,"&gt;="&amp;EDATE($A169,-12*'Seasonal Factors'!$E$4),$A$7:$A$294,"&lt;="&amp;EDATE($A169,12*'Seasonal Factors'!$E$4)),"")</f>
        <v>1.35108821378067</v>
      </c>
      <c r="J169" s="24" t="n">
        <f aca="false">IFERROR(I169/AVERAGE(I164:I175),"")</f>
        <v>1.35146909090681</v>
      </c>
      <c r="K169" s="23" t="n">
        <f aca="false">IF(ISNUMBER(Tabelle1!G176),(0.5*Tabelle1!G164+SUM(Tabelle1!G165:G175)+0.5*Tabelle1!G176)/12,"")</f>
        <v>86.7422570833333</v>
      </c>
      <c r="L169" s="24" t="n">
        <f aca="false">IFERROR(Tabelle1!G170/K169,"")</f>
        <v>1.00690209059342</v>
      </c>
      <c r="M169" s="24" t="n">
        <f aca="false">IFERROR(AVERAGEIFS($L$7:$L$294,$B$7:$B$294,$B169,$A$7:$A$294,"&gt;="&amp;EDATE($A169,-12*'Seasonal Factors'!$E$4),$A$7:$A$294,"&lt;="&amp;EDATE($A169,12*'Seasonal Factors'!$E$4)),"")</f>
        <v>1.01847606093323</v>
      </c>
      <c r="N169" s="24" t="n">
        <f aca="false">IFERROR(M169/AVERAGE(M164:M175),"")</f>
        <v>1.01952241453819</v>
      </c>
      <c r="O169" s="23" t="n">
        <f aca="false">IF(ISNUMBER(Tabelle1!H176),(0.5*Tabelle1!H164+SUM(Tabelle1!H165:H175)+0.5*Tabelle1!H176)/12,"")</f>
        <v>132.198550416667</v>
      </c>
      <c r="P169" s="24" t="n">
        <f aca="false">IFERROR(Tabelle1!H170/O169,"")</f>
        <v>1.01870549696301</v>
      </c>
      <c r="Q169" s="24" t="n">
        <f aca="false">IFERROR(AVERAGEIFS($P$7:$P$294,$B$7:$B$294,$B169,$A$7:$A$294,"&gt;="&amp;EDATE($A169,-12*'Seasonal Factors'!$E$4),$A$7:$A$294,"&lt;="&amp;EDATE($A169,12*'Seasonal Factors'!$E$4)),"")</f>
        <v>1.02561731367959</v>
      </c>
      <c r="R169" s="24" t="n">
        <f aca="false">IFERROR(Q169/AVERAGE(Q164:Q175),"")</f>
        <v>1.02652599003995</v>
      </c>
      <c r="S169" s="23" t="n">
        <f aca="false">IF(ISNUMBER(Tabelle1!I176),(0.5*Tabelle1!I164+SUM(Tabelle1!I165:I175)+0.5*Tabelle1!I176)/12,"")</f>
        <v>143.314461666667</v>
      </c>
      <c r="T169" s="24" t="n">
        <f aca="false">IFERROR(Tabelle1!I170/S169,"")</f>
        <v>1.05634643035617</v>
      </c>
      <c r="U169" s="24" t="n">
        <f aca="false">IFERROR(AVERAGEIFS($T$7:$T$294,$B$7:$B$294,$B169,$A$7:$A$294,"&gt;="&amp;EDATE($A169,-12*'Seasonal Factors'!$E$4),$A$7:$A$294,"&lt;="&amp;EDATE($A169,12*'Seasonal Factors'!$E$4)),"")</f>
        <v>1.08040837454002</v>
      </c>
      <c r="V169" s="24" t="n">
        <f aca="false">IFERROR(U169/AVERAGE(U164:U175),"")</f>
        <v>1.08063710178602</v>
      </c>
      <c r="W169" s="23" t="n">
        <f aca="false">IF(ISNUMBER(Tabelle1!J176),(0.5*Tabelle1!J164+SUM(Tabelle1!J165:J175)+0.5*Tabelle1!J176)/12,"")</f>
        <v>147.34562125</v>
      </c>
      <c r="X169" s="24" t="n">
        <f aca="false">IFERROR(Tabelle1!J170/W169,"")</f>
        <v>0.993660814335194</v>
      </c>
      <c r="Y169" s="24" t="n">
        <f aca="false">IFERROR(AVERAGEIFS($X$7:$X$294,$B$7:$B$294,$B169,$A$7:$A$294,"&gt;="&amp;EDATE($A169,-12*'Seasonal Factors'!$E$4),$A$7:$A$294,"&lt;="&amp;EDATE($A169,12*'Seasonal Factors'!$E$4)),"")</f>
        <v>1.00942011696769</v>
      </c>
      <c r="Z169" s="24" t="n">
        <f aca="false">IFERROR(Y169/AVERAGE(Y164:Y175),"")</f>
        <v>1.01133527241869</v>
      </c>
      <c r="AA169" s="23" t="n">
        <f aca="false">IF(ISNUMBER(Tabelle1!K176),(0.5*Tabelle1!K164+SUM(Tabelle1!K165:K175)+0.5*Tabelle1!K176)/12,"")</f>
        <v>158.33722</v>
      </c>
      <c r="AB169" s="24" t="n">
        <f aca="false">IFERROR(Tabelle1!K170/AA169,"")</f>
        <v>1.00379392792169</v>
      </c>
      <c r="AC169" s="24" t="n">
        <f aca="false">IFERROR(AVERAGEIFS($AB$7:$AB$294,$B$7:$B$294,$B169,$A$7:$A$294,"&gt;="&amp;EDATE($A169,-12*'Seasonal Factors'!$E$4),$A$7:$A$294,"&lt;="&amp;EDATE($A169,12*'Seasonal Factors'!$E$4)),"")</f>
        <v>1.01165714130434</v>
      </c>
      <c r="AD169" s="24" t="n">
        <f aca="false">IFERROR(AC169/AVERAGE(AC164:AC175),"")</f>
        <v>1.01233655265233</v>
      </c>
      <c r="AE169" s="23" t="n">
        <f aca="false">IF(ISNUMBER(Tabelle1!L176),(0.5*Tabelle1!L164+SUM(Tabelle1!L165:L175)+0.5*Tabelle1!L176)/12,"")</f>
        <v>166.361141666667</v>
      </c>
      <c r="AF169" s="24" t="n">
        <f aca="false">IFERROR(Tabelle1!L170/AE169,"")</f>
        <v>1.03972705565207</v>
      </c>
      <c r="AG169" s="24" t="n">
        <f aca="false">IFERROR(AVERAGEIFS($AF$7:$AF$294,$B$7:$B$294,$B169,$A$7:$A$294,"&gt;="&amp;EDATE($A169,-12*'Seasonal Factors'!$E$4),$A$7:$A$294,"&lt;="&amp;EDATE($A169,12*'Seasonal Factors'!$E$4)),"")</f>
        <v>0.988576106059073</v>
      </c>
      <c r="AH169" s="24" t="n">
        <f aca="false">IFERROR(AG169/AVERAGE(AG164:AG175),"")</f>
        <v>0.99480158355666</v>
      </c>
      <c r="AI169" s="23" t="n">
        <f aca="false">IF(ISNUMBER(Tabelle1!M176),(0.5*Tabelle1!M164+SUM(Tabelle1!M165:M175)+0.5*Tabelle1!M176)/12,"")</f>
        <v>198.163361666667</v>
      </c>
      <c r="AJ169" s="24" t="n">
        <f aca="false">IFERROR(Tabelle1!M170/AI169,"")</f>
        <v>1.01754400159592</v>
      </c>
      <c r="AK169" s="24" t="n">
        <f aca="false">IFERROR(AVERAGEIFS($AJ$7:$AJ$294,$B$7:$B$294,$B169,$A$7:$A$294,"&gt;="&amp;EDATE($A169,-12*'Seasonal Factors'!$E$4),$A$7:$A$294,"&lt;="&amp;EDATE($A169,12*'Seasonal Factors'!$E$4)),"")</f>
        <v>1.00990348058663</v>
      </c>
      <c r="AL169" s="24" t="n">
        <f aca="false">IFERROR(AK169/AVERAGE(AK164:AK175),"")</f>
        <v>1.01070764537188</v>
      </c>
      <c r="AM169" s="23" t="n">
        <f aca="false">IF(ISNUMBER(Tabelle1!N176),(0.5*Tabelle1!N164+SUM(Tabelle1!N165:N175)+0.5*Tabelle1!N176)/12,"")</f>
        <v>183.746977916667</v>
      </c>
      <c r="AN169" s="24" t="n">
        <f aca="false">IFERROR(Tabelle1!N170/AM169,"")</f>
        <v>0.985332831335659</v>
      </c>
      <c r="AO169" s="24" t="n">
        <f aca="false">IFERROR(AVERAGEIFS($AN$7:$AN$294,$B$7:$B$294,$B169,$A$7:$A$294,"&gt;="&amp;EDATE($A169,-12*'Seasonal Factors'!$E$4),$A$7:$A$294,"&lt;="&amp;EDATE($A169,12*'Seasonal Factors'!$E$4)),"")</f>
        <v>0.995165231906331</v>
      </c>
      <c r="AP169" s="24" t="n">
        <f aca="false">IFERROR(AO169/AVERAGE(AO164:AO175),"")</f>
        <v>0.995571348986605</v>
      </c>
      <c r="AQ169" s="23" t="n">
        <f aca="false">IF(ISNUMBER(Tabelle1!O176),(0.5*Tabelle1!O164+SUM(Tabelle1!O165:O175)+0.5*Tabelle1!O176)/12,"")</f>
        <v>140.288900833333</v>
      </c>
      <c r="AR169" s="24" t="n">
        <f aca="false">IFERROR(Tabelle1!O170/AQ169,"")</f>
        <v>1.00741098661755</v>
      </c>
      <c r="AS169" s="24" t="n">
        <f aca="false">IFERROR(AVERAGEIFS($AR$7:$AR$294,$B$7:$B$294,$B169,$A$7:$A$294,"&gt;="&amp;EDATE($A169,-12*'Seasonal Factors'!$E$4),$A$7:$A$294,"&lt;="&amp;EDATE($A169,12*'Seasonal Factors'!$E$4)),"")</f>
        <v>1.0075860076879</v>
      </c>
      <c r="AT169" s="24" t="n">
        <f aca="false">IFERROR(AS169/AVERAGE(AS164:AS175),"")</f>
        <v>1.00806760053786</v>
      </c>
      <c r="AU169" s="23" t="n">
        <f aca="false">IF(ISNUMBER(Tabelle1!P176),(0.5*Tabelle1!P164+SUM(Tabelle1!P165:P175)+0.5*Tabelle1!P176)/12,"")</f>
        <v>154.112542916667</v>
      </c>
      <c r="AV169" s="24" t="n">
        <f aca="false">IFERROR(Tabelle1!P170/AU169,"")</f>
        <v>1.00046593925435</v>
      </c>
      <c r="AW169" s="24" t="n">
        <f aca="false">IFERROR(AVERAGEIFS($AV$7:$AV$294,$B$7:$B$294,$B169,$A$7:$A$294,"&gt;="&amp;EDATE($A169,-12*'Seasonal Factors'!$E$4),$A$7:$A$294,"&lt;="&amp;EDATE($A169,12*'Seasonal Factors'!$E$4)),"")</f>
        <v>0.997119698779953</v>
      </c>
      <c r="AX169" s="24" t="n">
        <f aca="false">IFERROR(AW169/AVERAGE(AW164:AW175),"")</f>
        <v>0.997280111193552</v>
      </c>
      <c r="AY169" s="23" t="n">
        <f aca="false">IF(ISNUMBER(Tabelle1!Q176),(0.5*Tabelle1!Q164+SUM(Tabelle1!Q165:Q175)+0.5*Tabelle1!Q176)/12,"")</f>
        <v>158.3354475</v>
      </c>
      <c r="AZ169" s="24" t="n">
        <f aca="false">IFERROR(Tabelle1!Q170/AY169,"")</f>
        <v>1.01406168066061</v>
      </c>
      <c r="BA169" s="24" t="n">
        <f aca="false">IFERROR(AVERAGEIFS($AZ$7:$AZ$294,$B$7:$B$294,$B169,$A$7:$A$294,"&gt;="&amp;EDATE($A169,-12*'Seasonal Factors'!$E$4),$A$7:$A$294,"&lt;="&amp;EDATE($A169,12*'Seasonal Factors'!$E$4)),"")</f>
        <v>1.00573220062002</v>
      </c>
      <c r="BB169" s="24" t="n">
        <f aca="false">IFERROR(BA169/AVERAGE(BA164:BA175),"")</f>
        <v>1.0058734556669</v>
      </c>
      <c r="BC169" s="23" t="n">
        <f aca="false">IF(ISNUMBER(Tabelle1!R176),(0.5*Tabelle1!R164+SUM(Tabelle1!R165:R175)+0.5*Tabelle1!R176)/12,"")</f>
        <v>178.053317083333</v>
      </c>
      <c r="BD169" s="24" t="n">
        <f aca="false">IFERROR(Tabelle1!R170/BC169,"")</f>
        <v>1.00416028709153</v>
      </c>
      <c r="BE169" s="24" t="n">
        <f aca="false">IFERROR(AVERAGEIFS($BD$7:$BD$294,$B$7:$B$294,$B169,$A$7:$A$294,"&gt;="&amp;EDATE($A169,-12*'Seasonal Factors'!$E$4),$A$7:$A$294,"&lt;="&amp;EDATE($A169,12*'Seasonal Factors'!$E$4)),"")</f>
        <v>1.00489423588953</v>
      </c>
      <c r="BF169" s="24" t="n">
        <f aca="false">IFERROR(BE169/AVERAGE(BE164:BE175),"")</f>
        <v>1.00503018385892</v>
      </c>
      <c r="BG169" s="23" t="n">
        <f aca="false">IF(ISNUMBER(Tabelle1!S176),(0.5*Tabelle1!S164+SUM(Tabelle1!S165:S175)+0.5*Tabelle1!S176)/12,"")</f>
        <v>152.023697083333</v>
      </c>
      <c r="BH169" s="24" t="n">
        <f aca="false">IFERROR(Tabelle1!S170/BG169,"")</f>
        <v>1.1210362152065</v>
      </c>
      <c r="BI169" s="24" t="n">
        <f aca="false">IFERROR(AVERAGEIFS($BH$7:$BH$294,$B$7:$B$294,$B169,$A$7:$A$294,"&gt;="&amp;EDATE($A169,-12*'Seasonal Factors'!$E$4),$A$7:$A$294,"&lt;="&amp;EDATE($A169,12*'Seasonal Factors'!$E$4)),"")</f>
        <v>1.06658923191731</v>
      </c>
      <c r="BJ169" s="24" t="n">
        <f aca="false">IFERROR(BI169/AVERAGE(BI164:BI175),"")</f>
        <v>1.07076409449374</v>
      </c>
    </row>
    <row r="170" customFormat="false" ht="15" hidden="false" customHeight="false" outlineLevel="0" collapsed="false">
      <c r="A170" s="20" t="n">
        <v>42978</v>
      </c>
      <c r="B170" s="22" t="n">
        <f aca="false">MONTH(A170)</f>
        <v>8</v>
      </c>
      <c r="C170" s="23" t="n">
        <f aca="false">IF(ISNUMBER(Tabelle1!E177),(0.5*Tabelle1!E165+SUM(Tabelle1!E166:E176)+0.5*Tabelle1!E177)/12,"")</f>
        <v>132.440773333333</v>
      </c>
      <c r="D170" s="24" t="n">
        <f aca="false">IFERROR(Tabelle1!E171/C170,"")</f>
        <v>0.551848861649655</v>
      </c>
      <c r="E170" s="24" t="n">
        <f aca="false">IFERROR(AVERAGEIFS($D$7:$D$294,$B$7:$B$294,$B170,$A$7:$A$294,"&gt;="&amp;EDATE($A170,-12*'Seasonal Factors'!$E$4),$A$7:$A$294,"&lt;="&amp;EDATE($A170,12*'Seasonal Factors'!$E$4)),"")</f>
        <v>0.571789944687981</v>
      </c>
      <c r="F170" s="24" t="n">
        <f aca="false">IFERROR(E170/AVERAGE(E165:E176),"")</f>
        <v>0.569653444343255</v>
      </c>
      <c r="G170" s="23" t="n">
        <f aca="false">IF(ISNUMBER(Tabelle1!F177),(0.5*Tabelle1!F165+SUM(Tabelle1!F166:F176)+0.5*Tabelle1!F177)/12,"")</f>
        <v>181.42471375</v>
      </c>
      <c r="H170" s="24" t="n">
        <f aca="false">IFERROR(Tabelle1!F171/G170,"")</f>
        <v>1.41422844052854</v>
      </c>
      <c r="I170" s="24" t="n">
        <f aca="false">IFERROR(AVERAGEIFS($H$7:$H$294,$B$7:$B$294,$B170,$A$7:$A$294,"&gt;="&amp;EDATE($A170,-12*'Seasonal Factors'!$E$4),$A$7:$A$294,"&lt;="&amp;EDATE($A170,12*'Seasonal Factors'!$E$4)),"")</f>
        <v>1.51165169452593</v>
      </c>
      <c r="J170" s="24" t="n">
        <f aca="false">IFERROR(I170/AVERAGE(I165:I176),"")</f>
        <v>1.51035517327406</v>
      </c>
      <c r="K170" s="23" t="n">
        <f aca="false">IF(ISNUMBER(Tabelle1!G177),(0.5*Tabelle1!G165+SUM(Tabelle1!G166:G176)+0.5*Tabelle1!G177)/12,"")</f>
        <v>86.8207683333333</v>
      </c>
      <c r="L170" s="24" t="n">
        <f aca="false">IFERROR(Tabelle1!G171/K170,"")</f>
        <v>1.0261831553706</v>
      </c>
      <c r="M170" s="24" t="n">
        <f aca="false">IFERROR(AVERAGEIFS($L$7:$L$294,$B$7:$B$294,$B170,$A$7:$A$294,"&gt;="&amp;EDATE($A170,-12*'Seasonal Factors'!$E$4),$A$7:$A$294,"&lt;="&amp;EDATE($A170,12*'Seasonal Factors'!$E$4)),"")</f>
        <v>1.02016320939171</v>
      </c>
      <c r="N170" s="24" t="n">
        <f aca="false">IFERROR(M170/AVERAGE(M165:M176),"")</f>
        <v>1.02137831465531</v>
      </c>
      <c r="O170" s="23" t="n">
        <f aca="false">IF(ISNUMBER(Tabelle1!H177),(0.5*Tabelle1!H165+SUM(Tabelle1!H166:H176)+0.5*Tabelle1!H177)/12,"")</f>
        <v>132.621995416667</v>
      </c>
      <c r="P170" s="24" t="n">
        <f aca="false">IFERROR(Tabelle1!H171/O170,"")</f>
        <v>1.07078248637295</v>
      </c>
      <c r="Q170" s="24" t="n">
        <f aca="false">IFERROR(AVERAGEIFS($P$7:$P$294,$B$7:$B$294,$B170,$A$7:$A$294,"&gt;="&amp;EDATE($A170,-12*'Seasonal Factors'!$E$4),$A$7:$A$294,"&lt;="&amp;EDATE($A170,12*'Seasonal Factors'!$E$4)),"")</f>
        <v>1.05122232842687</v>
      </c>
      <c r="R170" s="24" t="n">
        <f aca="false">IFERROR(Q170/AVERAGE(Q165:Q176),"")</f>
        <v>1.05186227202175</v>
      </c>
      <c r="S170" s="23" t="n">
        <f aca="false">IF(ISNUMBER(Tabelle1!I177),(0.5*Tabelle1!I165+SUM(Tabelle1!I166:I176)+0.5*Tabelle1!I177)/12,"")</f>
        <v>143.410730833333</v>
      </c>
      <c r="T170" s="24" t="n">
        <f aca="false">IFERROR(Tabelle1!I171/S170,"")</f>
        <v>1.01599419480912</v>
      </c>
      <c r="U170" s="24" t="n">
        <f aca="false">IFERROR(AVERAGEIFS($T$7:$T$294,$B$7:$B$294,$B170,$A$7:$A$294,"&gt;="&amp;EDATE($A170,-12*'Seasonal Factors'!$E$4),$A$7:$A$294,"&lt;="&amp;EDATE($A170,12*'Seasonal Factors'!$E$4)),"")</f>
        <v>1.02832386706313</v>
      </c>
      <c r="V170" s="24" t="n">
        <f aca="false">IFERROR(U170/AVERAGE(U165:U176),"")</f>
        <v>1.02880590739722</v>
      </c>
      <c r="W170" s="23" t="n">
        <f aca="false">IF(ISNUMBER(Tabelle1!J177),(0.5*Tabelle1!J165+SUM(Tabelle1!J166:J176)+0.5*Tabelle1!J177)/12,"")</f>
        <v>148.575002916667</v>
      </c>
      <c r="X170" s="24" t="n">
        <f aca="false">IFERROR(Tabelle1!J171/W170,"")</f>
        <v>1.07251978375781</v>
      </c>
      <c r="Y170" s="24" t="n">
        <f aca="false">IFERROR(AVERAGEIFS($X$7:$X$294,$B$7:$B$294,$B170,$A$7:$A$294,"&gt;="&amp;EDATE($A170,-12*'Seasonal Factors'!$E$4),$A$7:$A$294,"&lt;="&amp;EDATE($A170,12*'Seasonal Factors'!$E$4)),"")</f>
        <v>1.05783508456204</v>
      </c>
      <c r="Z170" s="24" t="n">
        <f aca="false">IFERROR(Y170/AVERAGE(Y165:Y176),"")</f>
        <v>1.05967665883078</v>
      </c>
      <c r="AA170" s="23" t="n">
        <f aca="false">IF(ISNUMBER(Tabelle1!K177),(0.5*Tabelle1!K165+SUM(Tabelle1!K166:K176)+0.5*Tabelle1!K177)/12,"")</f>
        <v>159.341588333333</v>
      </c>
      <c r="AB170" s="24" t="n">
        <f aca="false">IFERROR(Tabelle1!K171/AA170,"")</f>
        <v>1.03296761204412</v>
      </c>
      <c r="AC170" s="24" t="n">
        <f aca="false">IFERROR(AVERAGEIFS($AB$7:$AB$294,$B$7:$B$294,$B170,$A$7:$A$294,"&gt;="&amp;EDATE($A170,-12*'Seasonal Factors'!$E$4),$A$7:$A$294,"&lt;="&amp;EDATE($A170,12*'Seasonal Factors'!$E$4)),"")</f>
        <v>1.02367477492177</v>
      </c>
      <c r="AD170" s="24" t="n">
        <f aca="false">IFERROR(AC170/AVERAGE(AC165:AC176),"")</f>
        <v>1.02397254702012</v>
      </c>
      <c r="AE170" s="23" t="n">
        <f aca="false">IF(ISNUMBER(Tabelle1!L177),(0.5*Tabelle1!L165+SUM(Tabelle1!L166:L176)+0.5*Tabelle1!L177)/12,"")</f>
        <v>166.837824583333</v>
      </c>
      <c r="AF170" s="24" t="n">
        <f aca="false">IFERROR(Tabelle1!L171/AE170,"")</f>
        <v>1.01017200638347</v>
      </c>
      <c r="AG170" s="24" t="n">
        <f aca="false">IFERROR(AVERAGEIFS($AF$7:$AF$294,$B$7:$B$294,$B170,$A$7:$A$294,"&gt;="&amp;EDATE($A170,-12*'Seasonal Factors'!$E$4),$A$7:$A$294,"&lt;="&amp;EDATE($A170,12*'Seasonal Factors'!$E$4)),"")</f>
        <v>0.997407161216399</v>
      </c>
      <c r="AH170" s="24" t="n">
        <f aca="false">IFERROR(AG170/AVERAGE(AG165:AG176),"")</f>
        <v>1.00160614454705</v>
      </c>
      <c r="AI170" s="23" t="n">
        <f aca="false">IF(ISNUMBER(Tabelle1!M177),(0.5*Tabelle1!M165+SUM(Tabelle1!M166:M176)+0.5*Tabelle1!M177)/12,"")</f>
        <v>198.27990375</v>
      </c>
      <c r="AJ170" s="24" t="n">
        <f aca="false">IFERROR(Tabelle1!M171/AI170,"")</f>
        <v>0.999109169680541</v>
      </c>
      <c r="AK170" s="24" t="n">
        <f aca="false">IFERROR(AVERAGEIFS($AJ$7:$AJ$294,$B$7:$B$294,$B170,$A$7:$A$294,"&gt;="&amp;EDATE($A170,-12*'Seasonal Factors'!$E$4),$A$7:$A$294,"&lt;="&amp;EDATE($A170,12*'Seasonal Factors'!$E$4)),"")</f>
        <v>0.997539265306623</v>
      </c>
      <c r="AL170" s="24" t="n">
        <f aca="false">IFERROR(AK170/AVERAGE(AK165:AK176),"")</f>
        <v>0.997955387364843</v>
      </c>
      <c r="AM170" s="23" t="n">
        <f aca="false">IF(ISNUMBER(Tabelle1!N177),(0.5*Tabelle1!N165+SUM(Tabelle1!N166:N176)+0.5*Tabelle1!N177)/12,"")</f>
        <v>184.784384583333</v>
      </c>
      <c r="AN170" s="24" t="n">
        <f aca="false">IFERROR(Tabelle1!N171/AM170,"")</f>
        <v>1.01454265425472</v>
      </c>
      <c r="AO170" s="24" t="n">
        <f aca="false">IFERROR(AVERAGEIFS($AN$7:$AN$294,$B$7:$B$294,$B170,$A$7:$A$294,"&gt;="&amp;EDATE($A170,-12*'Seasonal Factors'!$E$4),$A$7:$A$294,"&lt;="&amp;EDATE($A170,12*'Seasonal Factors'!$E$4)),"")</f>
        <v>1.01991801743328</v>
      </c>
      <c r="AP170" s="24" t="n">
        <f aca="false">IFERROR(AO170/AVERAGE(AO165:AO176),"")</f>
        <v>1.02036837693488</v>
      </c>
      <c r="AQ170" s="23" t="n">
        <f aca="false">IF(ISNUMBER(Tabelle1!O177),(0.5*Tabelle1!O165+SUM(Tabelle1!O166:O176)+0.5*Tabelle1!O177)/12,"")</f>
        <v>140.774275833333</v>
      </c>
      <c r="AR170" s="24" t="n">
        <f aca="false">IFERROR(Tabelle1!O171/AQ170,"")</f>
        <v>1.01308281755146</v>
      </c>
      <c r="AS170" s="24" t="n">
        <f aca="false">IFERROR(AVERAGEIFS($AR$7:$AR$294,$B$7:$B$294,$B170,$A$7:$A$294,"&gt;="&amp;EDATE($A170,-12*'Seasonal Factors'!$E$4),$A$7:$A$294,"&lt;="&amp;EDATE($A170,12*'Seasonal Factors'!$E$4)),"")</f>
        <v>1.0065127264945</v>
      </c>
      <c r="AT170" s="24" t="n">
        <f aca="false">IFERROR(AS170/AVERAGE(AS165:AS176),"")</f>
        <v>1.00677355707849</v>
      </c>
      <c r="AU170" s="23" t="n">
        <f aca="false">IF(ISNUMBER(Tabelle1!P177),(0.5*Tabelle1!P165+SUM(Tabelle1!P166:P176)+0.5*Tabelle1!P177)/12,"")</f>
        <v>154.24319625</v>
      </c>
      <c r="AV170" s="24" t="n">
        <f aca="false">IFERROR(Tabelle1!P171/AU170,"")</f>
        <v>0.995962893241717</v>
      </c>
      <c r="AW170" s="24" t="n">
        <f aca="false">IFERROR(AVERAGEIFS($AV$7:$AV$294,$B$7:$B$294,$B170,$A$7:$A$294,"&gt;="&amp;EDATE($A170,-12*'Seasonal Factors'!$E$4),$A$7:$A$294,"&lt;="&amp;EDATE($A170,12*'Seasonal Factors'!$E$4)),"")</f>
        <v>0.995586992794236</v>
      </c>
      <c r="AX170" s="24" t="n">
        <f aca="false">IFERROR(AW170/AVERAGE(AW165:AW176),"")</f>
        <v>0.995747300537924</v>
      </c>
      <c r="AY170" s="23" t="n">
        <f aca="false">IF(ISNUMBER(Tabelle1!Q177),(0.5*Tabelle1!Q165+SUM(Tabelle1!Q166:Q176)+0.5*Tabelle1!Q177)/12,"")</f>
        <v>158.635472916667</v>
      </c>
      <c r="AZ170" s="24" t="n">
        <f aca="false">IFERROR(Tabelle1!Q171/AY170,"")</f>
        <v>1.01103963099258</v>
      </c>
      <c r="BA170" s="24" t="n">
        <f aca="false">IFERROR(AVERAGEIFS($AZ$7:$AZ$294,$B$7:$B$294,$B170,$A$7:$A$294,"&gt;="&amp;EDATE($A170,-12*'Seasonal Factors'!$E$4),$A$7:$A$294,"&lt;="&amp;EDATE($A170,12*'Seasonal Factors'!$E$4)),"")</f>
        <v>1.00761235366799</v>
      </c>
      <c r="BB170" s="24" t="n">
        <f aca="false">IFERROR(BA170/AVERAGE(BA165:BA176),"")</f>
        <v>1.00781939528079</v>
      </c>
      <c r="BC170" s="23" t="n">
        <f aca="false">IF(ISNUMBER(Tabelle1!R177),(0.5*Tabelle1!R165+SUM(Tabelle1!R166:R176)+0.5*Tabelle1!R177)/12,"")</f>
        <v>178.34449</v>
      </c>
      <c r="BD170" s="24" t="n">
        <f aca="false">IFERROR(Tabelle1!R171/BC170,"")</f>
        <v>1.00142886388024</v>
      </c>
      <c r="BE170" s="24" t="n">
        <f aca="false">IFERROR(AVERAGEIFS($BD$7:$BD$294,$B$7:$B$294,$B170,$A$7:$A$294,"&gt;="&amp;EDATE($A170,-12*'Seasonal Factors'!$E$4),$A$7:$A$294,"&lt;="&amp;EDATE($A170,12*'Seasonal Factors'!$E$4)),"")</f>
        <v>1.00282116357511</v>
      </c>
      <c r="BF170" s="24" t="n">
        <f aca="false">IFERROR(BE170/AVERAGE(BE165:BE176),"")</f>
        <v>1.00285405851366</v>
      </c>
      <c r="BG170" s="23" t="n">
        <f aca="false">IF(ISNUMBER(Tabelle1!S177),(0.5*Tabelle1!S165+SUM(Tabelle1!S166:S176)+0.5*Tabelle1!S177)/12,"")</f>
        <v>152.368201666667</v>
      </c>
      <c r="BH170" s="24" t="n">
        <f aca="false">IFERROR(Tabelle1!S171/BG170,"")</f>
        <v>0.990934186716408</v>
      </c>
      <c r="BI170" s="24" t="n">
        <f aca="false">IFERROR(AVERAGEIFS($BH$7:$BH$294,$B$7:$B$294,$B170,$A$7:$A$294,"&gt;="&amp;EDATE($A170,-12*'Seasonal Factors'!$E$4),$A$7:$A$294,"&lt;="&amp;EDATE($A170,12*'Seasonal Factors'!$E$4)),"")</f>
        <v>0.981960523537039</v>
      </c>
      <c r="BJ170" s="24" t="n">
        <f aca="false">IFERROR(BI170/AVERAGE(BI165:BI176),"")</f>
        <v>0.98470421792409</v>
      </c>
    </row>
    <row r="171" customFormat="false" ht="15" hidden="false" customHeight="false" outlineLevel="0" collapsed="false">
      <c r="A171" s="20" t="n">
        <v>43008</v>
      </c>
      <c r="B171" s="22" t="n">
        <f aca="false">MONTH(A171)</f>
        <v>9</v>
      </c>
      <c r="C171" s="23" t="n">
        <f aca="false">IF(ISNUMBER(Tabelle1!E178),(0.5*Tabelle1!E166+SUM(Tabelle1!E167:E177)+0.5*Tabelle1!E178)/12,"")</f>
        <v>132.524139583333</v>
      </c>
      <c r="D171" s="24" t="n">
        <f aca="false">IFERROR(Tabelle1!E172/C171,"")</f>
        <v>0.488611057604961</v>
      </c>
      <c r="E171" s="24" t="n">
        <f aca="false">IFERROR(AVERAGEIFS($D$7:$D$294,$B$7:$B$294,$B171,$A$7:$A$294,"&gt;="&amp;EDATE($A171,-12*'Seasonal Factors'!$E$4),$A$7:$A$294,"&lt;="&amp;EDATE($A171,12*'Seasonal Factors'!$E$4)),"")</f>
        <v>0.529078385874292</v>
      </c>
      <c r="F171" s="24" t="n">
        <f aca="false">IFERROR(E171/AVERAGE(E166:E177),"")</f>
        <v>0.52704922610447</v>
      </c>
      <c r="G171" s="23" t="n">
        <f aca="false">IF(ISNUMBER(Tabelle1!F178),(0.5*Tabelle1!F166+SUM(Tabelle1!F167:F177)+0.5*Tabelle1!F178)/12,"")</f>
        <v>181.60472125</v>
      </c>
      <c r="H171" s="24" t="n">
        <f aca="false">IFERROR(Tabelle1!F172/G171,"")</f>
        <v>1.53824381919807</v>
      </c>
      <c r="I171" s="24" t="n">
        <f aca="false">IFERROR(AVERAGEIFS($H$7:$H$294,$B$7:$B$294,$B171,$A$7:$A$294,"&gt;="&amp;EDATE($A171,-12*'Seasonal Factors'!$E$4),$A$7:$A$294,"&lt;="&amp;EDATE($A171,12*'Seasonal Factors'!$E$4)),"")</f>
        <v>1.3550296472401</v>
      </c>
      <c r="J171" s="24" t="n">
        <f aca="false">IFERROR(I171/AVERAGE(I166:I177),"")</f>
        <v>1.35404807907708</v>
      </c>
      <c r="K171" s="23" t="n">
        <f aca="false">IF(ISNUMBER(Tabelle1!G178),(0.5*Tabelle1!G166+SUM(Tabelle1!G167:G177)+0.5*Tabelle1!G178)/12,"")</f>
        <v>86.9143429166667</v>
      </c>
      <c r="L171" s="24" t="n">
        <f aca="false">IFERROR(Tabelle1!G172/K171,"")</f>
        <v>0.999726823952527</v>
      </c>
      <c r="M171" s="24" t="n">
        <f aca="false">IFERROR(AVERAGEIFS($L$7:$L$294,$B$7:$B$294,$B171,$A$7:$A$294,"&gt;="&amp;EDATE($A171,-12*'Seasonal Factors'!$E$4),$A$7:$A$294,"&lt;="&amp;EDATE($A171,12*'Seasonal Factors'!$E$4)),"")</f>
        <v>0.996997303896255</v>
      </c>
      <c r="N171" s="24" t="n">
        <f aca="false">IFERROR(M171/AVERAGE(M166:M177),"")</f>
        <v>0.998193504539779</v>
      </c>
      <c r="O171" s="23" t="n">
        <f aca="false">IF(ISNUMBER(Tabelle1!H178),(0.5*Tabelle1!H166+SUM(Tabelle1!H167:H177)+0.5*Tabelle1!H178)/12,"")</f>
        <v>132.979532916667</v>
      </c>
      <c r="P171" s="24" t="n">
        <f aca="false">IFERROR(Tabelle1!H172/O171,"")</f>
        <v>1.03808260543754</v>
      </c>
      <c r="Q171" s="24" t="n">
        <f aca="false">IFERROR(AVERAGEIFS($P$7:$P$294,$B$7:$B$294,$B171,$A$7:$A$294,"&gt;="&amp;EDATE($A171,-12*'Seasonal Factors'!$E$4),$A$7:$A$294,"&lt;="&amp;EDATE($A171,12*'Seasonal Factors'!$E$4)),"")</f>
        <v>1.03660816350692</v>
      </c>
      <c r="R171" s="24" t="n">
        <f aca="false">IFERROR(Q171/AVERAGE(Q166:Q177),"")</f>
        <v>1.03699398462974</v>
      </c>
      <c r="S171" s="23" t="n">
        <f aca="false">IF(ISNUMBER(Tabelle1!I178),(0.5*Tabelle1!I166+SUM(Tabelle1!I167:I177)+0.5*Tabelle1!I178)/12,"")</f>
        <v>143.50497</v>
      </c>
      <c r="T171" s="24" t="n">
        <f aca="false">IFERROR(Tabelle1!I172/S171,"")</f>
        <v>0.952471750629961</v>
      </c>
      <c r="U171" s="24" t="n">
        <f aca="false">IFERROR(AVERAGEIFS($T$7:$T$294,$B$7:$B$294,$B171,$A$7:$A$294,"&gt;="&amp;EDATE($A171,-12*'Seasonal Factors'!$E$4),$A$7:$A$294,"&lt;="&amp;EDATE($A171,12*'Seasonal Factors'!$E$4)),"")</f>
        <v>0.953460821529245</v>
      </c>
      <c r="V171" s="24" t="n">
        <f aca="false">IFERROR(U171/AVERAGE(U166:U177),"")</f>
        <v>0.953763891378852</v>
      </c>
      <c r="W171" s="23" t="n">
        <f aca="false">IF(ISNUMBER(Tabelle1!J178),(0.5*Tabelle1!J166+SUM(Tabelle1!J167:J177)+0.5*Tabelle1!J178)/12,"")</f>
        <v>149.45582125</v>
      </c>
      <c r="X171" s="24" t="n">
        <f aca="false">IFERROR(Tabelle1!J172/W171,"")</f>
        <v>1.01203425022162</v>
      </c>
      <c r="Y171" s="24" t="n">
        <f aca="false">IFERROR(AVERAGEIFS($X$7:$X$294,$B$7:$B$294,$B171,$A$7:$A$294,"&gt;="&amp;EDATE($A171,-12*'Seasonal Factors'!$E$4),$A$7:$A$294,"&lt;="&amp;EDATE($A171,12*'Seasonal Factors'!$E$4)),"")</f>
        <v>1.02607461868288</v>
      </c>
      <c r="Z171" s="24" t="n">
        <f aca="false">IFERROR(Y171/AVERAGE(Y166:Y177),"")</f>
        <v>1.02756342632237</v>
      </c>
      <c r="AA171" s="23" t="n">
        <f aca="false">IF(ISNUMBER(Tabelle1!K178),(0.5*Tabelle1!K166+SUM(Tabelle1!K167:K177)+0.5*Tabelle1!K178)/12,"")</f>
        <v>160.11137375</v>
      </c>
      <c r="AB171" s="24" t="n">
        <f aca="false">IFERROR(Tabelle1!K172/AA171,"")</f>
        <v>0.992836775282493</v>
      </c>
      <c r="AC171" s="24" t="n">
        <f aca="false">IFERROR(AVERAGEIFS($AB$7:$AB$294,$B$7:$B$294,$B171,$A$7:$A$294,"&gt;="&amp;EDATE($A171,-12*'Seasonal Factors'!$E$4),$A$7:$A$294,"&lt;="&amp;EDATE($A171,12*'Seasonal Factors'!$E$4)),"")</f>
        <v>1.01145252301365</v>
      </c>
      <c r="AD171" s="24" t="n">
        <f aca="false">IFERROR(AC171/AVERAGE(AC166:AC177),"")</f>
        <v>1.01202095380128</v>
      </c>
      <c r="AE171" s="23" t="n">
        <f aca="false">IF(ISNUMBER(Tabelle1!L178),(0.5*Tabelle1!L166+SUM(Tabelle1!L167:L177)+0.5*Tabelle1!L178)/12,"")</f>
        <v>167.407301666667</v>
      </c>
      <c r="AF171" s="24" t="n">
        <f aca="false">IFERROR(Tabelle1!L172/AE171,"")</f>
        <v>0.991285316398137</v>
      </c>
      <c r="AG171" s="24" t="n">
        <f aca="false">IFERROR(AVERAGEIFS($AF$7:$AF$294,$B$7:$B$294,$B171,$A$7:$A$294,"&gt;="&amp;EDATE($A171,-12*'Seasonal Factors'!$E$4),$A$7:$A$294,"&lt;="&amp;EDATE($A171,12*'Seasonal Factors'!$E$4)),"")</f>
        <v>0.985093515990529</v>
      </c>
      <c r="AH171" s="24" t="n">
        <f aca="false">IFERROR(AG171/AVERAGE(AG166:AG177),"")</f>
        <v>0.98958086907178</v>
      </c>
      <c r="AI171" s="23" t="n">
        <f aca="false">IF(ISNUMBER(Tabelle1!M178),(0.5*Tabelle1!M166+SUM(Tabelle1!M167:M177)+0.5*Tabelle1!M178)/12,"")</f>
        <v>198.292014583333</v>
      </c>
      <c r="AJ171" s="24" t="n">
        <f aca="false">IFERROR(Tabelle1!M172/AI171,"")</f>
        <v>0.983561846450637</v>
      </c>
      <c r="AK171" s="24" t="n">
        <f aca="false">IFERROR(AVERAGEIFS($AJ$7:$AJ$294,$B$7:$B$294,$B171,$A$7:$A$294,"&gt;="&amp;EDATE($A171,-12*'Seasonal Factors'!$E$4),$A$7:$A$294,"&lt;="&amp;EDATE($A171,12*'Seasonal Factors'!$E$4)),"")</f>
        <v>0.986864070972323</v>
      </c>
      <c r="AL171" s="24" t="n">
        <f aca="false">IFERROR(AK171/AVERAGE(AK166:AK177),"")</f>
        <v>0.987062526239354</v>
      </c>
      <c r="AM171" s="23" t="n">
        <f aca="false">IF(ISNUMBER(Tabelle1!N178),(0.5*Tabelle1!N166+SUM(Tabelle1!N167:N177)+0.5*Tabelle1!N178)/12,"")</f>
        <v>185.602367916667</v>
      </c>
      <c r="AN171" s="24" t="n">
        <f aca="false">IFERROR(Tabelle1!N172/AM171,"")</f>
        <v>0.990670981539179</v>
      </c>
      <c r="AO171" s="24" t="n">
        <f aca="false">IFERROR(AVERAGEIFS($AN$7:$AN$294,$B$7:$B$294,$B171,$A$7:$A$294,"&gt;="&amp;EDATE($A171,-12*'Seasonal Factors'!$E$4),$A$7:$A$294,"&lt;="&amp;EDATE($A171,12*'Seasonal Factors'!$E$4)),"")</f>
        <v>0.99479329411502</v>
      </c>
      <c r="AP171" s="24" t="n">
        <f aca="false">IFERROR(AO171/AVERAGE(AO166:AO177),"")</f>
        <v>0.994501814746969</v>
      </c>
      <c r="AQ171" s="23" t="n">
        <f aca="false">IF(ISNUMBER(Tabelle1!O178),(0.5*Tabelle1!O166+SUM(Tabelle1!O167:O177)+0.5*Tabelle1!O178)/12,"")</f>
        <v>141.196934166667</v>
      </c>
      <c r="AR171" s="24" t="n">
        <f aca="false">IFERROR(Tabelle1!O172/AQ171,"")</f>
        <v>1.00018928054983</v>
      </c>
      <c r="AS171" s="24" t="n">
        <f aca="false">IFERROR(AVERAGEIFS($AR$7:$AR$294,$B$7:$B$294,$B171,$A$7:$A$294,"&gt;="&amp;EDATE($A171,-12*'Seasonal Factors'!$E$4),$A$7:$A$294,"&lt;="&amp;EDATE($A171,12*'Seasonal Factors'!$E$4)),"")</f>
        <v>1.00228693237631</v>
      </c>
      <c r="AT171" s="24" t="n">
        <f aca="false">IFERROR(AS171/AVERAGE(AS166:AS177),"")</f>
        <v>1.00248342893873</v>
      </c>
      <c r="AU171" s="23" t="n">
        <f aca="false">IF(ISNUMBER(Tabelle1!P178),(0.5*Tabelle1!P166+SUM(Tabelle1!P167:P177)+0.5*Tabelle1!P178)/12,"")</f>
        <v>154.326997083333</v>
      </c>
      <c r="AV171" s="24" t="n">
        <f aca="false">IFERROR(Tabelle1!P172/AU171,"")</f>
        <v>0.996036292451132</v>
      </c>
      <c r="AW171" s="24" t="n">
        <f aca="false">IFERROR(AVERAGEIFS($AV$7:$AV$294,$B$7:$B$294,$B171,$A$7:$A$294,"&gt;="&amp;EDATE($A171,-12*'Seasonal Factors'!$E$4),$A$7:$A$294,"&lt;="&amp;EDATE($A171,12*'Seasonal Factors'!$E$4)),"")</f>
        <v>0.996286886424521</v>
      </c>
      <c r="AX171" s="24" t="n">
        <f aca="false">IFERROR(AW171/AVERAGE(AW166:AW177),"")</f>
        <v>0.996340123145482</v>
      </c>
      <c r="AY171" s="23" t="n">
        <f aca="false">IF(ISNUMBER(Tabelle1!Q178),(0.5*Tabelle1!Q166+SUM(Tabelle1!Q167:Q177)+0.5*Tabelle1!Q178)/12,"")</f>
        <v>158.953811666667</v>
      </c>
      <c r="AZ171" s="24" t="n">
        <f aca="false">IFERROR(Tabelle1!Q172/AY171,"")</f>
        <v>1.01235181662363</v>
      </c>
      <c r="BA171" s="24" t="n">
        <f aca="false">IFERROR(AVERAGEIFS($AZ$7:$AZ$294,$B$7:$B$294,$B171,$A$7:$A$294,"&gt;="&amp;EDATE($A171,-12*'Seasonal Factors'!$E$4),$A$7:$A$294,"&lt;="&amp;EDATE($A171,12*'Seasonal Factors'!$E$4)),"")</f>
        <v>1.01184910965698</v>
      </c>
      <c r="BB171" s="24" t="n">
        <f aca="false">IFERROR(BA171/AVERAGE(BA166:BA177),"")</f>
        <v>1.0119508351069</v>
      </c>
      <c r="BC171" s="23" t="n">
        <f aca="false">IF(ISNUMBER(Tabelle1!R178),(0.5*Tabelle1!R166+SUM(Tabelle1!R167:R177)+0.5*Tabelle1!R178)/12,"")</f>
        <v>178.640265</v>
      </c>
      <c r="BD171" s="24" t="n">
        <f aca="false">IFERROR(Tabelle1!R172/BC171,"")</f>
        <v>0.983266454514048</v>
      </c>
      <c r="BE171" s="24" t="n">
        <f aca="false">IFERROR(AVERAGEIFS($BD$7:$BD$294,$B$7:$B$294,$B171,$A$7:$A$294,"&gt;="&amp;EDATE($A171,-12*'Seasonal Factors'!$E$4),$A$7:$A$294,"&lt;="&amp;EDATE($A171,12*'Seasonal Factors'!$E$4)),"")</f>
        <v>0.989097842819598</v>
      </c>
      <c r="BF171" s="24" t="n">
        <f aca="false">IFERROR(BE171/AVERAGE(BE166:BE177),"")</f>
        <v>0.989070075991714</v>
      </c>
      <c r="BG171" s="23" t="n">
        <f aca="false">IF(ISNUMBER(Tabelle1!S178),(0.5*Tabelle1!S166+SUM(Tabelle1!S167:S177)+0.5*Tabelle1!S178)/12,"")</f>
        <v>152.12719625</v>
      </c>
      <c r="BH171" s="24" t="n">
        <f aca="false">IFERROR(Tabelle1!S172/BG171,"")</f>
        <v>0.99702264775027</v>
      </c>
      <c r="BI171" s="24" t="n">
        <f aca="false">IFERROR(AVERAGEIFS($BH$7:$BH$294,$B$7:$B$294,$B171,$A$7:$A$294,"&gt;="&amp;EDATE($A171,-12*'Seasonal Factors'!$E$4),$A$7:$A$294,"&lt;="&amp;EDATE($A171,12*'Seasonal Factors'!$E$4)),"")</f>
        <v>0.956861989476421</v>
      </c>
      <c r="BJ171" s="24" t="n">
        <f aca="false">IFERROR(BI171/AVERAGE(BI166:BI177),"")</f>
        <v>0.958289812328406</v>
      </c>
    </row>
    <row r="172" customFormat="false" ht="15" hidden="false" customHeight="false" outlineLevel="0" collapsed="false">
      <c r="A172" s="20" t="n">
        <v>43039</v>
      </c>
      <c r="B172" s="22" t="n">
        <f aca="false">MONTH(A172)</f>
        <v>10</v>
      </c>
      <c r="C172" s="23" t="n">
        <f aca="false">IF(ISNUMBER(Tabelle1!E179),(0.5*Tabelle1!E167+SUM(Tabelle1!E168:E178)+0.5*Tabelle1!E179)/12,"")</f>
        <v>129.76123625</v>
      </c>
      <c r="D172" s="24" t="n">
        <f aca="false">IFERROR(Tabelle1!E173/C172,"")</f>
        <v>0.602900082188451</v>
      </c>
      <c r="E172" s="24" t="n">
        <f aca="false">IFERROR(AVERAGEIFS($D$7:$D$294,$B$7:$B$294,$B172,$A$7:$A$294,"&gt;="&amp;EDATE($A172,-12*'Seasonal Factors'!$E$4),$A$7:$A$294,"&lt;="&amp;EDATE($A172,12*'Seasonal Factors'!$E$4)),"")</f>
        <v>0.578643888143163</v>
      </c>
      <c r="F172" s="24" t="n">
        <f aca="false">IFERROR(E172/AVERAGE(E167:E178),"")</f>
        <v>0.576907904423485</v>
      </c>
      <c r="G172" s="23" t="n">
        <f aca="false">IF(ISNUMBER(Tabelle1!F179),(0.5*Tabelle1!F167+SUM(Tabelle1!F168:F178)+0.5*Tabelle1!F179)/12,"")</f>
        <v>182.059870833333</v>
      </c>
      <c r="H172" s="24" t="n">
        <f aca="false">IFERROR(Tabelle1!F173/G172,"")</f>
        <v>1.28060417121483</v>
      </c>
      <c r="I172" s="24" t="n">
        <f aca="false">IFERROR(AVERAGEIFS($H$7:$H$294,$B$7:$B$294,$B172,$A$7:$A$294,"&gt;="&amp;EDATE($A172,-12*'Seasonal Factors'!$E$4),$A$7:$A$294,"&lt;="&amp;EDATE($A172,12*'Seasonal Factors'!$E$4)),"")</f>
        <v>1.2845864730561</v>
      </c>
      <c r="J172" s="24" t="n">
        <f aca="false">IFERROR(I172/AVERAGE(I167:I178),"")</f>
        <v>1.28252773763137</v>
      </c>
      <c r="K172" s="23" t="n">
        <f aca="false">IF(ISNUMBER(Tabelle1!G179),(0.5*Tabelle1!G167+SUM(Tabelle1!G168:G178)+0.5*Tabelle1!G179)/12,"")</f>
        <v>87.17528875</v>
      </c>
      <c r="L172" s="24" t="n">
        <f aca="false">IFERROR(Tabelle1!G173/K172,"")</f>
        <v>1.04369473625632</v>
      </c>
      <c r="M172" s="24" t="n">
        <f aca="false">IFERROR(AVERAGEIFS($L$7:$L$294,$B$7:$B$294,$B172,$A$7:$A$294,"&gt;="&amp;EDATE($A172,-12*'Seasonal Factors'!$E$4),$A$7:$A$294,"&lt;="&amp;EDATE($A172,12*'Seasonal Factors'!$E$4)),"")</f>
        <v>1.02296875810892</v>
      </c>
      <c r="N172" s="24" t="n">
        <f aca="false">IFERROR(M172/AVERAGE(M167:M178),"")</f>
        <v>1.02403399346413</v>
      </c>
      <c r="O172" s="23" t="n">
        <f aca="false">IF(ISNUMBER(Tabelle1!H179),(0.5*Tabelle1!H167+SUM(Tabelle1!H168:H178)+0.5*Tabelle1!H179)/12,"")</f>
        <v>133.261090416667</v>
      </c>
      <c r="P172" s="24" t="n">
        <f aca="false">IFERROR(Tabelle1!H173/O172,"")</f>
        <v>1.07308614654796</v>
      </c>
      <c r="Q172" s="24" t="n">
        <f aca="false">IFERROR(AVERAGEIFS($P$7:$P$294,$B$7:$B$294,$B172,$A$7:$A$294,"&gt;="&amp;EDATE($A172,-12*'Seasonal Factors'!$E$4),$A$7:$A$294,"&lt;="&amp;EDATE($A172,12*'Seasonal Factors'!$E$4)),"")</f>
        <v>1.08402013779417</v>
      </c>
      <c r="R172" s="24" t="n">
        <f aca="false">IFERROR(Q172/AVERAGE(Q167:Q178),"")</f>
        <v>1.08479729545602</v>
      </c>
      <c r="S172" s="23" t="n">
        <f aca="false">IF(ISNUMBER(Tabelle1!I179),(0.5*Tabelle1!I167+SUM(Tabelle1!I168:I178)+0.5*Tabelle1!I179)/12,"")</f>
        <v>143.649184166667</v>
      </c>
      <c r="T172" s="24" t="n">
        <f aca="false">IFERROR(Tabelle1!I173/S172,"")</f>
        <v>0.941177569398077</v>
      </c>
      <c r="U172" s="24" t="n">
        <f aca="false">IFERROR(AVERAGEIFS($T$7:$T$294,$B$7:$B$294,$B172,$A$7:$A$294,"&gt;="&amp;EDATE($A172,-12*'Seasonal Factors'!$E$4),$A$7:$A$294,"&lt;="&amp;EDATE($A172,12*'Seasonal Factors'!$E$4)),"")</f>
        <v>0.949008607678799</v>
      </c>
      <c r="V172" s="24" t="n">
        <f aca="false">IFERROR(U172/AVERAGE(U167:U178),"")</f>
        <v>0.949481444664389</v>
      </c>
      <c r="W172" s="23" t="n">
        <f aca="false">IF(ISNUMBER(Tabelle1!J179),(0.5*Tabelle1!J167+SUM(Tabelle1!J168:J178)+0.5*Tabelle1!J179)/12,"")</f>
        <v>150.281287083333</v>
      </c>
      <c r="X172" s="24" t="n">
        <f aca="false">IFERROR(Tabelle1!J173/W172,"")</f>
        <v>0.995435645404388</v>
      </c>
      <c r="Y172" s="24" t="n">
        <f aca="false">IFERROR(AVERAGEIFS($X$7:$X$294,$B$7:$B$294,$B172,$A$7:$A$294,"&gt;="&amp;EDATE($A172,-12*'Seasonal Factors'!$E$4),$A$7:$A$294,"&lt;="&amp;EDATE($A172,12*'Seasonal Factors'!$E$4)),"")</f>
        <v>1.00099024717073</v>
      </c>
      <c r="Z172" s="24" t="n">
        <f aca="false">IFERROR(Y172/AVERAGE(Y167:Y178),"")</f>
        <v>1.00247503840373</v>
      </c>
      <c r="AA172" s="23" t="n">
        <f aca="false">IF(ISNUMBER(Tabelle1!K179),(0.5*Tabelle1!K167+SUM(Tabelle1!K168:K178)+0.5*Tabelle1!K179)/12,"")</f>
        <v>160.726723333333</v>
      </c>
      <c r="AB172" s="24" t="n">
        <f aca="false">IFERROR(Tabelle1!K173/AA172,"")</f>
        <v>1.04149762110706</v>
      </c>
      <c r="AC172" s="24" t="n">
        <f aca="false">IFERROR(AVERAGEIFS($AB$7:$AB$294,$B$7:$B$294,$B172,$A$7:$A$294,"&gt;="&amp;EDATE($A172,-12*'Seasonal Factors'!$E$4),$A$7:$A$294,"&lt;="&amp;EDATE($A172,12*'Seasonal Factors'!$E$4)),"")</f>
        <v>1.04370605479854</v>
      </c>
      <c r="AD172" s="24" t="n">
        <f aca="false">IFERROR(AC172/AVERAGE(AC167:AC178),"")</f>
        <v>1.04453811839732</v>
      </c>
      <c r="AE172" s="23" t="n">
        <f aca="false">IF(ISNUMBER(Tabelle1!L179),(0.5*Tabelle1!L167+SUM(Tabelle1!L168:L178)+0.5*Tabelle1!L179)/12,"")</f>
        <v>167.813197083333</v>
      </c>
      <c r="AF172" s="24" t="n">
        <f aca="false">IFERROR(Tabelle1!L173/AE172,"")</f>
        <v>1.04216118302754</v>
      </c>
      <c r="AG172" s="24" t="n">
        <f aca="false">IFERROR(AVERAGEIFS($AF$7:$AF$294,$B$7:$B$294,$B172,$A$7:$A$294,"&gt;="&amp;EDATE($A172,-12*'Seasonal Factors'!$E$4),$A$7:$A$294,"&lt;="&amp;EDATE($A172,12*'Seasonal Factors'!$E$4)),"")</f>
        <v>1.0304467900206</v>
      </c>
      <c r="AH172" s="24" t="n">
        <f aca="false">IFERROR(AG172/AVERAGE(AG167:AG178),"")</f>
        <v>1.03672759297463</v>
      </c>
      <c r="AI172" s="23" t="n">
        <f aca="false">IF(ISNUMBER(Tabelle1!M179),(0.5*Tabelle1!M167+SUM(Tabelle1!M168:M178)+0.5*Tabelle1!M179)/12,"")</f>
        <v>198.15916375</v>
      </c>
      <c r="AJ172" s="24" t="n">
        <f aca="false">IFERROR(Tabelle1!M173/AI172,"")</f>
        <v>0.992468560515915</v>
      </c>
      <c r="AK172" s="24" t="n">
        <f aca="false">IFERROR(AVERAGEIFS($AJ$7:$AJ$294,$B$7:$B$294,$B172,$A$7:$A$294,"&gt;="&amp;EDATE($A172,-12*'Seasonal Factors'!$E$4),$A$7:$A$294,"&lt;="&amp;EDATE($A172,12*'Seasonal Factors'!$E$4)),"")</f>
        <v>0.9923974194768</v>
      </c>
      <c r="AL172" s="24" t="n">
        <f aca="false">IFERROR(AK172/AVERAGE(AK167:AK178),"")</f>
        <v>0.992458100822518</v>
      </c>
      <c r="AM172" s="23" t="n">
        <f aca="false">IF(ISNUMBER(Tabelle1!N179),(0.5*Tabelle1!N167+SUM(Tabelle1!N168:N178)+0.5*Tabelle1!N179)/12,"")</f>
        <v>186.606319583333</v>
      </c>
      <c r="AN172" s="24" t="n">
        <f aca="false">IFERROR(Tabelle1!N173/AM172,"")</f>
        <v>1.00971864415265</v>
      </c>
      <c r="AO172" s="24" t="n">
        <f aca="false">IFERROR(AVERAGEIFS($AN$7:$AN$294,$B$7:$B$294,$B172,$A$7:$A$294,"&gt;="&amp;EDATE($A172,-12*'Seasonal Factors'!$E$4),$A$7:$A$294,"&lt;="&amp;EDATE($A172,12*'Seasonal Factors'!$E$4)),"")</f>
        <v>1.00989143574154</v>
      </c>
      <c r="AP172" s="24" t="n">
        <f aca="false">IFERROR(AO172/AVERAGE(AO167:AO178),"")</f>
        <v>1.00906845859375</v>
      </c>
      <c r="AQ172" s="23" t="n">
        <f aca="false">IF(ISNUMBER(Tabelle1!O179),(0.5*Tabelle1!O167+SUM(Tabelle1!O168:O178)+0.5*Tabelle1!O179)/12,"")</f>
        <v>141.705064166667</v>
      </c>
      <c r="AR172" s="24" t="n">
        <f aca="false">IFERROR(Tabelle1!O173/AQ172,"")</f>
        <v>1.01130937586993</v>
      </c>
      <c r="AS172" s="24" t="n">
        <f aca="false">IFERROR(AVERAGEIFS($AR$7:$AR$294,$B$7:$B$294,$B172,$A$7:$A$294,"&gt;="&amp;EDATE($A172,-12*'Seasonal Factors'!$E$4),$A$7:$A$294,"&lt;="&amp;EDATE($A172,12*'Seasonal Factors'!$E$4)),"")</f>
        <v>1.0108813859326</v>
      </c>
      <c r="AT172" s="24" t="n">
        <f aca="false">IFERROR(AS172/AVERAGE(AS167:AS178),"")</f>
        <v>1.01092649340721</v>
      </c>
      <c r="AU172" s="23" t="n">
        <f aca="false">IF(ISNUMBER(Tabelle1!P179),(0.5*Tabelle1!P167+SUM(Tabelle1!P168:P178)+0.5*Tabelle1!P179)/12,"")</f>
        <v>154.358519583333</v>
      </c>
      <c r="AV172" s="24" t="n">
        <f aca="false">IFERROR(Tabelle1!P173/AU172,"")</f>
        <v>0.99989822665198</v>
      </c>
      <c r="AW172" s="24" t="n">
        <f aca="false">IFERROR(AVERAGEIFS($AV$7:$AV$294,$B$7:$B$294,$B172,$A$7:$A$294,"&gt;="&amp;EDATE($A172,-12*'Seasonal Factors'!$E$4),$A$7:$A$294,"&lt;="&amp;EDATE($A172,12*'Seasonal Factors'!$E$4)),"")</f>
        <v>1.00450684104934</v>
      </c>
      <c r="AX172" s="24" t="n">
        <f aca="false">IFERROR(AW172/AVERAGE(AW167:AW178),"")</f>
        <v>1.0045076033601</v>
      </c>
      <c r="AY172" s="23" t="n">
        <f aca="false">IF(ISNUMBER(Tabelle1!Q179),(0.5*Tabelle1!Q167+SUM(Tabelle1!Q168:Q178)+0.5*Tabelle1!Q179)/12,"")</f>
        <v>159.28247375</v>
      </c>
      <c r="AZ172" s="24" t="n">
        <f aca="false">IFERROR(Tabelle1!Q173/AY172,"")</f>
        <v>1.01021597801497</v>
      </c>
      <c r="BA172" s="24" t="n">
        <f aca="false">IFERROR(AVERAGEIFS($AZ$7:$AZ$294,$B$7:$B$294,$B172,$A$7:$A$294,"&gt;="&amp;EDATE($A172,-12*'Seasonal Factors'!$E$4),$A$7:$A$294,"&lt;="&amp;EDATE($A172,12*'Seasonal Factors'!$E$4)),"")</f>
        <v>1.01317051112601</v>
      </c>
      <c r="BB172" s="24" t="n">
        <f aca="false">IFERROR(BA172/AVERAGE(BA167:BA178),"")</f>
        <v>1.01319634530063</v>
      </c>
      <c r="BC172" s="23" t="n">
        <f aca="false">IF(ISNUMBER(Tabelle1!R179),(0.5*Tabelle1!R167+SUM(Tabelle1!R168:R178)+0.5*Tabelle1!R179)/12,"")</f>
        <v>178.947304583333</v>
      </c>
      <c r="BD172" s="24" t="n">
        <f aca="false">IFERROR(Tabelle1!R173/BC172,"")</f>
        <v>0.956834753106123</v>
      </c>
      <c r="BE172" s="24" t="n">
        <f aca="false">IFERROR(AVERAGEIFS($BD$7:$BD$294,$B$7:$B$294,$B172,$A$7:$A$294,"&gt;="&amp;EDATE($A172,-12*'Seasonal Factors'!$E$4),$A$7:$A$294,"&lt;="&amp;EDATE($A172,12*'Seasonal Factors'!$E$4)),"")</f>
        <v>0.965850758269755</v>
      </c>
      <c r="BF172" s="24" t="n">
        <f aca="false">IFERROR(BE172/AVERAGE(BE167:BE178),"")</f>
        <v>0.965891943100372</v>
      </c>
      <c r="BG172" s="23" t="n">
        <f aca="false">IF(ISNUMBER(Tabelle1!S179),(0.5*Tabelle1!S167+SUM(Tabelle1!S168:S178)+0.5*Tabelle1!S179)/12,"")</f>
        <v>151.567313333333</v>
      </c>
      <c r="BH172" s="24" t="n">
        <f aca="false">IFERROR(Tabelle1!S173/BG172,"")</f>
        <v>1.00772433475872</v>
      </c>
      <c r="BI172" s="24" t="n">
        <f aca="false">IFERROR(AVERAGEIFS($BH$7:$BH$294,$B$7:$B$294,$B172,$A$7:$A$294,"&gt;="&amp;EDATE($A172,-12*'Seasonal Factors'!$E$4),$A$7:$A$294,"&lt;="&amp;EDATE($A172,12*'Seasonal Factors'!$E$4)),"")</f>
        <v>1.00944386995446</v>
      </c>
      <c r="BJ172" s="24" t="n">
        <f aca="false">IFERROR(BI172/AVERAGE(BI167:BI178),"")</f>
        <v>1.01116598370806</v>
      </c>
    </row>
    <row r="173" customFormat="false" ht="15" hidden="false" customHeight="false" outlineLevel="0" collapsed="false">
      <c r="A173" s="20" t="n">
        <v>43069</v>
      </c>
      <c r="B173" s="22" t="n">
        <f aca="false">MONTH(A173)</f>
        <v>11</v>
      </c>
      <c r="C173" s="23" t="n">
        <f aca="false">IF(ISNUMBER(Tabelle1!E180),(0.5*Tabelle1!E168+SUM(Tabelle1!E169:E179)+0.5*Tabelle1!E180)/12,"")</f>
        <v>122.466469166667</v>
      </c>
      <c r="D173" s="24" t="n">
        <f aca="false">IFERROR(Tabelle1!E174/C173,"")</f>
        <v>0.726857241869667</v>
      </c>
      <c r="E173" s="24" t="n">
        <f aca="false">IFERROR(AVERAGEIFS($D$7:$D$294,$B$7:$B$294,$B173,$A$7:$A$294,"&gt;="&amp;EDATE($A173,-12*'Seasonal Factors'!$E$4),$A$7:$A$294,"&lt;="&amp;EDATE($A173,12*'Seasonal Factors'!$E$4)),"")</f>
        <v>0.686036000471442</v>
      </c>
      <c r="F173" s="24" t="n">
        <f aca="false">IFERROR(E173/AVERAGE(E168:E179),"")</f>
        <v>0.686063330209913</v>
      </c>
      <c r="G173" s="23" t="n">
        <f aca="false">IF(ISNUMBER(Tabelle1!F180),(0.5*Tabelle1!F168+SUM(Tabelle1!F169:F179)+0.5*Tabelle1!F180)/12,"")</f>
        <v>180.86485125</v>
      </c>
      <c r="H173" s="24" t="n">
        <f aca="false">IFERROR(Tabelle1!F174/G173,"")</f>
        <v>0.694754890911951</v>
      </c>
      <c r="I173" s="24" t="n">
        <f aca="false">IFERROR(AVERAGEIFS($H$7:$H$294,$B$7:$B$294,$B173,$A$7:$A$294,"&gt;="&amp;EDATE($A173,-12*'Seasonal Factors'!$E$4),$A$7:$A$294,"&lt;="&amp;EDATE($A173,12*'Seasonal Factors'!$E$4)),"")</f>
        <v>0.756063473240754</v>
      </c>
      <c r="J173" s="24" t="n">
        <f aca="false">IFERROR(I173/AVERAGE(I168:I179),"")</f>
        <v>0.754273025852371</v>
      </c>
      <c r="K173" s="23" t="n">
        <f aca="false">IF(ISNUMBER(Tabelle1!G180),(0.5*Tabelle1!G168+SUM(Tabelle1!G169:G179)+0.5*Tabelle1!G180)/12,"")</f>
        <v>87.49000875</v>
      </c>
      <c r="L173" s="24" t="n">
        <f aca="false">IFERROR(Tabelle1!G174/K173,"")</f>
        <v>0.999729469109237</v>
      </c>
      <c r="M173" s="24" t="n">
        <f aca="false">IFERROR(AVERAGEIFS($L$7:$L$294,$B$7:$B$294,$B173,$A$7:$A$294,"&gt;="&amp;EDATE($A173,-12*'Seasonal Factors'!$E$4),$A$7:$A$294,"&lt;="&amp;EDATE($A173,12*'Seasonal Factors'!$E$4)),"")</f>
        <v>0.983396987590613</v>
      </c>
      <c r="N173" s="24" t="n">
        <f aca="false">IFERROR(M173/AVERAGE(M168:M179),"")</f>
        <v>0.983918281738827</v>
      </c>
      <c r="O173" s="23" t="n">
        <f aca="false">IF(ISNUMBER(Tabelle1!H180),(0.5*Tabelle1!H168+SUM(Tabelle1!H169:H179)+0.5*Tabelle1!H180)/12,"")</f>
        <v>133.392726666667</v>
      </c>
      <c r="P173" s="24" t="n">
        <f aca="false">IFERROR(Tabelle1!H174/O173,"")</f>
        <v>1.08869646515959</v>
      </c>
      <c r="Q173" s="24" t="n">
        <f aca="false">IFERROR(AVERAGEIFS($P$7:$P$294,$B$7:$B$294,$B173,$A$7:$A$294,"&gt;="&amp;EDATE($A173,-12*'Seasonal Factors'!$E$4),$A$7:$A$294,"&lt;="&amp;EDATE($A173,12*'Seasonal Factors'!$E$4)),"")</f>
        <v>1.06223897930578</v>
      </c>
      <c r="R173" s="24" t="n">
        <f aca="false">IFERROR(Q173/AVERAGE(Q168:Q179),"")</f>
        <v>1.06318585534207</v>
      </c>
      <c r="S173" s="23" t="n">
        <f aca="false">IF(ISNUMBER(Tabelle1!I180),(0.5*Tabelle1!I168+SUM(Tabelle1!I169:I179)+0.5*Tabelle1!I180)/12,"")</f>
        <v>143.744512916667</v>
      </c>
      <c r="T173" s="24" t="n">
        <f aca="false">IFERROR(Tabelle1!I174/S173,"")</f>
        <v>0.907658159276231</v>
      </c>
      <c r="U173" s="24" t="n">
        <f aca="false">IFERROR(AVERAGEIFS($T$7:$T$294,$B$7:$B$294,$B173,$A$7:$A$294,"&gt;="&amp;EDATE($A173,-12*'Seasonal Factors'!$E$4),$A$7:$A$294,"&lt;="&amp;EDATE($A173,12*'Seasonal Factors'!$E$4)),"")</f>
        <v>0.943229314554148</v>
      </c>
      <c r="V173" s="24" t="n">
        <f aca="false">IFERROR(U173/AVERAGE(U168:U179),"")</f>
        <v>0.943254864085245</v>
      </c>
      <c r="W173" s="23" t="n">
        <f aca="false">IF(ISNUMBER(Tabelle1!J180),(0.5*Tabelle1!J168+SUM(Tabelle1!J169:J179)+0.5*Tabelle1!J180)/12,"")</f>
        <v>151.114772083333</v>
      </c>
      <c r="X173" s="24" t="n">
        <f aca="false">IFERROR(Tabelle1!J174/W173,"")</f>
        <v>1.01732284594403</v>
      </c>
      <c r="Y173" s="24" t="n">
        <f aca="false">IFERROR(AVERAGEIFS($X$7:$X$294,$B$7:$B$294,$B173,$A$7:$A$294,"&gt;="&amp;EDATE($A173,-12*'Seasonal Factors'!$E$4),$A$7:$A$294,"&lt;="&amp;EDATE($A173,12*'Seasonal Factors'!$E$4)),"")</f>
        <v>1.00762641543515</v>
      </c>
      <c r="Z173" s="24" t="n">
        <f aca="false">IFERROR(Y173/AVERAGE(Y168:Y179),"")</f>
        <v>1.00955644361362</v>
      </c>
      <c r="AA173" s="23" t="n">
        <f aca="false">IF(ISNUMBER(Tabelle1!K180),(0.5*Tabelle1!K168+SUM(Tabelle1!K169:K179)+0.5*Tabelle1!K180)/12,"")</f>
        <v>161.11917625</v>
      </c>
      <c r="AB173" s="24" t="n">
        <f aca="false">IFERROR(Tabelle1!K174/AA173,"")</f>
        <v>1.11068299978352</v>
      </c>
      <c r="AC173" s="24" t="n">
        <f aca="false">IFERROR(AVERAGEIFS($AB$7:$AB$294,$B$7:$B$294,$B173,$A$7:$A$294,"&gt;="&amp;EDATE($A173,-12*'Seasonal Factors'!$E$4),$A$7:$A$294,"&lt;="&amp;EDATE($A173,12*'Seasonal Factors'!$E$4)),"")</f>
        <v>1.05015024690658</v>
      </c>
      <c r="AD173" s="24" t="n">
        <f aca="false">IFERROR(AC173/AVERAGE(AC168:AC179),"")</f>
        <v>1.05094717576128</v>
      </c>
      <c r="AE173" s="23" t="n">
        <f aca="false">IF(ISNUMBER(Tabelle1!L180),(0.5*Tabelle1!L168+SUM(Tabelle1!L169:L179)+0.5*Tabelle1!L180)/12,"")</f>
        <v>167.918936666667</v>
      </c>
      <c r="AF173" s="24" t="n">
        <f aca="false">IFERROR(Tabelle1!L174/AE173,"")</f>
        <v>1.05590872309994</v>
      </c>
      <c r="AG173" s="24" t="n">
        <f aca="false">IFERROR(AVERAGEIFS($AF$7:$AF$294,$B$7:$B$294,$B173,$A$7:$A$294,"&gt;="&amp;EDATE($A173,-12*'Seasonal Factors'!$E$4),$A$7:$A$294,"&lt;="&amp;EDATE($A173,12*'Seasonal Factors'!$E$4)),"")</f>
        <v>1.04108524385051</v>
      </c>
      <c r="AH173" s="24" t="n">
        <f aca="false">IFERROR(AG173/AVERAGE(AG168:AG179),"")</f>
        <v>1.04724967802692</v>
      </c>
      <c r="AI173" s="23" t="n">
        <f aca="false">IF(ISNUMBER(Tabelle1!M180),(0.5*Tabelle1!M168+SUM(Tabelle1!M169:M179)+0.5*Tabelle1!M180)/12,"")</f>
        <v>197.584834583333</v>
      </c>
      <c r="AJ173" s="24" t="n">
        <f aca="false">IFERROR(Tabelle1!M174/AI173,"")</f>
        <v>0.995940910216998</v>
      </c>
      <c r="AK173" s="24" t="n">
        <f aca="false">IFERROR(AVERAGEIFS($AJ$7:$AJ$294,$B$7:$B$294,$B173,$A$7:$A$294,"&gt;="&amp;EDATE($A173,-12*'Seasonal Factors'!$E$4),$A$7:$A$294,"&lt;="&amp;EDATE($A173,12*'Seasonal Factors'!$E$4)),"")</f>
        <v>0.989561578091331</v>
      </c>
      <c r="AL173" s="24" t="n">
        <f aca="false">IFERROR(AK173/AVERAGE(AK168:AK179),"")</f>
        <v>0.989757720563916</v>
      </c>
      <c r="AM173" s="23" t="n">
        <f aca="false">IF(ISNUMBER(Tabelle1!N180),(0.5*Tabelle1!N168+SUM(Tabelle1!N169:N179)+0.5*Tabelle1!N180)/12,"")</f>
        <v>188.1676975</v>
      </c>
      <c r="AN173" s="24" t="n">
        <f aca="false">IFERROR(Tabelle1!N174/AM173,"")</f>
        <v>1.00004592977496</v>
      </c>
      <c r="AO173" s="24" t="n">
        <f aca="false">IFERROR(AVERAGEIFS($AN$7:$AN$294,$B$7:$B$294,$B173,$A$7:$A$294,"&gt;="&amp;EDATE($A173,-12*'Seasonal Factors'!$E$4),$A$7:$A$294,"&lt;="&amp;EDATE($A173,12*'Seasonal Factors'!$E$4)),"")</f>
        <v>0.990832875262239</v>
      </c>
      <c r="AP173" s="24" t="n">
        <f aca="false">IFERROR(AO173/AVERAGE(AO168:AO179),"")</f>
        <v>0.990344293685187</v>
      </c>
      <c r="AQ173" s="23" t="n">
        <f aca="false">IF(ISNUMBER(Tabelle1!O180),(0.5*Tabelle1!O168+SUM(Tabelle1!O169:O179)+0.5*Tabelle1!O180)/12,"")</f>
        <v>142.262686666667</v>
      </c>
      <c r="AR173" s="24" t="n">
        <f aca="false">IFERROR(Tabelle1!O174/AQ173,"")</f>
        <v>1.01338680843133</v>
      </c>
      <c r="AS173" s="24" t="n">
        <f aca="false">IFERROR(AVERAGEIFS($AR$7:$AR$294,$B$7:$B$294,$B173,$A$7:$A$294,"&gt;="&amp;EDATE($A173,-12*'Seasonal Factors'!$E$4),$A$7:$A$294,"&lt;="&amp;EDATE($A173,12*'Seasonal Factors'!$E$4)),"")</f>
        <v>1.01353520408923</v>
      </c>
      <c r="AT173" s="24" t="n">
        <f aca="false">IFERROR(AS173/AVERAGE(AS168:AS179),"")</f>
        <v>1.01363409062468</v>
      </c>
      <c r="AU173" s="23" t="n">
        <f aca="false">IF(ISNUMBER(Tabelle1!P180),(0.5*Tabelle1!P168+SUM(Tabelle1!P169:P179)+0.5*Tabelle1!P180)/12,"")</f>
        <v>154.35980875</v>
      </c>
      <c r="AV173" s="24" t="n">
        <f aca="false">IFERROR(Tabelle1!P174/AU173,"")</f>
        <v>1.00397416435643</v>
      </c>
      <c r="AW173" s="24" t="n">
        <f aca="false">IFERROR(AVERAGEIFS($AV$7:$AV$294,$B$7:$B$294,$B173,$A$7:$A$294,"&gt;="&amp;EDATE($A173,-12*'Seasonal Factors'!$E$4),$A$7:$A$294,"&lt;="&amp;EDATE($A173,12*'Seasonal Factors'!$E$4)),"")</f>
        <v>1.00670193091741</v>
      </c>
      <c r="AX173" s="24" t="n">
        <f aca="false">IFERROR(AW173/AVERAGE(AW168:AW179),"")</f>
        <v>1.00668122389843</v>
      </c>
      <c r="AY173" s="23" t="n">
        <f aca="false">IF(ISNUMBER(Tabelle1!Q180),(0.5*Tabelle1!Q168+SUM(Tabelle1!Q169:Q179)+0.5*Tabelle1!Q180)/12,"")</f>
        <v>159.587342083333</v>
      </c>
      <c r="AZ173" s="24" t="n">
        <f aca="false">IFERROR(Tabelle1!Q174/AY173,"")</f>
        <v>1.01228316664139</v>
      </c>
      <c r="BA173" s="24" t="n">
        <f aca="false">IFERROR(AVERAGEIFS($AZ$7:$AZ$294,$B$7:$B$294,$B173,$A$7:$A$294,"&gt;="&amp;EDATE($A173,-12*'Seasonal Factors'!$E$4),$A$7:$A$294,"&lt;="&amp;EDATE($A173,12*'Seasonal Factors'!$E$4)),"")</f>
        <v>1.01421448916427</v>
      </c>
      <c r="BB173" s="24" t="n">
        <f aca="false">IFERROR(BA173/AVERAGE(BA168:BA179),"")</f>
        <v>1.01418347835485</v>
      </c>
      <c r="BC173" s="23" t="n">
        <f aca="false">IF(ISNUMBER(Tabelle1!R180),(0.5*Tabelle1!R168+SUM(Tabelle1!R169:R179)+0.5*Tabelle1!R180)/12,"")</f>
        <v>179.2563225</v>
      </c>
      <c r="BD173" s="24" t="n">
        <f aca="false">IFERROR(Tabelle1!R174/BC173,"")</f>
        <v>0.956065691908859</v>
      </c>
      <c r="BE173" s="24" t="n">
        <f aca="false">IFERROR(AVERAGEIFS($BD$7:$BD$294,$B$7:$B$294,$B173,$A$7:$A$294,"&gt;="&amp;EDATE($A173,-12*'Seasonal Factors'!$E$4),$A$7:$A$294,"&lt;="&amp;EDATE($A173,12*'Seasonal Factors'!$E$4)),"")</f>
        <v>0.96464015918176</v>
      </c>
      <c r="BF173" s="24" t="n">
        <f aca="false">IFERROR(BE173/AVERAGE(BE168:BE179),"")</f>
        <v>0.964727536514266</v>
      </c>
      <c r="BG173" s="23" t="n">
        <f aca="false">IF(ISNUMBER(Tabelle1!S180),(0.5*Tabelle1!S168+SUM(Tabelle1!S169:S179)+0.5*Tabelle1!S180)/12,"")</f>
        <v>151.499808333333</v>
      </c>
      <c r="BH173" s="24" t="n">
        <f aca="false">IFERROR(Tabelle1!S174/BG173,"")</f>
        <v>0.979587113889088</v>
      </c>
      <c r="BI173" s="24" t="n">
        <f aca="false">IFERROR(AVERAGEIFS($BH$7:$BH$294,$B$7:$B$294,$B173,$A$7:$A$294,"&gt;="&amp;EDATE($A173,-12*'Seasonal Factors'!$E$4),$A$7:$A$294,"&lt;="&amp;EDATE($A173,12*'Seasonal Factors'!$E$4)),"")</f>
        <v>1.00008659286233</v>
      </c>
      <c r="BJ173" s="24" t="n">
        <f aca="false">IFERROR(BI173/AVERAGE(BI168:BI179),"")</f>
        <v>1.00233483785503</v>
      </c>
    </row>
    <row r="174" customFormat="false" ht="15" hidden="false" customHeight="false" outlineLevel="0" collapsed="false">
      <c r="A174" s="20" t="n">
        <v>43100</v>
      </c>
      <c r="B174" s="22" t="n">
        <f aca="false">MONTH(A174)</f>
        <v>12</v>
      </c>
      <c r="C174" s="23" t="n">
        <f aca="false">IF(ISNUMBER(Tabelle1!E181),(0.5*Tabelle1!E169+SUM(Tabelle1!E170:E180)+0.5*Tabelle1!E181)/12,"")</f>
        <v>114.779281666667</v>
      </c>
      <c r="D174" s="24" t="n">
        <f aca="false">IFERROR(Tabelle1!E175/C174,"")</f>
        <v>0.843254449710574</v>
      </c>
      <c r="E174" s="24" t="n">
        <f aca="false">IFERROR(AVERAGEIFS($D$7:$D$294,$B$7:$B$294,$B174,$A$7:$A$294,"&gt;="&amp;EDATE($A174,-12*'Seasonal Factors'!$E$4),$A$7:$A$294,"&lt;="&amp;EDATE($A174,12*'Seasonal Factors'!$E$4)),"")</f>
        <v>0.780450699109589</v>
      </c>
      <c r="F174" s="24" t="n">
        <f aca="false">IFERROR(E174/AVERAGE(E169:E180),"")</f>
        <v>0.781307324577103</v>
      </c>
      <c r="G174" s="23" t="n">
        <f aca="false">IF(ISNUMBER(Tabelle1!F181),(0.5*Tabelle1!F169+SUM(Tabelle1!F170:F180)+0.5*Tabelle1!F181)/12,"")</f>
        <v>177.78142375</v>
      </c>
      <c r="H174" s="24" t="n">
        <f aca="false">IFERROR(Tabelle1!F175/G174,"")</f>
        <v>0.502564880601031</v>
      </c>
      <c r="I174" s="24" t="n">
        <f aca="false">IFERROR(AVERAGEIFS($H$7:$H$294,$B$7:$B$294,$B174,$A$7:$A$294,"&gt;="&amp;EDATE($A174,-12*'Seasonal Factors'!$E$4),$A$7:$A$294,"&lt;="&amp;EDATE($A174,12*'Seasonal Factors'!$E$4)),"")</f>
        <v>0.564650365336325</v>
      </c>
      <c r="J174" s="24" t="n">
        <f aca="false">IFERROR(I174/AVERAGE(I169:I180),"")</f>
        <v>0.564931744767463</v>
      </c>
      <c r="K174" s="23" t="n">
        <f aca="false">IF(ISNUMBER(Tabelle1!G181),(0.5*Tabelle1!G169+SUM(Tabelle1!G170:G180)+0.5*Tabelle1!G181)/12,"")</f>
        <v>87.7604283333333</v>
      </c>
      <c r="L174" s="24" t="n">
        <f aca="false">IFERROR(Tabelle1!G175/K174,"")</f>
        <v>1.01039844134763</v>
      </c>
      <c r="M174" s="24" t="n">
        <f aca="false">IFERROR(AVERAGEIFS($L$7:$L$294,$B$7:$B$294,$B174,$A$7:$A$294,"&gt;="&amp;EDATE($A174,-12*'Seasonal Factors'!$E$4),$A$7:$A$294,"&lt;="&amp;EDATE($A174,12*'Seasonal Factors'!$E$4)),"")</f>
        <v>1.00776877723194</v>
      </c>
      <c r="N174" s="24" t="n">
        <f aca="false">IFERROR(M174/AVERAGE(M169:M180),"")</f>
        <v>1.00827931894039</v>
      </c>
      <c r="O174" s="23" t="n">
        <f aca="false">IF(ISNUMBER(Tabelle1!H181),(0.5*Tabelle1!H169+SUM(Tabelle1!H170:H180)+0.5*Tabelle1!H181)/12,"")</f>
        <v>132.900530416667</v>
      </c>
      <c r="P174" s="24" t="n">
        <f aca="false">IFERROR(Tabelle1!H175/O174,"")</f>
        <v>0.999693903278346</v>
      </c>
      <c r="Q174" s="24" t="n">
        <f aca="false">IFERROR(AVERAGEIFS($P$7:$P$294,$B$7:$B$294,$B174,$A$7:$A$294,"&gt;="&amp;EDATE($A174,-12*'Seasonal Factors'!$E$4),$A$7:$A$294,"&lt;="&amp;EDATE($A174,12*'Seasonal Factors'!$E$4)),"")</f>
        <v>0.999932439332865</v>
      </c>
      <c r="R174" s="24" t="n">
        <f aca="false">IFERROR(Q174/AVERAGE(Q169:Q180),"")</f>
        <v>1.0001508951129</v>
      </c>
      <c r="S174" s="23" t="n">
        <f aca="false">IF(ISNUMBER(Tabelle1!I181),(0.5*Tabelle1!I169+SUM(Tabelle1!I170:I180)+0.5*Tabelle1!I181)/12,"")</f>
        <v>143.946903333333</v>
      </c>
      <c r="T174" s="24" t="n">
        <f aca="false">IFERROR(Tabelle1!I175/S174,"")</f>
        <v>1.04494474363012</v>
      </c>
      <c r="U174" s="24" t="n">
        <f aca="false">IFERROR(AVERAGEIFS($T$7:$T$294,$B$7:$B$294,$B174,$A$7:$A$294,"&gt;="&amp;EDATE($A174,-12*'Seasonal Factors'!$E$4),$A$7:$A$294,"&lt;="&amp;EDATE($A174,12*'Seasonal Factors'!$E$4)),"")</f>
        <v>1.03956623628383</v>
      </c>
      <c r="V174" s="24" t="n">
        <f aca="false">IFERROR(U174/AVERAGE(U169:U180),"")</f>
        <v>1.03848977218597</v>
      </c>
      <c r="W174" s="23" t="n">
        <f aca="false">IF(ISNUMBER(Tabelle1!J181),(0.5*Tabelle1!J169+SUM(Tabelle1!J170:J180)+0.5*Tabelle1!J181)/12,"")</f>
        <v>151.54325375</v>
      </c>
      <c r="X174" s="24" t="n">
        <f aca="false">IFERROR(Tabelle1!J175/W174,"")</f>
        <v>0.945086016407378</v>
      </c>
      <c r="Y174" s="24" t="n">
        <f aca="false">IFERROR(AVERAGEIFS($X$7:$X$294,$B$7:$B$294,$B174,$A$7:$A$294,"&gt;="&amp;EDATE($A174,-12*'Seasonal Factors'!$E$4),$A$7:$A$294,"&lt;="&amp;EDATE($A174,12*'Seasonal Factors'!$E$4)),"")</f>
        <v>0.961681149619578</v>
      </c>
      <c r="Z174" s="24" t="n">
        <f aca="false">IFERROR(Y174/AVERAGE(Y169:Y180),"")</f>
        <v>0.963529368376881</v>
      </c>
      <c r="AA174" s="23" t="n">
        <f aca="false">IF(ISNUMBER(Tabelle1!K181),(0.5*Tabelle1!K169+SUM(Tabelle1!K170:K180)+0.5*Tabelle1!K181)/12,"")</f>
        <v>160.5652575</v>
      </c>
      <c r="AB174" s="24" t="n">
        <f aca="false">IFERROR(Tabelle1!K175/AA174,"")</f>
        <v>0.925444223200028</v>
      </c>
      <c r="AC174" s="24" t="n">
        <f aca="false">IFERROR(AVERAGEIFS($AB$7:$AB$294,$B$7:$B$294,$B174,$A$7:$A$294,"&gt;="&amp;EDATE($A174,-12*'Seasonal Factors'!$E$4),$A$7:$A$294,"&lt;="&amp;EDATE($A174,12*'Seasonal Factors'!$E$4)),"")</f>
        <v>0.959519795716907</v>
      </c>
      <c r="AD174" s="24" t="n">
        <f aca="false">IFERROR(AC174/AVERAGE(AC169:AC180),"")</f>
        <v>0.959611370810253</v>
      </c>
      <c r="AE174" s="23" t="n">
        <f aca="false">IF(ISNUMBER(Tabelle1!L181),(0.5*Tabelle1!L169+SUM(Tabelle1!L170:L180)+0.5*Tabelle1!L181)/12,"")</f>
        <v>167.800832916667</v>
      </c>
      <c r="AF174" s="24" t="n">
        <f aca="false">IFERROR(Tabelle1!L175/AE174,"")</f>
        <v>1.05322957537266</v>
      </c>
      <c r="AG174" s="24" t="n">
        <f aca="false">IFERROR(AVERAGEIFS($AF$7:$AF$294,$B$7:$B$294,$B174,$A$7:$A$294,"&gt;="&amp;EDATE($A174,-12*'Seasonal Factors'!$E$4),$A$7:$A$294,"&lt;="&amp;EDATE($A174,12*'Seasonal Factors'!$E$4)),"")</f>
        <v>1.06206615499563</v>
      </c>
      <c r="AH174" s="24" t="n">
        <f aca="false">IFERROR(AG174/AVERAGE(AG169:AG180),"")</f>
        <v>1.06650832374671</v>
      </c>
      <c r="AI174" s="23" t="n">
        <f aca="false">IF(ISNUMBER(Tabelle1!M181),(0.5*Tabelle1!M169+SUM(Tabelle1!M170:M180)+0.5*Tabelle1!M181)/12,"")</f>
        <v>196.6262225</v>
      </c>
      <c r="AJ174" s="24" t="n">
        <f aca="false">IFERROR(Tabelle1!M175/AI174,"")</f>
        <v>0.981393567686528</v>
      </c>
      <c r="AK174" s="24" t="n">
        <f aca="false">IFERROR(AVERAGEIFS($AJ$7:$AJ$294,$B$7:$B$294,$B174,$A$7:$A$294,"&gt;="&amp;EDATE($A174,-12*'Seasonal Factors'!$E$4),$A$7:$A$294,"&lt;="&amp;EDATE($A174,12*'Seasonal Factors'!$E$4)),"")</f>
        <v>0.980561420711716</v>
      </c>
      <c r="AL174" s="24" t="n">
        <f aca="false">IFERROR(AK174/AVERAGE(AK169:AK180),"")</f>
        <v>0.980674496261215</v>
      </c>
      <c r="AM174" s="23" t="n">
        <f aca="false">IF(ISNUMBER(Tabelle1!N181),(0.5*Tabelle1!N169+SUM(Tabelle1!N170:N180)+0.5*Tabelle1!N181)/12,"")</f>
        <v>189.345335833333</v>
      </c>
      <c r="AN174" s="24" t="n">
        <f aca="false">IFERROR(Tabelle1!N175/AM174,"")</f>
        <v>1.0235158904077</v>
      </c>
      <c r="AO174" s="24" t="n">
        <f aca="false">IFERROR(AVERAGEIFS($AN$7:$AN$294,$B$7:$B$294,$B174,$A$7:$A$294,"&gt;="&amp;EDATE($A174,-12*'Seasonal Factors'!$E$4),$A$7:$A$294,"&lt;="&amp;EDATE($A174,12*'Seasonal Factors'!$E$4)),"")</f>
        <v>1.03327402563944</v>
      </c>
      <c r="AP174" s="24" t="n">
        <f aca="false">IFERROR(AO174/AVERAGE(AO169:AO180),"")</f>
        <v>1.03304987426361</v>
      </c>
      <c r="AQ174" s="23" t="n">
        <f aca="false">IF(ISNUMBER(Tabelle1!O181),(0.5*Tabelle1!O169+SUM(Tabelle1!O170:O180)+0.5*Tabelle1!O181)/12,"")</f>
        <v>142.601144583333</v>
      </c>
      <c r="AR174" s="24" t="n">
        <f aca="false">IFERROR(Tabelle1!O175/AQ174,"")</f>
        <v>1.02714890843253</v>
      </c>
      <c r="AS174" s="24" t="n">
        <f aca="false">IFERROR(AVERAGEIFS($AR$7:$AR$294,$B$7:$B$294,$B174,$A$7:$A$294,"&gt;="&amp;EDATE($A174,-12*'Seasonal Factors'!$E$4),$A$7:$A$294,"&lt;="&amp;EDATE($A174,12*'Seasonal Factors'!$E$4)),"")</f>
        <v>1.03322531139711</v>
      </c>
      <c r="AT174" s="24" t="n">
        <f aca="false">IFERROR(AS174/AVERAGE(AS169:AS180),"")</f>
        <v>1.03329737719485</v>
      </c>
      <c r="AU174" s="23" t="n">
        <f aca="false">IF(ISNUMBER(Tabelle1!P181),(0.5*Tabelle1!P169+SUM(Tabelle1!P170:P180)+0.5*Tabelle1!P181)/12,"")</f>
        <v>154.353540416667</v>
      </c>
      <c r="AV174" s="24" t="n">
        <f aca="false">IFERROR(Tabelle1!P175/AU174,"")</f>
        <v>1.00628038450376</v>
      </c>
      <c r="AW174" s="24" t="n">
        <f aca="false">IFERROR(AVERAGEIFS($AV$7:$AV$294,$B$7:$B$294,$B174,$A$7:$A$294,"&gt;="&amp;EDATE($A174,-12*'Seasonal Factors'!$E$4),$A$7:$A$294,"&lt;="&amp;EDATE($A174,12*'Seasonal Factors'!$E$4)),"")</f>
        <v>1.01052341657453</v>
      </c>
      <c r="AX174" s="24" t="n">
        <f aca="false">IFERROR(AW174/AVERAGE(AW169:AW180),"")</f>
        <v>1.010511189497</v>
      </c>
      <c r="AY174" s="23" t="n">
        <f aca="false">IF(ISNUMBER(Tabelle1!Q181),(0.5*Tabelle1!Q169+SUM(Tabelle1!Q170:Q180)+0.5*Tabelle1!Q181)/12,"")</f>
        <v>159.85992375</v>
      </c>
      <c r="AZ174" s="24" t="n">
        <f aca="false">IFERROR(Tabelle1!Q175/AY174,"")</f>
        <v>1.01074650988003</v>
      </c>
      <c r="BA174" s="24" t="n">
        <f aca="false">IFERROR(AVERAGEIFS($AZ$7:$AZ$294,$B$7:$B$294,$B174,$A$7:$A$294,"&gt;="&amp;EDATE($A174,-12*'Seasonal Factors'!$E$4),$A$7:$A$294,"&lt;="&amp;EDATE($A174,12*'Seasonal Factors'!$E$4)),"")</f>
        <v>1.01522696675299</v>
      </c>
      <c r="BB174" s="24" t="n">
        <f aca="false">IFERROR(BA174/AVERAGE(BA169:BA180),"")</f>
        <v>1.01527538943776</v>
      </c>
      <c r="BC174" s="23" t="n">
        <f aca="false">IF(ISNUMBER(Tabelle1!R181),(0.5*Tabelle1!R169+SUM(Tabelle1!R170:R180)+0.5*Tabelle1!R181)/12,"")</f>
        <v>179.588219583333</v>
      </c>
      <c r="BD174" s="24" t="n">
        <f aca="false">IFERROR(Tabelle1!R175/BC174,"")</f>
        <v>0.914232906706968</v>
      </c>
      <c r="BE174" s="24" t="n">
        <f aca="false">IFERROR(AVERAGEIFS($BD$7:$BD$294,$B$7:$B$294,$B174,$A$7:$A$294,"&gt;="&amp;EDATE($A174,-12*'Seasonal Factors'!$E$4),$A$7:$A$294,"&lt;="&amp;EDATE($A174,12*'Seasonal Factors'!$E$4)),"")</f>
        <v>0.926667970497159</v>
      </c>
      <c r="BF174" s="24" t="n">
        <f aca="false">IFERROR(BE174/AVERAGE(BE169:BE180),"")</f>
        <v>0.926724950262977</v>
      </c>
      <c r="BG174" s="23" t="n">
        <f aca="false">IF(ISNUMBER(Tabelle1!S181),(0.5*Tabelle1!S169+SUM(Tabelle1!S170:S180)+0.5*Tabelle1!S181)/12,"")</f>
        <v>152.101278333333</v>
      </c>
      <c r="BH174" s="24" t="n">
        <f aca="false">IFERROR(Tabelle1!S175/BG174,"")</f>
        <v>0.953513550899698</v>
      </c>
      <c r="BI174" s="24" t="n">
        <f aca="false">IFERROR(AVERAGEIFS($BH$7:$BH$294,$B$7:$B$294,$B174,$A$7:$A$294,"&gt;="&amp;EDATE($A174,-12*'Seasonal Factors'!$E$4),$A$7:$A$294,"&lt;="&amp;EDATE($A174,12*'Seasonal Factors'!$E$4)),"")</f>
        <v>0.996661447251331</v>
      </c>
      <c r="BJ174" s="24" t="n">
        <f aca="false">IFERROR(BI174/AVERAGE(BI169:BI180),"")</f>
        <v>0.999700923794372</v>
      </c>
    </row>
    <row r="175" customFormat="false" ht="15" hidden="false" customHeight="false" outlineLevel="0" collapsed="false">
      <c r="A175" s="20" t="n">
        <v>43131</v>
      </c>
      <c r="B175" s="22" t="n">
        <f aca="false">MONTH(A175)</f>
        <v>1</v>
      </c>
      <c r="C175" s="23" t="n">
        <f aca="false">IF(ISNUMBER(Tabelle1!E182),(0.5*Tabelle1!E170+SUM(Tabelle1!E171:E181)+0.5*Tabelle1!E182)/12,"")</f>
        <v>111.27519375</v>
      </c>
      <c r="D175" s="24" t="n">
        <f aca="false">IFERROR(Tabelle1!E176/C175,"")</f>
        <v>0.614787426510322</v>
      </c>
      <c r="E175" s="24" t="n">
        <f aca="false">IFERROR(AVERAGEIFS($D$7:$D$294,$B$7:$B$294,$B175,$A$7:$A$294,"&gt;="&amp;EDATE($A175,-12*'Seasonal Factors'!$E$4),$A$7:$A$294,"&lt;="&amp;EDATE($A175,12*'Seasonal Factors'!$E$4)),"")</f>
        <v>0.586629788817532</v>
      </c>
      <c r="F175" s="24" t="n">
        <f aca="false">IFERROR(E175/AVERAGE(E170:E181),"")</f>
        <v>0.587269264368758</v>
      </c>
      <c r="G175" s="23" t="n">
        <f aca="false">IF(ISNUMBER(Tabelle1!F182),(0.5*Tabelle1!F170+SUM(Tabelle1!F171:F181)+0.5*Tabelle1!F182)/12,"")</f>
        <v>176.861677916667</v>
      </c>
      <c r="H175" s="24" t="n">
        <f aca="false">IFERROR(Tabelle1!F176/G175,"")</f>
        <v>0.712456771214007</v>
      </c>
      <c r="I175" s="24" t="n">
        <f aca="false">IFERROR(AVERAGEIFS($H$7:$H$294,$B$7:$B$294,$B175,$A$7:$A$294,"&gt;="&amp;EDATE($A175,-12*'Seasonal Factors'!$E$4),$A$7:$A$294,"&lt;="&amp;EDATE($A175,12*'Seasonal Factors'!$E$4)),"")</f>
        <v>0.569977130821073</v>
      </c>
      <c r="J175" s="24" t="n">
        <f aca="false">IFERROR(I175/AVERAGE(I170:I181),"")</f>
        <v>0.569894831396134</v>
      </c>
      <c r="K175" s="23" t="n">
        <f aca="false">IF(ISNUMBER(Tabelle1!G182),(0.5*Tabelle1!G170+SUM(Tabelle1!G171:G181)+0.5*Tabelle1!G182)/12,"")</f>
        <v>87.9929808333333</v>
      </c>
      <c r="L175" s="24" t="n">
        <f aca="false">IFERROR(Tabelle1!G176/K175,"")</f>
        <v>0.998487369877997</v>
      </c>
      <c r="M175" s="24" t="n">
        <f aca="false">IFERROR(AVERAGEIFS($L$7:$L$294,$B$7:$B$294,$B175,$A$7:$A$294,"&gt;="&amp;EDATE($A175,-12*'Seasonal Factors'!$E$4),$A$7:$A$294,"&lt;="&amp;EDATE($A175,12*'Seasonal Factors'!$E$4)),"")</f>
        <v>1.00114524313598</v>
      </c>
      <c r="N175" s="24" t="n">
        <f aca="false">IFERROR(M175/AVERAGE(M170:M181),"")</f>
        <v>1.00178693899936</v>
      </c>
      <c r="O175" s="23" t="n">
        <f aca="false">IF(ISNUMBER(Tabelle1!H182),(0.5*Tabelle1!H170+SUM(Tabelle1!H171:H181)+0.5*Tabelle1!H182)/12,"")</f>
        <v>132.120219583333</v>
      </c>
      <c r="P175" s="24" t="n">
        <f aca="false">IFERROR(Tabelle1!H176/O175,"")</f>
        <v>0.884922234982031</v>
      </c>
      <c r="Q175" s="24" t="n">
        <f aca="false">IFERROR(AVERAGEIFS($P$7:$P$294,$B$7:$B$294,$B175,$A$7:$A$294,"&gt;="&amp;EDATE($A175,-12*'Seasonal Factors'!$E$4),$A$7:$A$294,"&lt;="&amp;EDATE($A175,12*'Seasonal Factors'!$E$4)),"")</f>
        <v>0.87590924699628</v>
      </c>
      <c r="R175" s="24" t="n">
        <f aca="false">IFERROR(Q175/AVERAGE(Q170:Q181),"")</f>
        <v>0.875888298300552</v>
      </c>
      <c r="S175" s="23" t="n">
        <f aca="false">IF(ISNUMBER(Tabelle1!I182),(0.5*Tabelle1!I170+SUM(Tabelle1!I171:I181)+0.5*Tabelle1!I182)/12,"")</f>
        <v>144.41353875</v>
      </c>
      <c r="T175" s="24" t="n">
        <f aca="false">IFERROR(Tabelle1!I176/S175,"")</f>
        <v>1.07194063202056</v>
      </c>
      <c r="U175" s="24" t="n">
        <f aca="false">IFERROR(AVERAGEIFS($T$7:$T$294,$B$7:$B$294,$B175,$A$7:$A$294,"&gt;="&amp;EDATE($A175,-12*'Seasonal Factors'!$E$4),$A$7:$A$294,"&lt;="&amp;EDATE($A175,12*'Seasonal Factors'!$E$4)),"")</f>
        <v>1.07235548675026</v>
      </c>
      <c r="V175" s="24" t="n">
        <f aca="false">IFERROR(U175/AVERAGE(U170:U181),"")</f>
        <v>1.07114902170068</v>
      </c>
      <c r="W175" s="23" t="n">
        <f aca="false">IF(ISNUMBER(Tabelle1!J182),(0.5*Tabelle1!J170+SUM(Tabelle1!J171:J181)+0.5*Tabelle1!J182)/12,"")</f>
        <v>151.698319583333</v>
      </c>
      <c r="X175" s="24" t="n">
        <f aca="false">IFERROR(Tabelle1!J176/W175,"")</f>
        <v>1.03531014998307</v>
      </c>
      <c r="Y175" s="24" t="n">
        <f aca="false">IFERROR(AVERAGEIFS($X$7:$X$294,$B$7:$B$294,$B175,$A$7:$A$294,"&gt;="&amp;EDATE($A175,-12*'Seasonal Factors'!$E$4),$A$7:$A$294,"&lt;="&amp;EDATE($A175,12*'Seasonal Factors'!$E$4)),"")</f>
        <v>1.02633134622093</v>
      </c>
      <c r="Z175" s="24" t="n">
        <f aca="false">IFERROR(Y175/AVERAGE(Y170:Y181),"")</f>
        <v>1.02848697258941</v>
      </c>
      <c r="AA175" s="23" t="n">
        <f aca="false">IF(ISNUMBER(Tabelle1!K182),(0.5*Tabelle1!K170+SUM(Tabelle1!K171:K181)+0.5*Tabelle1!K182)/12,"")</f>
        <v>159.612234583333</v>
      </c>
      <c r="AB175" s="24" t="n">
        <f aca="false">IFERROR(Tabelle1!K176/AA175,"")</f>
        <v>0.891193525178885</v>
      </c>
      <c r="AC175" s="24" t="n">
        <f aca="false">IFERROR(AVERAGEIFS($AB$7:$AB$294,$B$7:$B$294,$B175,$A$7:$A$294,"&gt;="&amp;EDATE($A175,-12*'Seasonal Factors'!$E$4),$A$7:$A$294,"&lt;="&amp;EDATE($A175,12*'Seasonal Factors'!$E$4)),"")</f>
        <v>0.894235683797482</v>
      </c>
      <c r="AD175" s="24" t="n">
        <f aca="false">IFERROR(AC175/AVERAGE(AC170:AC181),"")</f>
        <v>0.894440965872426</v>
      </c>
      <c r="AE175" s="23" t="n">
        <f aca="false">IF(ISNUMBER(Tabelle1!L182),(0.5*Tabelle1!L170+SUM(Tabelle1!L171:L181)+0.5*Tabelle1!L182)/12,"")</f>
        <v>167.431769583333</v>
      </c>
      <c r="AF175" s="24" t="n">
        <f aca="false">IFERROR(Tabelle1!L176/AE175,"")</f>
        <v>1.05912522122475</v>
      </c>
      <c r="AG175" s="24" t="n">
        <f aca="false">IFERROR(AVERAGEIFS($AF$7:$AF$294,$B$7:$B$294,$B175,$A$7:$A$294,"&gt;="&amp;EDATE($A175,-12*'Seasonal Factors'!$E$4),$A$7:$A$294,"&lt;="&amp;EDATE($A175,12*'Seasonal Factors'!$E$4)),"")</f>
        <v>1.14319958340184</v>
      </c>
      <c r="AH175" s="24" t="n">
        <f aca="false">IFERROR(AG175/AVERAGE(AG170:AG181),"")</f>
        <v>1.14929466605959</v>
      </c>
      <c r="AI175" s="23" t="n">
        <f aca="false">IF(ISNUMBER(Tabelle1!M182),(0.5*Tabelle1!M170+SUM(Tabelle1!M171:M181)+0.5*Tabelle1!M182)/12,"")</f>
        <v>195.813044166667</v>
      </c>
      <c r="AJ175" s="24" t="n">
        <f aca="false">IFERROR(Tabelle1!M176/AI175,"")</f>
        <v>1.00966807824979</v>
      </c>
      <c r="AK175" s="24" t="n">
        <f aca="false">IFERROR(AVERAGEIFS($AJ$7:$AJ$294,$B$7:$B$294,$B175,$A$7:$A$294,"&gt;="&amp;EDATE($A175,-12*'Seasonal Factors'!$E$4),$A$7:$A$294,"&lt;="&amp;EDATE($A175,12*'Seasonal Factors'!$E$4)),"")</f>
        <v>0.989362065927528</v>
      </c>
      <c r="AL175" s="24" t="n">
        <f aca="false">IFERROR(AK175/AVERAGE(AK170:AK181),"")</f>
        <v>0.98954960211648</v>
      </c>
      <c r="AM175" s="23" t="n">
        <f aca="false">IF(ISNUMBER(Tabelle1!N182),(0.5*Tabelle1!N170+SUM(Tabelle1!N171:N181)+0.5*Tabelle1!N182)/12,"")</f>
        <v>190.279491666667</v>
      </c>
      <c r="AN175" s="24" t="n">
        <f aca="false">IFERROR(Tabelle1!N176/AM175,"")</f>
        <v>1.02625011392233</v>
      </c>
      <c r="AO175" s="24" t="n">
        <f aca="false">IFERROR(AVERAGEIFS($AN$7:$AN$294,$B$7:$B$294,$B175,$A$7:$A$294,"&gt;="&amp;EDATE($A175,-12*'Seasonal Factors'!$E$4),$A$7:$A$294,"&lt;="&amp;EDATE($A175,12*'Seasonal Factors'!$E$4)),"")</f>
        <v>1.01309963423552</v>
      </c>
      <c r="AP175" s="24" t="n">
        <f aca="false">IFERROR(AO175/AVERAGE(AO170:AO181),"")</f>
        <v>1.01288174702703</v>
      </c>
      <c r="AQ175" s="23" t="n">
        <f aca="false">IF(ISNUMBER(Tabelle1!O182),(0.5*Tabelle1!O170+SUM(Tabelle1!O171:O181)+0.5*Tabelle1!O182)/12,"")</f>
        <v>142.754080833333</v>
      </c>
      <c r="AR175" s="24" t="n">
        <f aca="false">IFERROR(Tabelle1!O176/AQ175,"")</f>
        <v>0.968517951941561</v>
      </c>
      <c r="AS175" s="24" t="n">
        <f aca="false">IFERROR(AVERAGEIFS($AR$7:$AR$294,$B$7:$B$294,$B175,$A$7:$A$294,"&gt;="&amp;EDATE($A175,-12*'Seasonal Factors'!$E$4),$A$7:$A$294,"&lt;="&amp;EDATE($A175,12*'Seasonal Factors'!$E$4)),"")</f>
        <v>0.970686982648822</v>
      </c>
      <c r="AT175" s="24" t="n">
        <f aca="false">IFERROR(AS175/AVERAGE(AS170:AS181),"")</f>
        <v>0.970791683700111</v>
      </c>
      <c r="AU175" s="23" t="n">
        <f aca="false">IF(ISNUMBER(Tabelle1!P182),(0.5*Tabelle1!P170+SUM(Tabelle1!P171:P181)+0.5*Tabelle1!P182)/12,"")</f>
        <v>154.339715833333</v>
      </c>
      <c r="AV175" s="24" t="n">
        <f aca="false">IFERROR(Tabelle1!P176/AU175,"")</f>
        <v>1.00427896451086</v>
      </c>
      <c r="AW175" s="24" t="n">
        <f aca="false">IFERROR(AVERAGEIFS($AV$7:$AV$294,$B$7:$B$294,$B175,$A$7:$A$294,"&gt;="&amp;EDATE($A175,-12*'Seasonal Factors'!$E$4),$A$7:$A$294,"&lt;="&amp;EDATE($A175,12*'Seasonal Factors'!$E$4)),"")</f>
        <v>1.00656369949027</v>
      </c>
      <c r="AX175" s="24" t="n">
        <f aca="false">IFERROR(AW175/AVERAGE(AW170:AW181),"")</f>
        <v>1.00652597753345</v>
      </c>
      <c r="AY175" s="23" t="n">
        <f aca="false">IF(ISNUMBER(Tabelle1!Q182),(0.5*Tabelle1!Q170+SUM(Tabelle1!Q171:Q181)+0.5*Tabelle1!Q182)/12,"")</f>
        <v>160.077002916667</v>
      </c>
      <c r="AZ175" s="24" t="n">
        <f aca="false">IFERROR(Tabelle1!Q176/AY175,"")</f>
        <v>0.975940873164201</v>
      </c>
      <c r="BA175" s="24" t="n">
        <f aca="false">IFERROR(AVERAGEIFS($AZ$7:$AZ$294,$B$7:$B$294,$B175,$A$7:$A$294,"&gt;="&amp;EDATE($A175,-12*'Seasonal Factors'!$E$4),$A$7:$A$294,"&lt;="&amp;EDATE($A175,12*'Seasonal Factors'!$E$4)),"")</f>
        <v>0.978536576060585</v>
      </c>
      <c r="BB175" s="24" t="n">
        <f aca="false">IFERROR(BA175/AVERAGE(BA170:BA181),"")</f>
        <v>0.978592274314777</v>
      </c>
      <c r="BC175" s="23" t="n">
        <f aca="false">IF(ISNUMBER(Tabelle1!R182),(0.5*Tabelle1!R170+SUM(Tabelle1!R171:R181)+0.5*Tabelle1!R182)/12,"")</f>
        <v>179.85850625</v>
      </c>
      <c r="BD175" s="24" t="n">
        <f aca="false">IFERROR(Tabelle1!R176/BC175,"")</f>
        <v>1.00362603784273</v>
      </c>
      <c r="BE175" s="24" t="n">
        <f aca="false">IFERROR(AVERAGEIFS($BD$7:$BD$294,$B$7:$B$294,$B175,$A$7:$A$294,"&gt;="&amp;EDATE($A175,-12*'Seasonal Factors'!$E$4),$A$7:$A$294,"&lt;="&amp;EDATE($A175,12*'Seasonal Factors'!$E$4)),"")</f>
        <v>1.0094643599757</v>
      </c>
      <c r="BF175" s="24" t="n">
        <f aca="false">IFERROR(BE175/AVERAGE(BE170:BE181),"")</f>
        <v>1.00954842121243</v>
      </c>
      <c r="BG175" s="23" t="n">
        <f aca="false">IF(ISNUMBER(Tabelle1!S182),(0.5*Tabelle1!S170+SUM(Tabelle1!S171:S181)+0.5*Tabelle1!S182)/12,"")</f>
        <v>152.559559166667</v>
      </c>
      <c r="BH175" s="24" t="n">
        <f aca="false">IFERROR(Tabelle1!S176/BG175,"")</f>
        <v>1.04019774877977</v>
      </c>
      <c r="BI175" s="24" t="n">
        <f aca="false">IFERROR(AVERAGEIFS($BH$7:$BH$294,$B$7:$B$294,$B175,$A$7:$A$294,"&gt;="&amp;EDATE($A175,-12*'Seasonal Factors'!$E$4),$A$7:$A$294,"&lt;="&amp;EDATE($A175,12*'Seasonal Factors'!$E$4)),"")</f>
        <v>1.08712460112927</v>
      </c>
      <c r="BJ175" s="24" t="n">
        <f aca="false">IFERROR(BI175/AVERAGE(BI170:BI181),"")</f>
        <v>1.09110085709944</v>
      </c>
    </row>
    <row r="176" customFormat="false" ht="15" hidden="false" customHeight="false" outlineLevel="0" collapsed="false">
      <c r="A176" s="20" t="n">
        <v>43159</v>
      </c>
      <c r="B176" s="22" t="n">
        <f aca="false">MONTH(A176)</f>
        <v>2</v>
      </c>
      <c r="C176" s="23" t="n">
        <f aca="false">IF(ISNUMBER(Tabelle1!E183),(0.5*Tabelle1!E171+SUM(Tabelle1!E172:E182)+0.5*Tabelle1!E183)/12,"")</f>
        <v>111.088580833333</v>
      </c>
      <c r="D176" s="24" t="n">
        <f aca="false">IFERROR(Tabelle1!E177/C176,"")</f>
        <v>0.672879061369472</v>
      </c>
      <c r="E176" s="24" t="n">
        <f aca="false">IFERROR(AVERAGEIFS($D$7:$D$294,$B$7:$B$294,$B176,$A$7:$A$294,"&gt;="&amp;EDATE($A176,-12*'Seasonal Factors'!$E$4),$A$7:$A$294,"&lt;="&amp;EDATE($A176,12*'Seasonal Factors'!$E$4)),"")</f>
        <v>0.570483604666581</v>
      </c>
      <c r="F176" s="24" t="n">
        <f aca="false">IFERROR(E176/AVERAGE(E171:E182),"")</f>
        <v>0.570811182180654</v>
      </c>
      <c r="G176" s="23" t="n">
        <f aca="false">IF(ISNUMBER(Tabelle1!F183),(0.5*Tabelle1!F171+SUM(Tabelle1!F172:F182)+0.5*Tabelle1!F183)/12,"")</f>
        <v>179.062065</v>
      </c>
      <c r="H176" s="24" t="n">
        <f aca="false">IFERROR(Tabelle1!F177/G176,"")</f>
        <v>0.904329680326204</v>
      </c>
      <c r="I176" s="24" t="n">
        <f aca="false">IFERROR(AVERAGEIFS($H$7:$H$294,$B$7:$B$294,$B176,$A$7:$A$294,"&gt;="&amp;EDATE($A176,-12*'Seasonal Factors'!$E$4),$A$7:$A$294,"&lt;="&amp;EDATE($A176,12*'Seasonal Factors'!$E$4)),"")</f>
        <v>0.85587034531986</v>
      </c>
      <c r="J176" s="24" t="n">
        <f aca="false">IFERROR(I176/AVERAGE(I171:I182),"")</f>
        <v>0.852273705458462</v>
      </c>
      <c r="K176" s="23" t="n">
        <f aca="false">IF(ISNUMBER(Tabelle1!G183),(0.5*Tabelle1!G171+SUM(Tabelle1!G172:G182)+0.5*Tabelle1!G183)/12,"")</f>
        <v>88.0053791666667</v>
      </c>
      <c r="L176" s="24" t="n">
        <f aca="false">IFERROR(Tabelle1!G177/K176,"")</f>
        <v>0.929102979547983</v>
      </c>
      <c r="M176" s="24" t="n">
        <f aca="false">IFERROR(AVERAGEIFS($L$7:$L$294,$B$7:$B$294,$B176,$A$7:$A$294,"&gt;="&amp;EDATE($A176,-12*'Seasonal Factors'!$E$4),$A$7:$A$294,"&lt;="&amp;EDATE($A176,12*'Seasonal Factors'!$E$4)),"")</f>
        <v>0.938545413826192</v>
      </c>
      <c r="N176" s="24" t="n">
        <f aca="false">IFERROR(M176/AVERAGE(M171:M182),"")</f>
        <v>0.939051748142276</v>
      </c>
      <c r="O176" s="23" t="n">
        <f aca="false">IF(ISNUMBER(Tabelle1!H183),(0.5*Tabelle1!H171+SUM(Tabelle1!H172:H182)+0.5*Tabelle1!H183)/12,"")</f>
        <v>131.497910416667</v>
      </c>
      <c r="P176" s="24" t="n">
        <f aca="false">IFERROR(Tabelle1!H177/O176,"")</f>
        <v>0.858122533220862</v>
      </c>
      <c r="Q176" s="24" t="n">
        <f aca="false">IFERROR(AVERAGEIFS($P$7:$P$294,$B$7:$B$294,$B176,$A$7:$A$294,"&gt;="&amp;EDATE($A176,-12*'Seasonal Factors'!$E$4),$A$7:$A$294,"&lt;="&amp;EDATE($A176,12*'Seasonal Factors'!$E$4)),"")</f>
        <v>0.868007999582226</v>
      </c>
      <c r="R176" s="24" t="n">
        <f aca="false">IFERROR(Q176/AVERAGE(Q171:Q182),"")</f>
        <v>0.867831701675967</v>
      </c>
      <c r="S176" s="23" t="n">
        <f aca="false">IF(ISNUMBER(Tabelle1!I183),(0.5*Tabelle1!I171+SUM(Tabelle1!I172:I182)+0.5*Tabelle1!I183)/12,"")</f>
        <v>144.747505833333</v>
      </c>
      <c r="T176" s="24" t="n">
        <f aca="false">IFERROR(Tabelle1!I177/S176,"")</f>
        <v>0.996590505442618</v>
      </c>
      <c r="U176" s="24" t="n">
        <f aca="false">IFERROR(AVERAGEIFS($T$7:$T$294,$B$7:$B$294,$B176,$A$7:$A$294,"&gt;="&amp;EDATE($A176,-12*'Seasonal Factors'!$E$4),$A$7:$A$294,"&lt;="&amp;EDATE($A176,12*'Seasonal Factors'!$E$4)),"")</f>
        <v>0.964855325460027</v>
      </c>
      <c r="V176" s="24" t="n">
        <f aca="false">IFERROR(U176/AVERAGE(U171:U182),"")</f>
        <v>0.964165747798401</v>
      </c>
      <c r="W176" s="23" t="n">
        <f aca="false">IF(ISNUMBER(Tabelle1!J183),(0.5*Tabelle1!J171+SUM(Tabelle1!J172:J182)+0.5*Tabelle1!J183)/12,"")</f>
        <v>151.764072916667</v>
      </c>
      <c r="X176" s="24" t="n">
        <f aca="false">IFERROR(Tabelle1!J177/W176,"")</f>
        <v>0.996743874178061</v>
      </c>
      <c r="Y176" s="24" t="n">
        <f aca="false">IFERROR(AVERAGEIFS($X$7:$X$294,$B$7:$B$294,$B176,$A$7:$A$294,"&gt;="&amp;EDATE($A176,-12*'Seasonal Factors'!$E$4),$A$7:$A$294,"&lt;="&amp;EDATE($A176,12*'Seasonal Factors'!$E$4)),"")</f>
        <v>1.01700131939889</v>
      </c>
      <c r="Z176" s="24" t="n">
        <f aca="false">IFERROR(Y176/AVERAGE(Y171:Y182),"")</f>
        <v>1.01868730650634</v>
      </c>
      <c r="AA176" s="23" t="n">
        <f aca="false">IF(ISNUMBER(Tabelle1!K183),(0.5*Tabelle1!K171+SUM(Tabelle1!K172:K182)+0.5*Tabelle1!K183)/12,"")</f>
        <v>158.822915</v>
      </c>
      <c r="AB176" s="24" t="n">
        <f aca="false">IFERROR(Tabelle1!K177/AA176,"")</f>
        <v>0.950696377786543</v>
      </c>
      <c r="AC176" s="24" t="n">
        <f aca="false">IFERROR(AVERAGEIFS($AB$7:$AB$294,$B$7:$B$294,$B176,$A$7:$A$294,"&gt;="&amp;EDATE($A176,-12*'Seasonal Factors'!$E$4),$A$7:$A$294,"&lt;="&amp;EDATE($A176,12*'Seasonal Factors'!$E$4)),"")</f>
        <v>0.928046449277384</v>
      </c>
      <c r="AD176" s="24" t="n">
        <f aca="false">IFERROR(AC176/AVERAGE(AC171:AC182),"")</f>
        <v>0.928210350353088</v>
      </c>
      <c r="AE176" s="23" t="n">
        <f aca="false">IF(ISNUMBER(Tabelle1!L183),(0.5*Tabelle1!L171+SUM(Tabelle1!L172:L182)+0.5*Tabelle1!L183)/12,"")</f>
        <v>167.09382</v>
      </c>
      <c r="AF176" s="24" t="n">
        <f aca="false">IFERROR(Tabelle1!L177/AE176,"")</f>
        <v>1.01444015104808</v>
      </c>
      <c r="AG176" s="24" t="n">
        <f aca="false">IFERROR(AVERAGEIFS($AF$7:$AF$294,$B$7:$B$294,$B176,$A$7:$A$294,"&gt;="&amp;EDATE($A176,-12*'Seasonal Factors'!$E$4),$A$7:$A$294,"&lt;="&amp;EDATE($A176,12*'Seasonal Factors'!$E$4)),"")</f>
        <v>1.10171375811995</v>
      </c>
      <c r="AH176" s="24" t="n">
        <f aca="false">IFERROR(AG176/AVERAGE(AG171:AG182),"")</f>
        <v>1.10794440381196</v>
      </c>
      <c r="AI176" s="23" t="n">
        <f aca="false">IF(ISNUMBER(Tabelle1!M183),(0.5*Tabelle1!M171+SUM(Tabelle1!M172:M182)+0.5*Tabelle1!M183)/12,"")</f>
        <v>195.214365833333</v>
      </c>
      <c r="AJ176" s="24" t="n">
        <f aca="false">IFERROR(Tabelle1!M177/AI176,"")</f>
        <v>0.955376819753263</v>
      </c>
      <c r="AK176" s="24" t="n">
        <f aca="false">IFERROR(AVERAGEIFS($AJ$7:$AJ$294,$B$7:$B$294,$B176,$A$7:$A$294,"&gt;="&amp;EDATE($A176,-12*'Seasonal Factors'!$E$4),$A$7:$A$294,"&lt;="&amp;EDATE($A176,12*'Seasonal Factors'!$E$4)),"")</f>
        <v>0.957482990464524</v>
      </c>
      <c r="AL176" s="24" t="n">
        <f aca="false">IFERROR(AK176/AVERAGE(AK171:AK182),"")</f>
        <v>0.957821618192743</v>
      </c>
      <c r="AM176" s="23" t="n">
        <f aca="false">IF(ISNUMBER(Tabelle1!N183),(0.5*Tabelle1!N171+SUM(Tabelle1!N172:N182)+0.5*Tabelle1!N183)/12,"")</f>
        <v>191.35216</v>
      </c>
      <c r="AN176" s="24" t="n">
        <f aca="false">IFERROR(Tabelle1!N177/AM176,"")</f>
        <v>0.983493993483011</v>
      </c>
      <c r="AO176" s="24" t="n">
        <f aca="false">IFERROR(AVERAGEIFS($AN$7:$AN$294,$B$7:$B$294,$B176,$A$7:$A$294,"&gt;="&amp;EDATE($A176,-12*'Seasonal Factors'!$E$4),$A$7:$A$294,"&lt;="&amp;EDATE($A176,12*'Seasonal Factors'!$E$4)),"")</f>
        <v>0.967454691742037</v>
      </c>
      <c r="AP176" s="24" t="n">
        <f aca="false">IFERROR(AO176/AVERAGE(AO171:AO182),"")</f>
        <v>0.967317524475452</v>
      </c>
      <c r="AQ176" s="23" t="n">
        <f aca="false">IF(ISNUMBER(Tabelle1!O183),(0.5*Tabelle1!O171+SUM(Tabelle1!O172:O182)+0.5*Tabelle1!O183)/12,"")</f>
        <v>142.821052083333</v>
      </c>
      <c r="AR176" s="24" t="n">
        <f aca="false">IFERROR(Tabelle1!O177/AQ176,"")</f>
        <v>0.96332324957054</v>
      </c>
      <c r="AS176" s="24" t="n">
        <f aca="false">IFERROR(AVERAGEIFS($AR$7:$AR$294,$B$7:$B$294,$B176,$A$7:$A$294,"&gt;="&amp;EDATE($A176,-12*'Seasonal Factors'!$E$4),$A$7:$A$294,"&lt;="&amp;EDATE($A176,12*'Seasonal Factors'!$E$4)),"")</f>
        <v>0.971478361457096</v>
      </c>
      <c r="AT176" s="24" t="n">
        <f aca="false">IFERROR(AS176/AVERAGE(AS171:AS182),"")</f>
        <v>0.971474518256165</v>
      </c>
      <c r="AU176" s="23" t="n">
        <f aca="false">IF(ISNUMBER(Tabelle1!P183),(0.5*Tabelle1!P171+SUM(Tabelle1!P172:P182)+0.5*Tabelle1!P183)/12,"")</f>
        <v>154.311280416667</v>
      </c>
      <c r="AV176" s="24" t="n">
        <f aca="false">IFERROR(Tabelle1!P177/AU176,"")</f>
        <v>1.00192999230211</v>
      </c>
      <c r="AW176" s="24" t="n">
        <f aca="false">IFERROR(AVERAGEIFS($AV$7:$AV$294,$B$7:$B$294,$B176,$A$7:$A$294,"&gt;="&amp;EDATE($A176,-12*'Seasonal Factors'!$E$4),$A$7:$A$294,"&lt;="&amp;EDATE($A176,12*'Seasonal Factors'!$E$4)),"")</f>
        <v>1.00646060058697</v>
      </c>
      <c r="AX176" s="24" t="n">
        <f aca="false">IFERROR(AW176/AVERAGE(AW171:AW182),"")</f>
        <v>1.0064858308576</v>
      </c>
      <c r="AY176" s="23" t="n">
        <f aca="false">IF(ISNUMBER(Tabelle1!Q183),(0.5*Tabelle1!Q171+SUM(Tabelle1!Q172:Q182)+0.5*Tabelle1!Q183)/12,"")</f>
        <v>160.256474583333</v>
      </c>
      <c r="AZ176" s="24" t="n">
        <f aca="false">IFERROR(Tabelle1!Q177/AY176,"")</f>
        <v>0.976653145571428</v>
      </c>
      <c r="BA176" s="24" t="n">
        <f aca="false">IFERROR(AVERAGEIFS($AZ$7:$AZ$294,$B$7:$B$294,$B176,$A$7:$A$294,"&gt;="&amp;EDATE($A176,-12*'Seasonal Factors'!$E$4),$A$7:$A$294,"&lt;="&amp;EDATE($A176,12*'Seasonal Factors'!$E$4)),"")</f>
        <v>0.981648974941163</v>
      </c>
      <c r="BB176" s="24" t="n">
        <f aca="false">IFERROR(BA176/AVERAGE(BA171:BA182),"")</f>
        <v>0.981705226927203</v>
      </c>
      <c r="BC176" s="23" t="n">
        <f aca="false">IF(ISNUMBER(Tabelle1!R183),(0.5*Tabelle1!R171+SUM(Tabelle1!R172:R182)+0.5*Tabelle1!R183)/12,"")</f>
        <v>180.055767083333</v>
      </c>
      <c r="BD176" s="24" t="n">
        <f aca="false">IFERROR(Tabelle1!R177/BC176,"")</f>
        <v>0.947643514917407</v>
      </c>
      <c r="BE176" s="24" t="n">
        <f aca="false">IFERROR(AVERAGEIFS($BD$7:$BD$294,$B$7:$B$294,$B176,$A$7:$A$294,"&gt;="&amp;EDATE($A176,-12*'Seasonal Factors'!$E$4),$A$7:$A$294,"&lt;="&amp;EDATE($A176,12*'Seasonal Factors'!$E$4)),"")</f>
        <v>0.957902237420234</v>
      </c>
      <c r="BF176" s="24" t="n">
        <f aca="false">IFERROR(BE176/AVERAGE(BE171:BE182),"")</f>
        <v>0.958047961940526</v>
      </c>
      <c r="BG176" s="23" t="n">
        <f aca="false">IF(ISNUMBER(Tabelle1!S183),(0.5*Tabelle1!S171+SUM(Tabelle1!S172:S182)+0.5*Tabelle1!S183)/12,"")</f>
        <v>152.7442825</v>
      </c>
      <c r="BH176" s="24" t="n">
        <f aca="false">IFERROR(Tabelle1!S177/BG176,"")</f>
        <v>0.986334398474129</v>
      </c>
      <c r="BI176" s="24" t="n">
        <f aca="false">IFERROR(AVERAGEIFS($BH$7:$BH$294,$B$7:$B$294,$B176,$A$7:$A$294,"&gt;="&amp;EDATE($A176,-12*'Seasonal Factors'!$E$4),$A$7:$A$294,"&lt;="&amp;EDATE($A176,12*'Seasonal Factors'!$E$4)),"")</f>
        <v>1.05777498504138</v>
      </c>
      <c r="BJ176" s="24" t="n">
        <f aca="false">IFERROR(BI176/AVERAGE(BI171:BI182),"")</f>
        <v>1.06196551149786</v>
      </c>
    </row>
    <row r="177" customFormat="false" ht="15" hidden="false" customHeight="false" outlineLevel="0" collapsed="false">
      <c r="A177" s="20" t="n">
        <v>43190</v>
      </c>
      <c r="B177" s="22" t="n">
        <f aca="false">MONTH(A177)</f>
        <v>3</v>
      </c>
      <c r="C177" s="23" t="n">
        <f aca="false">IF(ISNUMBER(Tabelle1!E184),(0.5*Tabelle1!E172+SUM(Tabelle1!E173:E183)+0.5*Tabelle1!E184)/12,"")</f>
        <v>111.17589</v>
      </c>
      <c r="D177" s="24" t="n">
        <f aca="false">IFERROR(Tabelle1!E178/C177,"")</f>
        <v>1.30110476291217</v>
      </c>
      <c r="E177" s="24" t="n">
        <f aca="false">IFERROR(AVERAGEIFS($D$7:$D$294,$B$7:$B$294,$B177,$A$7:$A$294,"&gt;="&amp;EDATE($A177,-12*'Seasonal Factors'!$E$4),$A$7:$A$294,"&lt;="&amp;EDATE($A177,12*'Seasonal Factors'!$E$4)),"")</f>
        <v>1.12677088105627</v>
      </c>
      <c r="F177" s="24" t="n">
        <f aca="false">IFERROR(E177/AVERAGE(E172:E183),"")</f>
        <v>1.12688923012273</v>
      </c>
      <c r="G177" s="23" t="n">
        <f aca="false">IF(ISNUMBER(Tabelle1!F184),(0.5*Tabelle1!F172+SUM(Tabelle1!F173:F183)+0.5*Tabelle1!F184)/12,"")</f>
        <v>181.062635833333</v>
      </c>
      <c r="H177" s="24" t="n">
        <f aca="false">IFERROR(Tabelle1!F178/G177,"")</f>
        <v>0.847816885540664</v>
      </c>
      <c r="I177" s="24" t="n">
        <f aca="false">IFERROR(AVERAGEIFS($H$7:$H$294,$B$7:$B$294,$B177,$A$7:$A$294,"&gt;="&amp;EDATE($A177,-12*'Seasonal Factors'!$E$4),$A$7:$A$294,"&lt;="&amp;EDATE($A177,12*'Seasonal Factors'!$E$4)),"")</f>
        <v>0.835165474273396</v>
      </c>
      <c r="J177" s="24" t="n">
        <f aca="false">IFERROR(I177/AVERAGE(I172:I183),"")</f>
        <v>0.831958252259684</v>
      </c>
      <c r="K177" s="23" t="n">
        <f aca="false">IF(ISNUMBER(Tabelle1!G184),(0.5*Tabelle1!G172+SUM(Tabelle1!G173:G183)+0.5*Tabelle1!G184)/12,"")</f>
        <v>87.93188375</v>
      </c>
      <c r="L177" s="24" t="n">
        <f aca="false">IFERROR(Tabelle1!G178/K177,"")</f>
        <v>1.02252841819734</v>
      </c>
      <c r="M177" s="24" t="n">
        <f aca="false">IFERROR(AVERAGEIFS($L$7:$L$294,$B$7:$B$294,$B177,$A$7:$A$294,"&gt;="&amp;EDATE($A177,-12*'Seasonal Factors'!$E$4),$A$7:$A$294,"&lt;="&amp;EDATE($A177,12*'Seasonal Factors'!$E$4)),"")</f>
        <v>1.01907158743458</v>
      </c>
      <c r="N177" s="24" t="n">
        <f aca="false">IFERROR(M177/AVERAGE(M172:M183),"")</f>
        <v>1.01959723001152</v>
      </c>
      <c r="O177" s="23" t="n">
        <f aca="false">IF(ISNUMBER(Tabelle1!H184),(0.5*Tabelle1!H172+SUM(Tabelle1!H173:H183)+0.5*Tabelle1!H184)/12,"")</f>
        <v>130.543745833333</v>
      </c>
      <c r="P177" s="24" t="n">
        <f aca="false">IFERROR(Tabelle1!H178/O177,"")</f>
        <v>1.02094151772048</v>
      </c>
      <c r="Q177" s="24" t="n">
        <f aca="false">IFERROR(AVERAGEIFS($P$7:$P$294,$B$7:$B$294,$B177,$A$7:$A$294,"&gt;="&amp;EDATE($A177,-12*'Seasonal Factors'!$E$4),$A$7:$A$294,"&lt;="&amp;EDATE($A177,12*'Seasonal Factors'!$E$4)),"")</f>
        <v>0.995296249819495</v>
      </c>
      <c r="R177" s="24" t="n">
        <f aca="false">IFERROR(Q177/AVERAGE(Q172:Q183),"")</f>
        <v>0.995324492310776</v>
      </c>
      <c r="S177" s="23" t="n">
        <f aca="false">IF(ISNUMBER(Tabelle1!I184),(0.5*Tabelle1!I172+SUM(Tabelle1!I173:I183)+0.5*Tabelle1!I184)/12,"")</f>
        <v>144.71279625</v>
      </c>
      <c r="T177" s="24" t="n">
        <f aca="false">IFERROR(Tabelle1!I178/S177,"")</f>
        <v>1.00216369082841</v>
      </c>
      <c r="U177" s="24" t="n">
        <f aca="false">IFERROR(AVERAGEIFS($T$7:$T$294,$B$7:$B$294,$B177,$A$7:$A$294,"&gt;="&amp;EDATE($A177,-12*'Seasonal Factors'!$E$4),$A$7:$A$294,"&lt;="&amp;EDATE($A177,12*'Seasonal Factors'!$E$4)),"")</f>
        <v>1.00067094456186</v>
      </c>
      <c r="V177" s="24" t="n">
        <f aca="false">IFERROR(U177/AVERAGE(U172:U183),"")</f>
        <v>1.00077917307548</v>
      </c>
      <c r="W177" s="23" t="n">
        <f aca="false">IF(ISNUMBER(Tabelle1!J184),(0.5*Tabelle1!J172+SUM(Tabelle1!J173:J183)+0.5*Tabelle1!J184)/12,"")</f>
        <v>151.6431675</v>
      </c>
      <c r="X177" s="24" t="n">
        <f aca="false">IFERROR(Tabelle1!J178/W177,"")</f>
        <v>1.04471465883882</v>
      </c>
      <c r="Y177" s="24" t="n">
        <f aca="false">IFERROR(AVERAGEIFS($X$7:$X$294,$B$7:$B$294,$B177,$A$7:$A$294,"&gt;="&amp;EDATE($A177,-12*'Seasonal Factors'!$E$4),$A$7:$A$294,"&lt;="&amp;EDATE($A177,12*'Seasonal Factors'!$E$4)),"")</f>
        <v>1.02381040492492</v>
      </c>
      <c r="Z177" s="24" t="n">
        <f aca="false">IFERROR(Y177/AVERAGE(Y172:Y183),"")</f>
        <v>1.02525974976683</v>
      </c>
      <c r="AA177" s="23" t="n">
        <f aca="false">IF(ISNUMBER(Tabelle1!K184),(0.5*Tabelle1!K172+SUM(Tabelle1!K173:K183)+0.5*Tabelle1!K184)/12,"")</f>
        <v>157.63099375</v>
      </c>
      <c r="AB177" s="24" t="n">
        <f aca="false">IFERROR(Tabelle1!K178/AA177,"")</f>
        <v>1.11738355389262</v>
      </c>
      <c r="AC177" s="24" t="n">
        <f aca="false">IFERROR(AVERAGEIFS($AB$7:$AB$294,$B$7:$B$294,$B177,$A$7:$A$294,"&gt;="&amp;EDATE($A177,-12*'Seasonal Factors'!$E$4),$A$7:$A$294,"&lt;="&amp;EDATE($A177,12*'Seasonal Factors'!$E$4)),"")</f>
        <v>1.0587888369193</v>
      </c>
      <c r="AD177" s="24" t="n">
        <f aca="false">IFERROR(AC177/AVERAGE(AC172:AC183),"")</f>
        <v>1.05903368340563</v>
      </c>
      <c r="AE177" s="23" t="n">
        <f aca="false">IF(ISNUMBER(Tabelle1!L184),(0.5*Tabelle1!L172+SUM(Tabelle1!L173:L183)+0.5*Tabelle1!L184)/12,"")</f>
        <v>166.744634583333</v>
      </c>
      <c r="AF177" s="24" t="n">
        <f aca="false">IFERROR(Tabelle1!L178/AE177,"")</f>
        <v>0.997879244605279</v>
      </c>
      <c r="AG177" s="24" t="n">
        <f aca="false">IFERROR(AVERAGEIFS($AF$7:$AF$294,$B$7:$B$294,$B177,$A$7:$A$294,"&gt;="&amp;EDATE($A177,-12*'Seasonal Factors'!$E$4),$A$7:$A$294,"&lt;="&amp;EDATE($A177,12*'Seasonal Factors'!$E$4)),"")</f>
        <v>0.962377178241586</v>
      </c>
      <c r="AH177" s="24" t="n">
        <f aca="false">IFERROR(AG177/AVERAGE(AG172:AG183),"")</f>
        <v>0.968849239882191</v>
      </c>
      <c r="AI177" s="23" t="n">
        <f aca="false">IF(ISNUMBER(Tabelle1!M184),(0.5*Tabelle1!M172+SUM(Tabelle1!M173:M183)+0.5*Tabelle1!M184)/12,"")</f>
        <v>194.525299166667</v>
      </c>
      <c r="AJ177" s="24" t="n">
        <f aca="false">IFERROR(Tabelle1!M178/AI177,"")</f>
        <v>1.02424451140051</v>
      </c>
      <c r="AK177" s="24" t="n">
        <f aca="false">IFERROR(AVERAGEIFS($AJ$7:$AJ$294,$B$7:$B$294,$B177,$A$7:$A$294,"&gt;="&amp;EDATE($A177,-12*'Seasonal Factors'!$E$4),$A$7:$A$294,"&lt;="&amp;EDATE($A177,12*'Seasonal Factors'!$E$4)),"")</f>
        <v>1.00495934252486</v>
      </c>
      <c r="AL177" s="24" t="n">
        <f aca="false">IFERROR(AK177/AVERAGE(AK172:AK183),"")</f>
        <v>1.00535003196856</v>
      </c>
      <c r="AM177" s="23" t="n">
        <f aca="false">IF(ISNUMBER(Tabelle1!N184),(0.5*Tabelle1!N172+SUM(Tabelle1!N173:N183)+0.5*Tabelle1!N184)/12,"")</f>
        <v>192.038625833333</v>
      </c>
      <c r="AN177" s="24" t="n">
        <f aca="false">IFERROR(Tabelle1!N178/AM177,"")</f>
        <v>1.00065442129739</v>
      </c>
      <c r="AO177" s="24" t="n">
        <f aca="false">IFERROR(AVERAGEIFS($AN$7:$AN$294,$B$7:$B$294,$B177,$A$7:$A$294,"&gt;="&amp;EDATE($A177,-12*'Seasonal Factors'!$E$4),$A$7:$A$294,"&lt;="&amp;EDATE($A177,12*'Seasonal Factors'!$E$4)),"")</f>
        <v>1.02022015707508</v>
      </c>
      <c r="AP177" s="24" t="n">
        <f aca="false">IFERROR(AO177/AVERAGE(AO172:AO183),"")</f>
        <v>1.02036851121433</v>
      </c>
      <c r="AQ177" s="23" t="n">
        <f aca="false">IF(ISNUMBER(Tabelle1!O184),(0.5*Tabelle1!O172+SUM(Tabelle1!O173:O183)+0.5*Tabelle1!O184)/12,"")</f>
        <v>142.708387083333</v>
      </c>
      <c r="AR177" s="24" t="n">
        <f aca="false">IFERROR(Tabelle1!O178/AQ177,"")</f>
        <v>0.998245533507522</v>
      </c>
      <c r="AS177" s="24" t="n">
        <f aca="false">IFERROR(AVERAGEIFS($AR$7:$AR$294,$B$7:$B$294,$B177,$A$7:$A$294,"&gt;="&amp;EDATE($A177,-12*'Seasonal Factors'!$E$4),$A$7:$A$294,"&lt;="&amp;EDATE($A177,12*'Seasonal Factors'!$E$4)),"")</f>
        <v>0.987090854523881</v>
      </c>
      <c r="AT177" s="24" t="n">
        <f aca="false">IFERROR(AS177/AVERAGE(AS172:AS183),"")</f>
        <v>0.987096778731037</v>
      </c>
      <c r="AU177" s="23" t="n">
        <f aca="false">IF(ISNUMBER(Tabelle1!P184),(0.5*Tabelle1!P172+SUM(Tabelle1!P173:P183)+0.5*Tabelle1!P184)/12,"")</f>
        <v>154.28452625</v>
      </c>
      <c r="AV177" s="24" t="n">
        <f aca="false">IFERROR(Tabelle1!P178/AU177,"")</f>
        <v>1.00042255533711</v>
      </c>
      <c r="AW177" s="24" t="n">
        <f aca="false">IFERROR(AVERAGEIFS($AV$7:$AV$294,$B$7:$B$294,$B177,$A$7:$A$294,"&gt;="&amp;EDATE($A177,-12*'Seasonal Factors'!$E$4),$A$7:$A$294,"&lt;="&amp;EDATE($A177,12*'Seasonal Factors'!$E$4)),"")</f>
        <v>1.00583422837414</v>
      </c>
      <c r="AX177" s="24" t="n">
        <f aca="false">IFERROR(AW177/AVERAGE(AW172:AW183),"")</f>
        <v>1.00587249540497</v>
      </c>
      <c r="AY177" s="23" t="n">
        <f aca="false">IF(ISNUMBER(Tabelle1!Q184),(0.5*Tabelle1!Q172+SUM(Tabelle1!Q173:Q183)+0.5*Tabelle1!Q184)/12,"")</f>
        <v>160.442849166667</v>
      </c>
      <c r="AZ177" s="24" t="n">
        <f aca="false">IFERROR(Tabelle1!Q178/AY177,"")</f>
        <v>0.98972912052344</v>
      </c>
      <c r="BA177" s="24" t="n">
        <f aca="false">IFERROR(AVERAGEIFS($AZ$7:$AZ$294,$B$7:$B$294,$B177,$A$7:$A$294,"&gt;="&amp;EDATE($A177,-12*'Seasonal Factors'!$E$4),$A$7:$A$294,"&lt;="&amp;EDATE($A177,12*'Seasonal Factors'!$E$4)),"")</f>
        <v>0.992993062524361</v>
      </c>
      <c r="BB177" s="24" t="n">
        <f aca="false">IFERROR(BA177/AVERAGE(BA172:BA183),"")</f>
        <v>0.993049915515251</v>
      </c>
      <c r="BC177" s="23" t="n">
        <f aca="false">IF(ISNUMBER(Tabelle1!R184),(0.5*Tabelle1!R172+SUM(Tabelle1!R173:R183)+0.5*Tabelle1!R184)/12,"")</f>
        <v>180.23741125</v>
      </c>
      <c r="BD177" s="24" t="n">
        <f aca="false">IFERROR(Tabelle1!R178/BC177,"")</f>
        <v>1.02886764026356</v>
      </c>
      <c r="BE177" s="24" t="n">
        <f aca="false">IFERROR(AVERAGEIFS($BD$7:$BD$294,$B$7:$B$294,$B177,$A$7:$A$294,"&gt;="&amp;EDATE($A177,-12*'Seasonal Factors'!$E$4),$A$7:$A$294,"&lt;="&amp;EDATE($A177,12*'Seasonal Factors'!$E$4)),"")</f>
        <v>1.02563349305145</v>
      </c>
      <c r="BF177" s="24" t="n">
        <f aca="false">IFERROR(BE177/AVERAGE(BE172:BE183),"")</f>
        <v>1.02583881900473</v>
      </c>
      <c r="BG177" s="23" t="n">
        <f aca="false">IF(ISNUMBER(Tabelle1!S184),(0.5*Tabelle1!S172+SUM(Tabelle1!S173:S183)+0.5*Tabelle1!S184)/12,"")</f>
        <v>152.600506666667</v>
      </c>
      <c r="BH177" s="24" t="n">
        <f aca="false">IFERROR(Tabelle1!S178/BG177,"")</f>
        <v>0.959289147838566</v>
      </c>
      <c r="BI177" s="24" t="n">
        <f aca="false">IFERROR(AVERAGEIFS($BH$7:$BH$294,$B$7:$B$294,$B177,$A$7:$A$294,"&gt;="&amp;EDATE($A177,-12*'Seasonal Factors'!$E$4),$A$7:$A$294,"&lt;="&amp;EDATE($A177,12*'Seasonal Factors'!$E$4)),"")</f>
        <v>1.02739690066734</v>
      </c>
      <c r="BJ177" s="24" t="n">
        <f aca="false">IFERROR(BI177/AVERAGE(BI172:BI183),"")</f>
        <v>1.03194161687344</v>
      </c>
    </row>
    <row r="178" customFormat="false" ht="15" hidden="false" customHeight="false" outlineLevel="0" collapsed="false">
      <c r="A178" s="20" t="n">
        <v>43220</v>
      </c>
      <c r="B178" s="22" t="n">
        <f aca="false">MONTH(A178)</f>
        <v>4</v>
      </c>
      <c r="C178" s="23" t="n">
        <f aca="false">IF(ISNUMBER(Tabelle1!E185),(0.5*Tabelle1!E173+SUM(Tabelle1!E174:E184)+0.5*Tabelle1!E185)/12,"")</f>
        <v>111.218775833333</v>
      </c>
      <c r="D178" s="24" t="n">
        <f aca="false">IFERROR(Tabelle1!E179/C178,"")</f>
        <v>1.46814599222609</v>
      </c>
      <c r="E178" s="24" t="n">
        <f aca="false">IFERROR(AVERAGEIFS($D$7:$D$294,$B$7:$B$294,$B178,$A$7:$A$294,"&gt;="&amp;EDATE($A178,-12*'Seasonal Factors'!$E$4),$A$7:$A$294,"&lt;="&amp;EDATE($A178,12*'Seasonal Factors'!$E$4)),"")</f>
        <v>1.66473778731341</v>
      </c>
      <c r="F178" s="24" t="n">
        <f aca="false">IFERROR(E178/AVERAGE(E173:E184),"")</f>
        <v>1.66528439230711</v>
      </c>
      <c r="G178" s="23" t="n">
        <f aca="false">IF(ISNUMBER(Tabelle1!F185),(0.5*Tabelle1!F173+SUM(Tabelle1!F174:F184)+0.5*Tabelle1!F185)/12,"")</f>
        <v>184.536819166667</v>
      </c>
      <c r="H178" s="24" t="n">
        <f aca="false">IFERROR(Tabelle1!F179/G178,"")</f>
        <v>0.602042077574013</v>
      </c>
      <c r="I178" s="24" t="n">
        <f aca="false">IFERROR(AVERAGEIFS($H$7:$H$294,$B$7:$B$294,$B178,$A$7:$A$294,"&gt;="&amp;EDATE($A178,-12*'Seasonal Factors'!$E$4),$A$7:$A$294,"&lt;="&amp;EDATE($A178,12*'Seasonal Factors'!$E$4)),"")</f>
        <v>0.827800556369372</v>
      </c>
      <c r="J178" s="24" t="n">
        <f aca="false">IFERROR(I178/AVERAGE(I173:I184),"")</f>
        <v>0.830510804900178</v>
      </c>
      <c r="K178" s="23" t="n">
        <f aca="false">IF(ISNUMBER(Tabelle1!G185),(0.5*Tabelle1!G173+SUM(Tabelle1!G174:G184)+0.5*Tabelle1!G185)/12,"")</f>
        <v>87.8104708333333</v>
      </c>
      <c r="L178" s="24" t="n">
        <f aca="false">IFERROR(Tabelle1!G179/K178,"")</f>
        <v>0.987379058296626</v>
      </c>
      <c r="M178" s="24" t="n">
        <f aca="false">IFERROR(AVERAGEIFS($L$7:$L$294,$B$7:$B$294,$B178,$A$7:$A$294,"&gt;="&amp;EDATE($A178,-12*'Seasonal Factors'!$E$4),$A$7:$A$294,"&lt;="&amp;EDATE($A178,12*'Seasonal Factors'!$E$4)),"")</f>
        <v>0.965510716146903</v>
      </c>
      <c r="N178" s="24" t="n">
        <f aca="false">IFERROR(M178/AVERAGE(M173:M184),"")</f>
        <v>0.965981739187567</v>
      </c>
      <c r="O178" s="23" t="n">
        <f aca="false">IF(ISNUMBER(Tabelle1!H185),(0.5*Tabelle1!H173+SUM(Tabelle1!H174:H184)+0.5*Tabelle1!H185)/12,"")</f>
        <v>129.42638</v>
      </c>
      <c r="P178" s="24" t="n">
        <f aca="false">IFERROR(Tabelle1!H179/O178,"")</f>
        <v>0.980674959772498</v>
      </c>
      <c r="Q178" s="24" t="n">
        <f aca="false">IFERROR(AVERAGEIFS($P$7:$P$294,$B$7:$B$294,$B178,$A$7:$A$294,"&gt;="&amp;EDATE($A178,-12*'Seasonal Factors'!$E$4),$A$7:$A$294,"&lt;="&amp;EDATE($A178,12*'Seasonal Factors'!$E$4)),"")</f>
        <v>0.954896922242517</v>
      </c>
      <c r="R178" s="24" t="n">
        <f aca="false">IFERROR(Q178/AVERAGE(Q173:Q184),"")</f>
        <v>0.955395328983426</v>
      </c>
      <c r="S178" s="23" t="n">
        <f aca="false">IF(ISNUMBER(Tabelle1!I185),(0.5*Tabelle1!I173+SUM(Tabelle1!I174:I184)+0.5*Tabelle1!I185)/12,"")</f>
        <v>144.45966625</v>
      </c>
      <c r="T178" s="24" t="n">
        <f aca="false">IFERROR(Tabelle1!I179/S178,"")</f>
        <v>0.957322369557946</v>
      </c>
      <c r="U178" s="24" t="n">
        <f aca="false">IFERROR(AVERAGEIFS($T$7:$T$294,$B$7:$B$294,$B178,$A$7:$A$294,"&gt;="&amp;EDATE($A178,-12*'Seasonal Factors'!$E$4),$A$7:$A$294,"&lt;="&amp;EDATE($A178,12*'Seasonal Factors'!$E$4)),"")</f>
        <v>0.928915517989744</v>
      </c>
      <c r="V178" s="24" t="n">
        <f aca="false">IFERROR(U178/AVERAGE(U173:U184),"")</f>
        <v>0.929474435451302</v>
      </c>
      <c r="W178" s="23" t="n">
        <f aca="false">IF(ISNUMBER(Tabelle1!J185),(0.5*Tabelle1!J173+SUM(Tabelle1!J174:J184)+0.5*Tabelle1!J185)/12,"")</f>
        <v>151.253049166667</v>
      </c>
      <c r="X178" s="24" t="n">
        <f aca="false">IFERROR(Tabelle1!J179/W178,"")</f>
        <v>0.975368568189581</v>
      </c>
      <c r="Y178" s="24" t="n">
        <f aca="false">IFERROR(AVERAGEIFS($X$7:$X$294,$B$7:$B$294,$B178,$A$7:$A$294,"&gt;="&amp;EDATE($A178,-12*'Seasonal Factors'!$E$4),$A$7:$A$294,"&lt;="&amp;EDATE($A178,12*'Seasonal Factors'!$E$4)),"")</f>
        <v>0.912730090760997</v>
      </c>
      <c r="Z178" s="24" t="n">
        <f aca="false">IFERROR(Y178/AVERAGE(Y173:Y184),"")</f>
        <v>0.914247614960056</v>
      </c>
      <c r="AA178" s="23" t="n">
        <f aca="false">IF(ISNUMBER(Tabelle1!K185),(0.5*Tabelle1!K173+SUM(Tabelle1!K174:K184)+0.5*Tabelle1!K185)/12,"")</f>
        <v>156.100439166667</v>
      </c>
      <c r="AB178" s="24" t="n">
        <f aca="false">IFERROR(Tabelle1!K179/AA178,"")</f>
        <v>0.992899192516152</v>
      </c>
      <c r="AC178" s="24" t="n">
        <f aca="false">IFERROR(AVERAGEIFS($AB$7:$AB$294,$B$7:$B$294,$B178,$A$7:$A$294,"&gt;="&amp;EDATE($A178,-12*'Seasonal Factors'!$E$4),$A$7:$A$294,"&lt;="&amp;EDATE($A178,12*'Seasonal Factors'!$E$4)),"")</f>
        <v>0.969230954833557</v>
      </c>
      <c r="AD178" s="24" t="n">
        <f aca="false">IFERROR(AC178/AVERAGE(AC173:AC184),"")</f>
        <v>0.970232429452459</v>
      </c>
      <c r="AE178" s="23" t="n">
        <f aca="false">IF(ISNUMBER(Tabelle1!L185),(0.5*Tabelle1!L173+SUM(Tabelle1!L174:L184)+0.5*Tabelle1!L185)/12,"")</f>
        <v>166.350037916667</v>
      </c>
      <c r="AF178" s="24" t="n">
        <f aca="false">IFERROR(Tabelle1!L179/AE178,"")</f>
        <v>0.956159144849008</v>
      </c>
      <c r="AG178" s="24" t="n">
        <f aca="false">IFERROR(AVERAGEIFS($AF$7:$AF$294,$B$7:$B$294,$B178,$A$7:$A$294,"&gt;="&amp;EDATE($A178,-12*'Seasonal Factors'!$E$4),$A$7:$A$294,"&lt;="&amp;EDATE($A178,12*'Seasonal Factors'!$E$4)),"")</f>
        <v>0.857726923579267</v>
      </c>
      <c r="AH178" s="24" t="n">
        <f aca="false">IFERROR(AG178/AVERAGE(AG173:AG184),"")</f>
        <v>0.86347336660469</v>
      </c>
      <c r="AI178" s="23" t="n">
        <f aca="false">IF(ISNUMBER(Tabelle1!M185),(0.5*Tabelle1!M173+SUM(Tabelle1!M174:M184)+0.5*Tabelle1!M185)/12,"")</f>
        <v>193.797385416667</v>
      </c>
      <c r="AJ178" s="24" t="n">
        <f aca="false">IFERROR(Tabelle1!M179/AI178,"")</f>
        <v>1.00869632260368</v>
      </c>
      <c r="AK178" s="24" t="n">
        <f aca="false">IFERROR(AVERAGEIFS($AJ$7:$AJ$294,$B$7:$B$294,$B178,$A$7:$A$294,"&gt;="&amp;EDATE($A178,-12*'Seasonal Factors'!$E$4),$A$7:$A$294,"&lt;="&amp;EDATE($A178,12*'Seasonal Factors'!$E$4)),"")</f>
        <v>1.00321879742624</v>
      </c>
      <c r="AL178" s="24" t="n">
        <f aca="false">IFERROR(AK178/AVERAGE(AK173:AK184),"")</f>
        <v>1.00363514575405</v>
      </c>
      <c r="AM178" s="23" t="n">
        <f aca="false">IF(ISNUMBER(Tabelle1!N185),(0.5*Tabelle1!N173+SUM(Tabelle1!N174:N184)+0.5*Tabelle1!N185)/12,"")</f>
        <v>192.015572916667</v>
      </c>
      <c r="AN178" s="24" t="n">
        <f aca="false">IFERROR(Tabelle1!N179/AM178,"")</f>
        <v>1.00207929532625</v>
      </c>
      <c r="AO178" s="24" t="n">
        <f aca="false">IFERROR(AVERAGEIFS($AN$7:$AN$294,$B$7:$B$294,$B178,$A$7:$A$294,"&gt;="&amp;EDATE($A178,-12*'Seasonal Factors'!$E$4),$A$7:$A$294,"&lt;="&amp;EDATE($A178,12*'Seasonal Factors'!$E$4)),"")</f>
        <v>0.99804296512338</v>
      </c>
      <c r="AP178" s="24" t="n">
        <f aca="false">IFERROR(AO178/AVERAGE(AO173:AO184),"")</f>
        <v>0.998396581222571</v>
      </c>
      <c r="AQ178" s="23" t="n">
        <f aca="false">IF(ISNUMBER(Tabelle1!O185),(0.5*Tabelle1!O173+SUM(Tabelle1!O174:O184)+0.5*Tabelle1!O185)/12,"")</f>
        <v>142.51936125</v>
      </c>
      <c r="AR178" s="24" t="n">
        <f aca="false">IFERROR(Tabelle1!O179/AQ178,"")</f>
        <v>1.00881591623047</v>
      </c>
      <c r="AS178" s="24" t="n">
        <f aca="false">IFERROR(AVERAGEIFS($AR$7:$AR$294,$B$7:$B$294,$B178,$A$7:$A$294,"&gt;="&amp;EDATE($A178,-12*'Seasonal Factors'!$E$4),$A$7:$A$294,"&lt;="&amp;EDATE($A178,12*'Seasonal Factors'!$E$4)),"")</f>
        <v>0.983232992961488</v>
      </c>
      <c r="AT178" s="24" t="n">
        <f aca="false">IFERROR(AS178/AVERAGE(AS173:AS184),"")</f>
        <v>0.983459093076125</v>
      </c>
      <c r="AU178" s="23" t="n">
        <f aca="false">IF(ISNUMBER(Tabelle1!P185),(0.5*Tabelle1!P173+SUM(Tabelle1!P174:P184)+0.5*Tabelle1!P185)/12,"")</f>
        <v>154.259140833333</v>
      </c>
      <c r="AV178" s="24" t="n">
        <f aca="false">IFERROR(Tabelle1!P179/AU178,"")</f>
        <v>0.996120159686485</v>
      </c>
      <c r="AW178" s="24" t="n">
        <f aca="false">IFERROR(AVERAGEIFS($AV$7:$AV$294,$B$7:$B$294,$B178,$A$7:$A$294,"&gt;="&amp;EDATE($A178,-12*'Seasonal Factors'!$E$4),$A$7:$A$294,"&lt;="&amp;EDATE($A178,12*'Seasonal Factors'!$E$4)),"")</f>
        <v>0.986315388631975</v>
      </c>
      <c r="AX178" s="24" t="n">
        <f aca="false">IFERROR(AW178/AVERAGE(AW173:AW184),"")</f>
        <v>0.986385732898575</v>
      </c>
      <c r="AY178" s="23" t="n">
        <f aca="false">IF(ISNUMBER(Tabelle1!Q185),(0.5*Tabelle1!Q173+SUM(Tabelle1!Q174:Q184)+0.5*Tabelle1!Q185)/12,"")</f>
        <v>160.6389325</v>
      </c>
      <c r="AZ178" s="24" t="n">
        <f aca="false">IFERROR(Tabelle1!Q179/AY178,"")</f>
        <v>0.99381424861</v>
      </c>
      <c r="BA178" s="24" t="n">
        <f aca="false">IFERROR(AVERAGEIFS($AZ$7:$AZ$294,$B$7:$B$294,$B178,$A$7:$A$294,"&gt;="&amp;EDATE($A178,-12*'Seasonal Factors'!$E$4),$A$7:$A$294,"&lt;="&amp;EDATE($A178,12*'Seasonal Factors'!$E$4)),"")</f>
        <v>0.984009603069781</v>
      </c>
      <c r="BB178" s="24" t="n">
        <f aca="false">IFERROR(BA178/AVERAGE(BA173:BA184),"")</f>
        <v>0.984054425231079</v>
      </c>
      <c r="BC178" s="23" t="n">
        <f aca="false">IF(ISNUMBER(Tabelle1!R185),(0.5*Tabelle1!R173+SUM(Tabelle1!R174:R184)+0.5*Tabelle1!R185)/12,"")</f>
        <v>180.392359166667</v>
      </c>
      <c r="BD178" s="24" t="n">
        <f aca="false">IFERROR(Tabelle1!R179/BC178,"")</f>
        <v>1.04714374196679</v>
      </c>
      <c r="BE178" s="24" t="n">
        <f aca="false">IFERROR(AVERAGEIFS($BD$7:$BD$294,$B$7:$B$294,$B178,$A$7:$A$294,"&gt;="&amp;EDATE($A178,-12*'Seasonal Factors'!$E$4),$A$7:$A$294,"&lt;="&amp;EDATE($A178,12*'Seasonal Factors'!$E$4)),"")</f>
        <v>1.01455174706866</v>
      </c>
      <c r="BF178" s="24" t="n">
        <f aca="false">IFERROR(BE178/AVERAGE(BE173:BE184),"")</f>
        <v>1.01474378288962</v>
      </c>
      <c r="BG178" s="23" t="n">
        <f aca="false">IF(ISNUMBER(Tabelle1!S185),(0.5*Tabelle1!S173+SUM(Tabelle1!S174:S184)+0.5*Tabelle1!S185)/12,"")</f>
        <v>152.07400875</v>
      </c>
      <c r="BH178" s="24" t="n">
        <f aca="false">IFERROR(Tabelle1!S179/BG178,"")</f>
        <v>0.975164863601322</v>
      </c>
      <c r="BI178" s="24" t="n">
        <f aca="false">IFERROR(AVERAGEIFS($BH$7:$BH$294,$B$7:$B$294,$B178,$A$7:$A$294,"&gt;="&amp;EDATE($A178,-12*'Seasonal Factors'!$E$4),$A$7:$A$294,"&lt;="&amp;EDATE($A178,12*'Seasonal Factors'!$E$4)),"")</f>
        <v>0.910372931872561</v>
      </c>
      <c r="BJ178" s="24" t="n">
        <f aca="false">IFERROR(BI178/AVERAGE(BI173:BI184),"")</f>
        <v>0.914249592418966</v>
      </c>
    </row>
    <row r="179" customFormat="false" ht="15" hidden="false" customHeight="false" outlineLevel="0" collapsed="false">
      <c r="A179" s="20" t="n">
        <v>43251</v>
      </c>
      <c r="B179" s="22" t="n">
        <f aca="false">MONTH(A179)</f>
        <v>5</v>
      </c>
      <c r="C179" s="23" t="n">
        <f aca="false">IF(ISNUMBER(Tabelle1!E186),(0.5*Tabelle1!E174+SUM(Tabelle1!E175:E185)+0.5*Tabelle1!E186)/12,"")</f>
        <v>111.285364583333</v>
      </c>
      <c r="D179" s="24" t="n">
        <f aca="false">IFERROR(Tabelle1!E180/C179,"")</f>
        <v>2.01000599528521</v>
      </c>
      <c r="E179" s="24" t="n">
        <f aca="false">IFERROR(AVERAGEIFS($D$7:$D$294,$B$7:$B$294,$B179,$A$7:$A$294,"&gt;="&amp;EDATE($A179,-12*'Seasonal Factors'!$E$4),$A$7:$A$294,"&lt;="&amp;EDATE($A179,12*'Seasonal Factors'!$E$4)),"")</f>
        <v>2.38903751699247</v>
      </c>
      <c r="F179" s="24" t="n">
        <f aca="false">IFERROR(E179/AVERAGE(E174:E185),"")</f>
        <v>2.38943173641809</v>
      </c>
      <c r="G179" s="23" t="n">
        <f aca="false">IF(ISNUMBER(Tabelle1!F186),(0.5*Tabelle1!F174+SUM(Tabelle1!F175:F185)+0.5*Tabelle1!F186)/12,"")</f>
        <v>187.35558125</v>
      </c>
      <c r="H179" s="24" t="n">
        <f aca="false">IFERROR(Tabelle1!F180/G179,"")</f>
        <v>0.69898867771253</v>
      </c>
      <c r="I179" s="24" t="n">
        <f aca="false">IFERROR(AVERAGEIFS($H$7:$H$294,$B$7:$B$294,$B179,$A$7:$A$294,"&gt;="&amp;EDATE($A179,-12*'Seasonal Factors'!$E$4),$A$7:$A$294,"&lt;="&amp;EDATE($A179,12*'Seasonal Factors'!$E$4)),"")</f>
        <v>0.92870851286221</v>
      </c>
      <c r="J179" s="24" t="n">
        <f aca="false">IFERROR(I179/AVERAGE(I174:I185),"")</f>
        <v>0.935429857272449</v>
      </c>
      <c r="K179" s="23" t="n">
        <f aca="false">IF(ISNUMBER(Tabelle1!G186),(0.5*Tabelle1!G174+SUM(Tabelle1!G175:G185)+0.5*Tabelle1!G186)/12,"")</f>
        <v>87.60724</v>
      </c>
      <c r="L179" s="24" t="n">
        <f aca="false">IFERROR(Tabelle1!G180/K179,"")</f>
        <v>1.04315362520267</v>
      </c>
      <c r="M179" s="24" t="n">
        <f aca="false">IFERROR(AVERAGEIFS($L$7:$L$294,$B$7:$B$294,$B179,$A$7:$A$294,"&gt;="&amp;EDATE($A179,-12*'Seasonal Factors'!$E$4),$A$7:$A$294,"&lt;="&amp;EDATE($A179,12*'Seasonal Factors'!$E$4)),"")</f>
        <v>1.03557160572443</v>
      </c>
      <c r="N179" s="24" t="n">
        <f aca="false">IFERROR(M179/AVERAGE(M174:M185),"")</f>
        <v>1.03624343993676</v>
      </c>
      <c r="O179" s="23" t="n">
        <f aca="false">IF(ISNUMBER(Tabelle1!H186),(0.5*Tabelle1!H174+SUM(Tabelle1!H175:H185)+0.5*Tabelle1!H186)/12,"")</f>
        <v>128.1562625</v>
      </c>
      <c r="P179" s="24" t="n">
        <f aca="false">IFERROR(Tabelle1!H180/O179,"")</f>
        <v>1.03699278839378</v>
      </c>
      <c r="Q179" s="24" t="n">
        <f aca="false">IFERROR(AVERAGEIFS($P$7:$P$294,$B$7:$B$294,$B179,$A$7:$A$294,"&gt;="&amp;EDATE($A179,-12*'Seasonal Factors'!$E$4),$A$7:$A$294,"&lt;="&amp;EDATE($A179,12*'Seasonal Factors'!$E$4)),"")</f>
        <v>1.00539627160578</v>
      </c>
      <c r="R179" s="24" t="n">
        <f aca="false">IFERROR(Q179/AVERAGE(Q174:Q185),"")</f>
        <v>1.00591936226683</v>
      </c>
      <c r="S179" s="23" t="n">
        <f aca="false">IF(ISNUMBER(Tabelle1!I186),(0.5*Tabelle1!I174+SUM(Tabelle1!I175:I185)+0.5*Tabelle1!I186)/12,"")</f>
        <v>144.413754583333</v>
      </c>
      <c r="T179" s="24" t="n">
        <f aca="false">IFERROR(Tabelle1!I180/S179,"")</f>
        <v>0.981775249934281</v>
      </c>
      <c r="U179" s="24" t="n">
        <f aca="false">IFERROR(AVERAGEIFS($T$7:$T$294,$B$7:$B$294,$B179,$A$7:$A$294,"&gt;="&amp;EDATE($A179,-12*'Seasonal Factors'!$E$4),$A$7:$A$294,"&lt;="&amp;EDATE($A179,12*'Seasonal Factors'!$E$4)),"")</f>
        <v>1.0049272635415</v>
      </c>
      <c r="V179" s="24" t="n">
        <f aca="false">IFERROR(U179/AVERAGE(U174:U185),"")</f>
        <v>1.00531920292953</v>
      </c>
      <c r="W179" s="23" t="n">
        <f aca="false">IF(ISNUMBER(Tabelle1!J186),(0.5*Tabelle1!J174+SUM(Tabelle1!J175:J185)+0.5*Tabelle1!J186)/12,"")</f>
        <v>150.3739825</v>
      </c>
      <c r="X179" s="24" t="n">
        <f aca="false">IFERROR(Tabelle1!J180/W179,"")</f>
        <v>1.02023785929857</v>
      </c>
      <c r="Y179" s="24" t="n">
        <f aca="false">IFERROR(AVERAGEIFS($X$7:$X$294,$B$7:$B$294,$B179,$A$7:$A$294,"&gt;="&amp;EDATE($A179,-12*'Seasonal Factors'!$E$4),$A$7:$A$294,"&lt;="&amp;EDATE($A179,12*'Seasonal Factors'!$E$4)),"")</f>
        <v>0.958076734664843</v>
      </c>
      <c r="Z179" s="24" t="n">
        <f aca="false">IFERROR(Y179/AVERAGE(Y174:Y185),"")</f>
        <v>0.959622108879809</v>
      </c>
      <c r="AA179" s="23" t="n">
        <f aca="false">IF(ISNUMBER(Tabelle1!K186),(0.5*Tabelle1!K174+SUM(Tabelle1!K175:K185)+0.5*Tabelle1!K186)/12,"")</f>
        <v>154.211907083333</v>
      </c>
      <c r="AB179" s="24" t="n">
        <f aca="false">IFERROR(Tabelle1!K180/AA179,"")</f>
        <v>1.05541908584302</v>
      </c>
      <c r="AC179" s="24" t="n">
        <f aca="false">IFERROR(AVERAGEIFS($AB$7:$AB$294,$B$7:$B$294,$B179,$A$7:$A$294,"&gt;="&amp;EDATE($A179,-12*'Seasonal Factors'!$E$4),$A$7:$A$294,"&lt;="&amp;EDATE($A179,12*'Seasonal Factors'!$E$4)),"")</f>
        <v>1.01060416959185</v>
      </c>
      <c r="AD179" s="24" t="n">
        <f aca="false">IFERROR(AC179/AVERAGE(AC174:AC185),"")</f>
        <v>1.01184500204191</v>
      </c>
      <c r="AE179" s="23" t="n">
        <f aca="false">IF(ISNUMBER(Tabelle1!L186),(0.5*Tabelle1!L174+SUM(Tabelle1!L175:L185)+0.5*Tabelle1!L186)/12,"")</f>
        <v>165.944680416667</v>
      </c>
      <c r="AF179" s="24" t="n">
        <f aca="false">IFERROR(Tabelle1!L180/AE179,"")</f>
        <v>0.923793758348179</v>
      </c>
      <c r="AG179" s="24" t="n">
        <f aca="false">IFERROR(AVERAGEIFS($AF$7:$AF$294,$B$7:$B$294,$B179,$A$7:$A$294,"&gt;="&amp;EDATE($A179,-12*'Seasonal Factors'!$E$4),$A$7:$A$294,"&lt;="&amp;EDATE($A179,12*'Seasonal Factors'!$E$4)),"")</f>
        <v>0.871276416585718</v>
      </c>
      <c r="AH179" s="24" t="n">
        <f aca="false">IFERROR(AG179/AVERAGE(AG174:AG185),"")</f>
        <v>0.877137977539757</v>
      </c>
      <c r="AI179" s="23" t="n">
        <f aca="false">IF(ISNUMBER(Tabelle1!M186),(0.5*Tabelle1!M174+SUM(Tabelle1!M175:M185)+0.5*Tabelle1!M186)/12,"")</f>
        <v>193.019645416667</v>
      </c>
      <c r="AJ179" s="24" t="n">
        <f aca="false">IFERROR(Tabelle1!M180/AI179,"")</f>
        <v>1.04063029214671</v>
      </c>
      <c r="AK179" s="24" t="n">
        <f aca="false">IFERROR(AVERAGEIFS($AJ$7:$AJ$294,$B$7:$B$294,$B179,$A$7:$A$294,"&gt;="&amp;EDATE($A179,-12*'Seasonal Factors'!$E$4),$A$7:$A$294,"&lt;="&amp;EDATE($A179,12*'Seasonal Factors'!$E$4)),"")</f>
        <v>1.05806624187886</v>
      </c>
      <c r="AL179" s="24" t="n">
        <f aca="false">IFERROR(AK179/AVERAGE(AK174:AK185),"")</f>
        <v>1.05855646870475</v>
      </c>
      <c r="AM179" s="23" t="n">
        <f aca="false">IF(ISNUMBER(Tabelle1!N186),(0.5*Tabelle1!N174+SUM(Tabelle1!N175:N185)+0.5*Tabelle1!N186)/12,"")</f>
        <v>191.289095</v>
      </c>
      <c r="AN179" s="24" t="n">
        <f aca="false">IFERROR(Tabelle1!N180/AM179,"")</f>
        <v>1.02181094013749</v>
      </c>
      <c r="AO179" s="24" t="n">
        <f aca="false">IFERROR(AVERAGEIFS($AN$7:$AN$294,$B$7:$B$294,$B179,$A$7:$A$294,"&gt;="&amp;EDATE($A179,-12*'Seasonal Factors'!$E$4),$A$7:$A$294,"&lt;="&amp;EDATE($A179,12*'Seasonal Factors'!$E$4)),"")</f>
        <v>0.96660570869642</v>
      </c>
      <c r="AP179" s="24" t="n">
        <f aca="false">IFERROR(AO179/AVERAGE(AO174:AO185),"")</f>
        <v>0.96685245143172</v>
      </c>
      <c r="AQ179" s="23" t="n">
        <f aca="false">IF(ISNUMBER(Tabelle1!O186),(0.5*Tabelle1!O174+SUM(Tabelle1!O175:O185)+0.5*Tabelle1!O186)/12,"")</f>
        <v>142.309487916667</v>
      </c>
      <c r="AR179" s="24" t="n">
        <f aca="false">IFERROR(Tabelle1!O180/AQ179,"")</f>
        <v>1.02337638995147</v>
      </c>
      <c r="AS179" s="24" t="n">
        <f aca="false">IFERROR(AVERAGEIFS($AR$7:$AR$294,$B$7:$B$294,$B179,$A$7:$A$294,"&gt;="&amp;EDATE($A179,-12*'Seasonal Factors'!$E$4),$A$7:$A$294,"&lt;="&amp;EDATE($A179,12*'Seasonal Factors'!$E$4)),"")</f>
        <v>0.998412958570773</v>
      </c>
      <c r="AT179" s="24" t="n">
        <f aca="false">IFERROR(AS179/AVERAGE(AS174:AS185),"")</f>
        <v>0.998764173557907</v>
      </c>
      <c r="AU179" s="23" t="n">
        <f aca="false">IF(ISNUMBER(Tabelle1!P186),(0.5*Tabelle1!P174+SUM(Tabelle1!P175:P185)+0.5*Tabelle1!P186)/12,"")</f>
        <v>154.227396666667</v>
      </c>
      <c r="AV179" s="24" t="n">
        <f aca="false">IFERROR(Tabelle1!P180/AU179,"")</f>
        <v>0.99722288856634</v>
      </c>
      <c r="AW179" s="24" t="n">
        <f aca="false">IFERROR(AVERAGEIFS($AV$7:$AV$294,$B$7:$B$294,$B179,$A$7:$A$294,"&gt;="&amp;EDATE($A179,-12*'Seasonal Factors'!$E$4),$A$7:$A$294,"&lt;="&amp;EDATE($A179,12*'Seasonal Factors'!$E$4)),"")</f>
        <v>0.989092934542063</v>
      </c>
      <c r="AX179" s="24" t="n">
        <f aca="false">IFERROR(AW179/AVERAGE(AW174:AW185),"")</f>
        <v>0.989193205862835</v>
      </c>
      <c r="AY179" s="23" t="n">
        <f aca="false">IF(ISNUMBER(Tabelle1!Q186),(0.5*Tabelle1!Q174+SUM(Tabelle1!Q175:Q185)+0.5*Tabelle1!Q186)/12,"")</f>
        <v>160.8362675</v>
      </c>
      <c r="AZ179" s="24" t="n">
        <f aca="false">IFERROR(Tabelle1!Q180/AY179,"")</f>
        <v>0.999050354112452</v>
      </c>
      <c r="BA179" s="24" t="n">
        <f aca="false">IFERROR(AVERAGEIFS($AZ$7:$AZ$294,$B$7:$B$294,$B179,$A$7:$A$294,"&gt;="&amp;EDATE($A179,-12*'Seasonal Factors'!$E$4),$A$7:$A$294,"&lt;="&amp;EDATE($A179,12*'Seasonal Factors'!$E$4)),"")</f>
        <v>0.99320584306108</v>
      </c>
      <c r="BB179" s="24" t="n">
        <f aca="false">IFERROR(BA179/AVERAGE(BA174:BA185),"")</f>
        <v>0.993243876304385</v>
      </c>
      <c r="BC179" s="23" t="n">
        <f aca="false">IF(ISNUMBER(Tabelle1!R186),(0.5*Tabelle1!R174+SUM(Tabelle1!R175:R185)+0.5*Tabelle1!R186)/12,"")</f>
        <v>180.525261666667</v>
      </c>
      <c r="BD179" s="24" t="n">
        <f aca="false">IFERROR(Tabelle1!R180/BC179,"")</f>
        <v>1.06901022171809</v>
      </c>
      <c r="BE179" s="24" t="n">
        <f aca="false">IFERROR(AVERAGEIFS($BD$7:$BD$294,$B$7:$B$294,$B179,$A$7:$A$294,"&gt;="&amp;EDATE($A179,-12*'Seasonal Factors'!$E$4),$A$7:$A$294,"&lt;="&amp;EDATE($A179,12*'Seasonal Factors'!$E$4)),"")</f>
        <v>1.05222994871489</v>
      </c>
      <c r="BF179" s="24" t="n">
        <f aca="false">IFERROR(BE179/AVERAGE(BE174:BE185),"")</f>
        <v>1.05245307170252</v>
      </c>
      <c r="BG179" s="23" t="n">
        <f aca="false">IF(ISNUMBER(Tabelle1!S186),(0.5*Tabelle1!S174+SUM(Tabelle1!S175:S185)+0.5*Tabelle1!S186)/12,"")</f>
        <v>151.474771666667</v>
      </c>
      <c r="BH179" s="24" t="n">
        <f aca="false">IFERROR(Tabelle1!S180/BG179,"")</f>
        <v>1.00778366140025</v>
      </c>
      <c r="BI179" s="24" t="n">
        <f aca="false">IFERROR(AVERAGEIFS($BH$7:$BH$294,$B$7:$B$294,$B179,$A$7:$A$294,"&gt;="&amp;EDATE($A179,-12*'Seasonal Factors'!$E$4),$A$7:$A$294,"&lt;="&amp;EDATE($A179,12*'Seasonal Factors'!$E$4)),"")</f>
        <v>0.915612806353181</v>
      </c>
      <c r="BJ179" s="24" t="n">
        <f aca="false">IFERROR(BI179/AVERAGE(BI174:BI185),"")</f>
        <v>0.919777351192984</v>
      </c>
    </row>
    <row r="180" customFormat="false" ht="15" hidden="false" customHeight="false" outlineLevel="0" collapsed="false">
      <c r="A180" s="20" t="n">
        <v>43281</v>
      </c>
      <c r="B180" s="22" t="n">
        <f aca="false">MONTH(A180)</f>
        <v>6</v>
      </c>
      <c r="C180" s="23" t="n">
        <f aca="false">IF(ISNUMBER(Tabelle1!E187),(0.5*Tabelle1!E175+SUM(Tabelle1!E176:E186)+0.5*Tabelle1!E187)/12,"")</f>
        <v>111.547701666667</v>
      </c>
      <c r="D180" s="24" t="n">
        <f aca="false">IFERROR(Tabelle1!E181/C180,"")</f>
        <v>1.34428157424609</v>
      </c>
      <c r="E180" s="24" t="n">
        <f aca="false">IFERROR(AVERAGEIFS($D$7:$D$294,$B$7:$B$294,$B180,$A$7:$A$294,"&gt;="&amp;EDATE($A180,-12*'Seasonal Factors'!$E$4),$A$7:$A$294,"&lt;="&amp;EDATE($A180,12*'Seasonal Factors'!$E$4)),"")</f>
        <v>1.61419321955374</v>
      </c>
      <c r="F180" s="24" t="n">
        <f aca="false">IFERROR(E180/AVERAGE(E175:E186),"")</f>
        <v>1.61064330253152</v>
      </c>
      <c r="G180" s="23" t="n">
        <f aca="false">IF(ISNUMBER(Tabelle1!F187),(0.5*Tabelle1!F175+SUM(Tabelle1!F176:F186)+0.5*Tabelle1!F187)/12,"")</f>
        <v>186.99801</v>
      </c>
      <c r="H180" s="24" t="n">
        <f aca="false">IFERROR(Tabelle1!F181/G180,"")</f>
        <v>1.05529673818454</v>
      </c>
      <c r="I180" s="24" t="n">
        <f aca="false">IFERROR(AVERAGEIFS($H$7:$H$294,$B$7:$B$294,$B180,$A$7:$A$294,"&gt;="&amp;EDATE($A180,-12*'Seasonal Factors'!$E$4),$A$7:$A$294,"&lt;="&amp;EDATE($A180,12*'Seasonal Factors'!$E$4)),"")</f>
        <v>1.15343119082044</v>
      </c>
      <c r="J180" s="24" t="n">
        <f aca="false">IFERROR(I180/AVERAGE(I175:I186),"")</f>
        <v>1.15919040863838</v>
      </c>
      <c r="K180" s="23" t="n">
        <f aca="false">IF(ISNUMBER(Tabelle1!G187),(0.5*Tabelle1!G175+SUM(Tabelle1!G176:G186)+0.5*Tabelle1!G187)/12,"")</f>
        <v>87.473775</v>
      </c>
      <c r="L180" s="24" t="n">
        <f aca="false">IFERROR(Tabelle1!G181/K180,"")</f>
        <v>0.995468184607329</v>
      </c>
      <c r="M180" s="24" t="n">
        <f aca="false">IFERROR(AVERAGEIFS($L$7:$L$294,$B$7:$B$294,$B180,$A$7:$A$294,"&gt;="&amp;EDATE($A180,-12*'Seasonal Factors'!$E$4),$A$7:$A$294,"&lt;="&amp;EDATE($A180,12*'Seasonal Factors'!$E$4)),"")</f>
        <v>0.984308142823875</v>
      </c>
      <c r="N180" s="24" t="n">
        <f aca="false">IFERROR(M180/AVERAGE(M175:M186),"")</f>
        <v>0.984877539855141</v>
      </c>
      <c r="O180" s="23" t="n">
        <f aca="false">IF(ISNUMBER(Tabelle1!H187),(0.5*Tabelle1!H175+SUM(Tabelle1!H176:H186)+0.5*Tabelle1!H187)/12,"")</f>
        <v>126.511235</v>
      </c>
      <c r="P180" s="24" t="n">
        <f aca="false">IFERROR(Tabelle1!H181/O180,"")</f>
        <v>1.03361823951841</v>
      </c>
      <c r="Q180" s="24" t="n">
        <f aca="false">IFERROR(AVERAGEIFS($P$7:$P$294,$B$7:$B$294,$B180,$A$7:$A$294,"&gt;="&amp;EDATE($A180,-12*'Seasonal Factors'!$E$4),$A$7:$A$294,"&lt;="&amp;EDATE($A180,12*'Seasonal Factors'!$E$4)),"")</f>
        <v>1.03823287385434</v>
      </c>
      <c r="R180" s="24" t="n">
        <f aca="false">IFERROR(Q180/AVERAGE(Q175:Q186),"")</f>
        <v>1.03910971144103</v>
      </c>
      <c r="S180" s="23" t="n">
        <f aca="false">IF(ISNUMBER(Tabelle1!I187),(0.5*Tabelle1!I175+SUM(Tabelle1!I176:I186)+0.5*Tabelle1!I187)/12,"")</f>
        <v>143.978529166667</v>
      </c>
      <c r="T180" s="24" t="n">
        <f aca="false">IFERROR(Tabelle1!I181/S180,"")</f>
        <v>1.08804250818995</v>
      </c>
      <c r="U180" s="24" t="n">
        <f aca="false">IFERROR(AVERAGEIFS($T$7:$T$294,$B$7:$B$294,$B180,$A$7:$A$294,"&gt;="&amp;EDATE($A180,-12*'Seasonal Factors'!$E$4),$A$7:$A$294,"&lt;="&amp;EDATE($A180,12*'Seasonal Factors'!$E$4)),"")</f>
        <v>1.04671704254726</v>
      </c>
      <c r="V180" s="24" t="n">
        <f aca="false">IFERROR(U180/AVERAGE(U175:U186),"")</f>
        <v>1.04740290863658</v>
      </c>
      <c r="W180" s="23" t="n">
        <f aca="false">IF(ISNUMBER(Tabelle1!J187),(0.5*Tabelle1!J175+SUM(Tabelle1!J176:J186)+0.5*Tabelle1!J187)/12,"")</f>
        <v>149.037237916667</v>
      </c>
      <c r="X180" s="24" t="n">
        <f aca="false">IFERROR(Tabelle1!J181/W180,"")</f>
        <v>0.997019752090984</v>
      </c>
      <c r="Y180" s="24" t="n">
        <f aca="false">IFERROR(AVERAGEIFS($X$7:$X$294,$B$7:$B$294,$B180,$A$7:$A$294,"&gt;="&amp;EDATE($A180,-12*'Seasonal Factors'!$E$4),$A$7:$A$294,"&lt;="&amp;EDATE($A180,12*'Seasonal Factors'!$E$4)),"")</f>
        <v>0.975404361489537</v>
      </c>
      <c r="Z180" s="24" t="n">
        <f aca="false">IFERROR(Y180/AVERAGE(Y175:Y186),"")</f>
        <v>0.977240948551284</v>
      </c>
      <c r="AA180" s="23" t="n">
        <f aca="false">IF(ISNUMBER(Tabelle1!K187),(0.5*Tabelle1!K175+SUM(Tabelle1!K176:K186)+0.5*Tabelle1!K187)/12,"")</f>
        <v>152.300720416667</v>
      </c>
      <c r="AB180" s="24" t="n">
        <f aca="false">IFERROR(Tabelle1!K181/AA180,"")</f>
        <v>1.02207395719558</v>
      </c>
      <c r="AC180" s="24" t="n">
        <f aca="false">IFERROR(AVERAGEIFS($AB$7:$AB$294,$B$7:$B$294,$B180,$A$7:$A$294,"&gt;="&amp;EDATE($A180,-12*'Seasonal Factors'!$E$4),$A$7:$A$294,"&lt;="&amp;EDATE($A180,12*'Seasonal Factors'!$E$4)),"")</f>
        <v>1.03778821666891</v>
      </c>
      <c r="AD180" s="24" t="n">
        <f aca="false">IFERROR(AC180/AVERAGE(AC175:AC186),"")</f>
        <v>1.03911275240936</v>
      </c>
      <c r="AE180" s="23" t="n">
        <f aca="false">IF(ISNUMBER(Tabelle1!L187),(0.5*Tabelle1!L175+SUM(Tabelle1!L176:L186)+0.5*Tabelle1!L187)/12,"")</f>
        <v>165.56281</v>
      </c>
      <c r="AF180" s="24" t="n">
        <f aca="false">IFERROR(Tabelle1!L181/AE180,"")</f>
        <v>0.904332198758888</v>
      </c>
      <c r="AG180" s="24" t="n">
        <f aca="false">IFERROR(AVERAGEIFS($AF$7:$AF$294,$B$7:$B$294,$B180,$A$7:$A$294,"&gt;="&amp;EDATE($A180,-12*'Seasonal Factors'!$E$4),$A$7:$A$294,"&lt;="&amp;EDATE($A180,12*'Seasonal Factors'!$E$4)),"")</f>
        <v>0.909049349863903</v>
      </c>
      <c r="AH180" s="24" t="n">
        <f aca="false">IFERROR(AG180/AVERAGE(AG175:AG186),"")</f>
        <v>0.91484786842635</v>
      </c>
      <c r="AI180" s="23" t="n">
        <f aca="false">IF(ISNUMBER(Tabelle1!M187),(0.5*Tabelle1!M175+SUM(Tabelle1!M176:M186)+0.5*Tabelle1!M187)/12,"")</f>
        <v>192.18409375</v>
      </c>
      <c r="AJ180" s="24" t="n">
        <f aca="false">IFERROR(Tabelle1!M181/AI180,"")</f>
        <v>1.00203329132175</v>
      </c>
      <c r="AK180" s="24" t="n">
        <f aca="false">IFERROR(AVERAGEIFS($AJ$7:$AJ$294,$B$7:$B$294,$B180,$A$7:$A$294,"&gt;="&amp;EDATE($A180,-12*'Seasonal Factors'!$E$4),$A$7:$A$294,"&lt;="&amp;EDATE($A180,12*'Seasonal Factors'!$E$4)),"")</f>
        <v>1.0286996803777</v>
      </c>
      <c r="AL180" s="24" t="n">
        <f aca="false">IFERROR(AK180/AVERAGE(AK175:AK186),"")</f>
        <v>1.02908348701811</v>
      </c>
      <c r="AM180" s="23" t="n">
        <f aca="false">IF(ISNUMBER(Tabelle1!N187),(0.5*Tabelle1!N175+SUM(Tabelle1!N176:N186)+0.5*Tabelle1!N187)/12,"")</f>
        <v>190.43152125</v>
      </c>
      <c r="AN180" s="24" t="n">
        <f aca="false">IFERROR(Tabelle1!N181/AM180,"")</f>
        <v>1.00014613520817</v>
      </c>
      <c r="AO180" s="24" t="n">
        <f aca="false">IFERROR(AVERAGEIFS($AN$7:$AN$294,$B$7:$B$294,$B180,$A$7:$A$294,"&gt;="&amp;EDATE($A180,-12*'Seasonal Factors'!$E$4),$A$7:$A$294,"&lt;="&amp;EDATE($A180,12*'Seasonal Factors'!$E$4)),"")</f>
        <v>0.993305725516879</v>
      </c>
      <c r="AP180" s="24" t="n">
        <f aca="false">IFERROR(AO180/AVERAGE(AO175:AO186),"")</f>
        <v>0.993596963982283</v>
      </c>
      <c r="AQ180" s="23" t="n">
        <f aca="false">IF(ISNUMBER(Tabelle1!O187),(0.5*Tabelle1!O175+SUM(Tabelle1!O176:O186)+0.5*Tabelle1!O187)/12,"")</f>
        <v>142.019625833333</v>
      </c>
      <c r="AR180" s="24" t="n">
        <f aca="false">IFERROR(Tabelle1!O181/AQ180,"")</f>
        <v>1.02498911080664</v>
      </c>
      <c r="AS180" s="24" t="n">
        <f aca="false">IFERROR(AVERAGEIFS($AR$7:$AR$294,$B$7:$B$294,$B180,$A$7:$A$294,"&gt;="&amp;EDATE($A180,-12*'Seasonal Factors'!$E$4),$A$7:$A$294,"&lt;="&amp;EDATE($A180,12*'Seasonal Factors'!$E$4)),"")</f>
        <v>1.0142333596034</v>
      </c>
      <c r="AT180" s="24" t="n">
        <f aca="false">IFERROR(AS180/AVERAGE(AS175:AS186),"")</f>
        <v>1.01492808597771</v>
      </c>
      <c r="AU180" s="23" t="n">
        <f aca="false">IF(ISNUMBER(Tabelle1!P187),(0.5*Tabelle1!P175+SUM(Tabelle1!P176:P186)+0.5*Tabelle1!P187)/12,"")</f>
        <v>154.184284583333</v>
      </c>
      <c r="AV180" s="24" t="n">
        <f aca="false">IFERROR(Tabelle1!P181/AU180,"")</f>
        <v>1.00285395763813</v>
      </c>
      <c r="AW180" s="24" t="n">
        <f aca="false">IFERROR(AVERAGEIFS($AV$7:$AV$294,$B$7:$B$294,$B180,$A$7:$A$294,"&gt;="&amp;EDATE($A180,-12*'Seasonal Factors'!$E$4),$A$7:$A$294,"&lt;="&amp;EDATE($A180,12*'Seasonal Factors'!$E$4)),"")</f>
        <v>0.995152580553641</v>
      </c>
      <c r="AX180" s="24" t="n">
        <f aca="false">IFERROR(AW180/AVERAGE(AW175:AW186),"")</f>
        <v>0.995361104914929</v>
      </c>
      <c r="AY180" s="23" t="n">
        <f aca="false">IF(ISNUMBER(Tabelle1!Q187),(0.5*Tabelle1!Q175+SUM(Tabelle1!Q176:Q186)+0.5*Tabelle1!Q187)/12,"")</f>
        <v>161.005800833333</v>
      </c>
      <c r="AZ180" s="24" t="n">
        <f aca="false">IFERROR(Tabelle1!Q181/AY180,"")</f>
        <v>1.00705998889968</v>
      </c>
      <c r="BA180" s="24" t="n">
        <f aca="false">IFERROR(AVERAGEIFS($AZ$7:$AZ$294,$B$7:$B$294,$B180,$A$7:$A$294,"&gt;="&amp;EDATE($A180,-12*'Seasonal Factors'!$E$4),$A$7:$A$294,"&lt;="&amp;EDATE($A180,12*'Seasonal Factors'!$E$4)),"")</f>
        <v>1.001227979696</v>
      </c>
      <c r="BB180" s="24" t="n">
        <f aca="false">IFERROR(BA180/AVERAGE(BA175:BA186),"")</f>
        <v>1.00129471070282</v>
      </c>
      <c r="BC180" s="23" t="n">
        <f aca="false">IF(ISNUMBER(Tabelle1!R187),(0.5*Tabelle1!R175+SUM(Tabelle1!R176:R186)+0.5*Tabelle1!R187)/12,"")</f>
        <v>180.652825416667</v>
      </c>
      <c r="BD180" s="24" t="n">
        <f aca="false">IFERROR(Tabelle1!R181/BC180,"")</f>
        <v>1.10021882880368</v>
      </c>
      <c r="BE180" s="24" t="n">
        <f aca="false">IFERROR(AVERAGEIFS($BD$7:$BD$294,$B$7:$B$294,$B180,$A$7:$A$294,"&gt;="&amp;EDATE($A180,-12*'Seasonal Factors'!$E$4),$A$7:$A$294,"&lt;="&amp;EDATE($A180,12*'Seasonal Factors'!$E$4)),"")</f>
        <v>1.08550826247109</v>
      </c>
      <c r="BF180" s="24" t="n">
        <f aca="false">IFERROR(BE180/AVERAGE(BE175:BE186),"")</f>
        <v>1.08581318931614</v>
      </c>
      <c r="BG180" s="23" t="n">
        <f aca="false">IF(ISNUMBER(Tabelle1!S187),(0.5*Tabelle1!S175+SUM(Tabelle1!S176:S186)+0.5*Tabelle1!S187)/12,"")</f>
        <v>150.801738333333</v>
      </c>
      <c r="BH180" s="24" t="n">
        <f aca="false">IFERROR(Tabelle1!S181/BG180,"")</f>
        <v>1.02045886009515</v>
      </c>
      <c r="BI180" s="24" t="n">
        <f aca="false">IFERROR(AVERAGEIFS($BH$7:$BH$294,$B$7:$B$294,$B180,$A$7:$A$294,"&gt;="&amp;EDATE($A180,-12*'Seasonal Factors'!$E$4),$A$7:$A$294,"&lt;="&amp;EDATE($A180,12*'Seasonal Factors'!$E$4)),"")</f>
        <v>0.953629489736115</v>
      </c>
      <c r="BJ180" s="24" t="n">
        <f aca="false">IFERROR(BI180/AVERAGE(BI175:BI186),"")</f>
        <v>0.957917132951742</v>
      </c>
    </row>
    <row r="181" customFormat="false" ht="15" hidden="false" customHeight="false" outlineLevel="0" collapsed="false">
      <c r="A181" s="20" t="n">
        <v>43312</v>
      </c>
      <c r="B181" s="22" t="n">
        <f aca="false">MONTH(A181)</f>
        <v>7</v>
      </c>
      <c r="C181" s="23" t="n">
        <f aca="false">IF(ISNUMBER(Tabelle1!E188),(0.5*Tabelle1!E176+SUM(Tabelle1!E177:E187)+0.5*Tabelle1!E188)/12,"")</f>
        <v>111.958886666667</v>
      </c>
      <c r="D181" s="24" t="n">
        <f aca="false">IFERROR(Tabelle1!E182/C181,"")</f>
        <v>0.944301369437221</v>
      </c>
      <c r="E181" s="24" t="n">
        <f aca="false">IFERROR(AVERAGEIFS($D$7:$D$294,$B$7:$B$294,$B181,$A$7:$A$294,"&gt;="&amp;EDATE($A181,-12*'Seasonal Factors'!$E$4),$A$7:$A$294,"&lt;="&amp;EDATE($A181,12*'Seasonal Factors'!$E$4)),"")</f>
        <v>0.889081523174192</v>
      </c>
      <c r="F181" s="24" t="n">
        <f aca="false">IFERROR(E181/AVERAGE(E176:E187),"")</f>
        <v>0.884288900671507</v>
      </c>
      <c r="G181" s="23" t="n">
        <f aca="false">IF(ISNUMBER(Tabelle1!F188),(0.5*Tabelle1!F176+SUM(Tabelle1!F177:F187)+0.5*Tabelle1!F188)/12,"")</f>
        <v>187.851905833333</v>
      </c>
      <c r="H181" s="24" t="n">
        <f aca="false">IFERROR(Tabelle1!F182/G181,"")</f>
        <v>1.41464271454224</v>
      </c>
      <c r="I181" s="24" t="n">
        <f aca="false">IFERROR(AVERAGEIFS($H$7:$H$294,$B$7:$B$294,$B181,$A$7:$A$294,"&gt;="&amp;EDATE($A181,-12*'Seasonal Factors'!$E$4),$A$7:$A$294,"&lt;="&amp;EDATE($A181,12*'Seasonal Factors'!$E$4)),"")</f>
        <v>1.35879807534509</v>
      </c>
      <c r="J181" s="24" t="n">
        <f aca="false">IFERROR(I181/AVERAGE(I176:I187),"")</f>
        <v>1.35544905700904</v>
      </c>
      <c r="K181" s="23" t="n">
        <f aca="false">IF(ISNUMBER(Tabelle1!G188),(0.5*Tabelle1!G176+SUM(Tabelle1!G177:G187)+0.5*Tabelle1!G188)/12,"")</f>
        <v>87.43299</v>
      </c>
      <c r="L181" s="24" t="n">
        <f aca="false">IFERROR(Tabelle1!G182/K181,"")</f>
        <v>1.01633879843295</v>
      </c>
      <c r="M181" s="24" t="n">
        <f aca="false">IFERROR(AVERAGEIFS($L$7:$L$294,$B$7:$B$294,$B181,$A$7:$A$294,"&gt;="&amp;EDATE($A181,-12*'Seasonal Factors'!$E$4),$A$7:$A$294,"&lt;="&amp;EDATE($A181,12*'Seasonal Factors'!$E$4)),"")</f>
        <v>1.01686563983989</v>
      </c>
      <c r="N181" s="24" t="n">
        <f aca="false">IFERROR(M181/AVERAGE(M176:M187),"")</f>
        <v>1.01723266677945</v>
      </c>
      <c r="O181" s="23" t="n">
        <f aca="false">IF(ISNUMBER(Tabelle1!H188),(0.5*Tabelle1!H176+SUM(Tabelle1!H177:H187)+0.5*Tabelle1!H188)/12,"")</f>
        <v>125.17347</v>
      </c>
      <c r="P181" s="24" t="n">
        <f aca="false">IFERROR(Tabelle1!H182/O181,"")</f>
        <v>1.01215696904464</v>
      </c>
      <c r="Q181" s="24" t="n">
        <f aca="false">IFERROR(AVERAGEIFS($P$7:$P$294,$B$7:$B$294,$B181,$A$7:$A$294,"&gt;="&amp;EDATE($A181,-12*'Seasonal Factors'!$E$4),$A$7:$A$294,"&lt;="&amp;EDATE($A181,12*'Seasonal Factors'!$E$4)),"")</f>
        <v>1.02852539256438</v>
      </c>
      <c r="R181" s="24" t="n">
        <f aca="false">IFERROR(Q181/AVERAGE(Q176:Q187),"")</f>
        <v>1.0296822915264</v>
      </c>
      <c r="S181" s="23" t="n">
        <f aca="false">IF(ISNUMBER(Tabelle1!I188),(0.5*Tabelle1!I176+SUM(Tabelle1!I177:I187)+0.5*Tabelle1!I188)/12,"")</f>
        <v>143.13634875</v>
      </c>
      <c r="T181" s="24" t="n">
        <f aca="false">IFERROR(Tabelle1!I182/S181,"")</f>
        <v>1.08956467984517</v>
      </c>
      <c r="U181" s="24" t="n">
        <f aca="false">IFERROR(AVERAGEIFS($T$7:$T$294,$B$7:$B$294,$B181,$A$7:$A$294,"&gt;="&amp;EDATE($A181,-12*'Seasonal Factors'!$E$4),$A$7:$A$294,"&lt;="&amp;EDATE($A181,12*'Seasonal Factors'!$E$4)),"")</f>
        <v>1.08148550707976</v>
      </c>
      <c r="V181" s="24" t="n">
        <f aca="false">IFERROR(U181/AVERAGE(U176:U187),"")</f>
        <v>1.08204385798776</v>
      </c>
      <c r="W181" s="23" t="n">
        <f aca="false">IF(ISNUMBER(Tabelle1!J188),(0.5*Tabelle1!J176+SUM(Tabelle1!J177:J187)+0.5*Tabelle1!J188)/12,"")</f>
        <v>147.748425</v>
      </c>
      <c r="X181" s="24" t="n">
        <f aca="false">IFERROR(Tabelle1!J182/W181,"")</f>
        <v>0.998107560199034</v>
      </c>
      <c r="Y181" s="24" t="n">
        <f aca="false">IFERROR(AVERAGEIFS($X$7:$X$294,$B$7:$B$294,$B181,$A$7:$A$294,"&gt;="&amp;EDATE($A181,-12*'Seasonal Factors'!$E$4),$A$7:$A$294,"&lt;="&amp;EDATE($A181,12*'Seasonal Factors'!$E$4)),"")</f>
        <v>1.00728718761921</v>
      </c>
      <c r="Z181" s="24" t="n">
        <f aca="false">IFERROR(Y181/AVERAGE(Y176:Y187),"")</f>
        <v>1.00912768499085</v>
      </c>
      <c r="AA181" s="23" t="n">
        <f aca="false">IF(ISNUMBER(Tabelle1!K188),(0.5*Tabelle1!K176+SUM(Tabelle1!K177:K187)+0.5*Tabelle1!K188)/12,"")</f>
        <v>150.8832275</v>
      </c>
      <c r="AB181" s="24" t="n">
        <f aca="false">IFERROR(Tabelle1!K182/AA181,"")</f>
        <v>0.988722686224352</v>
      </c>
      <c r="AC181" s="24" t="n">
        <f aca="false">IFERROR(AVERAGEIFS($AB$7:$AB$294,$B$7:$B$294,$B181,$A$7:$A$294,"&gt;="&amp;EDATE($A181,-12*'Seasonal Factors'!$E$4),$A$7:$A$294,"&lt;="&amp;EDATE($A181,12*'Seasonal Factors'!$E$4)),"")</f>
        <v>1.01004818792462</v>
      </c>
      <c r="AD181" s="24" t="n">
        <f aca="false">IFERROR(AC181/AVERAGE(AC176:AC187),"")</f>
        <v>1.01141617667327</v>
      </c>
      <c r="AE181" s="23" t="n">
        <f aca="false">IF(ISNUMBER(Tabelle1!L188),(0.5*Tabelle1!L176+SUM(Tabelle1!L177:L187)+0.5*Tabelle1!L188)/12,"")</f>
        <v>165.277950416667</v>
      </c>
      <c r="AF181" s="24" t="n">
        <f aca="false">IFERROR(Tabelle1!L182/AE181,"")</f>
        <v>1.01618061923319</v>
      </c>
      <c r="AG181" s="24" t="n">
        <f aca="false">IFERROR(AVERAGEIFS($AF$7:$AF$294,$B$7:$B$294,$B181,$A$7:$A$294,"&gt;="&amp;EDATE($A181,-12*'Seasonal Factors'!$E$4),$A$7:$A$294,"&lt;="&amp;EDATE($A181,12*'Seasonal Factors'!$E$4)),"")</f>
        <v>0.974918029115863</v>
      </c>
      <c r="AH181" s="24" t="n">
        <f aca="false">IFERROR(AG181/AVERAGE(AG176:AG187),"")</f>
        <v>0.979712522817588</v>
      </c>
      <c r="AI181" s="23" t="n">
        <f aca="false">IF(ISNUMBER(Tabelle1!M188),(0.5*Tabelle1!M176+SUM(Tabelle1!M177:M187)+0.5*Tabelle1!M188)/12,"")</f>
        <v>191.34848375</v>
      </c>
      <c r="AJ181" s="24" t="n">
        <f aca="false">IFERROR(Tabelle1!M182/AI181,"")</f>
        <v>1.01399256580208</v>
      </c>
      <c r="AK181" s="24" t="n">
        <f aca="false">IFERROR(AVERAGEIFS($AJ$7:$AJ$294,$B$7:$B$294,$B181,$A$7:$A$294,"&gt;="&amp;EDATE($A181,-12*'Seasonal Factors'!$E$4),$A$7:$A$294,"&lt;="&amp;EDATE($A181,12*'Seasonal Factors'!$E$4)),"")</f>
        <v>1.00901292627326</v>
      </c>
      <c r="AL181" s="24" t="n">
        <f aca="false">IFERROR(AK181/AVERAGE(AK176:AK187),"")</f>
        <v>1.00926872733042</v>
      </c>
      <c r="AM181" s="23" t="n">
        <f aca="false">IF(ISNUMBER(Tabelle1!N188),(0.5*Tabelle1!N176+SUM(Tabelle1!N177:N187)+0.5*Tabelle1!N188)/12,"")</f>
        <v>189.50773</v>
      </c>
      <c r="AN181" s="24" t="n">
        <f aca="false">IFERROR(Tabelle1!N182/AM181,"")</f>
        <v>1.02500742318005</v>
      </c>
      <c r="AO181" s="24" t="n">
        <f aca="false">IFERROR(AVERAGEIFS($AN$7:$AN$294,$B$7:$B$294,$B181,$A$7:$A$294,"&gt;="&amp;EDATE($A181,-12*'Seasonal Factors'!$E$4),$A$7:$A$294,"&lt;="&amp;EDATE($A181,12*'Seasonal Factors'!$E$4)),"")</f>
        <v>0.995142863061096</v>
      </c>
      <c r="AP181" s="24" t="n">
        <f aca="false">IFERROR(AO181/AVERAGE(AO176:AO187),"")</f>
        <v>0.995842185255865</v>
      </c>
      <c r="AQ181" s="23" t="n">
        <f aca="false">IF(ISNUMBER(Tabelle1!O188),(0.5*Tabelle1!O176+SUM(Tabelle1!O177:O187)+0.5*Tabelle1!O188)/12,"")</f>
        <v>141.759430833333</v>
      </c>
      <c r="AR181" s="24" t="n">
        <f aca="false">IFERROR(Tabelle1!O182/AQ181,"")</f>
        <v>1.00616007810932</v>
      </c>
      <c r="AS181" s="24" t="n">
        <f aca="false">IFERROR(AVERAGEIFS($AR$7:$AR$294,$B$7:$B$294,$B181,$A$7:$A$294,"&gt;="&amp;EDATE($A181,-12*'Seasonal Factors'!$E$4),$A$7:$A$294,"&lt;="&amp;EDATE($A181,12*'Seasonal Factors'!$E$4)),"")</f>
        <v>1.0071287155046</v>
      </c>
      <c r="AT181" s="24" t="n">
        <f aca="false">IFERROR(AS181/AVERAGE(AS176:AS187),"")</f>
        <v>1.00762659831875</v>
      </c>
      <c r="AU181" s="23" t="n">
        <f aca="false">IF(ISNUMBER(Tabelle1!P188),(0.5*Tabelle1!P176+SUM(Tabelle1!P177:P187)+0.5*Tabelle1!P188)/12,"")</f>
        <v>154.114929166667</v>
      </c>
      <c r="AV181" s="24" t="n">
        <f aca="false">IFERROR(Tabelle1!P182/AU181,"")</f>
        <v>0.998821015149868</v>
      </c>
      <c r="AW181" s="24" t="n">
        <f aca="false">IFERROR(AVERAGEIFS($AV$7:$AV$294,$B$7:$B$294,$B181,$A$7:$A$294,"&gt;="&amp;EDATE($A181,-12*'Seasonal Factors'!$E$4),$A$7:$A$294,"&lt;="&amp;EDATE($A181,12*'Seasonal Factors'!$E$4)),"")</f>
        <v>0.997424228624348</v>
      </c>
      <c r="AX181" s="24" t="n">
        <f aca="false">IFERROR(AW181/AVERAGE(AW176:AW187),"")</f>
        <v>0.997596618315444</v>
      </c>
      <c r="AY181" s="23" t="n">
        <f aca="false">IF(ISNUMBER(Tabelle1!Q188),(0.5*Tabelle1!Q176+SUM(Tabelle1!Q177:Q187)+0.5*Tabelle1!Q188)/12,"")</f>
        <v>161.1200825</v>
      </c>
      <c r="AZ181" s="24" t="n">
        <f aca="false">IFERROR(Tabelle1!Q182/AY181,"")</f>
        <v>1.00914893709789</v>
      </c>
      <c r="BA181" s="24" t="n">
        <f aca="false">IFERROR(AVERAGEIFS($AZ$7:$AZ$294,$B$7:$B$294,$B181,$A$7:$A$294,"&gt;="&amp;EDATE($A181,-12*'Seasonal Factors'!$E$4),$A$7:$A$294,"&lt;="&amp;EDATE($A181,12*'Seasonal Factors'!$E$4)),"")</f>
        <v>1.00562152974033</v>
      </c>
      <c r="BB181" s="24" t="n">
        <f aca="false">IFERROR(BA181/AVERAGE(BA176:BA187),"")</f>
        <v>1.00572739709199</v>
      </c>
      <c r="BC181" s="23" t="n">
        <f aca="false">IF(ISNUMBER(Tabelle1!R188),(0.5*Tabelle1!R176+SUM(Tabelle1!R177:R187)+0.5*Tabelle1!R188)/12,"")</f>
        <v>180.702009583333</v>
      </c>
      <c r="BD181" s="24" t="n">
        <f aca="false">IFERROR(Tabelle1!R182/BC181,"")</f>
        <v>1.00328646271304</v>
      </c>
      <c r="BE181" s="24" t="n">
        <f aca="false">IFERROR(AVERAGEIFS($BD$7:$BD$294,$B$7:$B$294,$B181,$A$7:$A$294,"&gt;="&amp;EDATE($A181,-12*'Seasonal Factors'!$E$4),$A$7:$A$294,"&lt;="&amp;EDATE($A181,12*'Seasonal Factors'!$E$4)),"")</f>
        <v>1.0046328628401</v>
      </c>
      <c r="BF181" s="24" t="n">
        <f aca="false">IFERROR(BE181/AVERAGE(BE176:BE187),"")</f>
        <v>1.00488709751002</v>
      </c>
      <c r="BG181" s="23" t="n">
        <f aca="false">IF(ISNUMBER(Tabelle1!S188),(0.5*Tabelle1!S176+SUM(Tabelle1!S177:S187)+0.5*Tabelle1!S188)/12,"")</f>
        <v>150.33524125</v>
      </c>
      <c r="BH181" s="24" t="n">
        <f aca="false">IFERROR(Tabelle1!S182/BG181,"")</f>
        <v>1.14531408981924</v>
      </c>
      <c r="BI181" s="24" t="n">
        <f aca="false">IFERROR(AVERAGEIFS($BH$7:$BH$294,$B$7:$B$294,$B181,$A$7:$A$294,"&gt;="&amp;EDATE($A181,-12*'Seasonal Factors'!$E$4),$A$7:$A$294,"&lt;="&amp;EDATE($A181,12*'Seasonal Factors'!$E$4)),"")</f>
        <v>1.0593427337526</v>
      </c>
      <c r="BJ181" s="24" t="n">
        <f aca="false">IFERROR(BI181/AVERAGE(BI176:BI187),"")</f>
        <v>1.06324780806546</v>
      </c>
    </row>
    <row r="182" customFormat="false" ht="15" hidden="false" customHeight="false" outlineLevel="0" collapsed="false">
      <c r="A182" s="20" t="n">
        <v>43343</v>
      </c>
      <c r="B182" s="22" t="n">
        <f aca="false">MONTH(A182)</f>
        <v>8</v>
      </c>
      <c r="C182" s="23" t="n">
        <f aca="false">IF(ISNUMBER(Tabelle1!E189),(0.5*Tabelle1!E177+SUM(Tabelle1!E178:E188)+0.5*Tabelle1!E189)/12,"")</f>
        <v>112.263135833333</v>
      </c>
      <c r="D182" s="24" t="n">
        <f aca="false">IFERROR(Tabelle1!E183/C182,"")</f>
        <v>0.664053693553293</v>
      </c>
      <c r="E182" s="24" t="n">
        <f aca="false">IFERROR(AVERAGEIFS($D$7:$D$294,$B$7:$B$294,$B182,$A$7:$A$294,"&gt;="&amp;EDATE($A182,-12*'Seasonal Factors'!$E$4),$A$7:$A$294,"&lt;="&amp;EDATE($A182,12*'Seasonal Factors'!$E$4)),"")</f>
        <v>0.577970136568671</v>
      </c>
      <c r="F182" s="24" t="n">
        <f aca="false">IFERROR(E182/AVERAGE(E177:E188),"")</f>
        <v>0.573818765420105</v>
      </c>
      <c r="G182" s="23" t="n">
        <f aca="false">IF(ISNUMBER(Tabelle1!F189),(0.5*Tabelle1!F177+SUM(Tabelle1!F178:F188)+0.5*Tabelle1!F189)/12,"")</f>
        <v>189.06225125</v>
      </c>
      <c r="H182" s="24" t="n">
        <f aca="false">IFERROR(Tabelle1!F183/G182,"")</f>
        <v>1.54836720743851</v>
      </c>
      <c r="I182" s="24" t="n">
        <f aca="false">IFERROR(AVERAGEIFS($H$7:$H$294,$B$7:$B$294,$B182,$A$7:$A$294,"&gt;="&amp;EDATE($A182,-12*'Seasonal Factors'!$E$4),$A$7:$A$294,"&lt;="&amp;EDATE($A182,12*'Seasonal Factors'!$E$4)),"")</f>
        <v>1.56055938644159</v>
      </c>
      <c r="J182" s="24" t="n">
        <f aca="false">IFERROR(I182/AVERAGE(I177:I188),"")</f>
        <v>1.55283432163936</v>
      </c>
      <c r="K182" s="23" t="n">
        <f aca="false">IF(ISNUMBER(Tabelle1!G189),(0.5*Tabelle1!G177+SUM(Tabelle1!G178:G188)+0.5*Tabelle1!G189)/12,"")</f>
        <v>87.4176854166667</v>
      </c>
      <c r="L182" s="24" t="n">
        <f aca="false">IFERROR(Tabelle1!G183/K182,"")</f>
        <v>1.00518550200881</v>
      </c>
      <c r="M182" s="24" t="n">
        <f aca="false">IFERROR(AVERAGEIFS($L$7:$L$294,$B$7:$B$294,$B182,$A$7:$A$294,"&gt;="&amp;EDATE($A182,-12*'Seasonal Factors'!$E$4),$A$7:$A$294,"&lt;="&amp;EDATE($A182,12*'Seasonal Factors'!$E$4)),"")</f>
        <v>1.02137945473733</v>
      </c>
      <c r="N182" s="24" t="n">
        <f aca="false">IFERROR(M182/AVERAGE(M177:M188),"")</f>
        <v>1.02193294310739</v>
      </c>
      <c r="O182" s="23" t="n">
        <f aca="false">IF(ISNUMBER(Tabelle1!H189),(0.5*Tabelle1!H177+SUM(Tabelle1!H178:H188)+0.5*Tabelle1!H189)/12,"")</f>
        <v>124.293192916667</v>
      </c>
      <c r="P182" s="24" t="n">
        <f aca="false">IFERROR(Tabelle1!H183/O182,"")</f>
        <v>1.08654445855732</v>
      </c>
      <c r="Q182" s="24" t="n">
        <f aca="false">IFERROR(AVERAGEIFS($P$7:$P$294,$B$7:$B$294,$B182,$A$7:$A$294,"&gt;="&amp;EDATE($A182,-12*'Seasonal Factors'!$E$4),$A$7:$A$294,"&lt;="&amp;EDATE($A182,12*'Seasonal Factors'!$E$4)),"")</f>
        <v>1.05337309430294</v>
      </c>
      <c r="R182" s="24" t="n">
        <f aca="false">IFERROR(Q182/AVERAGE(Q177:Q188),"")</f>
        <v>1.05465032962159</v>
      </c>
      <c r="S182" s="23" t="n">
        <f aca="false">IF(ISNUMBER(Tabelle1!I189),(0.5*Tabelle1!I177+SUM(Tabelle1!I178:I188)+0.5*Tabelle1!I189)/12,"")</f>
        <v>142.508613333333</v>
      </c>
      <c r="T182" s="24" t="n">
        <f aca="false">IFERROR(Tabelle1!I183/S182,"")</f>
        <v>1.04662508820519</v>
      </c>
      <c r="U182" s="24" t="n">
        <f aca="false">IFERROR(AVERAGEIFS($T$7:$T$294,$B$7:$B$294,$B182,$A$7:$A$294,"&gt;="&amp;EDATE($A182,-12*'Seasonal Factors'!$E$4),$A$7:$A$294,"&lt;="&amp;EDATE($A182,12*'Seasonal Factors'!$E$4)),"")</f>
        <v>1.02339041066731</v>
      </c>
      <c r="V182" s="24" t="n">
        <f aca="false">IFERROR(U182/AVERAGE(U177:U188),"")</f>
        <v>1.02349967198021</v>
      </c>
      <c r="W182" s="23" t="n">
        <f aca="false">IF(ISNUMBER(Tabelle1!J189),(0.5*Tabelle1!J177+SUM(Tabelle1!J178:J188)+0.5*Tabelle1!J189)/12,"")</f>
        <v>147.00917</v>
      </c>
      <c r="X182" s="24" t="n">
        <f aca="false">IFERROR(Tabelle1!J183/W182,"")</f>
        <v>1.08748631122807</v>
      </c>
      <c r="Y182" s="24" t="n">
        <f aca="false">IFERROR(AVERAGEIFS($X$7:$X$294,$B$7:$B$294,$B182,$A$7:$A$294,"&gt;="&amp;EDATE($A182,-12*'Seasonal Factors'!$E$4),$A$7:$A$294,"&lt;="&amp;EDATE($A182,12*'Seasonal Factors'!$E$4)),"")</f>
        <v>1.06312542175348</v>
      </c>
      <c r="Z182" s="24" t="n">
        <f aca="false">IFERROR(Y182/AVERAGE(Y177:Y188),"")</f>
        <v>1.06518897398548</v>
      </c>
      <c r="AA182" s="23" t="n">
        <f aca="false">IF(ISNUMBER(Tabelle1!K189),(0.5*Tabelle1!K177+SUM(Tabelle1!K178:K188)+0.5*Tabelle1!K189)/12,"")</f>
        <v>149.525105416667</v>
      </c>
      <c r="AB182" s="24" t="n">
        <f aca="false">IFERROR(Tabelle1!K183/AA182,"")</f>
        <v>1.03933917696926</v>
      </c>
      <c r="AC182" s="24" t="n">
        <f aca="false">IFERROR(AVERAGEIFS($AB$7:$AB$294,$B$7:$B$294,$B182,$A$7:$A$294,"&gt;="&amp;EDATE($A182,-12*'Seasonal Factors'!$E$4),$A$7:$A$294,"&lt;="&amp;EDATE($A182,12*'Seasonal Factors'!$E$4)),"")</f>
        <v>1.02430995038879</v>
      </c>
      <c r="AD182" s="24" t="n">
        <f aca="false">IFERROR(AC182/AVERAGE(AC177:AC188),"")</f>
        <v>1.02563542024044</v>
      </c>
      <c r="AE182" s="23" t="n">
        <f aca="false">IF(ISNUMBER(Tabelle1!L189),(0.5*Tabelle1!L177+SUM(Tabelle1!L178:L188)+0.5*Tabelle1!L189)/12,"")</f>
        <v>164.921789583333</v>
      </c>
      <c r="AF182" s="24" t="n">
        <f aca="false">IFERROR(Tabelle1!L183/AE182,"")</f>
        <v>1.00315452808256</v>
      </c>
      <c r="AG182" s="24" t="n">
        <f aca="false">IFERROR(AVERAGEIFS($AF$7:$AF$294,$B$7:$B$294,$B182,$A$7:$A$294,"&gt;="&amp;EDATE($A182,-12*'Seasonal Factors'!$E$4),$A$7:$A$294,"&lt;="&amp;EDATE($A182,12*'Seasonal Factors'!$E$4)),"")</f>
        <v>0.993563752878549</v>
      </c>
      <c r="AH182" s="24" t="n">
        <f aca="false">IFERROR(AG182/AVERAGE(AG177:AG188),"")</f>
        <v>0.996923859170671</v>
      </c>
      <c r="AI182" s="23" t="n">
        <f aca="false">IF(ISNUMBER(Tabelle1!M189),(0.5*Tabelle1!M177+SUM(Tabelle1!M178:M188)+0.5*Tabelle1!M189)/12,"")</f>
        <v>190.58172375</v>
      </c>
      <c r="AJ182" s="24" t="n">
        <f aca="false">IFERROR(Tabelle1!M183/AI182,"")</f>
        <v>1.0040259172543</v>
      </c>
      <c r="AK182" s="24" t="n">
        <f aca="false">IFERROR(AVERAGEIFS($AJ$7:$AJ$294,$B$7:$B$294,$B182,$A$7:$A$294,"&gt;="&amp;EDATE($A182,-12*'Seasonal Factors'!$E$4),$A$7:$A$294,"&lt;="&amp;EDATE($A182,12*'Seasonal Factors'!$E$4)),"")</f>
        <v>0.995570992473287</v>
      </c>
      <c r="AL182" s="24" t="n">
        <f aca="false">IFERROR(AK182/AVERAGE(AK177:AK188),"")</f>
        <v>0.995680277741984</v>
      </c>
      <c r="AM182" s="23" t="n">
        <f aca="false">IF(ISNUMBER(Tabelle1!N189),(0.5*Tabelle1!N177+SUM(Tabelle1!N178:N188)+0.5*Tabelle1!N189)/12,"")</f>
        <v>188.157122916667</v>
      </c>
      <c r="AN182" s="24" t="n">
        <f aca="false">IFERROR(Tabelle1!N183/AM182,"")</f>
        <v>1.06305186271682</v>
      </c>
      <c r="AO182" s="24" t="n">
        <f aca="false">IFERROR(AVERAGEIFS($AN$7:$AN$294,$B$7:$B$294,$B182,$A$7:$A$294,"&gt;="&amp;EDATE($A182,-12*'Seasonal Factors'!$E$4),$A$7:$A$294,"&lt;="&amp;EDATE($A182,12*'Seasonal Factors'!$E$4)),"")</f>
        <v>1.01903824415631</v>
      </c>
      <c r="AP182" s="24" t="n">
        <f aca="false">IFERROR(AO182/AVERAGE(AO177:AO188),"")</f>
        <v>1.02014486100775</v>
      </c>
      <c r="AQ182" s="23" t="n">
        <f aca="false">IF(ISNUMBER(Tabelle1!O189),(0.5*Tabelle1!O177+SUM(Tabelle1!O178:O188)+0.5*Tabelle1!O189)/12,"")</f>
        <v>141.6185425</v>
      </c>
      <c r="AR182" s="24" t="n">
        <f aca="false">IFERROR(Tabelle1!O183/AQ182,"")</f>
        <v>1.00918430226042</v>
      </c>
      <c r="AS182" s="24" t="n">
        <f aca="false">IFERROR(AVERAGEIFS($AR$7:$AR$294,$B$7:$B$294,$B182,$A$7:$A$294,"&gt;="&amp;EDATE($A182,-12*'Seasonal Factors'!$E$4),$A$7:$A$294,"&lt;="&amp;EDATE($A182,12*'Seasonal Factors'!$E$4)),"")</f>
        <v>1.00785441352436</v>
      </c>
      <c r="AT182" s="24" t="n">
        <f aca="false">IFERROR(AS182/AVERAGE(AS177:AS188),"")</f>
        <v>1.0082781551309</v>
      </c>
      <c r="AU182" s="23" t="n">
        <f aca="false">IF(ISNUMBER(Tabelle1!P189),(0.5*Tabelle1!P177+SUM(Tabelle1!P178:P188)+0.5*Tabelle1!P189)/12,"")</f>
        <v>154.057680833333</v>
      </c>
      <c r="AV182" s="24" t="n">
        <f aca="false">IFERROR(Tabelle1!P183/AU182,"")</f>
        <v>0.994362430820486</v>
      </c>
      <c r="AW182" s="24" t="n">
        <f aca="false">IFERROR(AVERAGEIFS($AV$7:$AV$294,$B$7:$B$294,$B182,$A$7:$A$294,"&gt;="&amp;EDATE($A182,-12*'Seasonal Factors'!$E$4),$A$7:$A$294,"&lt;="&amp;EDATE($A182,12*'Seasonal Factors'!$E$4)),"")</f>
        <v>0.994836452000447</v>
      </c>
      <c r="AX182" s="24" t="n">
        <f aca="false">IFERROR(AW182/AVERAGE(AW177:AW188),"")</f>
        <v>0.994948156028378</v>
      </c>
      <c r="AY182" s="23" t="n">
        <f aca="false">IF(ISNUMBER(Tabelle1!Q189),(0.5*Tabelle1!Q177+SUM(Tabelle1!Q178:Q188)+0.5*Tabelle1!Q189)/12,"")</f>
        <v>161.211504583333</v>
      </c>
      <c r="AZ182" s="24" t="n">
        <f aca="false">IFERROR(Tabelle1!Q183/AY182,"")</f>
        <v>1.00899635184483</v>
      </c>
      <c r="BA182" s="24" t="n">
        <f aca="false">IFERROR(AVERAGEIFS($AZ$7:$AZ$294,$B$7:$B$294,$B182,$A$7:$A$294,"&gt;="&amp;EDATE($A182,-12*'Seasonal Factors'!$E$4),$A$7:$A$294,"&lt;="&amp;EDATE($A182,12*'Seasonal Factors'!$E$4)),"")</f>
        <v>1.00760775082617</v>
      </c>
      <c r="BB182" s="24" t="n">
        <f aca="false">IFERROR(BA182/AVERAGE(BA177:BA188),"")</f>
        <v>1.00778605167007</v>
      </c>
      <c r="BC182" s="23" t="n">
        <f aca="false">IF(ISNUMBER(Tabelle1!R189),(0.5*Tabelle1!R177+SUM(Tabelle1!R178:R188)+0.5*Tabelle1!R189)/12,"")</f>
        <v>180.7266275</v>
      </c>
      <c r="BD182" s="24" t="n">
        <f aca="false">IFERROR(Tabelle1!R183/BC182,"")</f>
        <v>1.00058177647342</v>
      </c>
      <c r="BE182" s="24" t="n">
        <f aca="false">IFERROR(AVERAGEIFS($BD$7:$BD$294,$B$7:$B$294,$B182,$A$7:$A$294,"&gt;="&amp;EDATE($A182,-12*'Seasonal Factors'!$E$4),$A$7:$A$294,"&lt;="&amp;EDATE($A182,12*'Seasonal Factors'!$E$4)),"")</f>
        <v>1.00199508973542</v>
      </c>
      <c r="BF182" s="24" t="n">
        <f aca="false">IFERROR(BE182/AVERAGE(BE177:BE188),"")</f>
        <v>1.00217588818457</v>
      </c>
      <c r="BG182" s="23" t="n">
        <f aca="false">IF(ISNUMBER(Tabelle1!S189),(0.5*Tabelle1!S177+SUM(Tabelle1!S178:S188)+0.5*Tabelle1!S189)/12,"")</f>
        <v>150.018070833333</v>
      </c>
      <c r="BH182" s="24" t="n">
        <f aca="false">IFERROR(Tabelle1!S183/BG182,"")</f>
        <v>1.02429806720229</v>
      </c>
      <c r="BI182" s="24" t="n">
        <f aca="false">IFERROR(AVERAGEIFS($BH$7:$BH$294,$B$7:$B$294,$B182,$A$7:$A$294,"&gt;="&amp;EDATE($A182,-12*'Seasonal Factors'!$E$4),$A$7:$A$294,"&lt;="&amp;EDATE($A182,12*'Seasonal Factors'!$E$4)),"")</f>
        <v>0.978339532711431</v>
      </c>
      <c r="BJ182" s="24" t="n">
        <f aca="false">IFERROR(BI182/AVERAGE(BI177:BI188),"")</f>
        <v>0.980865892576545</v>
      </c>
    </row>
    <row r="183" customFormat="false" ht="15" hidden="false" customHeight="false" outlineLevel="0" collapsed="false">
      <c r="A183" s="20" t="n">
        <v>43373</v>
      </c>
      <c r="B183" s="22" t="n">
        <f aca="false">MONTH(A183)</f>
        <v>9</v>
      </c>
      <c r="C183" s="23" t="n">
        <f aca="false">IF(ISNUMBER(Tabelle1!E190),(0.5*Tabelle1!E178+SUM(Tabelle1!E179:E189)+0.5*Tabelle1!E190)/12,"")</f>
        <v>113.030024583333</v>
      </c>
      <c r="D183" s="24" t="n">
        <f aca="false">IFERROR(Tabelle1!E184/C183,"")</f>
        <v>0.57848983260012</v>
      </c>
      <c r="E183" s="24" t="n">
        <f aca="false">IFERROR(AVERAGEIFS($D$7:$D$294,$B$7:$B$294,$B183,$A$7:$A$294,"&gt;="&amp;EDATE($A183,-12*'Seasonal Factors'!$E$4),$A$7:$A$294,"&lt;="&amp;EDATE($A183,12*'Seasonal Factors'!$E$4)),"")</f>
        <v>0.534704680487984</v>
      </c>
      <c r="F183" s="24" t="n">
        <f aca="false">IFERROR(E183/AVERAGE(E178:E189),"")</f>
        <v>0.529475081122349</v>
      </c>
      <c r="G183" s="23" t="n">
        <f aca="false">IF(ISNUMBER(Tabelle1!F190),(0.5*Tabelle1!F178+SUM(Tabelle1!F179:F189)+0.5*Tabelle1!F190)/12,"")</f>
        <v>189.273964166667</v>
      </c>
      <c r="H183" s="24" t="n">
        <f aca="false">IFERROR(Tabelle1!F184/G183,"")</f>
        <v>1.53853300046898</v>
      </c>
      <c r="I183" s="24" t="n">
        <f aca="false">IFERROR(AVERAGEIFS($H$7:$H$294,$B$7:$B$294,$B183,$A$7:$A$294,"&gt;="&amp;EDATE($A183,-12*'Seasonal Factors'!$E$4),$A$7:$A$294,"&lt;="&amp;EDATE($A183,12*'Seasonal Factors'!$E$4)),"")</f>
        <v>1.35064934715807</v>
      </c>
      <c r="J183" s="24" t="n">
        <f aca="false">IFERROR(I183/AVERAGE(I178:I189),"")</f>
        <v>1.34832269615703</v>
      </c>
      <c r="K183" s="23" t="n">
        <f aca="false">IF(ISNUMBER(Tabelle1!G190),(0.5*Tabelle1!G178+SUM(Tabelle1!G179:G189)+0.5*Tabelle1!G190)/12,"")</f>
        <v>87.3568266666667</v>
      </c>
      <c r="L183" s="24" t="n">
        <f aca="false">IFERROR(Tabelle1!G184/K183,"")</f>
        <v>0.988471460043878</v>
      </c>
      <c r="M183" s="24" t="n">
        <f aca="false">IFERROR(AVERAGEIFS($L$7:$L$294,$B$7:$B$294,$B183,$A$7:$A$294,"&gt;="&amp;EDATE($A183,-12*'Seasonal Factors'!$E$4),$A$7:$A$294,"&lt;="&amp;EDATE($A183,12*'Seasonal Factors'!$E$4)),"")</f>
        <v>0.997281200214129</v>
      </c>
      <c r="N183" s="24" t="n">
        <f aca="false">IFERROR(M183/AVERAGE(M178:M189),"")</f>
        <v>0.998073351311983</v>
      </c>
      <c r="O183" s="23" t="n">
        <f aca="false">IF(ISNUMBER(Tabelle1!H190),(0.5*Tabelle1!H178+SUM(Tabelle1!H179:H189)+0.5*Tabelle1!H190)/12,"")</f>
        <v>123.160034166667</v>
      </c>
      <c r="P183" s="24" t="n">
        <f aca="false">IFERROR(Tabelle1!H184/O183,"")</f>
        <v>0.991417555428442</v>
      </c>
      <c r="Q183" s="24" t="n">
        <f aca="false">IFERROR(AVERAGEIFS($P$7:$P$294,$B$7:$B$294,$B183,$A$7:$A$294,"&gt;="&amp;EDATE($A183,-12*'Seasonal Factors'!$E$4),$A$7:$A$294,"&lt;="&amp;EDATE($A183,12*'Seasonal Factors'!$E$4)),"")</f>
        <v>1.03382989068455</v>
      </c>
      <c r="R183" s="24" t="n">
        <f aca="false">IFERROR(Q183/AVERAGE(Q178:Q189),"")</f>
        <v>1.03435099110705</v>
      </c>
      <c r="S183" s="23" t="n">
        <f aca="false">IF(ISNUMBER(Tabelle1!I190),(0.5*Tabelle1!I178+SUM(Tabelle1!I179:I189)+0.5*Tabelle1!I190)/12,"")</f>
        <v>141.831971666667</v>
      </c>
      <c r="T183" s="24" t="n">
        <f aca="false">IFERROR(Tabelle1!I184/S183,"")</f>
        <v>0.933518574438018</v>
      </c>
      <c r="U183" s="24" t="n">
        <f aca="false">IFERROR(AVERAGEIFS($T$7:$T$294,$B$7:$B$294,$B183,$A$7:$A$294,"&gt;="&amp;EDATE($A183,-12*'Seasonal Factors'!$E$4),$A$7:$A$294,"&lt;="&amp;EDATE($A183,12*'Seasonal Factors'!$E$4)),"")</f>
        <v>0.943580611879084</v>
      </c>
      <c r="V183" s="24" t="n">
        <f aca="false">IFERROR(U183/AVERAGE(U178:U189),"")</f>
        <v>0.942450111618964</v>
      </c>
      <c r="W183" s="23" t="n">
        <f aca="false">IF(ISNUMBER(Tabelle1!J190),(0.5*Tabelle1!J178+SUM(Tabelle1!J179:J189)+0.5*Tabelle1!J190)/12,"")</f>
        <v>146.422263333333</v>
      </c>
      <c r="X183" s="24" t="n">
        <f aca="false">IFERROR(Tabelle1!J184/W183,"")</f>
        <v>1.00962686025046</v>
      </c>
      <c r="Y183" s="24" t="n">
        <f aca="false">IFERROR(AVERAGEIFS($X$7:$X$294,$B$7:$B$294,$B183,$A$7:$A$294,"&gt;="&amp;EDATE($A183,-12*'Seasonal Factors'!$E$4),$A$7:$A$294,"&lt;="&amp;EDATE($A183,12*'Seasonal Factors'!$E$4)),"")</f>
        <v>1.02897168016009</v>
      </c>
      <c r="Z183" s="24" t="n">
        <f aca="false">IFERROR(Y183/AVERAGE(Y178:Y189),"")</f>
        <v>1.03051346212334</v>
      </c>
      <c r="AA183" s="23" t="n">
        <f aca="false">IF(ISNUMBER(Tabelle1!K190),(0.5*Tabelle1!K178+SUM(Tabelle1!K179:K189)+0.5*Tabelle1!K190)/12,"")</f>
        <v>147.689312083333</v>
      </c>
      <c r="AB183" s="24" t="n">
        <f aca="false">IFERROR(Tabelle1!K184/AA183,"")</f>
        <v>0.94486018000586</v>
      </c>
      <c r="AC183" s="24" t="n">
        <f aca="false">IFERROR(AVERAGEIFS($AB$7:$AB$294,$B$7:$B$294,$B183,$A$7:$A$294,"&gt;="&amp;EDATE($A183,-12*'Seasonal Factors'!$E$4),$A$7:$A$294,"&lt;="&amp;EDATE($A183,12*'Seasonal Factors'!$E$4)),"")</f>
        <v>1.01079707698582</v>
      </c>
      <c r="AD183" s="24" t="n">
        <f aca="false">IFERROR(AC183/AVERAGE(AC178:AC189),"")</f>
        <v>1.01174426255221</v>
      </c>
      <c r="AE183" s="23" t="n">
        <f aca="false">IF(ISNUMBER(Tabelle1!L190),(0.5*Tabelle1!L178+SUM(Tabelle1!L179:L189)+0.5*Tabelle1!L190)/12,"")</f>
        <v>164.455772916667</v>
      </c>
      <c r="AF183" s="24" t="n">
        <f aca="false">IFERROR(Tabelle1!L184/AE183,"")</f>
        <v>0.976924112487133</v>
      </c>
      <c r="AG183" s="24" t="n">
        <f aca="false">IFERROR(AVERAGEIFS($AF$7:$AF$294,$B$7:$B$294,$B183,$A$7:$A$294,"&gt;="&amp;EDATE($A183,-12*'Seasonal Factors'!$E$4),$A$7:$A$294,"&lt;="&amp;EDATE($A183,12*'Seasonal Factors'!$E$4)),"")</f>
        <v>0.972414977348627</v>
      </c>
      <c r="AH183" s="24" t="n">
        <f aca="false">IFERROR(AG183/AVERAGE(AG178:AG189),"")</f>
        <v>0.976074636972739</v>
      </c>
      <c r="AI183" s="23" t="n">
        <f aca="false">IF(ISNUMBER(Tabelle1!M190),(0.5*Tabelle1!M178+SUM(Tabelle1!M179:M189)+0.5*Tabelle1!M190)/12,"")</f>
        <v>189.949123333333</v>
      </c>
      <c r="AJ183" s="24" t="n">
        <f aca="false">IFERROR(Tabelle1!M184/AI183,"")</f>
        <v>0.975256620031431</v>
      </c>
      <c r="AK183" s="24" t="n">
        <f aca="false">IFERROR(AVERAGEIFS($AJ$7:$AJ$294,$B$7:$B$294,$B183,$A$7:$A$294,"&gt;="&amp;EDATE($A183,-12*'Seasonal Factors'!$E$4),$A$7:$A$294,"&lt;="&amp;EDATE($A183,12*'Seasonal Factors'!$E$4)),"")</f>
        <v>0.986443219984032</v>
      </c>
      <c r="AL183" s="24" t="n">
        <f aca="false">IFERROR(AK183/AVERAGE(AK178:AK189),"")</f>
        <v>0.98629096932458</v>
      </c>
      <c r="AM183" s="23" t="n">
        <f aca="false">IF(ISNUMBER(Tabelle1!N190),(0.5*Tabelle1!N178+SUM(Tabelle1!N179:N189)+0.5*Tabelle1!N190)/12,"")</f>
        <v>186.540594166667</v>
      </c>
      <c r="AN183" s="24" t="n">
        <f aca="false">IFERROR(Tabelle1!N184/AM183,"")</f>
        <v>1.00673486561435</v>
      </c>
      <c r="AO183" s="24" t="n">
        <f aca="false">IFERROR(AVERAGEIFS($AN$7:$AN$294,$B$7:$B$294,$B183,$A$7:$A$294,"&gt;="&amp;EDATE($A183,-12*'Seasonal Factors'!$E$4),$A$7:$A$294,"&lt;="&amp;EDATE($A183,12*'Seasonal Factors'!$E$4)),"")</f>
        <v>0.991346961274623</v>
      </c>
      <c r="AP183" s="24" t="n">
        <f aca="false">IFERROR(AO183/AVERAGE(AO178:AO189),"")</f>
        <v>0.99156834708044</v>
      </c>
      <c r="AQ183" s="23" t="n">
        <f aca="false">IF(ISNUMBER(Tabelle1!O190),(0.5*Tabelle1!O178+SUM(Tabelle1!O179:O189)+0.5*Tabelle1!O190)/12,"")</f>
        <v>141.413880416667</v>
      </c>
      <c r="AR183" s="24" t="n">
        <f aca="false">IFERROR(Tabelle1!O184/AQ183,"")</f>
        <v>0.977389840323696</v>
      </c>
      <c r="AS183" s="24" t="n">
        <f aca="false">IFERROR(AVERAGEIFS($AR$7:$AR$294,$B$7:$B$294,$B183,$A$7:$A$294,"&gt;="&amp;EDATE($A183,-12*'Seasonal Factors'!$E$4),$A$7:$A$294,"&lt;="&amp;EDATE($A183,12*'Seasonal Factors'!$E$4)),"")</f>
        <v>1.0021674400137</v>
      </c>
      <c r="AT183" s="24" t="n">
        <f aca="false">IFERROR(AS183/AVERAGE(AS178:AS189),"")</f>
        <v>1.00226584288695</v>
      </c>
      <c r="AU183" s="23" t="n">
        <f aca="false">IF(ISNUMBER(Tabelle1!P190),(0.5*Tabelle1!P178+SUM(Tabelle1!P179:P189)+0.5*Tabelle1!P190)/12,"")</f>
        <v>154.035114166667</v>
      </c>
      <c r="AV183" s="24" t="n">
        <f aca="false">IFERROR(Tabelle1!P184/AU183,"")</f>
        <v>0.99655536875772</v>
      </c>
      <c r="AW183" s="24" t="n">
        <f aca="false">IFERROR(AVERAGEIFS($AV$7:$AV$294,$B$7:$B$294,$B183,$A$7:$A$294,"&gt;="&amp;EDATE($A183,-12*'Seasonal Factors'!$E$4),$A$7:$A$294,"&lt;="&amp;EDATE($A183,12*'Seasonal Factors'!$E$4)),"")</f>
        <v>0.996131175216654</v>
      </c>
      <c r="AX183" s="24" t="n">
        <f aca="false">IFERROR(AW183/AVERAGE(AW178:AW189),"")</f>
        <v>0.996216671726697</v>
      </c>
      <c r="AY183" s="23" t="n">
        <f aca="false">IF(ISNUMBER(Tabelle1!Q190),(0.5*Tabelle1!Q178+SUM(Tabelle1!Q179:Q189)+0.5*Tabelle1!Q190)/12,"")</f>
        <v>161.326987083333</v>
      </c>
      <c r="AZ183" s="24" t="n">
        <f aca="false">IFERROR(Tabelle1!Q184/AY183,"")</f>
        <v>1.01108378051927</v>
      </c>
      <c r="BA183" s="24" t="n">
        <f aca="false">IFERROR(AVERAGEIFS($AZ$7:$AZ$294,$B$7:$B$294,$B183,$A$7:$A$294,"&gt;="&amp;EDATE($A183,-12*'Seasonal Factors'!$E$4),$A$7:$A$294,"&lt;="&amp;EDATE($A183,12*'Seasonal Factors'!$E$4)),"")</f>
        <v>1.01184970236438</v>
      </c>
      <c r="BB183" s="24" t="n">
        <f aca="false">IFERROR(BA183/AVERAGE(BA178:BA189),"")</f>
        <v>1.01185987545656</v>
      </c>
      <c r="BC183" s="23" t="n">
        <f aca="false">IF(ISNUMBER(Tabelle1!R190),(0.5*Tabelle1!R178+SUM(Tabelle1!R179:R189)+0.5*Tabelle1!R190)/12,"")</f>
        <v>180.773695</v>
      </c>
      <c r="BD183" s="24" t="n">
        <f aca="false">IFERROR(Tabelle1!R184/BC183,"")</f>
        <v>0.983428424141023</v>
      </c>
      <c r="BE183" s="24" t="n">
        <f aca="false">IFERROR(AVERAGEIFS($BD$7:$BD$294,$B$7:$B$294,$B183,$A$7:$A$294,"&gt;="&amp;EDATE($A183,-12*'Seasonal Factors'!$E$4),$A$7:$A$294,"&lt;="&amp;EDATE($A183,12*'Seasonal Factors'!$E$4)),"")</f>
        <v>0.988521260313744</v>
      </c>
      <c r="BF183" s="24" t="n">
        <f aca="false">IFERROR(BE183/AVERAGE(BE178:BE189),"")</f>
        <v>0.988609356683721</v>
      </c>
      <c r="BG183" s="23" t="n">
        <f aca="false">IF(ISNUMBER(Tabelle1!S190),(0.5*Tabelle1!S178+SUM(Tabelle1!S179:S189)+0.5*Tabelle1!S190)/12,"")</f>
        <v>149.693661666667</v>
      </c>
      <c r="BH183" s="24" t="n">
        <f aca="false">IFERROR(Tabelle1!S184/BG183,"")</f>
        <v>0.972300886887919</v>
      </c>
      <c r="BI183" s="24" t="n">
        <f aca="false">IFERROR(AVERAGEIFS($BH$7:$BH$294,$B$7:$B$294,$B183,$A$7:$A$294,"&gt;="&amp;EDATE($A183,-12*'Seasonal Factors'!$E$4),$A$7:$A$294,"&lt;="&amp;EDATE($A183,12*'Seasonal Factors'!$E$4)),"")</f>
        <v>0.951365581598792</v>
      </c>
      <c r="BJ183" s="24" t="n">
        <f aca="false">IFERROR(BI183/AVERAGE(BI178:BI189),"")</f>
        <v>0.952978870511077</v>
      </c>
    </row>
    <row r="184" customFormat="false" ht="15" hidden="false" customHeight="false" outlineLevel="0" collapsed="false">
      <c r="A184" s="20" t="n">
        <v>43404</v>
      </c>
      <c r="B184" s="22" t="n">
        <f aca="false">MONTH(A184)</f>
        <v>10</v>
      </c>
      <c r="C184" s="23" t="n">
        <f aca="false">IF(ISNUMBER(Tabelle1!E191),(0.5*Tabelle1!E179+SUM(Tabelle1!E180:E190)+0.5*Tabelle1!E191)/12,"")</f>
        <v>116.512835416667</v>
      </c>
      <c r="D184" s="24" t="n">
        <f aca="false">IFERROR(Tabelle1!E185/C184,"")</f>
        <v>0.674847193605869</v>
      </c>
      <c r="E184" s="24" t="n">
        <f aca="false">IFERROR(AVERAGEIFS($D$7:$D$294,$B$7:$B$294,$B184,$A$7:$A$294,"&gt;="&amp;EDATE($A184,-12*'Seasonal Factors'!$E$4),$A$7:$A$294,"&lt;="&amp;EDATE($A184,12*'Seasonal Factors'!$E$4)),"")</f>
        <v>0.575965339113279</v>
      </c>
      <c r="F184" s="24" t="n">
        <f aca="false">IFERROR(E184/AVERAGE(E179:E190),"")</f>
        <v>0.572390680326469</v>
      </c>
      <c r="G184" s="23" t="n">
        <f aca="false">IF(ISNUMBER(Tabelle1!F191),(0.5*Tabelle1!F179+SUM(Tabelle1!F180:F190)+0.5*Tabelle1!F191)/12,"")</f>
        <v>191.077055833333</v>
      </c>
      <c r="H184" s="24" t="n">
        <f aca="false">IFERROR(Tabelle1!F185/G184,"")</f>
        <v>1.59451446784774</v>
      </c>
      <c r="I184" s="24" t="n">
        <f aca="false">IFERROR(AVERAGEIFS($H$7:$H$294,$B$7:$B$294,$B184,$A$7:$A$294,"&gt;="&amp;EDATE($A184,-12*'Seasonal Factors'!$E$4),$A$7:$A$294,"&lt;="&amp;EDATE($A184,12*'Seasonal Factors'!$E$4)),"")</f>
        <v>1.19916592618106</v>
      </c>
      <c r="J184" s="24" t="n">
        <f aca="false">IFERROR(I184/AVERAGE(I179:I190),"")</f>
        <v>1.20252638971045</v>
      </c>
      <c r="K184" s="23" t="n">
        <f aca="false">IF(ISNUMBER(Tabelle1!G191),(0.5*Tabelle1!G179+SUM(Tabelle1!G180:G190)+0.5*Tabelle1!G191)/12,"")</f>
        <v>87.3154616666667</v>
      </c>
      <c r="L184" s="24" t="n">
        <f aca="false">IFERROR(Tabelle1!G185/K184,"")</f>
        <v>1.01484145314699</v>
      </c>
      <c r="M184" s="24" t="n">
        <f aca="false">IFERROR(AVERAGEIFS($L$7:$L$294,$B$7:$B$294,$B184,$A$7:$A$294,"&gt;="&amp;EDATE($A184,-12*'Seasonal Factors'!$E$4),$A$7:$A$294,"&lt;="&amp;EDATE($A184,12*'Seasonal Factors'!$E$4)),"")</f>
        <v>1.02330390278692</v>
      </c>
      <c r="N184" s="24" t="n">
        <f aca="false">IFERROR(M184/AVERAGE(M179:M190),"")</f>
        <v>1.02397023874657</v>
      </c>
      <c r="O184" s="23" t="n">
        <f aca="false">IF(ISNUMBER(Tabelle1!H191),(0.5*Tabelle1!H179+SUM(Tabelle1!H180:H190)+0.5*Tabelle1!H191)/12,"")</f>
        <v>121.93893875</v>
      </c>
      <c r="P184" s="24" t="n">
        <f aca="false">IFERROR(Tabelle1!H185/O184,"")</f>
        <v>1.08353058796815</v>
      </c>
      <c r="Q184" s="24" t="n">
        <f aca="false">IFERROR(AVERAGEIFS($P$7:$P$294,$B$7:$B$294,$B184,$A$7:$A$294,"&gt;="&amp;EDATE($A184,-12*'Seasonal Factors'!$E$4),$A$7:$A$294,"&lt;="&amp;EDATE($A184,12*'Seasonal Factors'!$E$4)),"")</f>
        <v>1.07810052862241</v>
      </c>
      <c r="R184" s="24" t="n">
        <f aca="false">IFERROR(Q184/AVERAGE(Q179:Q190),"")</f>
        <v>1.07858545998406</v>
      </c>
      <c r="S184" s="23" t="n">
        <f aca="false">IF(ISNUMBER(Tabelle1!I191),(0.5*Tabelle1!I179+SUM(Tabelle1!I180:I190)+0.5*Tabelle1!I191)/12,"")</f>
        <v>141.028115</v>
      </c>
      <c r="T184" s="24" t="n">
        <f aca="false">IFERROR(Tabelle1!I185/S184,"")</f>
        <v>0.945952656319628</v>
      </c>
      <c r="U184" s="24" t="n">
        <f aca="false">IFERROR(AVERAGEIFS($T$7:$T$294,$B$7:$B$294,$B184,$A$7:$A$294,"&gt;="&amp;EDATE($A184,-12*'Seasonal Factors'!$E$4),$A$7:$A$294,"&lt;="&amp;EDATE($A184,12*'Seasonal Factors'!$E$4)),"")</f>
        <v>0.943090422590176</v>
      </c>
      <c r="V184" s="24" t="n">
        <f aca="false">IFERROR(U184/AVERAGE(U179:U190),"")</f>
        <v>0.942437103559375</v>
      </c>
      <c r="W184" s="23" t="n">
        <f aca="false">IF(ISNUMBER(Tabelle1!J191),(0.5*Tabelle1!J179+SUM(Tabelle1!J180:J190)+0.5*Tabelle1!J191)/12,"")</f>
        <v>145.717907083333</v>
      </c>
      <c r="X184" s="24" t="n">
        <f aca="false">IFERROR(Tabelle1!J185/W184,"")</f>
        <v>0.98584362674003</v>
      </c>
      <c r="Y184" s="24" t="n">
        <f aca="false">IFERROR(AVERAGEIFS($X$7:$X$294,$B$7:$B$294,$B184,$A$7:$A$294,"&gt;="&amp;EDATE($A184,-12*'Seasonal Factors'!$E$4),$A$7:$A$294,"&lt;="&amp;EDATE($A184,12*'Seasonal Factors'!$E$4)),"")</f>
        <v>0.998035552820059</v>
      </c>
      <c r="Z184" s="24" t="n">
        <f aca="false">IFERROR(Y184/AVERAGE(Y179:Y190),"")</f>
        <v>0.999516270064214</v>
      </c>
      <c r="AA184" s="23" t="n">
        <f aca="false">IF(ISNUMBER(Tabelle1!K191),(0.5*Tabelle1!K179+SUM(Tabelle1!K180:K190)+0.5*Tabelle1!K191)/12,"")</f>
        <v>145.84873</v>
      </c>
      <c r="AB184" s="24" t="n">
        <f aca="false">IFERROR(Tabelle1!K185/AA184,"")</f>
        <v>1.02902438711671</v>
      </c>
      <c r="AC184" s="24" t="n">
        <f aca="false">IFERROR(AVERAGEIFS($AB$7:$AB$294,$B$7:$B$294,$B184,$A$7:$A$294,"&gt;="&amp;EDATE($A184,-12*'Seasonal Factors'!$E$4),$A$7:$A$294,"&lt;="&amp;EDATE($A184,12*'Seasonal Factors'!$E$4)),"")</f>
        <v>1.03409402226651</v>
      </c>
      <c r="AD184" s="24" t="n">
        <f aca="false">IFERROR(AC184/AVERAGE(AC179:AC190),"")</f>
        <v>1.03483794329407</v>
      </c>
      <c r="AE184" s="23" t="n">
        <f aca="false">IF(ISNUMBER(Tabelle1!L191),(0.5*Tabelle1!L179+SUM(Tabelle1!L180:L190)+0.5*Tabelle1!L191)/12,"")</f>
        <v>164.096745833333</v>
      </c>
      <c r="AF184" s="24" t="n">
        <f aca="false">IFERROR(Tabelle1!L185/AE184,"")</f>
        <v>1.04027455957828</v>
      </c>
      <c r="AG184" s="24" t="n">
        <f aca="false">IFERROR(AVERAGEIFS($AF$7:$AF$294,$B$7:$B$294,$B184,$A$7:$A$294,"&gt;="&amp;EDATE($A184,-12*'Seasonal Factors'!$E$4),$A$7:$A$294,"&lt;="&amp;EDATE($A184,12*'Seasonal Factors'!$E$4)),"")</f>
        <v>1.03074824607958</v>
      </c>
      <c r="AH184" s="24" t="n">
        <f aca="false">IFERROR(AG184/AVERAGE(AG179:AG190),"")</f>
        <v>1.03675672587253</v>
      </c>
      <c r="AI184" s="23" t="n">
        <f aca="false">IF(ISNUMBER(Tabelle1!M191),(0.5*Tabelle1!M179+SUM(Tabelle1!M180:M190)+0.5*Tabelle1!M191)/12,"")</f>
        <v>189.555515</v>
      </c>
      <c r="AJ184" s="24" t="n">
        <f aca="false">IFERROR(Tabelle1!M185/AI184,"")</f>
        <v>0.996964556794879</v>
      </c>
      <c r="AK184" s="24" t="n">
        <f aca="false">IFERROR(AVERAGEIFS($AJ$7:$AJ$294,$B$7:$B$294,$B184,$A$7:$A$294,"&gt;="&amp;EDATE($A184,-12*'Seasonal Factors'!$E$4),$A$7:$A$294,"&lt;="&amp;EDATE($A184,12*'Seasonal Factors'!$E$4)),"")</f>
        <v>0.992082659993432</v>
      </c>
      <c r="AL184" s="24" t="n">
        <f aca="false">IFERROR(AK184/AVERAGE(AK179:AK190),"")</f>
        <v>0.992046611754835</v>
      </c>
      <c r="AM184" s="23" t="n">
        <f aca="false">IF(ISNUMBER(Tabelle1!N191),(0.5*Tabelle1!N179+SUM(Tabelle1!N180:N190)+0.5*Tabelle1!N191)/12,"")</f>
        <v>184.832660833333</v>
      </c>
      <c r="AN184" s="24" t="n">
        <f aca="false">IFERROR(Tabelle1!N185/AM184,"")</f>
        <v>0.995173521663805</v>
      </c>
      <c r="AO184" s="24" t="n">
        <f aca="false">IFERROR(AVERAGEIFS($AN$7:$AN$294,$B$7:$B$294,$B184,$A$7:$A$294,"&gt;="&amp;EDATE($A184,-12*'Seasonal Factors'!$E$4),$A$7:$A$294,"&lt;="&amp;EDATE($A184,12*'Seasonal Factors'!$E$4)),"")</f>
        <v>1.00738594016328</v>
      </c>
      <c r="AP184" s="24" t="n">
        <f aca="false">IFERROR(AO184/AVERAGE(AO179:AO190),"")</f>
        <v>1.00719599827389</v>
      </c>
      <c r="AQ184" s="23" t="n">
        <f aca="false">IF(ISNUMBER(Tabelle1!O191),(0.5*Tabelle1!O179+SUM(Tabelle1!O180:O190)+0.5*Tabelle1!O191)/12,"")</f>
        <v>141.104618333333</v>
      </c>
      <c r="AR184" s="24" t="n">
        <f aca="false">IFERROR(Tabelle1!O185/AQ184,"")</f>
        <v>1.00477370389873</v>
      </c>
      <c r="AS184" s="24" t="n">
        <f aca="false">IFERROR(AVERAGEIFS($AR$7:$AR$294,$B$7:$B$294,$B184,$A$7:$A$294,"&gt;="&amp;EDATE($A184,-12*'Seasonal Factors'!$E$4),$A$7:$A$294,"&lt;="&amp;EDATE($A184,12*'Seasonal Factors'!$E$4)),"")</f>
        <v>1.00819457069679</v>
      </c>
      <c r="AT184" s="24" t="n">
        <f aca="false">IFERROR(AS184/AVERAGE(AS179:AS190),"")</f>
        <v>1.00805654064576</v>
      </c>
      <c r="AU184" s="23" t="n">
        <f aca="false">IF(ISNUMBER(Tabelle1!P191),(0.5*Tabelle1!P179+SUM(Tabelle1!P180:P190)+0.5*Tabelle1!P191)/12,"")</f>
        <v>154.059385</v>
      </c>
      <c r="AV184" s="24" t="n">
        <f aca="false">IFERROR(Tabelle1!P185/AU184,"")</f>
        <v>0.999253177597717</v>
      </c>
      <c r="AW184" s="24" t="n">
        <f aca="false">IFERROR(AVERAGEIFS($AV$7:$AV$294,$B$7:$B$294,$B184,$A$7:$A$294,"&gt;="&amp;EDATE($A184,-12*'Seasonal Factors'!$E$4),$A$7:$A$294,"&lt;="&amp;EDATE($A184,12*'Seasonal Factors'!$E$4)),"")</f>
        <v>1.00410758244301</v>
      </c>
      <c r="AX184" s="24" t="n">
        <f aca="false">IFERROR(AW184/AVERAGE(AW179:AW190),"")</f>
        <v>1.00416247385865</v>
      </c>
      <c r="AY184" s="23" t="n">
        <f aca="false">IF(ISNUMBER(Tabelle1!Q191),(0.5*Tabelle1!Q179+SUM(Tabelle1!Q180:Q190)+0.5*Tabelle1!Q191)/12,"")</f>
        <v>161.421362083333</v>
      </c>
      <c r="AZ184" s="24" t="n">
        <f aca="false">IFERROR(Tabelle1!Q185/AY184,"")</f>
        <v>1.01236774297342</v>
      </c>
      <c r="BA184" s="24" t="n">
        <f aca="false">IFERROR(AVERAGEIFS($AZ$7:$AZ$294,$B$7:$B$294,$B184,$A$7:$A$294,"&gt;="&amp;EDATE($A184,-12*'Seasonal Factors'!$E$4),$A$7:$A$294,"&lt;="&amp;EDATE($A184,12*'Seasonal Factors'!$E$4)),"")</f>
        <v>1.01331094030728</v>
      </c>
      <c r="BB184" s="24" t="n">
        <f aca="false">IFERROR(BA184/AVERAGE(BA179:BA190),"")</f>
        <v>1.01325372422545</v>
      </c>
      <c r="BC184" s="23" t="n">
        <f aca="false">IF(ISNUMBER(Tabelle1!R191),(0.5*Tabelle1!R179+SUM(Tabelle1!R180:R190)+0.5*Tabelle1!R191)/12,"")</f>
        <v>180.75649125</v>
      </c>
      <c r="BD184" s="24" t="n">
        <f aca="false">IFERROR(Tabelle1!R185/BC184,"")</f>
        <v>0.956063811622588</v>
      </c>
      <c r="BE184" s="24" t="n">
        <f aca="false">IFERROR(AVERAGEIFS($BD$7:$BD$294,$B$7:$B$294,$B184,$A$7:$A$294,"&gt;="&amp;EDATE($A184,-12*'Seasonal Factors'!$E$4),$A$7:$A$294,"&lt;="&amp;EDATE($A184,12*'Seasonal Factors'!$E$4)),"")</f>
        <v>0.965981661235037</v>
      </c>
      <c r="BF184" s="24" t="n">
        <f aca="false">IFERROR(BE184/AVERAGE(BE179:BE190),"")</f>
        <v>0.966111346699073</v>
      </c>
      <c r="BG184" s="23" t="n">
        <f aca="false">IF(ISNUMBER(Tabelle1!S191),(0.5*Tabelle1!S179+SUM(Tabelle1!S180:S190)+0.5*Tabelle1!S191)/12,"")</f>
        <v>149.357854166667</v>
      </c>
      <c r="BH184" s="24" t="n">
        <f aca="false">IFERROR(Tabelle1!S185/BG184,"")</f>
        <v>0.979051960915458</v>
      </c>
      <c r="BI184" s="24" t="n">
        <f aca="false">IFERROR(AVERAGEIFS($BH$7:$BH$294,$B$7:$B$294,$B184,$A$7:$A$294,"&gt;="&amp;EDATE($A184,-12*'Seasonal Factors'!$E$4),$A$7:$A$294,"&lt;="&amp;EDATE($A184,12*'Seasonal Factors'!$E$4)),"")</f>
        <v>1.01140921704457</v>
      </c>
      <c r="BJ184" s="24" t="n">
        <f aca="false">IFERROR(BI184/AVERAGE(BI179:BI190),"")</f>
        <v>1.01363933434998</v>
      </c>
    </row>
    <row r="185" customFormat="false" ht="15" hidden="false" customHeight="false" outlineLevel="0" collapsed="false">
      <c r="A185" s="20" t="n">
        <v>43434</v>
      </c>
      <c r="B185" s="22" t="n">
        <f aca="false">MONTH(A185)</f>
        <v>11</v>
      </c>
      <c r="C185" s="23" t="n">
        <f aca="false">IF(ISNUMBER(Tabelle1!E192),(0.5*Tabelle1!E180+SUM(Tabelle1!E181:E191)+0.5*Tabelle1!E192)/12,"")</f>
        <v>124.25651375</v>
      </c>
      <c r="D185" s="24" t="n">
        <f aca="false">IFERROR(Tabelle1!E186/C185,"")</f>
        <v>0.726066322619646</v>
      </c>
      <c r="E185" s="24" t="n">
        <f aca="false">IFERROR(AVERAGEIFS($D$7:$D$294,$B$7:$B$294,$B185,$A$7:$A$294,"&gt;="&amp;EDATE($A185,-12*'Seasonal Factors'!$E$4),$A$7:$A$294,"&lt;="&amp;EDATE($A185,12*'Seasonal Factors'!$E$4)),"")</f>
        <v>0.6879950080148</v>
      </c>
      <c r="F185" s="24" t="n">
        <f aca="false">IFERROR(E185/AVERAGE(E180:E191),"")</f>
        <v>0.690672469582044</v>
      </c>
      <c r="G185" s="23" t="n">
        <f aca="false">IF(ISNUMBER(Tabelle1!F192),(0.5*Tabelle1!F180+SUM(Tabelle1!F181:F191)+0.5*Tabelle1!F192)/12,"")</f>
        <v>191.21417125</v>
      </c>
      <c r="H185" s="24" t="n">
        <f aca="false">IFERROR(Tabelle1!F186/G185,"")</f>
        <v>0.636869794764231</v>
      </c>
      <c r="I185" s="24" t="n">
        <f aca="false">IFERROR(AVERAGEIFS($H$7:$H$294,$B$7:$B$294,$B185,$A$7:$A$294,"&gt;="&amp;EDATE($A185,-12*'Seasonal Factors'!$E$4),$A$7:$A$294,"&lt;="&amp;EDATE($A185,12*'Seasonal Factors'!$E$4)),"")</f>
        <v>0.709000085777469</v>
      </c>
      <c r="J185" s="24" t="n">
        <f aca="false">IFERROR(I185/AVERAGE(I180:I191),"")</f>
        <v>0.713072197182459</v>
      </c>
      <c r="K185" s="23" t="n">
        <f aca="false">IF(ISNUMBER(Tabelle1!G192),(0.5*Tabelle1!G180+SUM(Tabelle1!G181:G191)+0.5*Tabelle1!G192)/12,"")</f>
        <v>87.3938708333333</v>
      </c>
      <c r="L185" s="24" t="n">
        <f aca="false">IFERROR(Tabelle1!G186/K185,"")</f>
        <v>0.972171608716458</v>
      </c>
      <c r="M185" s="24" t="n">
        <f aca="false">IFERROR(AVERAGEIFS($L$7:$L$294,$B$7:$B$294,$B185,$A$7:$A$294,"&gt;="&amp;EDATE($A185,-12*'Seasonal Factors'!$E$4),$A$7:$A$294,"&lt;="&amp;EDATE($A185,12*'Seasonal Factors'!$E$4)),"")</f>
        <v>0.981468280792219</v>
      </c>
      <c r="N185" s="24" t="n">
        <f aca="false">IFERROR(M185/AVERAGE(M180:M191),"")</f>
        <v>0.982043573032104</v>
      </c>
      <c r="O185" s="23" t="n">
        <f aca="false">IF(ISNUMBER(Tabelle1!H192),(0.5*Tabelle1!H180+SUM(Tabelle1!H181:H191)+0.5*Tabelle1!H192)/12,"")</f>
        <v>121.117847083333</v>
      </c>
      <c r="P185" s="24" t="n">
        <f aca="false">IFERROR(Tabelle1!H186/O185,"")</f>
        <v>1.03715045325707</v>
      </c>
      <c r="Q185" s="24" t="n">
        <f aca="false">IFERROR(AVERAGEIFS($P$7:$P$294,$B$7:$B$294,$B185,$A$7:$A$294,"&gt;="&amp;EDATE($A185,-12*'Seasonal Factors'!$E$4),$A$7:$A$294,"&lt;="&amp;EDATE($A185,12*'Seasonal Factors'!$E$4)),"")</f>
        <v>1.06225894016931</v>
      </c>
      <c r="R185" s="24" t="n">
        <f aca="false">IFERROR(Q185/AVERAGE(Q180:Q191),"")</f>
        <v>1.06274247621902</v>
      </c>
      <c r="S185" s="23" t="n">
        <f aca="false">IF(ISNUMBER(Tabelle1!I192),(0.5*Tabelle1!I180+SUM(Tabelle1!I181:I191)+0.5*Tabelle1!I192)/12,"")</f>
        <v>140.512834166667</v>
      </c>
      <c r="T185" s="24" t="n">
        <f aca="false">IFERROR(Tabelle1!I186/S185,"")</f>
        <v>0.933455443966237</v>
      </c>
      <c r="U185" s="24" t="n">
        <f aca="false">IFERROR(AVERAGEIFS($T$7:$T$294,$B$7:$B$294,$B185,$A$7:$A$294,"&gt;="&amp;EDATE($A185,-12*'Seasonal Factors'!$E$4),$A$7:$A$294,"&lt;="&amp;EDATE($A185,12*'Seasonal Factors'!$E$4)),"")</f>
        <v>0.945766843284708</v>
      </c>
      <c r="V185" s="24" t="n">
        <f aca="false">IFERROR(U185/AVERAGE(U180:U191),"")</f>
        <v>0.945568931365562</v>
      </c>
      <c r="W185" s="23" t="n">
        <f aca="false">IF(ISNUMBER(Tabelle1!J192),(0.5*Tabelle1!J180+SUM(Tabelle1!J181:J191)+0.5*Tabelle1!J192)/12,"")</f>
        <v>145.290602083333</v>
      </c>
      <c r="X185" s="24" t="n">
        <f aca="false">IFERROR(Tabelle1!J186/W185,"")</f>
        <v>0.953779446247448</v>
      </c>
      <c r="Y185" s="24" t="n">
        <f aca="false">IFERROR(AVERAGEIFS($X$7:$X$294,$B$7:$B$294,$B185,$A$7:$A$294,"&gt;="&amp;EDATE($A185,-12*'Seasonal Factors'!$E$4),$A$7:$A$294,"&lt;="&amp;EDATE($A185,12*'Seasonal Factors'!$E$4)),"")</f>
        <v>1.00821996593819</v>
      </c>
      <c r="Z185" s="24" t="n">
        <f aca="false">IFERROR(Y185/AVERAGE(Y180:Y191),"")</f>
        <v>1.0101444531381</v>
      </c>
      <c r="AA185" s="23" t="n">
        <f aca="false">IF(ISNUMBER(Tabelle1!K192),(0.5*Tabelle1!K180+SUM(Tabelle1!K181:K191)+0.5*Tabelle1!K192)/12,"")</f>
        <v>144.505264583333</v>
      </c>
      <c r="AB185" s="24" t="n">
        <f aca="false">IFERROR(Tabelle1!K186/AA185,"")</f>
        <v>1.04454436615321</v>
      </c>
      <c r="AC185" s="24" t="n">
        <f aca="false">IFERROR(AVERAGEIFS($AB$7:$AB$294,$B$7:$B$294,$B185,$A$7:$A$294,"&gt;="&amp;EDATE($A185,-12*'Seasonal Factors'!$E$4),$A$7:$A$294,"&lt;="&amp;EDATE($A185,12*'Seasonal Factors'!$E$4)),"")</f>
        <v>1.04782097351291</v>
      </c>
      <c r="AD185" s="24" t="n">
        <f aca="false">IFERROR(AC185/AVERAGE(AC180:AC191),"")</f>
        <v>1.04820638331362</v>
      </c>
      <c r="AE185" s="23" t="n">
        <f aca="false">IF(ISNUMBER(Tabelle1!L192),(0.5*Tabelle1!L180+SUM(Tabelle1!L181:L191)+0.5*Tabelle1!L192)/12,"")</f>
        <v>163.985420833333</v>
      </c>
      <c r="AF185" s="24" t="n">
        <f aca="false">IFERROR(Tabelle1!L186/AE185,"")</f>
        <v>1.0474176248544</v>
      </c>
      <c r="AG185" s="24" t="n">
        <f aca="false">IFERROR(AVERAGEIFS($AF$7:$AF$294,$B$7:$B$294,$B185,$A$7:$A$294,"&gt;="&amp;EDATE($A185,-12*'Seasonal Factors'!$E$4),$A$7:$A$294,"&lt;="&amp;EDATE($A185,12*'Seasonal Factors'!$E$4)),"")</f>
        <v>1.04075444750165</v>
      </c>
      <c r="AH185" s="24" t="n">
        <f aca="false">IFERROR(AG185/AVERAGE(AG180:AG191),"")</f>
        <v>1.04697124373114</v>
      </c>
      <c r="AI185" s="23" t="n">
        <f aca="false">IF(ISNUMBER(Tabelle1!M192),(0.5*Tabelle1!M180+SUM(Tabelle1!M181:M191)+0.5*Tabelle1!M192)/12,"")</f>
        <v>189.6650975</v>
      </c>
      <c r="AJ185" s="24" t="n">
        <f aca="false">IFERROR(Tabelle1!M186/AI185,"")</f>
        <v>0.979640811351704</v>
      </c>
      <c r="AK185" s="24" t="n">
        <f aca="false">IFERROR(AVERAGEIFS($AJ$7:$AJ$294,$B$7:$B$294,$B185,$A$7:$A$294,"&gt;="&amp;EDATE($A185,-12*'Seasonal Factors'!$E$4),$A$7:$A$294,"&lt;="&amp;EDATE($A185,12*'Seasonal Factors'!$E$4)),"")</f>
        <v>0.988982356251856</v>
      </c>
      <c r="AL185" s="24" t="n">
        <f aca="false">IFERROR(AK185/AVERAGE(AK180:AK191),"")</f>
        <v>0.989312735003484</v>
      </c>
      <c r="AM185" s="23" t="n">
        <f aca="false">IF(ISNUMBER(Tabelle1!N192),(0.5*Tabelle1!N180+SUM(Tabelle1!N181:N191)+0.5*Tabelle1!N192)/12,"")</f>
        <v>182.74668125</v>
      </c>
      <c r="AN185" s="24" t="n">
        <f aca="false">IFERROR(Tabelle1!N186/AM185,"")</f>
        <v>0.958814566707761</v>
      </c>
      <c r="AO185" s="24" t="n">
        <f aca="false">IFERROR(AVERAGEIFS($AN$7:$AN$294,$B$7:$B$294,$B185,$A$7:$A$294,"&gt;="&amp;EDATE($A185,-12*'Seasonal Factors'!$E$4),$A$7:$A$294,"&lt;="&amp;EDATE($A185,12*'Seasonal Factors'!$E$4)),"")</f>
        <v>0.992020658621015</v>
      </c>
      <c r="AP185" s="24" t="n">
        <f aca="false">IFERROR(AO185/AVERAGE(AO180:AO191),"")</f>
        <v>0.992257155027171</v>
      </c>
      <c r="AQ185" s="23" t="n">
        <f aca="false">IF(ISNUMBER(Tabelle1!O192),(0.5*Tabelle1!O180+SUM(Tabelle1!O181:O191)+0.5*Tabelle1!O192)/12,"")</f>
        <v>140.856826666667</v>
      </c>
      <c r="AR185" s="24" t="n">
        <f aca="false">IFERROR(Tabelle1!O186/AQ185,"")</f>
        <v>0.998599949527946</v>
      </c>
      <c r="AS185" s="24" t="n">
        <f aca="false">IFERROR(AVERAGEIFS($AR$7:$AR$294,$B$7:$B$294,$B185,$A$7:$A$294,"&gt;="&amp;EDATE($A185,-12*'Seasonal Factors'!$E$4),$A$7:$A$294,"&lt;="&amp;EDATE($A185,12*'Seasonal Factors'!$E$4)),"")</f>
        <v>1.0120742443184</v>
      </c>
      <c r="AT185" s="24" t="n">
        <f aca="false">IFERROR(AS185/AVERAGE(AS180:AS191),"")</f>
        <v>1.01185196256482</v>
      </c>
      <c r="AU185" s="23" t="n">
        <f aca="false">IF(ISNUMBER(Tabelle1!P192),(0.5*Tabelle1!P180+SUM(Tabelle1!P181:P191)+0.5*Tabelle1!P192)/12,"")</f>
        <v>154.1441875</v>
      </c>
      <c r="AV185" s="24" t="n">
        <f aca="false">IFERROR(Tabelle1!P186/AU185,"")</f>
        <v>1.00302114862424</v>
      </c>
      <c r="AW185" s="24" t="n">
        <f aca="false">IFERROR(AVERAGEIFS($AV$7:$AV$294,$B$7:$B$294,$B185,$A$7:$A$294,"&gt;="&amp;EDATE($A185,-12*'Seasonal Factors'!$E$4),$A$7:$A$294,"&lt;="&amp;EDATE($A185,12*'Seasonal Factors'!$E$4)),"")</f>
        <v>1.00634131171482</v>
      </c>
      <c r="AX185" s="24" t="n">
        <f aca="false">IFERROR(AW185/AVERAGE(AW180:AW191),"")</f>
        <v>1.00638327763996</v>
      </c>
      <c r="AY185" s="23" t="n">
        <f aca="false">IF(ISNUMBER(Tabelle1!Q192),(0.5*Tabelle1!Q180+SUM(Tabelle1!Q181:Q191)+0.5*Tabelle1!Q192)/12,"")</f>
        <v>161.500421666667</v>
      </c>
      <c r="AZ185" s="24" t="n">
        <f aca="false">IFERROR(Tabelle1!Q186/AY185,"")</f>
        <v>1.01408738323934</v>
      </c>
      <c r="BA185" s="24" t="n">
        <f aca="false">IFERROR(AVERAGEIFS($AZ$7:$AZ$294,$B$7:$B$294,$B185,$A$7:$A$294,"&gt;="&amp;EDATE($A185,-12*'Seasonal Factors'!$E$4),$A$7:$A$294,"&lt;="&amp;EDATE($A185,12*'Seasonal Factors'!$E$4)),"")</f>
        <v>1.01430156727455</v>
      </c>
      <c r="BB185" s="24" t="n">
        <f aca="false">IFERROR(BA185/AVERAGE(BA180:BA191),"")</f>
        <v>1.01420228036176</v>
      </c>
      <c r="BC185" s="23" t="n">
        <f aca="false">IF(ISNUMBER(Tabelle1!R192),(0.5*Tabelle1!R180+SUM(Tabelle1!R181:R191)+0.5*Tabelle1!R192)/12,"")</f>
        <v>180.714329166667</v>
      </c>
      <c r="BD185" s="24" t="n">
        <f aca="false">IFERROR(Tabelle1!R186/BC185,"")</f>
        <v>0.957194378540219</v>
      </c>
      <c r="BE185" s="24" t="n">
        <f aca="false">IFERROR(AVERAGEIFS($BD$7:$BD$294,$B$7:$B$294,$B185,$A$7:$A$294,"&gt;="&amp;EDATE($A185,-12*'Seasonal Factors'!$E$4),$A$7:$A$294,"&lt;="&amp;EDATE($A185,12*'Seasonal Factors'!$E$4)),"")</f>
        <v>0.964367073195547</v>
      </c>
      <c r="BF185" s="24" t="n">
        <f aca="false">IFERROR(BE185/AVERAGE(BE180:BE191),"")</f>
        <v>0.964500343117272</v>
      </c>
      <c r="BG185" s="23" t="n">
        <f aca="false">IF(ISNUMBER(Tabelle1!S192),(0.5*Tabelle1!S180+SUM(Tabelle1!S181:S191)+0.5*Tabelle1!S192)/12,"")</f>
        <v>148.923480416667</v>
      </c>
      <c r="BH185" s="24" t="n">
        <f aca="false">IFERROR(Tabelle1!S186/BG185,"")</f>
        <v>0.943669457675878</v>
      </c>
      <c r="BI185" s="24" t="n">
        <f aca="false">IFERROR(AVERAGEIFS($BH$7:$BH$294,$B$7:$B$294,$B185,$A$7:$A$294,"&gt;="&amp;EDATE($A185,-12*'Seasonal Factors'!$E$4),$A$7:$A$294,"&lt;="&amp;EDATE($A185,12*'Seasonal Factors'!$E$4)),"")</f>
        <v>0.996636473578494</v>
      </c>
      <c r="BJ185" s="24" t="n">
        <f aca="false">IFERROR(BI185/AVERAGE(BI180:BI191),"")</f>
        <v>0.999326025470284</v>
      </c>
    </row>
    <row r="186" customFormat="false" ht="15" hidden="false" customHeight="false" outlineLevel="0" collapsed="false">
      <c r="A186" s="20" t="n">
        <v>43465</v>
      </c>
      <c r="B186" s="22" t="n">
        <f aca="false">MONTH(A186)</f>
        <v>12</v>
      </c>
      <c r="C186" s="23" t="n">
        <f aca="false">IF(ISNUMBER(Tabelle1!E193),(0.5*Tabelle1!E181+SUM(Tabelle1!E182:E192)+0.5*Tabelle1!E193)/12,"")</f>
        <v>132.21511875</v>
      </c>
      <c r="D186" s="24" t="n">
        <f aca="false">IFERROR(Tabelle1!E187/C186,"")</f>
        <v>0.770572994701485</v>
      </c>
      <c r="E186" s="24" t="n">
        <f aca="false">IFERROR(AVERAGEIFS($D$7:$D$294,$B$7:$B$294,$B186,$A$7:$A$294,"&gt;="&amp;EDATE($A186,-12*'Seasonal Factors'!$E$4),$A$7:$A$294,"&lt;="&amp;EDATE($A186,12*'Seasonal Factors'!$E$4)),"")</f>
        <v>0.808878955183739</v>
      </c>
      <c r="F186" s="24" t="n">
        <f aca="false">IFERROR(E186/AVERAGE(E181:E192),"")</f>
        <v>0.816347406555531</v>
      </c>
      <c r="G186" s="23" t="n">
        <f aca="false">IF(ISNUMBER(Tabelle1!F193),(0.5*Tabelle1!F181+SUM(Tabelle1!F182:F192)+0.5*Tabelle1!F193)/12,"")</f>
        <v>188.911436666667</v>
      </c>
      <c r="H186" s="24" t="n">
        <f aca="false">IFERROR(Tabelle1!F187/G186,"")</f>
        <v>0.448057573927366</v>
      </c>
      <c r="I186" s="24" t="n">
        <f aca="false">IFERROR(AVERAGEIFS($H$7:$H$294,$B$7:$B$294,$B186,$A$7:$A$294,"&gt;="&amp;EDATE($A186,-12*'Seasonal Factors'!$E$4),$A$7:$A$294,"&lt;="&amp;EDATE($A186,12*'Seasonal Factors'!$E$4)),"")</f>
        <v>0.59125424325967</v>
      </c>
      <c r="J186" s="24" t="n">
        <f aca="false">IFERROR(I186/AVERAGE(I181:I192),"")</f>
        <v>0.595518009274158</v>
      </c>
      <c r="K186" s="23" t="n">
        <f aca="false">IF(ISNUMBER(Tabelle1!G193),(0.5*Tabelle1!G181+SUM(Tabelle1!G182:G192)+0.5*Tabelle1!G193)/12,"")</f>
        <v>87.5178570833333</v>
      </c>
      <c r="L186" s="24" t="n">
        <f aca="false">IFERROR(Tabelle1!G187/K186,"")</f>
        <v>1.00521588315665</v>
      </c>
      <c r="M186" s="24" t="n">
        <f aca="false">IFERROR(AVERAGEIFS($L$7:$L$294,$B$7:$B$294,$B186,$A$7:$A$294,"&gt;="&amp;EDATE($A186,-12*'Seasonal Factors'!$E$4),$A$7:$A$294,"&lt;="&amp;EDATE($A186,12*'Seasonal Factors'!$E$4)),"")</f>
        <v>1.0086111333859</v>
      </c>
      <c r="N186" s="24" t="n">
        <f aca="false">IFERROR(M186/AVERAGE(M181:M192),"")</f>
        <v>1.00913980854207</v>
      </c>
      <c r="O186" s="23" t="n">
        <f aca="false">IF(ISNUMBER(Tabelle1!H193),(0.5*Tabelle1!H181+SUM(Tabelle1!H182:H192)+0.5*Tabelle1!H193)/12,"")</f>
        <v>120.369248333333</v>
      </c>
      <c r="P186" s="24" t="n">
        <f aca="false">IFERROR(Tabelle1!H187/O186,"")</f>
        <v>0.938661257459322</v>
      </c>
      <c r="Q186" s="24" t="n">
        <f aca="false">IFERROR(AVERAGEIFS($P$7:$P$294,$B$7:$B$294,$B186,$A$7:$A$294,"&gt;="&amp;EDATE($A186,-12*'Seasonal Factors'!$E$4),$A$7:$A$294,"&lt;="&amp;EDATE($A186,12*'Seasonal Factors'!$E$4)),"")</f>
        <v>0.99604656443602</v>
      </c>
      <c r="R186" s="24" t="n">
        <f aca="false">IFERROR(Q186/AVERAGE(Q181:Q192),"")</f>
        <v>0.996263133170653</v>
      </c>
      <c r="S186" s="23" t="n">
        <f aca="false">IF(ISNUMBER(Tabelle1!I193),(0.5*Tabelle1!I181+SUM(Tabelle1!I182:I192)+0.5*Tabelle1!I193)/12,"")</f>
        <v>139.588865</v>
      </c>
      <c r="T186" s="24" t="n">
        <f aca="false">IFERROR(Tabelle1!I187/S186,"")</f>
        <v>0.997784171395047</v>
      </c>
      <c r="U186" s="24" t="n">
        <f aca="false">IFERROR(AVERAGEIFS($T$7:$T$294,$B$7:$B$294,$B186,$A$7:$A$294,"&gt;="&amp;EDATE($A186,-12*'Seasonal Factors'!$E$4),$A$7:$A$294,"&lt;="&amp;EDATE($A186,12*'Seasonal Factors'!$E$4)),"")</f>
        <v>1.03638671815278</v>
      </c>
      <c r="V186" s="24" t="n">
        <f aca="false">IFERROR(U186/AVERAGE(U181:U192),"")</f>
        <v>1.03621933221595</v>
      </c>
      <c r="W186" s="23" t="n">
        <f aca="false">IF(ISNUMBER(Tabelle1!J193),(0.5*Tabelle1!J181+SUM(Tabelle1!J182:J192)+0.5*Tabelle1!J193)/12,"")</f>
        <v>144.703819583333</v>
      </c>
      <c r="X186" s="24" t="n">
        <f aca="false">IFERROR(Tabelle1!J187/W186,"")</f>
        <v>0.872795620486486</v>
      </c>
      <c r="Y186" s="24" t="n">
        <f aca="false">IFERROR(AVERAGEIFS($X$7:$X$294,$B$7:$B$294,$B186,$A$7:$A$294,"&gt;="&amp;EDATE($A186,-12*'Seasonal Factors'!$E$4),$A$7:$A$294,"&lt;="&amp;EDATE($A186,12*'Seasonal Factors'!$E$4)),"")</f>
        <v>0.958453620232915</v>
      </c>
      <c r="Z186" s="24" t="n">
        <f aca="false">IFERROR(Y186/AVERAGE(Y181:Y192),"")</f>
        <v>0.960459492119036</v>
      </c>
      <c r="AA186" s="23" t="n">
        <f aca="false">IF(ISNUMBER(Tabelle1!K193),(0.5*Tabelle1!K181+SUM(Tabelle1!K182:K192)+0.5*Tabelle1!K193)/12,"")</f>
        <v>143.35485</v>
      </c>
      <c r="AB186" s="24" t="n">
        <f aca="false">IFERROR(Tabelle1!K187/AA186,"")</f>
        <v>0.911973888570913</v>
      </c>
      <c r="AC186" s="24" t="n">
        <f aca="false">IFERROR(AVERAGEIFS($AB$7:$AB$294,$B$7:$B$294,$B186,$A$7:$A$294,"&gt;="&amp;EDATE($A186,-12*'Seasonal Factors'!$E$4),$A$7:$A$294,"&lt;="&amp;EDATE($A186,12*'Seasonal Factors'!$E$4)),"")</f>
        <v>0.958939323639258</v>
      </c>
      <c r="AD186" s="24" t="n">
        <f aca="false">IFERROR(AC186/AVERAGE(AC181:AC192),"")</f>
        <v>0.958524364019139</v>
      </c>
      <c r="AE186" s="23" t="n">
        <f aca="false">IF(ISNUMBER(Tabelle1!L193),(0.5*Tabelle1!L181+SUM(Tabelle1!L182:L192)+0.5*Tabelle1!L193)/12,"")</f>
        <v>164.1036625</v>
      </c>
      <c r="AF186" s="24" t="n">
        <f aca="false">IFERROR(Tabelle1!L187/AE186,"")</f>
        <v>1.0549049141423</v>
      </c>
      <c r="AG186" s="24" t="n">
        <f aca="false">IFERROR(AVERAGEIFS($AF$7:$AF$294,$B$7:$B$294,$B186,$A$7:$A$294,"&gt;="&amp;EDATE($A186,-12*'Seasonal Factors'!$E$4),$A$7:$A$294,"&lt;="&amp;EDATE($A186,12*'Seasonal Factors'!$E$4)),"")</f>
        <v>1.06619854636224</v>
      </c>
      <c r="AH186" s="24" t="n">
        <f aca="false">IFERROR(AG186/AVERAGE(AG181:AG192),"")</f>
        <v>1.07085446566224</v>
      </c>
      <c r="AI186" s="23" t="n">
        <f aca="false">IF(ISNUMBER(Tabelle1!M193),(0.5*Tabelle1!M181+SUM(Tabelle1!M182:M192)+0.5*Tabelle1!M193)/12,"")</f>
        <v>190.017461666667</v>
      </c>
      <c r="AJ186" s="24" t="n">
        <f aca="false">IFERROR(Tabelle1!M187/AI186,"")</f>
        <v>0.967772216232373</v>
      </c>
      <c r="AK186" s="24" t="n">
        <f aca="false">IFERROR(AVERAGEIFS($AJ$7:$AJ$294,$B$7:$B$294,$B186,$A$7:$A$294,"&gt;="&amp;EDATE($A186,-12*'Seasonal Factors'!$E$4),$A$7:$A$294,"&lt;="&amp;EDATE($A186,12*'Seasonal Factors'!$E$4)),"")</f>
        <v>0.981643210353086</v>
      </c>
      <c r="AL186" s="24" t="n">
        <f aca="false">IFERROR(AK186/AVERAGE(AK181:AK192),"")</f>
        <v>0.982208138448653</v>
      </c>
      <c r="AM186" s="23" t="n">
        <f aca="false">IF(ISNUMBER(Tabelle1!N193),(0.5*Tabelle1!N181+SUM(Tabelle1!N182:N192)+0.5*Tabelle1!N193)/12,"")</f>
        <v>180.2965225</v>
      </c>
      <c r="AN186" s="24" t="n">
        <f aca="false">IFERROR(Tabelle1!N187/AM186,"")</f>
        <v>1.0325897993956</v>
      </c>
      <c r="AO186" s="24" t="n">
        <f aca="false">IFERROR(AVERAGEIFS($AN$7:$AN$294,$B$7:$B$294,$B186,$A$7:$A$294,"&gt;="&amp;EDATE($A186,-12*'Seasonal Factors'!$E$4),$A$7:$A$294,"&lt;="&amp;EDATE($A186,12*'Seasonal Factors'!$E$4)),"")</f>
        <v>1.03281906681616</v>
      </c>
      <c r="AP186" s="24" t="n">
        <f aca="false">IFERROR(AO186/AVERAGE(AO181:AO192),"")</f>
        <v>1.03331213616465</v>
      </c>
      <c r="AQ186" s="23" t="n">
        <f aca="false">IF(ISNUMBER(Tabelle1!O193),(0.5*Tabelle1!O181+SUM(Tabelle1!O182:O192)+0.5*Tabelle1!O193)/12,"")</f>
        <v>140.60529875</v>
      </c>
      <c r="AR186" s="24" t="n">
        <f aca="false">IFERROR(Tabelle1!O187/AQ186,"")</f>
        <v>1.0171980094029</v>
      </c>
      <c r="AS186" s="24" t="n">
        <f aca="false">IFERROR(AVERAGEIFS($AR$7:$AR$294,$B$7:$B$294,$B186,$A$7:$A$294,"&gt;="&amp;EDATE($A186,-12*'Seasonal Factors'!$E$4),$A$7:$A$294,"&lt;="&amp;EDATE($A186,12*'Seasonal Factors'!$E$4)),"")</f>
        <v>1.02923101041279</v>
      </c>
      <c r="AT186" s="24" t="n">
        <f aca="false">IFERROR(AS186/AVERAGE(AS181:AS192),"")</f>
        <v>1.02922210311524</v>
      </c>
      <c r="AU186" s="23" t="n">
        <f aca="false">IF(ISNUMBER(Tabelle1!P193),(0.5*Tabelle1!P181+SUM(Tabelle1!P182:P192)+0.5*Tabelle1!P193)/12,"")</f>
        <v>154.248795</v>
      </c>
      <c r="AV186" s="24" t="n">
        <f aca="false">IFERROR(Tabelle1!P187/AU186,"")</f>
        <v>1.00261159252492</v>
      </c>
      <c r="AW186" s="24" t="n">
        <f aca="false">IFERROR(AVERAGEIFS($AV$7:$AV$294,$B$7:$B$294,$B186,$A$7:$A$294,"&gt;="&amp;EDATE($A186,-12*'Seasonal Factors'!$E$4),$A$7:$A$294,"&lt;="&amp;EDATE($A186,12*'Seasonal Factors'!$E$4)),"")</f>
        <v>1.00922586351594</v>
      </c>
      <c r="AX186" s="24" t="n">
        <f aca="false">IFERROR(AW186/AVERAGE(AW181:AW192),"")</f>
        <v>1.00925439721709</v>
      </c>
      <c r="AY186" s="23" t="n">
        <f aca="false">IF(ISNUMBER(Tabelle1!Q193),(0.5*Tabelle1!Q181+SUM(Tabelle1!Q182:Q192)+0.5*Tabelle1!Q193)/12,"")</f>
        <v>161.569555833333</v>
      </c>
      <c r="AZ186" s="24" t="n">
        <f aca="false">IFERROR(Tabelle1!Q187/AY186,"")</f>
        <v>1.01144487992883</v>
      </c>
      <c r="BA186" s="24" t="n">
        <f aca="false">IFERROR(AVERAGEIFS($AZ$7:$AZ$294,$B$7:$B$294,$B186,$A$7:$A$294,"&gt;="&amp;EDATE($A186,-12*'Seasonal Factors'!$E$4),$A$7:$A$294,"&lt;="&amp;EDATE($A186,12*'Seasonal Factors'!$E$4)),"")</f>
        <v>1.01488673348002</v>
      </c>
      <c r="BB186" s="24" t="n">
        <f aca="false">IFERROR(BA186/AVERAGE(BA181:BA192),"")</f>
        <v>1.01481997851251</v>
      </c>
      <c r="BC186" s="23" t="n">
        <f aca="false">IF(ISNUMBER(Tabelle1!R193),(0.5*Tabelle1!R181+SUM(Tabelle1!R182:R192)+0.5*Tabelle1!R193)/12,"")</f>
        <v>180.683260833333</v>
      </c>
      <c r="BD186" s="24" t="n">
        <f aca="false">IFERROR(Tabelle1!R187/BC186,"")</f>
        <v>0.916792564158994</v>
      </c>
      <c r="BE186" s="24" t="n">
        <f aca="false">IFERROR(AVERAGEIFS($BD$7:$BD$294,$B$7:$B$294,$B186,$A$7:$A$294,"&gt;="&amp;EDATE($A186,-12*'Seasonal Factors'!$E$4),$A$7:$A$294,"&lt;="&amp;EDATE($A186,12*'Seasonal Factors'!$E$4)),"")</f>
        <v>0.925842066887197</v>
      </c>
      <c r="BF186" s="24" t="n">
        <f aca="false">IFERROR(BE186/AVERAGE(BE181:BE192),"")</f>
        <v>0.925920713110572</v>
      </c>
      <c r="BG186" s="23" t="n">
        <f aca="false">IF(ISNUMBER(Tabelle1!S193),(0.5*Tabelle1!S181+SUM(Tabelle1!S182:S192)+0.5*Tabelle1!S193)/12,"")</f>
        <v>148.581301666667</v>
      </c>
      <c r="BH186" s="24" t="n">
        <f aca="false">IFERROR(Tabelle1!S187/BG186,"")</f>
        <v>0.920375232051687</v>
      </c>
      <c r="BI186" s="24" t="n">
        <f aca="false">IFERROR(AVERAGEIFS($BH$7:$BH$294,$B$7:$B$294,$B186,$A$7:$A$294,"&gt;="&amp;EDATE($A186,-12*'Seasonal Factors'!$E$4),$A$7:$A$294,"&lt;="&amp;EDATE($A186,12*'Seasonal Factors'!$E$4)),"")</f>
        <v>0.997282669740995</v>
      </c>
      <c r="BJ186" s="24" t="n">
        <f aca="false">IFERROR(BI186/AVERAGE(BI181:BI192),"")</f>
        <v>1.00035565146573</v>
      </c>
    </row>
    <row r="187" customFormat="false" ht="15" hidden="false" customHeight="false" outlineLevel="0" collapsed="false">
      <c r="A187" s="20" t="n">
        <v>43496</v>
      </c>
      <c r="B187" s="22" t="n">
        <f aca="false">MONTH(A187)</f>
        <v>1</v>
      </c>
      <c r="C187" s="23" t="n">
        <f aca="false">IF(ISNUMBER(Tabelle1!E194),(0.5*Tabelle1!E182+SUM(Tabelle1!E183:E193)+0.5*Tabelle1!E194)/12,"")</f>
        <v>136.131476666667</v>
      </c>
      <c r="D187" s="24" t="n">
        <f aca="false">IFERROR(Tabelle1!E188/C187,"")</f>
        <v>0.537610931667212</v>
      </c>
      <c r="E187" s="24" t="n">
        <f aca="false">IFERROR(AVERAGEIFS($D$7:$D$294,$B$7:$B$294,$B187,$A$7:$A$294,"&gt;="&amp;EDATE($A187,-12*'Seasonal Factors'!$E$4),$A$7:$A$294,"&lt;="&amp;EDATE($A187,12*'Seasonal Factors'!$E$4)),"")</f>
        <v>0.625218317114837</v>
      </c>
      <c r="F187" s="24" t="n">
        <f aca="false">IFERROR(E187/AVERAGE(E182:E193),"")</f>
        <v>0.630345113705159</v>
      </c>
      <c r="G187" s="23" t="n">
        <f aca="false">IF(ISNUMBER(Tabelle1!F194),(0.5*Tabelle1!F182+SUM(Tabelle1!F183:F193)+0.5*Tabelle1!F194)/12,"")</f>
        <v>187.670857083333</v>
      </c>
      <c r="H187" s="24" t="n">
        <f aca="false">IFERROR(Tabelle1!F188/G187,"")</f>
        <v>0.805683430820907</v>
      </c>
      <c r="I187" s="24" t="n">
        <f aca="false">IFERROR(AVERAGEIFS($H$7:$H$294,$B$7:$B$294,$B187,$A$7:$A$294,"&gt;="&amp;EDATE($A187,-12*'Seasonal Factors'!$E$4),$A$7:$A$294,"&lt;="&amp;EDATE($A187,12*'Seasonal Factors'!$E$4)),"")</f>
        <v>0.659246233145314</v>
      </c>
      <c r="J187" s="24" t="n">
        <f aca="false">IFERROR(I187/AVERAGE(I182:I193),"")</f>
        <v>0.658662186993432</v>
      </c>
      <c r="K187" s="23" t="n">
        <f aca="false">IF(ISNUMBER(Tabelle1!G194),(0.5*Tabelle1!G182+SUM(Tabelle1!G183:G193)+0.5*Tabelle1!G194)/12,"")</f>
        <v>87.6953991666667</v>
      </c>
      <c r="L187" s="24" t="n">
        <f aca="false">IFERROR(Tabelle1!G188/K187,"")</f>
        <v>0.998680670049215</v>
      </c>
      <c r="M187" s="24" t="n">
        <f aca="false">IFERROR(AVERAGEIFS($L$7:$L$294,$B$7:$B$294,$B187,$A$7:$A$294,"&gt;="&amp;EDATE($A187,-12*'Seasonal Factors'!$E$4),$A$7:$A$294,"&lt;="&amp;EDATE($A187,12*'Seasonal Factors'!$E$4)),"")</f>
        <v>1.00375321147653</v>
      </c>
      <c r="N187" s="24" t="n">
        <f aca="false">IFERROR(M187/AVERAGE(M182:M193),"")</f>
        <v>1.00434193227813</v>
      </c>
      <c r="O187" s="23" t="n">
        <f aca="false">IF(ISNUMBER(Tabelle1!H194),(0.5*Tabelle1!H182+SUM(Tabelle1!H183:H193)+0.5*Tabelle1!H194)/12,"")</f>
        <v>119.911693333333</v>
      </c>
      <c r="P187" s="24" t="n">
        <f aca="false">IFERROR(Tabelle1!H188/O187,"")</f>
        <v>0.873006268946581</v>
      </c>
      <c r="Q187" s="24" t="n">
        <f aca="false">IFERROR(AVERAGEIFS($P$7:$P$294,$B$7:$B$294,$B187,$A$7:$A$294,"&gt;="&amp;EDATE($A187,-12*'Seasonal Factors'!$E$4),$A$7:$A$294,"&lt;="&amp;EDATE($A187,12*'Seasonal Factors'!$E$4)),"")</f>
        <v>0.872552678836024</v>
      </c>
      <c r="R187" s="24" t="n">
        <f aca="false">IFERROR(Q187/AVERAGE(Q182:Q193),"")</f>
        <v>0.872571602433796</v>
      </c>
      <c r="S187" s="23" t="n">
        <f aca="false">IF(ISNUMBER(Tabelle1!I194),(0.5*Tabelle1!I182+SUM(Tabelle1!I183:I193)+0.5*Tabelle1!I194)/12,"")</f>
        <v>138.612705416667</v>
      </c>
      <c r="T187" s="24" t="n">
        <f aca="false">IFERROR(Tabelle1!I188/S187,"")</f>
        <v>1.05132793968595</v>
      </c>
      <c r="U187" s="24" t="n">
        <f aca="false">IFERROR(AVERAGEIFS($T$7:$T$294,$B$7:$B$294,$B187,$A$7:$A$294,"&gt;="&amp;EDATE($A187,-12*'Seasonal Factors'!$E$4),$A$7:$A$294,"&lt;="&amp;EDATE($A187,12*'Seasonal Factors'!$E$4)),"")</f>
        <v>1.07402121172877</v>
      </c>
      <c r="V187" s="24" t="n">
        <f aca="false">IFERROR(U187/AVERAGE(U182:U193),"")</f>
        <v>1.07388075951938</v>
      </c>
      <c r="W187" s="23" t="n">
        <f aca="false">IF(ISNUMBER(Tabelle1!J194),(0.5*Tabelle1!J182+SUM(Tabelle1!J183:J193)+0.5*Tabelle1!J194)/12,"")</f>
        <v>144.250559166667</v>
      </c>
      <c r="X187" s="24" t="n">
        <f aca="false">IFERROR(Tabelle1!J188/W187,"")</f>
        <v>0.99166236045382</v>
      </c>
      <c r="Y187" s="24" t="n">
        <f aca="false">IFERROR(AVERAGEIFS($X$7:$X$294,$B$7:$B$294,$B187,$A$7:$A$294,"&gt;="&amp;EDATE($A187,-12*'Seasonal Factors'!$E$4),$A$7:$A$294,"&lt;="&amp;EDATE($A187,12*'Seasonal Factors'!$E$4)),"")</f>
        <v>1.02699746209944</v>
      </c>
      <c r="Z187" s="24" t="n">
        <f aca="false">IFERROR(Y187/AVERAGE(Y182:Y193),"")</f>
        <v>1.02921404160182</v>
      </c>
      <c r="AA187" s="23" t="n">
        <f aca="false">IF(ISNUMBER(Tabelle1!K194),(0.5*Tabelle1!K182+SUM(Tabelle1!K183:K193)+0.5*Tabelle1!K194)/12,"")</f>
        <v>142.680985</v>
      </c>
      <c r="AB187" s="24" t="n">
        <f aca="false">IFERROR(Tabelle1!K188/AA187,"")</f>
        <v>0.883676756226487</v>
      </c>
      <c r="AC187" s="24" t="n">
        <f aca="false">IFERROR(AVERAGEIFS($AB$7:$AB$294,$B$7:$B$294,$B187,$A$7:$A$294,"&gt;="&amp;EDATE($A187,-12*'Seasonal Factors'!$E$4),$A$7:$A$294,"&lt;="&amp;EDATE($A187,12*'Seasonal Factors'!$E$4)),"")</f>
        <v>0.893301264106231</v>
      </c>
      <c r="AD187" s="24" t="n">
        <f aca="false">IFERROR(AC187/AVERAGE(AC182:AC193),"")</f>
        <v>0.892962606613</v>
      </c>
      <c r="AE187" s="23" t="n">
        <f aca="false">IF(ISNUMBER(Tabelle1!L194),(0.5*Tabelle1!L182+SUM(Tabelle1!L183:L193)+0.5*Tabelle1!L194)/12,"")</f>
        <v>164.488949583333</v>
      </c>
      <c r="AF187" s="24" t="n">
        <f aca="false">IFERROR(Tabelle1!L188/AE187,"")</f>
        <v>1.0585125653793</v>
      </c>
      <c r="AG187" s="24" t="n">
        <f aca="false">IFERROR(AVERAGEIFS($AF$7:$AF$294,$B$7:$B$294,$B187,$A$7:$A$294,"&gt;="&amp;EDATE($A187,-12*'Seasonal Factors'!$E$4),$A$7:$A$294,"&lt;="&amp;EDATE($A187,12*'Seasonal Factors'!$E$4)),"")</f>
        <v>1.16053306145758</v>
      </c>
      <c r="AH187" s="24" t="n">
        <f aca="false">IFERROR(AG187/AVERAGE(AG182:AG193),"")</f>
        <v>1.1665164684615</v>
      </c>
      <c r="AI187" s="23" t="n">
        <f aca="false">IF(ISNUMBER(Tabelle1!M194),(0.5*Tabelle1!M182+SUM(Tabelle1!M183:M193)+0.5*Tabelle1!M194)/12,"")</f>
        <v>190.282521666667</v>
      </c>
      <c r="AJ187" s="24" t="n">
        <f aca="false">IFERROR(Tabelle1!M188/AI187,"")</f>
        <v>0.981307312749946</v>
      </c>
      <c r="AK187" s="24" t="n">
        <f aca="false">IFERROR(AVERAGEIFS($AJ$7:$AJ$294,$B$7:$B$294,$B187,$A$7:$A$294,"&gt;="&amp;EDATE($A187,-12*'Seasonal Factors'!$E$4),$A$7:$A$294,"&lt;="&amp;EDATE($A187,12*'Seasonal Factors'!$E$4)),"")</f>
        <v>0.99079615942944</v>
      </c>
      <c r="AL187" s="24" t="n">
        <f aca="false">IFERROR(AK187/AVERAGE(AK182:AK193),"")</f>
        <v>0.991366291830354</v>
      </c>
      <c r="AM187" s="23" t="n">
        <f aca="false">IF(ISNUMBER(Tabelle1!N194),(0.5*Tabelle1!N182+SUM(Tabelle1!N183:N193)+0.5*Tabelle1!N194)/12,"")</f>
        <v>177.994541666667</v>
      </c>
      <c r="AN187" s="24" t="n">
        <f aca="false">IFERROR(Tabelle1!N188/AM187,"")</f>
        <v>1.01536242801453</v>
      </c>
      <c r="AO187" s="24" t="n">
        <f aca="false">IFERROR(AVERAGEIFS($AN$7:$AN$294,$B$7:$B$294,$B187,$A$7:$A$294,"&gt;="&amp;EDATE($A187,-12*'Seasonal Factors'!$E$4),$A$7:$A$294,"&lt;="&amp;EDATE($A187,12*'Seasonal Factors'!$E$4)),"")</f>
        <v>1.00819011391145</v>
      </c>
      <c r="AP187" s="24" t="n">
        <f aca="false">IFERROR(AO187/AVERAGE(AO182:AO193),"")</f>
        <v>1.0084735181669</v>
      </c>
      <c r="AQ187" s="23" t="n">
        <f aca="false">IF(ISNUMBER(Tabelle1!O194),(0.5*Tabelle1!O182+SUM(Tabelle1!O183:O193)+0.5*Tabelle1!O194)/12,"")</f>
        <v>140.492331666667</v>
      </c>
      <c r="AR187" s="24" t="n">
        <f aca="false">IFERROR(Tabelle1!O188/AQ187,"")</f>
        <v>0.96421198504559</v>
      </c>
      <c r="AS187" s="24" t="n">
        <f aca="false">IFERROR(AVERAGEIFS($AR$7:$AR$294,$B$7:$B$294,$B187,$A$7:$A$294,"&gt;="&amp;EDATE($A187,-12*'Seasonal Factors'!$E$4),$A$7:$A$294,"&lt;="&amp;EDATE($A187,12*'Seasonal Factors'!$E$4)),"")</f>
        <v>0.972971705587739</v>
      </c>
      <c r="AT187" s="24" t="n">
        <f aca="false">IFERROR(AS187/AVERAGE(AS182:AS193),"")</f>
        <v>0.973143052276699</v>
      </c>
      <c r="AU187" s="23" t="n">
        <f aca="false">IF(ISNUMBER(Tabelle1!P194),(0.5*Tabelle1!P182+SUM(Tabelle1!P183:P193)+0.5*Tabelle1!P194)/12,"")</f>
        <v>154.358252083333</v>
      </c>
      <c r="AV187" s="24" t="n">
        <f aca="false">IFERROR(Tabelle1!P188/AU187,"")</f>
        <v>0.9977238529292</v>
      </c>
      <c r="AW187" s="24" t="n">
        <f aca="false">IFERROR(AVERAGEIFS($AV$7:$AV$294,$B$7:$B$294,$B187,$A$7:$A$294,"&gt;="&amp;EDATE($A187,-12*'Seasonal Factors'!$E$4),$A$7:$A$294,"&lt;="&amp;EDATE($A187,12*'Seasonal Factors'!$E$4)),"")</f>
        <v>1.00700399370617</v>
      </c>
      <c r="AX187" s="24" t="n">
        <f aca="false">IFERROR(AW187/AVERAGE(AW182:AW193),"")</f>
        <v>1.0070182827152</v>
      </c>
      <c r="AY187" s="23" t="n">
        <f aca="false">IF(ISNUMBER(Tabelle1!Q194),(0.5*Tabelle1!Q182+SUM(Tabelle1!Q183:Q193)+0.5*Tabelle1!Q194)/12,"")</f>
        <v>161.6508775</v>
      </c>
      <c r="AZ187" s="24" t="n">
        <f aca="false">IFERROR(Tabelle1!Q188/AY187,"")</f>
        <v>0.972018292941218</v>
      </c>
      <c r="BA187" s="24" t="n">
        <f aca="false">IFERROR(AVERAGEIFS($AZ$7:$AZ$294,$B$7:$B$294,$B187,$A$7:$A$294,"&gt;="&amp;EDATE($A187,-12*'Seasonal Factors'!$E$4),$A$7:$A$294,"&lt;="&amp;EDATE($A187,12*'Seasonal Factors'!$E$4)),"")</f>
        <v>0.978073139191396</v>
      </c>
      <c r="BB187" s="24" t="n">
        <f aca="false">IFERROR(BA187/AVERAGE(BA182:BA193),"")</f>
        <v>0.978001824824438</v>
      </c>
      <c r="BC187" s="23" t="n">
        <f aca="false">IF(ISNUMBER(Tabelle1!R194),(0.5*Tabelle1!R182+SUM(Tabelle1!R183:R193)+0.5*Tabelle1!R194)/12,"")</f>
        <v>180.678774583333</v>
      </c>
      <c r="BD187" s="24" t="n">
        <f aca="false">IFERROR(Tabelle1!R188/BC187,"")</f>
        <v>0.99750228224442</v>
      </c>
      <c r="BE187" s="24" t="n">
        <f aca="false">IFERROR(AVERAGEIFS($BD$7:$BD$294,$B$7:$B$294,$B187,$A$7:$A$294,"&gt;="&amp;EDATE($A187,-12*'Seasonal Factors'!$E$4),$A$7:$A$294,"&lt;="&amp;EDATE($A187,12*'Seasonal Factors'!$E$4)),"")</f>
        <v>1.00979831815254</v>
      </c>
      <c r="BF187" s="24" t="n">
        <f aca="false">IFERROR(BE187/AVERAGE(BE182:BE193),"")</f>
        <v>1.00989129357998</v>
      </c>
      <c r="BG187" s="23" t="n">
        <f aca="false">IF(ISNUMBER(Tabelle1!S194),(0.5*Tabelle1!S182+SUM(Tabelle1!S183:S193)+0.5*Tabelle1!S194)/12,"")</f>
        <v>148.363886666667</v>
      </c>
      <c r="BH187" s="24" t="n">
        <f aca="false">IFERROR(Tabelle1!S188/BG187,"")</f>
        <v>1.04996076538482</v>
      </c>
      <c r="BI187" s="24" t="n">
        <f aca="false">IFERROR(AVERAGEIFS($BH$7:$BH$294,$B$7:$B$294,$B187,$A$7:$A$294,"&gt;="&amp;EDATE($A187,-12*'Seasonal Factors'!$E$4),$A$7:$A$294,"&lt;="&amp;EDATE($A187,12*'Seasonal Factors'!$E$4)),"")</f>
        <v>1.09676332886867</v>
      </c>
      <c r="BJ187" s="24" t="n">
        <f aca="false">IFERROR(BI187/AVERAGE(BI182:BI193),"")</f>
        <v>1.1001996234576</v>
      </c>
    </row>
    <row r="188" customFormat="false" ht="15" hidden="false" customHeight="false" outlineLevel="0" collapsed="false">
      <c r="A188" s="20" t="n">
        <v>43524</v>
      </c>
      <c r="B188" s="22" t="n">
        <f aca="false">MONTH(A188)</f>
        <v>2</v>
      </c>
      <c r="C188" s="23" t="n">
        <f aca="false">IF(ISNUMBER(Tabelle1!E195),(0.5*Tabelle1!E183+SUM(Tabelle1!E184:E194)+0.5*Tabelle1!E195)/12,"")</f>
        <v>137.15636625</v>
      </c>
      <c r="D188" s="24" t="n">
        <f aca="false">IFERROR(Tabelle1!E189/C188,"")</f>
        <v>0.563415188903053</v>
      </c>
      <c r="E188" s="24" t="n">
        <f aca="false">IFERROR(AVERAGEIFS($D$7:$D$294,$B$7:$B$294,$B188,$A$7:$A$294,"&gt;="&amp;EDATE($A188,-12*'Seasonal Factors'!$E$4),$A$7:$A$294,"&lt;="&amp;EDATE($A188,12*'Seasonal Factors'!$E$4)),"")</f>
        <v>0.592262293583629</v>
      </c>
      <c r="F188" s="24" t="n">
        <f aca="false">IFERROR(E188/AVERAGE(E183:E194),"")</f>
        <v>0.595797852288499</v>
      </c>
      <c r="G188" s="23" t="n">
        <f aca="false">IF(ISNUMBER(Tabelle1!F195),(0.5*Tabelle1!F183+SUM(Tabelle1!F184:F194)+0.5*Tabelle1!F195)/12,"")</f>
        <v>187.020472916667</v>
      </c>
      <c r="H188" s="24" t="n">
        <f aca="false">IFERROR(Tabelle1!F189/G188,"")</f>
        <v>0.886440010628516</v>
      </c>
      <c r="I188" s="24" t="n">
        <f aca="false">IFERROR(AVERAGEIFS($H$7:$H$294,$B$7:$B$294,$B188,$A$7:$A$294,"&gt;="&amp;EDATE($A188,-12*'Seasonal Factors'!$E$4),$A$7:$A$294,"&lt;="&amp;EDATE($A188,12*'Seasonal Factors'!$E$4)),"")</f>
        <v>0.885918758616668</v>
      </c>
      <c r="J188" s="24" t="n">
        <f aca="false">IFERROR(I188/AVERAGE(I183:I194),"")</f>
        <v>0.882573945151087</v>
      </c>
      <c r="K188" s="23" t="n">
        <f aca="false">IF(ISNUMBER(Tabelle1!G195),(0.5*Tabelle1!G183+SUM(Tabelle1!G184:G194)+0.5*Tabelle1!G195)/12,"")</f>
        <v>87.95871125</v>
      </c>
      <c r="L188" s="24" t="n">
        <f aca="false">IFERROR(Tabelle1!G189/K188,"")</f>
        <v>0.928605351752468</v>
      </c>
      <c r="M188" s="24" t="n">
        <f aca="false">IFERROR(AVERAGEIFS($L$7:$L$294,$B$7:$B$294,$B188,$A$7:$A$294,"&gt;="&amp;EDATE($A188,-12*'Seasonal Factors'!$E$4),$A$7:$A$294,"&lt;="&amp;EDATE($A188,12*'Seasonal Factors'!$E$4)),"")</f>
        <v>0.93637581322405</v>
      </c>
      <c r="N188" s="24" t="n">
        <f aca="false">IFERROR(M188/AVERAGE(M183:M194),"")</f>
        <v>0.936765306056792</v>
      </c>
      <c r="O188" s="23" t="n">
        <f aca="false">IF(ISNUMBER(Tabelle1!H195),(0.5*Tabelle1!H183+SUM(Tabelle1!H184:H194)+0.5*Tabelle1!H195)/12,"")</f>
        <v>119.4478375</v>
      </c>
      <c r="P188" s="24" t="n">
        <f aca="false">IFERROR(Tabelle1!H189/O188,"")</f>
        <v>0.870230321247967</v>
      </c>
      <c r="Q188" s="24" t="n">
        <f aca="false">IFERROR(AVERAGEIFS($P$7:$P$294,$B$7:$B$294,$B188,$A$7:$A$294,"&gt;="&amp;EDATE($A188,-12*'Seasonal Factors'!$E$4),$A$7:$A$294,"&lt;="&amp;EDATE($A188,12*'Seasonal Factors'!$E$4)),"")</f>
        <v>0.866957981063555</v>
      </c>
      <c r="R188" s="24" t="n">
        <f aca="false">IFERROR(Q188/AVERAGE(Q183:Q194),"")</f>
        <v>0.866494515204138</v>
      </c>
      <c r="S188" s="23" t="n">
        <f aca="false">IF(ISNUMBER(Tabelle1!I195),(0.5*Tabelle1!I183+SUM(Tabelle1!I184:I194)+0.5*Tabelle1!I195)/12,"")</f>
        <v>138.15973375</v>
      </c>
      <c r="T188" s="24" t="n">
        <f aca="false">IFERROR(Tabelle1!I189/S188,"")</f>
        <v>1.00075229046249</v>
      </c>
      <c r="U188" s="24" t="n">
        <f aca="false">IFERROR(AVERAGEIFS($T$7:$T$294,$B$7:$B$294,$B188,$A$7:$A$294,"&gt;="&amp;EDATE($A188,-12*'Seasonal Factors'!$E$4),$A$7:$A$294,"&lt;="&amp;EDATE($A188,12*'Seasonal Factors'!$E$4)),"")</f>
        <v>0.969766474052314</v>
      </c>
      <c r="V188" s="24" t="n">
        <f aca="false">IFERROR(U188/AVERAGE(U183:U194),"")</f>
        <v>0.969361481809031</v>
      </c>
      <c r="W188" s="23" t="n">
        <f aca="false">IF(ISNUMBER(Tabelle1!J195),(0.5*Tabelle1!J183+SUM(Tabelle1!J184:J194)+0.5*Tabelle1!J195)/12,"")</f>
        <v>144.062555</v>
      </c>
      <c r="X188" s="24" t="n">
        <f aca="false">IFERROR(Tabelle1!J189/W188,"")</f>
        <v>1.02410199513677</v>
      </c>
      <c r="Y188" s="24" t="n">
        <f aca="false">IFERROR(AVERAGEIFS($X$7:$X$294,$B$7:$B$294,$B188,$A$7:$A$294,"&gt;="&amp;EDATE($A188,-12*'Seasonal Factors'!$E$4),$A$7:$A$294,"&lt;="&amp;EDATE($A188,12*'Seasonal Factors'!$E$4)),"")</f>
        <v>1.01564034976731</v>
      </c>
      <c r="Z188" s="24" t="n">
        <f aca="false">IFERROR(Y188/AVERAGE(Y183:Y194),"")</f>
        <v>1.01685032086529</v>
      </c>
      <c r="AA188" s="23" t="n">
        <f aca="false">IF(ISNUMBER(Tabelle1!K195),(0.5*Tabelle1!K183+SUM(Tabelle1!K184:K194)+0.5*Tabelle1!K195)/12,"")</f>
        <v>141.9642025</v>
      </c>
      <c r="AB188" s="24" t="n">
        <f aca="false">IFERROR(Tabelle1!K189/AA188,"")</f>
        <v>0.947837254958693</v>
      </c>
      <c r="AC188" s="24" t="n">
        <f aca="false">IFERROR(AVERAGEIFS($AB$7:$AB$294,$B$7:$B$294,$B188,$A$7:$A$294,"&gt;="&amp;EDATE($A188,-12*'Seasonal Factors'!$E$4),$A$7:$A$294,"&lt;="&amp;EDATE($A188,12*'Seasonal Factors'!$E$4)),"")</f>
        <v>0.928768941142151</v>
      </c>
      <c r="AD188" s="24" t="n">
        <f aca="false">IFERROR(AC188/AVERAGE(AC183:AC194),"")</f>
        <v>0.927912094486149</v>
      </c>
      <c r="AE188" s="23" t="n">
        <f aca="false">IF(ISNUMBER(Tabelle1!L195),(0.5*Tabelle1!L183+SUM(Tabelle1!L184:L194)+0.5*Tabelle1!L195)/12,"")</f>
        <v>164.82644</v>
      </c>
      <c r="AF188" s="24" t="n">
        <f aca="false">IFERROR(Tabelle1!L189/AE188,"")</f>
        <v>0.996056275922722</v>
      </c>
      <c r="AG188" s="24" t="n">
        <f aca="false">IFERROR(AVERAGEIFS($AF$7:$AF$294,$B$7:$B$294,$B188,$A$7:$A$294,"&gt;="&amp;EDATE($A188,-12*'Seasonal Factors'!$E$4),$A$7:$A$294,"&lt;="&amp;EDATE($A188,12*'Seasonal Factors'!$E$4)),"")</f>
        <v>1.11999337883498</v>
      </c>
      <c r="AH188" s="24" t="n">
        <f aca="false">IFERROR(AG188/AVERAGE(AG183:AG194),"")</f>
        <v>1.1257847013289</v>
      </c>
      <c r="AI188" s="23" t="n">
        <f aca="false">IF(ISNUMBER(Tabelle1!M195),(0.5*Tabelle1!M183+SUM(Tabelle1!M184:M194)+0.5*Tabelle1!M195)/12,"")</f>
        <v>190.32589</v>
      </c>
      <c r="AJ188" s="24" t="n">
        <f aca="false">IFERROR(Tabelle1!M189/AI188,"")</f>
        <v>0.940920806938037</v>
      </c>
      <c r="AK188" s="24" t="n">
        <f aca="false">IFERROR(AVERAGEIFS($AJ$7:$AJ$294,$B$7:$B$294,$B188,$A$7:$A$294,"&gt;="&amp;EDATE($A188,-12*'Seasonal Factors'!$E$4),$A$7:$A$294,"&lt;="&amp;EDATE($A188,12*'Seasonal Factors'!$E$4)),"")</f>
        <v>0.959207300248164</v>
      </c>
      <c r="AL188" s="24" t="n">
        <f aca="false">IFERROR(AK188/AVERAGE(AK183:AK194),"")</f>
        <v>0.959598924484085</v>
      </c>
      <c r="AM188" s="23" t="n">
        <f aca="false">IF(ISNUMBER(Tabelle1!N195),(0.5*Tabelle1!N183+SUM(Tabelle1!N184:N194)+0.5*Tabelle1!N195)/12,"")</f>
        <v>175.611784583333</v>
      </c>
      <c r="AN188" s="24" t="n">
        <f aca="false">IFERROR(Tabelle1!N189/AM188,"")</f>
        <v>0.969892256400228</v>
      </c>
      <c r="AO188" s="24" t="n">
        <f aca="false">IFERROR(AVERAGEIFS($AN$7:$AN$294,$B$7:$B$294,$B188,$A$7:$A$294,"&gt;="&amp;EDATE($A188,-12*'Seasonal Factors'!$E$4),$A$7:$A$294,"&lt;="&amp;EDATE($A188,12*'Seasonal Factors'!$E$4)),"")</f>
        <v>0.962864422509352</v>
      </c>
      <c r="AP188" s="24" t="n">
        <f aca="false">IFERROR(AO188/AVERAGE(AO183:AO194),"")</f>
        <v>0.962746759477754</v>
      </c>
      <c r="AQ188" s="23" t="n">
        <f aca="false">IF(ISNUMBER(Tabelle1!O195),(0.5*Tabelle1!O183+SUM(Tabelle1!O184:O194)+0.5*Tabelle1!O195)/12,"")</f>
        <v>140.457417916667</v>
      </c>
      <c r="AR188" s="24" t="n">
        <f aca="false">IFERROR(Tabelle1!O189/AQ188,"")</f>
        <v>0.975363366577622</v>
      </c>
      <c r="AS188" s="24" t="n">
        <f aca="false">IFERROR(AVERAGEIFS($AR$7:$AR$294,$B$7:$B$294,$B188,$A$7:$A$294,"&gt;="&amp;EDATE($A188,-12*'Seasonal Factors'!$E$4),$A$7:$A$294,"&lt;="&amp;EDATE($A188,12*'Seasonal Factors'!$E$4)),"")</f>
        <v>0.972364582992337</v>
      </c>
      <c r="AT188" s="24" t="n">
        <f aca="false">IFERROR(AS188/AVERAGE(AS183:AS194),"")</f>
        <v>0.972368769793779</v>
      </c>
      <c r="AU188" s="23" t="n">
        <f aca="false">IF(ISNUMBER(Tabelle1!P195),(0.5*Tabelle1!P183+SUM(Tabelle1!P184:P194)+0.5*Tabelle1!P195)/12,"")</f>
        <v>154.504444583333</v>
      </c>
      <c r="AV188" s="24" t="n">
        <f aca="false">IFERROR(Tabelle1!P189/AU188,"")</f>
        <v>0.998213096172878</v>
      </c>
      <c r="AW188" s="24" t="n">
        <f aca="false">IFERROR(AVERAGEIFS($AV$7:$AV$294,$B$7:$B$294,$B188,$A$7:$A$294,"&gt;="&amp;EDATE($A188,-12*'Seasonal Factors'!$E$4),$A$7:$A$294,"&lt;="&amp;EDATE($A188,12*'Seasonal Factors'!$E$4)),"")</f>
        <v>1.00718700622234</v>
      </c>
      <c r="AX188" s="24" t="n">
        <f aca="false">IFERROR(AW188/AVERAGE(AW183:AW194),"")</f>
        <v>1.00723172711549</v>
      </c>
      <c r="AY188" s="23" t="n">
        <f aca="false">IF(ISNUMBER(Tabelle1!Q195),(0.5*Tabelle1!Q183+SUM(Tabelle1!Q184:Q194)+0.5*Tabelle1!Q195)/12,"")</f>
        <v>161.747031666667</v>
      </c>
      <c r="AZ188" s="24" t="n">
        <f aca="false">IFERROR(Tabelle1!Q189/AY188,"")</f>
        <v>0.975642015645851</v>
      </c>
      <c r="BA188" s="24" t="n">
        <f aca="false">IFERROR(AVERAGEIFS($AZ$7:$AZ$294,$B$7:$B$294,$B188,$A$7:$A$294,"&gt;="&amp;EDATE($A188,-12*'Seasonal Factors'!$E$4),$A$7:$A$294,"&lt;="&amp;EDATE($A188,12*'Seasonal Factors'!$E$4)),"")</f>
        <v>0.980789068746241</v>
      </c>
      <c r="BB188" s="24" t="n">
        <f aca="false">IFERROR(BA188/AVERAGE(BA183:BA194),"")</f>
        <v>0.98071528766348</v>
      </c>
      <c r="BC188" s="23" t="n">
        <f aca="false">IF(ISNUMBER(Tabelle1!R195),(0.5*Tabelle1!R183+SUM(Tabelle1!R184:R194)+0.5*Tabelle1!R195)/12,"")</f>
        <v>180.706374583333</v>
      </c>
      <c r="BD188" s="24" t="n">
        <f aca="false">IFERROR(Tabelle1!R189/BC188,"")</f>
        <v>0.949068345792699</v>
      </c>
      <c r="BE188" s="24" t="n">
        <f aca="false">IFERROR(AVERAGEIFS($BD$7:$BD$294,$B$7:$B$294,$B188,$A$7:$A$294,"&gt;="&amp;EDATE($A188,-12*'Seasonal Factors'!$E$4),$A$7:$A$294,"&lt;="&amp;EDATE($A188,12*'Seasonal Factors'!$E$4)),"")</f>
        <v>0.958773345461522</v>
      </c>
      <c r="BF188" s="24" t="n">
        <f aca="false">IFERROR(BE188/AVERAGE(BE183:BE194),"")</f>
        <v>0.95890054872071</v>
      </c>
      <c r="BG188" s="23" t="n">
        <f aca="false">IF(ISNUMBER(Tabelle1!S195),(0.5*Tabelle1!S183+SUM(Tabelle1!S184:S194)+0.5*Tabelle1!S195)/12,"")</f>
        <v>147.977389166667</v>
      </c>
      <c r="BH188" s="24" t="n">
        <f aca="false">IFERROR(Tabelle1!S189/BG188,"")</f>
        <v>0.986371639761834</v>
      </c>
      <c r="BI188" s="24" t="n">
        <f aca="false">IFERROR(AVERAGEIFS($BH$7:$BH$294,$B$7:$B$294,$B188,$A$7:$A$294,"&gt;="&amp;EDATE($A188,-12*'Seasonal Factors'!$E$4),$A$7:$A$294,"&lt;="&amp;EDATE($A188,12*'Seasonal Factors'!$E$4)),"")</f>
        <v>1.07094062425395</v>
      </c>
      <c r="BJ188" s="24" t="n">
        <f aca="false">IFERROR(BI188/AVERAGE(BI183:BI194),"")</f>
        <v>1.0745980200296</v>
      </c>
    </row>
    <row r="189" customFormat="false" ht="15" hidden="false" customHeight="false" outlineLevel="0" collapsed="false">
      <c r="A189" s="20" t="n">
        <v>43555</v>
      </c>
      <c r="B189" s="22" t="n">
        <f aca="false">MONTH(A189)</f>
        <v>3</v>
      </c>
      <c r="C189" s="23" t="n">
        <f aca="false">IF(ISNUMBER(Tabelle1!E196),(0.5*Tabelle1!E184+SUM(Tabelle1!E185:E195)+0.5*Tabelle1!E196)/12,"")</f>
        <v>137.526612916667</v>
      </c>
      <c r="D189" s="24" t="n">
        <f aca="false">IFERROR(Tabelle1!E190/C189,"")</f>
        <v>1.16726505943451</v>
      </c>
      <c r="E189" s="24" t="n">
        <f aca="false">IFERROR(AVERAGEIFS($D$7:$D$294,$B$7:$B$294,$B189,$A$7:$A$294,"&gt;="&amp;EDATE($A189,-12*'Seasonal Factors'!$E$4),$A$7:$A$294,"&lt;="&amp;EDATE($A189,12*'Seasonal Factors'!$E$4)),"")</f>
        <v>1.15847863339592</v>
      </c>
      <c r="F189" s="24" t="n">
        <f aca="false">IFERROR(E189/AVERAGE(E184:E195),"")</f>
        <v>1.16305518558777</v>
      </c>
      <c r="G189" s="23" t="n">
        <f aca="false">IF(ISNUMBER(Tabelle1!F196),(0.5*Tabelle1!F184+SUM(Tabelle1!F185:F195)+0.5*Tabelle1!F196)/12,"")</f>
        <v>181.597784166667</v>
      </c>
      <c r="H189" s="24" t="n">
        <f aca="false">IFERROR(Tabelle1!F190/G189,"")</f>
        <v>0.852090683320149</v>
      </c>
      <c r="I189" s="24" t="n">
        <f aca="false">IFERROR(AVERAGEIFS($H$7:$H$294,$B$7:$B$294,$B189,$A$7:$A$294,"&gt;="&amp;EDATE($A189,-12*'Seasonal Factors'!$E$4),$A$7:$A$294,"&lt;="&amp;EDATE($A189,12*'Seasonal Factors'!$E$4)),"")</f>
        <v>0.796174753697132</v>
      </c>
      <c r="J189" s="24" t="n">
        <f aca="false">IFERROR(I189/AVERAGE(I184:I195),"")</f>
        <v>0.792350795764831</v>
      </c>
      <c r="K189" s="23" t="n">
        <f aca="false">IF(ISNUMBER(Tabelle1!G196),(0.5*Tabelle1!G184+SUM(Tabelle1!G185:G195)+0.5*Tabelle1!G196)/12,"")</f>
        <v>88.1858229166667</v>
      </c>
      <c r="L189" s="24" t="n">
        <f aca="false">IFERROR(Tabelle1!G190/K189,"")</f>
        <v>1.00400911474929</v>
      </c>
      <c r="M189" s="24" t="n">
        <f aca="false">IFERROR(AVERAGEIFS($L$7:$L$294,$B$7:$B$294,$B189,$A$7:$A$294,"&gt;="&amp;EDATE($A189,-12*'Seasonal Factors'!$E$4),$A$7:$A$294,"&lt;="&amp;EDATE($A189,12*'Seasonal Factors'!$E$4)),"")</f>
        <v>1.01604673595765</v>
      </c>
      <c r="N189" s="24" t="n">
        <f aca="false">IFERROR(M189/AVERAGE(M184:M195),"")</f>
        <v>1.01648453813049</v>
      </c>
      <c r="O189" s="23" t="n">
        <f aca="false">IF(ISNUMBER(Tabelle1!H196),(0.5*Tabelle1!H184+SUM(Tabelle1!H185:H195)+0.5*Tabelle1!H196)/12,"")</f>
        <v>118.80060875</v>
      </c>
      <c r="P189" s="24" t="n">
        <f aca="false">IFERROR(Tabelle1!H190/O189,"")</f>
        <v>0.96780573104597</v>
      </c>
      <c r="Q189" s="24" t="n">
        <f aca="false">IFERROR(AVERAGEIFS($P$7:$P$294,$B$7:$B$294,$B189,$A$7:$A$294,"&gt;="&amp;EDATE($A189,-12*'Seasonal Factors'!$E$4),$A$7:$A$294,"&lt;="&amp;EDATE($A189,12*'Seasonal Factors'!$E$4)),"")</f>
        <v>1.00378332666555</v>
      </c>
      <c r="R189" s="24" t="n">
        <f aca="false">IFERROR(Q189/AVERAGE(Q184:Q195),"")</f>
        <v>1.0030856397272</v>
      </c>
      <c r="S189" s="23" t="n">
        <f aca="false">IF(ISNUMBER(Tabelle1!I196),(0.5*Tabelle1!I184+SUM(Tabelle1!I185:I195)+0.5*Tabelle1!I196)/12,"")</f>
        <v>137.891452083333</v>
      </c>
      <c r="T189" s="24" t="n">
        <f aca="false">IFERROR(Tabelle1!I190/S189,"")</f>
        <v>0.977412507909112</v>
      </c>
      <c r="U189" s="24" t="n">
        <f aca="false">IFERROR(AVERAGEIFS($T$7:$T$294,$B$7:$B$294,$B189,$A$7:$A$294,"&gt;="&amp;EDATE($A189,-12*'Seasonal Factors'!$E$4),$A$7:$A$294,"&lt;="&amp;EDATE($A189,12*'Seasonal Factors'!$E$4)),"")</f>
        <v>1.01634637567463</v>
      </c>
      <c r="V189" s="24" t="n">
        <f aca="false">IFERROR(U189/AVERAGE(U184:U195),"")</f>
        <v>1.01556168852514</v>
      </c>
      <c r="W189" s="23" t="n">
        <f aca="false">IF(ISNUMBER(Tabelle1!J196),(0.5*Tabelle1!J184+SUM(Tabelle1!J185:J195)+0.5*Tabelle1!J196)/12,"")</f>
        <v>143.678562083333</v>
      </c>
      <c r="X189" s="24" t="n">
        <f aca="false">IFERROR(Tabelle1!J190/W189,"")</f>
        <v>1.03058687289839</v>
      </c>
      <c r="Y189" s="24" t="n">
        <f aca="false">IFERROR(AVERAGEIFS($X$7:$X$294,$B$7:$B$294,$B189,$A$7:$A$294,"&gt;="&amp;EDATE($A189,-12*'Seasonal Factors'!$E$4),$A$7:$A$294,"&lt;="&amp;EDATE($A189,12*'Seasonal Factors'!$E$4)),"")</f>
        <v>1.02910401435718</v>
      </c>
      <c r="Z189" s="24" t="n">
        <f aca="false">IFERROR(Y189/AVERAGE(Y184:Y195),"")</f>
        <v>1.02962305069786</v>
      </c>
      <c r="AA189" s="23" t="n">
        <f aca="false">IF(ISNUMBER(Tabelle1!K196),(0.5*Tabelle1!K184+SUM(Tabelle1!K185:K195)+0.5*Tabelle1!K196)/12,"")</f>
        <v>141.130094166667</v>
      </c>
      <c r="AB189" s="24" t="n">
        <f aca="false">IFERROR(Tabelle1!K190/AA189,"")</f>
        <v>1.05228194508692</v>
      </c>
      <c r="AC189" s="24" t="n">
        <f aca="false">IFERROR(AVERAGEIFS($AB$7:$AB$294,$B$7:$B$294,$B189,$A$7:$A$294,"&gt;="&amp;EDATE($A189,-12*'Seasonal Factors'!$E$4),$A$7:$A$294,"&lt;="&amp;EDATE($A189,12*'Seasonal Factors'!$E$4)),"")</f>
        <v>1.06306263057481</v>
      </c>
      <c r="AD189" s="24" t="n">
        <f aca="false">IFERROR(AC189/AVERAGE(AC184:AC195),"")</f>
        <v>1.06213441842378</v>
      </c>
      <c r="AE189" s="23" t="n">
        <f aca="false">IF(ISNUMBER(Tabelle1!L196),(0.5*Tabelle1!L184+SUM(Tabelle1!L185:L195)+0.5*Tabelle1!L196)/12,"")</f>
        <v>164.977147916667</v>
      </c>
      <c r="AF189" s="24" t="n">
        <f aca="false">IFERROR(Tabelle1!L190/AE189,"")</f>
        <v>0.973085557771252</v>
      </c>
      <c r="AG189" s="24" t="n">
        <f aca="false">IFERROR(AVERAGEIFS($AF$7:$AF$294,$B$7:$B$294,$B189,$A$7:$A$294,"&gt;="&amp;EDATE($A189,-12*'Seasonal Factors'!$E$4),$A$7:$A$294,"&lt;="&amp;EDATE($A189,12*'Seasonal Factors'!$E$4)),"")</f>
        <v>0.95783049601219</v>
      </c>
      <c r="AH189" s="24" t="n">
        <f aca="false">IFERROR(AG189/AVERAGE(AG184:AG195),"")</f>
        <v>0.963276077055985</v>
      </c>
      <c r="AI189" s="23" t="n">
        <f aca="false">IF(ISNUMBER(Tabelle1!M196),(0.5*Tabelle1!M184+SUM(Tabelle1!M185:M195)+0.5*Tabelle1!M196)/12,"")</f>
        <v>190.350866666667</v>
      </c>
      <c r="AJ189" s="24" t="n">
        <f aca="false">IFERROR(Tabelle1!M190/AI189,"")</f>
        <v>1.00593579295497</v>
      </c>
      <c r="AK189" s="24" t="n">
        <f aca="false">IFERROR(AVERAGEIFS($AJ$7:$AJ$294,$B$7:$B$294,$B189,$A$7:$A$294,"&gt;="&amp;EDATE($A189,-12*'Seasonal Factors'!$E$4),$A$7:$A$294,"&lt;="&amp;EDATE($A189,12*'Seasonal Factors'!$E$4)),"")</f>
        <v>1.00812885786755</v>
      </c>
      <c r="AL189" s="24" t="n">
        <f aca="false">IFERROR(AK189/AVERAGE(AK184:AK195),"")</f>
        <v>1.00837894388239</v>
      </c>
      <c r="AM189" s="23" t="n">
        <f aca="false">IF(ISNUMBER(Tabelle1!N196),(0.5*Tabelle1!N184+SUM(Tabelle1!N185:N195)+0.5*Tabelle1!N196)/12,"")</f>
        <v>173.158397916667</v>
      </c>
      <c r="AN189" s="24" t="n">
        <f aca="false">IFERROR(Tabelle1!N190/AM189,"")</f>
        <v>0.988902658260956</v>
      </c>
      <c r="AO189" s="24" t="n">
        <f aca="false">IFERROR(AVERAGEIFS($AN$7:$AN$294,$B$7:$B$294,$B189,$A$7:$A$294,"&gt;="&amp;EDATE($A189,-12*'Seasonal Factors'!$E$4),$A$7:$A$294,"&lt;="&amp;EDATE($A189,12*'Seasonal Factors'!$E$4)),"")</f>
        <v>1.03055811022775</v>
      </c>
      <c r="AP189" s="24" t="n">
        <f aca="false">IFERROR(AO189/AVERAGE(AO184:AO195),"")</f>
        <v>1.03040103225962</v>
      </c>
      <c r="AQ189" s="23" t="n">
        <f aca="false">IF(ISNUMBER(Tabelle1!O196),(0.5*Tabelle1!O184+SUM(Tabelle1!O185:O195)+0.5*Tabelle1!O196)/12,"")</f>
        <v>140.473252083333</v>
      </c>
      <c r="AR189" s="24" t="n">
        <f aca="false">IFERROR(Tabelle1!O190/AQ189,"")</f>
        <v>0.983332683990655</v>
      </c>
      <c r="AS189" s="24" t="n">
        <f aca="false">IFERROR(AVERAGEIFS($AR$7:$AR$294,$B$7:$B$294,$B189,$A$7:$A$294,"&gt;="&amp;EDATE($A189,-12*'Seasonal Factors'!$E$4),$A$7:$A$294,"&lt;="&amp;EDATE($A189,12*'Seasonal Factors'!$E$4)),"")</f>
        <v>0.990955840871254</v>
      </c>
      <c r="AT189" s="24" t="n">
        <f aca="false">IFERROR(AS189/AVERAGE(AS184:AS195),"")</f>
        <v>0.991005223231336</v>
      </c>
      <c r="AU189" s="23" t="n">
        <f aca="false">IF(ISNUMBER(Tabelle1!P196),(0.5*Tabelle1!P184+SUM(Tabelle1!P185:P195)+0.5*Tabelle1!P196)/12,"")</f>
        <v>154.6891375</v>
      </c>
      <c r="AV189" s="24" t="n">
        <f aca="false">IFERROR(Tabelle1!P190/AU189,"")</f>
        <v>0.996765917063828</v>
      </c>
      <c r="AW189" s="24" t="n">
        <f aca="false">IFERROR(AVERAGEIFS($AV$7:$AV$294,$B$7:$B$294,$B189,$A$7:$A$294,"&gt;="&amp;EDATE($A189,-12*'Seasonal Factors'!$E$4),$A$7:$A$294,"&lt;="&amp;EDATE($A189,12*'Seasonal Factors'!$E$4)),"")</f>
        <v>1.00615162843082</v>
      </c>
      <c r="AX189" s="24" t="n">
        <f aca="false">IFERROR(AW189/AVERAGE(AW184:AW195),"")</f>
        <v>1.00615160829449</v>
      </c>
      <c r="AY189" s="23" t="n">
        <f aca="false">IF(ISNUMBER(Tabelle1!Q196),(0.5*Tabelle1!Q184+SUM(Tabelle1!Q185:Q195)+0.5*Tabelle1!Q196)/12,"")</f>
        <v>161.835565416667</v>
      </c>
      <c r="AZ189" s="24" t="n">
        <f aca="false">IFERROR(Tabelle1!Q190/AY189,"")</f>
        <v>0.990352952315228</v>
      </c>
      <c r="BA189" s="24" t="n">
        <f aca="false">IFERROR(AVERAGEIFS($AZ$7:$AZ$294,$B$7:$B$294,$B189,$A$7:$A$294,"&gt;="&amp;EDATE($A189,-12*'Seasonal Factors'!$E$4),$A$7:$A$294,"&lt;="&amp;EDATE($A189,12*'Seasonal Factors'!$E$4)),"")</f>
        <v>0.994995495986186</v>
      </c>
      <c r="BB189" s="24" t="n">
        <f aca="false">IFERROR(BA189/AVERAGE(BA184:BA195),"")</f>
        <v>0.994916523715757</v>
      </c>
      <c r="BC189" s="23" t="n">
        <f aca="false">IF(ISNUMBER(Tabelle1!R196),(0.5*Tabelle1!R184+SUM(Tabelle1!R185:R195)+0.5*Tabelle1!R196)/12,"")</f>
        <v>180.737407916667</v>
      </c>
      <c r="BD189" s="24" t="n">
        <f aca="false">IFERROR(Tabelle1!R190/BC189,"")</f>
        <v>1.02743556046582</v>
      </c>
      <c r="BE189" s="24" t="n">
        <f aca="false">IFERROR(AVERAGEIFS($BD$7:$BD$294,$B$7:$B$294,$B189,$A$7:$A$294,"&gt;="&amp;EDATE($A189,-12*'Seasonal Factors'!$E$4),$A$7:$A$294,"&lt;="&amp;EDATE($A189,12*'Seasonal Factors'!$E$4)),"")</f>
        <v>1.02672902704959</v>
      </c>
      <c r="BF189" s="24" t="n">
        <f aca="false">IFERROR(BE189/AVERAGE(BE184:BE195),"")</f>
        <v>1.02687167408292</v>
      </c>
      <c r="BG189" s="23" t="n">
        <f aca="false">IF(ISNUMBER(Tabelle1!S196),(0.5*Tabelle1!S184+SUM(Tabelle1!S185:S195)+0.5*Tabelle1!S196)/12,"")</f>
        <v>147.51205625</v>
      </c>
      <c r="BH189" s="24" t="n">
        <f aca="false">IFERROR(Tabelle1!S190/BG189,"")</f>
        <v>0.971435377167688</v>
      </c>
      <c r="BI189" s="24" t="n">
        <f aca="false">IFERROR(AVERAGEIFS($BH$7:$BH$294,$B$7:$B$294,$B189,$A$7:$A$294,"&gt;="&amp;EDATE($A189,-12*'Seasonal Factors'!$E$4),$A$7:$A$294,"&lt;="&amp;EDATE($A189,12*'Seasonal Factors'!$E$4)),"")</f>
        <v>1.03798992403915</v>
      </c>
      <c r="BJ189" s="24" t="n">
        <f aca="false">IFERROR(BI189/AVERAGE(BI184:BI195),"")</f>
        <v>1.04191586984671</v>
      </c>
    </row>
    <row r="190" customFormat="false" ht="15" hidden="false" customHeight="false" outlineLevel="0" collapsed="false">
      <c r="A190" s="20" t="n">
        <v>43585</v>
      </c>
      <c r="B190" s="22" t="n">
        <f aca="false">MONTH(A190)</f>
        <v>4</v>
      </c>
      <c r="C190" s="23" t="n">
        <f aca="false">IF(ISNUMBER(Tabelle1!E197),(0.5*Tabelle1!E185+SUM(Tabelle1!E186:E196)+0.5*Tabelle1!E197)/12,"")</f>
        <v>137.835890833333</v>
      </c>
      <c r="D190" s="24" t="n">
        <f aca="false">IFERROR(Tabelle1!E191/C190,"")</f>
        <v>1.6758648897863</v>
      </c>
      <c r="E190" s="24" t="n">
        <f aca="false">IFERROR(AVERAGEIFS($D$7:$D$294,$B$7:$B$294,$B190,$A$7:$A$294,"&gt;="&amp;EDATE($A190,-12*'Seasonal Factors'!$E$4),$A$7:$A$294,"&lt;="&amp;EDATE($A190,12*'Seasonal Factors'!$E$4)),"")</f>
        <v>1.62115603278021</v>
      </c>
      <c r="F190" s="24" t="n">
        <f aca="false">IFERROR(E190/AVERAGE(E185:E196),"")</f>
        <v>1.62581452282399</v>
      </c>
      <c r="G190" s="23" t="n">
        <f aca="false">IF(ISNUMBER(Tabelle1!F197),(0.5*Tabelle1!F185+SUM(Tabelle1!F186:F196)+0.5*Tabelle1!F197)/12,"")</f>
        <v>172.778255</v>
      </c>
      <c r="H190" s="24" t="n">
        <f aca="false">IFERROR(Tabelle1!F191/G190,"")</f>
        <v>0.886357545398291</v>
      </c>
      <c r="I190" s="24" t="n">
        <f aca="false">IFERROR(AVERAGEIFS($H$7:$H$294,$B$7:$B$294,$B190,$A$7:$A$294,"&gt;="&amp;EDATE($A190,-12*'Seasonal Factors'!$E$4),$A$7:$A$294,"&lt;="&amp;EDATE($A190,12*'Seasonal Factors'!$E$4)),"")</f>
        <v>0.773559451436082</v>
      </c>
      <c r="J190" s="24" t="n">
        <f aca="false">IFERROR(I190/AVERAGE(I185:I196),"")</f>
        <v>0.775723572093574</v>
      </c>
      <c r="K190" s="23" t="n">
        <f aca="false">IF(ISNUMBER(Tabelle1!G197),(0.5*Tabelle1!G185+SUM(Tabelle1!G186:G196)+0.5*Tabelle1!G197)/12,"")</f>
        <v>88.3600970833333</v>
      </c>
      <c r="L190" s="24" t="n">
        <f aca="false">IFERROR(Tabelle1!G191/K190,"")</f>
        <v>0.985545997282814</v>
      </c>
      <c r="M190" s="24" t="n">
        <f aca="false">IFERROR(AVERAGEIFS($L$7:$L$294,$B$7:$B$294,$B190,$A$7:$A$294,"&gt;="&amp;EDATE($A190,-12*'Seasonal Factors'!$E$4),$A$7:$A$294,"&lt;="&amp;EDATE($A190,12*'Seasonal Factors'!$E$4)),"")</f>
        <v>0.967226027555603</v>
      </c>
      <c r="N190" s="24" t="n">
        <f aca="false">IFERROR(M190/AVERAGE(M185:M196),"")</f>
        <v>0.967754778072411</v>
      </c>
      <c r="O190" s="23" t="n">
        <f aca="false">IF(ISNUMBER(Tabelle1!H197),(0.5*Tabelle1!H185+SUM(Tabelle1!H186:H196)+0.5*Tabelle1!H197)/12,"")</f>
        <v>118.443779583333</v>
      </c>
      <c r="P190" s="24" t="n">
        <f aca="false">IFERROR(Tabelle1!H191/O190,"")</f>
        <v>0.978696731966764</v>
      </c>
      <c r="Q190" s="24" t="n">
        <f aca="false">IFERROR(AVERAGEIFS($P$7:$P$294,$B$7:$B$294,$B190,$A$7:$A$294,"&gt;="&amp;EDATE($A190,-12*'Seasonal Factors'!$E$4),$A$7:$A$294,"&lt;="&amp;EDATE($A190,12*'Seasonal Factors'!$E$4)),"")</f>
        <v>0.955547264550957</v>
      </c>
      <c r="R190" s="24" t="n">
        <f aca="false">IFERROR(Q190/AVERAGE(Q185:Q196),"")</f>
        <v>0.954674919799082</v>
      </c>
      <c r="S190" s="23" t="n">
        <f aca="false">IF(ISNUMBER(Tabelle1!I197),(0.5*Tabelle1!I185+SUM(Tabelle1!I186:I196)+0.5*Tabelle1!I197)/12,"")</f>
        <v>138.02961375</v>
      </c>
      <c r="T190" s="24" t="n">
        <f aca="false">IFERROR(Tabelle1!I191/S190,"")</f>
        <v>0.936400432403586</v>
      </c>
      <c r="U190" s="24" t="n">
        <f aca="false">IFERROR(AVERAGEIFS($T$7:$T$294,$B$7:$B$294,$B190,$A$7:$A$294,"&gt;="&amp;EDATE($A190,-12*'Seasonal Factors'!$E$4),$A$7:$A$294,"&lt;="&amp;EDATE($A190,12*'Seasonal Factors'!$E$4)),"")</f>
        <v>0.922839794223133</v>
      </c>
      <c r="V190" s="24" t="n">
        <f aca="false">IFERROR(U190/AVERAGE(U185:U196),"")</f>
        <v>0.92266111316569</v>
      </c>
      <c r="W190" s="23" t="n">
        <f aca="false">IF(ISNUMBER(Tabelle1!J197),(0.5*Tabelle1!J185+SUM(Tabelle1!J186:J196)+0.5*Tabelle1!J197)/12,"")</f>
        <v>143.138301666667</v>
      </c>
      <c r="X190" s="24" t="n">
        <f aca="false">IFERROR(Tabelle1!J191/W190,"")</f>
        <v>0.984876293476586</v>
      </c>
      <c r="Y190" s="24" t="n">
        <f aca="false">IFERROR(AVERAGEIFS($X$7:$X$294,$B$7:$B$294,$B190,$A$7:$A$294,"&gt;="&amp;EDATE($A190,-12*'Seasonal Factors'!$E$4),$A$7:$A$294,"&lt;="&amp;EDATE($A190,12*'Seasonal Factors'!$E$4)),"")</f>
        <v>0.912906442801033</v>
      </c>
      <c r="Z190" s="24" t="n">
        <f aca="false">IFERROR(Y190/AVERAGE(Y185:Y196),"")</f>
        <v>0.912668093508711</v>
      </c>
      <c r="AA190" s="23" t="n">
        <f aca="false">IF(ISNUMBER(Tabelle1!K197),(0.5*Tabelle1!K185+SUM(Tabelle1!K186:K196)+0.5*Tabelle1!K197)/12,"")</f>
        <v>140.715935416667</v>
      </c>
      <c r="AB190" s="24" t="n">
        <f aca="false">IFERROR(Tabelle1!K191/AA190,"")</f>
        <v>0.983852039145827</v>
      </c>
      <c r="AC190" s="24" t="n">
        <f aca="false">IFERROR(AVERAGEIFS($AB$7:$AB$294,$B$7:$B$294,$B190,$A$7:$A$294,"&gt;="&amp;EDATE($A190,-12*'Seasonal Factors'!$E$4),$A$7:$A$294,"&lt;="&amp;EDATE($A190,12*'Seasonal Factors'!$E$4)),"")</f>
        <v>0.971838721153252</v>
      </c>
      <c r="AD190" s="24" t="n">
        <f aca="false">IFERROR(AC190/AVERAGE(AC185:AC196),"")</f>
        <v>0.971231479458361</v>
      </c>
      <c r="AE190" s="23" t="n">
        <f aca="false">IF(ISNUMBER(Tabelle1!L197),(0.5*Tabelle1!L185+SUM(Tabelle1!L186:L196)+0.5*Tabelle1!L197)/12,"")</f>
        <v>165.13756375</v>
      </c>
      <c r="AF190" s="24" t="n">
        <f aca="false">IFERROR(Tabelle1!L191/AE190,"")</f>
        <v>0.946450864665854</v>
      </c>
      <c r="AG190" s="24" t="n">
        <f aca="false">IFERROR(AVERAGEIFS($AF$7:$AF$294,$B$7:$B$294,$B190,$A$7:$A$294,"&gt;="&amp;EDATE($A190,-12*'Seasonal Factors'!$E$4),$A$7:$A$294,"&lt;="&amp;EDATE($A190,12*'Seasonal Factors'!$E$4)),"")</f>
        <v>0.833173805061821</v>
      </c>
      <c r="AH190" s="24" t="n">
        <f aca="false">IFERROR(AG190/AVERAGE(AG185:AG196),"")</f>
        <v>0.83790217552479</v>
      </c>
      <c r="AI190" s="23" t="n">
        <f aca="false">IF(ISNUMBER(Tabelle1!M197),(0.5*Tabelle1!M185+SUM(Tabelle1!M186:M196)+0.5*Tabelle1!M197)/12,"")</f>
        <v>190.41564</v>
      </c>
      <c r="AJ190" s="24" t="n">
        <f aca="false">IFERROR(Tabelle1!M191/AI190,"")</f>
        <v>1.01775689223847</v>
      </c>
      <c r="AK190" s="24" t="n">
        <f aca="false">IFERROR(AVERAGEIFS($AJ$7:$AJ$294,$B$7:$B$294,$B190,$A$7:$A$294,"&gt;="&amp;EDATE($A190,-12*'Seasonal Factors'!$E$4),$A$7:$A$294,"&lt;="&amp;EDATE($A190,12*'Seasonal Factors'!$E$4)),"")</f>
        <v>1.0018024417829</v>
      </c>
      <c r="AL190" s="24" t="n">
        <f aca="false">IFERROR(AK190/AVERAGE(AK185:AK196),"")</f>
        <v>1.0020790215466</v>
      </c>
      <c r="AM190" s="23" t="n">
        <f aca="false">IF(ISNUMBER(Tabelle1!N197),(0.5*Tabelle1!N185+SUM(Tabelle1!N186:N196)+0.5*Tabelle1!N197)/12,"")</f>
        <v>171.306035416667</v>
      </c>
      <c r="AN190" s="24" t="n">
        <f aca="false">IFERROR(Tabelle1!N191/AM190,"")</f>
        <v>1.00610541584708</v>
      </c>
      <c r="AO190" s="24" t="n">
        <f aca="false">IFERROR(AVERAGEIFS($AN$7:$AN$294,$B$7:$B$294,$B190,$A$7:$A$294,"&gt;="&amp;EDATE($A190,-12*'Seasonal Factors'!$E$4),$A$7:$A$294,"&lt;="&amp;EDATE($A190,12*'Seasonal Factors'!$E$4)),"")</f>
        <v>1.00298520304481</v>
      </c>
      <c r="AP190" s="24" t="n">
        <f aca="false">IFERROR(AO190/AVERAGE(AO185:AO196),"")</f>
        <v>1.00219758300348</v>
      </c>
      <c r="AQ190" s="23" t="n">
        <f aca="false">IF(ISNUMBER(Tabelle1!O197),(0.5*Tabelle1!O185+SUM(Tabelle1!O186:O196)+0.5*Tabelle1!O197)/12,"")</f>
        <v>140.5431075</v>
      </c>
      <c r="AR190" s="24" t="n">
        <f aca="false">IFERROR(Tabelle1!O191/AQ190,"")</f>
        <v>1.00097103659103</v>
      </c>
      <c r="AS190" s="24" t="n">
        <f aca="false">IFERROR(AVERAGEIFS($AR$7:$AR$294,$B$7:$B$294,$B190,$A$7:$A$294,"&gt;="&amp;EDATE($A190,-12*'Seasonal Factors'!$E$4),$A$7:$A$294,"&lt;="&amp;EDATE($A190,12*'Seasonal Factors'!$E$4)),"")</f>
        <v>0.98605428063122</v>
      </c>
      <c r="AT190" s="24" t="n">
        <f aca="false">IFERROR(AS190/AVERAGE(AS185:AS196),"")</f>
        <v>0.986014601659922</v>
      </c>
      <c r="AU190" s="23" t="n">
        <f aca="false">IF(ISNUMBER(Tabelle1!P197),(0.5*Tabelle1!P185+SUM(Tabelle1!P186:P196)+0.5*Tabelle1!P197)/12,"")</f>
        <v>154.907798333333</v>
      </c>
      <c r="AV190" s="24" t="n">
        <f aca="false">IFERROR(Tabelle1!P191/AU190,"")</f>
        <v>0.996747753575006</v>
      </c>
      <c r="AW190" s="24" t="n">
        <f aca="false">IFERROR(AVERAGEIFS($AV$7:$AV$294,$B$7:$B$294,$B190,$A$7:$A$294,"&gt;="&amp;EDATE($A190,-12*'Seasonal Factors'!$E$4),$A$7:$A$294,"&lt;="&amp;EDATE($A190,12*'Seasonal Factors'!$E$4)),"")</f>
        <v>0.986689276485663</v>
      </c>
      <c r="AX190" s="24" t="n">
        <f aca="false">IFERROR(AW190/AVERAGE(AW185:AW196),"")</f>
        <v>0.986630677887426</v>
      </c>
      <c r="AY190" s="23" t="n">
        <f aca="false">IF(ISNUMBER(Tabelle1!Q197),(0.5*Tabelle1!Q185+SUM(Tabelle1!Q186:Q196)+0.5*Tabelle1!Q197)/12,"")</f>
        <v>161.90694375</v>
      </c>
      <c r="AZ190" s="24" t="n">
        <f aca="false">IFERROR(Tabelle1!Q191/AY190,"")</f>
        <v>0.990883320283785</v>
      </c>
      <c r="BA190" s="24" t="n">
        <f aca="false">IFERROR(AVERAGEIFS($AZ$7:$AZ$294,$B$7:$B$294,$B190,$A$7:$A$294,"&gt;="&amp;EDATE($A190,-12*'Seasonal Factors'!$E$4),$A$7:$A$294,"&lt;="&amp;EDATE($A190,12*'Seasonal Factors'!$E$4)),"")</f>
        <v>0.984807861424535</v>
      </c>
      <c r="BB190" s="24" t="n">
        <f aca="false">IFERROR(BA190/AVERAGE(BA185:BA196),"")</f>
        <v>0.984806335193406</v>
      </c>
      <c r="BC190" s="23" t="n">
        <f aca="false">IF(ISNUMBER(Tabelle1!R197),(0.5*Tabelle1!R185+SUM(Tabelle1!R186:R196)+0.5*Tabelle1!R197)/12,"")</f>
        <v>180.763476666667</v>
      </c>
      <c r="BD190" s="24" t="n">
        <f aca="false">IFERROR(Tabelle1!R191/BC190,"")</f>
        <v>1.0412957499545</v>
      </c>
      <c r="BE190" s="24" t="n">
        <f aca="false">IFERROR(AVERAGEIFS($BD$7:$BD$294,$B$7:$B$294,$B190,$A$7:$A$294,"&gt;="&amp;EDATE($A190,-12*'Seasonal Factors'!$E$4),$A$7:$A$294,"&lt;="&amp;EDATE($A190,12*'Seasonal Factors'!$E$4)),"")</f>
        <v>1.01401027006172</v>
      </c>
      <c r="BF190" s="24" t="n">
        <f aca="false">IFERROR(BE190/AVERAGE(BE185:BE196),"")</f>
        <v>1.01414202077347</v>
      </c>
      <c r="BG190" s="23" t="n">
        <f aca="false">IF(ISNUMBER(Tabelle1!S197),(0.5*Tabelle1!S185+SUM(Tabelle1!S186:S196)+0.5*Tabelle1!S197)/12,"")</f>
        <v>146.94746</v>
      </c>
      <c r="BH190" s="24" t="n">
        <f aca="false">IFERROR(Tabelle1!S191/BG190,"")</f>
        <v>0.975365140710836</v>
      </c>
      <c r="BI190" s="24" t="n">
        <f aca="false">IFERROR(AVERAGEIFS($BH$7:$BH$294,$B$7:$B$294,$B190,$A$7:$A$294,"&gt;="&amp;EDATE($A190,-12*'Seasonal Factors'!$E$4),$A$7:$A$294,"&lt;="&amp;EDATE($A190,12*'Seasonal Factors'!$E$4)),"")</f>
        <v>0.904286306969947</v>
      </c>
      <c r="BJ190" s="24" t="n">
        <f aca="false">IFERROR(BI190/AVERAGE(BI185:BI196),"")</f>
        <v>0.907691287517379</v>
      </c>
    </row>
    <row r="191" customFormat="false" ht="15" hidden="false" customHeight="false" outlineLevel="0" collapsed="false">
      <c r="A191" s="20" t="n">
        <v>43616</v>
      </c>
      <c r="B191" s="22" t="n">
        <f aca="false">MONTH(A191)</f>
        <v>5</v>
      </c>
      <c r="C191" s="23" t="n">
        <f aca="false">IF(ISNUMBER(Tabelle1!E198),(0.5*Tabelle1!E186+SUM(Tabelle1!E187:E197)+0.5*Tabelle1!E198)/12,"")</f>
        <v>137.952105416667</v>
      </c>
      <c r="D191" s="24" t="n">
        <f aca="false">IFERROR(Tabelle1!E192/C191,"")</f>
        <v>2.47784257418591</v>
      </c>
      <c r="E191" s="24" t="n">
        <f aca="false">IFERROR(AVERAGEIFS($D$7:$D$294,$B$7:$B$294,$B191,$A$7:$A$294,"&gt;="&amp;EDATE($A191,-12*'Seasonal Factors'!$E$4),$A$7:$A$294,"&lt;="&amp;EDATE($A191,12*'Seasonal Factors'!$E$4)),"")</f>
        <v>2.26757664935928</v>
      </c>
      <c r="F191" s="24" t="n">
        <f aca="false">IFERROR(E191/AVERAGE(E186:E197),"")</f>
        <v>2.27223335848995</v>
      </c>
      <c r="G191" s="23" t="n">
        <f aca="false">IF(ISNUMBER(Tabelle1!F198),(0.5*Tabelle1!F186+SUM(Tabelle1!F187:F197)+0.5*Tabelle1!F198)/12,"")</f>
        <v>168.156043333333</v>
      </c>
      <c r="H191" s="24" t="n">
        <f aca="false">IFERROR(Tabelle1!F192/G191,"")</f>
        <v>0.54833485714945</v>
      </c>
      <c r="I191" s="24" t="n">
        <f aca="false">IFERROR(AVERAGEIFS($H$7:$H$294,$B$7:$B$294,$B191,$A$7:$A$294,"&gt;="&amp;EDATE($A191,-12*'Seasonal Factors'!$E$4),$A$7:$A$294,"&lt;="&amp;EDATE($A191,12*'Seasonal Factors'!$E$4)),"")</f>
        <v>0.893714652835416</v>
      </c>
      <c r="J191" s="24" t="n">
        <f aca="false">IFERROR(I191/AVERAGE(I186:I197),"")</f>
        <v>0.901462204811726</v>
      </c>
      <c r="K191" s="23" t="n">
        <f aca="false">IF(ISNUMBER(Tabelle1!G198),(0.5*Tabelle1!G186+SUM(Tabelle1!G187:G197)+0.5*Tabelle1!G198)/12,"")</f>
        <v>88.5255495833333</v>
      </c>
      <c r="L191" s="24" t="n">
        <f aca="false">IFERROR(Tabelle1!G192/K191,"")</f>
        <v>1.04928927792263</v>
      </c>
      <c r="M191" s="24" t="n">
        <f aca="false">IFERROR(AVERAGEIFS($L$7:$L$294,$B$7:$B$294,$B191,$A$7:$A$294,"&gt;="&amp;EDATE($A191,-12*'Seasonal Factors'!$E$4),$A$7:$A$294,"&lt;="&amp;EDATE($A191,12*'Seasonal Factors'!$E$4)),"")</f>
        <v>1.03635072138951</v>
      </c>
      <c r="N191" s="24" t="n">
        <f aca="false">IFERROR(M191/AVERAGE(M186:M197),"")</f>
        <v>1.03705655051403</v>
      </c>
      <c r="O191" s="23" t="n">
        <f aca="false">IF(ISNUMBER(Tabelle1!H198),(0.5*Tabelle1!H186+SUM(Tabelle1!H187:H197)+0.5*Tabelle1!H198)/12,"")</f>
        <v>118.096045416667</v>
      </c>
      <c r="P191" s="24" t="n">
        <f aca="false">IFERROR(Tabelle1!H192/O191,"")</f>
        <v>1.05164901637318</v>
      </c>
      <c r="Q191" s="24" t="n">
        <f aca="false">IFERROR(AVERAGEIFS($P$7:$P$294,$B$7:$B$294,$B191,$A$7:$A$294,"&gt;="&amp;EDATE($A191,-12*'Seasonal Factors'!$E$4),$A$7:$A$294,"&lt;="&amp;EDATE($A191,12*'Seasonal Factors'!$E$4)),"")</f>
        <v>1.00533159723002</v>
      </c>
      <c r="R191" s="24" t="n">
        <f aca="false">IFERROR(Q191/AVERAGE(Q186:Q197),"")</f>
        <v>1.00396991700658</v>
      </c>
      <c r="S191" s="23" t="n">
        <f aca="false">IF(ISNUMBER(Tabelle1!I198),(0.5*Tabelle1!I186+SUM(Tabelle1!I187:I197)+0.5*Tabelle1!I198)/12,"")</f>
        <v>138.405845833333</v>
      </c>
      <c r="T191" s="24" t="n">
        <f aca="false">IFERROR(Tabelle1!I192/S191,"")</f>
        <v>1.00038108337368</v>
      </c>
      <c r="U191" s="24" t="n">
        <f aca="false">IFERROR(AVERAGEIFS($T$7:$T$294,$B$7:$B$294,$B191,$A$7:$A$294,"&gt;="&amp;EDATE($A191,-12*'Seasonal Factors'!$E$4),$A$7:$A$294,"&lt;="&amp;EDATE($A191,12*'Seasonal Factors'!$E$4)),"")</f>
        <v>0.999120243221025</v>
      </c>
      <c r="V191" s="24" t="n">
        <f aca="false">IFERROR(U191/AVERAGE(U186:U197),"")</f>
        <v>0.998876456522886</v>
      </c>
      <c r="W191" s="23" t="n">
        <f aca="false">IF(ISNUMBER(Tabelle1!J198),(0.5*Tabelle1!J186+SUM(Tabelle1!J187:J197)+0.5*Tabelle1!J198)/12,"")</f>
        <v>142.616569166667</v>
      </c>
      <c r="X191" s="24" t="n">
        <f aca="false">IFERROR(Tabelle1!J192/W191,"")</f>
        <v>1.04977886422886</v>
      </c>
      <c r="Y191" s="24" t="n">
        <f aca="false">IFERROR(AVERAGEIFS($X$7:$X$294,$B$7:$B$294,$B191,$A$7:$A$294,"&gt;="&amp;EDATE($A191,-12*'Seasonal Factors'!$E$4),$A$7:$A$294,"&lt;="&amp;EDATE($A191,12*'Seasonal Factors'!$E$4)),"")</f>
        <v>0.952992016286144</v>
      </c>
      <c r="Z191" s="24" t="n">
        <f aca="false">IFERROR(Y191/AVERAGE(Y186:Y197),"")</f>
        <v>0.951873762196783</v>
      </c>
      <c r="AA191" s="23" t="n">
        <f aca="false">IF(ISNUMBER(Tabelle1!K198),(0.5*Tabelle1!K186+SUM(Tabelle1!K187:K197)+0.5*Tabelle1!K198)/12,"")</f>
        <v>140.261260416667</v>
      </c>
      <c r="AB191" s="24" t="n">
        <f aca="false">IFERROR(Tabelle1!K192/AA191,"")</f>
        <v>1.04849592512663</v>
      </c>
      <c r="AC191" s="24" t="n">
        <f aca="false">IFERROR(AVERAGEIFS($AB$7:$AB$294,$B$7:$B$294,$B191,$A$7:$A$294,"&gt;="&amp;EDATE($A191,-12*'Seasonal Factors'!$E$4),$A$7:$A$294,"&lt;="&amp;EDATE($A191,12*'Seasonal Factors'!$E$4)),"")</f>
        <v>1.0148184712171</v>
      </c>
      <c r="AD191" s="24" t="n">
        <f aca="false">IFERROR(AC191/AVERAGE(AC186:AC197),"")</f>
        <v>1.01395346916685</v>
      </c>
      <c r="AE191" s="23" t="n">
        <f aca="false">IF(ISNUMBER(Tabelle1!L198),(0.5*Tabelle1!L186+SUM(Tabelle1!L187:L197)+0.5*Tabelle1!L198)/12,"")</f>
        <v>165.27169</v>
      </c>
      <c r="AF191" s="24" t="n">
        <f aca="false">IFERROR(Tabelle1!L192/AE191,"")</f>
        <v>0.928104383757436</v>
      </c>
      <c r="AG191" s="24" t="n">
        <f aca="false">IFERROR(AVERAGEIFS($AF$7:$AF$294,$B$7:$B$294,$B191,$A$7:$A$294,"&gt;="&amp;EDATE($A191,-12*'Seasonal Factors'!$E$4),$A$7:$A$294,"&lt;="&amp;EDATE($A191,12*'Seasonal Factors'!$E$4)),"")</f>
        <v>0.869567273598255</v>
      </c>
      <c r="AH191" s="24" t="n">
        <f aca="false">IFERROR(AG191/AVERAGE(AG186:AG197),"")</f>
        <v>0.874412064465184</v>
      </c>
      <c r="AI191" s="23" t="n">
        <f aca="false">IF(ISNUMBER(Tabelle1!M198),(0.5*Tabelle1!M186+SUM(Tabelle1!M187:M197)+0.5*Tabelle1!M198)/12,"")</f>
        <v>190.40247375</v>
      </c>
      <c r="AJ191" s="24" t="n">
        <f aca="false">IFERROR(Tabelle1!M192/AI191,"")</f>
        <v>1.07760128300329</v>
      </c>
      <c r="AK191" s="24" t="n">
        <f aca="false">IFERROR(AVERAGEIFS($AJ$7:$AJ$294,$B$7:$B$294,$B191,$A$7:$A$294,"&gt;="&amp;EDATE($A191,-12*'Seasonal Factors'!$E$4),$A$7:$A$294,"&lt;="&amp;EDATE($A191,12*'Seasonal Factors'!$E$4)),"")</f>
        <v>1.0536228220899</v>
      </c>
      <c r="AL191" s="24" t="n">
        <f aca="false">IFERROR(AK191/AVERAGE(AK186:AK197),"")</f>
        <v>1.05383736936402</v>
      </c>
      <c r="AM191" s="23" t="n">
        <f aca="false">IF(ISNUMBER(Tabelle1!N198),(0.5*Tabelle1!N186+SUM(Tabelle1!N187:N197)+0.5*Tabelle1!N198)/12,"")</f>
        <v>170.03664375</v>
      </c>
      <c r="AN191" s="24" t="n">
        <f aca="false">IFERROR(Tabelle1!N192/AM191,"")</f>
        <v>0.973088367018536</v>
      </c>
      <c r="AO191" s="24" t="n">
        <f aca="false">IFERROR(AVERAGEIFS($AN$7:$AN$294,$B$7:$B$294,$B191,$A$7:$A$294,"&gt;="&amp;EDATE($A191,-12*'Seasonal Factors'!$E$4),$A$7:$A$294,"&lt;="&amp;EDATE($A191,12*'Seasonal Factors'!$E$4)),"")</f>
        <v>0.96148258849545</v>
      </c>
      <c r="AP191" s="24" t="n">
        <f aca="false">IFERROR(AO191/AVERAGE(AO186:AO197),"")</f>
        <v>0.960213087397415</v>
      </c>
      <c r="AQ191" s="23" t="n">
        <f aca="false">IF(ISNUMBER(Tabelle1!O198),(0.5*Tabelle1!O186+SUM(Tabelle1!O187:O197)+0.5*Tabelle1!O198)/12,"")</f>
        <v>140.521184583333</v>
      </c>
      <c r="AR191" s="24" t="n">
        <f aca="false">IFERROR(Tabelle1!O192/AQ191,"")</f>
        <v>1.01611291153985</v>
      </c>
      <c r="AS191" s="24" t="n">
        <f aca="false">IFERROR(AVERAGEIFS($AR$7:$AR$294,$B$7:$B$294,$B191,$A$7:$A$294,"&gt;="&amp;EDATE($A191,-12*'Seasonal Factors'!$E$4),$A$7:$A$294,"&lt;="&amp;EDATE($A191,12*'Seasonal Factors'!$E$4)),"")</f>
        <v>0.999405973481746</v>
      </c>
      <c r="AT191" s="24" t="n">
        <f aca="false">IFERROR(AS191/AVERAGE(AS186:AS197),"")</f>
        <v>0.999230102649201</v>
      </c>
      <c r="AU191" s="23" t="n">
        <f aca="false">IF(ISNUMBER(Tabelle1!P198),(0.5*Tabelle1!P186+SUM(Tabelle1!P187:P197)+0.5*Tabelle1!P198)/12,"")</f>
        <v>155.126296666667</v>
      </c>
      <c r="AV191" s="24" t="n">
        <f aca="false">IFERROR(Tabelle1!P192/AU191,"")</f>
        <v>0.999772400505747</v>
      </c>
      <c r="AW191" s="24" t="n">
        <f aca="false">IFERROR(AVERAGEIFS($AV$7:$AV$294,$B$7:$B$294,$B191,$A$7:$A$294,"&gt;="&amp;EDATE($A191,-12*'Seasonal Factors'!$E$4),$A$7:$A$294,"&lt;="&amp;EDATE($A191,12*'Seasonal Factors'!$E$4)),"")</f>
        <v>0.989248504157007</v>
      </c>
      <c r="AX191" s="24" t="n">
        <f aca="false">IFERROR(AW191/AVERAGE(AW186:AW197),"")</f>
        <v>0.989122600875221</v>
      </c>
      <c r="AY191" s="23" t="n">
        <f aca="false">IF(ISNUMBER(Tabelle1!Q198),(0.5*Tabelle1!Q186+SUM(Tabelle1!Q187:Q197)+0.5*Tabelle1!Q198)/12,"")</f>
        <v>161.94182</v>
      </c>
      <c r="AZ191" s="24" t="n">
        <f aca="false">IFERROR(Tabelle1!Q192/AY191,"")</f>
        <v>0.999095415872194</v>
      </c>
      <c r="BA191" s="24" t="n">
        <f aca="false">IFERROR(AVERAGEIFS($AZ$7:$AZ$294,$B$7:$B$294,$B191,$A$7:$A$294,"&gt;="&amp;EDATE($A191,-12*'Seasonal Factors'!$E$4),$A$7:$A$294,"&lt;="&amp;EDATE($A191,12*'Seasonal Factors'!$E$4)),"")</f>
        <v>0.993702989663927</v>
      </c>
      <c r="BB191" s="24" t="n">
        <f aca="false">IFERROR(BA191/AVERAGE(BA186:BA197),"")</f>
        <v>0.993739926538917</v>
      </c>
      <c r="BC191" s="23" t="n">
        <f aca="false">IF(ISNUMBER(Tabelle1!R198),(0.5*Tabelle1!R186+SUM(Tabelle1!R187:R197)+0.5*Tabelle1!R198)/12,"")</f>
        <v>180.773420833333</v>
      </c>
      <c r="BD191" s="24" t="n">
        <f aca="false">IFERROR(Tabelle1!R192/BC191,"")</f>
        <v>1.06564310788591</v>
      </c>
      <c r="BE191" s="24" t="n">
        <f aca="false">IFERROR(AVERAGEIFS($BD$7:$BD$294,$B$7:$B$294,$B191,$A$7:$A$294,"&gt;="&amp;EDATE($A191,-12*'Seasonal Factors'!$E$4),$A$7:$A$294,"&lt;="&amp;EDATE($A191,12*'Seasonal Factors'!$E$4)),"")</f>
        <v>1.05218266151637</v>
      </c>
      <c r="BF191" s="24" t="n">
        <f aca="false">IFERROR(BE191/AVERAGE(BE186:BE197),"")</f>
        <v>1.05230855665555</v>
      </c>
      <c r="BG191" s="23" t="n">
        <f aca="false">IF(ISNUMBER(Tabelle1!S198),(0.5*Tabelle1!S186+SUM(Tabelle1!S187:S197)+0.5*Tabelle1!S198)/12,"")</f>
        <v>146.356985416667</v>
      </c>
      <c r="BH191" s="24" t="n">
        <f aca="false">IFERROR(Tabelle1!S192/BG191,"")</f>
        <v>1.00575062803417</v>
      </c>
      <c r="BI191" s="24" t="n">
        <f aca="false">IFERROR(AVERAGEIFS($BH$7:$BH$294,$B$7:$B$294,$B191,$A$7:$A$294,"&gt;="&amp;EDATE($A191,-12*'Seasonal Factors'!$E$4),$A$7:$A$294,"&lt;="&amp;EDATE($A191,12*'Seasonal Factors'!$E$4)),"")</f>
        <v>0.909717728059792</v>
      </c>
      <c r="BJ191" s="24" t="n">
        <f aca="false">IFERROR(BI191/AVERAGE(BI186:BI197),"")</f>
        <v>0.913346327794308</v>
      </c>
    </row>
    <row r="192" customFormat="false" ht="15" hidden="false" customHeight="false" outlineLevel="0" collapsed="false">
      <c r="A192" s="20" t="n">
        <v>43646</v>
      </c>
      <c r="B192" s="22" t="n">
        <f aca="false">MONTH(A192)</f>
        <v>6</v>
      </c>
      <c r="C192" s="23" t="n">
        <f aca="false">IF(ISNUMBER(Tabelle1!E199),(0.5*Tabelle1!E187+SUM(Tabelle1!E188:E198)+0.5*Tabelle1!E199)/12,"")</f>
        <v>137.935972916667</v>
      </c>
      <c r="D192" s="24" t="n">
        <f aca="false">IFERROR(Tabelle1!E193/C192,"")</f>
        <v>1.61537766609016</v>
      </c>
      <c r="E192" s="24" t="n">
        <f aca="false">IFERROR(AVERAGEIFS($D$7:$D$294,$B$7:$B$294,$B192,$A$7:$A$294,"&gt;="&amp;EDATE($A192,-12*'Seasonal Factors'!$E$4),$A$7:$A$294,"&lt;="&amp;EDATE($A192,12*'Seasonal Factors'!$E$4)),"")</f>
        <v>1.55092900355307</v>
      </c>
      <c r="F192" s="24" t="n">
        <f aca="false">IFERROR(E192/AVERAGE(E187:E198),"")</f>
        <v>1.55123055906873</v>
      </c>
      <c r="G192" s="23" t="n">
        <f aca="false">IF(ISNUMBER(Tabelle1!F199),(0.5*Tabelle1!F187+SUM(Tabelle1!F188:F198)+0.5*Tabelle1!F199)/12,"")</f>
        <v>167.490796666667</v>
      </c>
      <c r="H192" s="24" t="n">
        <f aca="false">IFERROR(Tabelle1!F193/G192,"")</f>
        <v>1.07961973791237</v>
      </c>
      <c r="I192" s="24" t="n">
        <f aca="false">IFERROR(AVERAGEIFS($H$7:$H$294,$B$7:$B$294,$B192,$A$7:$A$294,"&gt;="&amp;EDATE($A192,-12*'Seasonal Factors'!$E$4),$A$7:$A$294,"&lt;="&amp;EDATE($A192,12*'Seasonal Factors'!$E$4)),"")</f>
        <v>1.13604196625943</v>
      </c>
      <c r="J192" s="24" t="n">
        <f aca="false">IFERROR(I192/AVERAGE(I187:I198),"")</f>
        <v>1.1433929408903</v>
      </c>
      <c r="K192" s="23" t="n">
        <f aca="false">IF(ISNUMBER(Tabelle1!G199),(0.5*Tabelle1!G187+SUM(Tabelle1!G188:G198)+0.5*Tabelle1!G199)/12,"")</f>
        <v>88.64374375</v>
      </c>
      <c r="L192" s="24" t="n">
        <f aca="false">IFERROR(Tabelle1!G193/K192,"")</f>
        <v>0.998964238804501</v>
      </c>
      <c r="M192" s="24" t="n">
        <f aca="false">IFERROR(AVERAGEIFS($L$7:$L$294,$B$7:$B$294,$B192,$A$7:$A$294,"&gt;="&amp;EDATE($A192,-12*'Seasonal Factors'!$E$4),$A$7:$A$294,"&lt;="&amp;EDATE($A192,12*'Seasonal Factors'!$E$4)),"")</f>
        <v>0.985051235481133</v>
      </c>
      <c r="N192" s="24" t="n">
        <f aca="false">IFERROR(M192/AVERAGE(M187:M198),"")</f>
        <v>0.98566023504667</v>
      </c>
      <c r="O192" s="23" t="n">
        <f aca="false">IF(ISNUMBER(Tabelle1!H199),(0.5*Tabelle1!H187+SUM(Tabelle1!H188:H198)+0.5*Tabelle1!H199)/12,"")</f>
        <v>117.897828333333</v>
      </c>
      <c r="P192" s="24" t="n">
        <f aca="false">IFERROR(Tabelle1!H193/O192,"")</f>
        <v>1.03054892289011</v>
      </c>
      <c r="Q192" s="24" t="n">
        <f aca="false">IFERROR(AVERAGEIFS($P$7:$P$294,$B$7:$B$294,$B192,$A$7:$A$294,"&gt;="&amp;EDATE($A192,-12*'Seasonal Factors'!$E$4),$A$7:$A$294,"&lt;="&amp;EDATE($A192,12*'Seasonal Factors'!$E$4)),"")</f>
        <v>1.04108416816989</v>
      </c>
      <c r="R192" s="24" t="n">
        <f aca="false">IFERROR(Q192/AVERAGE(Q187:Q198),"")</f>
        <v>1.0401685360892</v>
      </c>
      <c r="S192" s="23" t="n">
        <f aca="false">IF(ISNUMBER(Tabelle1!I199),(0.5*Tabelle1!I187+SUM(Tabelle1!I188:I198)+0.5*Tabelle1!I199)/12,"")</f>
        <v>138.879845833333</v>
      </c>
      <c r="T192" s="24" t="n">
        <f aca="false">IFERROR(Tabelle1!I193/S192,"")</f>
        <v>0.9922444770379</v>
      </c>
      <c r="U192" s="24" t="n">
        <f aca="false">IFERROR(AVERAGEIFS($T$7:$T$294,$B$7:$B$294,$B192,$A$7:$A$294,"&gt;="&amp;EDATE($A192,-12*'Seasonal Factors'!$E$4),$A$7:$A$294,"&lt;="&amp;EDATE($A192,12*'Seasonal Factors'!$E$4)),"")</f>
        <v>1.04614381030669</v>
      </c>
      <c r="V192" s="24" t="n">
        <f aca="false">IFERROR(U192/AVERAGE(U187:U198),"")</f>
        <v>1.04651187972659</v>
      </c>
      <c r="W192" s="23" t="n">
        <f aca="false">IF(ISNUMBER(Tabelle1!J199),(0.5*Tabelle1!J187+SUM(Tabelle1!J188:J198)+0.5*Tabelle1!J199)/12,"")</f>
        <v>142.239979583333</v>
      </c>
      <c r="X192" s="24" t="n">
        <f aca="false">IFERROR(Tabelle1!J193/W192,"")</f>
        <v>0.971679413937392</v>
      </c>
      <c r="Y192" s="24" t="n">
        <f aca="false">IFERROR(AVERAGEIFS($X$7:$X$294,$B$7:$B$294,$B192,$A$7:$A$294,"&gt;="&amp;EDATE($A192,-12*'Seasonal Factors'!$E$4),$A$7:$A$294,"&lt;="&amp;EDATE($A192,12*'Seasonal Factors'!$E$4)),"")</f>
        <v>0.973204882918947</v>
      </c>
      <c r="Z192" s="24" t="n">
        <f aca="false">IFERROR(Y192/AVERAGE(Y187:Y198),"")</f>
        <v>0.971963225763861</v>
      </c>
      <c r="AA192" s="23" t="n">
        <f aca="false">IF(ISNUMBER(Tabelle1!K199),(0.5*Tabelle1!K187+SUM(Tabelle1!K188:K198)+0.5*Tabelle1!K199)/12,"")</f>
        <v>139.939133333333</v>
      </c>
      <c r="AB192" s="24" t="n">
        <f aca="false">IFERROR(Tabelle1!K193/AA192,"")</f>
        <v>1.02721430793483</v>
      </c>
      <c r="AC192" s="24" t="n">
        <f aca="false">IFERROR(AVERAGEIFS($AB$7:$AB$294,$B$7:$B$294,$B192,$A$7:$A$294,"&gt;="&amp;EDATE($A192,-12*'Seasonal Factors'!$E$4),$A$7:$A$294,"&lt;="&amp;EDATE($A192,12*'Seasonal Factors'!$E$4)),"")</f>
        <v>1.0473954176528</v>
      </c>
      <c r="AD192" s="24" t="n">
        <f aca="false">IFERROR(AC192/AVERAGE(AC187:AC198),"")</f>
        <v>1.04695700686433</v>
      </c>
      <c r="AE192" s="23" t="n">
        <f aca="false">IF(ISNUMBER(Tabelle1!L199),(0.5*Tabelle1!L187+SUM(Tabelle1!L188:L198)+0.5*Tabelle1!L199)/12,"")</f>
        <v>165.425442083333</v>
      </c>
      <c r="AF192" s="24" t="n">
        <f aca="false">IFERROR(Tabelle1!L193/AE192,"")</f>
        <v>0.921689300507914</v>
      </c>
      <c r="AG192" s="24" t="n">
        <f aca="false">IFERROR(AVERAGEIFS($AF$7:$AF$294,$B$7:$B$294,$B192,$A$7:$A$294,"&gt;="&amp;EDATE($A192,-12*'Seasonal Factors'!$E$4),$A$7:$A$294,"&lt;="&amp;EDATE($A192,12*'Seasonal Factors'!$E$4)),"")</f>
        <v>0.928129732951934</v>
      </c>
      <c r="AH192" s="24" t="n">
        <f aca="false">IFERROR(AG192/AVERAGE(AG187:AG198),"")</f>
        <v>0.932775730238373</v>
      </c>
      <c r="AI192" s="23" t="n">
        <f aca="false">IF(ISNUMBER(Tabelle1!M199),(0.5*Tabelle1!M187+SUM(Tabelle1!M188:M198)+0.5*Tabelle1!M199)/12,"")</f>
        <v>190.428270416667</v>
      </c>
      <c r="AJ192" s="24" t="n">
        <f aca="false">IFERROR(Tabelle1!M193/AI192,"")</f>
        <v>1.03301752187097</v>
      </c>
      <c r="AK192" s="24" t="n">
        <f aca="false">IFERROR(AVERAGEIFS($AJ$7:$AJ$294,$B$7:$B$294,$B192,$A$7:$A$294,"&gt;="&amp;EDATE($A192,-12*'Seasonal Factors'!$E$4),$A$7:$A$294,"&lt;="&amp;EDATE($A192,12*'Seasonal Factors'!$E$4)),"")</f>
        <v>1.02580511782676</v>
      </c>
      <c r="AL192" s="24" t="n">
        <f aca="false">IFERROR(AK192/AVERAGE(AK187:AK198),"")</f>
        <v>1.02606525457543</v>
      </c>
      <c r="AM192" s="23" t="n">
        <f aca="false">IF(ISNUMBER(Tabelle1!N199),(0.5*Tabelle1!N187+SUM(Tabelle1!N188:N198)+0.5*Tabelle1!N199)/12,"")</f>
        <v>168.716084166667</v>
      </c>
      <c r="AN192" s="24" t="n">
        <f aca="false">IFERROR(Tabelle1!N193/AM192,"")</f>
        <v>0.958154942953201</v>
      </c>
      <c r="AO192" s="24" t="n">
        <f aca="false">IFERROR(AVERAGEIFS($AN$7:$AN$294,$B$7:$B$294,$B192,$A$7:$A$294,"&gt;="&amp;EDATE($A192,-12*'Seasonal Factors'!$E$4),$A$7:$A$294,"&lt;="&amp;EDATE($A192,12*'Seasonal Factors'!$E$4)),"")</f>
        <v>0.990439743629603</v>
      </c>
      <c r="AP192" s="24" t="n">
        <f aca="false">IFERROR(AO192/AVERAGE(AO187:AO198),"")</f>
        <v>0.989322745657925</v>
      </c>
      <c r="AQ192" s="23" t="n">
        <f aca="false">IF(ISNUMBER(Tabelle1!O199),(0.5*Tabelle1!O187+SUM(Tabelle1!O188:O198)+0.5*Tabelle1!O199)/12,"")</f>
        <v>140.528806666667</v>
      </c>
      <c r="AR192" s="24" t="n">
        <f aca="false">IFERROR(Tabelle1!O193/AQ192,"")</f>
        <v>1.01319212321877</v>
      </c>
      <c r="AS192" s="24" t="n">
        <f aca="false">IFERROR(AVERAGEIFS($AR$7:$AR$294,$B$7:$B$294,$B192,$A$7:$A$294,"&gt;="&amp;EDATE($A192,-12*'Seasonal Factors'!$E$4),$A$7:$A$294,"&lt;="&amp;EDATE($A192,12*'Seasonal Factors'!$E$4)),"")</f>
        <v>1.01170107473915</v>
      </c>
      <c r="AT192" s="24" t="n">
        <f aca="false">IFERROR(AS192/AVERAGE(AS187:AS198),"")</f>
        <v>1.01174614672097</v>
      </c>
      <c r="AU192" s="23" t="n">
        <f aca="false">IF(ISNUMBER(Tabelle1!P199),(0.5*Tabelle1!P187+SUM(Tabelle1!P188:P198)+0.5*Tabelle1!P199)/12,"")</f>
        <v>155.34489125</v>
      </c>
      <c r="AV192" s="24" t="n">
        <f aca="false">IFERROR(Tabelle1!P193/AU192,"")</f>
        <v>1.00320647010656</v>
      </c>
      <c r="AW192" s="24" t="n">
        <f aca="false">IFERROR(AVERAGEIFS($AV$7:$AV$294,$B$7:$B$294,$B192,$A$7:$A$294,"&gt;="&amp;EDATE($A192,-12*'Seasonal Factors'!$E$4),$A$7:$A$294,"&lt;="&amp;EDATE($A192,12*'Seasonal Factors'!$E$4)),"")</f>
        <v>0.995313712759539</v>
      </c>
      <c r="AX192" s="24" t="n">
        <f aca="false">IFERROR(AW192/AVERAGE(AW187:AW198),"")</f>
        <v>0.995129341127908</v>
      </c>
      <c r="AY192" s="23" t="n">
        <f aca="false">IF(ISNUMBER(Tabelle1!Q199),(0.5*Tabelle1!Q187+SUM(Tabelle1!Q188:Q198)+0.5*Tabelle1!Q199)/12,"")</f>
        <v>161.972855</v>
      </c>
      <c r="AZ192" s="24" t="n">
        <f aca="false">IFERROR(Tabelle1!Q193/AY192,"")</f>
        <v>1.00442706896782</v>
      </c>
      <c r="BA192" s="24" t="n">
        <f aca="false">IFERROR(AVERAGEIFS($AZ$7:$AZ$294,$B$7:$B$294,$B192,$A$7:$A$294,"&gt;="&amp;EDATE($A192,-12*'Seasonal Factors'!$E$4),$A$7:$A$294,"&lt;="&amp;EDATE($A192,12*'Seasonal Factors'!$E$4)),"")</f>
        <v>1.00084258228782</v>
      </c>
      <c r="BB192" s="24" t="n">
        <f aca="false">IFERROR(BA192/AVERAGE(BA187:BA198),"")</f>
        <v>1.00083081944687</v>
      </c>
      <c r="BC192" s="23" t="n">
        <f aca="false">IF(ISNUMBER(Tabelle1!R199),(0.5*Tabelle1!R187+SUM(Tabelle1!R188:R198)+0.5*Tabelle1!R199)/12,"")</f>
        <v>180.81034875</v>
      </c>
      <c r="BD192" s="24" t="n">
        <f aca="false">IFERROR(Tabelle1!R193/BC192,"")</f>
        <v>1.09703565847472</v>
      </c>
      <c r="BE192" s="24" t="n">
        <f aca="false">IFERROR(AVERAGEIFS($BD$7:$BD$294,$B$7:$B$294,$B192,$A$7:$A$294,"&gt;="&amp;EDATE($A192,-12*'Seasonal Factors'!$E$4),$A$7:$A$294,"&lt;="&amp;EDATE($A192,12*'Seasonal Factors'!$E$4)),"")</f>
        <v>1.08614710275798</v>
      </c>
      <c r="BF192" s="24" t="n">
        <f aca="false">IFERROR(BE192/AVERAGE(BE187:BE198),"")</f>
        <v>1.08624247310793</v>
      </c>
      <c r="BG192" s="23" t="n">
        <f aca="false">IF(ISNUMBER(Tabelle1!S199),(0.5*Tabelle1!S187+SUM(Tabelle1!S188:S198)+0.5*Tabelle1!S199)/12,"")</f>
        <v>145.950017916667</v>
      </c>
      <c r="BH192" s="24" t="n">
        <f aca="false">IFERROR(Tabelle1!S193/BG192,"")</f>
        <v>1.03549045184969</v>
      </c>
      <c r="BI192" s="24" t="n">
        <f aca="false">IFERROR(AVERAGEIFS($BH$7:$BH$294,$B$7:$B$294,$B192,$A$7:$A$294,"&gt;="&amp;EDATE($A192,-12*'Seasonal Factors'!$E$4),$A$7:$A$294,"&lt;="&amp;EDATE($A192,12*'Seasonal Factors'!$E$4)),"")</f>
        <v>0.949063208947546</v>
      </c>
      <c r="BJ192" s="24" t="n">
        <f aca="false">IFERROR(BI192/AVERAGE(BI187:BI198),"")</f>
        <v>0.952754415657249</v>
      </c>
    </row>
    <row r="193" customFormat="false" ht="15" hidden="false" customHeight="false" outlineLevel="0" collapsed="false">
      <c r="A193" s="20" t="n">
        <v>43677</v>
      </c>
      <c r="B193" s="22" t="n">
        <f aca="false">MONTH(A193)</f>
        <v>7</v>
      </c>
      <c r="C193" s="23" t="n">
        <f aca="false">IF(ISNUMBER(Tabelle1!E200),(0.5*Tabelle1!E188+SUM(Tabelle1!E189:E199)+0.5*Tabelle1!E200)/12,"")</f>
        <v>138.370409583333</v>
      </c>
      <c r="D193" s="24" t="n">
        <f aca="false">IFERROR(Tabelle1!E194/C193,"")</f>
        <v>0.916730321041695</v>
      </c>
      <c r="E193" s="24" t="n">
        <f aca="false">IFERROR(AVERAGEIFS($D$7:$D$294,$B$7:$B$294,$B193,$A$7:$A$294,"&gt;="&amp;EDATE($A193,-12*'Seasonal Factors'!$E$4),$A$7:$A$294,"&lt;="&amp;EDATE($A193,12*'Seasonal Factors'!$E$4)),"")</f>
        <v>0.901265147584047</v>
      </c>
      <c r="F193" s="24" t="n">
        <f aca="false">IFERROR(E193/AVERAGE(E188:E199),"")</f>
        <v>0.899083116483745</v>
      </c>
      <c r="G193" s="23" t="n">
        <f aca="false">IF(ISNUMBER(Tabelle1!F200),(0.5*Tabelle1!F188+SUM(Tabelle1!F189:F199)+0.5*Tabelle1!F200)/12,"")</f>
        <v>165.890851666667</v>
      </c>
      <c r="H193" s="24" t="n">
        <f aca="false">IFERROR(Tabelle1!F194/G193,"")</f>
        <v>1.52197325809939</v>
      </c>
      <c r="I193" s="24" t="n">
        <f aca="false">IFERROR(AVERAGEIFS($H$7:$H$294,$B$7:$B$294,$B193,$A$7:$A$294,"&gt;="&amp;EDATE($A193,-12*'Seasonal Factors'!$E$4),$A$7:$A$294,"&lt;="&amp;EDATE($A193,12*'Seasonal Factors'!$E$4)),"")</f>
        <v>1.45535578449719</v>
      </c>
      <c r="J193" s="24" t="n">
        <f aca="false">IFERROR(I193/AVERAGE(I188:I199),"")</f>
        <v>1.45722747126452</v>
      </c>
      <c r="K193" s="23" t="n">
        <f aca="false">IF(ISNUMBER(Tabelle1!G200),(0.5*Tabelle1!G188+SUM(Tabelle1!G189:G199)+0.5*Tabelle1!G200)/12,"")</f>
        <v>88.7093395833334</v>
      </c>
      <c r="L193" s="24" t="n">
        <f aca="false">IFERROR(Tabelle1!G194/K193,"")</f>
        <v>1.0331266181269</v>
      </c>
      <c r="M193" s="24" t="n">
        <f aca="false">IFERROR(AVERAGEIFS($L$7:$L$294,$B$7:$B$294,$B193,$A$7:$A$294,"&gt;="&amp;EDATE($A193,-12*'Seasonal Factors'!$E$4),$A$7:$A$294,"&lt;="&amp;EDATE($A193,12*'Seasonal Factors'!$E$4)),"")</f>
        <v>1.01611817500038</v>
      </c>
      <c r="N193" s="24" t="n">
        <f aca="false">IFERROR(M193/AVERAGE(M188:M199),"")</f>
        <v>1.01654578815261</v>
      </c>
      <c r="O193" s="23" t="n">
        <f aca="false">IF(ISNUMBER(Tabelle1!H200),(0.5*Tabelle1!H188+SUM(Tabelle1!H189:H199)+0.5*Tabelle1!H200)/12,"")</f>
        <v>117.821705416667</v>
      </c>
      <c r="P193" s="24" t="n">
        <f aca="false">IFERROR(Tabelle1!H194/O193,"")</f>
        <v>1.06074444906414</v>
      </c>
      <c r="Q193" s="24" t="n">
        <f aca="false">IFERROR(AVERAGEIFS($P$7:$P$294,$B$7:$B$294,$B193,$A$7:$A$294,"&gt;="&amp;EDATE($A193,-12*'Seasonal Factors'!$E$4),$A$7:$A$294,"&lt;="&amp;EDATE($A193,12*'Seasonal Factors'!$E$4)),"")</f>
        <v>1.03087371937878</v>
      </c>
      <c r="R193" s="24" t="n">
        <f aca="false">IFERROR(Q193/AVERAGE(Q188:Q199),"")</f>
        <v>1.03024142573622</v>
      </c>
      <c r="S193" s="23" t="n">
        <f aca="false">IF(ISNUMBER(Tabelle1!I200),(0.5*Tabelle1!I188+SUM(Tabelle1!I189:I199)+0.5*Tabelle1!I200)/12,"")</f>
        <v>139.37983625</v>
      </c>
      <c r="T193" s="24" t="n">
        <f aca="false">IFERROR(Tabelle1!I194/S193,"")</f>
        <v>1.08610028590129</v>
      </c>
      <c r="U193" s="24" t="n">
        <f aca="false">IFERROR(AVERAGEIFS($T$7:$T$294,$B$7:$B$294,$B193,$A$7:$A$294,"&gt;="&amp;EDATE($A193,-12*'Seasonal Factors'!$E$4),$A$7:$A$294,"&lt;="&amp;EDATE($A193,12*'Seasonal Factors'!$E$4)),"")</f>
        <v>1.08111655689847</v>
      </c>
      <c r="V193" s="24" t="n">
        <f aca="false">IFERROR(U193/AVERAGE(U188:U199),"")</f>
        <v>1.08157644875267</v>
      </c>
      <c r="W193" s="23" t="n">
        <f aca="false">IF(ISNUMBER(Tabelle1!J200),(0.5*Tabelle1!J188+SUM(Tabelle1!J189:J199)+0.5*Tabelle1!J200)/12,"")</f>
        <v>141.513925833333</v>
      </c>
      <c r="X193" s="24" t="n">
        <f aca="false">IFERROR(Tabelle1!J194/W193,"")</f>
        <v>1.03856902516502</v>
      </c>
      <c r="Y193" s="24" t="n">
        <f aca="false">IFERROR(AVERAGEIFS($X$7:$X$294,$B$7:$B$294,$B193,$A$7:$A$294,"&gt;="&amp;EDATE($A193,-12*'Seasonal Factors'!$E$4),$A$7:$A$294,"&lt;="&amp;EDATE($A193,12*'Seasonal Factors'!$E$4)),"")</f>
        <v>1.0065046430046</v>
      </c>
      <c r="Z193" s="24" t="n">
        <f aca="false">IFERROR(Y193/AVERAGE(Y188:Y199),"")</f>
        <v>1.00540310767572</v>
      </c>
      <c r="AA193" s="23" t="n">
        <f aca="false">IF(ISNUMBER(Tabelle1!K200),(0.5*Tabelle1!K188+SUM(Tabelle1!K189:K199)+0.5*Tabelle1!K200)/12,"")</f>
        <v>140.089575</v>
      </c>
      <c r="AB193" s="24" t="n">
        <f aca="false">IFERROR(Tabelle1!K194/AA193,"")</f>
        <v>1.03450974135656</v>
      </c>
      <c r="AC193" s="24" t="n">
        <f aca="false">IFERROR(AVERAGEIFS($AB$7:$AB$294,$B$7:$B$294,$B193,$A$7:$A$294,"&gt;="&amp;EDATE($A193,-12*'Seasonal Factors'!$E$4),$A$7:$A$294,"&lt;="&amp;EDATE($A193,12*'Seasonal Factors'!$E$4)),"")</f>
        <v>1.00940422650572</v>
      </c>
      <c r="AD193" s="24" t="n">
        <f aca="false">IFERROR(AC193/AVERAGE(AC188:AC199),"")</f>
        <v>1.00849384339673</v>
      </c>
      <c r="AE193" s="23" t="n">
        <f aca="false">IF(ISNUMBER(Tabelle1!L200),(0.5*Tabelle1!L188+SUM(Tabelle1!L189:L199)+0.5*Tabelle1!L200)/12,"")</f>
        <v>165.625042916667</v>
      </c>
      <c r="AF193" s="24" t="n">
        <f aca="false">IFERROR(Tabelle1!L194/AE193,"")</f>
        <v>1.05329518367446</v>
      </c>
      <c r="AG193" s="24" t="n">
        <f aca="false">IFERROR(AVERAGEIFS($AF$7:$AF$294,$B$7:$B$294,$B193,$A$7:$A$294,"&gt;="&amp;EDATE($A193,-12*'Seasonal Factors'!$E$4),$A$7:$A$294,"&lt;="&amp;EDATE($A193,12*'Seasonal Factors'!$E$4)),"")</f>
        <v>0.965540742788854</v>
      </c>
      <c r="AH193" s="24" t="n">
        <f aca="false">IFERROR(AG193/AVERAGE(AG188:AG199),"")</f>
        <v>0.96964657512569</v>
      </c>
      <c r="AI193" s="23" t="n">
        <f aca="false">IF(ISNUMBER(Tabelle1!M200),(0.5*Tabelle1!M188+SUM(Tabelle1!M189:M199)+0.5*Tabelle1!M200)/12,"")</f>
        <v>190.299949583333</v>
      </c>
      <c r="AJ193" s="24" t="n">
        <f aca="false">IFERROR(Tabelle1!M194/AI193,"")</f>
        <v>1.03124830263848</v>
      </c>
      <c r="AK193" s="24" t="n">
        <f aca="false">IFERROR(AVERAGEIFS($AJ$7:$AJ$294,$B$7:$B$294,$B193,$A$7:$A$294,"&gt;="&amp;EDATE($A193,-12*'Seasonal Factors'!$E$4),$A$7:$A$294,"&lt;="&amp;EDATE($A193,12*'Seasonal Factors'!$E$4)),"")</f>
        <v>1.00901369018777</v>
      </c>
      <c r="AL193" s="24" t="n">
        <f aca="false">IFERROR(AK193/AVERAGE(AK188:AK199),"")</f>
        <v>1.00921655796101</v>
      </c>
      <c r="AM193" s="23" t="n">
        <f aca="false">IF(ISNUMBER(Tabelle1!N200),(0.5*Tabelle1!N188+SUM(Tabelle1!N189:N199)+0.5*Tabelle1!N200)/12,"")</f>
        <v>167.185136666667</v>
      </c>
      <c r="AN193" s="24" t="n">
        <f aca="false">IFERROR(Tabelle1!N194/AM193,"")</f>
        <v>1.00369263288377</v>
      </c>
      <c r="AO193" s="24" t="n">
        <f aca="false">IFERROR(AVERAGEIFS($AN$7:$AN$294,$B$7:$B$294,$B193,$A$7:$A$294,"&gt;="&amp;EDATE($A193,-12*'Seasonal Factors'!$E$4),$A$7:$A$294,"&lt;="&amp;EDATE($A193,12*'Seasonal Factors'!$E$4)),"")</f>
        <v>0.997496671127042</v>
      </c>
      <c r="AP193" s="24" t="n">
        <f aca="false">IFERROR(AO193/AVERAGE(AO188:AO199),"")</f>
        <v>0.996694228832328</v>
      </c>
      <c r="AQ193" s="23" t="n">
        <f aca="false">IF(ISNUMBER(Tabelle1!O200),(0.5*Tabelle1!O188+SUM(Tabelle1!O189:O199)+0.5*Tabelle1!O200)/12,"")</f>
        <v>140.625922083333</v>
      </c>
      <c r="AR193" s="24" t="n">
        <f aca="false">IFERROR(Tabelle1!O194/AQ193,"")</f>
        <v>1.01764566503746</v>
      </c>
      <c r="AS193" s="24" t="n">
        <f aca="false">IFERROR(AVERAGEIFS($AR$7:$AR$294,$B$7:$B$294,$B193,$A$7:$A$294,"&gt;="&amp;EDATE($A193,-12*'Seasonal Factors'!$E$4),$A$7:$A$294,"&lt;="&amp;EDATE($A193,12*'Seasonal Factors'!$E$4)),"")</f>
        <v>1.00491195624395</v>
      </c>
      <c r="AT193" s="24" t="n">
        <f aca="false">IFERROR(AS193/AVERAGE(AS188:AS199),"")</f>
        <v>1.00479784952141</v>
      </c>
      <c r="AU193" s="23" t="n">
        <f aca="false">IF(ISNUMBER(Tabelle1!P200),(0.5*Tabelle1!P188+SUM(Tabelle1!P189:P199)+0.5*Tabelle1!P200)/12,"")</f>
        <v>155.5405075</v>
      </c>
      <c r="AV193" s="24" t="n">
        <f aca="false">IFERROR(Tabelle1!P194/AU193,"")</f>
        <v>0.998720670883757</v>
      </c>
      <c r="AW193" s="24" t="n">
        <f aca="false">IFERROR(AVERAGEIFS($AV$7:$AV$294,$B$7:$B$294,$B193,$A$7:$A$294,"&gt;="&amp;EDATE($A193,-12*'Seasonal Factors'!$E$4),$A$7:$A$294,"&lt;="&amp;EDATE($A193,12*'Seasonal Factors'!$E$4)),"")</f>
        <v>0.997593220263931</v>
      </c>
      <c r="AX193" s="24" t="n">
        <f aca="false">IFERROR(AW193/AVERAGE(AW188:AW199),"")</f>
        <v>0.997363296455694</v>
      </c>
      <c r="AY193" s="23" t="n">
        <f aca="false">IF(ISNUMBER(Tabelle1!Q200),(0.5*Tabelle1!Q188+SUM(Tabelle1!Q189:Q199)+0.5*Tabelle1!Q200)/12,"")</f>
        <v>162.01196125</v>
      </c>
      <c r="AZ193" s="24" t="n">
        <f aca="false">IFERROR(Tabelle1!Q194/AY193,"")</f>
        <v>1.0122614326416</v>
      </c>
      <c r="BA193" s="24" t="n">
        <f aca="false">IFERROR(AVERAGEIFS($AZ$7:$AZ$294,$B$7:$B$294,$B193,$A$7:$A$294,"&gt;="&amp;EDATE($A193,-12*'Seasonal Factors'!$E$4),$A$7:$A$294,"&lt;="&amp;EDATE($A193,12*'Seasonal Factors'!$E$4)),"")</f>
        <v>1.00570718972227</v>
      </c>
      <c r="BB193" s="24" t="n">
        <f aca="false">IFERROR(BA193/AVERAGE(BA188:BA199),"")</f>
        <v>1.0057189289822</v>
      </c>
      <c r="BC193" s="23" t="n">
        <f aca="false">IF(ISNUMBER(Tabelle1!R200),(0.5*Tabelle1!R188+SUM(Tabelle1!R189:R199)+0.5*Tabelle1!R200)/12,"")</f>
        <v>180.88233375</v>
      </c>
      <c r="BD193" s="24" t="n">
        <f aca="false">IFERROR(Tabelle1!R194/BC193,"")</f>
        <v>1.00391478943974</v>
      </c>
      <c r="BE193" s="24" t="n">
        <f aca="false">IFERROR(AVERAGEIFS($BD$7:$BD$294,$B$7:$B$294,$B193,$A$7:$A$294,"&gt;="&amp;EDATE($A193,-12*'Seasonal Factors'!$E$4),$A$7:$A$294,"&lt;="&amp;EDATE($A193,12*'Seasonal Factors'!$E$4)),"")</f>
        <v>1.00454734618217</v>
      </c>
      <c r="BF193" s="24" t="n">
        <f aca="false">IFERROR(BE193/AVERAGE(BE188:BE199),"")</f>
        <v>1.0045502423906</v>
      </c>
      <c r="BG193" s="23" t="n">
        <f aca="false">IF(ISNUMBER(Tabelle1!S200),(0.5*Tabelle1!S188+SUM(Tabelle1!S189:S199)+0.5*Tabelle1!S200)/12,"")</f>
        <v>145.678410416667</v>
      </c>
      <c r="BH193" s="24" t="n">
        <f aca="false">IFERROR(Tabelle1!S194/BG193,"")</f>
        <v>1.16503351124281</v>
      </c>
      <c r="BI193" s="24" t="n">
        <f aca="false">IFERROR(AVERAGEIFS($BH$7:$BH$294,$B$7:$B$294,$B193,$A$7:$A$294,"&gt;="&amp;EDATE($A193,-12*'Seasonal Factors'!$E$4),$A$7:$A$294,"&lt;="&amp;EDATE($A193,12*'Seasonal Factors'!$E$4)),"")</f>
        <v>1.05872535584996</v>
      </c>
      <c r="BJ193" s="24" t="n">
        <f aca="false">IFERROR(BI193/AVERAGE(BI188:BI199),"")</f>
        <v>1.0618945198345</v>
      </c>
    </row>
    <row r="194" customFormat="false" ht="15" hidden="false" customHeight="false" outlineLevel="0" collapsed="false">
      <c r="A194" s="20" t="n">
        <v>43708</v>
      </c>
      <c r="B194" s="22" t="n">
        <f aca="false">MONTH(A194)</f>
        <v>8</v>
      </c>
      <c r="C194" s="23" t="n">
        <f aca="false">IF(ISNUMBER(Tabelle1!E201),(0.5*Tabelle1!E189+SUM(Tabelle1!E190:E200)+0.5*Tabelle1!E201)/12,"")</f>
        <v>138.488892083333</v>
      </c>
      <c r="D194" s="24" t="n">
        <f aca="false">IFERROR(Tabelle1!E195/C194,"")</f>
        <v>0.5633713926533</v>
      </c>
      <c r="E194" s="24" t="n">
        <f aca="false">IFERROR(AVERAGEIFS($D$7:$D$294,$B$7:$B$294,$B194,$A$7:$A$294,"&gt;="&amp;EDATE($A194,-12*'Seasonal Factors'!$E$4),$A$7:$A$294,"&lt;="&amp;EDATE($A194,12*'Seasonal Factors'!$E$4)),"")</f>
        <v>0.604360041546627</v>
      </c>
      <c r="F194" s="24" t="n">
        <f aca="false">IFERROR(E194/AVERAGE(E189:E200),"")</f>
        <v>0.602576383173151</v>
      </c>
      <c r="G194" s="23" t="n">
        <f aca="false">IF(ISNUMBER(Tabelle1!F201),(0.5*Tabelle1!F189+SUM(Tabelle1!F190:F200)+0.5*Tabelle1!F201)/12,"")</f>
        <v>164.568924583333</v>
      </c>
      <c r="H194" s="24" t="n">
        <f aca="false">IFERROR(Tabelle1!F195/G194,"")</f>
        <v>1.76455221260776</v>
      </c>
      <c r="I194" s="24" t="n">
        <f aca="false">IFERROR(AVERAGEIFS($H$7:$H$294,$B$7:$B$294,$B194,$A$7:$A$294,"&gt;="&amp;EDATE($A194,-12*'Seasonal Factors'!$E$4),$A$7:$A$294,"&lt;="&amp;EDATE($A194,12*'Seasonal Factors'!$E$4)),"")</f>
        <v>1.59539686932239</v>
      </c>
      <c r="J194" s="24" t="n">
        <f aca="false">IFERROR(I194/AVERAGE(I189:I200),"")</f>
        <v>1.5914842681157</v>
      </c>
      <c r="K194" s="23" t="n">
        <f aca="false">IF(ISNUMBER(Tabelle1!G201),(0.5*Tabelle1!G189+SUM(Tabelle1!G190:G200)+0.5*Tabelle1!G201)/12,"")</f>
        <v>88.904885</v>
      </c>
      <c r="L194" s="24" t="n">
        <f aca="false">IFERROR(Tabelle1!G195/K194,"")</f>
        <v>1.02811043510151</v>
      </c>
      <c r="M194" s="24" t="n">
        <f aca="false">IFERROR(AVERAGEIFS($L$7:$L$294,$B$7:$B$294,$B194,$A$7:$A$294,"&gt;="&amp;EDATE($A194,-12*'Seasonal Factors'!$E$4),$A$7:$A$294,"&lt;="&amp;EDATE($A194,12*'Seasonal Factors'!$E$4)),"")</f>
        <v>1.02342414440175</v>
      </c>
      <c r="N194" s="24" t="n">
        <f aca="false">IFERROR(M194/AVERAGE(M189:M200),"")</f>
        <v>1.02366024290777</v>
      </c>
      <c r="O194" s="23" t="n">
        <f aca="false">IF(ISNUMBER(Tabelle1!H201),(0.5*Tabelle1!H189+SUM(Tabelle1!H190:H200)+0.5*Tabelle1!H201)/12,"")</f>
        <v>117.62968</v>
      </c>
      <c r="P194" s="24" t="n">
        <f aca="false">IFERROR(Tabelle1!H195/O194,"")</f>
        <v>1.06804694189426</v>
      </c>
      <c r="Q194" s="24" t="n">
        <f aca="false">IFERROR(AVERAGEIFS($P$7:$P$294,$B$7:$B$294,$B194,$A$7:$A$294,"&gt;="&amp;EDATE($A194,-12*'Seasonal Factors'!$E$4),$A$7:$A$294,"&lt;="&amp;EDATE($A194,12*'Seasonal Factors'!$E$4)),"")</f>
        <v>1.0600518347309</v>
      </c>
      <c r="R194" s="24" t="n">
        <f aca="false">IFERROR(Q194/AVERAGE(Q189:Q200),"")</f>
        <v>1.05933565315266</v>
      </c>
      <c r="S194" s="23" t="n">
        <f aca="false">IF(ISNUMBER(Tabelle1!I201),(0.5*Tabelle1!I189+SUM(Tabelle1!I190:I200)+0.5*Tabelle1!I201)/12,"")</f>
        <v>139.719620416667</v>
      </c>
      <c r="T194" s="24" t="n">
        <f aca="false">IFERROR(Tabelle1!I195/S194,"")</f>
        <v>1.0224591190126</v>
      </c>
      <c r="U194" s="24" t="n">
        <f aca="false">IFERROR(AVERAGEIFS($T$7:$T$294,$B$7:$B$294,$B194,$A$7:$A$294,"&gt;="&amp;EDATE($A194,-12*'Seasonal Factors'!$E$4),$A$7:$A$294,"&lt;="&amp;EDATE($A194,12*'Seasonal Factors'!$E$4)),"")</f>
        <v>1.02683445153358</v>
      </c>
      <c r="V194" s="24" t="n">
        <f aca="false">IFERROR(U194/AVERAGE(U189:U200),"")</f>
        <v>1.02656050556596</v>
      </c>
      <c r="W194" s="23" t="n">
        <f aca="false">IF(ISNUMBER(Tabelle1!J201),(0.5*Tabelle1!J189+SUM(Tabelle1!J190:J200)+0.5*Tabelle1!J201)/12,"")</f>
        <v>140.038497916667</v>
      </c>
      <c r="X194" s="24" t="n">
        <f aca="false">IFERROR(Tabelle1!J195/W194,"")</f>
        <v>1.1129453851522</v>
      </c>
      <c r="Y194" s="24" t="n">
        <f aca="false">IFERROR(AVERAGEIFS($X$7:$X$294,$B$7:$B$294,$B194,$A$7:$A$294,"&gt;="&amp;EDATE($A194,-12*'Seasonal Factors'!$E$4),$A$7:$A$294,"&lt;="&amp;EDATE($A194,12*'Seasonal Factors'!$E$4)),"")</f>
        <v>1.07469032295618</v>
      </c>
      <c r="Z194" s="24" t="n">
        <f aca="false">IFERROR(Y194/AVERAGE(Y189:Y200),"")</f>
        <v>1.07398880344877</v>
      </c>
      <c r="AA194" s="23" t="n">
        <f aca="false">IF(ISNUMBER(Tabelle1!K201),(0.5*Tabelle1!K189+SUM(Tabelle1!K190:K200)+0.5*Tabelle1!K201)/12,"")</f>
        <v>140.019122083333</v>
      </c>
      <c r="AB194" s="24" t="n">
        <f aca="false">IFERROR(Tabelle1!K195/AA194,"")</f>
        <v>1.01744788769075</v>
      </c>
      <c r="AC194" s="24" t="n">
        <f aca="false">IFERROR(AVERAGEIFS($AB$7:$AB$294,$B$7:$B$294,$B194,$A$7:$A$294,"&gt;="&amp;EDATE($A194,-12*'Seasonal Factors'!$E$4),$A$7:$A$294,"&lt;="&amp;EDATE($A194,12*'Seasonal Factors'!$E$4)),"")</f>
        <v>1.03083989455141</v>
      </c>
      <c r="AD194" s="24" t="n">
        <f aca="false">IFERROR(AC194/AVERAGE(AC189:AC200),"")</f>
        <v>1.02965677954909</v>
      </c>
      <c r="AE194" s="23" t="n">
        <f aca="false">IF(ISNUMBER(Tabelle1!L201),(0.5*Tabelle1!L189+SUM(Tabelle1!L190:L200)+0.5*Tabelle1!L201)/12,"")</f>
        <v>165.97706375</v>
      </c>
      <c r="AF194" s="24" t="n">
        <f aca="false">IFERROR(Tabelle1!L195/AE194,"")</f>
        <v>1.00641616513715</v>
      </c>
      <c r="AG194" s="24" t="n">
        <f aca="false">IFERROR(AVERAGEIFS($AF$7:$AF$294,$B$7:$B$294,$B194,$A$7:$A$294,"&gt;="&amp;EDATE($A194,-12*'Seasonal Factors'!$E$4),$A$7:$A$294,"&lt;="&amp;EDATE($A194,12*'Seasonal Factors'!$E$4)),"")</f>
        <v>0.993384243565588</v>
      </c>
      <c r="AH194" s="24" t="n">
        <f aca="false">IFERROR(AG194/AVERAGE(AG189:AG200),"")</f>
        <v>0.99671320862817</v>
      </c>
      <c r="AI194" s="23" t="n">
        <f aca="false">IF(ISNUMBER(Tabelle1!M201),(0.5*Tabelle1!M189+SUM(Tabelle1!M190:M200)+0.5*Tabelle1!M201)/12,"")</f>
        <v>190.074312083333</v>
      </c>
      <c r="AJ194" s="24" t="n">
        <f aca="false">IFERROR(Tabelle1!M195/AI194,"")</f>
        <v>1.00049958311371</v>
      </c>
      <c r="AK194" s="24" t="n">
        <f aca="false">IFERROR(AVERAGEIFS($AJ$7:$AJ$294,$B$7:$B$294,$B194,$A$7:$A$294,"&gt;="&amp;EDATE($A194,-12*'Seasonal Factors'!$E$4),$A$7:$A$294,"&lt;="&amp;EDATE($A194,12*'Seasonal Factors'!$E$4)),"")</f>
        <v>0.997574814987385</v>
      </c>
      <c r="AL194" s="24" t="n">
        <f aca="false">IFERROR(AK194/AVERAGE(AK189:AK200),"")</f>
        <v>0.997702880329322</v>
      </c>
      <c r="AM194" s="23" t="n">
        <f aca="false">IF(ISNUMBER(Tabelle1!N201),(0.5*Tabelle1!N189+SUM(Tabelle1!N190:N200)+0.5*Tabelle1!N201)/12,"")</f>
        <v>165.724044166667</v>
      </c>
      <c r="AN194" s="24" t="n">
        <f aca="false">IFERROR(Tabelle1!N195/AM194,"")</f>
        <v>1.02145075478461</v>
      </c>
      <c r="AO194" s="24" t="n">
        <f aca="false">IFERROR(AVERAGEIFS($AN$7:$AN$294,$B$7:$B$294,$B194,$A$7:$A$294,"&gt;="&amp;EDATE($A194,-12*'Seasonal Factors'!$E$4),$A$7:$A$294,"&lt;="&amp;EDATE($A194,12*'Seasonal Factors'!$E$4)),"")</f>
        <v>1.02387711185093</v>
      </c>
      <c r="AP194" s="24" t="n">
        <f aca="false">IFERROR(AO194/AVERAGE(AO189:AO200),"")</f>
        <v>1.02380144018208</v>
      </c>
      <c r="AQ194" s="23" t="n">
        <f aca="false">IF(ISNUMBER(Tabelle1!O201),(0.5*Tabelle1!O189+SUM(Tabelle1!O190:O200)+0.5*Tabelle1!O201)/12,"")</f>
        <v>140.664539166667</v>
      </c>
      <c r="AR194" s="24" t="n">
        <f aca="false">IFERROR(Tabelle1!O195/AQ194,"")</f>
        <v>1.00669721622034</v>
      </c>
      <c r="AS194" s="24" t="n">
        <f aca="false">IFERROR(AVERAGEIFS($AR$7:$AR$294,$B$7:$B$294,$B194,$A$7:$A$294,"&gt;="&amp;EDATE($A194,-12*'Seasonal Factors'!$E$4),$A$7:$A$294,"&lt;="&amp;EDATE($A194,12*'Seasonal Factors'!$E$4)),"")</f>
        <v>1.0099156507072</v>
      </c>
      <c r="AT194" s="24" t="n">
        <f aca="false">IFERROR(AS194/AVERAGE(AS189:AS200),"")</f>
        <v>1.00969846063454</v>
      </c>
      <c r="AU194" s="23" t="n">
        <f aca="false">IF(ISNUMBER(Tabelle1!P201),(0.5*Tabelle1!P189+SUM(Tabelle1!P190:P200)+0.5*Tabelle1!P201)/12,"")</f>
        <v>155.701365416667</v>
      </c>
      <c r="AV194" s="24" t="n">
        <f aca="false">IFERROR(Tabelle1!P195/AU194,"")</f>
        <v>0.997354773250931</v>
      </c>
      <c r="AW194" s="24" t="n">
        <f aca="false">IFERROR(AVERAGEIFS($AV$7:$AV$294,$B$7:$B$294,$B194,$A$7:$A$294,"&gt;="&amp;EDATE($A194,-12*'Seasonal Factors'!$E$4),$A$7:$A$294,"&lt;="&amp;EDATE($A194,12*'Seasonal Factors'!$E$4)),"")</f>
        <v>0.994473927413591</v>
      </c>
      <c r="AX194" s="24" t="n">
        <f aca="false">IFERROR(AW194/AVERAGE(AW189:AW200),"")</f>
        <v>0.994163700175216</v>
      </c>
      <c r="AY194" s="23" t="n">
        <f aca="false">IF(ISNUMBER(Tabelle1!Q201),(0.5*Tabelle1!Q189+SUM(Tabelle1!Q190:Q200)+0.5*Tabelle1!Q201)/12,"")</f>
        <v>162.05933375</v>
      </c>
      <c r="AZ194" s="24" t="n">
        <f aca="false">IFERROR(Tabelle1!Q195/AY194,"")</f>
        <v>1.00929219079922</v>
      </c>
      <c r="BA194" s="24" t="n">
        <f aca="false">IFERROR(AVERAGEIFS($AZ$7:$AZ$294,$B$7:$B$294,$B194,$A$7:$A$294,"&gt;="&amp;EDATE($A194,-12*'Seasonal Factors'!$E$4),$A$7:$A$294,"&lt;="&amp;EDATE($A194,12*'Seasonal Factors'!$E$4)),"")</f>
        <v>1.00763551245308</v>
      </c>
      <c r="BB194" s="24" t="n">
        <f aca="false">IFERROR(BA194/AVERAGE(BA189:BA200),"")</f>
        <v>1.00755650443449</v>
      </c>
      <c r="BC194" s="23" t="n">
        <f aca="false">IF(ISNUMBER(Tabelle1!R201),(0.5*Tabelle1!R189+SUM(Tabelle1!R190:R200)+0.5*Tabelle1!R201)/12,"")</f>
        <v>180.962810416667</v>
      </c>
      <c r="BD194" s="24" t="n">
        <f aca="false">IFERROR(Tabelle1!R195/BC194,"")</f>
        <v>1.00130849859586</v>
      </c>
      <c r="BE194" s="24" t="n">
        <f aca="false">IFERROR(AVERAGEIFS($BD$7:$BD$294,$B$7:$B$294,$B194,$A$7:$A$294,"&gt;="&amp;EDATE($A194,-12*'Seasonal Factors'!$E$4),$A$7:$A$294,"&lt;="&amp;EDATE($A194,12*'Seasonal Factors'!$E$4)),"")</f>
        <v>1.00150800334596</v>
      </c>
      <c r="BF194" s="24" t="n">
        <f aca="false">IFERROR(BE194/AVERAGE(BE189:BE200),"")</f>
        <v>1.00140681559178</v>
      </c>
      <c r="BG194" s="23" t="n">
        <f aca="false">IF(ISNUMBER(Tabelle1!S201),(0.5*Tabelle1!S189+SUM(Tabelle1!S190:S200)+0.5*Tabelle1!S201)/12,"")</f>
        <v>145.55552</v>
      </c>
      <c r="BH194" s="24" t="n">
        <f aca="false">IFERROR(Tabelle1!S195/BG194,"")</f>
        <v>1.00888046018454</v>
      </c>
      <c r="BI194" s="24" t="n">
        <f aca="false">IFERROR(AVERAGEIFS($BH$7:$BH$294,$B$7:$B$294,$B194,$A$7:$A$294,"&gt;="&amp;EDATE($A194,-12*'Seasonal Factors'!$E$4),$A$7:$A$294,"&lt;="&amp;EDATE($A194,12*'Seasonal Factors'!$E$4)),"")</f>
        <v>0.974977565252685</v>
      </c>
      <c r="BJ194" s="24" t="n">
        <f aca="false">IFERROR(BI194/AVERAGE(BI189:BI200),"")</f>
        <v>0.977023974509928</v>
      </c>
    </row>
    <row r="195" customFormat="false" ht="15" hidden="false" customHeight="false" outlineLevel="0" collapsed="false">
      <c r="A195" s="20" t="n">
        <v>43738</v>
      </c>
      <c r="B195" s="22" t="n">
        <f aca="false">MONTH(A195)</f>
        <v>9</v>
      </c>
      <c r="C195" s="23" t="n">
        <f aca="false">IF(ISNUMBER(Tabelle1!E202),(0.5*Tabelle1!E190+SUM(Tabelle1!E191:E201)+0.5*Tabelle1!E202)/12,"")</f>
        <v>137.218824166667</v>
      </c>
      <c r="D195" s="24" t="n">
        <f aca="false">IFERROR(Tabelle1!E196/C195,"")</f>
        <v>0.515969368124049</v>
      </c>
      <c r="E195" s="24" t="n">
        <f aca="false">IFERROR(AVERAGEIFS($D$7:$D$294,$B$7:$B$294,$B195,$A$7:$A$294,"&gt;="&amp;EDATE($A195,-12*'Seasonal Factors'!$E$4),$A$7:$A$294,"&lt;="&amp;EDATE($A195,12*'Seasonal Factors'!$E$4)),"")</f>
        <v>0.558695300629002</v>
      </c>
      <c r="F195" s="24" t="n">
        <f aca="false">IFERROR(E195/AVERAGE(E190:E201),"")</f>
        <v>0.556784000345114</v>
      </c>
      <c r="G195" s="23" t="n">
        <f aca="false">IF(ISNUMBER(Tabelle1!F202),(0.5*Tabelle1!F190+SUM(Tabelle1!F191:F201)+0.5*Tabelle1!F202)/12,"")</f>
        <v>162.233489166667</v>
      </c>
      <c r="H195" s="24" t="n">
        <f aca="false">IFERROR(Tabelle1!F196/G195,"")</f>
        <v>1.00723371505699</v>
      </c>
      <c r="I195" s="24" t="n">
        <f aca="false">IFERROR(AVERAGEIFS($H$7:$H$294,$B$7:$B$294,$B195,$A$7:$A$294,"&gt;="&amp;EDATE($A195,-12*'Seasonal Factors'!$E$4),$A$7:$A$294,"&lt;="&amp;EDATE($A195,12*'Seasonal Factors'!$E$4)),"")</f>
        <v>1.36308438042103</v>
      </c>
      <c r="J195" s="24" t="n">
        <f aca="false">IFERROR(I195/AVERAGE(I190:I201),"")</f>
        <v>1.36303669281498</v>
      </c>
      <c r="K195" s="23" t="n">
        <f aca="false">IF(ISNUMBER(Tabelle1!G202),(0.5*Tabelle1!G190+SUM(Tabelle1!G191:G201)+0.5*Tabelle1!G202)/12,"")</f>
        <v>88.9683141666667</v>
      </c>
      <c r="L195" s="24" t="n">
        <f aca="false">IFERROR(Tabelle1!G196/K195,"")</f>
        <v>0.992121305509357</v>
      </c>
      <c r="M195" s="24" t="n">
        <f aca="false">IFERROR(AVERAGEIFS($L$7:$L$294,$B$7:$B$294,$B195,$A$7:$A$294,"&gt;="&amp;EDATE($A195,-12*'Seasonal Factors'!$E$4),$A$7:$A$294,"&lt;="&amp;EDATE($A195,12*'Seasonal Factors'!$E$4)),"")</f>
        <v>0.997102191605316</v>
      </c>
      <c r="N195" s="24" t="n">
        <f aca="false">IFERROR(M195/AVERAGE(M190:M201),"")</f>
        <v>0.997588982960729</v>
      </c>
      <c r="O195" s="23" t="n">
        <f aca="false">IF(ISNUMBER(Tabelle1!H202),(0.5*Tabelle1!H190+SUM(Tabelle1!H191:H201)+0.5*Tabelle1!H202)/12,"")</f>
        <v>116.894218333333</v>
      </c>
      <c r="P195" s="24" t="n">
        <f aca="false">IFERROR(Tabelle1!H196/O195,"")</f>
        <v>0.992226918094937</v>
      </c>
      <c r="Q195" s="24" t="n">
        <f aca="false">IFERROR(AVERAGEIFS($P$7:$P$294,$B$7:$B$294,$B195,$A$7:$A$294,"&gt;="&amp;EDATE($A195,-12*'Seasonal Factors'!$E$4),$A$7:$A$294,"&lt;="&amp;EDATE($A195,12*'Seasonal Factors'!$E$4)),"")</f>
        <v>1.03575788514881</v>
      </c>
      <c r="R195" s="24" t="n">
        <f aca="false">IFERROR(Q195/AVERAGE(Q190:Q201),"")</f>
        <v>1.03551322057286</v>
      </c>
      <c r="S195" s="23" t="n">
        <f aca="false">IF(ISNUMBER(Tabelle1!I202),(0.5*Tabelle1!I190+SUM(Tabelle1!I191:I201)+0.5*Tabelle1!I202)/12,"")</f>
        <v>140.281339166667</v>
      </c>
      <c r="T195" s="24" t="n">
        <f aca="false">IFERROR(Tabelle1!I196/S195,"")</f>
        <v>0.942816134959077</v>
      </c>
      <c r="U195" s="24" t="n">
        <f aca="false">IFERROR(AVERAGEIFS($T$7:$T$294,$B$7:$B$294,$B195,$A$7:$A$294,"&gt;="&amp;EDATE($A195,-12*'Seasonal Factors'!$E$4),$A$7:$A$294,"&lt;="&amp;EDATE($A195,12*'Seasonal Factors'!$E$4)),"")</f>
        <v>0.947839056797904</v>
      </c>
      <c r="V195" s="24" t="n">
        <f aca="false">IFERROR(U195/AVERAGE(U190:U201),"")</f>
        <v>0.947998796129981</v>
      </c>
      <c r="W195" s="23" t="n">
        <f aca="false">IF(ISNUMBER(Tabelle1!J202),(0.5*Tabelle1!J190+SUM(Tabelle1!J191:J201)+0.5*Tabelle1!J202)/12,"")</f>
        <v>137.011677916667</v>
      </c>
      <c r="X195" s="24" t="n">
        <f aca="false">IFERROR(Tabelle1!J196/W195,"")</f>
        <v>1.04101549713705</v>
      </c>
      <c r="Y195" s="24" t="n">
        <f aca="false">IFERROR(AVERAGEIFS($X$7:$X$294,$B$7:$B$294,$B195,$A$7:$A$294,"&gt;="&amp;EDATE($A195,-12*'Seasonal Factors'!$E$4),$A$7:$A$294,"&lt;="&amp;EDATE($A195,12*'Seasonal Factors'!$E$4)),"")</f>
        <v>1.03720148764842</v>
      </c>
      <c r="Z195" s="24" t="n">
        <f aca="false">IFERROR(Y195/AVERAGE(Y190:Y201),"")</f>
        <v>1.03746993562896</v>
      </c>
      <c r="AA195" s="23" t="n">
        <f aca="false">IF(ISNUMBER(Tabelle1!K202),(0.5*Tabelle1!K190+SUM(Tabelle1!K191:K201)+0.5*Tabelle1!K202)/12,"")</f>
        <v>138.914399166667</v>
      </c>
      <c r="AB195" s="24" t="n">
        <f aca="false">IFERROR(Tabelle1!K196/AA195,"")</f>
        <v>0.953625331820803</v>
      </c>
      <c r="AC195" s="24" t="n">
        <f aca="false">IFERROR(AVERAGEIFS($AB$7:$AB$294,$B$7:$B$294,$B195,$A$7:$A$294,"&gt;="&amp;EDATE($A195,-12*'Seasonal Factors'!$E$4),$A$7:$A$294,"&lt;="&amp;EDATE($A195,12*'Seasonal Factors'!$E$4)),"")</f>
        <v>1.01020305922746</v>
      </c>
      <c r="AD195" s="24" t="n">
        <f aca="false">IFERROR(AC195/AVERAGE(AC190:AC201),"")</f>
        <v>1.01010334436484</v>
      </c>
      <c r="AE195" s="23" t="n">
        <f aca="false">IF(ISNUMBER(Tabelle1!L202),(0.5*Tabelle1!L190+SUM(Tabelle1!L191:L201)+0.5*Tabelle1!L202)/12,"")</f>
        <v>163.80438125</v>
      </c>
      <c r="AF195" s="24" t="n">
        <f aca="false">IFERROR(Tabelle1!L196/AE195,"")</f>
        <v>0.993122642743721</v>
      </c>
      <c r="AG195" s="24" t="n">
        <f aca="false">IFERROR(AVERAGEIFS($AF$7:$AF$294,$B$7:$B$294,$B195,$A$7:$A$294,"&gt;="&amp;EDATE($A195,-12*'Seasonal Factors'!$E$4),$A$7:$A$294,"&lt;="&amp;EDATE($A195,12*'Seasonal Factors'!$E$4)),"")</f>
        <v>0.966307766243722</v>
      </c>
      <c r="AH195" s="24" t="n">
        <f aca="false">IFERROR(AG195/AVERAGE(AG190:AG201),"")</f>
        <v>0.970168747347667</v>
      </c>
      <c r="AI195" s="23" t="n">
        <f aca="false">IF(ISNUMBER(Tabelle1!M202),(0.5*Tabelle1!M190+SUM(Tabelle1!M191:M201)+0.5*Tabelle1!M202)/12,"")</f>
        <v>188.8596975</v>
      </c>
      <c r="AJ195" s="24" t="n">
        <f aca="false">IFERROR(Tabelle1!M196/AI195,"")</f>
        <v>0.990302867555954</v>
      </c>
      <c r="AK195" s="24" t="n">
        <f aca="false">IFERROR(AVERAGEIFS($AJ$7:$AJ$294,$B$7:$B$294,$B195,$A$7:$A$294,"&gt;="&amp;EDATE($A195,-12*'Seasonal Factors'!$E$4),$A$7:$A$294,"&lt;="&amp;EDATE($A195,12*'Seasonal Factors'!$E$4)),"")</f>
        <v>0.988364473342007</v>
      </c>
      <c r="AL195" s="24" t="n">
        <f aca="false">IFERROR(AK195/AVERAGE(AK190:AK201),"")</f>
        <v>0.988368277960937</v>
      </c>
      <c r="AM195" s="23" t="n">
        <f aca="false">IF(ISNUMBER(Tabelle1!N202),(0.5*Tabelle1!N190+SUM(Tabelle1!N191:N201)+0.5*Tabelle1!N202)/12,"")</f>
        <v>165.060794166667</v>
      </c>
      <c r="AN195" s="24" t="n">
        <f aca="false">IFERROR(Tabelle1!N196/AM195,"")</f>
        <v>0.967264642134153</v>
      </c>
      <c r="AO195" s="24" t="n">
        <f aca="false">IFERROR(AVERAGEIFS($AN$7:$AN$294,$B$7:$B$294,$B195,$A$7:$A$294,"&gt;="&amp;EDATE($A195,-12*'Seasonal Factors'!$E$4),$A$7:$A$294,"&lt;="&amp;EDATE($A195,12*'Seasonal Factors'!$E$4)),"")</f>
        <v>0.991709691933491</v>
      </c>
      <c r="AP195" s="24" t="n">
        <f aca="false">IFERROR(AO195/AVERAGE(AO190:AO201),"")</f>
        <v>0.991843983052225</v>
      </c>
      <c r="AQ195" s="23" t="n">
        <f aca="false">IF(ISNUMBER(Tabelle1!O202),(0.5*Tabelle1!O190+SUM(Tabelle1!O191:O201)+0.5*Tabelle1!O202)/12,"")</f>
        <v>140.278419583333</v>
      </c>
      <c r="AR195" s="24" t="n">
        <f aca="false">IFERROR(Tabelle1!O196/AQ195,"")</f>
        <v>0.997367381351813</v>
      </c>
      <c r="AS195" s="24" t="n">
        <f aca="false">IFERROR(AVERAGEIFS($AR$7:$AR$294,$B$7:$B$294,$B195,$A$7:$A$294,"&gt;="&amp;EDATE($A195,-12*'Seasonal Factors'!$E$4),$A$7:$A$294,"&lt;="&amp;EDATE($A195,12*'Seasonal Factors'!$E$4)),"")</f>
        <v>1.00162114241766</v>
      </c>
      <c r="AT195" s="24" t="n">
        <f aca="false">IFERROR(AS195/AVERAGE(AS190:AS201),"")</f>
        <v>1.00152827081339</v>
      </c>
      <c r="AU195" s="23" t="n">
        <f aca="false">IF(ISNUMBER(Tabelle1!P202),(0.5*Tabelle1!P190+SUM(Tabelle1!P191:P201)+0.5*Tabelle1!P202)/12,"")</f>
        <v>155.795310833333</v>
      </c>
      <c r="AV195" s="24" t="n">
        <f aca="false">IFERROR(Tabelle1!P196/AU195,"")</f>
        <v>1.00026643399243</v>
      </c>
      <c r="AW195" s="24" t="n">
        <f aca="false">IFERROR(AVERAGEIFS($AV$7:$AV$294,$B$7:$B$294,$B195,$A$7:$A$294,"&gt;="&amp;EDATE($A195,-12*'Seasonal Factors'!$E$4),$A$7:$A$294,"&lt;="&amp;EDATE($A195,12*'Seasonal Factors'!$E$4)),"")</f>
        <v>0.996664213045806</v>
      </c>
      <c r="AX195" s="24" t="n">
        <f aca="false">IFERROR(AW195/AVERAGE(AW190:AW201),"")</f>
        <v>0.99642462032779</v>
      </c>
      <c r="AY195" s="23" t="n">
        <f aca="false">IF(ISNUMBER(Tabelle1!Q202),(0.5*Tabelle1!Q190+SUM(Tabelle1!Q191:Q201)+0.5*Tabelle1!Q202)/12,"")</f>
        <v>162.0012375</v>
      </c>
      <c r="AZ195" s="24" t="n">
        <f aca="false">IFERROR(Tabelle1!Q196/AY195,"")</f>
        <v>1.01441515222993</v>
      </c>
      <c r="BA195" s="24" t="n">
        <f aca="false">IFERROR(AVERAGEIFS($AZ$7:$AZ$294,$B$7:$B$294,$B195,$A$7:$A$294,"&gt;="&amp;EDATE($A195,-12*'Seasonal Factors'!$E$4),$A$7:$A$294,"&lt;="&amp;EDATE($A195,12*'Seasonal Factors'!$E$4)),"")</f>
        <v>1.01189942876629</v>
      </c>
      <c r="BB195" s="24" t="n">
        <f aca="false">IFERROR(BA195/AVERAGE(BA190:BA201),"")</f>
        <v>1.01160724857734</v>
      </c>
      <c r="BC195" s="23" t="n">
        <f aca="false">IF(ISNUMBER(Tabelle1!R202),(0.5*Tabelle1!R190+SUM(Tabelle1!R191:R201)+0.5*Tabelle1!R202)/12,"")</f>
        <v>180.313617083333</v>
      </c>
      <c r="BD195" s="24" t="n">
        <f aca="false">IFERROR(Tabelle1!R196/BC195,"")</f>
        <v>0.988028319112828</v>
      </c>
      <c r="BE195" s="24" t="n">
        <f aca="false">IFERROR(AVERAGEIFS($BD$7:$BD$294,$B$7:$B$294,$B195,$A$7:$A$294,"&gt;="&amp;EDATE($A195,-12*'Seasonal Factors'!$E$4),$A$7:$A$294,"&lt;="&amp;EDATE($A195,12*'Seasonal Factors'!$E$4)),"")</f>
        <v>0.988446154032232</v>
      </c>
      <c r="BF195" s="24" t="n">
        <f aca="false">IFERROR(BE195/AVERAGE(BE190:BE201),"")</f>
        <v>0.988264592876956</v>
      </c>
      <c r="BG195" s="23" t="n">
        <f aca="false">IF(ISNUMBER(Tabelle1!S202),(0.5*Tabelle1!S190+SUM(Tabelle1!S191:S201)+0.5*Tabelle1!S202)/12,"")</f>
        <v>144.38163875</v>
      </c>
      <c r="BH195" s="24" t="n">
        <f aca="false">IFERROR(Tabelle1!S196/BG195,"")</f>
        <v>0.977924833257235</v>
      </c>
      <c r="BI195" s="24" t="n">
        <f aca="false">IFERROR(AVERAGEIFS($BH$7:$BH$294,$B$7:$B$294,$B195,$A$7:$A$294,"&gt;="&amp;EDATE($A195,-12*'Seasonal Factors'!$E$4),$A$7:$A$294,"&lt;="&amp;EDATE($A195,12*'Seasonal Factors'!$E$4)),"")</f>
        <v>0.94699151896208</v>
      </c>
      <c r="BJ195" s="24" t="n">
        <f aca="false">IFERROR(BI195/AVERAGE(BI190:BI201),"")</f>
        <v>0.947819203430351</v>
      </c>
    </row>
    <row r="196" customFormat="false" ht="15" hidden="false" customHeight="false" outlineLevel="0" collapsed="false">
      <c r="A196" s="20" t="n">
        <v>43769</v>
      </c>
      <c r="B196" s="22" t="n">
        <f aca="false">MONTH(A196)</f>
        <v>10</v>
      </c>
      <c r="C196" s="23" t="n">
        <f aca="false">IF(ISNUMBER(Tabelle1!E203),(0.5*Tabelle1!E191+SUM(Tabelle1!E192:E202)+0.5*Tabelle1!E203)/12,"")</f>
        <v>135.458705833333</v>
      </c>
      <c r="D196" s="24" t="n">
        <f aca="false">IFERROR(Tabelle1!E197/C196,"")</f>
        <v>0.595288722891054</v>
      </c>
      <c r="E196" s="24" t="n">
        <f aca="false">IFERROR(AVERAGEIFS($D$7:$D$294,$B$7:$B$294,$B196,$A$7:$A$294,"&gt;="&amp;EDATE($A196,-12*'Seasonal Factors'!$E$4),$A$7:$A$294,"&lt;="&amp;EDATE($A196,12*'Seasonal Factors'!$E$4)),"")</f>
        <v>0.588800694771309</v>
      </c>
      <c r="F196" s="24" t="n">
        <f aca="false">IFERROR(E196/AVERAGE(E191:E202),"")</f>
        <v>0.587645438556815</v>
      </c>
      <c r="G196" s="23" t="n">
        <f aca="false">IF(ISNUMBER(Tabelle1!F203),(0.5*Tabelle1!F191+SUM(Tabelle1!F192:F202)+0.5*Tabelle1!F203)/12,"")</f>
        <v>158.144910833333</v>
      </c>
      <c r="H196" s="24" t="n">
        <f aca="false">IFERROR(Tabelle1!F197/G196,"")</f>
        <v>1.39621078437802</v>
      </c>
      <c r="I196" s="24" t="n">
        <f aca="false">IFERROR(AVERAGEIFS($H$7:$H$294,$B$7:$B$294,$B196,$A$7:$A$294,"&gt;="&amp;EDATE($A196,-12*'Seasonal Factors'!$E$4),$A$7:$A$294,"&lt;="&amp;EDATE($A196,12*'Seasonal Factors'!$E$4)),"")</f>
        <v>1.10777511188831</v>
      </c>
      <c r="J196" s="24" t="n">
        <f aca="false">IFERROR(I196/AVERAGE(I191:I202),"")</f>
        <v>1.10690831308534</v>
      </c>
      <c r="K196" s="23" t="n">
        <f aca="false">IF(ISNUMBER(Tabelle1!G203),(0.5*Tabelle1!G191+SUM(Tabelle1!G192:G202)+0.5*Tabelle1!G203)/12,"")</f>
        <v>88.13314125</v>
      </c>
      <c r="L196" s="24" t="n">
        <f aca="false">IFERROR(Tabelle1!G197/K196,"")</f>
        <v>1.03112516711754</v>
      </c>
      <c r="M196" s="24" t="n">
        <f aca="false">IFERROR(AVERAGEIFS($L$7:$L$294,$B$7:$B$294,$B196,$A$7:$A$294,"&gt;="&amp;EDATE($A196,-12*'Seasonal Factors'!$E$4),$A$7:$A$294,"&lt;="&amp;EDATE($A196,12*'Seasonal Factors'!$E$4)),"")</f>
        <v>1.02191591032966</v>
      </c>
      <c r="N196" s="24" t="n">
        <f aca="false">IFERROR(M196/AVERAGE(M191:M202),"")</f>
        <v>1.02235728667768</v>
      </c>
      <c r="O196" s="23" t="n">
        <f aca="false">IF(ISNUMBER(Tabelle1!H203),(0.5*Tabelle1!H191+SUM(Tabelle1!H192:H202)+0.5*Tabelle1!H203)/12,"")</f>
        <v>114.64770625</v>
      </c>
      <c r="P196" s="24" t="n">
        <f aca="false">IFERROR(Tabelle1!H197/O196,"")</f>
        <v>1.13110069308517</v>
      </c>
      <c r="Q196" s="24" t="n">
        <f aca="false">IFERROR(AVERAGEIFS($P$7:$P$294,$B$7:$B$294,$B196,$A$7:$A$294,"&gt;="&amp;EDATE($A196,-12*'Seasonal Factors'!$E$4),$A$7:$A$294,"&lt;="&amp;EDATE($A196,12*'Seasonal Factors'!$E$4)),"")</f>
        <v>1.08071917215421</v>
      </c>
      <c r="R196" s="24" t="n">
        <f aca="false">IFERROR(Q196/AVERAGE(Q191:Q202),"")</f>
        <v>1.08118962255053</v>
      </c>
      <c r="S196" s="23" t="n">
        <f aca="false">IF(ISNUMBER(Tabelle1!I203),(0.5*Tabelle1!I191+SUM(Tabelle1!I192:I202)+0.5*Tabelle1!I203)/12,"")</f>
        <v>140.375373333333</v>
      </c>
      <c r="T196" s="24" t="n">
        <f aca="false">IFERROR(Tabelle1!I197/S196,"")</f>
        <v>0.974993453267634</v>
      </c>
      <c r="U196" s="24" t="n">
        <f aca="false">IFERROR(AVERAGEIFS($T$7:$T$294,$B$7:$B$294,$B196,$A$7:$A$294,"&gt;="&amp;EDATE($A196,-12*'Seasonal Factors'!$E$4),$A$7:$A$294,"&lt;="&amp;EDATE($A196,12*'Seasonal Factors'!$E$4)),"")</f>
        <v>0.936142364698731</v>
      </c>
      <c r="V196" s="24" t="n">
        <f aca="false">IFERROR(U196/AVERAGE(U191:U202),"")</f>
        <v>0.936456626748807</v>
      </c>
      <c r="W196" s="23" t="n">
        <f aca="false">IF(ISNUMBER(Tabelle1!J203),(0.5*Tabelle1!J191+SUM(Tabelle1!J192:J202)+0.5*Tabelle1!J203)/12,"")</f>
        <v>130.867348333333</v>
      </c>
      <c r="X196" s="24" t="n">
        <f aca="false">IFERROR(Tabelle1!J197/W196,"")</f>
        <v>1.03837505482173</v>
      </c>
      <c r="Y196" s="24" t="n">
        <f aca="false">IFERROR(AVERAGEIFS($X$7:$X$294,$B$7:$B$294,$B196,$A$7:$A$294,"&gt;="&amp;EDATE($A196,-12*'Seasonal Factors'!$E$4),$A$7:$A$294,"&lt;="&amp;EDATE($A196,12*'Seasonal Factors'!$E$4)),"")</f>
        <v>1.00721867113827</v>
      </c>
      <c r="Z196" s="24" t="n">
        <f aca="false">IFERROR(Y196/AVERAGE(Y191:Y202),"")</f>
        <v>1.00857568756587</v>
      </c>
      <c r="AA196" s="23" t="n">
        <f aca="false">IF(ISNUMBER(Tabelle1!K203),(0.5*Tabelle1!K191+SUM(Tabelle1!K192:K202)+0.5*Tabelle1!K203)/12,"")</f>
        <v>136.686206666667</v>
      </c>
      <c r="AB196" s="24" t="n">
        <f aca="false">IFERROR(Tabelle1!K197/AA196,"")</f>
        <v>1.07703296177508</v>
      </c>
      <c r="AC196" s="24" t="n">
        <f aca="false">IFERROR(AVERAGEIFS($AB$7:$AB$294,$B$7:$B$294,$B196,$A$7:$A$294,"&gt;="&amp;EDATE($A196,-12*'Seasonal Factors'!$E$4),$A$7:$A$294,"&lt;="&amp;EDATE($A196,12*'Seasonal Factors'!$E$4)),"")</f>
        <v>1.03110981987631</v>
      </c>
      <c r="AD196" s="24" t="n">
        <f aca="false">IFERROR(AC196/AVERAGE(AC191:AC202),"")</f>
        <v>1.03132506891309</v>
      </c>
      <c r="AE196" s="23" t="n">
        <f aca="false">IF(ISNUMBER(Tabelle1!L203),(0.5*Tabelle1!L191+SUM(Tabelle1!L192:L202)+0.5*Tabelle1!L203)/12,"")</f>
        <v>155.874352916667</v>
      </c>
      <c r="AF196" s="24" t="n">
        <f aca="false">IFERROR(Tabelle1!L197/AE196,"")</f>
        <v>1.10690833207335</v>
      </c>
      <c r="AG196" s="24" t="n">
        <f aca="false">IFERROR(AVERAGEIFS($AF$7:$AF$294,$B$7:$B$294,$B196,$A$7:$A$294,"&gt;="&amp;EDATE($A196,-12*'Seasonal Factors'!$E$4),$A$7:$A$294,"&lt;="&amp;EDATE($A196,12*'Seasonal Factors'!$E$4)),"")</f>
        <v>1.03086923836371</v>
      </c>
      <c r="AH196" s="24" t="n">
        <f aca="false">IFERROR(AG196/AVERAGE(AG191:AG202),"")</f>
        <v>1.03741616281966</v>
      </c>
      <c r="AI196" s="23" t="n">
        <f aca="false">IF(ISNUMBER(Tabelle1!M203),(0.5*Tabelle1!M191+SUM(Tabelle1!M192:M202)+0.5*Tabelle1!M203)/12,"")</f>
        <v>185.632729166667</v>
      </c>
      <c r="AJ196" s="24" t="n">
        <f aca="false">IFERROR(Tabelle1!M197/AI196,"")</f>
        <v>1.01682246900831</v>
      </c>
      <c r="AK196" s="24" t="n">
        <f aca="false">IFERROR(AVERAGEIFS($AJ$7:$AJ$294,$B$7:$B$294,$B196,$A$7:$A$294,"&gt;="&amp;EDATE($A196,-12*'Seasonal Factors'!$E$4),$A$7:$A$294,"&lt;="&amp;EDATE($A196,12*'Seasonal Factors'!$E$4)),"")</f>
        <v>0.991746684336347</v>
      </c>
      <c r="AL196" s="24" t="n">
        <f aca="false">IFERROR(AK196/AVERAGE(AK191:AK202),"")</f>
        <v>0.991795332037792</v>
      </c>
      <c r="AM196" s="23" t="n">
        <f aca="false">IF(ISNUMBER(Tabelle1!N203),(0.5*Tabelle1!N191+SUM(Tabelle1!N192:N202)+0.5*Tabelle1!N203)/12,"")</f>
        <v>164.77193125</v>
      </c>
      <c r="AN196" s="24" t="n">
        <f aca="false">IFERROR(Tabelle1!N197/AM196,"")</f>
        <v>1.01730506360136</v>
      </c>
      <c r="AO196" s="24" t="n">
        <f aca="false">IFERROR(AVERAGEIFS($AN$7:$AN$294,$B$7:$B$294,$B196,$A$7:$A$294,"&gt;="&amp;EDATE($A196,-12*'Seasonal Factors'!$E$4),$A$7:$A$294,"&lt;="&amp;EDATE($A196,12*'Seasonal Factors'!$E$4)),"")</f>
        <v>1.01498733354833</v>
      </c>
      <c r="AP196" s="24" t="n">
        <f aca="false">IFERROR(AO196/AVERAGE(AO191:AO202),"")</f>
        <v>1.01508120457305</v>
      </c>
      <c r="AQ196" s="23" t="n">
        <f aca="false">IF(ISNUMBER(Tabelle1!O203),(0.5*Tabelle1!O191+SUM(Tabelle1!O192:O202)+0.5*Tabelle1!O203)/12,"")</f>
        <v>138.898233333333</v>
      </c>
      <c r="AR196" s="24" t="n">
        <f aca="false">IFERROR(Tabelle1!O197/AQ196,"")</f>
        <v>1.02061852478565</v>
      </c>
      <c r="AS196" s="24" t="n">
        <f aca="false">IFERROR(AVERAGEIFS($AR$7:$AR$294,$B$7:$B$294,$B196,$A$7:$A$294,"&gt;="&amp;EDATE($A196,-12*'Seasonal Factors'!$E$4),$A$7:$A$294,"&lt;="&amp;EDATE($A196,12*'Seasonal Factors'!$E$4)),"")</f>
        <v>1.00927543881807</v>
      </c>
      <c r="AT196" s="24" t="n">
        <f aca="false">IFERROR(AS196/AVERAGE(AS191:AS202),"")</f>
        <v>1.00922833045509</v>
      </c>
      <c r="AU196" s="23" t="n">
        <f aca="false">IF(ISNUMBER(Tabelle1!P203),(0.5*Tabelle1!P191+SUM(Tabelle1!P192:P202)+0.5*Tabelle1!P203)/12,"")</f>
        <v>154.996789583333</v>
      </c>
      <c r="AV196" s="24" t="n">
        <f aca="false">IFERROR(Tabelle1!P197/AU196,"")</f>
        <v>1.01202025165602</v>
      </c>
      <c r="AW196" s="24" t="n">
        <f aca="false">IFERROR(AVERAGEIFS($AV$7:$AV$294,$B$7:$B$294,$B196,$A$7:$A$294,"&gt;="&amp;EDATE($A196,-12*'Seasonal Factors'!$E$4),$A$7:$A$294,"&lt;="&amp;EDATE($A196,12*'Seasonal Factors'!$E$4)),"")</f>
        <v>1.00482005393485</v>
      </c>
      <c r="AX196" s="24" t="n">
        <f aca="false">IFERROR(AW196/AVERAGE(AW191:AW202),"")</f>
        <v>1.00461047432822</v>
      </c>
      <c r="AY196" s="23" t="n">
        <f aca="false">IF(ISNUMBER(Tabelle1!Q203),(0.5*Tabelle1!Q191+SUM(Tabelle1!Q192:Q202)+0.5*Tabelle1!Q203)/12,"")</f>
        <v>161.275798333333</v>
      </c>
      <c r="AZ196" s="24" t="n">
        <f aca="false">IFERROR(Tabelle1!Q197/AY196,"")</f>
        <v>1.01633011086526</v>
      </c>
      <c r="BA196" s="24" t="n">
        <f aca="false">IFERROR(AVERAGEIFS($AZ$7:$AZ$294,$B$7:$B$294,$B196,$A$7:$A$294,"&gt;="&amp;EDATE($A196,-12*'Seasonal Factors'!$E$4),$A$7:$A$294,"&lt;="&amp;EDATE($A196,12*'Seasonal Factors'!$E$4)),"")</f>
        <v>1.0123770283389</v>
      </c>
      <c r="BB196" s="24" t="n">
        <f aca="false">IFERROR(BA196/AVERAGE(BA191:BA202),"")</f>
        <v>1.0120657270211</v>
      </c>
      <c r="BC196" s="23" t="n">
        <f aca="false">IF(ISNUMBER(Tabelle1!R203),(0.5*Tabelle1!R191+SUM(Tabelle1!R192:R202)+0.5*Tabelle1!R203)/12,"")</f>
        <v>176.988445416667</v>
      </c>
      <c r="BD196" s="24" t="n">
        <f aca="false">IFERROR(Tabelle1!R197/BC196,"")</f>
        <v>0.977823267460052</v>
      </c>
      <c r="BE196" s="24" t="n">
        <f aca="false">IFERROR(AVERAGEIFS($BD$7:$BD$294,$B$7:$B$294,$B196,$A$7:$A$294,"&gt;="&amp;EDATE($A196,-12*'Seasonal Factors'!$E$4),$A$7:$A$294,"&lt;="&amp;EDATE($A196,12*'Seasonal Factors'!$E$4)),"")</f>
        <v>0.966089669684476</v>
      </c>
      <c r="BF196" s="24" t="n">
        <f aca="false">IFERROR(BE196/AVERAGE(BE191:BE202),"")</f>
        <v>0.965924621281902</v>
      </c>
      <c r="BG196" s="23" t="n">
        <f aca="false">IF(ISNUMBER(Tabelle1!S203),(0.5*Tabelle1!S191+SUM(Tabelle1!S192:S202)+0.5*Tabelle1!S203)/12,"")</f>
        <v>138.882716666667</v>
      </c>
      <c r="BH196" s="24" t="n">
        <f aca="false">IFERROR(Tabelle1!S197/BG196,"")</f>
        <v>0.986671943701178</v>
      </c>
      <c r="BI196" s="24" t="n">
        <f aca="false">IFERROR(AVERAGEIFS($BH$7:$BH$294,$B$7:$B$294,$B196,$A$7:$A$294,"&gt;="&amp;EDATE($A196,-12*'Seasonal Factors'!$E$4),$A$7:$A$294,"&lt;="&amp;EDATE($A196,12*'Seasonal Factors'!$E$4)),"")</f>
        <v>1.01161024781562</v>
      </c>
      <c r="BJ196" s="24" t="n">
        <f aca="false">IFERROR(BI196/AVERAGE(BI191:BI202),"")</f>
        <v>1.01322945464706</v>
      </c>
    </row>
    <row r="197" customFormat="false" ht="15" hidden="false" customHeight="false" outlineLevel="0" collapsed="false">
      <c r="A197" s="20" t="n">
        <v>43799</v>
      </c>
      <c r="B197" s="22" t="n">
        <f aca="false">MONTH(A197)</f>
        <v>11</v>
      </c>
      <c r="C197" s="23" t="n">
        <f aca="false">IF(ISNUMBER(Tabelle1!E204),(0.5*Tabelle1!E192+SUM(Tabelle1!E193:E203)+0.5*Tabelle1!E204)/12,"")</f>
        <v>132.631795833333</v>
      </c>
      <c r="D197" s="24" t="n">
        <f aca="false">IFERROR(Tabelle1!E198/C197,"")</f>
        <v>0.686101997098421</v>
      </c>
      <c r="E197" s="24" t="n">
        <f aca="false">IFERROR(AVERAGEIFS($D$7:$D$294,$B$7:$B$294,$B197,$A$7:$A$294,"&gt;="&amp;EDATE($A197,-12*'Seasonal Factors'!$E$4),$A$7:$A$294,"&lt;="&amp;EDATE($A197,12*'Seasonal Factors'!$E$4)),"")</f>
        <v>0.697786161732212</v>
      </c>
      <c r="F197" s="24" t="n">
        <f aca="false">IFERROR(E197/AVERAGE(E192:E203),"")</f>
        <v>0.699660025766049</v>
      </c>
      <c r="G197" s="23" t="n">
        <f aca="false">IF(ISNUMBER(Tabelle1!F204),(0.5*Tabelle1!F192+SUM(Tabelle1!F193:F203)+0.5*Tabelle1!F204)/12,"")</f>
        <v>159.67958125</v>
      </c>
      <c r="H197" s="24" t="n">
        <f aca="false">IFERROR(Tabelle1!F198/G197,"")</f>
        <v>0.593168827589219</v>
      </c>
      <c r="I197" s="24" t="n">
        <f aca="false">IFERROR(AVERAGEIFS($H$7:$H$294,$B$7:$B$294,$B197,$A$7:$A$294,"&gt;="&amp;EDATE($A197,-12*'Seasonal Factors'!$E$4),$A$7:$A$294,"&lt;="&amp;EDATE($A197,12*'Seasonal Factors'!$E$4)),"")</f>
        <v>0.639344659122763</v>
      </c>
      <c r="J197" s="24" t="n">
        <f aca="false">IFERROR(I197/AVERAGE(I192:I203),"")</f>
        <v>0.641490555606066</v>
      </c>
      <c r="K197" s="23" t="n">
        <f aca="false">IF(ISNUMBER(Tabelle1!G204),(0.5*Tabelle1!G192+SUM(Tabelle1!G193:G203)+0.5*Tabelle1!G204)/12,"")</f>
        <v>86.66251875</v>
      </c>
      <c r="L197" s="24" t="n">
        <f aca="false">IFERROR(Tabelle1!G198/K197,"")</f>
        <v>1.00006036346595</v>
      </c>
      <c r="M197" s="24" t="n">
        <f aca="false">IFERROR(AVERAGEIFS($L$7:$L$294,$B$7:$B$294,$B197,$A$7:$A$294,"&gt;="&amp;EDATE($A197,-12*'Seasonal Factors'!$E$4),$A$7:$A$294,"&lt;="&amp;EDATE($A197,12*'Seasonal Factors'!$E$4)),"")</f>
        <v>0.979857402574937</v>
      </c>
      <c r="N197" s="24" t="n">
        <f aca="false">IFERROR(M197/AVERAGE(M192:M203),"")</f>
        <v>0.980259999332928</v>
      </c>
      <c r="O197" s="23" t="n">
        <f aca="false">IF(ISNUMBER(Tabelle1!H204),(0.5*Tabelle1!H192+SUM(Tabelle1!H193:H203)+0.5*Tabelle1!H204)/12,"")</f>
        <v>111.772892916667</v>
      </c>
      <c r="P197" s="24" t="n">
        <f aca="false">IFERROR(Tabelle1!H198/O197,"")</f>
        <v>1.07108509832753</v>
      </c>
      <c r="Q197" s="24" t="n">
        <f aca="false">IFERROR(AVERAGEIFS($P$7:$P$294,$B$7:$B$294,$B197,$A$7:$A$294,"&gt;="&amp;EDATE($A197,-12*'Seasonal Factors'!$E$4),$A$7:$A$294,"&lt;="&amp;EDATE($A197,12*'Seasonal Factors'!$E$4)),"")</f>
        <v>1.06756935773344</v>
      </c>
      <c r="R197" s="24" t="n">
        <f aca="false">IFERROR(Q197/AVERAGE(Q192:Q203),"")</f>
        <v>1.06845219862869</v>
      </c>
      <c r="S197" s="23" t="n">
        <f aca="false">IF(ISNUMBER(Tabelle1!I204),(0.5*Tabelle1!I192+SUM(Tabelle1!I193:I203)+0.5*Tabelle1!I204)/12,"")</f>
        <v>139.7518025</v>
      </c>
      <c r="T197" s="24" t="n">
        <f aca="false">IFERROR(Tabelle1!I198/S197,"")</f>
        <v>0.978398042486786</v>
      </c>
      <c r="U197" s="24" t="n">
        <f aca="false">IFERROR(AVERAGEIFS($T$7:$T$294,$B$7:$B$294,$B197,$A$7:$A$294,"&gt;="&amp;EDATE($A197,-12*'Seasonal Factors'!$E$4),$A$7:$A$294,"&lt;="&amp;EDATE($A197,12*'Seasonal Factors'!$E$4)),"")</f>
        <v>0.94637167364618</v>
      </c>
      <c r="V197" s="24" t="n">
        <f aca="false">IFERROR(U197/AVERAGE(U192:U203),"")</f>
        <v>0.946031044563095</v>
      </c>
      <c r="W197" s="23" t="n">
        <f aca="false">IF(ISNUMBER(Tabelle1!J204),(0.5*Tabelle1!J192+SUM(Tabelle1!J193:J203)+0.5*Tabelle1!J204)/12,"")</f>
        <v>123.70981875</v>
      </c>
      <c r="X197" s="24" t="n">
        <f aca="false">IFERROR(Tabelle1!J198/W197,"")</f>
        <v>1.08171923095635</v>
      </c>
      <c r="Y197" s="24" t="n">
        <f aca="false">IFERROR(AVERAGEIFS($X$7:$X$294,$B$7:$B$294,$B197,$A$7:$A$294,"&gt;="&amp;EDATE($A197,-12*'Seasonal Factors'!$E$4),$A$7:$A$294,"&lt;="&amp;EDATE($A197,12*'Seasonal Factors'!$E$4)),"")</f>
        <v>1.0191835959397</v>
      </c>
      <c r="Z197" s="24" t="n">
        <f aca="false">IFERROR(Y197/AVERAGE(Y192:Y203),"")</f>
        <v>1.02158270416418</v>
      </c>
      <c r="AA197" s="23" t="n">
        <f aca="false">IF(ISNUMBER(Tabelle1!K204),(0.5*Tabelle1!K192+SUM(Tabelle1!K193:K203)+0.5*Tabelle1!K204)/12,"")</f>
        <v>134.147673333333</v>
      </c>
      <c r="AB197" s="24" t="n">
        <f aca="false">IFERROR(Tabelle1!K198/AA197,"")</f>
        <v>1.06521646219631</v>
      </c>
      <c r="AC197" s="24" t="n">
        <f aca="false">IFERROR(AVERAGEIFS($AB$7:$AB$294,$B$7:$B$294,$B197,$A$7:$A$294,"&gt;="&amp;EDATE($A197,-12*'Seasonal Factors'!$E$4),$A$7:$A$294,"&lt;="&amp;EDATE($A197,12*'Seasonal Factors'!$E$4)),"")</f>
        <v>1.05055541077509</v>
      </c>
      <c r="AD197" s="24" t="n">
        <f aca="false">IFERROR(AC197/AVERAGE(AC192:AC203),"")</f>
        <v>1.05069810941815</v>
      </c>
      <c r="AE197" s="23" t="n">
        <f aca="false">IF(ISNUMBER(Tabelle1!L204),(0.5*Tabelle1!L192+SUM(Tabelle1!L193:L203)+0.5*Tabelle1!L204)/12,"")</f>
        <v>145.755628333333</v>
      </c>
      <c r="AF197" s="24" t="n">
        <f aca="false">IFERROR(Tabelle1!L198/AE197,"")</f>
        <v>1.18792874059054</v>
      </c>
      <c r="AG197" s="24" t="n">
        <f aca="false">IFERROR(AVERAGEIFS($AF$7:$AF$294,$B$7:$B$294,$B197,$A$7:$A$294,"&gt;="&amp;EDATE($A197,-12*'Seasonal Factors'!$E$4),$A$7:$A$294,"&lt;="&amp;EDATE($A197,12*'Seasonal Factors'!$E$4)),"")</f>
        <v>1.04198419386849</v>
      </c>
      <c r="AH197" s="24" t="n">
        <f aca="false">IFERROR(AG197/AVERAGE(AG192:AG203),"")</f>
        <v>1.04914389944291</v>
      </c>
      <c r="AI197" s="23" t="n">
        <f aca="false">IF(ISNUMBER(Tabelle1!M204),(0.5*Tabelle1!M192+SUM(Tabelle1!M193:M203)+0.5*Tabelle1!M204)/12,"")</f>
        <v>181.76514625</v>
      </c>
      <c r="AJ197" s="24" t="n">
        <f aca="false">IFERROR(Tabelle1!M198/AI197,"")</f>
        <v>1.02171556996175</v>
      </c>
      <c r="AK197" s="24" t="n">
        <f aca="false">IFERROR(AVERAGEIFS($AJ$7:$AJ$294,$B$7:$B$294,$B197,$A$7:$A$294,"&gt;="&amp;EDATE($A197,-12*'Seasonal Factors'!$E$4),$A$7:$A$294,"&lt;="&amp;EDATE($A197,12*'Seasonal Factors'!$E$4)),"")</f>
        <v>0.989851387128693</v>
      </c>
      <c r="AL197" s="24" t="n">
        <f aca="false">IFERROR(AK197/AVERAGE(AK192:AK203),"")</f>
        <v>0.989843578631929</v>
      </c>
      <c r="AM197" s="23" t="n">
        <f aca="false">IF(ISNUMBER(Tabelle1!N204),(0.5*Tabelle1!N192+SUM(Tabelle1!N193:N203)+0.5*Tabelle1!N204)/12,"")</f>
        <v>164.07567375</v>
      </c>
      <c r="AN197" s="24" t="n">
        <f aca="false">IFERROR(Tabelle1!N198/AM197,"")</f>
        <v>0.981693546146417</v>
      </c>
      <c r="AO197" s="24" t="n">
        <f aca="false">IFERROR(AVERAGEIFS($AN$7:$AN$294,$B$7:$B$294,$B197,$A$7:$A$294,"&gt;="&amp;EDATE($A197,-12*'Seasonal Factors'!$E$4),$A$7:$A$294,"&lt;="&amp;EDATE($A197,12*'Seasonal Factors'!$E$4)),"")</f>
        <v>0.998455185086109</v>
      </c>
      <c r="AP197" s="24" t="n">
        <f aca="false">IFERROR(AO197/AVERAGE(AO192:AO203),"")</f>
        <v>0.999042209983739</v>
      </c>
      <c r="AQ197" s="23" t="n">
        <f aca="false">IF(ISNUMBER(Tabelle1!O204),(0.5*Tabelle1!O192+SUM(Tabelle1!O193:O203)+0.5*Tabelle1!O204)/12,"")</f>
        <v>137.037745416667</v>
      </c>
      <c r="AR197" s="24" t="n">
        <f aca="false">IFERROR(Tabelle1!O198/AQ197,"")</f>
        <v>1.02270779173922</v>
      </c>
      <c r="AS197" s="24" t="n">
        <f aca="false">IFERROR(AVERAGEIFS($AR$7:$AR$294,$B$7:$B$294,$B197,$A$7:$A$294,"&gt;="&amp;EDATE($A197,-12*'Seasonal Factors'!$E$4),$A$7:$A$294,"&lt;="&amp;EDATE($A197,12*'Seasonal Factors'!$E$4)),"")</f>
        <v>1.0137034191692</v>
      </c>
      <c r="AT197" s="24" t="n">
        <f aca="false">IFERROR(AS197/AVERAGE(AS192:AS203),"")</f>
        <v>1.0136110435247</v>
      </c>
      <c r="AU197" s="23" t="n">
        <f aca="false">IF(ISNUMBER(Tabelle1!P204),(0.5*Tabelle1!P192+SUM(Tabelle1!P193:P203)+0.5*Tabelle1!P204)/12,"")</f>
        <v>153.414464166667</v>
      </c>
      <c r="AV197" s="24" t="n">
        <f aca="false">IFERROR(Tabelle1!P198/AU197,"")</f>
        <v>1.02296925425171</v>
      </c>
      <c r="AW197" s="24" t="n">
        <f aca="false">IFERROR(AVERAGEIFS($AV$7:$AV$294,$B$7:$B$294,$B197,$A$7:$A$294,"&gt;="&amp;EDATE($A197,-12*'Seasonal Factors'!$E$4),$A$7:$A$294,"&lt;="&amp;EDATE($A197,12*'Seasonal Factors'!$E$4)),"")</f>
        <v>1.00715605417377</v>
      </c>
      <c r="AX197" s="24" t="n">
        <f aca="false">IFERROR(AW197/AVERAGE(AW192:AW203),"")</f>
        <v>1.00694539067681</v>
      </c>
      <c r="AY197" s="23" t="n">
        <f aca="false">IF(ISNUMBER(Tabelle1!Q204),(0.5*Tabelle1!Q192+SUM(Tabelle1!Q193:Q203)+0.5*Tabelle1!Q204)/12,"")</f>
        <v>160.112361666667</v>
      </c>
      <c r="AZ197" s="24" t="n">
        <f aca="false">IFERROR(Tabelle1!Q198/AY197,"")</f>
        <v>1.02503578294397</v>
      </c>
      <c r="BA197" s="24" t="n">
        <f aca="false">IFERROR(AVERAGEIFS($AZ$7:$AZ$294,$B$7:$B$294,$B197,$A$7:$A$294,"&gt;="&amp;EDATE($A197,-12*'Seasonal Factors'!$E$4),$A$7:$A$294,"&lt;="&amp;EDATE($A197,12*'Seasonal Factors'!$E$4)),"")</f>
        <v>1.01383693522939</v>
      </c>
      <c r="BB197" s="24" t="n">
        <f aca="false">IFERROR(BA197/AVERAGE(BA192:BA203),"")</f>
        <v>1.01356733409564</v>
      </c>
      <c r="BC197" s="23" t="n">
        <f aca="false">IF(ISNUMBER(Tabelle1!R204),(0.5*Tabelle1!R192+SUM(Tabelle1!R193:R203)+0.5*Tabelle1!R204)/12,"")</f>
        <v>172.781346666667</v>
      </c>
      <c r="BD197" s="24" t="n">
        <f aca="false">IFERROR(Tabelle1!R198/BC197,"")</f>
        <v>1.00108445348383</v>
      </c>
      <c r="BE197" s="24" t="n">
        <f aca="false">IFERROR(AVERAGEIFS($BD$7:$BD$294,$B$7:$B$294,$B197,$A$7:$A$294,"&gt;="&amp;EDATE($A197,-12*'Seasonal Factors'!$E$4),$A$7:$A$294,"&lt;="&amp;EDATE($A197,12*'Seasonal Factors'!$E$4)),"")</f>
        <v>0.964490389723432</v>
      </c>
      <c r="BF197" s="24" t="n">
        <f aca="false">IFERROR(BE197/AVERAGE(BE192:BE203),"")</f>
        <v>0.964371266431319</v>
      </c>
      <c r="BG197" s="23" t="n">
        <f aca="false">IF(ISNUMBER(Tabelle1!S204),(0.5*Tabelle1!S192+SUM(Tabelle1!S193:S203)+0.5*Tabelle1!S204)/12,"")</f>
        <v>130.19002625</v>
      </c>
      <c r="BH197" s="24" t="n">
        <f aca="false">IFERROR(Tabelle1!S198/BG197,"")</f>
        <v>1.04125157590557</v>
      </c>
      <c r="BI197" s="24" t="n">
        <f aca="false">IFERROR(AVERAGEIFS($BH$7:$BH$294,$B$7:$B$294,$B197,$A$7:$A$294,"&gt;="&amp;EDATE($A197,-12*'Seasonal Factors'!$E$4),$A$7:$A$294,"&lt;="&amp;EDATE($A197,12*'Seasonal Factors'!$E$4)),"")</f>
        <v>0.993977166518837</v>
      </c>
      <c r="BJ197" s="24" t="n">
        <f aca="false">IFERROR(BI197/AVERAGE(BI192:BI203),"")</f>
        <v>0.99606114064872</v>
      </c>
    </row>
    <row r="198" customFormat="false" ht="15" hidden="false" customHeight="false" outlineLevel="0" collapsed="false">
      <c r="A198" s="20" t="n">
        <v>43830</v>
      </c>
      <c r="B198" s="22" t="n">
        <f aca="false">MONTH(A198)</f>
        <v>12</v>
      </c>
      <c r="C198" s="23" t="n">
        <f aca="false">IF(ISNUMBER(Tabelle1!E205),(0.5*Tabelle1!E193+SUM(Tabelle1!E194:E204)+0.5*Tabelle1!E205)/12,"")</f>
        <v>129.746045416667</v>
      </c>
      <c r="D198" s="24" t="n">
        <f aca="false">IFERROR(Tabelle1!E199/C198,"")</f>
        <v>0.776237531375756</v>
      </c>
      <c r="E198" s="24" t="n">
        <f aca="false">IFERROR(AVERAGEIFS($D$7:$D$294,$B$7:$B$294,$B198,$A$7:$A$294,"&gt;="&amp;EDATE($A198,-12*'Seasonal Factors'!$E$4),$A$7:$A$294,"&lt;="&amp;EDATE($A198,12*'Seasonal Factors'!$E$4)),"")</f>
        <v>0.831138952611207</v>
      </c>
      <c r="F198" s="24" t="n">
        <f aca="false">IFERROR(E198/AVERAGE(E193:E204),"")</f>
        <v>0.835569728893317</v>
      </c>
      <c r="G198" s="23" t="n">
        <f aca="false">IF(ISNUMBER(Tabelle1!F205),(0.5*Tabelle1!F193+SUM(Tabelle1!F194:F204)+0.5*Tabelle1!F205)/12,"")</f>
        <v>158.392467916667</v>
      </c>
      <c r="H198" s="24" t="n">
        <f aca="false">IFERROR(Tabelle1!F199/G198,"")</f>
        <v>0.604440736729792</v>
      </c>
      <c r="I198" s="24" t="n">
        <f aca="false">IFERROR(AVERAGEIFS($H$7:$H$294,$B$7:$B$294,$B198,$A$7:$A$294,"&gt;="&amp;EDATE($A198,-12*'Seasonal Factors'!$E$4),$A$7:$A$294,"&lt;="&amp;EDATE($A198,12*'Seasonal Factors'!$E$4)),"")</f>
        <v>0.617238314411496</v>
      </c>
      <c r="J198" s="24" t="n">
        <f aca="false">IFERROR(I198/AVERAGE(I193:I204),"")</f>
        <v>0.616495365811771</v>
      </c>
      <c r="K198" s="23" t="n">
        <f aca="false">IF(ISNUMBER(Tabelle1!G205),(0.5*Tabelle1!G193+SUM(Tabelle1!G194:G204)+0.5*Tabelle1!G205)/12,"")</f>
        <v>85.3560820833333</v>
      </c>
      <c r="L198" s="24" t="n">
        <f aca="false">IFERROR(Tabelle1!G199/K198,"")</f>
        <v>1.043921977499</v>
      </c>
      <c r="M198" s="24" t="n">
        <f aca="false">IFERROR(AVERAGEIFS($L$7:$L$294,$B$7:$B$294,$B198,$A$7:$A$294,"&gt;="&amp;EDATE($A198,-12*'Seasonal Factors'!$E$4),$A$7:$A$294,"&lt;="&amp;EDATE($A198,12*'Seasonal Factors'!$E$4)),"")</f>
        <v>1.00936411669253</v>
      </c>
      <c r="N198" s="24" t="n">
        <f aca="false">IFERROR(M198/AVERAGE(M193:M204),"")</f>
        <v>1.01003923794264</v>
      </c>
      <c r="O198" s="23" t="n">
        <f aca="false">IF(ISNUMBER(Tabelle1!H205),(0.5*Tabelle1!H193+SUM(Tabelle1!H194:H204)+0.5*Tabelle1!H205)/12,"")</f>
        <v>110.140433333333</v>
      </c>
      <c r="P198" s="24" t="n">
        <f aca="false">IFERROR(Tabelle1!H199/O198,"")</f>
        <v>1.03620338640396</v>
      </c>
      <c r="Q198" s="24" t="n">
        <f aca="false">IFERROR(AVERAGEIFS($P$7:$P$294,$B$7:$B$294,$B198,$A$7:$A$294,"&gt;="&amp;EDATE($A198,-12*'Seasonal Factors'!$E$4),$A$7:$A$294,"&lt;="&amp;EDATE($A198,12*'Seasonal Factors'!$E$4)),"")</f>
        <v>0.990334288064217</v>
      </c>
      <c r="R198" s="24" t="n">
        <f aca="false">IFERROR(Q198/AVERAGE(Q193:Q204),"")</f>
        <v>0.992410743647808</v>
      </c>
      <c r="S198" s="23" t="n">
        <f aca="false">IF(ISNUMBER(Tabelle1!I205),(0.5*Tabelle1!I193+SUM(Tabelle1!I194:I204)+0.5*Tabelle1!I205)/12,"")</f>
        <v>139.743015416667</v>
      </c>
      <c r="T198" s="24" t="n">
        <f aca="false">IFERROR(Tabelle1!I199/S198,"")</f>
        <v>1.03822820458972</v>
      </c>
      <c r="U198" s="24" t="n">
        <f aca="false">IFERROR(AVERAGEIFS($T$7:$T$294,$B$7:$B$294,$B198,$A$7:$A$294,"&gt;="&amp;EDATE($A198,-12*'Seasonal Factors'!$E$4),$A$7:$A$294,"&lt;="&amp;EDATE($A198,12*'Seasonal Factors'!$E$4)),"")</f>
        <v>1.02923745888604</v>
      </c>
      <c r="V198" s="24" t="n">
        <f aca="false">IFERROR(U198/AVERAGE(U193:U204),"")</f>
        <v>1.02901081233089</v>
      </c>
      <c r="W198" s="23" t="n">
        <f aca="false">IF(ISNUMBER(Tabelle1!J205),(0.5*Tabelle1!J193+SUM(Tabelle1!J194:J204)+0.5*Tabelle1!J205)/12,"")</f>
        <v>118.81130625</v>
      </c>
      <c r="X198" s="24" t="n">
        <f aca="false">IFERROR(Tabelle1!J199/W198,"")</f>
        <v>1.02696127036311</v>
      </c>
      <c r="Y198" s="24" t="n">
        <f aca="false">IFERROR(AVERAGEIFS($X$7:$X$294,$B$7:$B$294,$B198,$A$7:$A$294,"&gt;="&amp;EDATE($A198,-12*'Seasonal Factors'!$E$4),$A$7:$A$294,"&lt;="&amp;EDATE($A198,12*'Seasonal Factors'!$E$4)),"")</f>
        <v>0.9596857917395</v>
      </c>
      <c r="Z198" s="24" t="n">
        <f aca="false">IFERROR(Y198/AVERAGE(Y193:Y204),"")</f>
        <v>0.962900903300401</v>
      </c>
      <c r="AA198" s="23" t="n">
        <f aca="false">IF(ISNUMBER(Tabelle1!K205),(0.5*Tabelle1!K193+SUM(Tabelle1!K194:K204)+0.5*Tabelle1!K205)/12,"")</f>
        <v>132.514373333333</v>
      </c>
      <c r="AB198" s="24" t="n">
        <f aca="false">IFERROR(Tabelle1!K199/AA198,"")</f>
        <v>0.988954456060012</v>
      </c>
      <c r="AC198" s="24" t="n">
        <f aca="false">IFERROR(AVERAGEIFS($AB$7:$AB$294,$B$7:$B$294,$B198,$A$7:$A$294,"&gt;="&amp;EDATE($A198,-12*'Seasonal Factors'!$E$4),$A$7:$A$294,"&lt;="&amp;EDATE($A198,12*'Seasonal Factors'!$E$4)),"")</f>
        <v>0.953727115042764</v>
      </c>
      <c r="AD198" s="24" t="n">
        <f aca="false">IFERROR(AC198/AVERAGE(AC193:AC204),"")</f>
        <v>0.954993741113215</v>
      </c>
      <c r="AE198" s="23" t="n">
        <f aca="false">IF(ISNUMBER(Tabelle1!L205),(0.5*Tabelle1!L193+SUM(Tabelle1!L194:L204)+0.5*Tabelle1!L205)/12,"")</f>
        <v>137.233502916667</v>
      </c>
      <c r="AF198" s="24" t="n">
        <f aca="false">IFERROR(Tabelle1!L199/AE198,"")</f>
        <v>1.27824274883168</v>
      </c>
      <c r="AG198" s="24" t="n">
        <f aca="false">IFERROR(AVERAGEIFS($AF$7:$AF$294,$B$7:$B$294,$B198,$A$7:$A$294,"&gt;="&amp;EDATE($A198,-12*'Seasonal Factors'!$E$4),$A$7:$A$294,"&lt;="&amp;EDATE($A198,12*'Seasonal Factors'!$E$4)),"")</f>
        <v>1.07291610794763</v>
      </c>
      <c r="AH198" s="24" t="n">
        <f aca="false">IFERROR(AG198/AVERAGE(AG193:AG204),"")</f>
        <v>1.0792723410783</v>
      </c>
      <c r="AI198" s="23" t="n">
        <f aca="false">IF(ISNUMBER(Tabelle1!M205),(0.5*Tabelle1!M193+SUM(Tabelle1!M194:M204)+0.5*Tabelle1!M205)/12,"")</f>
        <v>178.405522083333</v>
      </c>
      <c r="AJ198" s="24" t="n">
        <f aca="false">IFERROR(Tabelle1!M199/AI198,"")</f>
        <v>1.0347444846117</v>
      </c>
      <c r="AK198" s="24" t="n">
        <f aca="false">IFERROR(AVERAGEIFS($AJ$7:$AJ$294,$B$7:$B$294,$B198,$A$7:$A$294,"&gt;="&amp;EDATE($A198,-12*'Seasonal Factors'!$E$4),$A$7:$A$294,"&lt;="&amp;EDATE($A198,12*'Seasonal Factors'!$E$4)),"")</f>
        <v>0.981043909196751</v>
      </c>
      <c r="AL198" s="24" t="n">
        <f aca="false">IFERROR(AK198/AVERAGE(AK193:AK204),"")</f>
        <v>0.981239010393323</v>
      </c>
      <c r="AM198" s="23" t="n">
        <f aca="false">IF(ISNUMBER(Tabelle1!N205),(0.5*Tabelle1!N193+SUM(Tabelle1!N194:N204)+0.5*Tabelle1!N205)/12,"")</f>
        <v>163.883259166667</v>
      </c>
      <c r="AN198" s="24" t="n">
        <f aca="false">IFERROR(Tabelle1!N199/AM198,"")</f>
        <v>1.02894628076995</v>
      </c>
      <c r="AO198" s="24" t="n">
        <f aca="false">IFERROR(AVERAGEIFS($AN$7:$AN$294,$B$7:$B$294,$B198,$A$7:$A$294,"&gt;="&amp;EDATE($A198,-12*'Seasonal Factors'!$E$4),$A$7:$A$294,"&lt;="&amp;EDATE($A198,12*'Seasonal Factors'!$E$4)),"")</f>
        <v>1.03050246254881</v>
      </c>
      <c r="AP198" s="24" t="n">
        <f aca="false">IFERROR(AO198/AVERAGE(AO193:AO204),"")</f>
        <v>1.03206311712456</v>
      </c>
      <c r="AQ198" s="23" t="n">
        <f aca="false">IF(ISNUMBER(Tabelle1!O205),(0.5*Tabelle1!O193+SUM(Tabelle1!O194:O204)+0.5*Tabelle1!O205)/12,"")</f>
        <v>135.627117083333</v>
      </c>
      <c r="AR198" s="24" t="n">
        <f aca="false">IFERROR(Tabelle1!O199/AQ198,"")</f>
        <v>1.05964362504068</v>
      </c>
      <c r="AS198" s="24" t="n">
        <f aca="false">IFERROR(AVERAGEIFS($AR$7:$AR$294,$B$7:$B$294,$B198,$A$7:$A$294,"&gt;="&amp;EDATE($A198,-12*'Seasonal Factors'!$E$4),$A$7:$A$294,"&lt;="&amp;EDATE($A198,12*'Seasonal Factors'!$E$4)),"")</f>
        <v>1.02658434986634</v>
      </c>
      <c r="AT198" s="24" t="n">
        <f aca="false">IFERROR(AS198/AVERAGE(AS193:AS204),"")</f>
        <v>1.02670052265439</v>
      </c>
      <c r="AU198" s="23" t="n">
        <f aca="false">IF(ISNUMBER(Tabelle1!P205),(0.5*Tabelle1!P193+SUM(Tabelle1!P194:P204)+0.5*Tabelle1!P205)/12,"")</f>
        <v>151.86505875</v>
      </c>
      <c r="AV198" s="24" t="n">
        <f aca="false">IFERROR(Tabelle1!P199/AU198,"")</f>
        <v>1.03756256572087</v>
      </c>
      <c r="AW198" s="24" t="n">
        <f aca="false">IFERROR(AVERAGEIFS($AV$7:$AV$294,$B$7:$B$294,$B198,$A$7:$A$294,"&gt;="&amp;EDATE($A198,-12*'Seasonal Factors'!$E$4),$A$7:$A$294,"&lt;="&amp;EDATE($A198,12*'Seasonal Factors'!$E$4)),"")</f>
        <v>1.00992169786574</v>
      </c>
      <c r="AX198" s="24" t="n">
        <f aca="false">IFERROR(AW198/AVERAGE(AW193:AW204),"")</f>
        <v>1.00973799337794</v>
      </c>
      <c r="AY198" s="23" t="n">
        <f aca="false">IF(ISNUMBER(Tabelle1!Q205),(0.5*Tabelle1!Q193+SUM(Tabelle1!Q194:Q204)+0.5*Tabelle1!Q205)/12,"")</f>
        <v>159.0562275</v>
      </c>
      <c r="AZ198" s="24" t="n">
        <f aca="false">IFERROR(Tabelle1!Q199/AY198,"")</f>
        <v>1.02993879947266</v>
      </c>
      <c r="BA198" s="24" t="n">
        <f aca="false">IFERROR(AVERAGEIFS($AZ$7:$AZ$294,$B$7:$B$294,$B198,$A$7:$A$294,"&gt;="&amp;EDATE($A198,-12*'Seasonal Factors'!$E$4),$A$7:$A$294,"&lt;="&amp;EDATE($A198,12*'Seasonal Factors'!$E$4)),"")</f>
        <v>1.01547380510516</v>
      </c>
      <c r="BB198" s="24" t="n">
        <f aca="false">IFERROR(BA198/AVERAGE(BA193:BA204),"")</f>
        <v>1.01529828167852</v>
      </c>
      <c r="BC198" s="23" t="n">
        <f aca="false">IF(ISNUMBER(Tabelle1!R205),(0.5*Tabelle1!R193+SUM(Tabelle1!R194:R204)+0.5*Tabelle1!R205)/12,"")</f>
        <v>169.731617916667</v>
      </c>
      <c r="BD198" s="24" t="n">
        <f aca="false">IFERROR(Tabelle1!R199/BC198,"")</f>
        <v>0.981227670154944</v>
      </c>
      <c r="BE198" s="24" t="n">
        <f aca="false">IFERROR(AVERAGEIFS($BD$7:$BD$294,$B$7:$B$294,$B198,$A$7:$A$294,"&gt;="&amp;EDATE($A198,-12*'Seasonal Factors'!$E$4),$A$7:$A$294,"&lt;="&amp;EDATE($A198,12*'Seasonal Factors'!$E$4)),"")</f>
        <v>0.926224131245292</v>
      </c>
      <c r="BF198" s="24" t="n">
        <f aca="false">IFERROR(BE198/AVERAGE(BE193:BE204),"")</f>
        <v>0.926123130737748</v>
      </c>
      <c r="BG198" s="23" t="n">
        <f aca="false">IF(ISNUMBER(Tabelle1!S205),(0.5*Tabelle1!S193+SUM(Tabelle1!S194:S204)+0.5*Tabelle1!S205)/12,"")</f>
        <v>121.990780833333</v>
      </c>
      <c r="BH198" s="24" t="n">
        <f aca="false">IFERROR(Tabelle1!S199/BG198,"")</f>
        <v>1.08169895379458</v>
      </c>
      <c r="BI198" s="24" t="n">
        <f aca="false">IFERROR(AVERAGEIFS($BH$7:$BH$294,$B$7:$B$294,$B198,$A$7:$A$294,"&gt;="&amp;EDATE($A198,-12*'Seasonal Factors'!$E$4),$A$7:$A$294,"&lt;="&amp;EDATE($A198,12*'Seasonal Factors'!$E$4)),"")</f>
        <v>0.998466050724457</v>
      </c>
      <c r="BJ198" s="24" t="n">
        <f aca="false">IFERROR(BI198/AVERAGE(BI193:BI204),"")</f>
        <v>1.00130665990967</v>
      </c>
    </row>
    <row r="199" customFormat="false" ht="15" hidden="false" customHeight="false" outlineLevel="0" collapsed="false">
      <c r="A199" s="20" t="n">
        <v>43861</v>
      </c>
      <c r="B199" s="22" t="n">
        <f aca="false">MONTH(A199)</f>
        <v>1</v>
      </c>
      <c r="C199" s="23" t="n">
        <f aca="false">IF(ISNUMBER(Tabelle1!E206),(0.5*Tabelle1!E194+SUM(Tabelle1!E195:E205)+0.5*Tabelle1!E206)/12,"")</f>
        <v>128.424271666667</v>
      </c>
      <c r="D199" s="24" t="n">
        <f aca="false">IFERROR(Tabelle1!E200/C199,"")</f>
        <v>0.66015480484913</v>
      </c>
      <c r="E199" s="24" t="n">
        <f aca="false">IFERROR(AVERAGEIFS($D$7:$D$294,$B$7:$B$294,$B199,$A$7:$A$294,"&gt;="&amp;EDATE($A199,-12*'Seasonal Factors'!$E$4),$A$7:$A$294,"&lt;="&amp;EDATE($A199,12*'Seasonal Factors'!$E$4)),"")</f>
        <v>0.656674506214936</v>
      </c>
      <c r="F199" s="24" t="n">
        <f aca="false">IFERROR(E199/AVERAGE(E194:E205),"")</f>
        <v>0.659632940029384</v>
      </c>
      <c r="G199" s="23" t="n">
        <f aca="false">IF(ISNUMBER(Tabelle1!F206),(0.5*Tabelle1!F194+SUM(Tabelle1!F195:F205)+0.5*Tabelle1!F206)/12,"")</f>
        <v>147.65629375</v>
      </c>
      <c r="H199" s="24" t="n">
        <f aca="false">IFERROR(Tabelle1!F200/G199,"")</f>
        <v>0.688822382147866</v>
      </c>
      <c r="I199" s="24" t="n">
        <f aca="false">IFERROR(AVERAGEIFS($H$7:$H$294,$B$7:$B$294,$B199,$A$7:$A$294,"&gt;="&amp;EDATE($A199,-12*'Seasonal Factors'!$E$4),$A$7:$A$294,"&lt;="&amp;EDATE($A199,12*'Seasonal Factors'!$E$4)),"")</f>
        <v>0.720982301476785</v>
      </c>
      <c r="J199" s="24" t="n">
        <f aca="false">IFERROR(I199/AVERAGE(I194:I205),"")</f>
        <v>0.717083332660665</v>
      </c>
      <c r="K199" s="23" t="n">
        <f aca="false">IF(ISNUMBER(Tabelle1!G206),(0.5*Tabelle1!G194+SUM(Tabelle1!G195:G205)+0.5*Tabelle1!G206)/12,"")</f>
        <v>84.25915125</v>
      </c>
      <c r="L199" s="24" t="n">
        <f aca="false">IFERROR(Tabelle1!G200/K199,"")</f>
        <v>1.04467287759441</v>
      </c>
      <c r="M199" s="24" t="n">
        <f aca="false">IFERROR(AVERAGEIFS($L$7:$L$294,$B$7:$B$294,$B199,$A$7:$A$294,"&gt;="&amp;EDATE($A199,-12*'Seasonal Factors'!$E$4),$A$7:$A$294,"&lt;="&amp;EDATE($A199,12*'Seasonal Factors'!$E$4)),"")</f>
        <v>1.00611968840856</v>
      </c>
      <c r="N199" s="24" t="n">
        <f aca="false">IFERROR(M199/AVERAGE(M194:M205),"")</f>
        <v>1.00720715838092</v>
      </c>
      <c r="O199" s="23" t="n">
        <f aca="false">IF(ISNUMBER(Tabelle1!H206),(0.5*Tabelle1!H194+SUM(Tabelle1!H195:H205)+0.5*Tabelle1!H206)/12,"")</f>
        <v>109.37133625</v>
      </c>
      <c r="P199" s="24" t="n">
        <f aca="false">IFERROR(Tabelle1!H200/O199,"")</f>
        <v>0.929994763596024</v>
      </c>
      <c r="Q199" s="24" t="n">
        <f aca="false">IFERROR(AVERAGEIFS($P$7:$P$294,$B$7:$B$294,$B199,$A$7:$A$294,"&gt;="&amp;EDATE($A199,-12*'Seasonal Factors'!$E$4),$A$7:$A$294,"&lt;="&amp;EDATE($A199,12*'Seasonal Factors'!$E$4)),"")</f>
        <v>0.869354206719437</v>
      </c>
      <c r="R199" s="24" t="n">
        <f aca="false">IFERROR(Q199/AVERAGE(Q194:Q205),"")</f>
        <v>0.870960680885048</v>
      </c>
      <c r="S199" s="23" t="n">
        <f aca="false">IF(ISNUMBER(Tabelle1!I206),(0.5*Tabelle1!I194+SUM(Tabelle1!I195:I205)+0.5*Tabelle1!I206)/12,"")</f>
        <v>140.28345</v>
      </c>
      <c r="T199" s="24" t="n">
        <f aca="false">IFERROR(Tabelle1!I200/S199,"")</f>
        <v>1.08296167509425</v>
      </c>
      <c r="U199" s="24" t="n">
        <f aca="false">IFERROR(AVERAGEIFS($T$7:$T$294,$B$7:$B$294,$B199,$A$7:$A$294,"&gt;="&amp;EDATE($A199,-12*'Seasonal Factors'!$E$4),$A$7:$A$294,"&lt;="&amp;EDATE($A199,12*'Seasonal Factors'!$E$4)),"")</f>
        <v>1.07313927850462</v>
      </c>
      <c r="V199" s="24" t="n">
        <f aca="false">IFERROR(U199/AVERAGE(U194:U205),"")</f>
        <v>1.0723312466807</v>
      </c>
      <c r="W199" s="23" t="n">
        <f aca="false">IF(ISNUMBER(Tabelle1!J206),(0.5*Tabelle1!J194+SUM(Tabelle1!J195:J205)+0.5*Tabelle1!J206)/12,"")</f>
        <v>115.685982916667</v>
      </c>
      <c r="X199" s="24" t="n">
        <f aca="false">IFERROR(Tabelle1!J200/W199,"")</f>
        <v>1.12290881509453</v>
      </c>
      <c r="Y199" s="24" t="n">
        <f aca="false">IFERROR(AVERAGEIFS($X$7:$X$294,$B$7:$B$294,$B199,$A$7:$A$294,"&gt;="&amp;EDATE($A199,-12*'Seasonal Factors'!$E$4),$A$7:$A$294,"&lt;="&amp;EDATE($A199,12*'Seasonal Factors'!$E$4)),"")</f>
        <v>1.0248151686406</v>
      </c>
      <c r="Z199" s="24" t="n">
        <f aca="false">IFERROR(Y199/AVERAGE(Y194:Y205),"")</f>
        <v>1.02828507029678</v>
      </c>
      <c r="AA199" s="23" t="n">
        <f aca="false">IF(ISNUMBER(Tabelle1!K206),(0.5*Tabelle1!K194+SUM(Tabelle1!K195:K205)+0.5*Tabelle1!K206)/12,"")</f>
        <v>131.723273333333</v>
      </c>
      <c r="AB199" s="24" t="n">
        <f aca="false">IFERROR(Tabelle1!K200/AA199,"")</f>
        <v>0.982208130165406</v>
      </c>
      <c r="AC199" s="24" t="n">
        <f aca="false">IFERROR(AVERAGEIFS($AB$7:$AB$294,$B$7:$B$294,$B199,$A$7:$A$294,"&gt;="&amp;EDATE($A199,-12*'Seasonal Factors'!$E$4),$A$7:$A$294,"&lt;="&amp;EDATE($A199,12*'Seasonal Factors'!$E$4)),"")</f>
        <v>0.899108879291394</v>
      </c>
      <c r="AD199" s="24" t="n">
        <f aca="false">IFERROR(AC199/AVERAGE(AC194:AC205),"")</f>
        <v>0.900331058930042</v>
      </c>
      <c r="AE199" s="23" t="n">
        <f aca="false">IF(ISNUMBER(Tabelle1!L206),(0.5*Tabelle1!L194+SUM(Tabelle1!L195:L205)+0.5*Tabelle1!L206)/12,"")</f>
        <v>128.504637916667</v>
      </c>
      <c r="AF199" s="24" t="n">
        <f aca="false">IFERROR(Tabelle1!L200/AE199,"")</f>
        <v>1.37427000972932</v>
      </c>
      <c r="AG199" s="24" t="n">
        <f aca="false">IFERROR(AVERAGEIFS($AF$7:$AF$294,$B$7:$B$294,$B199,$A$7:$A$294,"&gt;="&amp;EDATE($A199,-12*'Seasonal Factors'!$E$4),$A$7:$A$294,"&lt;="&amp;EDATE($A199,12*'Seasonal Factors'!$E$4)),"")</f>
        <v>1.16949070490883</v>
      </c>
      <c r="AH199" s="24" t="n">
        <f aca="false">IFERROR(AG199/AVERAGE(AG194:AG205),"")</f>
        <v>1.17721798639004</v>
      </c>
      <c r="AI199" s="23" t="n">
        <f aca="false">IF(ISNUMBER(Tabelle1!M206),(0.5*Tabelle1!M194+SUM(Tabelle1!M195:M205)+0.5*Tabelle1!M206)/12,"")</f>
        <v>174.932534166667</v>
      </c>
      <c r="AJ199" s="24" t="n">
        <f aca="false">IFERROR(Tabelle1!M200/AI199,"")</f>
        <v>1.04574841307512</v>
      </c>
      <c r="AK199" s="24" t="n">
        <f aca="false">IFERROR(AVERAGEIFS($AJ$7:$AJ$294,$B$7:$B$294,$B199,$A$7:$A$294,"&gt;="&amp;EDATE($A199,-12*'Seasonal Factors'!$E$4),$A$7:$A$294,"&lt;="&amp;EDATE($A199,12*'Seasonal Factors'!$E$4)),"")</f>
        <v>0.991426319735403</v>
      </c>
      <c r="AL199" s="24" t="n">
        <f aca="false">IFERROR(AK199/AVERAGE(AK194:AK205),"")</f>
        <v>0.991688767978552</v>
      </c>
      <c r="AM199" s="23" t="n">
        <f aca="false">IF(ISNUMBER(Tabelle1!N206),(0.5*Tabelle1!N194+SUM(Tabelle1!N195:N205)+0.5*Tabelle1!N206)/12,"")</f>
        <v>164.047238333333</v>
      </c>
      <c r="AN199" s="24" t="n">
        <f aca="false">IFERROR(Tabelle1!N200/AM199,"")</f>
        <v>0.984664610273892</v>
      </c>
      <c r="AO199" s="24" t="n">
        <f aca="false">IFERROR(AVERAGEIFS($AN$7:$AN$294,$B$7:$B$294,$B199,$A$7:$A$294,"&gt;="&amp;EDATE($A199,-12*'Seasonal Factors'!$E$4),$A$7:$A$294,"&lt;="&amp;EDATE($A199,12*'Seasonal Factors'!$E$4)),"")</f>
        <v>1.0043027214014</v>
      </c>
      <c r="AP199" s="24" t="n">
        <f aca="false">IFERROR(AO199/AVERAGE(AO194:AO205),"")</f>
        <v>1.00575579583124</v>
      </c>
      <c r="AQ199" s="23" t="n">
        <f aca="false">IF(ISNUMBER(Tabelle1!O206),(0.5*Tabelle1!O194+SUM(Tabelle1!O195:O205)+0.5*Tabelle1!O206)/12,"")</f>
        <v>134.517469583333</v>
      </c>
      <c r="AR199" s="24" t="n">
        <f aca="false">IFERROR(Tabelle1!O200/AQ199,"")</f>
        <v>1.01921468211283</v>
      </c>
      <c r="AS199" s="24" t="n">
        <f aca="false">IFERROR(AVERAGEIFS($AR$7:$AR$294,$B$7:$B$294,$B199,$A$7:$A$294,"&gt;="&amp;EDATE($A199,-12*'Seasonal Factors'!$E$4),$A$7:$A$294,"&lt;="&amp;EDATE($A199,12*'Seasonal Factors'!$E$4)),"")</f>
        <v>0.974869032499141</v>
      </c>
      <c r="AT199" s="24" t="n">
        <f aca="false">IFERROR(AS199/AVERAGE(AS194:AS205),"")</f>
        <v>0.975372894832924</v>
      </c>
      <c r="AU199" s="23" t="n">
        <f aca="false">IF(ISNUMBER(Tabelle1!P206),(0.5*Tabelle1!P194+SUM(Tabelle1!P195:P205)+0.5*Tabelle1!P206)/12,"")</f>
        <v>150.497411666667</v>
      </c>
      <c r="AV199" s="24" t="n">
        <f aca="false">IFERROR(Tabelle1!P200/AU199,"")</f>
        <v>1.03512630732176</v>
      </c>
      <c r="AW199" s="24" t="n">
        <f aca="false">IFERROR(AVERAGEIFS($AV$7:$AV$294,$B$7:$B$294,$B199,$A$7:$A$294,"&gt;="&amp;EDATE($A199,-12*'Seasonal Factors'!$E$4),$A$7:$A$294,"&lt;="&amp;EDATE($A199,12*'Seasonal Factors'!$E$4)),"")</f>
        <v>1.00754708506928</v>
      </c>
      <c r="AX199" s="24" t="n">
        <f aca="false">IFERROR(AW199/AVERAGE(AW194:AW205),"")</f>
        <v>1.00738286827998</v>
      </c>
      <c r="AY199" s="23" t="n">
        <f aca="false">IF(ISNUMBER(Tabelle1!Q206),(0.5*Tabelle1!Q194+SUM(Tabelle1!Q195:Q205)+0.5*Tabelle1!Q206)/12,"")</f>
        <v>158.08198875</v>
      </c>
      <c r="AZ199" s="24" t="n">
        <f aca="false">IFERROR(Tabelle1!Q200/AY199,"")</f>
        <v>0.997372826890122</v>
      </c>
      <c r="BA199" s="24" t="n">
        <f aca="false">IFERROR(AVERAGEIFS($AZ$7:$AZ$294,$B$7:$B$294,$B199,$A$7:$A$294,"&gt;="&amp;EDATE($A199,-12*'Seasonal Factors'!$E$4),$A$7:$A$294,"&lt;="&amp;EDATE($A199,12*'Seasonal Factors'!$E$4)),"")</f>
        <v>0.977792032207927</v>
      </c>
      <c r="BB199" s="24" t="n">
        <f aca="false">IFERROR(BA199/AVERAGE(BA194:BA205),"")</f>
        <v>0.977637019247121</v>
      </c>
      <c r="BC199" s="23" t="n">
        <f aca="false">IF(ISNUMBER(Tabelle1!R206),(0.5*Tabelle1!R194+SUM(Tabelle1!R195:R205)+0.5*Tabelle1!R206)/12,"")</f>
        <v>167.544484166667</v>
      </c>
      <c r="BD199" s="24" t="n">
        <f aca="false">IFERROR(Tabelle1!R200/BC199,"")</f>
        <v>1.08066129959784</v>
      </c>
      <c r="BE199" s="24" t="n">
        <f aca="false">IFERROR(AVERAGEIFS($BD$7:$BD$294,$B$7:$B$294,$B199,$A$7:$A$294,"&gt;="&amp;EDATE($A199,-12*'Seasonal Factors'!$E$4),$A$7:$A$294,"&lt;="&amp;EDATE($A199,12*'Seasonal Factors'!$E$4)),"")</f>
        <v>1.01081730186314</v>
      </c>
      <c r="BF199" s="24" t="n">
        <f aca="false">IFERROR(BE199/AVERAGE(BE194:BE205),"")</f>
        <v>1.01073458151154</v>
      </c>
      <c r="BG199" s="23" t="n">
        <f aca="false">IF(ISNUMBER(Tabelle1!S206),(0.5*Tabelle1!S194+SUM(Tabelle1!S195:S205)+0.5*Tabelle1!S206)/12,"")</f>
        <v>113.630914583333</v>
      </c>
      <c r="BH199" s="24" t="n">
        <f aca="false">IFERROR(Tabelle1!S200/BG199,"")</f>
        <v>1.35571319270711</v>
      </c>
      <c r="BI199" s="24" t="n">
        <f aca="false">IFERROR(AVERAGEIFS($BH$7:$BH$294,$B$7:$B$294,$B199,$A$7:$A$294,"&gt;="&amp;EDATE($A199,-12*'Seasonal Factors'!$E$4),$A$7:$A$294,"&lt;="&amp;EDATE($A199,12*'Seasonal Factors'!$E$4)),"")</f>
        <v>1.10744098301144</v>
      </c>
      <c r="BJ199" s="24" t="n">
        <f aca="false">IFERROR(BI199/AVERAGE(BI194:BI205),"")</f>
        <v>1.11158617462278</v>
      </c>
    </row>
    <row r="200" customFormat="false" ht="15" hidden="false" customHeight="false" outlineLevel="0" collapsed="false">
      <c r="A200" s="20" t="n">
        <v>43890</v>
      </c>
      <c r="B200" s="22" t="n">
        <f aca="false">MONTH(A200)</f>
        <v>2</v>
      </c>
      <c r="C200" s="23" t="n">
        <f aca="false">IF(ISNUMBER(Tabelle1!E207),(0.5*Tabelle1!E195+SUM(Tabelle1!E196:E206)+0.5*Tabelle1!E207)/12,"")</f>
        <v>127.92445625</v>
      </c>
      <c r="D200" s="24" t="n">
        <f aca="false">IFERROR(Tabelle1!E201/C200,"")</f>
        <v>0.535671067196739</v>
      </c>
      <c r="E200" s="24" t="n">
        <f aca="false">IFERROR(AVERAGEIFS($D$7:$D$294,$B$7:$B$294,$B200,$A$7:$A$294,"&gt;="&amp;EDATE($A200,-12*'Seasonal Factors'!$E$4),$A$7:$A$294,"&lt;="&amp;EDATE($A200,12*'Seasonal Factors'!$E$4)),"")</f>
        <v>0.598659518647571</v>
      </c>
      <c r="F200" s="24" t="n">
        <f aca="false">IFERROR(E200/AVERAGE(E195:E206),"")</f>
        <v>0.600655844345353</v>
      </c>
      <c r="G200" s="23" t="n">
        <f aca="false">IF(ISNUMBER(Tabelle1!F207),(0.5*Tabelle1!F195+SUM(Tabelle1!F196:F206)+0.5*Tabelle1!F207)/12,"")</f>
        <v>139.66674875</v>
      </c>
      <c r="H200" s="24" t="n">
        <f aca="false">IFERROR(Tabelle1!F201/G200,"")</f>
        <v>1.31420342810837</v>
      </c>
      <c r="I200" s="24" t="n">
        <f aca="false">IFERROR(AVERAGEIFS($H$7:$H$294,$B$7:$B$294,$B200,$A$7:$A$294,"&gt;="&amp;EDATE($A200,-12*'Seasonal Factors'!$E$4),$A$7:$A$294,"&lt;="&amp;EDATE($A200,12*'Seasonal Factors'!$E$4)),"")</f>
        <v>0.930833280610552</v>
      </c>
      <c r="J200" s="24" t="n">
        <f aca="false">IFERROR(I200/AVERAGE(I195:I206),"")</f>
        <v>0.923926109444954</v>
      </c>
      <c r="K200" s="23" t="n">
        <f aca="false">IF(ISNUMBER(Tabelle1!G207),(0.5*Tabelle1!G195+SUM(Tabelle1!G196:G206)+0.5*Tabelle1!G207)/12,"")</f>
        <v>83.2858920833333</v>
      </c>
      <c r="L200" s="24" t="n">
        <f aca="false">IFERROR(Tabelle1!G201/K200,"")</f>
        <v>1.03172899816001</v>
      </c>
      <c r="M200" s="24" t="n">
        <f aca="false">IFERROR(AVERAGEIFS($L$7:$L$294,$B$7:$B$294,$B200,$A$7:$A$294,"&gt;="&amp;EDATE($A200,-12*'Seasonal Factors'!$E$4),$A$7:$A$294,"&lt;="&amp;EDATE($A200,12*'Seasonal Factors'!$E$4)),"")</f>
        <v>0.938655952930046</v>
      </c>
      <c r="N200" s="24" t="n">
        <f aca="false">IFERROR(M200/AVERAGE(M195:M206),"")</f>
        <v>0.939732985213187</v>
      </c>
      <c r="O200" s="23" t="n">
        <f aca="false">IF(ISNUMBER(Tabelle1!H207),(0.5*Tabelle1!H195+SUM(Tabelle1!H196:H206)+0.5*Tabelle1!H207)/12,"")</f>
        <v>108.47112125</v>
      </c>
      <c r="P200" s="24" t="n">
        <f aca="false">IFERROR(Tabelle1!H201/O200,"")</f>
        <v>0.943176477029364</v>
      </c>
      <c r="Q200" s="24" t="n">
        <f aca="false">IFERROR(AVERAGEIFS($P$7:$P$294,$B$7:$B$294,$B200,$A$7:$A$294,"&gt;="&amp;EDATE($A200,-12*'Seasonal Factors'!$E$4),$A$7:$A$294,"&lt;="&amp;EDATE($A200,12*'Seasonal Factors'!$E$4)),"")</f>
        <v>0.867705980069263</v>
      </c>
      <c r="R200" s="24" t="n">
        <f aca="false">IFERROR(Q200/AVERAGE(Q195:Q206),"")</f>
        <v>0.869080558156258</v>
      </c>
      <c r="S200" s="23" t="n">
        <f aca="false">IF(ISNUMBER(Tabelle1!I207),(0.5*Tabelle1!I195+SUM(Tabelle1!I196:I206)+0.5*Tabelle1!I207)/12,"")</f>
        <v>140.666900833333</v>
      </c>
      <c r="T200" s="24" t="n">
        <f aca="false">IFERROR(Tabelle1!I201/S200,"")</f>
        <v>0.996853553816063</v>
      </c>
      <c r="U200" s="24" t="n">
        <f aca="false">IFERROR(AVERAGEIFS($T$7:$T$294,$B$7:$B$294,$B200,$A$7:$A$294,"&gt;="&amp;EDATE($A200,-12*'Seasonal Factors'!$E$4),$A$7:$A$294,"&lt;="&amp;EDATE($A200,12*'Seasonal Factors'!$E$4)),"")</f>
        <v>0.978071232593564</v>
      </c>
      <c r="V200" s="24" t="n">
        <f aca="false">IFERROR(U200/AVERAGE(U195:U206),"")</f>
        <v>0.977145232539853</v>
      </c>
      <c r="W200" s="23" t="n">
        <f aca="false">IF(ISNUMBER(Tabelle1!J207),(0.5*Tabelle1!J195+SUM(Tabelle1!J196:J206)+0.5*Tabelle1!J207)/12,"")</f>
        <v>112.757706666667</v>
      </c>
      <c r="X200" s="24" t="n">
        <f aca="false">IFERROR(Tabelle1!J201/W200,"")</f>
        <v>1.11094419799007</v>
      </c>
      <c r="Y200" s="24" t="n">
        <f aca="false">IFERROR(AVERAGEIFS($X$7:$X$294,$B$7:$B$294,$B200,$A$7:$A$294,"&gt;="&amp;EDATE($A200,-12*'Seasonal Factors'!$E$4),$A$7:$A$294,"&lt;="&amp;EDATE($A200,12*'Seasonal Factors'!$E$4)),"")</f>
        <v>1.01033125107112</v>
      </c>
      <c r="Z200" s="24" t="n">
        <f aca="false">IFERROR(Y200/AVERAGE(Y195:Y206),"")</f>
        <v>1.01321516862427</v>
      </c>
      <c r="AA200" s="23" t="n">
        <f aca="false">IF(ISNUMBER(Tabelle1!K207),(0.5*Tabelle1!K195+SUM(Tabelle1!K196:K206)+0.5*Tabelle1!K207)/12,"")</f>
        <v>131.024019166667</v>
      </c>
      <c r="AB200" s="24" t="n">
        <f aca="false">IFERROR(Tabelle1!K201/AA200,"")</f>
        <v>0.988920129485419</v>
      </c>
      <c r="AC200" s="24" t="n">
        <f aca="false">IFERROR(AVERAGEIFS($AB$7:$AB$294,$B$7:$B$294,$B200,$A$7:$A$294,"&gt;="&amp;EDATE($A200,-12*'Seasonal Factors'!$E$4),$A$7:$A$294,"&lt;="&amp;EDATE($A200,12*'Seasonal Factors'!$E$4)),"")</f>
        <v>0.93172481287834</v>
      </c>
      <c r="AD200" s="24" t="n">
        <f aca="false">IFERROR(AC200/AVERAGE(AC195:AC206),"")</f>
        <v>0.932951957766954</v>
      </c>
      <c r="AE200" s="23" t="n">
        <f aca="false">IF(ISNUMBER(Tabelle1!L207),(0.5*Tabelle1!L195+SUM(Tabelle1!L196:L206)+0.5*Tabelle1!L207)/12,"")</f>
        <v>119.7003225</v>
      </c>
      <c r="AF200" s="24" t="n">
        <f aca="false">IFERROR(Tabelle1!L201/AE200,"")</f>
        <v>1.42137010533117</v>
      </c>
      <c r="AG200" s="24" t="n">
        <f aca="false">IFERROR(AVERAGEIFS($AF$7:$AF$294,$B$7:$B$294,$B200,$A$7:$A$294,"&gt;="&amp;EDATE($A200,-12*'Seasonal Factors'!$E$4),$A$7:$A$294,"&lt;="&amp;EDATE($A200,12*'Seasonal Factors'!$E$4)),"")</f>
        <v>1.13072638159754</v>
      </c>
      <c r="AH200" s="24" t="n">
        <f aca="false">IFERROR(AG200/AVERAGE(AG195:AG206),"")</f>
        <v>1.13794740570828</v>
      </c>
      <c r="AI200" s="23" t="n">
        <f aca="false">IF(ISNUMBER(Tabelle1!M207),(0.5*Tabelle1!M195+SUM(Tabelle1!M196:M206)+0.5*Tabelle1!M207)/12,"")</f>
        <v>171.355849166667</v>
      </c>
      <c r="AJ200" s="24" t="n">
        <f aca="false">IFERROR(Tabelle1!M201/AI200,"")</f>
        <v>1.03560223279802</v>
      </c>
      <c r="AK200" s="24" t="n">
        <f aca="false">IFERROR(AVERAGEIFS($AJ$7:$AJ$294,$B$7:$B$294,$B200,$A$7:$A$294,"&gt;="&amp;EDATE($A200,-12*'Seasonal Factors'!$E$4),$A$7:$A$294,"&lt;="&amp;EDATE($A200,12*'Seasonal Factors'!$E$4)),"")</f>
        <v>0.960079159110395</v>
      </c>
      <c r="AL200" s="24" t="n">
        <f aca="false">IFERROR(AK200/AVERAGE(AK195:AK206),"")</f>
        <v>0.960540582042505</v>
      </c>
      <c r="AM200" s="23" t="n">
        <f aca="false">IF(ISNUMBER(Tabelle1!N207),(0.5*Tabelle1!N195+SUM(Tabelle1!N196:N206)+0.5*Tabelle1!N207)/12,"")</f>
        <v>164.07336</v>
      </c>
      <c r="AN200" s="24" t="n">
        <f aca="false">IFERROR(Tabelle1!N201/AM200,"")</f>
        <v>0.941382257302465</v>
      </c>
      <c r="AO200" s="24" t="n">
        <f aca="false">IFERROR(AVERAGEIFS($AN$7:$AN$294,$B$7:$B$294,$B200,$A$7:$A$294,"&gt;="&amp;EDATE($A200,-12*'Seasonal Factors'!$E$4),$A$7:$A$294,"&lt;="&amp;EDATE($A200,12*'Seasonal Factors'!$E$4)),"")</f>
        <v>0.95409012646042</v>
      </c>
      <c r="AP200" s="24" t="n">
        <f aca="false">IFERROR(AO200/AVERAGE(AO195:AO206),"")</f>
        <v>0.9554912309677</v>
      </c>
      <c r="AQ200" s="23" t="n">
        <f aca="false">IF(ISNUMBER(Tabelle1!O207),(0.5*Tabelle1!O195+SUM(Tabelle1!O196:O206)+0.5*Tabelle1!O207)/12,"")</f>
        <v>133.691559166667</v>
      </c>
      <c r="AR200" s="24" t="n">
        <f aca="false">IFERROR(Tabelle1!O201/AQ200,"")</f>
        <v>1.01940646701636</v>
      </c>
      <c r="AS200" s="24" t="n">
        <f aca="false">IFERROR(AVERAGEIFS($AR$7:$AR$294,$B$7:$B$294,$B200,$A$7:$A$294,"&gt;="&amp;EDATE($A200,-12*'Seasonal Factors'!$E$4),$A$7:$A$294,"&lt;="&amp;EDATE($A200,12*'Seasonal Factors'!$E$4)),"")</f>
        <v>0.973583087307041</v>
      </c>
      <c r="AT200" s="24" t="n">
        <f aca="false">IFERROR(AS200/AVERAGE(AS195:AS206),"")</f>
        <v>0.973974864935142</v>
      </c>
      <c r="AU200" s="23" t="n">
        <f aca="false">IF(ISNUMBER(Tabelle1!P207),(0.5*Tabelle1!P195+SUM(Tabelle1!P196:P206)+0.5*Tabelle1!P207)/12,"")</f>
        <v>149.266492916667</v>
      </c>
      <c r="AV200" s="24" t="n">
        <f aca="false">IFERROR(Tabelle1!P201/AU200,"")</f>
        <v>1.04720106264751</v>
      </c>
      <c r="AW200" s="24" t="n">
        <f aca="false">IFERROR(AVERAGEIFS($AV$7:$AV$294,$B$7:$B$294,$B200,$A$7:$A$294,"&gt;="&amp;EDATE($A200,-12*'Seasonal Factors'!$E$4),$A$7:$A$294,"&lt;="&amp;EDATE($A200,12*'Seasonal Factors'!$E$4)),"")</f>
        <v>1.00816520776003</v>
      </c>
      <c r="AX200" s="24" t="n">
        <f aca="false">IFERROR(AW200/AVERAGE(AW195:AW206),"")</f>
        <v>1.00808043267913</v>
      </c>
      <c r="AY200" s="23" t="n">
        <f aca="false">IF(ISNUMBER(Tabelle1!Q207),(0.5*Tabelle1!Q195+SUM(Tabelle1!Q196:Q206)+0.5*Tabelle1!Q207)/12,"")</f>
        <v>157.206495416667</v>
      </c>
      <c r="AZ200" s="24" t="n">
        <f aca="false">IFERROR(Tabelle1!Q201/AY200,"")</f>
        <v>1.00762420522229</v>
      </c>
      <c r="BA200" s="24" t="n">
        <f aca="false">IFERROR(AVERAGEIFS($AZ$7:$AZ$294,$B$7:$B$294,$B200,$A$7:$A$294,"&gt;="&amp;EDATE($A200,-12*'Seasonal Factors'!$E$4),$A$7:$A$294,"&lt;="&amp;EDATE($A200,12*'Seasonal Factors'!$E$4)),"")</f>
        <v>0.981870124475267</v>
      </c>
      <c r="BB200" s="24" t="n">
        <f aca="false">IFERROR(BA200/AVERAGE(BA195:BA206),"")</f>
        <v>0.981777167982212</v>
      </c>
      <c r="BC200" s="23" t="n">
        <f aca="false">IF(ISNUMBER(Tabelle1!R207),(0.5*Tabelle1!R195+SUM(Tabelle1!R196:R206)+0.5*Tabelle1!R207)/12,"")</f>
        <v>166.050261666667</v>
      </c>
      <c r="BD200" s="24" t="n">
        <f aca="false">IFERROR(Tabelle1!R201/BC200,"")</f>
        <v>1.03946111416847</v>
      </c>
      <c r="BE200" s="24" t="n">
        <f aca="false">IFERROR(AVERAGEIFS($BD$7:$BD$294,$B$7:$B$294,$B200,$A$7:$A$294,"&gt;="&amp;EDATE($A200,-12*'Seasonal Factors'!$E$4),$A$7:$A$294,"&lt;="&amp;EDATE($A200,12*'Seasonal Factors'!$E$4)),"")</f>
        <v>0.960020489757487</v>
      </c>
      <c r="BF200" s="24" t="n">
        <f aca="false">IFERROR(BE200/AVERAGE(BE195:BE206),"")</f>
        <v>0.960028065395048</v>
      </c>
      <c r="BG200" s="23" t="n">
        <f aca="false">IF(ISNUMBER(Tabelle1!S207),(0.5*Tabelle1!S195+SUM(Tabelle1!S196:S206)+0.5*Tabelle1!S207)/12,"")</f>
        <v>105.823694166667</v>
      </c>
      <c r="BH200" s="24" t="n">
        <f aca="false">IFERROR(Tabelle1!S201/BG200,"")</f>
        <v>1.36771505795335</v>
      </c>
      <c r="BI200" s="24" t="n">
        <f aca="false">IFERROR(AVERAGEIFS($BH$7:$BH$294,$B$7:$B$294,$B200,$A$7:$A$294,"&gt;="&amp;EDATE($A200,-12*'Seasonal Factors'!$E$4),$A$7:$A$294,"&lt;="&amp;EDATE($A200,12*'Seasonal Factors'!$E$4)),"")</f>
        <v>1.08161954415351</v>
      </c>
      <c r="BJ200" s="24" t="n">
        <f aca="false">IFERROR(BI200/AVERAGE(BI195:BI206),"")</f>
        <v>1.08600692631161</v>
      </c>
    </row>
    <row r="201" customFormat="false" ht="15" hidden="false" customHeight="false" outlineLevel="0" collapsed="false">
      <c r="A201" s="20" t="n">
        <v>43921</v>
      </c>
      <c r="B201" s="22" t="n">
        <f aca="false">MONTH(A201)</f>
        <v>3</v>
      </c>
      <c r="C201" s="23" t="n">
        <f aca="false">IF(ISNUMBER(Tabelle1!E208),(0.5*Tabelle1!E196+SUM(Tabelle1!E197:E207)+0.5*Tabelle1!E208)/12,"")</f>
        <v>127.957350416667</v>
      </c>
      <c r="D201" s="24" t="n">
        <f aca="false">IFERROR(Tabelle1!E202/C201,"")</f>
        <v>1.08472807187731</v>
      </c>
      <c r="E201" s="24" t="n">
        <f aca="false">IFERROR(AVERAGEIFS($D$7:$D$294,$B$7:$B$294,$B201,$A$7:$A$294,"&gt;="&amp;EDATE($A201,-12*'Seasonal Factors'!$E$4),$A$7:$A$294,"&lt;="&amp;EDATE($A201,12*'Seasonal Factors'!$E$4)),"")</f>
        <v>1.164150990715</v>
      </c>
      <c r="F201" s="24" t="n">
        <f aca="false">IFERROR(E201/AVERAGE(E196:E207),"")</f>
        <v>1.16675243105113</v>
      </c>
      <c r="G201" s="23" t="n">
        <f aca="false">IF(ISNUMBER(Tabelle1!F208),(0.5*Tabelle1!F196+SUM(Tabelle1!F197:F207)+0.5*Tabelle1!F208)/12,"")</f>
        <v>141.664691666667</v>
      </c>
      <c r="H201" s="24" t="n">
        <f aca="false">IFERROR(Tabelle1!F202/G201,"")</f>
        <v>0.571202598530344</v>
      </c>
      <c r="I201" s="24" t="n">
        <f aca="false">IFERROR(AVERAGEIFS($H$7:$H$294,$B$7:$B$294,$B201,$A$7:$A$294,"&gt;="&amp;EDATE($A201,-12*'Seasonal Factors'!$E$4),$A$7:$A$294,"&lt;="&amp;EDATE($A201,12*'Seasonal Factors'!$E$4)),"")</f>
        <v>0.76709306327807</v>
      </c>
      <c r="J201" s="24" t="n">
        <f aca="false">IFERROR(I201/AVERAGE(I196:I207),"")</f>
        <v>0.763649190566978</v>
      </c>
      <c r="K201" s="23" t="n">
        <f aca="false">IF(ISNUMBER(Tabelle1!G208),(0.5*Tabelle1!G196+SUM(Tabelle1!G197:G207)+0.5*Tabelle1!G208)/12,"")</f>
        <v>82.38381125</v>
      </c>
      <c r="L201" s="24" t="n">
        <f aca="false">IFERROR(Tabelle1!G202/K201,"")</f>
        <v>1.0416139857817</v>
      </c>
      <c r="M201" s="24" t="n">
        <f aca="false">IFERROR(AVERAGEIFS($L$7:$L$294,$B$7:$B$294,$B201,$A$7:$A$294,"&gt;="&amp;EDATE($A201,-12*'Seasonal Factors'!$E$4),$A$7:$A$294,"&lt;="&amp;EDATE($A201,12*'Seasonal Factors'!$E$4)),"")</f>
        <v>1.01295881937989</v>
      </c>
      <c r="N201" s="24" t="n">
        <f aca="false">IFERROR(M201/AVERAGE(M196:M207),"")</f>
        <v>1.01405774938853</v>
      </c>
      <c r="O201" s="23" t="n">
        <f aca="false">IF(ISNUMBER(Tabelle1!H208),(0.5*Tabelle1!H196+SUM(Tabelle1!H197:H207)+0.5*Tabelle1!H208)/12,"")</f>
        <v>108.13912375</v>
      </c>
      <c r="P201" s="24" t="n">
        <f aca="false">IFERROR(Tabelle1!H202/O201,"")</f>
        <v>0.915159533091741</v>
      </c>
      <c r="Q201" s="24" t="n">
        <f aca="false">IFERROR(AVERAGEIFS($P$7:$P$294,$B$7:$B$294,$B201,$A$7:$A$294,"&gt;="&amp;EDATE($A201,-12*'Seasonal Factors'!$E$4),$A$7:$A$294,"&lt;="&amp;EDATE($A201,12*'Seasonal Factors'!$E$4)),"")</f>
        <v>0.998505810866394</v>
      </c>
      <c r="R201" s="24" t="n">
        <f aca="false">IFERROR(Q201/AVERAGE(Q196:Q207),"")</f>
        <v>0.999966896926095</v>
      </c>
      <c r="S201" s="23" t="n">
        <f aca="false">IF(ISNUMBER(Tabelle1!I208),(0.5*Tabelle1!I196+SUM(Tabelle1!I197:I207)+0.5*Tabelle1!I208)/12,"")</f>
        <v>140.8092975</v>
      </c>
      <c r="T201" s="24" t="n">
        <f aca="false">IFERROR(Tabelle1!I202/S201,"")</f>
        <v>1.03897578212121</v>
      </c>
      <c r="U201" s="24" t="n">
        <f aca="false">IFERROR(AVERAGEIFS($T$7:$T$294,$B$7:$B$294,$B201,$A$7:$A$294,"&gt;="&amp;EDATE($A201,-12*'Seasonal Factors'!$E$4),$A$7:$A$294,"&lt;="&amp;EDATE($A201,12*'Seasonal Factors'!$E$4)),"")</f>
        <v>1.01112205926055</v>
      </c>
      <c r="V201" s="24" t="n">
        <f aca="false">IFERROR(U201/AVERAGE(U196:U207),"")</f>
        <v>1.01064745004822</v>
      </c>
      <c r="W201" s="23" t="n">
        <f aca="false">IF(ISNUMBER(Tabelle1!J208),(0.5*Tabelle1!J196+SUM(Tabelle1!J197:J207)+0.5*Tabelle1!J208)/12,"")</f>
        <v>110.07823125</v>
      </c>
      <c r="X201" s="24" t="n">
        <f aca="false">IFERROR(Tabelle1!J202/W201,"")</f>
        <v>0.887521437168804</v>
      </c>
      <c r="Y201" s="24" t="n">
        <f aca="false">IFERROR(AVERAGEIFS($X$7:$X$294,$B$7:$B$294,$B201,$A$7:$A$294,"&gt;="&amp;EDATE($A201,-12*'Seasonal Factors'!$E$4),$A$7:$A$294,"&lt;="&amp;EDATE($A201,12*'Seasonal Factors'!$E$4)),"")</f>
        <v>1.01816069538101</v>
      </c>
      <c r="Z201" s="24" t="n">
        <f aca="false">IFERROR(Y201/AVERAGE(Y196:Y207),"")</f>
        <v>1.02087351900349</v>
      </c>
      <c r="AA201" s="23" t="n">
        <f aca="false">IF(ISNUMBER(Tabelle1!K208),(0.5*Tabelle1!K196+SUM(Tabelle1!K197:K207)+0.5*Tabelle1!K208)/12,"")</f>
        <v>131.080272083333</v>
      </c>
      <c r="AB201" s="24" t="n">
        <f aca="false">IFERROR(Tabelle1!K202/AA201,"")</f>
        <v>0.96873440970028</v>
      </c>
      <c r="AC201" s="24" t="n">
        <f aca="false">IFERROR(AVERAGEIFS($AB$7:$AB$294,$B$7:$B$294,$B201,$A$7:$A$294,"&gt;="&amp;EDATE($A201,-12*'Seasonal Factors'!$E$4),$A$7:$A$294,"&lt;="&amp;EDATE($A201,12*'Seasonal Factors'!$E$4)),"")</f>
        <v>1.05045878165878</v>
      </c>
      <c r="AD201" s="24" t="n">
        <f aca="false">IFERROR(AC201/AVERAGE(AC196:AC207),"")</f>
        <v>1.05200290821047</v>
      </c>
      <c r="AE201" s="23" t="n">
        <f aca="false">IF(ISNUMBER(Tabelle1!L208),(0.5*Tabelle1!L196+SUM(Tabelle1!L197:L207)+0.5*Tabelle1!L208)/12,"")</f>
        <v>111.59356</v>
      </c>
      <c r="AF201" s="24" t="n">
        <f aca="false">IFERROR(Tabelle1!L202/AE201,"")</f>
        <v>0.917888541238401</v>
      </c>
      <c r="AG201" s="24" t="n">
        <f aca="false">IFERROR(AVERAGEIFS($AF$7:$AF$294,$B$7:$B$294,$B201,$A$7:$A$294,"&gt;="&amp;EDATE($A201,-12*'Seasonal Factors'!$E$4),$A$7:$A$294,"&lt;="&amp;EDATE($A201,12*'Seasonal Factors'!$E$4)),"")</f>
        <v>0.950153402422821</v>
      </c>
      <c r="AH201" s="24" t="n">
        <f aca="false">IFERROR(AG201/AVERAGE(AG196:AG207),"")</f>
        <v>0.956781304210573</v>
      </c>
      <c r="AI201" s="23" t="n">
        <f aca="false">IF(ISNUMBER(Tabelle1!M208),(0.5*Tabelle1!M196+SUM(Tabelle1!M197:M207)+0.5*Tabelle1!M208)/12,"")</f>
        <v>168.226204166667</v>
      </c>
      <c r="AJ201" s="24" t="n">
        <f aca="false">IFERROR(Tabelle1!M202/AI201,"")</f>
        <v>0.974610886646202</v>
      </c>
      <c r="AK201" s="24" t="n">
        <f aca="false">IFERROR(AVERAGEIFS($AJ$7:$AJ$294,$B$7:$B$294,$B201,$A$7:$A$294,"&gt;="&amp;EDATE($A201,-12*'Seasonal Factors'!$E$4),$A$7:$A$294,"&lt;="&amp;EDATE($A201,12*'Seasonal Factors'!$E$4)),"")</f>
        <v>1.00962298754756</v>
      </c>
      <c r="AL201" s="24" t="n">
        <f aca="false">IFERROR(AK201/AVERAGE(AK196:AK207),"")</f>
        <v>1.01021643411277</v>
      </c>
      <c r="AM201" s="23" t="n">
        <f aca="false">IF(ISNUMBER(Tabelle1!N208),(0.5*Tabelle1!N196+SUM(Tabelle1!N197:N207)+0.5*Tabelle1!N208)/12,"")</f>
        <v>164.469526666667</v>
      </c>
      <c r="AN201" s="24" t="n">
        <f aca="false">IFERROR(Tabelle1!N202/AM201,"")</f>
        <v>1.04084667518348</v>
      </c>
      <c r="AO201" s="24" t="n">
        <f aca="false">IFERROR(AVERAGEIFS($AN$7:$AN$294,$B$7:$B$294,$B201,$A$7:$A$294,"&gt;="&amp;EDATE($A201,-12*'Seasonal Factors'!$E$4),$A$7:$A$294,"&lt;="&amp;EDATE($A201,12*'Seasonal Factors'!$E$4)),"")</f>
        <v>1.0280464160021</v>
      </c>
      <c r="AP201" s="24" t="n">
        <f aca="false">IFERROR(AO201/AVERAGE(AO196:AO207),"")</f>
        <v>1.02981085926744</v>
      </c>
      <c r="AQ201" s="23" t="n">
        <f aca="false">IF(ISNUMBER(Tabelle1!O208),(0.5*Tabelle1!O196+SUM(Tabelle1!O197:O207)+0.5*Tabelle1!O208)/12,"")</f>
        <v>133.2309975</v>
      </c>
      <c r="AR201" s="24" t="n">
        <f aca="false">IFERROR(Tabelle1!O202/AQ201,"")</f>
        <v>0.972566838284011</v>
      </c>
      <c r="AS201" s="24" t="n">
        <f aca="false">IFERROR(AVERAGEIFS($AR$7:$AR$294,$B$7:$B$294,$B201,$A$7:$A$294,"&gt;="&amp;EDATE($A201,-12*'Seasonal Factors'!$E$4),$A$7:$A$294,"&lt;="&amp;EDATE($A201,12*'Seasonal Factors'!$E$4)),"")</f>
        <v>0.989487352773871</v>
      </c>
      <c r="AT201" s="24" t="n">
        <f aca="false">IFERROR(AS201/AVERAGE(AS196:AS207),"")</f>
        <v>0.990039083492623</v>
      </c>
      <c r="AU201" s="23" t="n">
        <f aca="false">IF(ISNUMBER(Tabelle1!P208),(0.5*Tabelle1!P196+SUM(Tabelle1!P197:P207)+0.5*Tabelle1!P208)/12,"")</f>
        <v>147.99495</v>
      </c>
      <c r="AV201" s="24" t="n">
        <f aca="false">IFERROR(Tabelle1!P202/AU201,"")</f>
        <v>1.043007751278</v>
      </c>
      <c r="AW201" s="24" t="n">
        <f aca="false">IFERROR(AVERAGEIFS($AV$7:$AV$294,$B$7:$B$294,$B201,$A$7:$A$294,"&gt;="&amp;EDATE($A201,-12*'Seasonal Factors'!$E$4),$A$7:$A$294,"&lt;="&amp;EDATE($A201,12*'Seasonal Factors'!$E$4)),"")</f>
        <v>1.0052924761916</v>
      </c>
      <c r="AX201" s="24" t="n">
        <f aca="false">IFERROR(AW201/AVERAGE(AW196:AW207),"")</f>
        <v>1.00519569586497</v>
      </c>
      <c r="AY201" s="23" t="n">
        <f aca="false">IF(ISNUMBER(Tabelle1!Q208),(0.5*Tabelle1!Q196+SUM(Tabelle1!Q197:Q207)+0.5*Tabelle1!Q208)/12,"")</f>
        <v>156.385535</v>
      </c>
      <c r="AZ201" s="24" t="n">
        <f aca="false">IFERROR(Tabelle1!Q202/AY201,"")</f>
        <v>1.0121278160413</v>
      </c>
      <c r="BA201" s="24" t="n">
        <f aca="false">IFERROR(AVERAGEIFS($AZ$7:$AZ$294,$B$7:$B$294,$B201,$A$7:$A$294,"&gt;="&amp;EDATE($A201,-12*'Seasonal Factors'!$E$4),$A$7:$A$294,"&lt;="&amp;EDATE($A201,12*'Seasonal Factors'!$E$4)),"")</f>
        <v>0.997520442654692</v>
      </c>
      <c r="BB201" s="24" t="n">
        <f aca="false">IFERROR(BA201/AVERAGE(BA196:BA207),"")</f>
        <v>0.997475844254241</v>
      </c>
      <c r="BC201" s="23" t="n">
        <f aca="false">IF(ISNUMBER(Tabelle1!R208),(0.5*Tabelle1!R196+SUM(Tabelle1!R197:R207)+0.5*Tabelle1!R208)/12,"")</f>
        <v>164.77365625</v>
      </c>
      <c r="BD201" s="24" t="n">
        <f aca="false">IFERROR(Tabelle1!R202/BC201,"")</f>
        <v>1.02574230521149</v>
      </c>
      <c r="BE201" s="24" t="n">
        <f aca="false">IFERROR(AVERAGEIFS($BD$7:$BD$294,$B$7:$B$294,$B201,$A$7:$A$294,"&gt;="&amp;EDATE($A201,-12*'Seasonal Factors'!$E$4),$A$7:$A$294,"&lt;="&amp;EDATE($A201,12*'Seasonal Factors'!$E$4)),"")</f>
        <v>1.02772108563977</v>
      </c>
      <c r="BF201" s="24" t="n">
        <f aca="false">IFERROR(BE201/AVERAGE(BE196:BE207),"")</f>
        <v>1.02780244296811</v>
      </c>
      <c r="BG201" s="23" t="n">
        <f aca="false">IF(ISNUMBER(Tabelle1!S208),(0.5*Tabelle1!S196+SUM(Tabelle1!S197:S207)+0.5*Tabelle1!S208)/12,"")</f>
        <v>99.4857891666667</v>
      </c>
      <c r="BH201" s="24" t="n">
        <f aca="false">IFERROR(Tabelle1!S202/BG201,"")</f>
        <v>1.16950693133752</v>
      </c>
      <c r="BI201" s="24" t="n">
        <f aca="false">IFERROR(AVERAGEIFS($BH$7:$BH$294,$B$7:$B$294,$B201,$A$7:$A$294,"&gt;="&amp;EDATE($A201,-12*'Seasonal Factors'!$E$4),$A$7:$A$294,"&lt;="&amp;EDATE($A201,12*'Seasonal Factors'!$E$4)),"")</f>
        <v>1.05264530665651</v>
      </c>
      <c r="BJ201" s="24" t="n">
        <f aca="false">IFERROR(BI201/AVERAGE(BI196:BI207),"")</f>
        <v>1.05711895068199</v>
      </c>
    </row>
    <row r="202" customFormat="false" ht="15" hidden="false" customHeight="false" outlineLevel="0" collapsed="false">
      <c r="A202" s="20" t="n">
        <v>43951</v>
      </c>
      <c r="B202" s="22" t="n">
        <f aca="false">MONTH(A202)</f>
        <v>4</v>
      </c>
      <c r="C202" s="23" t="n">
        <f aca="false">IF(ISNUMBER(Tabelle1!E209),(0.5*Tabelle1!E197+SUM(Tabelle1!E198:E208)+0.5*Tabelle1!E209)/12,"")</f>
        <v>127.7772025</v>
      </c>
      <c r="D202" s="24" t="n">
        <f aca="false">IFERROR(Tabelle1!E203/C202,"")</f>
        <v>1.64726231191358</v>
      </c>
      <c r="E202" s="24" t="n">
        <f aca="false">IFERROR(AVERAGEIFS($D$7:$D$294,$B$7:$B$294,$B202,$A$7:$A$294,"&gt;="&amp;EDATE($A202,-12*'Seasonal Factors'!$E$4),$A$7:$A$294,"&lt;="&amp;EDATE($A202,12*'Seasonal Factors'!$E$4)),"")</f>
        <v>1.60355391527402</v>
      </c>
      <c r="F202" s="24" t="n">
        <f aca="false">IFERROR(E202/AVERAGE(E197:E208),"")</f>
        <v>1.60688513695686</v>
      </c>
      <c r="G202" s="23" t="n">
        <f aca="false">IF(ISNUMBER(Tabelle1!F209),(0.5*Tabelle1!F197+SUM(Tabelle1!F198:F208)+0.5*Tabelle1!F209)/12,"")</f>
        <v>142.327489166667</v>
      </c>
      <c r="H202" s="24" t="n">
        <f aca="false">IFERROR(Tabelle1!F203/G202,"")</f>
        <v>0.905207916997201</v>
      </c>
      <c r="I202" s="24" t="n">
        <f aca="false">IFERROR(AVERAGEIFS($H$7:$H$294,$B$7:$B$294,$B202,$A$7:$A$294,"&gt;="&amp;EDATE($A202,-12*'Seasonal Factors'!$E$4),$A$7:$A$294,"&lt;="&amp;EDATE($A202,12*'Seasonal Factors'!$E$4)),"")</f>
        <v>0.782536587163795</v>
      </c>
      <c r="J202" s="24" t="n">
        <f aca="false">IFERROR(I202/AVERAGE(I197:I208),"")</f>
        <v>0.786145933733942</v>
      </c>
      <c r="K202" s="23" t="n">
        <f aca="false">IF(ISNUMBER(Tabelle1!G209),(0.5*Tabelle1!G197+SUM(Tabelle1!G198:G208)+0.5*Tabelle1!G209)/12,"")</f>
        <v>81.4486970833333</v>
      </c>
      <c r="L202" s="24" t="n">
        <f aca="false">IFERROR(Tabelle1!G203/K202,"")</f>
        <v>0.856564101063761</v>
      </c>
      <c r="M202" s="24" t="n">
        <f aca="false">IFERROR(AVERAGEIFS($L$7:$L$294,$B$7:$B$294,$B202,$A$7:$A$294,"&gt;="&amp;EDATE($A202,-12*'Seasonal Factors'!$E$4),$A$7:$A$294,"&lt;="&amp;EDATE($A202,12*'Seasonal Factors'!$E$4)),"")</f>
        <v>0.967900951801664</v>
      </c>
      <c r="N202" s="24" t="n">
        <f aca="false">IFERROR(M202/AVERAGE(M197:M208),"")</f>
        <v>0.968931431478314</v>
      </c>
      <c r="O202" s="23" t="n">
        <f aca="false">IF(ISNUMBER(Tabelle1!H209),(0.5*Tabelle1!H197+SUM(Tabelle1!H198:H208)+0.5*Tabelle1!H209)/12,"")</f>
        <v>108.181795416667</v>
      </c>
      <c r="P202" s="24" t="n">
        <f aca="false">IFERROR(Tabelle1!H203/O202,"")</f>
        <v>0.721152849234195</v>
      </c>
      <c r="Q202" s="24" t="n">
        <f aca="false">IFERROR(AVERAGEIFS($P$7:$P$294,$B$7:$B$294,$B202,$A$7:$A$294,"&gt;="&amp;EDATE($A202,-12*'Seasonal Factors'!$E$4),$A$7:$A$294,"&lt;="&amp;EDATE($A202,12*'Seasonal Factors'!$E$4)),"")</f>
        <v>0.947490504576066</v>
      </c>
      <c r="R202" s="24" t="n">
        <f aca="false">IFERROR(Q202/AVERAGE(Q197:Q208),"")</f>
        <v>0.948475990713063</v>
      </c>
      <c r="S202" s="23" t="n">
        <f aca="false">IF(ISNUMBER(Tabelle1!I209),(0.5*Tabelle1!I197+SUM(Tabelle1!I198:I208)+0.5*Tabelle1!I209)/12,"")</f>
        <v>140.69160625</v>
      </c>
      <c r="T202" s="24" t="n">
        <f aca="false">IFERROR(Tabelle1!I203/S202,"")</f>
        <v>0.852838297878201</v>
      </c>
      <c r="U202" s="24" t="n">
        <f aca="false">IFERROR(AVERAGEIFS($T$7:$T$294,$B$7:$B$294,$B202,$A$7:$A$294,"&gt;="&amp;EDATE($A202,-12*'Seasonal Factors'!$E$4),$A$7:$A$294,"&lt;="&amp;EDATE($A202,12*'Seasonal Factors'!$E$4)),"")</f>
        <v>0.920834777596524</v>
      </c>
      <c r="V202" s="24" t="n">
        <f aca="false">IFERROR(U202/AVERAGE(U197:U208),"")</f>
        <v>0.92099220698109</v>
      </c>
      <c r="W202" s="23" t="n">
        <f aca="false">IF(ISNUMBER(Tabelle1!J209),(0.5*Tabelle1!J197+SUM(Tabelle1!J198:J208)+0.5*Tabelle1!J209)/12,"")</f>
        <v>108.872596666667</v>
      </c>
      <c r="X202" s="24" t="n">
        <f aca="false">IFERROR(Tabelle1!J203/W202,"")</f>
        <v>0.403095557042377</v>
      </c>
      <c r="Y202" s="24" t="n">
        <f aca="false">IFERROR(AVERAGEIFS($X$7:$X$294,$B$7:$B$294,$B202,$A$7:$A$294,"&gt;="&amp;EDATE($A202,-12*'Seasonal Factors'!$E$4),$A$7:$A$294,"&lt;="&amp;EDATE($A202,12*'Seasonal Factors'!$E$4)),"")</f>
        <v>0.899865736934672</v>
      </c>
      <c r="Z202" s="24" t="n">
        <f aca="false">IFERROR(Y202/AVERAGE(Y197:Y208),"")</f>
        <v>0.902356425236506</v>
      </c>
      <c r="AA202" s="23" t="n">
        <f aca="false">IF(ISNUMBER(Tabelle1!K209),(0.5*Tabelle1!K197+SUM(Tabelle1!K198:K208)+0.5*Tabelle1!K209)/12,"")</f>
        <v>131.389435833333</v>
      </c>
      <c r="AB202" s="24" t="n">
        <f aca="false">IFERROR(Tabelle1!K203/AA202,"")</f>
        <v>0.81051965346047</v>
      </c>
      <c r="AC202" s="24" t="n">
        <f aca="false">IFERROR(AVERAGEIFS($AB$7:$AB$294,$B$7:$B$294,$B202,$A$7:$A$294,"&gt;="&amp;EDATE($A202,-12*'Seasonal Factors'!$E$4),$A$7:$A$294,"&lt;="&amp;EDATE($A202,12*'Seasonal Factors'!$E$4)),"")</f>
        <v>0.968149577573675</v>
      </c>
      <c r="AD202" s="24" t="n">
        <f aca="false">IFERROR(AC202/AVERAGE(AC197:AC208),"")</f>
        <v>0.969563620756982</v>
      </c>
      <c r="AE202" s="23" t="n">
        <f aca="false">IF(ISNUMBER(Tabelle1!L209),(0.5*Tabelle1!L197+SUM(Tabelle1!L198:L208)+0.5*Tabelle1!L209)/12,"")</f>
        <v>103.420512083333</v>
      </c>
      <c r="AF202" s="24" t="n">
        <f aca="false">IFERROR(Tabelle1!L203/AE202,"")</f>
        <v>0.232839110104161</v>
      </c>
      <c r="AG202" s="24" t="n">
        <f aca="false">IFERROR(AVERAGEIFS($AF$7:$AF$294,$B$7:$B$294,$B202,$A$7:$A$294,"&gt;="&amp;EDATE($A202,-12*'Seasonal Factors'!$E$4),$A$7:$A$294,"&lt;="&amp;EDATE($A202,12*'Seasonal Factors'!$E$4)),"")</f>
        <v>0.805200628681348</v>
      </c>
      <c r="AH202" s="24" t="n">
        <f aca="false">IFERROR(AG202/AVERAGE(AG197:AG208),"")</f>
        <v>0.810317103893981</v>
      </c>
      <c r="AI202" s="23" t="n">
        <f aca="false">IF(ISNUMBER(Tabelle1!M209),(0.5*Tabelle1!M197+SUM(Tabelle1!M198:M208)+0.5*Tabelle1!M209)/12,"")</f>
        <v>165.227830833333</v>
      </c>
      <c r="AJ202" s="24" t="n">
        <f aca="false">IFERROR(Tabelle1!M203/AI202,"")</f>
        <v>0.870768860635398</v>
      </c>
      <c r="AK202" s="24" t="n">
        <f aca="false">IFERROR(AVERAGEIFS($AJ$7:$AJ$294,$B$7:$B$294,$B202,$A$7:$A$294,"&gt;="&amp;EDATE($A202,-12*'Seasonal Factors'!$E$4),$A$7:$A$294,"&lt;="&amp;EDATE($A202,12*'Seasonal Factors'!$E$4)),"")</f>
        <v>1.00126003281219</v>
      </c>
      <c r="AL202" s="24" t="n">
        <f aca="false">IFERROR(AK202/AVERAGE(AK197:AK208),"")</f>
        <v>1.00182114333143</v>
      </c>
      <c r="AM202" s="23" t="n">
        <f aca="false">IF(ISNUMBER(Tabelle1!N209),(0.5*Tabelle1!N197+SUM(Tabelle1!N198:N208)+0.5*Tabelle1!N209)/12,"")</f>
        <v>164.996010833333</v>
      </c>
      <c r="AN202" s="24" t="n">
        <f aca="false">IFERROR(Tabelle1!N203/AM202,"")</f>
        <v>1.00286339751052</v>
      </c>
      <c r="AO202" s="24" t="n">
        <f aca="false">IFERROR(AVERAGEIFS($AN$7:$AN$294,$B$7:$B$294,$B202,$A$7:$A$294,"&gt;="&amp;EDATE($A202,-12*'Seasonal Factors'!$E$4),$A$7:$A$294,"&lt;="&amp;EDATE($A202,12*'Seasonal Factors'!$E$4)),"")</f>
        <v>1.00350023148019</v>
      </c>
      <c r="AP202" s="24" t="n">
        <f aca="false">IFERROR(AO202/AVERAGE(AO197:AO208),"")</f>
        <v>1.00531835699221</v>
      </c>
      <c r="AQ202" s="23" t="n">
        <f aca="false">IF(ISNUMBER(Tabelle1!O209),(0.5*Tabelle1!O197+SUM(Tabelle1!O198:O208)+0.5*Tabelle1!O209)/12,"")</f>
        <v>132.890451666667</v>
      </c>
      <c r="AR202" s="24" t="n">
        <f aca="false">IFERROR(Tabelle1!O203/AQ202,"")</f>
        <v>0.873734708128202</v>
      </c>
      <c r="AS202" s="24" t="n">
        <f aca="false">IFERROR(AVERAGEIFS($AR$7:$AR$294,$B$7:$B$294,$B202,$A$7:$A$294,"&gt;="&amp;EDATE($A202,-12*'Seasonal Factors'!$E$4),$A$7:$A$294,"&lt;="&amp;EDATE($A202,12*'Seasonal Factors'!$E$4)),"")</f>
        <v>0.985501653255852</v>
      </c>
      <c r="AT202" s="24" t="n">
        <f aca="false">IFERROR(AS202/AVERAGE(AS197:AS208),"")</f>
        <v>0.986040126638568</v>
      </c>
      <c r="AU202" s="23" t="n">
        <f aca="false">IF(ISNUMBER(Tabelle1!P209),(0.5*Tabelle1!P197+SUM(Tabelle1!P198:P208)+0.5*Tabelle1!P209)/12,"")</f>
        <v>146.788238333333</v>
      </c>
      <c r="AV202" s="24" t="n">
        <f aca="false">IFERROR(Tabelle1!P203/AU202,"")</f>
        <v>0.920158668934226</v>
      </c>
      <c r="AW202" s="24" t="n">
        <f aca="false">IFERROR(AVERAGEIFS($AV$7:$AV$294,$B$7:$B$294,$B202,$A$7:$A$294,"&gt;="&amp;EDATE($A202,-12*'Seasonal Factors'!$E$4),$A$7:$A$294,"&lt;="&amp;EDATE($A202,12*'Seasonal Factors'!$E$4)),"")</f>
        <v>0.986307260721389</v>
      </c>
      <c r="AX202" s="24" t="n">
        <f aca="false">IFERROR(AW202/AVERAGE(AW197:AW208),"")</f>
        <v>0.986240969669456</v>
      </c>
      <c r="AY202" s="23" t="n">
        <f aca="false">IF(ISNUMBER(Tabelle1!Q209),(0.5*Tabelle1!Q197+SUM(Tabelle1!Q198:Q208)+0.5*Tabelle1!Q209)/12,"")</f>
        <v>155.693942083333</v>
      </c>
      <c r="AZ202" s="24" t="n">
        <f aca="false">IFERROR(Tabelle1!Q203/AY202,"")</f>
        <v>0.931394812537946</v>
      </c>
      <c r="BA202" s="24" t="n">
        <f aca="false">IFERROR(AVERAGEIFS($AZ$7:$AZ$294,$B$7:$B$294,$B202,$A$7:$A$294,"&gt;="&amp;EDATE($A202,-12*'Seasonal Factors'!$E$4),$A$7:$A$294,"&lt;="&amp;EDATE($A202,12*'Seasonal Factors'!$E$4)),"")</f>
        <v>0.98503300934228</v>
      </c>
      <c r="BB202" s="24" t="n">
        <f aca="false">IFERROR(BA202/AVERAGE(BA197:BA208),"")</f>
        <v>0.985024933546801</v>
      </c>
      <c r="BC202" s="23" t="n">
        <f aca="false">IF(ISNUMBER(Tabelle1!R209),(0.5*Tabelle1!R197+SUM(Tabelle1!R198:R208)+0.5*Tabelle1!R209)/12,"")</f>
        <v>164.136193333333</v>
      </c>
      <c r="BD202" s="24" t="n">
        <f aca="false">IFERROR(Tabelle1!R203/BC202,"")</f>
        <v>0.762201483166683</v>
      </c>
      <c r="BE202" s="24" t="n">
        <f aca="false">IFERROR(AVERAGEIFS($BD$7:$BD$294,$B$7:$B$294,$B202,$A$7:$A$294,"&gt;="&amp;EDATE($A202,-12*'Seasonal Factors'!$E$4),$A$7:$A$294,"&lt;="&amp;EDATE($A202,12*'Seasonal Factors'!$E$4)),"")</f>
        <v>1.01385611496726</v>
      </c>
      <c r="BF202" s="24" t="n">
        <f aca="false">IFERROR(BE202/AVERAGE(BE197:BE208),"")</f>
        <v>1.01396632129315</v>
      </c>
      <c r="BG202" s="23" t="n">
        <f aca="false">IF(ISNUMBER(Tabelle1!S209),(0.5*Tabelle1!S197+SUM(Tabelle1!S198:S208)+0.5*Tabelle1!S209)/12,"")</f>
        <v>95.0827958333334</v>
      </c>
      <c r="BH202" s="24" t="n">
        <f aca="false">IFERROR(Tabelle1!S203/BG202,"")</f>
        <v>0.402832180777884</v>
      </c>
      <c r="BI202" s="24" t="n">
        <f aca="false">IFERROR(AVERAGEIFS($BH$7:$BH$294,$B$7:$B$294,$B202,$A$7:$A$294,"&gt;="&amp;EDATE($A202,-12*'Seasonal Factors'!$E$4),$A$7:$A$294,"&lt;="&amp;EDATE($A202,12*'Seasonal Factors'!$E$4)),"")</f>
        <v>0.89558854045895</v>
      </c>
      <c r="BJ202" s="24" t="n">
        <f aca="false">IFERROR(BI202/AVERAGE(BI197:BI208),"")</f>
        <v>0.899327481063352</v>
      </c>
    </row>
    <row r="203" customFormat="false" ht="15" hidden="false" customHeight="false" outlineLevel="0" collapsed="false">
      <c r="A203" s="20" t="n">
        <v>43982</v>
      </c>
      <c r="B203" s="22" t="n">
        <f aca="false">MONTH(A203)</f>
        <v>5</v>
      </c>
      <c r="C203" s="23" t="n">
        <f aca="false">IF(ISNUMBER(Tabelle1!E210),(0.5*Tabelle1!E198+SUM(Tabelle1!E199:E209)+0.5*Tabelle1!E210)/12,"")</f>
        <v>127.30459375</v>
      </c>
      <c r="D203" s="24" t="n">
        <f aca="false">IFERROR(Tabelle1!E204/C203,"")</f>
        <v>2.3132670340107</v>
      </c>
      <c r="E203" s="24" t="n">
        <f aca="false">IFERROR(AVERAGEIFS($D$7:$D$294,$B$7:$B$294,$B203,$A$7:$A$294,"&gt;="&amp;EDATE($A203,-12*'Seasonal Factors'!$E$4),$A$7:$A$294,"&lt;="&amp;EDATE($A203,12*'Seasonal Factors'!$E$4)),"")</f>
        <v>2.21184677409894</v>
      </c>
      <c r="F203" s="24" t="n">
        <f aca="false">IFERROR(E203/AVERAGE(E198:E209),"")</f>
        <v>2.21683582785637</v>
      </c>
      <c r="G203" s="23" t="n">
        <f aca="false">IF(ISNUMBER(Tabelle1!F210),(0.5*Tabelle1!F198+SUM(Tabelle1!F199:F209)+0.5*Tabelle1!F210)/12,"")</f>
        <v>139.567986666667</v>
      </c>
      <c r="H203" s="24" t="n">
        <f aca="false">IFERROR(Tabelle1!F204/G203,"")</f>
        <v>1.09871363528542</v>
      </c>
      <c r="I203" s="24" t="n">
        <f aca="false">IFERROR(AVERAGEIFS($H$7:$H$294,$B$7:$B$294,$B203,$A$7:$A$294,"&gt;="&amp;EDATE($A203,-12*'Seasonal Factors'!$E$4),$A$7:$A$294,"&lt;="&amp;EDATE($A203,12*'Seasonal Factors'!$E$4)),"")</f>
        <v>0.844175613088105</v>
      </c>
      <c r="J203" s="24" t="n">
        <f aca="false">IFERROR(I203/AVERAGE(I198:I209),"")</f>
        <v>0.850756143536197</v>
      </c>
      <c r="K203" s="23" t="n">
        <f aca="false">IF(ISNUMBER(Tabelle1!G210),(0.5*Tabelle1!G198+SUM(Tabelle1!G199:G209)+0.5*Tabelle1!G210)/12,"")</f>
        <v>80.5605391666667</v>
      </c>
      <c r="L203" s="24" t="n">
        <f aca="false">IFERROR(Tabelle1!G204/K203,"")</f>
        <v>0.929870638589218</v>
      </c>
      <c r="M203" s="24" t="n">
        <f aca="false">IFERROR(AVERAGEIFS($L$7:$L$294,$B$7:$B$294,$B203,$A$7:$A$294,"&gt;="&amp;EDATE($A203,-12*'Seasonal Factors'!$E$4),$A$7:$A$294,"&lt;="&amp;EDATE($A203,12*'Seasonal Factors'!$E$4)),"")</f>
        <v>1.03660296271808</v>
      </c>
      <c r="N203" s="24" t="n">
        <f aca="false">IFERROR(M203/AVERAGE(M198:M209),"")</f>
        <v>1.03779226040437</v>
      </c>
      <c r="O203" s="23" t="n">
        <f aca="false">IF(ISNUMBER(Tabelle1!H210),(0.5*Tabelle1!H198+SUM(Tabelle1!H199:H209)+0.5*Tabelle1!H210)/12,"")</f>
        <v>108.29378375</v>
      </c>
      <c r="P203" s="24" t="n">
        <f aca="false">IFERROR(Tabelle1!H204/O203,"")</f>
        <v>0.859744638851443</v>
      </c>
      <c r="Q203" s="24" t="n">
        <f aca="false">IFERROR(AVERAGEIFS($P$7:$P$294,$B$7:$B$294,$B203,$A$7:$A$294,"&gt;="&amp;EDATE($A203,-12*'Seasonal Factors'!$E$4),$A$7:$A$294,"&lt;="&amp;EDATE($A203,12*'Seasonal Factors'!$E$4)),"")</f>
        <v>1.00063771000124</v>
      </c>
      <c r="R203" s="24" t="n">
        <f aca="false">IFERROR(Q203/AVERAGE(Q198:Q209),"")</f>
        <v>1.00134038385648</v>
      </c>
      <c r="S203" s="23" t="n">
        <f aca="false">IF(ISNUMBER(Tabelle1!I210),(0.5*Tabelle1!I198+SUM(Tabelle1!I199:I209)+0.5*Tabelle1!I210)/12,"")</f>
        <v>140.613365</v>
      </c>
      <c r="T203" s="24" t="n">
        <f aca="false">IFERROR(Tabelle1!I204/S203,"")</f>
        <v>0.944125688194717</v>
      </c>
      <c r="U203" s="24" t="n">
        <f aca="false">IFERROR(AVERAGEIFS($T$7:$T$294,$B$7:$B$294,$B203,$A$7:$A$294,"&gt;="&amp;EDATE($A203,-12*'Seasonal Factors'!$E$4),$A$7:$A$294,"&lt;="&amp;EDATE($A203,12*'Seasonal Factors'!$E$4)),"")</f>
        <v>1.00746801380326</v>
      </c>
      <c r="V203" s="24" t="n">
        <f aca="false">IFERROR(U203/AVERAGE(U198:U209),"")</f>
        <v>1.00768011380875</v>
      </c>
      <c r="W203" s="23" t="n">
        <f aca="false">IF(ISNUMBER(Tabelle1!J210),(0.5*Tabelle1!J198+SUM(Tabelle1!J199:J209)+0.5*Tabelle1!J210)/12,"")</f>
        <v>108.904280833333</v>
      </c>
      <c r="X203" s="24" t="n">
        <f aca="false">IFERROR(Tabelle1!J204/W203,"")</f>
        <v>0.688885775893551</v>
      </c>
      <c r="Y203" s="24" t="n">
        <f aca="false">IFERROR(AVERAGEIFS($X$7:$X$294,$B$7:$B$294,$B203,$A$7:$A$294,"&gt;="&amp;EDATE($A203,-12*'Seasonal Factors'!$E$4),$A$7:$A$294,"&lt;="&amp;EDATE($A203,12*'Seasonal Factors'!$E$4)),"")</f>
        <v>0.940956677735533</v>
      </c>
      <c r="Z203" s="24" t="n">
        <f aca="false">IFERROR(Y203/AVERAGE(Y198:Y209),"")</f>
        <v>0.943703783418548</v>
      </c>
      <c r="AA203" s="23" t="n">
        <f aca="false">IF(ISNUMBER(Tabelle1!K210),(0.5*Tabelle1!K198+SUM(Tabelle1!K199:K209)+0.5*Tabelle1!K210)/12,"")</f>
        <v>131.374382083333</v>
      </c>
      <c r="AB203" s="24" t="n">
        <f aca="false">IFERROR(Tabelle1!K204/AA203,"")</f>
        <v>0.89887006985193</v>
      </c>
      <c r="AC203" s="24" t="n">
        <f aca="false">IFERROR(AVERAGEIFS($AB$7:$AB$294,$B$7:$B$294,$B203,$A$7:$A$294,"&gt;="&amp;EDATE($A203,-12*'Seasonal Factors'!$E$4),$A$7:$A$294,"&lt;="&amp;EDATE($A203,12*'Seasonal Factors'!$E$4)),"")</f>
        <v>1.01569324690226</v>
      </c>
      <c r="AD203" s="24" t="n">
        <f aca="false">IFERROR(AC203/AVERAGE(AC198:AC209),"")</f>
        <v>1.01733629405916</v>
      </c>
      <c r="AE203" s="23" t="n">
        <f aca="false">IF(ISNUMBER(Tabelle1!L210),(0.5*Tabelle1!L198+SUM(Tabelle1!L199:L209)+0.5*Tabelle1!L210)/12,"")</f>
        <v>95.4013245833334</v>
      </c>
      <c r="AF203" s="24" t="n">
        <f aca="false">IFERROR(Tabelle1!L204/AE203,"")</f>
        <v>0.448151429623538</v>
      </c>
      <c r="AG203" s="24" t="n">
        <f aca="false">IFERROR(AVERAGEIFS($AF$7:$AF$294,$B$7:$B$294,$B203,$A$7:$A$294,"&gt;="&amp;EDATE($A203,-12*'Seasonal Factors'!$E$4),$A$7:$A$294,"&lt;="&amp;EDATE($A203,12*'Seasonal Factors'!$E$4)),"")</f>
        <v>0.863404880793696</v>
      </c>
      <c r="AH203" s="24" t="n">
        <f aca="false">IFERROR(AG203/AVERAGE(AG198:AG209),"")</f>
        <v>0.868307079517882</v>
      </c>
      <c r="AI203" s="23" t="n">
        <f aca="false">IF(ISNUMBER(Tabelle1!M210),(0.5*Tabelle1!M198+SUM(Tabelle1!M199:M209)+0.5*Tabelle1!M210)/12,"")</f>
        <v>162.327013333333</v>
      </c>
      <c r="AJ203" s="24" t="n">
        <f aca="false">IFERROR(Tabelle1!M204/AI203,"")</f>
        <v>0.999695224274029</v>
      </c>
      <c r="AK203" s="24" t="n">
        <f aca="false">IFERROR(AVERAGEIFS($AJ$7:$AJ$294,$B$7:$B$294,$B203,$A$7:$A$294,"&gt;="&amp;EDATE($A203,-12*'Seasonal Factors'!$E$4),$A$7:$A$294,"&lt;="&amp;EDATE($A203,12*'Seasonal Factors'!$E$4)),"")</f>
        <v>1.05430608719131</v>
      </c>
      <c r="AL203" s="24" t="n">
        <f aca="false">IFERROR(AK203/AVERAGE(AK198:AK209),"")</f>
        <v>1.0547333410937</v>
      </c>
      <c r="AM203" s="23" t="n">
        <f aca="false">IF(ISNUMBER(Tabelle1!N210),(0.5*Tabelle1!N198+SUM(Tabelle1!N199:N209)+0.5*Tabelle1!N210)/12,"")</f>
        <v>165.543665833333</v>
      </c>
      <c r="AN203" s="24" t="n">
        <f aca="false">IFERROR(Tabelle1!N204/AM203,"")</f>
        <v>0.940138477763865</v>
      </c>
      <c r="AO203" s="24" t="n">
        <f aca="false">IFERROR(AVERAGEIFS($AN$7:$AN$294,$B$7:$B$294,$B203,$A$7:$A$294,"&gt;="&amp;EDATE($A203,-12*'Seasonal Factors'!$E$4),$A$7:$A$294,"&lt;="&amp;EDATE($A203,12*'Seasonal Factors'!$E$4)),"")</f>
        <v>0.955541252732625</v>
      </c>
      <c r="AP203" s="24" t="n">
        <f aca="false">IFERROR(AO203/AVERAGE(AO198:AO209),"")</f>
        <v>0.957445921629257</v>
      </c>
      <c r="AQ203" s="23" t="n">
        <f aca="false">IF(ISNUMBER(Tabelle1!O210),(0.5*Tabelle1!O198+SUM(Tabelle1!O199:O209)+0.5*Tabelle1!O210)/12,"")</f>
        <v>132.70092625</v>
      </c>
      <c r="AR203" s="24" t="n">
        <f aca="false">IFERROR(Tabelle1!O204/AQ203,"")</f>
        <v>0.924652626529802</v>
      </c>
      <c r="AS203" s="24" t="n">
        <f aca="false">IFERROR(AVERAGEIFS($AR$7:$AR$294,$B$7:$B$294,$B203,$A$7:$A$294,"&gt;="&amp;EDATE($A203,-12*'Seasonal Factors'!$E$4),$A$7:$A$294,"&lt;="&amp;EDATE($A203,12*'Seasonal Factors'!$E$4)),"")</f>
        <v>0.9999394645945</v>
      </c>
      <c r="AT203" s="24" t="n">
        <f aca="false">IFERROR(AS203/AVERAGE(AS198:AS209),"")</f>
        <v>1.00048102758772</v>
      </c>
      <c r="AU203" s="23" t="n">
        <f aca="false">IF(ISNUMBER(Tabelle1!P210),(0.5*Tabelle1!P198+SUM(Tabelle1!P199:P209)+0.5*Tabelle1!P210)/12,"")</f>
        <v>145.6491675</v>
      </c>
      <c r="AV203" s="24" t="n">
        <f aca="false">IFERROR(Tabelle1!P204/AU203,"")</f>
        <v>0.936845107611068</v>
      </c>
      <c r="AW203" s="24" t="n">
        <f aca="false">IFERROR(AVERAGEIFS($AV$7:$AV$294,$B$7:$B$294,$B203,$A$7:$A$294,"&gt;="&amp;EDATE($A203,-12*'Seasonal Factors'!$E$4),$A$7:$A$294,"&lt;="&amp;EDATE($A203,12*'Seasonal Factors'!$E$4)),"")</f>
        <v>0.989255616184477</v>
      </c>
      <c r="AX203" s="24" t="n">
        <f aca="false">IFERROR(AW203/AVERAGE(AW198:AW209),"")</f>
        <v>0.989217098099977</v>
      </c>
      <c r="AY203" s="23" t="n">
        <f aca="false">IF(ISNUMBER(Tabelle1!Q210),(0.5*Tabelle1!Q198+SUM(Tabelle1!Q199:Q209)+0.5*Tabelle1!Q210)/12,"")</f>
        <v>155.081329166667</v>
      </c>
      <c r="AZ203" s="24" t="n">
        <f aca="false">IFERROR(Tabelle1!Q204/AY203,"")</f>
        <v>0.962663982841906</v>
      </c>
      <c r="BA203" s="24" t="n">
        <f aca="false">IFERROR(AVERAGEIFS($AZ$7:$AZ$294,$B$7:$B$294,$B203,$A$7:$A$294,"&gt;="&amp;EDATE($A203,-12*'Seasonal Factors'!$E$4),$A$7:$A$294,"&lt;="&amp;EDATE($A203,12*'Seasonal Factors'!$E$4)),"")</f>
        <v>0.993203817340674</v>
      </c>
      <c r="BB203" s="24" t="n">
        <f aca="false">IFERROR(BA203/AVERAGE(BA198:BA209),"")</f>
        <v>0.99323822810339</v>
      </c>
      <c r="BC203" s="23" t="n">
        <f aca="false">IF(ISNUMBER(Tabelle1!R210),(0.5*Tabelle1!R198+SUM(Tabelle1!R199:R209)+0.5*Tabelle1!R210)/12,"")</f>
        <v>163.86012625</v>
      </c>
      <c r="BD203" s="24" t="n">
        <f aca="false">IFERROR(Tabelle1!R204/BC203,"")</f>
        <v>0.944665267521115</v>
      </c>
      <c r="BE203" s="24" t="n">
        <f aca="false">IFERROR(AVERAGEIFS($BD$7:$BD$294,$B$7:$B$294,$B203,$A$7:$A$294,"&gt;="&amp;EDATE($A203,-12*'Seasonal Factors'!$E$4),$A$7:$A$294,"&lt;="&amp;EDATE($A203,12*'Seasonal Factors'!$E$4)),"")</f>
        <v>1.05161450248151</v>
      </c>
      <c r="BF203" s="24" t="n">
        <f aca="false">IFERROR(BE203/AVERAGE(BE198:BE209),"")</f>
        <v>1.05178486398442</v>
      </c>
      <c r="BG203" s="23" t="n">
        <f aca="false">IF(ISNUMBER(Tabelle1!S210),(0.5*Tabelle1!S198+SUM(Tabelle1!S199:S209)+0.5*Tabelle1!S210)/12,"")</f>
        <v>92.409075</v>
      </c>
      <c r="BH203" s="24" t="n">
        <f aca="false">IFERROR(Tabelle1!S204/BG203,"")</f>
        <v>0.471805177143046</v>
      </c>
      <c r="BI203" s="24" t="n">
        <f aca="false">IFERROR(AVERAGEIFS($BH$7:$BH$294,$B$7:$B$294,$B203,$A$7:$A$294,"&gt;="&amp;EDATE($A203,-12*'Seasonal Factors'!$E$4),$A$7:$A$294,"&lt;="&amp;EDATE($A203,12*'Seasonal Factors'!$E$4)),"")</f>
        <v>0.903787930799042</v>
      </c>
      <c r="BJ203" s="24" t="n">
        <f aca="false">IFERROR(BI203/AVERAGE(BI198:BI209),"")</f>
        <v>0.907728002367603</v>
      </c>
    </row>
    <row r="204" customFormat="false" ht="15" hidden="false" customHeight="false" outlineLevel="0" collapsed="false">
      <c r="A204" s="20" t="n">
        <v>44012</v>
      </c>
      <c r="B204" s="22" t="n">
        <f aca="false">MONTH(A204)</f>
        <v>6</v>
      </c>
      <c r="C204" s="23" t="n">
        <f aca="false">IF(ISNUMBER(Tabelle1!E211),(0.5*Tabelle1!E199+SUM(Tabelle1!E200:E210)+0.5*Tabelle1!E211)/12,"")</f>
        <v>127.617498333333</v>
      </c>
      <c r="D204" s="24" t="n">
        <f aca="false">IFERROR(Tabelle1!E205/C204,"")</f>
        <v>1.57419446881233</v>
      </c>
      <c r="E204" s="24" t="n">
        <f aca="false">IFERROR(AVERAGEIFS($D$7:$D$294,$B$7:$B$294,$B204,$A$7:$A$294,"&gt;="&amp;EDATE($A204,-12*'Seasonal Factors'!$E$4),$A$7:$A$294,"&lt;="&amp;EDATE($A204,12*'Seasonal Factors'!$E$4)),"")</f>
        <v>1.51943558639918</v>
      </c>
      <c r="F204" s="24" t="n">
        <f aca="false">IFERROR(E204/AVERAGE(E199:E210),"")</f>
        <v>1.52048868018733</v>
      </c>
      <c r="G204" s="23" t="n">
        <f aca="false">IF(ISNUMBER(Tabelle1!F211),(0.5*Tabelle1!F199+SUM(Tabelle1!F200:F210)+0.5*Tabelle1!F211)/12,"")</f>
        <v>139.536362083333</v>
      </c>
      <c r="H204" s="24" t="n">
        <f aca="false">IFERROR(Tabelle1!F205/G204,"")</f>
        <v>0.636366167744645</v>
      </c>
      <c r="I204" s="24" t="n">
        <f aca="false">IFERROR(AVERAGEIFS($H$7:$H$294,$B$7:$B$294,$B204,$A$7:$A$294,"&gt;="&amp;EDATE($A204,-12*'Seasonal Factors'!$E$4),$A$7:$A$294,"&lt;="&amp;EDATE($A204,12*'Seasonal Factors'!$E$4)),"")</f>
        <v>1.19064543003748</v>
      </c>
      <c r="J204" s="24" t="n">
        <f aca="false">IFERROR(I204/AVERAGE(I199:I210),"")</f>
        <v>1.19954000260538</v>
      </c>
      <c r="K204" s="23" t="n">
        <f aca="false">IF(ISNUMBER(Tabelle1!G211),(0.5*Tabelle1!G199+SUM(Tabelle1!G200:G210)+0.5*Tabelle1!G211)/12,"")</f>
        <v>79.7923704166667</v>
      </c>
      <c r="L204" s="24" t="n">
        <f aca="false">IFERROR(Tabelle1!G205/K204,"")</f>
        <v>0.942138698317173</v>
      </c>
      <c r="M204" s="24" t="n">
        <f aca="false">IFERROR(AVERAGEIFS($L$7:$L$294,$B$7:$B$294,$B204,$A$7:$A$294,"&gt;="&amp;EDATE($A204,-12*'Seasonal Factors'!$E$4),$A$7:$A$294,"&lt;="&amp;EDATE($A204,12*'Seasonal Factors'!$E$4)),"")</f>
        <v>0.981958753190357</v>
      </c>
      <c r="N204" s="24" t="n">
        <f aca="false">IFERROR(M204/AVERAGE(M199:M210),"")</f>
        <v>0.982963190434585</v>
      </c>
      <c r="O204" s="23" t="n">
        <f aca="false">IF(ISNUMBER(Tabelle1!H211),(0.5*Tabelle1!H199+SUM(Tabelle1!H200:H210)+0.5*Tabelle1!H211)/12,"")</f>
        <v>108.683517916667</v>
      </c>
      <c r="P204" s="24" t="n">
        <f aca="false">IFERROR(Tabelle1!H205/O204,"")</f>
        <v>1.04349805907974</v>
      </c>
      <c r="Q204" s="24" t="n">
        <f aca="false">IFERROR(AVERAGEIFS($P$7:$P$294,$B$7:$B$294,$B204,$A$7:$A$294,"&gt;="&amp;EDATE($A204,-12*'Seasonal Factors'!$E$4),$A$7:$A$294,"&lt;="&amp;EDATE($A204,12*'Seasonal Factors'!$E$4)),"")</f>
        <v>1.02589151236763</v>
      </c>
      <c r="R204" s="24" t="n">
        <f aca="false">IFERROR(Q204/AVERAGE(Q199:Q210),"")</f>
        <v>1.0264499418834</v>
      </c>
      <c r="S204" s="23" t="n">
        <f aca="false">IF(ISNUMBER(Tabelle1!I211),(0.5*Tabelle1!I199+SUM(Tabelle1!I200:I210)+0.5*Tabelle1!I211)/12,"")</f>
        <v>140.927160416667</v>
      </c>
      <c r="T204" s="24" t="n">
        <f aca="false">IFERROR(Tabelle1!I205/S204,"")</f>
        <v>1.01679314034524</v>
      </c>
      <c r="U204" s="24" t="n">
        <f aca="false">IFERROR(AVERAGEIFS($T$7:$T$294,$B$7:$B$294,$B204,$A$7:$A$294,"&gt;="&amp;EDATE($A204,-12*'Seasonal Factors'!$E$4),$A$7:$A$294,"&lt;="&amp;EDATE($A204,12*'Seasonal Factors'!$E$4)),"")</f>
        <v>1.04446615652299</v>
      </c>
      <c r="V204" s="24" t="n">
        <f aca="false">IFERROR(U204/AVERAGE(U199:U210),"")</f>
        <v>1.04515123216259</v>
      </c>
      <c r="W204" s="23" t="n">
        <f aca="false">IF(ISNUMBER(Tabelle1!J211),(0.5*Tabelle1!J199+SUM(Tabelle1!J200:J210)+0.5*Tabelle1!J211)/12,"")</f>
        <v>109.65940875</v>
      </c>
      <c r="X204" s="24" t="n">
        <f aca="false">IFERROR(Tabelle1!J205/W204,"")</f>
        <v>0.869424804371836</v>
      </c>
      <c r="Y204" s="24" t="n">
        <f aca="false">IFERROR(AVERAGEIFS($X$7:$X$294,$B$7:$B$294,$B204,$A$7:$A$294,"&gt;="&amp;EDATE($A204,-12*'Seasonal Factors'!$E$4),$A$7:$A$294,"&lt;="&amp;EDATE($A204,12*'Seasonal Factors'!$E$4)),"")</f>
        <v>0.961318139202509</v>
      </c>
      <c r="Z204" s="24" t="n">
        <f aca="false">IFERROR(Y204/AVERAGE(Y199:Y210),"")</f>
        <v>0.96429659800416</v>
      </c>
      <c r="AA204" s="23" t="n">
        <f aca="false">IF(ISNUMBER(Tabelle1!K211),(0.5*Tabelle1!K199+SUM(Tabelle1!K200:K210)+0.5*Tabelle1!K211)/12,"")</f>
        <v>132.007854166667</v>
      </c>
      <c r="AB204" s="24" t="n">
        <f aca="false">IFERROR(Tabelle1!K205/AA204,"")</f>
        <v>1.01147875513089</v>
      </c>
      <c r="AC204" s="24" t="n">
        <f aca="false">IFERROR(AVERAGEIFS($AB$7:$AB$294,$B$7:$B$294,$B204,$A$7:$A$294,"&gt;="&amp;EDATE($A204,-12*'Seasonal Factors'!$E$4),$A$7:$A$294,"&lt;="&amp;EDATE($A204,12*'Seasonal Factors'!$E$4)),"")</f>
        <v>1.03310935115055</v>
      </c>
      <c r="AD204" s="24" t="n">
        <f aca="false">IFERROR(AC204/AVERAGE(AC199:AC210),"")</f>
        <v>1.03434737799086</v>
      </c>
      <c r="AE204" s="23" t="n">
        <f aca="false">IF(ISNUMBER(Tabelle1!L211),(0.5*Tabelle1!L199+SUM(Tabelle1!L200:L210)+0.5*Tabelle1!L211)/12,"")</f>
        <v>87.8906345833333</v>
      </c>
      <c r="AF204" s="24" t="n">
        <f aca="false">IFERROR(Tabelle1!L205/AE204,"")</f>
        <v>0.666453146887479</v>
      </c>
      <c r="AG204" s="24" t="n">
        <f aca="false">IFERROR(AVERAGEIFS($AF$7:$AF$294,$B$7:$B$294,$B204,$A$7:$A$294,"&gt;="&amp;EDATE($A204,-12*'Seasonal Factors'!$E$4),$A$7:$A$294,"&lt;="&amp;EDATE($A204,12*'Seasonal Factors'!$E$4)),"")</f>
        <v>0.939349280122064</v>
      </c>
      <c r="AH204" s="24" t="n">
        <f aca="false">IFERROR(AG204/AVERAGE(AG199:AG210),"")</f>
        <v>0.943668516469433</v>
      </c>
      <c r="AI204" s="23" t="n">
        <f aca="false">IF(ISNUMBER(Tabelle1!M211),(0.5*Tabelle1!M199+SUM(Tabelle1!M200:M210)+0.5*Tabelle1!M211)/12,"")</f>
        <v>159.557921666667</v>
      </c>
      <c r="AJ204" s="24" t="n">
        <f aca="false">IFERROR(Tabelle1!M205/AI204,"")</f>
        <v>0.99641038401175</v>
      </c>
      <c r="AK204" s="24" t="n">
        <f aca="false">IFERROR(AVERAGEIFS($AJ$7:$AJ$294,$B$7:$B$294,$B204,$A$7:$A$294,"&gt;="&amp;EDATE($A204,-12*'Seasonal Factors'!$E$4),$A$7:$A$294,"&lt;="&amp;EDATE($A204,12*'Seasonal Factors'!$E$4)),"")</f>
        <v>1.02332447676323</v>
      </c>
      <c r="AL204" s="24" t="n">
        <f aca="false">IFERROR(AK204/AVERAGE(AK199:AK210),"")</f>
        <v>1.02347851552172</v>
      </c>
      <c r="AM204" s="23" t="n">
        <f aca="false">IF(ISNUMBER(Tabelle1!N211),(0.5*Tabelle1!N199+SUM(Tabelle1!N200:N210)+0.5*Tabelle1!N211)/12,"")</f>
        <v>166.187154583333</v>
      </c>
      <c r="AN204" s="24" t="n">
        <f aca="false">IFERROR(Tabelle1!N205/AM204,"")</f>
        <v>1.00407826596686</v>
      </c>
      <c r="AO204" s="24" t="n">
        <f aca="false">IFERROR(AVERAGEIFS($AN$7:$AN$294,$B$7:$B$294,$B204,$A$7:$A$294,"&gt;="&amp;EDATE($A204,-12*'Seasonal Factors'!$E$4),$A$7:$A$294,"&lt;="&amp;EDATE($A204,12*'Seasonal Factors'!$E$4)),"")</f>
        <v>0.979344759410563</v>
      </c>
      <c r="AP204" s="24" t="n">
        <f aca="false">IFERROR(AO204/AVERAGE(AO199:AO210),"")</f>
        <v>0.981619623259893</v>
      </c>
      <c r="AQ204" s="23" t="n">
        <f aca="false">IF(ISNUMBER(Tabelle1!O211),(0.5*Tabelle1!O199+SUM(Tabelle1!O200:O210)+0.5*Tabelle1!O211)/12,"")</f>
        <v>132.621215</v>
      </c>
      <c r="AR204" s="24" t="n">
        <f aca="false">IFERROR(Tabelle1!O205/AQ204,"")</f>
        <v>0.969759853278376</v>
      </c>
      <c r="AS204" s="24" t="n">
        <f aca="false">IFERROR(AVERAGEIFS($AR$7:$AR$294,$B$7:$B$294,$B204,$A$7:$A$294,"&gt;="&amp;EDATE($A204,-12*'Seasonal Factors'!$E$4),$A$7:$A$294,"&lt;="&amp;EDATE($A204,12*'Seasonal Factors'!$E$4)),"")</f>
        <v>1.00924963336709</v>
      </c>
      <c r="AT204" s="24" t="n">
        <f aca="false">IFERROR(AS204/AVERAGE(AS199:AS210),"")</f>
        <v>1.00981616443044</v>
      </c>
      <c r="AU204" s="23" t="n">
        <f aca="false">IF(ISNUMBER(Tabelle1!P211),(0.5*Tabelle1!P199+SUM(Tabelle1!P200:P210)+0.5*Tabelle1!P211)/12,"")</f>
        <v>144.527411666667</v>
      </c>
      <c r="AV204" s="24" t="n">
        <f aca="false">IFERROR(Tabelle1!P205/AU204,"")</f>
        <v>0.949975844835986</v>
      </c>
      <c r="AW204" s="24" t="n">
        <f aca="false">IFERROR(AVERAGEIFS($AV$7:$AV$294,$B$7:$B$294,$B204,$A$7:$A$294,"&gt;="&amp;EDATE($A204,-12*'Seasonal Factors'!$E$4),$A$7:$A$294,"&lt;="&amp;EDATE($A204,12*'Seasonal Factors'!$E$4)),"")</f>
        <v>0.994986381301192</v>
      </c>
      <c r="AX204" s="24" t="n">
        <f aca="false">IFERROR(AW204/AVERAGE(AW199:AW210),"")</f>
        <v>0.994990999432465</v>
      </c>
      <c r="AY204" s="23" t="n">
        <f aca="false">IF(ISNUMBER(Tabelle1!Q211),(0.5*Tabelle1!Q199+SUM(Tabelle1!Q200:Q210)+0.5*Tabelle1!Q211)/12,"")</f>
        <v>154.527984166667</v>
      </c>
      <c r="AZ204" s="24" t="n">
        <f aca="false">IFERROR(Tabelle1!Q205/AY204,"")</f>
        <v>0.969706689750008</v>
      </c>
      <c r="BA204" s="24" t="n">
        <f aca="false">IFERROR(AVERAGEIFS($AZ$7:$AZ$294,$B$7:$B$294,$B204,$A$7:$A$294,"&gt;="&amp;EDATE($A204,-12*'Seasonal Factors'!$E$4),$A$7:$A$294,"&lt;="&amp;EDATE($A204,12*'Seasonal Factors'!$E$4)),"")</f>
        <v>0.999725218522817</v>
      </c>
      <c r="BB204" s="24" t="n">
        <f aca="false">IFERROR(BA204/AVERAGE(BA199:BA210),"")</f>
        <v>0.999744810507004</v>
      </c>
      <c r="BC204" s="23" t="n">
        <f aca="false">IF(ISNUMBER(Tabelle1!R211),(0.5*Tabelle1!R199+SUM(Tabelle1!R200:R210)+0.5*Tabelle1!R211)/12,"")</f>
        <v>163.604283333333</v>
      </c>
      <c r="BD204" s="24" t="n">
        <f aca="false">IFERROR(Tabelle1!R205/BC204,"")</f>
        <v>0.996360771727961</v>
      </c>
      <c r="BE204" s="24" t="n">
        <f aca="false">IFERROR(AVERAGEIFS($BD$7:$BD$294,$B$7:$B$294,$B204,$A$7:$A$294,"&gt;="&amp;EDATE($A204,-12*'Seasonal Factors'!$E$4),$A$7:$A$294,"&lt;="&amp;EDATE($A204,12*'Seasonal Factors'!$E$4)),"")</f>
        <v>1.08597349892913</v>
      </c>
      <c r="BF204" s="24" t="n">
        <f aca="false">IFERROR(BE204/AVERAGE(BE199:BE210),"")</f>
        <v>1.08618066498194</v>
      </c>
      <c r="BG204" s="23" t="n">
        <f aca="false">IF(ISNUMBER(Tabelle1!S211),(0.5*Tabelle1!S199+SUM(Tabelle1!S200:S210)+0.5*Tabelle1!S211)/12,"")</f>
        <v>90.2624795833334</v>
      </c>
      <c r="BH204" s="24" t="n">
        <f aca="false">IFERROR(Tabelle1!S205/BG204,"")</f>
        <v>0.641988900232914</v>
      </c>
      <c r="BI204" s="24" t="n">
        <f aca="false">IFERROR(AVERAGEIFS($BH$7:$BH$294,$B$7:$B$294,$B204,$A$7:$A$294,"&gt;="&amp;EDATE($A204,-12*'Seasonal Factors'!$E$4),$A$7:$A$294,"&lt;="&amp;EDATE($A204,12*'Seasonal Factors'!$E$4)),"")</f>
        <v>0.940126961972623</v>
      </c>
      <c r="BJ204" s="24" t="n">
        <f aca="false">IFERROR(BI204/AVERAGE(BI199:BI210),"")</f>
        <v>0.944105655159939</v>
      </c>
    </row>
    <row r="205" customFormat="false" ht="15" hidden="false" customHeight="false" outlineLevel="0" collapsed="false">
      <c r="A205" s="20" t="n">
        <v>44043</v>
      </c>
      <c r="B205" s="22" t="n">
        <f aca="false">MONTH(A205)</f>
        <v>7</v>
      </c>
      <c r="C205" s="23" t="n">
        <f aca="false">IF(ISNUMBER(Tabelle1!E212),(0.5*Tabelle1!E200+SUM(Tabelle1!E201:E211)+0.5*Tabelle1!E212)/12,"")</f>
        <v>128.189877083333</v>
      </c>
      <c r="D205" s="24" t="n">
        <f aca="false">IFERROR(Tabelle1!E206/C205,"")</f>
        <v>0.913096358801472</v>
      </c>
      <c r="E205" s="24" t="n">
        <f aca="false">IFERROR(AVERAGEIFS($D$7:$D$294,$B$7:$B$294,$B205,$A$7:$A$294,"&gt;="&amp;EDATE($A205,-12*'Seasonal Factors'!$E$4),$A$7:$A$294,"&lt;="&amp;EDATE($A205,12*'Seasonal Factors'!$E$4)),"")</f>
        <v>0.911077919772172</v>
      </c>
      <c r="F205" s="24" t="n">
        <f aca="false">IFERROR(E205/AVERAGE(E200:E211),"")</f>
        <v>0.909924483398878</v>
      </c>
      <c r="G205" s="23" t="n">
        <f aca="false">IF(ISNUMBER(Tabelle1!F212),(0.5*Tabelle1!F200+SUM(Tabelle1!F201:F211)+0.5*Tabelle1!F212)/12,"")</f>
        <v>140.875604166667</v>
      </c>
      <c r="H205" s="24" t="n">
        <f aca="false">IFERROR(Tabelle1!F206/G205,"")</f>
        <v>0.616454570070611</v>
      </c>
      <c r="I205" s="24" t="n">
        <f aca="false">IFERROR(AVERAGEIFS($H$7:$H$294,$B$7:$B$294,$B205,$A$7:$A$294,"&gt;="&amp;EDATE($A205,-12*'Seasonal Factors'!$E$4),$A$7:$A$294,"&lt;="&amp;EDATE($A205,12*'Seasonal Factors'!$E$4)),"")</f>
        <v>1.50614151411216</v>
      </c>
      <c r="J205" s="24" t="n">
        <f aca="false">IFERROR(I205/AVERAGE(I200:I211),"")</f>
        <v>1.5091157827641</v>
      </c>
      <c r="K205" s="23" t="n">
        <f aca="false">IF(ISNUMBER(Tabelle1!G212),(0.5*Tabelle1!G200+SUM(Tabelle1!G201:G211)+0.5*Tabelle1!G212)/12,"")</f>
        <v>79.0916266666667</v>
      </c>
      <c r="L205" s="24" t="n">
        <f aca="false">IFERROR(Tabelle1!G206/K205,"")</f>
        <v>0.995024294185714</v>
      </c>
      <c r="M205" s="24" t="n">
        <f aca="false">IFERROR(AVERAGEIFS($L$7:$L$294,$B$7:$B$294,$B205,$A$7:$A$294,"&gt;="&amp;EDATE($A205,-12*'Seasonal Factors'!$E$4),$A$7:$A$294,"&lt;="&amp;EDATE($A205,12*'Seasonal Factors'!$E$4)),"")</f>
        <v>1.01118284412999</v>
      </c>
      <c r="N205" s="24" t="n">
        <f aca="false">IFERROR(M205/AVERAGE(M200:M211),"")</f>
        <v>1.0117070865962</v>
      </c>
      <c r="O205" s="23" t="n">
        <f aca="false">IF(ISNUMBER(Tabelle1!H212),(0.5*Tabelle1!H200+SUM(Tabelle1!H201:H211)+0.5*Tabelle1!H212)/12,"")</f>
        <v>109.057147083333</v>
      </c>
      <c r="P205" s="24" t="n">
        <f aca="false">IFERROR(Tabelle1!H206/O205,"")</f>
        <v>1.05090618143921</v>
      </c>
      <c r="Q205" s="24" t="n">
        <f aca="false">IFERROR(AVERAGEIFS($P$7:$P$294,$B$7:$B$294,$B205,$A$7:$A$294,"&gt;="&amp;EDATE($A205,-12*'Seasonal Factors'!$E$4),$A$7:$A$294,"&lt;="&amp;EDATE($A205,12*'Seasonal Factors'!$E$4)),"")</f>
        <v>1.03384791406704</v>
      </c>
      <c r="R205" s="24" t="n">
        <f aca="false">IFERROR(Q205/AVERAGE(Q200:Q211),"")</f>
        <v>1.03422508727591</v>
      </c>
      <c r="S205" s="23" t="n">
        <f aca="false">IF(ISNUMBER(Tabelle1!I212),(0.5*Tabelle1!I200+SUM(Tabelle1!I201:I211)+0.5*Tabelle1!I212)/12,"")</f>
        <v>141.093165416667</v>
      </c>
      <c r="T205" s="24" t="n">
        <f aca="false">IFERROR(Tabelle1!I206/S205,"")</f>
        <v>1.12592200714234</v>
      </c>
      <c r="U205" s="24" t="n">
        <f aca="false">IFERROR(AVERAGEIFS($T$7:$T$294,$B$7:$B$294,$B205,$A$7:$A$294,"&gt;="&amp;EDATE($A205,-12*'Seasonal Factors'!$E$4),$A$7:$A$294,"&lt;="&amp;EDATE($A205,12*'Seasonal Factors'!$E$4)),"")</f>
        <v>1.08751581444194</v>
      </c>
      <c r="V205" s="24" t="n">
        <f aca="false">IFERROR(U205/AVERAGE(U200:U211),"")</f>
        <v>1.08761684831747</v>
      </c>
      <c r="W205" s="23" t="n">
        <f aca="false">IF(ISNUMBER(Tabelle1!J212),(0.5*Tabelle1!J200+SUM(Tabelle1!J201:J211)+0.5*Tabelle1!J212)/12,"")</f>
        <v>110.918863333333</v>
      </c>
      <c r="X205" s="24" t="n">
        <f aca="false">IFERROR(Tabelle1!J206/W205,"")</f>
        <v>1.03530875226243</v>
      </c>
      <c r="Y205" s="24" t="n">
        <f aca="false">IFERROR(AVERAGEIFS($X$7:$X$294,$B$7:$B$294,$B205,$A$7:$A$294,"&gt;="&amp;EDATE($A205,-12*'Seasonal Factors'!$E$4),$A$7:$A$294,"&lt;="&amp;EDATE($A205,12*'Seasonal Factors'!$E$4)),"")</f>
        <v>1.00607900208763</v>
      </c>
      <c r="Z205" s="24" t="n">
        <f aca="false">IFERROR(Y205/AVERAGE(Y200:Y211),"")</f>
        <v>1.00890857955226</v>
      </c>
      <c r="AA205" s="23" t="n">
        <f aca="false">IF(ISNUMBER(Tabelle1!K212),(0.5*Tabelle1!K200+SUM(Tabelle1!K201:K211)+0.5*Tabelle1!K212)/12,"")</f>
        <v>132.805515</v>
      </c>
      <c r="AB205" s="24" t="n">
        <f aca="false">IFERROR(Tabelle1!K206/AA205,"")</f>
        <v>1.02527346097035</v>
      </c>
      <c r="AC205" s="24" t="n">
        <f aca="false">IFERROR(AVERAGEIFS($AB$7:$AB$294,$B$7:$B$294,$B205,$A$7:$A$294,"&gt;="&amp;EDATE($A205,-12*'Seasonal Factors'!$E$4),$A$7:$A$294,"&lt;="&amp;EDATE($A205,12*'Seasonal Factors'!$E$4)),"")</f>
        <v>1.00903031462635</v>
      </c>
      <c r="AD205" s="24" t="n">
        <f aca="false">IFERROR(AC205/AVERAGE(AC200:AC211),"")</f>
        <v>1.00915088707558</v>
      </c>
      <c r="AE205" s="23" t="n">
        <f aca="false">IF(ISNUMBER(Tabelle1!L212),(0.5*Tabelle1!L200+SUM(Tabelle1!L201:L211)+0.5*Tabelle1!L212)/12,"")</f>
        <v>81.6443158333333</v>
      </c>
      <c r="AF205" s="24" t="n">
        <f aca="false">IFERROR(Tabelle1!L206/AE205,"")</f>
        <v>0.720872842147952</v>
      </c>
      <c r="AG205" s="24" t="n">
        <f aca="false">IFERROR(AVERAGEIFS($AF$7:$AF$294,$B$7:$B$294,$B205,$A$7:$A$294,"&gt;="&amp;EDATE($A205,-12*'Seasonal Factors'!$E$4),$A$7:$A$294,"&lt;="&amp;EDATE($A205,12*'Seasonal Factors'!$E$4)),"")</f>
        <v>0.957444940921874</v>
      </c>
      <c r="AH205" s="24" t="n">
        <f aca="false">IFERROR(AG205/AVERAGE(AG200:AG211),"")</f>
        <v>0.961158888562212</v>
      </c>
      <c r="AI205" s="23" t="n">
        <f aca="false">IF(ISNUMBER(Tabelle1!M212),(0.5*Tabelle1!M200+SUM(Tabelle1!M201:M211)+0.5*Tabelle1!M212)/12,"")</f>
        <v>157.106556666667</v>
      </c>
      <c r="AJ205" s="24" t="n">
        <f aca="false">IFERROR(Tabelle1!M206/AI205,"")</f>
        <v>0.958746491526653</v>
      </c>
      <c r="AK205" s="24" t="n">
        <f aca="false">IFERROR(AVERAGEIFS($AJ$7:$AJ$294,$B$7:$B$294,$B205,$A$7:$A$294,"&gt;="&amp;EDATE($A205,-12*'Seasonal Factors'!$E$4),$A$7:$A$294,"&lt;="&amp;EDATE($A205,12*'Seasonal Factors'!$E$4)),"")</f>
        <v>1.00822389434047</v>
      </c>
      <c r="AL205" s="24" t="n">
        <f aca="false">IFERROR(AK205/AVERAGE(AK200:AK211),"")</f>
        <v>1.00838561850832</v>
      </c>
      <c r="AM205" s="23" t="n">
        <f aca="false">IF(ISNUMBER(Tabelle1!N212),(0.5*Tabelle1!N200+SUM(Tabelle1!N201:N211)+0.5*Tabelle1!N212)/12,"")</f>
        <v>166.656525416667</v>
      </c>
      <c r="AN205" s="24" t="n">
        <f aca="false">IFERROR(Tabelle1!N206/AM205,"")</f>
        <v>0.999236181023525</v>
      </c>
      <c r="AO205" s="24" t="n">
        <f aca="false">IFERROR(AVERAGEIFS($AN$7:$AN$294,$B$7:$B$294,$B205,$A$7:$A$294,"&gt;="&amp;EDATE($A205,-12*'Seasonal Factors'!$E$4),$A$7:$A$294,"&lt;="&amp;EDATE($A205,12*'Seasonal Factors'!$E$4)),"")</f>
        <v>0.998305603219827</v>
      </c>
      <c r="AP205" s="24" t="n">
        <f aca="false">IFERROR(AO205/AVERAGE(AO200:AO211),"")</f>
        <v>1.00025800211277</v>
      </c>
      <c r="AQ205" s="23" t="n">
        <f aca="false">IF(ISNUMBER(Tabelle1!O212),(0.5*Tabelle1!O200+SUM(Tabelle1!O201:O211)+0.5*Tabelle1!O212)/12,"")</f>
        <v>132.631191666667</v>
      </c>
      <c r="AR205" s="24" t="n">
        <f aca="false">IFERROR(Tabelle1!O206/AQ205,"")</f>
        <v>0.982029704802346</v>
      </c>
      <c r="AS205" s="24" t="n">
        <f aca="false">IFERROR(AVERAGEIFS($AR$7:$AR$294,$B$7:$B$294,$B205,$A$7:$A$294,"&gt;="&amp;EDATE($A205,-12*'Seasonal Factors'!$E$4),$A$7:$A$294,"&lt;="&amp;EDATE($A205,12*'Seasonal Factors'!$E$4)),"")</f>
        <v>1.0000707635051</v>
      </c>
      <c r="AT205" s="24" t="n">
        <f aca="false">IFERROR(AS205/AVERAGE(AS200:AS211),"")</f>
        <v>1.00038330962505</v>
      </c>
      <c r="AU205" s="23" t="n">
        <f aca="false">IF(ISNUMBER(Tabelle1!P212),(0.5*Tabelle1!P200+SUM(Tabelle1!P201:P211)+0.5*Tabelle1!P212)/12,"")</f>
        <v>143.596235416667</v>
      </c>
      <c r="AV205" s="24" t="n">
        <f aca="false">IFERROR(Tabelle1!P206/AU205,"")</f>
        <v>0.982361686507189</v>
      </c>
      <c r="AW205" s="24" t="n">
        <f aca="false">IFERROR(AVERAGEIFS($AV$7:$AV$294,$B$7:$B$294,$B205,$A$7:$A$294,"&gt;="&amp;EDATE($A205,-12*'Seasonal Factors'!$E$4),$A$7:$A$294,"&lt;="&amp;EDATE($A205,12*'Seasonal Factors'!$E$4)),"")</f>
        <v>0.997366185742641</v>
      </c>
      <c r="AX205" s="24" t="n">
        <f aca="false">IFERROR(AW205/AVERAGE(AW200:AW211),"")</f>
        <v>0.997344118072574</v>
      </c>
      <c r="AY205" s="23" t="n">
        <f aca="false">IF(ISNUMBER(Tabelle1!Q212),(0.5*Tabelle1!Q200+SUM(Tabelle1!Q201:Q211)+0.5*Tabelle1!Q212)/12,"")</f>
        <v>154.077842083333</v>
      </c>
      <c r="AZ205" s="24" t="n">
        <f aca="false">IFERROR(Tabelle1!Q206/AY205,"")</f>
        <v>0.995988961975473</v>
      </c>
      <c r="BA205" s="24" t="n">
        <f aca="false">IFERROR(AVERAGEIFS($AZ$7:$AZ$294,$B$7:$B$294,$B205,$A$7:$A$294,"&gt;="&amp;EDATE($A205,-12*'Seasonal Factors'!$E$4),$A$7:$A$294,"&lt;="&amp;EDATE($A205,12*'Seasonal Factors'!$E$4)),"")</f>
        <v>1.00553535126416</v>
      </c>
      <c r="BB205" s="24" t="n">
        <f aca="false">IFERROR(BA205/AVERAGE(BA200:BA211),"")</f>
        <v>1.00558923218548</v>
      </c>
      <c r="BC205" s="23" t="n">
        <f aca="false">IF(ISNUMBER(Tabelle1!R212),(0.5*Tabelle1!R200+SUM(Tabelle1!R201:R211)+0.5*Tabelle1!R212)/12,"")</f>
        <v>163.35888125</v>
      </c>
      <c r="BD205" s="24" t="n">
        <f aca="false">IFERROR(Tabelle1!R206/BC205,"")</f>
        <v>1.00665325779464</v>
      </c>
      <c r="BE205" s="24" t="n">
        <f aca="false">IFERROR(AVERAGEIFS($BD$7:$BD$294,$B$7:$B$294,$B205,$A$7:$A$294,"&gt;="&amp;EDATE($A205,-12*'Seasonal Factors'!$E$4),$A$7:$A$294,"&lt;="&amp;EDATE($A205,12*'Seasonal Factors'!$E$4)),"")</f>
        <v>1.0042207600981</v>
      </c>
      <c r="BF205" s="24" t="n">
        <f aca="false">IFERROR(BE205/AVERAGE(BE200:BE211),"")</f>
        <v>1.0043054690527</v>
      </c>
      <c r="BG205" s="23" t="n">
        <f aca="false">IF(ISNUMBER(Tabelle1!S212),(0.5*Tabelle1!S200+SUM(Tabelle1!S201:S211)+0.5*Tabelle1!S212)/12,"")</f>
        <v>88.4071266666667</v>
      </c>
      <c r="BH205" s="24" t="n">
        <f aca="false">IFERROR(Tabelle1!S206/BG205,"")</f>
        <v>0.704307247025108</v>
      </c>
      <c r="BI205" s="24" t="n">
        <f aca="false">IFERROR(AVERAGEIFS($BH$7:$BH$294,$B$7:$B$294,$B205,$A$7:$A$294,"&gt;="&amp;EDATE($A205,-12*'Seasonal Factors'!$E$4),$A$7:$A$294,"&lt;="&amp;EDATE($A205,12*'Seasonal Factors'!$E$4)),"")</f>
        <v>1.04801924700004</v>
      </c>
      <c r="BJ205" s="24" t="n">
        <f aca="false">IFERROR(BI205/AVERAGE(BI200:BI211),"")</f>
        <v>1.05106879672065</v>
      </c>
    </row>
    <row r="206" customFormat="false" ht="15" hidden="false" customHeight="false" outlineLevel="0" collapsed="false">
      <c r="A206" s="20" t="n">
        <v>44074</v>
      </c>
      <c r="B206" s="22" t="n">
        <f aca="false">MONTH(A206)</f>
        <v>8</v>
      </c>
      <c r="C206" s="23" t="n">
        <f aca="false">IF(ISNUMBER(Tabelle1!E213),(0.5*Tabelle1!E201+SUM(Tabelle1!E202:E212)+0.5*Tabelle1!E213)/12,"")</f>
        <v>128.417259166667</v>
      </c>
      <c r="D206" s="24" t="n">
        <f aca="false">IFERROR(Tabelle1!E207/C206,"")</f>
        <v>0.590448281578662</v>
      </c>
      <c r="E206" s="24" t="n">
        <f aca="false">IFERROR(AVERAGEIFS($D$7:$D$294,$B$7:$B$294,$B206,$A$7:$A$294,"&gt;="&amp;EDATE($A206,-12*'Seasonal Factors'!$E$4),$A$7:$A$294,"&lt;="&amp;EDATE($A206,12*'Seasonal Factors'!$E$4)),"")</f>
        <v>0.618296760156966</v>
      </c>
      <c r="F206" s="24" t="n">
        <f aca="false">IFERROR(E206/AVERAGE(E201:E212),"")</f>
        <v>0.617295953309925</v>
      </c>
      <c r="G206" s="23" t="n">
        <f aca="false">IF(ISNUMBER(Tabelle1!F213),(0.5*Tabelle1!F201+SUM(Tabelle1!F202:F212)+0.5*Tabelle1!F213)/12,"")</f>
        <v>140.984505833333</v>
      </c>
      <c r="H206" s="24" t="n">
        <f aca="false">IFERROR(Tabelle1!F207/G206,"")</f>
        <v>1.87452804432582</v>
      </c>
      <c r="I206" s="24" t="n">
        <f aca="false">IFERROR(AVERAGEIFS($H$7:$H$294,$B$7:$B$294,$B206,$A$7:$A$294,"&gt;="&amp;EDATE($A206,-12*'Seasonal Factors'!$E$4),$A$7:$A$294,"&lt;="&amp;EDATE($A206,12*'Seasonal Factors'!$E$4)),"")</f>
        <v>1.61986044001744</v>
      </c>
      <c r="J206" s="24" t="n">
        <f aca="false">IFERROR(I206/AVERAGE(I201:I212),"")</f>
        <v>1.61100124550681</v>
      </c>
      <c r="K206" s="23" t="n">
        <f aca="false">IF(ISNUMBER(Tabelle1!G213),(0.5*Tabelle1!G201+SUM(Tabelle1!G202:G212)+0.5*Tabelle1!G213)/12,"")</f>
        <v>78.3168466666667</v>
      </c>
      <c r="L206" s="24" t="n">
        <f aca="false">IFERROR(Tabelle1!G207/K206,"")</f>
        <v>1.03420545447565</v>
      </c>
      <c r="M206" s="24" t="n">
        <f aca="false">IFERROR(AVERAGEIFS($L$7:$L$294,$B$7:$B$294,$B206,$A$7:$A$294,"&gt;="&amp;EDATE($A206,-12*'Seasonal Factors'!$E$4),$A$7:$A$294,"&lt;="&amp;EDATE($A206,12*'Seasonal Factors'!$E$4)),"")</f>
        <v>1.02262715121753</v>
      </c>
      <c r="N206" s="24" t="n">
        <f aca="false">IFERROR(M206/AVERAGE(M201:M212),"")</f>
        <v>1.02332905674977</v>
      </c>
      <c r="O206" s="23" t="n">
        <f aca="false">IF(ISNUMBER(Tabelle1!H213),(0.5*Tabelle1!H201+SUM(Tabelle1!H202:H212)+0.5*Tabelle1!H213)/12,"")</f>
        <v>109.294330416667</v>
      </c>
      <c r="P206" s="24" t="n">
        <f aca="false">IFERROR(Tabelle1!H207/O206,"")</f>
        <v>1.0467034251811</v>
      </c>
      <c r="Q206" s="24" t="n">
        <f aca="false">IFERROR(AVERAGEIFS($P$7:$P$294,$B$7:$B$294,$B206,$A$7:$A$294,"&gt;="&amp;EDATE($A206,-12*'Seasonal Factors'!$E$4),$A$7:$A$294,"&lt;="&amp;EDATE($A206,12*'Seasonal Factors'!$E$4)),"")</f>
        <v>1.06320590211053</v>
      </c>
      <c r="R206" s="24" t="n">
        <f aca="false">IFERROR(Q206/AVERAGE(Q201:Q212),"")</f>
        <v>1.06338740074026</v>
      </c>
      <c r="S206" s="23" t="n">
        <f aca="false">IF(ISNUMBER(Tabelle1!I213),(0.5*Tabelle1!I201+SUM(Tabelle1!I202:I212)+0.5*Tabelle1!I213)/12,"")</f>
        <v>140.566699583333</v>
      </c>
      <c r="T206" s="24" t="n">
        <f aca="false">IFERROR(Tabelle1!I207/S206,"")</f>
        <v>1.02855797588309</v>
      </c>
      <c r="U206" s="24" t="n">
        <f aca="false">IFERROR(AVERAGEIFS($T$7:$T$294,$B$7:$B$294,$B206,$A$7:$A$294,"&gt;="&amp;EDATE($A206,-12*'Seasonal Factors'!$E$4),$A$7:$A$294,"&lt;="&amp;EDATE($A206,12*'Seasonal Factors'!$E$4)),"")</f>
        <v>1.02916401608719</v>
      </c>
      <c r="V206" s="24" t="n">
        <f aca="false">IFERROR(U206/AVERAGE(U201:U212),"")</f>
        <v>1.02883143029574</v>
      </c>
      <c r="W206" s="23" t="n">
        <f aca="false">IF(ISNUMBER(Tabelle1!J213),(0.5*Tabelle1!J201+SUM(Tabelle1!J202:J212)+0.5*Tabelle1!J213)/12,"")</f>
        <v>112.2632275</v>
      </c>
      <c r="X206" s="24" t="n">
        <f aca="false">IFERROR(Tabelle1!J207/W206,"")</f>
        <v>1.04854708546483</v>
      </c>
      <c r="Y206" s="24" t="n">
        <f aca="false">IFERROR(AVERAGEIFS($X$7:$X$294,$B$7:$B$294,$B206,$A$7:$A$294,"&gt;="&amp;EDATE($A206,-12*'Seasonal Factors'!$E$4),$A$7:$A$294,"&lt;="&amp;EDATE($A206,12*'Seasonal Factors'!$E$4)),"")</f>
        <v>1.08102814436046</v>
      </c>
      <c r="Z206" s="24" t="n">
        <f aca="false">IFERROR(Y206/AVERAGE(Y201:Y212),"")</f>
        <v>1.08392420860442</v>
      </c>
      <c r="AA206" s="23" t="n">
        <f aca="false">IF(ISNUMBER(Tabelle1!K213),(0.5*Tabelle1!K201+SUM(Tabelle1!K202:K212)+0.5*Tabelle1!K213)/12,"")</f>
        <v>133.29759625</v>
      </c>
      <c r="AB206" s="24" t="n">
        <f aca="false">IFERROR(Tabelle1!K207/AA206,"")</f>
        <v>1.00858622947599</v>
      </c>
      <c r="AC206" s="24" t="n">
        <f aca="false">IFERROR(AVERAGEIFS($AB$7:$AB$294,$B$7:$B$294,$B206,$A$7:$A$294,"&gt;="&amp;EDATE($A206,-12*'Seasonal Factors'!$E$4),$A$7:$A$294,"&lt;="&amp;EDATE($A206,12*'Seasonal Factors'!$E$4)),"")</f>
        <v>1.03134560424114</v>
      </c>
      <c r="AD206" s="24" t="n">
        <f aca="false">IFERROR(AC206/AVERAGE(AC201:AC212),"")</f>
        <v>1.03093738881229</v>
      </c>
      <c r="AE206" s="23" t="n">
        <f aca="false">IF(ISNUMBER(Tabelle1!L213),(0.5*Tabelle1!L201+SUM(Tabelle1!L202:L212)+0.5*Tabelle1!L213)/12,"")</f>
        <v>76.5300579166667</v>
      </c>
      <c r="AF206" s="24" t="n">
        <f aca="false">IFERROR(Tabelle1!L207/AE206,"")</f>
        <v>0.932121599563884</v>
      </c>
      <c r="AG206" s="24" t="n">
        <f aca="false">IFERROR(AVERAGEIFS($AF$7:$AF$294,$B$7:$B$294,$B206,$A$7:$A$294,"&gt;="&amp;EDATE($A206,-12*'Seasonal Factors'!$E$4),$A$7:$A$294,"&lt;="&amp;EDATE($A206,12*'Seasonal Factors'!$E$4)),"")</f>
        <v>0.996004588123846</v>
      </c>
      <c r="AH206" s="24" t="n">
        <f aca="false">IFERROR(AG206/AVERAGE(AG201:AG212),"")</f>
        <v>0.999352755738677</v>
      </c>
      <c r="AI206" s="23" t="n">
        <f aca="false">IF(ISNUMBER(Tabelle1!M213),(0.5*Tabelle1!M201+SUM(Tabelle1!M202:M212)+0.5*Tabelle1!M213)/12,"")</f>
        <v>155.0724825</v>
      </c>
      <c r="AJ206" s="24" t="n">
        <f aca="false">IFERROR(Tabelle1!M207/AI206,"")</f>
        <v>0.966966979457493</v>
      </c>
      <c r="AK206" s="24" t="n">
        <f aca="false">IFERROR(AVERAGEIFS($AJ$7:$AJ$294,$B$7:$B$294,$B206,$A$7:$A$294,"&gt;="&amp;EDATE($A206,-12*'Seasonal Factors'!$E$4),$A$7:$A$294,"&lt;="&amp;EDATE($A206,12*'Seasonal Factors'!$E$4)),"")</f>
        <v>0.994986047893374</v>
      </c>
      <c r="AL206" s="24" t="n">
        <f aca="false">IFERROR(AK206/AVERAGE(AK201:AK212),"")</f>
        <v>0.995185699340617</v>
      </c>
      <c r="AM206" s="23" t="n">
        <f aca="false">IF(ISNUMBER(Tabelle1!N213),(0.5*Tabelle1!N201+SUM(Tabelle1!N202:N212)+0.5*Tabelle1!N213)/12,"")</f>
        <v>167.039282916667</v>
      </c>
      <c r="AN206" s="24" t="n">
        <f aca="false">IFERROR(Tabelle1!N207/AM206,"")</f>
        <v>1.02478367370266</v>
      </c>
      <c r="AO206" s="24" t="n">
        <f aca="false">IFERROR(AVERAGEIFS($AN$7:$AN$294,$B$7:$B$294,$B206,$A$7:$A$294,"&gt;="&amp;EDATE($A206,-12*'Seasonal Factors'!$E$4),$A$7:$A$294,"&lt;="&amp;EDATE($A206,12*'Seasonal Factors'!$E$4)),"")</f>
        <v>1.02361776574056</v>
      </c>
      <c r="AP206" s="24" t="n">
        <f aca="false">IFERROR(AO206/AVERAGE(AO201:AO212),"")</f>
        <v>1.02553502260886</v>
      </c>
      <c r="AQ206" s="23" t="n">
        <f aca="false">IF(ISNUMBER(Tabelle1!O213),(0.5*Tabelle1!O201+SUM(Tabelle1!O202:O212)+0.5*Tabelle1!O213)/12,"")</f>
        <v>132.760327083333</v>
      </c>
      <c r="AR206" s="24" t="n">
        <f aca="false">IFERROR(Tabelle1!O207/AQ206,"")</f>
        <v>1.0141910837225</v>
      </c>
      <c r="AS206" s="24" t="n">
        <f aca="false">IFERROR(AVERAGEIFS($AR$7:$AR$294,$B$7:$B$294,$B206,$A$7:$A$294,"&gt;="&amp;EDATE($A206,-12*'Seasonal Factors'!$E$4),$A$7:$A$294,"&lt;="&amp;EDATE($A206,12*'Seasonal Factors'!$E$4)),"")</f>
        <v>1.01128770876802</v>
      </c>
      <c r="AT206" s="24" t="n">
        <f aca="false">IFERROR(AS206/AVERAGE(AS201:AS212),"")</f>
        <v>1.01143206557198</v>
      </c>
      <c r="AU206" s="23" t="n">
        <f aca="false">IF(ISNUMBER(Tabelle1!P213),(0.5*Tabelle1!P201+SUM(Tabelle1!P202:P212)+0.5*Tabelle1!P213)/12,"")</f>
        <v>142.849589166667</v>
      </c>
      <c r="AV206" s="24" t="n">
        <f aca="false">IFERROR(Tabelle1!P207/AU206,"")</f>
        <v>0.980230540506688</v>
      </c>
      <c r="AW206" s="24" t="n">
        <f aca="false">IFERROR(AVERAGEIFS($AV$7:$AV$294,$B$7:$B$294,$B206,$A$7:$A$294,"&gt;="&amp;EDATE($A206,-12*'Seasonal Factors'!$E$4),$A$7:$A$294,"&lt;="&amp;EDATE($A206,12*'Seasonal Factors'!$E$4)),"")</f>
        <v>0.993526914638613</v>
      </c>
      <c r="AX206" s="24" t="n">
        <f aca="false">IFERROR(AW206/AVERAGE(AW201:AW212),"")</f>
        <v>0.993458538194729</v>
      </c>
      <c r="AY206" s="23" t="n">
        <f aca="false">IF(ISNUMBER(Tabelle1!Q213),(0.5*Tabelle1!Q201+SUM(Tabelle1!Q202:Q212)+0.5*Tabelle1!Q213)/12,"")</f>
        <v>153.698611666667</v>
      </c>
      <c r="AZ206" s="24" t="n">
        <f aca="false">IFERROR(Tabelle1!Q207/AY206,"")</f>
        <v>0.996053304190006</v>
      </c>
      <c r="BA206" s="24" t="n">
        <f aca="false">IFERROR(AVERAGEIFS($AZ$7:$AZ$294,$B$7:$B$294,$B206,$A$7:$A$294,"&gt;="&amp;EDATE($A206,-12*'Seasonal Factors'!$E$4),$A$7:$A$294,"&lt;="&amp;EDATE($A206,12*'Seasonal Factors'!$E$4)),"")</f>
        <v>1.00686898912972</v>
      </c>
      <c r="BB206" s="24" t="n">
        <f aca="false">IFERROR(BA206/AVERAGE(BA201:BA212),"")</f>
        <v>1.00694602992795</v>
      </c>
      <c r="BC206" s="23" t="n">
        <f aca="false">IF(ISNUMBER(Tabelle1!R213),(0.5*Tabelle1!R201+SUM(Tabelle1!R202:R212)+0.5*Tabelle1!R213)/12,"")</f>
        <v>163.145510833333</v>
      </c>
      <c r="BD206" s="24" t="n">
        <f aca="false">IFERROR(Tabelle1!R207/BC206,"")</f>
        <v>0.995938896326665</v>
      </c>
      <c r="BE206" s="24" t="n">
        <f aca="false">IFERROR(AVERAGEIFS($BD$7:$BD$294,$B$7:$B$294,$B206,$A$7:$A$294,"&gt;="&amp;EDATE($A206,-12*'Seasonal Factors'!$E$4),$A$7:$A$294,"&lt;="&amp;EDATE($A206,12*'Seasonal Factors'!$E$4)),"")</f>
        <v>1.00043120887697</v>
      </c>
      <c r="BF206" s="24" t="n">
        <f aca="false">IFERROR(BE206/AVERAGE(BE201:BE212),"")</f>
        <v>1.00046823377042</v>
      </c>
      <c r="BG206" s="23" t="n">
        <f aca="false">IF(ISNUMBER(Tabelle1!S213),(0.5*Tabelle1!S201+SUM(Tabelle1!S202:S212)+0.5*Tabelle1!S213)/12,"")</f>
        <v>86.59037125</v>
      </c>
      <c r="BH206" s="24" t="n">
        <f aca="false">IFERROR(Tabelle1!S207/BG206,"")</f>
        <v>0.7729413678891</v>
      </c>
      <c r="BI206" s="24" t="n">
        <f aca="false">IFERROR(AVERAGEIFS($BH$7:$BH$294,$B$7:$B$294,$B206,$A$7:$A$294,"&gt;="&amp;EDATE($A206,-12*'Seasonal Factors'!$E$4),$A$7:$A$294,"&lt;="&amp;EDATE($A206,12*'Seasonal Factors'!$E$4)),"")</f>
        <v>0.971247450254502</v>
      </c>
      <c r="BJ206" s="24" t="n">
        <f aca="false">IFERROR(BI206/AVERAGE(BI201:BI212),"")</f>
        <v>0.973207168388774</v>
      </c>
    </row>
    <row r="207" customFormat="false" ht="15" hidden="false" customHeight="false" outlineLevel="0" collapsed="false">
      <c r="A207" s="20" t="n">
        <v>44104</v>
      </c>
      <c r="B207" s="22" t="n">
        <f aca="false">MONTH(A207)</f>
        <v>9</v>
      </c>
      <c r="C207" s="23" t="n">
        <f aca="false">IF(ISNUMBER(Tabelle1!E214),(0.5*Tabelle1!E202+SUM(Tabelle1!E203:E213)+0.5*Tabelle1!E214)/12,"")</f>
        <v>128.928246666667</v>
      </c>
      <c r="D207" s="24" t="n">
        <f aca="false">IFERROR(Tabelle1!E208/C207,"")</f>
        <v>0.572311358509128</v>
      </c>
      <c r="E207" s="24" t="n">
        <f aca="false">IFERROR(AVERAGEIFS($D$7:$D$294,$B$7:$B$294,$B207,$A$7:$A$294,"&gt;="&amp;EDATE($A207,-12*'Seasonal Factors'!$E$4),$A$7:$A$294,"&lt;="&amp;EDATE($A207,12*'Seasonal Factors'!$E$4)),"")</f>
        <v>0.571822514451892</v>
      </c>
      <c r="F207" s="24" t="n">
        <f aca="false">IFERROR(E207/AVERAGE(E202:E213),"")</f>
        <v>0.570446010614715</v>
      </c>
      <c r="G207" s="23" t="n">
        <f aca="false">IF(ISNUMBER(Tabelle1!F214),(0.5*Tabelle1!F202+SUM(Tabelle1!F203:F213)+0.5*Tabelle1!F214)/12,"")</f>
        <v>142.358932916667</v>
      </c>
      <c r="H207" s="24" t="n">
        <f aca="false">IFERROR(Tabelle1!F208/G207,"")</f>
        <v>1.66809848272049</v>
      </c>
      <c r="I207" s="24" t="n">
        <f aca="false">IFERROR(AVERAGEIFS($H$7:$H$294,$B$7:$B$294,$B207,$A$7:$A$294,"&gt;="&amp;EDATE($A207,-12*'Seasonal Factors'!$E$4),$A$7:$A$294,"&lt;="&amp;EDATE($A207,12*'Seasonal Factors'!$E$4)),"")</f>
        <v>1.32749077552474</v>
      </c>
      <c r="J207" s="24" t="n">
        <f aca="false">IFERROR(I207/AVERAGE(I202:I213),"")</f>
        <v>1.31967630024399</v>
      </c>
      <c r="K207" s="23" t="n">
        <f aca="false">IF(ISNUMBER(Tabelle1!G214),(0.5*Tabelle1!G202+SUM(Tabelle1!G203:G213)+0.5*Tabelle1!G214)/12,"")</f>
        <v>77.82593375</v>
      </c>
      <c r="L207" s="24" t="n">
        <f aca="false">IFERROR(Tabelle1!G208/K207,"")</f>
        <v>0.989718289117219</v>
      </c>
      <c r="M207" s="24" t="n">
        <f aca="false">IFERROR(AVERAGEIFS($L$7:$L$294,$B$7:$B$294,$B207,$A$7:$A$294,"&gt;="&amp;EDATE($A207,-12*'Seasonal Factors'!$E$4),$A$7:$A$294,"&lt;="&amp;EDATE($A207,12*'Seasonal Factors'!$E$4)),"")</f>
        <v>0.997851098391526</v>
      </c>
      <c r="N207" s="24" t="n">
        <f aca="false">IFERROR(M207/AVERAGE(M202:M213),"")</f>
        <v>0.998882790053749</v>
      </c>
      <c r="O207" s="23" t="n">
        <f aca="false">IF(ISNUMBER(Tabelle1!H214),(0.5*Tabelle1!H202+SUM(Tabelle1!H203:H213)+0.5*Tabelle1!H214)/12,"")</f>
        <v>110.6154625</v>
      </c>
      <c r="P207" s="24" t="n">
        <f aca="false">IFERROR(Tabelle1!H208/O207,"")</f>
        <v>1.0780854439767</v>
      </c>
      <c r="Q207" s="24" t="n">
        <f aca="false">IFERROR(AVERAGEIFS($P$7:$P$294,$B$7:$B$294,$B207,$A$7:$A$294,"&gt;="&amp;EDATE($A207,-12*'Seasonal Factors'!$E$4),$A$7:$A$294,"&lt;="&amp;EDATE($A207,12*'Seasonal Factors'!$E$4)),"")</f>
        <v>1.03720402813763</v>
      </c>
      <c r="R207" s="24" t="n">
        <f aca="false">IFERROR(Q207/AVERAGE(Q202:Q213),"")</f>
        <v>1.03776265960801</v>
      </c>
      <c r="S207" s="23" t="n">
        <f aca="false">IF(ISNUMBER(Tabelle1!I214),(0.5*Tabelle1!I202+SUM(Tabelle1!I203:I213)+0.5*Tabelle1!I214)/12,"")</f>
        <v>140.0208325</v>
      </c>
      <c r="T207" s="24" t="n">
        <f aca="false">IFERROR(Tabelle1!I208/S207,"")</f>
        <v>0.956669287050554</v>
      </c>
      <c r="U207" s="24" t="n">
        <f aca="false">IFERROR(AVERAGEIFS($T$7:$T$294,$B$7:$B$294,$B207,$A$7:$A$294,"&gt;="&amp;EDATE($A207,-12*'Seasonal Factors'!$E$4),$A$7:$A$294,"&lt;="&amp;EDATE($A207,12*'Seasonal Factors'!$E$4)),"")</f>
        <v>0.942102462836575</v>
      </c>
      <c r="V207" s="24" t="n">
        <f aca="false">IFERROR(U207/AVERAGE(U202:U213),"")</f>
        <v>0.941622235890925</v>
      </c>
      <c r="W207" s="23" t="n">
        <f aca="false">IF(ISNUMBER(Tabelle1!J214),(0.5*Tabelle1!J202+SUM(Tabelle1!J203:J213)+0.5*Tabelle1!J214)/12,"")</f>
        <v>115.2399</v>
      </c>
      <c r="X207" s="24" t="n">
        <f aca="false">IFERROR(Tabelle1!J208/W207,"")</f>
        <v>1.01063772183072</v>
      </c>
      <c r="Y207" s="24" t="n">
        <f aca="false">IFERROR(AVERAGEIFS($X$7:$X$294,$B$7:$B$294,$B207,$A$7:$A$294,"&gt;="&amp;EDATE($A207,-12*'Seasonal Factors'!$E$4),$A$7:$A$294,"&lt;="&amp;EDATE($A207,12*'Seasonal Factors'!$E$4)),"")</f>
        <v>1.03946886256718</v>
      </c>
      <c r="Z207" s="24" t="n">
        <f aca="false">IFERROR(Y207/AVERAGE(Y202:Y213),"")</f>
        <v>1.04221401967073</v>
      </c>
      <c r="AA207" s="23" t="n">
        <f aca="false">IF(ISNUMBER(Tabelle1!K214),(0.5*Tabelle1!K202+SUM(Tabelle1!K203:K213)+0.5*Tabelle1!K214)/12,"")</f>
        <v>134.749489583333</v>
      </c>
      <c r="AB207" s="24" t="n">
        <f aca="false">IFERROR(Tabelle1!K208/AA207,"")</f>
        <v>1.05263775349798</v>
      </c>
      <c r="AC207" s="24" t="n">
        <f aca="false">IFERROR(AVERAGEIFS($AB$7:$AB$294,$B$7:$B$294,$B207,$A$7:$A$294,"&gt;="&amp;EDATE($A207,-12*'Seasonal Factors'!$E$4),$A$7:$A$294,"&lt;="&amp;EDATE($A207,12*'Seasonal Factors'!$E$4)),"")</f>
        <v>1.00837352381954</v>
      </c>
      <c r="AD207" s="24" t="n">
        <f aca="false">IFERROR(AC207/AVERAGE(AC202:AC213),"")</f>
        <v>1.00909901784591</v>
      </c>
      <c r="AE207" s="23" t="n">
        <f aca="false">IF(ISNUMBER(Tabelle1!L214),(0.5*Tabelle1!L202+SUM(Tabelle1!L203:L213)+0.5*Tabelle1!L214)/12,"")</f>
        <v>73.6777533333333</v>
      </c>
      <c r="AF207" s="24" t="n">
        <f aca="false">IFERROR(Tabelle1!L208/AE207,"")</f>
        <v>0.866234611026413</v>
      </c>
      <c r="AG207" s="24" t="n">
        <f aca="false">IFERROR(AVERAGEIFS($AF$7:$AF$294,$B$7:$B$294,$B207,$A$7:$A$294,"&gt;="&amp;EDATE($A207,-12*'Seasonal Factors'!$E$4),$A$7:$A$294,"&lt;="&amp;EDATE($A207,12*'Seasonal Factors'!$E$4)),"")</f>
        <v>0.959328169402275</v>
      </c>
      <c r="AH207" s="24" t="n">
        <f aca="false">IFERROR(AG207/AVERAGE(AG202:AG213),"")</f>
        <v>0.963548648207713</v>
      </c>
      <c r="AI207" s="23" t="n">
        <f aca="false">IF(ISNUMBER(Tabelle1!M214),(0.5*Tabelle1!M202+SUM(Tabelle1!M203:M213)+0.5*Tabelle1!M214)/12,"")</f>
        <v>154.2335475</v>
      </c>
      <c r="AJ207" s="24" t="n">
        <f aca="false">IFERROR(Tabelle1!M208/AI207,"")</f>
        <v>0.986400964420533</v>
      </c>
      <c r="AK207" s="24" t="n">
        <f aca="false">IFERROR(AVERAGEIFS($AJ$7:$AJ$294,$B$7:$B$294,$B207,$A$7:$A$294,"&gt;="&amp;EDATE($A207,-12*'Seasonal Factors'!$E$4),$A$7:$A$294,"&lt;="&amp;EDATE($A207,12*'Seasonal Factors'!$E$4)),"")</f>
        <v>0.987079674275969</v>
      </c>
      <c r="AL207" s="24" t="n">
        <f aca="false">IFERROR(AK207/AVERAGE(AK202:AK213),"")</f>
        <v>0.987393030060762</v>
      </c>
      <c r="AM207" s="23" t="n">
        <f aca="false">IF(ISNUMBER(Tabelle1!N214),(0.5*Tabelle1!N202+SUM(Tabelle1!N203:N213)+0.5*Tabelle1!N214)/12,"")</f>
        <v>167.60484875</v>
      </c>
      <c r="AN207" s="24" t="n">
        <f aca="false">IFERROR(Tabelle1!N208/AM207,"")</f>
        <v>0.997974051750099</v>
      </c>
      <c r="AO207" s="24" t="n">
        <f aca="false">IFERROR(AVERAGEIFS($AN$7:$AN$294,$B$7:$B$294,$B207,$A$7:$A$294,"&gt;="&amp;EDATE($A207,-12*'Seasonal Factors'!$E$4),$A$7:$A$294,"&lt;="&amp;EDATE($A207,12*'Seasonal Factors'!$E$4)),"")</f>
        <v>0.988745746259824</v>
      </c>
      <c r="AP207" s="24" t="n">
        <f aca="false">IFERROR(AO207/AVERAGE(AO202:AO213),"")</f>
        <v>0.99025935181282</v>
      </c>
      <c r="AQ207" s="23" t="n">
        <f aca="false">IF(ISNUMBER(Tabelle1!O214),(0.5*Tabelle1!O202+SUM(Tabelle1!O203:O213)+0.5*Tabelle1!O214)/12,"")</f>
        <v>133.360915</v>
      </c>
      <c r="AR207" s="24" t="n">
        <f aca="false">IFERROR(Tabelle1!O208/AQ207,"")</f>
        <v>1.01842357635294</v>
      </c>
      <c r="AS207" s="24" t="n">
        <f aca="false">IFERROR(AVERAGEIFS($AR$7:$AR$294,$B$7:$B$294,$B207,$A$7:$A$294,"&gt;="&amp;EDATE($A207,-12*'Seasonal Factors'!$E$4),$A$7:$A$294,"&lt;="&amp;EDATE($A207,12*'Seasonal Factors'!$E$4)),"")</f>
        <v>0.999760715006259</v>
      </c>
      <c r="AT207" s="24" t="n">
        <f aca="false">IFERROR(AS207/AVERAGE(AS202:AS213),"")</f>
        <v>0.999975827200948</v>
      </c>
      <c r="AU207" s="23" t="n">
        <f aca="false">IF(ISNUMBER(Tabelle1!P214),(0.5*Tabelle1!P202+SUM(Tabelle1!P203:P213)+0.5*Tabelle1!P214)/12,"")</f>
        <v>142.253852916667</v>
      </c>
      <c r="AV207" s="24" t="n">
        <f aca="false">IFERROR(Tabelle1!P208/AU207,"")</f>
        <v>0.988259770245766</v>
      </c>
      <c r="AW207" s="24" t="n">
        <f aca="false">IFERROR(AVERAGEIFS($AV$7:$AV$294,$B$7:$B$294,$B207,$A$7:$A$294,"&gt;="&amp;EDATE($A207,-12*'Seasonal Factors'!$E$4),$A$7:$A$294,"&lt;="&amp;EDATE($A207,12*'Seasonal Factors'!$E$4)),"")</f>
        <v>0.996810427431552</v>
      </c>
      <c r="AX207" s="24" t="n">
        <f aca="false">IFERROR(AW207/AVERAGE(AW202:AW213),"")</f>
        <v>0.996737950303844</v>
      </c>
      <c r="AY207" s="23" t="n">
        <f aca="false">IF(ISNUMBER(Tabelle1!Q214),(0.5*Tabelle1!Q202+SUM(Tabelle1!Q203:Q213)+0.5*Tabelle1!Q214)/12,"")</f>
        <v>153.568932916667</v>
      </c>
      <c r="AZ207" s="24" t="n">
        <f aca="false">IFERROR(Tabelle1!Q208/AY207,"")</f>
        <v>1.01001333442987</v>
      </c>
      <c r="BA207" s="24" t="n">
        <f aca="false">IFERROR(AVERAGEIFS($AZ$7:$AZ$294,$B$7:$B$294,$B207,$A$7:$A$294,"&gt;="&amp;EDATE($A207,-12*'Seasonal Factors'!$E$4),$A$7:$A$294,"&lt;="&amp;EDATE($A207,12*'Seasonal Factors'!$E$4)),"")</f>
        <v>1.0112997814926</v>
      </c>
      <c r="BB207" s="24" t="n">
        <f aca="false">IFERROR(BA207/AVERAGE(BA202:BA213),"")</f>
        <v>1.01129337014886</v>
      </c>
      <c r="BC207" s="23" t="n">
        <f aca="false">IF(ISNUMBER(Tabelle1!R214),(0.5*Tabelle1!R202+SUM(Tabelle1!R203:R213)+0.5*Tabelle1!R214)/12,"")</f>
        <v>163.73725125</v>
      </c>
      <c r="BD207" s="24" t="n">
        <f aca="false">IFERROR(Tabelle1!R208/BC207,"")</f>
        <v>1.01524282795116</v>
      </c>
      <c r="BE207" s="24" t="n">
        <f aca="false">IFERROR(AVERAGEIFS($BD$7:$BD$294,$B$7:$B$294,$B207,$A$7:$A$294,"&gt;="&amp;EDATE($A207,-12*'Seasonal Factors'!$E$4),$A$7:$A$294,"&lt;="&amp;EDATE($A207,12*'Seasonal Factors'!$E$4)),"")</f>
        <v>0.987590967749612</v>
      </c>
      <c r="BF207" s="24" t="n">
        <f aca="false">IFERROR(BE207/AVERAGE(BE202:BE213),"")</f>
        <v>0.987567293708255</v>
      </c>
      <c r="BG207" s="23" t="n">
        <f aca="false">IF(ISNUMBER(Tabelle1!S214),(0.5*Tabelle1!S202+SUM(Tabelle1!S203:S213)+0.5*Tabelle1!S214)/12,"")</f>
        <v>86.0427570833333</v>
      </c>
      <c r="BH207" s="24" t="n">
        <f aca="false">IFERROR(Tabelle1!S208/BG207,"")</f>
        <v>0.801967676758305</v>
      </c>
      <c r="BI207" s="24" t="n">
        <f aca="false">IFERROR(AVERAGEIFS($BH$7:$BH$294,$B$7:$B$294,$B207,$A$7:$A$294,"&gt;="&amp;EDATE($A207,-12*'Seasonal Factors'!$E$4),$A$7:$A$294,"&lt;="&amp;EDATE($A207,12*'Seasonal Factors'!$E$4)),"")</f>
        <v>0.944687517061317</v>
      </c>
      <c r="BJ207" s="24" t="n">
        <f aca="false">IFERROR(BI207/AVERAGE(BI202:BI213),"")</f>
        <v>0.946056548421098</v>
      </c>
    </row>
    <row r="208" customFormat="false" ht="15" hidden="false" customHeight="false" outlineLevel="0" collapsed="false">
      <c r="A208" s="20" t="n">
        <v>44135</v>
      </c>
      <c r="B208" s="22" t="n">
        <f aca="false">MONTH(A208)</f>
        <v>10</v>
      </c>
      <c r="C208" s="23" t="n">
        <f aca="false">IF(ISNUMBER(Tabelle1!E215),(0.5*Tabelle1!E203+SUM(Tabelle1!E204:E214)+0.5*Tabelle1!E215)/12,"")</f>
        <v>129.18773875</v>
      </c>
      <c r="D208" s="24" t="n">
        <f aca="false">IFERROR(Tabelle1!E209/C208,"")</f>
        <v>0.567601079711599</v>
      </c>
      <c r="E208" s="24" t="n">
        <f aca="false">IFERROR(AVERAGEIFS($D$7:$D$294,$B$7:$B$294,$B208,$A$7:$A$294,"&gt;="&amp;EDATE($A208,-12*'Seasonal Factors'!$E$4),$A$7:$A$294,"&lt;="&amp;EDATE($A208,12*'Seasonal Factors'!$E$4)),"")</f>
        <v>0.590679288753034</v>
      </c>
      <c r="F208" s="24" t="n">
        <f aca="false">IFERROR(E208/AVERAGE(E203:E214),"")</f>
        <v>0.589649713361674</v>
      </c>
      <c r="G208" s="23" t="n">
        <f aca="false">IF(ISNUMBER(Tabelle1!F215),(0.5*Tabelle1!F203+SUM(Tabelle1!F204:F214)+0.5*Tabelle1!F215)/12,"")</f>
        <v>144.835025416667</v>
      </c>
      <c r="H208" s="24" t="n">
        <f aca="false">IFERROR(Tabelle1!F209/G208,"")</f>
        <v>1.12299555671762</v>
      </c>
      <c r="I208" s="24" t="n">
        <f aca="false">IFERROR(AVERAGEIFS($H$7:$H$294,$B$7:$B$294,$B208,$A$7:$A$294,"&gt;="&amp;EDATE($A208,-12*'Seasonal Factors'!$E$4),$A$7:$A$294,"&lt;="&amp;EDATE($A208,12*'Seasonal Factors'!$E$4)),"")</f>
        <v>0.998563722524229</v>
      </c>
      <c r="J208" s="24" t="n">
        <f aca="false">IFERROR(I208/AVERAGE(I203:I214),"")</f>
        <v>0.989263698978734</v>
      </c>
      <c r="K208" s="23" t="n">
        <f aca="false">IF(ISNUMBER(Tabelle1!G215),(0.5*Tabelle1!G203+SUM(Tabelle1!G204:G214)+0.5*Tabelle1!G215)/12,"")</f>
        <v>78.28792875</v>
      </c>
      <c r="L208" s="24" t="n">
        <f aca="false">IFERROR(Tabelle1!G209/K208,"")</f>
        <v>1.01771973370799</v>
      </c>
      <c r="M208" s="24" t="n">
        <f aca="false">IFERROR(AVERAGEIFS($L$7:$L$294,$B$7:$B$294,$B208,$A$7:$A$294,"&gt;="&amp;EDATE($A208,-12*'Seasonal Factors'!$E$4),$A$7:$A$294,"&lt;="&amp;EDATE($A208,12*'Seasonal Factors'!$E$4)),"")</f>
        <v>1.02215799725509</v>
      </c>
      <c r="N208" s="24" t="n">
        <f aca="false">IFERROR(M208/AVERAGE(M203:M214),"")</f>
        <v>1.02350446743044</v>
      </c>
      <c r="O208" s="23" t="n">
        <f aca="false">IF(ISNUMBER(Tabelle1!H215),(0.5*Tabelle1!H203+SUM(Tabelle1!H204:H214)+0.5*Tabelle1!H215)/12,"")</f>
        <v>113.776308333333</v>
      </c>
      <c r="P208" s="24" t="n">
        <f aca="false">IFERROR(Tabelle1!H209/O208,"")</f>
        <v>1.12004767835014</v>
      </c>
      <c r="Q208" s="24" t="n">
        <f aca="false">IFERROR(AVERAGEIFS($P$7:$P$294,$B$7:$B$294,$B208,$A$7:$A$294,"&gt;="&amp;EDATE($A208,-12*'Seasonal Factors'!$E$4),$A$7:$A$294,"&lt;="&amp;EDATE($A208,12*'Seasonal Factors'!$E$4)),"")</f>
        <v>1.08578453752993</v>
      </c>
      <c r="R208" s="24" t="n">
        <f aca="false">IFERROR(Q208/AVERAGE(Q203:Q214),"")</f>
        <v>1.08649580870812</v>
      </c>
      <c r="S208" s="23" t="n">
        <f aca="false">IF(ISNUMBER(Tabelle1!I215),(0.5*Tabelle1!I203+SUM(Tabelle1!I204:I214)+0.5*Tabelle1!I215)/12,"")</f>
        <v>140.571936666667</v>
      </c>
      <c r="T208" s="24" t="n">
        <f aca="false">IFERROR(Tabelle1!I209/S208,"")</f>
        <v>0.941484930337329</v>
      </c>
      <c r="U208" s="24" t="n">
        <f aca="false">IFERROR(AVERAGEIFS($T$7:$T$294,$B$7:$B$294,$B208,$A$7:$A$294,"&gt;="&amp;EDATE($A208,-12*'Seasonal Factors'!$E$4),$A$7:$A$294,"&lt;="&amp;EDATE($A208,12*'Seasonal Factors'!$E$4)),"")</f>
        <v>0.928455841271215</v>
      </c>
      <c r="V208" s="24" t="n">
        <f aca="false">IFERROR(U208/AVERAGE(U203:U214),"")</f>
        <v>0.928672714892549</v>
      </c>
      <c r="W208" s="23" t="n">
        <f aca="false">IF(ISNUMBER(Tabelle1!J215),(0.5*Tabelle1!J203+SUM(Tabelle1!J204:J214)+0.5*Tabelle1!J215)/12,"")</f>
        <v>121.444417083333</v>
      </c>
      <c r="X208" s="24" t="n">
        <f aca="false">IFERROR(Tabelle1!J209/W208,"")</f>
        <v>1.09613643176907</v>
      </c>
      <c r="Y208" s="24" t="n">
        <f aca="false">IFERROR(AVERAGEIFS($X$7:$X$294,$B$7:$B$294,$B208,$A$7:$A$294,"&gt;="&amp;EDATE($A208,-12*'Seasonal Factors'!$E$4),$A$7:$A$294,"&lt;="&amp;EDATE($A208,12*'Seasonal Factors'!$E$4)),"")</f>
        <v>1.00598447985746</v>
      </c>
      <c r="Z208" s="24" t="n">
        <f aca="false">IFERROR(Y208/AVERAGE(Y203:Y214),"")</f>
        <v>1.00769379763266</v>
      </c>
      <c r="AA208" s="23" t="n">
        <f aca="false">IF(ISNUMBER(Tabelle1!K215),(0.5*Tabelle1!K203+SUM(Tabelle1!K204:K214)+0.5*Tabelle1!K215)/12,"")</f>
        <v>137.81634</v>
      </c>
      <c r="AB208" s="24" t="n">
        <f aca="false">IFERROR(Tabelle1!K209/AA208,"")</f>
        <v>1.0540504123096</v>
      </c>
      <c r="AC208" s="24" t="n">
        <f aca="false">IFERROR(AVERAGEIFS($AB$7:$AB$294,$B$7:$B$294,$B208,$A$7:$A$294,"&gt;="&amp;EDATE($A208,-12*'Seasonal Factors'!$E$4),$A$7:$A$294,"&lt;="&amp;EDATE($A208,12*'Seasonal Factors'!$E$4)),"")</f>
        <v>1.03122219095125</v>
      </c>
      <c r="AD208" s="24" t="n">
        <f aca="false">IFERROR(AC208/AVERAGE(AC203:AC214),"")</f>
        <v>1.03163535911543</v>
      </c>
      <c r="AE208" s="23" t="n">
        <f aca="false">IF(ISNUMBER(Tabelle1!L215),(0.5*Tabelle1!L203+SUM(Tabelle1!L204:L214)+0.5*Tabelle1!L215)/12,"")</f>
        <v>76.35468625</v>
      </c>
      <c r="AF208" s="24" t="n">
        <f aca="false">IFERROR(Tabelle1!L209/AE208,"")</f>
        <v>0.985415482602419</v>
      </c>
      <c r="AG208" s="24" t="n">
        <f aca="false">IFERROR(AVERAGEIFS($AF$7:$AF$294,$B$7:$B$294,$B208,$A$7:$A$294,"&gt;="&amp;EDATE($A208,-12*'Seasonal Factors'!$E$4),$A$7:$A$294,"&lt;="&amp;EDATE($A208,12*'Seasonal Factors'!$E$4)),"")</f>
        <v>1.03822675133416</v>
      </c>
      <c r="AH208" s="24" t="n">
        <f aca="false">IFERROR(AG208/AVERAGE(AG203:AG214),"")</f>
        <v>1.04504070958038</v>
      </c>
      <c r="AI208" s="23" t="n">
        <f aca="false">IF(ISNUMBER(Tabelle1!M215),(0.5*Tabelle1!M203+SUM(Tabelle1!M204:M214)+0.5*Tabelle1!M215)/12,"")</f>
        <v>155.492062083333</v>
      </c>
      <c r="AJ208" s="24" t="n">
        <f aca="false">IFERROR(Tabelle1!M209/AI208,"")</f>
        <v>0.975527290381589</v>
      </c>
      <c r="AK208" s="24" t="n">
        <f aca="false">IFERROR(AVERAGEIFS($AJ$7:$AJ$294,$B$7:$B$294,$B208,$A$7:$A$294,"&gt;="&amp;EDATE($A208,-12*'Seasonal Factors'!$E$4),$A$7:$A$294,"&lt;="&amp;EDATE($A208,12*'Seasonal Factors'!$E$4)),"")</f>
        <v>0.992074937835022</v>
      </c>
      <c r="AL208" s="24" t="n">
        <f aca="false">IFERROR(AK208/AVERAGE(AK203:AK214),"")</f>
        <v>0.992274184143954</v>
      </c>
      <c r="AM208" s="23" t="n">
        <f aca="false">IF(ISNUMBER(Tabelle1!N215),(0.5*Tabelle1!N203+SUM(Tabelle1!N204:N214)+0.5*Tabelle1!N215)/12,"")</f>
        <v>168.175112916667</v>
      </c>
      <c r="AN208" s="24" t="n">
        <f aca="false">IFERROR(Tabelle1!N209/AM208,"")</f>
        <v>1.02661515729471</v>
      </c>
      <c r="AO208" s="24" t="n">
        <f aca="false">IFERROR(AVERAGEIFS($AN$7:$AN$294,$B$7:$B$294,$B208,$A$7:$A$294,"&gt;="&amp;EDATE($A208,-12*'Seasonal Factors'!$E$4),$A$7:$A$294,"&lt;="&amp;EDATE($A208,12*'Seasonal Factors'!$E$4)),"")</f>
        <v>1.01384564295786</v>
      </c>
      <c r="AP208" s="24" t="n">
        <f aca="false">IFERROR(AO208/AVERAGE(AO203:AO214),"")</f>
        <v>1.01494441404615</v>
      </c>
      <c r="AQ208" s="23" t="n">
        <f aca="false">IF(ISNUMBER(Tabelle1!O215),(0.5*Tabelle1!O203+SUM(Tabelle1!O204:O214)+0.5*Tabelle1!O215)/12,"")</f>
        <v>135.061829166667</v>
      </c>
      <c r="AR208" s="24" t="n">
        <f aca="false">IFERROR(Tabelle1!O209/AQ208,"")</f>
        <v>1.01938668274737</v>
      </c>
      <c r="AS208" s="24" t="n">
        <f aca="false">IFERROR(AVERAGEIFS($AR$7:$AR$294,$B$7:$B$294,$B208,$A$7:$A$294,"&gt;="&amp;EDATE($A208,-12*'Seasonal Factors'!$E$4),$A$7:$A$294,"&lt;="&amp;EDATE($A208,12*'Seasonal Factors'!$E$4)),"")</f>
        <v>1.00940965798472</v>
      </c>
      <c r="AT208" s="24" t="n">
        <f aca="false">IFERROR(AS208/AVERAGE(AS203:AS214),"")</f>
        <v>1.00940636403422</v>
      </c>
      <c r="AU208" s="23" t="n">
        <f aca="false">IF(ISNUMBER(Tabelle1!P215),(0.5*Tabelle1!P203+SUM(Tabelle1!P204:P214)+0.5*Tabelle1!P215)/12,"")</f>
        <v>142.495583333333</v>
      </c>
      <c r="AV208" s="24" t="n">
        <f aca="false">IFERROR(Tabelle1!P209/AU208,"")</f>
        <v>1.00460566321646</v>
      </c>
      <c r="AW208" s="24" t="n">
        <f aca="false">IFERROR(AVERAGEIFS($AV$7:$AV$294,$B$7:$B$294,$B208,$A$7:$A$294,"&gt;="&amp;EDATE($A208,-12*'Seasonal Factors'!$E$4),$A$7:$A$294,"&lt;="&amp;EDATE($A208,12*'Seasonal Factors'!$E$4)),"")</f>
        <v>1.00447128344642</v>
      </c>
      <c r="AX208" s="24" t="n">
        <f aca="false">IFERROR(AW208/AVERAGE(AW203:AW214),"")</f>
        <v>1.00443341055741</v>
      </c>
      <c r="AY208" s="23" t="n">
        <f aca="false">IF(ISNUMBER(Tabelle1!Q215),(0.5*Tabelle1!Q203+SUM(Tabelle1!Q204:Q214)+0.5*Tabelle1!Q215)/12,"")</f>
        <v>154.0799475</v>
      </c>
      <c r="AZ208" s="24" t="n">
        <f aca="false">IFERROR(Tabelle1!Q209/AY208,"")</f>
        <v>1.01597295780491</v>
      </c>
      <c r="BA208" s="24" t="n">
        <f aca="false">IFERROR(AVERAGEIFS($AZ$7:$AZ$294,$B$7:$B$294,$B208,$A$7:$A$294,"&gt;="&amp;EDATE($A208,-12*'Seasonal Factors'!$E$4),$A$7:$A$294,"&lt;="&amp;EDATE($A208,12*'Seasonal Factors'!$E$4)),"")</f>
        <v>1.01193887607058</v>
      </c>
      <c r="BB208" s="24" t="n">
        <f aca="false">IFERROR(BA208/AVERAGE(BA203:BA214),"")</f>
        <v>1.01186982358351</v>
      </c>
      <c r="BC208" s="23" t="n">
        <f aca="false">IF(ISNUMBER(Tabelle1!R215),(0.5*Tabelle1!R203+SUM(Tabelle1!R204:R214)+0.5*Tabelle1!R215)/12,"")</f>
        <v>167.0454075</v>
      </c>
      <c r="BD208" s="24" t="n">
        <f aca="false">IFERROR(Tabelle1!R209/BC208,"")</f>
        <v>1.01580883030262</v>
      </c>
      <c r="BE208" s="24" t="n">
        <f aca="false">IFERROR(AVERAGEIFS($BD$7:$BD$294,$B$7:$B$294,$B208,$A$7:$A$294,"&gt;="&amp;EDATE($A208,-12*'Seasonal Factors'!$E$4),$A$7:$A$294,"&lt;="&amp;EDATE($A208,12*'Seasonal Factors'!$E$4)),"")</f>
        <v>0.965735288474533</v>
      </c>
      <c r="BF208" s="24" t="n">
        <f aca="false">IFERROR(BE208/AVERAGE(BE203:BE214),"")</f>
        <v>0.965702728174432</v>
      </c>
      <c r="BG208" s="23" t="n">
        <f aca="false">IF(ISNUMBER(Tabelle1!S215),(0.5*Tabelle1!S203+SUM(Tabelle1!S204:S214)+0.5*Tabelle1!S215)/12,"")</f>
        <v>89.0397754166667</v>
      </c>
      <c r="BH208" s="24" t="n">
        <f aca="false">IFERROR(Tabelle1!S209/BG208,"")</f>
        <v>1.1629714867926</v>
      </c>
      <c r="BI208" s="24" t="n">
        <f aca="false">IFERROR(AVERAGEIFS($BH$7:$BH$294,$B$7:$B$294,$B208,$A$7:$A$294,"&gt;="&amp;EDATE($A208,-12*'Seasonal Factors'!$E$4),$A$7:$A$294,"&lt;="&amp;EDATE($A208,12*'Seasonal Factors'!$E$4)),"")</f>
        <v>1.01250348016394</v>
      </c>
      <c r="BJ208" s="24" t="n">
        <f aca="false">IFERROR(BI208/AVERAGE(BI203:BI214),"")</f>
        <v>1.01418446947509</v>
      </c>
    </row>
    <row r="209" customFormat="false" ht="15" hidden="false" customHeight="false" outlineLevel="0" collapsed="false">
      <c r="A209" s="20" t="n">
        <v>44165</v>
      </c>
      <c r="B209" s="22" t="n">
        <f aca="false">MONTH(A209)</f>
        <v>11</v>
      </c>
      <c r="C209" s="23" t="n">
        <f aca="false">IF(ISNUMBER(Tabelle1!E216),(0.5*Tabelle1!E204+SUM(Tabelle1!E205:E215)+0.5*Tabelle1!E216)/12,"")</f>
        <v>128.553714166667</v>
      </c>
      <c r="D209" s="24" t="n">
        <f aca="false">IFERROR(Tabelle1!E210/C209,"")</f>
        <v>0.676497529174851</v>
      </c>
      <c r="E209" s="24" t="n">
        <f aca="false">IFERROR(AVERAGEIFS($D$7:$D$294,$B$7:$B$294,$B209,$A$7:$A$294,"&gt;="&amp;EDATE($A209,-12*'Seasonal Factors'!$E$4),$A$7:$A$294,"&lt;="&amp;EDATE($A209,12*'Seasonal Factors'!$E$4)),"")</f>
        <v>0.695656922530907</v>
      </c>
      <c r="F209" s="24" t="n">
        <f aca="false">IFERROR(E209/AVERAGE(E204:E215),"")</f>
        <v>0.696833318618355</v>
      </c>
      <c r="G209" s="23" t="n">
        <f aca="false">IF(ISNUMBER(Tabelle1!F216),(0.5*Tabelle1!F204+SUM(Tabelle1!F205:F215)+0.5*Tabelle1!F216)/12,"")</f>
        <v>145.219079583333</v>
      </c>
      <c r="H209" s="24" t="n">
        <f aca="false">IFERROR(Tabelle1!F210/G209,"")</f>
        <v>0.596639437797015</v>
      </c>
      <c r="I209" s="24" t="n">
        <f aca="false">IFERROR(AVERAGEIFS($H$7:$H$294,$B$7:$B$294,$B209,$A$7:$A$294,"&gt;="&amp;EDATE($A209,-12*'Seasonal Factors'!$E$4),$A$7:$A$294,"&lt;="&amp;EDATE($A209,12*'Seasonal Factors'!$E$4)),"")</f>
        <v>0.601619921445995</v>
      </c>
      <c r="J209" s="24" t="n">
        <f aca="false">IFERROR(I209/AVERAGE(I204:I215),"")</f>
        <v>0.595173126839194</v>
      </c>
      <c r="K209" s="23" t="n">
        <f aca="false">IF(ISNUMBER(Tabelle1!G216),(0.5*Tabelle1!G204+SUM(Tabelle1!G205:G215)+0.5*Tabelle1!G216)/12,"")</f>
        <v>79.46527875</v>
      </c>
      <c r="L209" s="24" t="n">
        <f aca="false">IFERROR(Tabelle1!G210/K209,"")</f>
        <v>0.963352689428526</v>
      </c>
      <c r="M209" s="24" t="n">
        <f aca="false">IFERROR(AVERAGEIFS($L$7:$L$294,$B$7:$B$294,$B209,$A$7:$A$294,"&gt;="&amp;EDATE($A209,-12*'Seasonal Factors'!$E$4),$A$7:$A$294,"&lt;="&amp;EDATE($A209,12*'Seasonal Factors'!$E$4)),"")</f>
        <v>0.978867805463774</v>
      </c>
      <c r="N209" s="24" t="n">
        <f aca="false">IFERROR(M209/AVERAGE(M204:M215),"")</f>
        <v>0.980117371611352</v>
      </c>
      <c r="O209" s="23" t="n">
        <f aca="false">IF(ISNUMBER(Tabelle1!H216),(0.5*Tabelle1!H204+SUM(Tabelle1!H205:H215)+0.5*Tabelle1!H216)/12,"")</f>
        <v>116.871469583333</v>
      </c>
      <c r="P209" s="24" t="n">
        <f aca="false">IFERROR(Tabelle1!H210/O209,"")</f>
        <v>1.06654952183279</v>
      </c>
      <c r="Q209" s="24" t="n">
        <f aca="false">IFERROR(AVERAGEIFS($P$7:$P$294,$B$7:$B$294,$B209,$A$7:$A$294,"&gt;="&amp;EDATE($A209,-12*'Seasonal Factors'!$E$4),$A$7:$A$294,"&lt;="&amp;EDATE($A209,12*'Seasonal Factors'!$E$4)),"")</f>
        <v>1.07161680633094</v>
      </c>
      <c r="R209" s="24" t="n">
        <f aca="false">IFERROR(Q209/AVERAGE(Q204:Q215),"")</f>
        <v>1.07243470366731</v>
      </c>
      <c r="S209" s="23" t="n">
        <f aca="false">IF(ISNUMBER(Tabelle1!I216),(0.5*Tabelle1!I204+SUM(Tabelle1!I205:I215)+0.5*Tabelle1!I216)/12,"")</f>
        <v>141.765589583333</v>
      </c>
      <c r="T209" s="24" t="n">
        <f aca="false">IFERROR(Tabelle1!I210/S209,"")</f>
        <v>0.98312863092967</v>
      </c>
      <c r="U209" s="24" t="n">
        <f aca="false">IFERROR(AVERAGEIFS($T$7:$T$294,$B$7:$B$294,$B209,$A$7:$A$294,"&gt;="&amp;EDATE($A209,-12*'Seasonal Factors'!$E$4),$A$7:$A$294,"&lt;="&amp;EDATE($A209,12*'Seasonal Factors'!$E$4)),"")</f>
        <v>0.94589708657358</v>
      </c>
      <c r="V209" s="24" t="n">
        <f aca="false">IFERROR(U209/AVERAGE(U204:U215),"")</f>
        <v>0.946579327088923</v>
      </c>
      <c r="W209" s="23" t="n">
        <f aca="false">IF(ISNUMBER(Tabelle1!J216),(0.5*Tabelle1!J204+SUM(Tabelle1!J205:J215)+0.5*Tabelle1!J216)/12,"")</f>
        <v>127.42510625</v>
      </c>
      <c r="X209" s="24" t="n">
        <f aca="false">IFERROR(Tabelle1!J210/W209,"")</f>
        <v>1.07788373925723</v>
      </c>
      <c r="Y209" s="24" t="n">
        <f aca="false">IFERROR(AVERAGEIFS($X$7:$X$294,$B$7:$B$294,$B209,$A$7:$A$294,"&gt;="&amp;EDATE($A209,-12*'Seasonal Factors'!$E$4),$A$7:$A$294,"&lt;="&amp;EDATE($A209,12*'Seasonal Factors'!$E$4)),"")</f>
        <v>1.01737425426404</v>
      </c>
      <c r="Z209" s="24" t="n">
        <f aca="false">IFERROR(Y209/AVERAGE(Y204:Y215),"")</f>
        <v>1.01962505844101</v>
      </c>
      <c r="AA209" s="23" t="n">
        <f aca="false">IF(ISNUMBER(Tabelle1!K216),(0.5*Tabelle1!K204+SUM(Tabelle1!K205:K215)+0.5*Tabelle1!K216)/12,"")</f>
        <v>140.969995</v>
      </c>
      <c r="AB209" s="24" t="n">
        <f aca="false">IFERROR(Tabelle1!K210/AA209,"")</f>
        <v>1.02493583829665</v>
      </c>
      <c r="AC209" s="24" t="n">
        <f aca="false">IFERROR(AVERAGEIFS($AB$7:$AB$294,$B$7:$B$294,$B209,$A$7:$A$294,"&gt;="&amp;EDATE($A209,-12*'Seasonal Factors'!$E$4),$A$7:$A$294,"&lt;="&amp;EDATE($A209,12*'Seasonal Factors'!$E$4)),"")</f>
        <v>1.04867602338863</v>
      </c>
      <c r="AD209" s="24" t="n">
        <f aca="false">IFERROR(AC209/AVERAGE(AC204:AC215),"")</f>
        <v>1.04875748470079</v>
      </c>
      <c r="AE209" s="23" t="n">
        <f aca="false">IF(ISNUMBER(Tabelle1!L216),(0.5*Tabelle1!L204+SUM(Tabelle1!L205:L215)+0.5*Tabelle1!L216)/12,"")</f>
        <v>81.4993983333333</v>
      </c>
      <c r="AF209" s="24" t="n">
        <f aca="false">IFERROR(Tabelle1!L210/AE209,"")</f>
        <v>0.956870008794952</v>
      </c>
      <c r="AG209" s="24" t="n">
        <f aca="false">IFERROR(AVERAGEIFS($AF$7:$AF$294,$B$7:$B$294,$B209,$A$7:$A$294,"&gt;="&amp;EDATE($A209,-12*'Seasonal Factors'!$E$4),$A$7:$A$294,"&lt;="&amp;EDATE($A209,12*'Seasonal Factors'!$E$4)),"")</f>
        <v>1.05000579904915</v>
      </c>
      <c r="AH209" s="24" t="n">
        <f aca="false">IFERROR(AG209/AVERAGE(AG204:AG215),"")</f>
        <v>1.05689676351891</v>
      </c>
      <c r="AI209" s="23" t="n">
        <f aca="false">IF(ISNUMBER(Tabelle1!M216),(0.5*Tabelle1!M204+SUM(Tabelle1!M205:M215)+0.5*Tabelle1!M216)/12,"")</f>
        <v>157.13944125</v>
      </c>
      <c r="AJ209" s="24" t="n">
        <f aca="false">IFERROR(Tabelle1!M210/AI209,"")</f>
        <v>0.974684896303843</v>
      </c>
      <c r="AK209" s="24" t="n">
        <f aca="false">IFERROR(AVERAGEIFS($AJ$7:$AJ$294,$B$7:$B$294,$B209,$A$7:$A$294,"&gt;="&amp;EDATE($A209,-12*'Seasonal Factors'!$E$4),$A$7:$A$294,"&lt;="&amp;EDATE($A209,12*'Seasonal Factors'!$E$4)),"")</f>
        <v>0.991711484621036</v>
      </c>
      <c r="AL209" s="24" t="n">
        <f aca="false">IFERROR(AK209/AVERAGE(AK204:AK215),"")</f>
        <v>0.99198176205905</v>
      </c>
      <c r="AM209" s="23" t="n">
        <f aca="false">IF(ISNUMBER(Tabelle1!N216),(0.5*Tabelle1!N204+SUM(Tabelle1!N205:N215)+0.5*Tabelle1!N216)/12,"")</f>
        <v>168.436721666667</v>
      </c>
      <c r="AN209" s="24" t="n">
        <f aca="false">IFERROR(Tabelle1!N210/AM209,"")</f>
        <v>1.00446000329323</v>
      </c>
      <c r="AO209" s="24" t="n">
        <f aca="false">IFERROR(AVERAGEIFS($AN$7:$AN$294,$B$7:$B$294,$B209,$A$7:$A$294,"&gt;="&amp;EDATE($A209,-12*'Seasonal Factors'!$E$4),$A$7:$A$294,"&lt;="&amp;EDATE($A209,12*'Seasonal Factors'!$E$4)),"")</f>
        <v>0.996285399502228</v>
      </c>
      <c r="AP209" s="24" t="n">
        <f aca="false">IFERROR(AO209/AVERAGE(AO204:AO215),"")</f>
        <v>0.997807353733456</v>
      </c>
      <c r="AQ209" s="23" t="n">
        <f aca="false">IF(ISNUMBER(Tabelle1!O216),(0.5*Tabelle1!O204+SUM(Tabelle1!O205:O215)+0.5*Tabelle1!O216)/12,"")</f>
        <v>137.029868333333</v>
      </c>
      <c r="AR209" s="24" t="n">
        <f aca="false">IFERROR(Tabelle1!O210/AQ209,"")</f>
        <v>1.01936053576446</v>
      </c>
      <c r="AS209" s="24" t="n">
        <f aca="false">IFERROR(AVERAGEIFS($AR$7:$AR$294,$B$7:$B$294,$B209,$A$7:$A$294,"&gt;="&amp;EDATE($A209,-12*'Seasonal Factors'!$E$4),$A$7:$A$294,"&lt;="&amp;EDATE($A209,12*'Seasonal Factors'!$E$4)),"")</f>
        <v>1.01376094973134</v>
      </c>
      <c r="AT209" s="24" t="n">
        <f aca="false">IFERROR(AS209/AVERAGE(AS204:AS215),"")</f>
        <v>1.01376703434701</v>
      </c>
      <c r="AU209" s="23" t="n">
        <f aca="false">IF(ISNUMBER(Tabelle1!P216),(0.5*Tabelle1!P204+SUM(Tabelle1!P205:P215)+0.5*Tabelle1!P216)/12,"")</f>
        <v>143.417871666667</v>
      </c>
      <c r="AV209" s="24" t="n">
        <f aca="false">IFERROR(Tabelle1!P210/AU209,"")</f>
        <v>0.999238088911815</v>
      </c>
      <c r="AW209" s="24" t="n">
        <f aca="false">IFERROR(AVERAGEIFS($AV$7:$AV$294,$B$7:$B$294,$B209,$A$7:$A$294,"&gt;="&amp;EDATE($A209,-12*'Seasonal Factors'!$E$4),$A$7:$A$294,"&lt;="&amp;EDATE($A209,12*'Seasonal Factors'!$E$4)),"")</f>
        <v>1.00681671903002</v>
      </c>
      <c r="AX209" s="24" t="n">
        <f aca="false">IFERROR(AW209/AVERAGE(AW204:AW215),"")</f>
        <v>1.00681645804473</v>
      </c>
      <c r="AY209" s="23" t="n">
        <f aca="false">IF(ISNUMBER(Tabelle1!Q216),(0.5*Tabelle1!Q204+SUM(Tabelle1!Q205:Q215)+0.5*Tabelle1!Q216)/12,"")</f>
        <v>154.866032083333</v>
      </c>
      <c r="AZ209" s="24" t="n">
        <f aca="false">IFERROR(Tabelle1!Q210/AY209,"")</f>
        <v>1.01240135032086</v>
      </c>
      <c r="BA209" s="24" t="n">
        <f aca="false">IFERROR(AVERAGEIFS($AZ$7:$AZ$294,$B$7:$B$294,$B209,$A$7:$A$294,"&gt;="&amp;EDATE($A209,-12*'Seasonal Factors'!$E$4),$A$7:$A$294,"&lt;="&amp;EDATE($A209,12*'Seasonal Factors'!$E$4)),"")</f>
        <v>1.01332281210051</v>
      </c>
      <c r="BB209" s="24" t="n">
        <f aca="false">IFERROR(BA209/AVERAGE(BA204:BA215),"")</f>
        <v>1.01322033135594</v>
      </c>
      <c r="BC209" s="23" t="n">
        <f aca="false">IF(ISNUMBER(Tabelle1!R216),(0.5*Tabelle1!R204+SUM(Tabelle1!R205:R215)+0.5*Tabelle1!R216)/12,"")</f>
        <v>171.270967916667</v>
      </c>
      <c r="BD209" s="24" t="n">
        <f aca="false">IFERROR(Tabelle1!R210/BC209,"")</f>
        <v>0.990946288588611</v>
      </c>
      <c r="BE209" s="24" t="n">
        <f aca="false">IFERROR(AVERAGEIFS($BD$7:$BD$294,$B$7:$B$294,$B209,$A$7:$A$294,"&gt;="&amp;EDATE($A209,-12*'Seasonal Factors'!$E$4),$A$7:$A$294,"&lt;="&amp;EDATE($A209,12*'Seasonal Factors'!$E$4)),"")</f>
        <v>0.963850965324544</v>
      </c>
      <c r="BF209" s="24" t="n">
        <f aca="false">IFERROR(BE209/AVERAGE(BE204:BE215),"")</f>
        <v>0.963865091858109</v>
      </c>
      <c r="BG209" s="23" t="n">
        <f aca="false">IF(ISNUMBER(Tabelle1!S216),(0.5*Tabelle1!S204+SUM(Tabelle1!S205:S215)+0.5*Tabelle1!S216)/12,"")</f>
        <v>94.3588216666667</v>
      </c>
      <c r="BH209" s="24" t="n">
        <f aca="false">IFERROR(Tabelle1!S210/BG209,"")</f>
        <v>1.11141945339751</v>
      </c>
      <c r="BI209" s="24" t="n">
        <f aca="false">IFERROR(AVERAGEIFS($BH$7:$BH$294,$B$7:$B$294,$B209,$A$7:$A$294,"&gt;="&amp;EDATE($A209,-12*'Seasonal Factors'!$E$4),$A$7:$A$294,"&lt;="&amp;EDATE($A209,12*'Seasonal Factors'!$E$4)),"")</f>
        <v>0.99177995429377</v>
      </c>
      <c r="BJ209" s="24" t="n">
        <f aca="false">IFERROR(BI209/AVERAGE(BI204:BI215),"")</f>
        <v>0.994141358125506</v>
      </c>
    </row>
    <row r="210" customFormat="false" ht="15" hidden="false" customHeight="false" outlineLevel="0" collapsed="false">
      <c r="A210" s="20" t="n">
        <v>44196</v>
      </c>
      <c r="B210" s="22" t="n">
        <f aca="false">MONTH(A210)</f>
        <v>12</v>
      </c>
      <c r="C210" s="23" t="n">
        <f aca="false">IF(ISNUMBER(Tabelle1!E217),(0.5*Tabelle1!E205+SUM(Tabelle1!E206:E216)+0.5*Tabelle1!E217)/12,"")</f>
        <v>127.700763333333</v>
      </c>
      <c r="D210" s="24" t="n">
        <f aca="false">IFERROR(Tabelle1!E211/C210,"")</f>
        <v>0.879056060980476</v>
      </c>
      <c r="E210" s="24" t="n">
        <f aca="false">IFERROR(AVERAGEIFS($D$7:$D$294,$B$7:$B$294,$B210,$A$7:$A$294,"&gt;="&amp;EDATE($A210,-12*'Seasonal Factors'!$E$4),$A$7:$A$294,"&lt;="&amp;EDATE($A210,12*'Seasonal Factors'!$E$4)),"")</f>
        <v>0.849834076718135</v>
      </c>
      <c r="F210" s="24" t="n">
        <f aca="false">IFERROR(E210/AVERAGE(E205:E216),"")</f>
        <v>0.853040900104322</v>
      </c>
      <c r="G210" s="23" t="n">
        <f aca="false">IF(ISNUMBER(Tabelle1!F217),(0.5*Tabelle1!F205+SUM(Tabelle1!F206:F216)+0.5*Tabelle1!F217)/12,"")</f>
        <v>149.501658333333</v>
      </c>
      <c r="H210" s="24" t="n">
        <f aca="false">IFERROR(Tabelle1!F211/G210,"")</f>
        <v>0.689312688226034</v>
      </c>
      <c r="I210" s="24" t="n">
        <f aca="false">IFERROR(AVERAGEIFS($H$7:$H$294,$B$7:$B$294,$B210,$A$7:$A$294,"&gt;="&amp;EDATE($A210,-12*'Seasonal Factors'!$E$4),$A$7:$A$294,"&lt;="&amp;EDATE($A210,12*'Seasonal Factors'!$E$4)),"")</f>
        <v>0.621077516298372</v>
      </c>
      <c r="J210" s="24" t="n">
        <f aca="false">IFERROR(I210/AVERAGE(I205:I216),"")</f>
        <v>0.618956842523341</v>
      </c>
      <c r="K210" s="23" t="n">
        <f aca="false">IF(ISNUMBER(Tabelle1!G217),(0.5*Tabelle1!G205+SUM(Tabelle1!G206:G216)+0.5*Tabelle1!G217)/12,"")</f>
        <v>80.60408375</v>
      </c>
      <c r="L210" s="24" t="n">
        <f aca="false">IFERROR(Tabelle1!G211/K210,"")</f>
        <v>1.00222837654922</v>
      </c>
      <c r="M210" s="24" t="n">
        <f aca="false">IFERROR(AVERAGEIFS($L$7:$L$294,$B$7:$B$294,$B210,$A$7:$A$294,"&gt;="&amp;EDATE($A210,-12*'Seasonal Factors'!$E$4),$A$7:$A$294,"&lt;="&amp;EDATE($A210,12*'Seasonal Factors'!$E$4)),"")</f>
        <v>1.01085382018436</v>
      </c>
      <c r="N210" s="24" t="n">
        <f aca="false">IFERROR(M210/AVERAGE(M205:M216),"")</f>
        <v>1.0119973789026</v>
      </c>
      <c r="O210" s="23" t="n">
        <f aca="false">IF(ISNUMBER(Tabelle1!H217),(0.5*Tabelle1!H205+SUM(Tabelle1!H206:H216)+0.5*Tabelle1!H217)/12,"")</f>
        <v>118.897480416667</v>
      </c>
      <c r="P210" s="24" t="n">
        <f aca="false">IFERROR(Tabelle1!H211/O210,"")</f>
        <v>0.997082356872063</v>
      </c>
      <c r="Q210" s="24" t="n">
        <f aca="false">IFERROR(AVERAGEIFS($P$7:$P$294,$B$7:$B$294,$B210,$A$7:$A$294,"&gt;="&amp;EDATE($A210,-12*'Seasonal Factors'!$E$4),$A$7:$A$294,"&lt;="&amp;EDATE($A210,12*'Seasonal Factors'!$E$4)),"")</f>
        <v>0.992226610855189</v>
      </c>
      <c r="R210" s="24" t="n">
        <f aca="false">IFERROR(Q210/AVERAGE(Q205:Q216),"")</f>
        <v>0.992964848816405</v>
      </c>
      <c r="S210" s="23" t="n">
        <f aca="false">IF(ISNUMBER(Tabelle1!I217),(0.5*Tabelle1!I205+SUM(Tabelle1!I206:I216)+0.5*Tabelle1!I217)/12,"")</f>
        <v>142.95877</v>
      </c>
      <c r="T210" s="24" t="n">
        <f aca="false">IFERROR(Tabelle1!I211/S210,"")</f>
        <v>1.0490808643639</v>
      </c>
      <c r="U210" s="24" t="n">
        <f aca="false">IFERROR(AVERAGEIFS($T$7:$T$294,$B$7:$B$294,$B210,$A$7:$A$294,"&gt;="&amp;EDATE($A210,-12*'Seasonal Factors'!$E$4),$A$7:$A$294,"&lt;="&amp;EDATE($A210,12*'Seasonal Factors'!$E$4)),"")</f>
        <v>1.02389750154198</v>
      </c>
      <c r="V210" s="24" t="n">
        <f aca="false">IFERROR(U210/AVERAGE(U205:U216),"")</f>
        <v>1.024067899433</v>
      </c>
      <c r="W210" s="23" t="n">
        <f aca="false">IF(ISNUMBER(Tabelle1!J217),(0.5*Tabelle1!J205+SUM(Tabelle1!J206:J216)+0.5*Tabelle1!J217)/12,"")</f>
        <v>131.178824166667</v>
      </c>
      <c r="X210" s="24" t="n">
        <f aca="false">IFERROR(Tabelle1!J211/W210,"")</f>
        <v>1.04138393424259</v>
      </c>
      <c r="Y210" s="24" t="n">
        <f aca="false">IFERROR(AVERAGEIFS($X$7:$X$294,$B$7:$B$294,$B210,$A$7:$A$294,"&gt;="&amp;EDATE($A210,-12*'Seasonal Factors'!$E$4),$A$7:$A$294,"&lt;="&amp;EDATE($A210,12*'Seasonal Factors'!$E$4)),"")</f>
        <v>0.957552741154794</v>
      </c>
      <c r="Z210" s="24" t="n">
        <f aca="false">IFERROR(Y210/AVERAGE(Y205:Y216),"")</f>
        <v>0.959550108338598</v>
      </c>
      <c r="AA210" s="23" t="n">
        <f aca="false">IF(ISNUMBER(Tabelle1!K217),(0.5*Tabelle1!K205+SUM(Tabelle1!K206:K216)+0.5*Tabelle1!K217)/12,"")</f>
        <v>143.1752075</v>
      </c>
      <c r="AB210" s="24" t="n">
        <f aca="false">IFERROR(Tabelle1!K211/AA210,"")</f>
        <v>1.0104062185487</v>
      </c>
      <c r="AC210" s="24" t="n">
        <f aca="false">IFERROR(AVERAGEIFS($AB$7:$AB$294,$B$7:$B$294,$B210,$A$7:$A$294,"&gt;="&amp;EDATE($A210,-12*'Seasonal Factors'!$E$4),$A$7:$A$294,"&lt;="&amp;EDATE($A210,12*'Seasonal Factors'!$E$4)),"")</f>
        <v>0.95874470251542</v>
      </c>
      <c r="AD210" s="24" t="n">
        <f aca="false">IFERROR(AC210/AVERAGE(AC205:AC216),"")</f>
        <v>0.958906446468506</v>
      </c>
      <c r="AE210" s="23" t="n">
        <f aca="false">IF(ISNUMBER(Tabelle1!L217),(0.5*Tabelle1!L205+SUM(Tabelle1!L206:L216)+0.5*Tabelle1!L217)/12,"")</f>
        <v>84.9478854166667</v>
      </c>
      <c r="AF210" s="24" t="n">
        <f aca="false">IFERROR(Tabelle1!L211/AE210,"")</f>
        <v>1.0632888571265</v>
      </c>
      <c r="AG210" s="24" t="n">
        <f aca="false">IFERROR(AVERAGEIFS($AF$7:$AF$294,$B$7:$B$294,$B210,$A$7:$A$294,"&gt;="&amp;EDATE($A210,-12*'Seasonal Factors'!$E$4),$A$7:$A$294,"&lt;="&amp;EDATE($A210,12*'Seasonal Factors'!$E$4)),"")</f>
        <v>1.08573963911892</v>
      </c>
      <c r="AH210" s="24" t="n">
        <f aca="false">IFERROR(AG210/AVERAGE(AG205:AG216),"")</f>
        <v>1.09112877112195</v>
      </c>
      <c r="AI210" s="23" t="n">
        <f aca="false">IF(ISNUMBER(Tabelle1!M217),(0.5*Tabelle1!M205+SUM(Tabelle1!M206:M216)+0.5*Tabelle1!M217)/12,"")</f>
        <v>158.314949166667</v>
      </c>
      <c r="AJ210" s="24" t="n">
        <f aca="false">IFERROR(Tabelle1!M211/AI210,"")</f>
        <v>0.951879596925199</v>
      </c>
      <c r="AK210" s="24" t="n">
        <f aca="false">IFERROR(AVERAGEIFS($AJ$7:$AJ$294,$B$7:$B$294,$B210,$A$7:$A$294,"&gt;="&amp;EDATE($A210,-12*'Seasonal Factors'!$E$4),$A$7:$A$294,"&lt;="&amp;EDATE($A210,12*'Seasonal Factors'!$E$4)),"")</f>
        <v>0.984098836414144</v>
      </c>
      <c r="AL210" s="24" t="n">
        <f aca="false">IFERROR(AK210/AVERAGE(AK205:AK216),"")</f>
        <v>0.984438443285341</v>
      </c>
      <c r="AM210" s="23" t="n">
        <f aca="false">IF(ISNUMBER(Tabelle1!N217),(0.5*Tabelle1!N205+SUM(Tabelle1!N206:N216)+0.5*Tabelle1!N217)/12,"")</f>
        <v>168.343069583333</v>
      </c>
      <c r="AN210" s="24" t="n">
        <f aca="false">IFERROR(Tabelle1!N211/AM210,"")</f>
        <v>1.04521606048593</v>
      </c>
      <c r="AO210" s="24" t="n">
        <f aca="false">IFERROR(AVERAGEIFS($AN$7:$AN$294,$B$7:$B$294,$B210,$A$7:$A$294,"&gt;="&amp;EDATE($A210,-12*'Seasonal Factors'!$E$4),$A$7:$A$294,"&lt;="&amp;EDATE($A210,12*'Seasonal Factors'!$E$4)),"")</f>
        <v>1.02656481926739</v>
      </c>
      <c r="AP210" s="24" t="n">
        <f aca="false">IFERROR(AO210/AVERAGE(AO205:AO216),"")</f>
        <v>1.02839327928533</v>
      </c>
      <c r="AQ210" s="23" t="n">
        <f aca="false">IF(ISNUMBER(Tabelle1!O217),(0.5*Tabelle1!O205+SUM(Tabelle1!O206:O216)+0.5*Tabelle1!O217)/12,"")</f>
        <v>138.51055</v>
      </c>
      <c r="AR210" s="24" t="n">
        <f aca="false">IFERROR(Tabelle1!O211/AQ210,"")</f>
        <v>1.0271424812045</v>
      </c>
      <c r="AS210" s="24" t="n">
        <f aca="false">IFERROR(AVERAGEIFS($AR$7:$AR$294,$B$7:$B$294,$B210,$A$7:$A$294,"&gt;="&amp;EDATE($A210,-12*'Seasonal Factors'!$E$4),$A$7:$A$294,"&lt;="&amp;EDATE($A210,12*'Seasonal Factors'!$E$4)),"")</f>
        <v>1.02634769368815</v>
      </c>
      <c r="AT210" s="24" t="n">
        <f aca="false">IFERROR(AS210/AVERAGE(AS205:AS216),"")</f>
        <v>1.02644339362361</v>
      </c>
      <c r="AU210" s="23" t="n">
        <f aca="false">IF(ISNUMBER(Tabelle1!P217),(0.5*Tabelle1!P205+SUM(Tabelle1!P206:P216)+0.5*Tabelle1!P217)/12,"")</f>
        <v>144.326808333333</v>
      </c>
      <c r="AV210" s="24" t="n">
        <f aca="false">IFERROR(Tabelle1!P211/AU210,"")</f>
        <v>0.999655169168445</v>
      </c>
      <c r="AW210" s="24" t="n">
        <f aca="false">IFERROR(AVERAGEIFS($AV$7:$AV$294,$B$7:$B$294,$B210,$A$7:$A$294,"&gt;="&amp;EDATE($A210,-12*'Seasonal Factors'!$E$4),$A$7:$A$294,"&lt;="&amp;EDATE($A210,12*'Seasonal Factors'!$E$4)),"")</f>
        <v>1.00939874592342</v>
      </c>
      <c r="AX210" s="24" t="n">
        <f aca="false">IFERROR(AW210/AVERAGE(AW205:AW216),"")</f>
        <v>1.00941492992192</v>
      </c>
      <c r="AY210" s="23" t="n">
        <f aca="false">IF(ISNUMBER(Tabelle1!Q217),(0.5*Tabelle1!Q205+SUM(Tabelle1!Q206:Q216)+0.5*Tabelle1!Q217)/12,"")</f>
        <v>155.523846666667</v>
      </c>
      <c r="AZ210" s="24" t="n">
        <f aca="false">IFERROR(Tabelle1!Q211/AY210,"")</f>
        <v>1.01509976369326</v>
      </c>
      <c r="BA210" s="24" t="n">
        <f aca="false">IFERROR(AVERAGEIFS($AZ$7:$AZ$294,$B$7:$B$294,$B210,$A$7:$A$294,"&gt;="&amp;EDATE($A210,-12*'Seasonal Factors'!$E$4),$A$7:$A$294,"&lt;="&amp;EDATE($A210,12*'Seasonal Factors'!$E$4)),"")</f>
        <v>1.0156543815772</v>
      </c>
      <c r="BB210" s="24" t="n">
        <f aca="false">IFERROR(BA210/AVERAGE(BA205:BA216),"")</f>
        <v>1.01556985142589</v>
      </c>
      <c r="BC210" s="23" t="n">
        <f aca="false">IF(ISNUMBER(Tabelle1!R217),(0.5*Tabelle1!R205+SUM(Tabelle1!R206:R216)+0.5*Tabelle1!R217)/12,"")</f>
        <v>174.395188333333</v>
      </c>
      <c r="BD210" s="24" t="n">
        <f aca="false">IFERROR(Tabelle1!R211/BC210,"")</f>
        <v>0.938406165697634</v>
      </c>
      <c r="BE210" s="24" t="n">
        <f aca="false">IFERROR(AVERAGEIFS($BD$7:$BD$294,$B$7:$B$294,$B210,$A$7:$A$294,"&gt;="&amp;EDATE($A210,-12*'Seasonal Factors'!$E$4),$A$7:$A$294,"&lt;="&amp;EDATE($A210,12*'Seasonal Factors'!$E$4)),"")</f>
        <v>0.925879068934342</v>
      </c>
      <c r="BF210" s="24" t="n">
        <f aca="false">IFERROR(BE210/AVERAGE(BE205:BE216),"")</f>
        <v>0.925868469063175</v>
      </c>
      <c r="BG210" s="23" t="n">
        <f aca="false">IF(ISNUMBER(Tabelle1!S217),(0.5*Tabelle1!S205+SUM(Tabelle1!S206:S216)+0.5*Tabelle1!S217)/12,"")</f>
        <v>99.2776708333333</v>
      </c>
      <c r="BH210" s="24" t="n">
        <f aca="false">IFERROR(Tabelle1!S211/BG210,"")</f>
        <v>1.11935895622048</v>
      </c>
      <c r="BI210" s="24" t="n">
        <f aca="false">IFERROR(AVERAGEIFS($BH$7:$BH$294,$B$7:$B$294,$B210,$A$7:$A$294,"&gt;="&amp;EDATE($A210,-12*'Seasonal Factors'!$E$4),$A$7:$A$294,"&lt;="&amp;EDATE($A210,12*'Seasonal Factors'!$E$4)),"")</f>
        <v>0.999982135905104</v>
      </c>
      <c r="BJ210" s="24" t="n">
        <f aca="false">IFERROR(BI210/AVERAGE(BI205:BI216),"")</f>
        <v>1.00336892015374</v>
      </c>
    </row>
    <row r="211" customFormat="false" ht="15" hidden="false" customHeight="false" outlineLevel="0" collapsed="false">
      <c r="A211" s="20" t="n">
        <v>44227</v>
      </c>
      <c r="B211" s="22" t="n">
        <f aca="false">MONTH(A211)</f>
        <v>1</v>
      </c>
      <c r="C211" s="23" t="n">
        <f aca="false">IF(ISNUMBER(Tabelle1!E218),(0.5*Tabelle1!E206+SUM(Tabelle1!E207:E217)+0.5*Tabelle1!E218)/12,"")</f>
        <v>127.307634166667</v>
      </c>
      <c r="D211" s="24" t="n">
        <f aca="false">IFERROR(Tabelle1!E212/C211,"")</f>
        <v>0.683184559742395</v>
      </c>
      <c r="E211" s="24" t="n">
        <f aca="false">IFERROR(AVERAGEIFS($D$7:$D$294,$B$7:$B$294,$B211,$A$7:$A$294,"&gt;="&amp;EDATE($A211,-12*'Seasonal Factors'!$E$4),$A$7:$A$294,"&lt;="&amp;EDATE($A211,12*'Seasonal Factors'!$E$4)),"")</f>
        <v>0.680197144782935</v>
      </c>
      <c r="F211" s="24" t="n">
        <f aca="false">IFERROR(E211/AVERAGE(E206:E217),"")</f>
        <v>0.682700052619101</v>
      </c>
      <c r="G211" s="23" t="n">
        <f aca="false">IF(ISNUMBER(Tabelle1!F218),(0.5*Tabelle1!F206+SUM(Tabelle1!F207:F217)+0.5*Tabelle1!F218)/12,"")</f>
        <v>161.899877083333</v>
      </c>
      <c r="H211" s="24" t="n">
        <f aca="false">IFERROR(Tabelle1!F212/G211,"")</f>
        <v>0.781570945448396</v>
      </c>
      <c r="I211" s="24" t="n">
        <f aca="false">IFERROR(AVERAGEIFS($H$7:$H$294,$B$7:$B$294,$B211,$A$7:$A$294,"&gt;="&amp;EDATE($A211,-12*'Seasonal Factors'!$E$4),$A$7:$A$294,"&lt;="&amp;EDATE($A211,12*'Seasonal Factors'!$E$4)),"")</f>
        <v>0.786311714751231</v>
      </c>
      <c r="J211" s="24" t="n">
        <f aca="false">IFERROR(I211/AVERAGE(I206:I217),"")</f>
        <v>0.791381518066115</v>
      </c>
      <c r="K211" s="23" t="n">
        <f aca="false">IF(ISNUMBER(Tabelle1!G218),(0.5*Tabelle1!G206+SUM(Tabelle1!G207:G217)+0.5*Tabelle1!G218)/12,"")</f>
        <v>81.5145020833333</v>
      </c>
      <c r="L211" s="24" t="n">
        <f aca="false">IFERROR(Tabelle1!G212/K211,"")</f>
        <v>0.975615233700363</v>
      </c>
      <c r="M211" s="24" t="n">
        <f aca="false">IFERROR(AVERAGEIFS($L$7:$L$294,$B$7:$B$294,$B211,$A$7:$A$294,"&gt;="&amp;EDATE($A211,-12*'Seasonal Factors'!$E$4),$A$7:$A$294,"&lt;="&amp;EDATE($A211,12*'Seasonal Factors'!$E$4)),"")</f>
        <v>1.01216372973759</v>
      </c>
      <c r="N211" s="24" t="n">
        <f aca="false">IFERROR(M211/AVERAGE(M206:M217),"")</f>
        <v>1.01313837038761</v>
      </c>
      <c r="O211" s="23" t="n">
        <f aca="false">IF(ISNUMBER(Tabelle1!H218),(0.5*Tabelle1!H206+SUM(Tabelle1!H207:H217)+0.5*Tabelle1!H218)/12,"")</f>
        <v>120.342462083333</v>
      </c>
      <c r="P211" s="24" t="n">
        <f aca="false">IFERROR(Tabelle1!H212/O211,"")</f>
        <v>0.882973292722056</v>
      </c>
      <c r="Q211" s="24" t="n">
        <f aca="false">IFERROR(AVERAGEIFS($P$7:$P$294,$B$7:$B$294,$B211,$A$7:$A$294,"&gt;="&amp;EDATE($A211,-12*'Seasonal Factors'!$E$4),$A$7:$A$294,"&lt;="&amp;EDATE($A211,12*'Seasonal Factors'!$E$4)),"")</f>
        <v>0.871506383806536</v>
      </c>
      <c r="R211" s="24" t="n">
        <f aca="false">IFERROR(Q211/AVERAGE(Q206:Q217),"")</f>
        <v>0.871640278028182</v>
      </c>
      <c r="S211" s="23" t="n">
        <f aca="false">IF(ISNUMBER(Tabelle1!I218),(0.5*Tabelle1!I206+SUM(Tabelle1!I207:I217)+0.5*Tabelle1!I218)/12,"")</f>
        <v>143.77706625</v>
      </c>
      <c r="T211" s="24" t="n">
        <f aca="false">IFERROR(Tabelle1!I212/S211,"")</f>
        <v>1.05034519022257</v>
      </c>
      <c r="U211" s="24" t="n">
        <f aca="false">IFERROR(AVERAGEIFS($T$7:$T$294,$B$7:$B$294,$B211,$A$7:$A$294,"&gt;="&amp;EDATE($A211,-12*'Seasonal Factors'!$E$4),$A$7:$A$294,"&lt;="&amp;EDATE($A211,12*'Seasonal Factors'!$E$4)),"")</f>
        <v>1.07989030068781</v>
      </c>
      <c r="V211" s="24" t="n">
        <f aca="false">IFERROR(U211/AVERAGE(U206:U217),"")</f>
        <v>1.07989688441368</v>
      </c>
      <c r="W211" s="23" t="n">
        <f aca="false">IF(ISNUMBER(Tabelle1!J218),(0.5*Tabelle1!J206+SUM(Tabelle1!J207:J217)+0.5*Tabelle1!J218)/12,"")</f>
        <v>133.98487875</v>
      </c>
      <c r="X211" s="24" t="n">
        <f aca="false">IFERROR(Tabelle1!J212/W211,"")</f>
        <v>1.08623309852419</v>
      </c>
      <c r="Y211" s="24" t="n">
        <f aca="false">IFERROR(AVERAGEIFS($X$7:$X$294,$B$7:$B$294,$B211,$A$7:$A$294,"&gt;="&amp;EDATE($A211,-12*'Seasonal Factors'!$E$4),$A$7:$A$294,"&lt;="&amp;EDATE($A211,12*'Seasonal Factors'!$E$4)),"")</f>
        <v>1.02822490503591</v>
      </c>
      <c r="Z211" s="24" t="n">
        <f aca="false">IFERROR(Y211/AVERAGE(Y206:Y217),"")</f>
        <v>1.02986441535042</v>
      </c>
      <c r="AA211" s="23" t="n">
        <f aca="false">IF(ISNUMBER(Tabelle1!K218),(0.5*Tabelle1!K206+SUM(Tabelle1!K207:K217)+0.5*Tabelle1!K218)/12,"")</f>
        <v>144.745585</v>
      </c>
      <c r="AB211" s="24" t="n">
        <f aca="false">IFERROR(Tabelle1!K212/AA211,"")</f>
        <v>0.932042866799703</v>
      </c>
      <c r="AC211" s="24" t="n">
        <f aca="false">IFERROR(AVERAGEIFS($AB$7:$AB$294,$B$7:$B$294,$B211,$A$7:$A$294,"&gt;="&amp;EDATE($A211,-12*'Seasonal Factors'!$E$4),$A$7:$A$294,"&lt;="&amp;EDATE($A211,12*'Seasonal Factors'!$E$4)),"")</f>
        <v>0.912038120981379</v>
      </c>
      <c r="AD211" s="24" t="n">
        <f aca="false">IFERROR(AC211/AVERAGE(AC206:AC217),"")</f>
        <v>0.911926651187105</v>
      </c>
      <c r="AE211" s="23" t="n">
        <f aca="false">IF(ISNUMBER(Tabelle1!L218),(0.5*Tabelle1!L206+SUM(Tabelle1!L207:L217)+0.5*Tabelle1!L218)/12,"")</f>
        <v>88.2693016666667</v>
      </c>
      <c r="AF211" s="24" t="n">
        <f aca="false">IFERROR(Tabelle1!L212/AE211,"")</f>
        <v>1.26637469527203</v>
      </c>
      <c r="AG211" s="24" t="n">
        <f aca="false">IFERROR(AVERAGEIFS($AF$7:$AF$294,$B$7:$B$294,$B211,$A$7:$A$294,"&gt;="&amp;EDATE($A211,-12*'Seasonal Factors'!$E$4),$A$7:$A$294,"&lt;="&amp;EDATE($A211,12*'Seasonal Factors'!$E$4)),"")</f>
        <v>1.17804716769318</v>
      </c>
      <c r="AH211" s="24" t="n">
        <f aca="false">IFERROR(AG211/AVERAGE(AG206:AG217),"")</f>
        <v>1.18469548445127</v>
      </c>
      <c r="AI211" s="23" t="n">
        <f aca="false">IF(ISNUMBER(Tabelle1!M218),(0.5*Tabelle1!M206+SUM(Tabelle1!M207:M217)+0.5*Tabelle1!M218)/12,"")</f>
        <v>159.701712916667</v>
      </c>
      <c r="AJ211" s="24" t="n">
        <f aca="false">IFERROR(Tabelle1!M212/AI211,"")</f>
        <v>0.989407171120642</v>
      </c>
      <c r="AK211" s="24" t="n">
        <f aca="false">IFERROR(AVERAGEIFS($AJ$7:$AJ$294,$B$7:$B$294,$B211,$A$7:$A$294,"&gt;="&amp;EDATE($A211,-12*'Seasonal Factors'!$E$4),$A$7:$A$294,"&lt;="&amp;EDATE($A211,12*'Seasonal Factors'!$E$4)),"")</f>
        <v>0.991307829735436</v>
      </c>
      <c r="AL211" s="24" t="n">
        <f aca="false">IFERROR(AK211/AVERAGE(AK206:AK217),"")</f>
        <v>0.991606895873087</v>
      </c>
      <c r="AM211" s="23" t="n">
        <f aca="false">IF(ISNUMBER(Tabelle1!N218),(0.5*Tabelle1!N206+SUM(Tabelle1!N207:N217)+0.5*Tabelle1!N218)/12,"")</f>
        <v>168.040420416667</v>
      </c>
      <c r="AN211" s="24" t="n">
        <f aca="false">IFERROR(Tabelle1!N212/AM211,"")</f>
        <v>0.984695227432247</v>
      </c>
      <c r="AO211" s="24" t="n">
        <f aca="false">IFERROR(AVERAGEIFS($AN$7:$AN$294,$B$7:$B$294,$B211,$A$7:$A$294,"&gt;="&amp;EDATE($A211,-12*'Seasonal Factors'!$E$4),$A$7:$A$294,"&lt;="&amp;EDATE($A211,12*'Seasonal Factors'!$E$4)),"")</f>
        <v>1.0086894933684</v>
      </c>
      <c r="AP211" s="24" t="n">
        <f aca="false">IFERROR(AO211/AVERAGE(AO206:AO217),"")</f>
        <v>1.01020566717814</v>
      </c>
      <c r="AQ211" s="23" t="n">
        <f aca="false">IF(ISNUMBER(Tabelle1!O218),(0.5*Tabelle1!O206+SUM(Tabelle1!O207:O217)+0.5*Tabelle1!O218)/12,"")</f>
        <v>139.74792125</v>
      </c>
      <c r="AR211" s="24" t="n">
        <f aca="false">IFERROR(Tabelle1!O212/AQ211,"")</f>
        <v>0.993130765442423</v>
      </c>
      <c r="AS211" s="24" t="n">
        <f aca="false">IFERROR(AVERAGEIFS($AR$7:$AR$294,$B$7:$B$294,$B211,$A$7:$A$294,"&gt;="&amp;EDATE($A211,-12*'Seasonal Factors'!$E$4),$A$7:$A$294,"&lt;="&amp;EDATE($A211,12*'Seasonal Factors'!$E$4)),"")</f>
        <v>0.977852203651012</v>
      </c>
      <c r="AT211" s="24" t="n">
        <f aca="false">IFERROR(AS211/AVERAGE(AS206:AS217),"")</f>
        <v>0.977958155642221</v>
      </c>
      <c r="AU211" s="23" t="n">
        <f aca="false">IF(ISNUMBER(Tabelle1!P218),(0.5*Tabelle1!P206+SUM(Tabelle1!P207:P217)+0.5*Tabelle1!P218)/12,"")</f>
        <v>145.18375875</v>
      </c>
      <c r="AV211" s="24" t="n">
        <f aca="false">IFERROR(Tabelle1!P212/AU211,"")</f>
        <v>1.01063687332038</v>
      </c>
      <c r="AW211" s="24" t="n">
        <f aca="false">IFERROR(AVERAGEIFS($AV$7:$AV$294,$B$7:$B$294,$B211,$A$7:$A$294,"&gt;="&amp;EDATE($A211,-12*'Seasonal Factors'!$E$4),$A$7:$A$294,"&lt;="&amp;EDATE($A211,12*'Seasonal Factors'!$E$4)),"")</f>
        <v>1.00786829885185</v>
      </c>
      <c r="AX211" s="24" t="n">
        <f aca="false">IFERROR(AW211/AVERAGE(AW206:AW217),"")</f>
        <v>1.00791162344244</v>
      </c>
      <c r="AY211" s="23" t="n">
        <f aca="false">IF(ISNUMBER(Tabelle1!Q218),(0.5*Tabelle1!Q206+SUM(Tabelle1!Q207:Q217)+0.5*Tabelle1!Q218)/12,"")</f>
        <v>156.081063333333</v>
      </c>
      <c r="AZ211" s="24" t="n">
        <f aca="false">IFERROR(Tabelle1!Q212/AY211,"")</f>
        <v>0.979037602234002</v>
      </c>
      <c r="BA211" s="24" t="n">
        <f aca="false">IFERROR(AVERAGEIFS($AZ$7:$AZ$294,$B$7:$B$294,$B211,$A$7:$A$294,"&gt;="&amp;EDATE($A211,-12*'Seasonal Factors'!$E$4),$A$7:$A$294,"&lt;="&amp;EDATE($A211,12*'Seasonal Factors'!$E$4)),"")</f>
        <v>0.977384218723127</v>
      </c>
      <c r="BB211" s="24" t="n">
        <f aca="false">IFERROR(BA211/AVERAGE(BA206:BA217),"")</f>
        <v>0.97731743981055</v>
      </c>
      <c r="BC211" s="23" t="n">
        <f aca="false">IF(ISNUMBER(Tabelle1!R218),(0.5*Tabelle1!R206+SUM(Tabelle1!R207:R217)+0.5*Tabelle1!R218)/12,"")</f>
        <v>176.663350416667</v>
      </c>
      <c r="BD211" s="24" t="n">
        <f aca="false">IFERROR(Tabelle1!R212/BC211,"")</f>
        <v>1.00791154237728</v>
      </c>
      <c r="BE211" s="24" t="n">
        <f aca="false">IFERROR(AVERAGEIFS($BD$7:$BD$294,$B$7:$B$294,$B211,$A$7:$A$294,"&gt;="&amp;EDATE($A211,-12*'Seasonal Factors'!$E$4),$A$7:$A$294,"&lt;="&amp;EDATE($A211,12*'Seasonal Factors'!$E$4)),"")</f>
        <v>1.01209389909059</v>
      </c>
      <c r="BF211" s="24" t="n">
        <f aca="false">IFERROR(BE211/AVERAGE(BE206:BE217),"")</f>
        <v>1.01212528476823</v>
      </c>
      <c r="BG211" s="23" t="n">
        <f aca="false">IF(ISNUMBER(Tabelle1!S218),(0.5*Tabelle1!S206+SUM(Tabelle1!S207:S217)+0.5*Tabelle1!S218)/12,"")</f>
        <v>104.097792916667</v>
      </c>
      <c r="BH211" s="24" t="n">
        <f aca="false">IFERROR(Tabelle1!S212/BG211,"")</f>
        <v>1.25221108294151</v>
      </c>
      <c r="BI211" s="24" t="n">
        <f aca="false">IFERROR(AVERAGEIFS($BH$7:$BH$294,$B$7:$B$294,$B211,$A$7:$A$294,"&gt;="&amp;EDATE($A211,-12*'Seasonal Factors'!$E$4),$A$7:$A$294,"&lt;="&amp;EDATE($A211,12*'Seasonal Factors'!$E$4)),"")</f>
        <v>1.12319537430421</v>
      </c>
      <c r="BJ211" s="24" t="n">
        <f aca="false">IFERROR(BI211/AVERAGE(BI206:BI217),"")</f>
        <v>1.12790099295043</v>
      </c>
    </row>
    <row r="212" customFormat="false" ht="15" hidden="false" customHeight="false" outlineLevel="0" collapsed="false">
      <c r="A212" s="20" t="n">
        <v>44255</v>
      </c>
      <c r="B212" s="22" t="n">
        <f aca="false">MONTH(A212)</f>
        <v>2</v>
      </c>
      <c r="C212" s="23" t="n">
        <f aca="false">IF(ISNUMBER(Tabelle1!E219),(0.5*Tabelle1!E207+SUM(Tabelle1!E208:E218)+0.5*Tabelle1!E219)/12,"")</f>
        <v>127.364143333333</v>
      </c>
      <c r="D212" s="24" t="n">
        <f aca="false">IFERROR(Tabelle1!E213/C212,"")</f>
        <v>0.563642859922663</v>
      </c>
      <c r="E212" s="24" t="n">
        <f aca="false">IFERROR(AVERAGEIFS($D$7:$D$294,$B$7:$B$294,$B212,$A$7:$A$294,"&gt;="&amp;EDATE($A212,-12*'Seasonal Factors'!$E$4),$A$7:$A$294,"&lt;="&amp;EDATE($A212,12*'Seasonal Factors'!$E$4)),"")</f>
        <v>0.602903413157253</v>
      </c>
      <c r="F212" s="24" t="n">
        <f aca="false">IFERROR(E212/AVERAGE(E207:E218),"")</f>
        <v>0.604934787576051</v>
      </c>
      <c r="G212" s="23" t="n">
        <f aca="false">IF(ISNUMBER(Tabelle1!F219),(0.5*Tabelle1!F207+SUM(Tabelle1!F208:F218)+0.5*Tabelle1!F219)/12,"")</f>
        <v>170.658175</v>
      </c>
      <c r="H212" s="24" t="n">
        <f aca="false">IFERROR(Tabelle1!F213/G212,"")</f>
        <v>0.945380319460231</v>
      </c>
      <c r="I212" s="24" t="n">
        <f aca="false">IFERROR(AVERAGEIFS($H$7:$H$294,$B$7:$B$294,$B212,$A$7:$A$294,"&gt;="&amp;EDATE($A212,-12*'Seasonal Factors'!$E$4),$A$7:$A$294,"&lt;="&amp;EDATE($A212,12*'Seasonal Factors'!$E$4)),"")</f>
        <v>1.02047392642402</v>
      </c>
      <c r="J212" s="24" t="n">
        <f aca="false">IFERROR(I212/AVERAGE(I207:I218),"")</f>
        <v>1.02576747061768</v>
      </c>
      <c r="K212" s="23" t="n">
        <f aca="false">IF(ISNUMBER(Tabelle1!G219),(0.5*Tabelle1!G207+SUM(Tabelle1!G208:G218)+0.5*Tabelle1!G219)/12,"")</f>
        <v>82.3272129166667</v>
      </c>
      <c r="L212" s="24" t="n">
        <f aca="false">IFERROR(Tabelle1!G213/K212,"")</f>
        <v>0.921083166956677</v>
      </c>
      <c r="M212" s="24" t="n">
        <f aca="false">IFERROR(AVERAGEIFS($L$7:$L$294,$B$7:$B$294,$B212,$A$7:$A$294,"&gt;="&amp;EDATE($A212,-12*'Seasonal Factors'!$E$4),$A$7:$A$294,"&lt;="&amp;EDATE($A212,12*'Seasonal Factors'!$E$4)),"")</f>
        <v>0.936643218074052</v>
      </c>
      <c r="N212" s="24" t="n">
        <f aca="false">IFERROR(M212/AVERAGE(M207:M218),"")</f>
        <v>0.93752603540922</v>
      </c>
      <c r="O212" s="23" t="n">
        <f aca="false">IF(ISNUMBER(Tabelle1!H219),(0.5*Tabelle1!H207+SUM(Tabelle1!H208:H218)+0.5*Tabelle1!H219)/12,"")</f>
        <v>121.645559166667</v>
      </c>
      <c r="P212" s="24" t="n">
        <f aca="false">IFERROR(Tabelle1!H213/O212,"")</f>
        <v>0.850465900347876</v>
      </c>
      <c r="Q212" s="24" t="n">
        <f aca="false">IFERROR(AVERAGEIFS($P$7:$P$294,$B$7:$B$294,$B212,$A$7:$A$294,"&gt;="&amp;EDATE($A212,-12*'Seasonal Factors'!$E$4),$A$7:$A$294,"&lt;="&amp;EDATE($A212,12*'Seasonal Factors'!$E$4)),"")</f>
        <v>0.870034123095491</v>
      </c>
      <c r="R212" s="24" t="n">
        <f aca="false">IFERROR(Q212/AVERAGE(Q207:Q218),"")</f>
        <v>0.87014239156331</v>
      </c>
      <c r="S212" s="23" t="n">
        <f aca="false">IF(ISNUMBER(Tabelle1!I219),(0.5*Tabelle1!I207+SUM(Tabelle1!I208:I218)+0.5*Tabelle1!I219)/12,"")</f>
        <v>144.553795416667</v>
      </c>
      <c r="T212" s="24" t="n">
        <f aca="false">IFERROR(Tabelle1!I213/S212,"")</f>
        <v>0.888909001867583</v>
      </c>
      <c r="U212" s="24" t="n">
        <f aca="false">IFERROR(AVERAGEIFS($T$7:$T$294,$B$7:$B$294,$B212,$A$7:$A$294,"&gt;="&amp;EDATE($A212,-12*'Seasonal Factors'!$E$4),$A$7:$A$294,"&lt;="&amp;EDATE($A212,12*'Seasonal Factors'!$E$4)),"")</f>
        <v>0.983065156364544</v>
      </c>
      <c r="V212" s="24" t="n">
        <f aca="false">IFERROR(U212/AVERAGE(U207:U218),"")</f>
        <v>0.98292038383336</v>
      </c>
      <c r="W212" s="23" t="n">
        <f aca="false">IF(ISNUMBER(Tabelle1!J219),(0.5*Tabelle1!J207+SUM(Tabelle1!J208:J218)+0.5*Tabelle1!J219)/12,"")</f>
        <v>136.472649166667</v>
      </c>
      <c r="X212" s="24" t="n">
        <f aca="false">IFERROR(Tabelle1!J213/W212,"")</f>
        <v>1.03975603072457</v>
      </c>
      <c r="Y212" s="24" t="n">
        <f aca="false">IFERROR(AVERAGEIFS($X$7:$X$294,$B$7:$B$294,$B212,$A$7:$A$294,"&gt;="&amp;EDATE($A212,-12*'Seasonal Factors'!$E$4),$A$7:$A$294,"&lt;="&amp;EDATE($A212,12*'Seasonal Factors'!$E$4)),"")</f>
        <v>1.01192436792183</v>
      </c>
      <c r="Z212" s="24" t="n">
        <f aca="false">IFERROR(Y212/AVERAGE(Y207:Y218),"")</f>
        <v>1.01379920015981</v>
      </c>
      <c r="AA212" s="23" t="n">
        <f aca="false">IF(ISNUMBER(Tabelle1!K219),(0.5*Tabelle1!K207+SUM(Tabelle1!K208:K218)+0.5*Tabelle1!K219)/12,"")</f>
        <v>146.148228333333</v>
      </c>
      <c r="AB212" s="24" t="n">
        <f aca="false">IFERROR(Tabelle1!K213/AA212,"")</f>
        <v>0.929555024711954</v>
      </c>
      <c r="AC212" s="24" t="n">
        <f aca="false">IFERROR(AVERAGEIFS($AB$7:$AB$294,$B$7:$B$294,$B212,$A$7:$A$294,"&gt;="&amp;EDATE($A212,-12*'Seasonal Factors'!$E$4),$A$7:$A$294,"&lt;="&amp;EDATE($A212,12*'Seasonal Factors'!$E$4)),"")</f>
        <v>0.937910145749122</v>
      </c>
      <c r="AD212" s="24" t="n">
        <f aca="false">IFERROR(AC212/AVERAGE(AC207:AC218),"")</f>
        <v>0.938129331344811</v>
      </c>
      <c r="AE212" s="23" t="n">
        <f aca="false">IF(ISNUMBER(Tabelle1!L219),(0.5*Tabelle1!L207+SUM(Tabelle1!L208:L218)+0.5*Tabelle1!L219)/12,"")</f>
        <v>91.9391345833333</v>
      </c>
      <c r="AF212" s="24" t="n">
        <f aca="false">IFERROR(Tabelle1!L213/AE212,"")</f>
        <v>1.22052845622872</v>
      </c>
      <c r="AG212" s="24" t="n">
        <f aca="false">IFERROR(AVERAGEIFS($AF$7:$AF$294,$B$7:$B$294,$B212,$A$7:$A$294,"&gt;="&amp;EDATE($A212,-12*'Seasonal Factors'!$E$4),$A$7:$A$294,"&lt;="&amp;EDATE($A212,12*'Seasonal Factors'!$E$4)),"")</f>
        <v>1.13689071912892</v>
      </c>
      <c r="AH212" s="24" t="n">
        <f aca="false">IFERROR(AG212/AVERAGE(AG207:AG218),"")</f>
        <v>1.14303882890592</v>
      </c>
      <c r="AI212" s="23" t="n">
        <f aca="false">IF(ISNUMBER(Tabelle1!M219),(0.5*Tabelle1!M207+SUM(Tabelle1!M208:M218)+0.5*Tabelle1!M219)/12,"")</f>
        <v>161.299977916667</v>
      </c>
      <c r="AJ212" s="24" t="n">
        <f aca="false">IFERROR(Tabelle1!M213/AI212,"")</f>
        <v>0.952040551917104</v>
      </c>
      <c r="AK212" s="24" t="n">
        <f aca="false">IFERROR(AVERAGEIFS($AJ$7:$AJ$294,$B$7:$B$294,$B212,$A$7:$A$294,"&gt;="&amp;EDATE($A212,-12*'Seasonal Factors'!$E$4),$A$7:$A$294,"&lt;="&amp;EDATE($A212,12*'Seasonal Factors'!$E$4)),"")</f>
        <v>0.959596303220553</v>
      </c>
      <c r="AL212" s="24" t="n">
        <f aca="false">IFERROR(AK212/AVERAGE(AK207:AK218),"")</f>
        <v>0.960013814816644</v>
      </c>
      <c r="AM212" s="23" t="n">
        <f aca="false">IF(ISNUMBER(Tabelle1!N219),(0.5*Tabelle1!N207+SUM(Tabelle1!N208:N218)+0.5*Tabelle1!N219)/12,"")</f>
        <v>167.785567083333</v>
      </c>
      <c r="AN212" s="24" t="n">
        <f aca="false">IFERROR(Tabelle1!N213/AM212,"")</f>
        <v>0.951838961933359</v>
      </c>
      <c r="AO212" s="24" t="n">
        <f aca="false">IFERROR(AVERAGEIFS($AN$7:$AN$294,$B$7:$B$294,$B212,$A$7:$A$294,"&gt;="&amp;EDATE($A212,-12*'Seasonal Factors'!$E$4),$A$7:$A$294,"&lt;="&amp;EDATE($A212,12*'Seasonal Factors'!$E$4)),"")</f>
        <v>0.955078646056034</v>
      </c>
      <c r="AP212" s="24" t="n">
        <f aca="false">IFERROR(AO212/AVERAGE(AO207:AO218),"")</f>
        <v>0.956361316841078</v>
      </c>
      <c r="AQ212" s="23" t="n">
        <f aca="false">IF(ISNUMBER(Tabelle1!O219),(0.5*Tabelle1!O207+SUM(Tabelle1!O208:O218)+0.5*Tabelle1!O219)/12,"")</f>
        <v>140.74793</v>
      </c>
      <c r="AR212" s="24" t="n">
        <f aca="false">IFERROR(Tabelle1!O213/AQ212,"")</f>
        <v>0.978341280045824</v>
      </c>
      <c r="AS212" s="24" t="n">
        <f aca="false">IFERROR(AVERAGEIFS($AR$7:$AR$294,$B$7:$B$294,$B212,$A$7:$A$294,"&gt;="&amp;EDATE($A212,-12*'Seasonal Factors'!$E$4),$A$7:$A$294,"&lt;="&amp;EDATE($A212,12*'Seasonal Factors'!$E$4)),"")</f>
        <v>0.975619501747264</v>
      </c>
      <c r="AT212" s="24" t="n">
        <f aca="false">IFERROR(AS212/AVERAGE(AS207:AS218),"")</f>
        <v>0.975841022715632</v>
      </c>
      <c r="AU212" s="23" t="n">
        <f aca="false">IF(ISNUMBER(Tabelle1!P219),(0.5*Tabelle1!P207+SUM(Tabelle1!P208:P218)+0.5*Tabelle1!P219)/12,"")</f>
        <v>146.04315625</v>
      </c>
      <c r="AV212" s="24" t="n">
        <f aca="false">IFERROR(Tabelle1!P213/AU212,"")</f>
        <v>1.00962135978214</v>
      </c>
      <c r="AW212" s="24" t="n">
        <f aca="false">IFERROR(AVERAGEIFS($AV$7:$AV$294,$B$7:$B$294,$B212,$A$7:$A$294,"&gt;="&amp;EDATE($A212,-12*'Seasonal Factors'!$E$4),$A$7:$A$294,"&lt;="&amp;EDATE($A212,12*'Seasonal Factors'!$E$4)),"")</f>
        <v>1.00872561058789</v>
      </c>
      <c r="AX212" s="24" t="n">
        <f aca="false">IFERROR(AW212/AVERAGE(AW207:AW218),"")</f>
        <v>1.0087814011431</v>
      </c>
      <c r="AY212" s="23" t="n">
        <f aca="false">IF(ISNUMBER(Tabelle1!Q219),(0.5*Tabelle1!Q207+SUM(Tabelle1!Q208:Q218)+0.5*Tabelle1!Q219)/12,"")</f>
        <v>156.660389166667</v>
      </c>
      <c r="AZ212" s="24" t="n">
        <f aca="false">IFERROR(Tabelle1!Q213/AY212,"")</f>
        <v>0.984045749024614</v>
      </c>
      <c r="BA212" s="24" t="n">
        <f aca="false">IFERROR(AVERAGEIFS($AZ$7:$AZ$294,$B$7:$B$294,$B212,$A$7:$A$294,"&gt;="&amp;EDATE($A212,-12*'Seasonal Factors'!$E$4),$A$7:$A$294,"&lt;="&amp;EDATE($A212,12*'Seasonal Factors'!$E$4)),"")</f>
        <v>0.981594989438627</v>
      </c>
      <c r="BB212" s="24" t="n">
        <f aca="false">IFERROR(BA212/AVERAGE(BA207:BA218),"")</f>
        <v>0.981539637483159</v>
      </c>
      <c r="BC212" s="23" t="n">
        <f aca="false">IF(ISNUMBER(Tabelle1!R219),(0.5*Tabelle1!R207+SUM(Tabelle1!R208:R218)+0.5*Tabelle1!R219)/12,"")</f>
        <v>178.22986875</v>
      </c>
      <c r="BD212" s="24" t="n">
        <f aca="false">IFERROR(Tabelle1!R213/BC212,"")</f>
        <v>0.956515937511737</v>
      </c>
      <c r="BE212" s="24" t="n">
        <f aca="false">IFERROR(AVERAGEIFS($BD$7:$BD$294,$B$7:$B$294,$B212,$A$7:$A$294,"&gt;="&amp;EDATE($A212,-12*'Seasonal Factors'!$E$4),$A$7:$A$294,"&lt;="&amp;EDATE($A212,12*'Seasonal Factors'!$E$4)),"")</f>
        <v>0.960588548650608</v>
      </c>
      <c r="BF212" s="24" t="n">
        <f aca="false">IFERROR(BE212/AVERAGE(BE207:BE218),"")</f>
        <v>0.960673015916808</v>
      </c>
      <c r="BG212" s="23" t="n">
        <f aca="false">IF(ISNUMBER(Tabelle1!S219),(0.5*Tabelle1!S207+SUM(Tabelle1!S208:S218)+0.5*Tabelle1!S219)/12,"")</f>
        <v>108.753252916667</v>
      </c>
      <c r="BH212" s="24" t="n">
        <f aca="false">IFERROR(Tabelle1!S213/BG212,"")</f>
        <v>1.14785578042116</v>
      </c>
      <c r="BI212" s="24" t="n">
        <f aca="false">IFERROR(AVERAGEIFS($BH$7:$BH$294,$B$7:$B$294,$B212,$A$7:$A$294,"&gt;="&amp;EDATE($A212,-12*'Seasonal Factors'!$E$4),$A$7:$A$294,"&lt;="&amp;EDATE($A212,12*'Seasonal Factors'!$E$4)),"")</f>
        <v>1.0922720604456</v>
      </c>
      <c r="BJ212" s="24" t="n">
        <f aca="false">IFERROR(BI212/AVERAGE(BI207:BI218),"")</f>
        <v>1.09695299902978</v>
      </c>
    </row>
    <row r="213" customFormat="false" ht="15" hidden="false" customHeight="false" outlineLevel="0" collapsed="false">
      <c r="A213" s="20" t="n">
        <v>44286</v>
      </c>
      <c r="B213" s="22" t="n">
        <f aca="false">MONTH(A213)</f>
        <v>3</v>
      </c>
      <c r="C213" s="23" t="n">
        <f aca="false">IF(ISNUMBER(Tabelle1!E220),(0.5*Tabelle1!E208+SUM(Tabelle1!E209:E219)+0.5*Tabelle1!E220)/12,"")</f>
        <v>127.496537916667</v>
      </c>
      <c r="D213" s="24" t="n">
        <f aca="false">IFERROR(Tabelle1!E214/C213,"")</f>
        <v>1.15924849737178</v>
      </c>
      <c r="E213" s="24" t="n">
        <f aca="false">IFERROR(AVERAGEIFS($D$7:$D$294,$B$7:$B$294,$B213,$A$7:$A$294,"&gt;="&amp;EDATE($A213,-12*'Seasonal Factors'!$E$4),$A$7:$A$294,"&lt;="&amp;EDATE($A213,12*'Seasonal Factors'!$E$4)),"")</f>
        <v>1.1736520544265</v>
      </c>
      <c r="F213" s="24" t="n">
        <f aca="false">IFERROR(E213/AVERAGE(E208:E219),"")</f>
        <v>1.17677761582669</v>
      </c>
      <c r="G213" s="23" t="n">
        <f aca="false">IF(ISNUMBER(Tabelle1!F220),(0.5*Tabelle1!F208+SUM(Tabelle1!F209:F219)+0.5*Tabelle1!F220)/12,"")</f>
        <v>170.286666666667</v>
      </c>
      <c r="H213" s="24" t="n">
        <f aca="false">IFERROR(Tabelle1!F214/G213,"")</f>
        <v>0.799352836393533</v>
      </c>
      <c r="I213" s="24" t="n">
        <f aca="false">IFERROR(AVERAGEIFS($H$7:$H$294,$B$7:$B$294,$B213,$A$7:$A$294,"&gt;="&amp;EDATE($A213,-12*'Seasonal Factors'!$E$4),$A$7:$A$294,"&lt;="&amp;EDATE($A213,12*'Seasonal Factors'!$E$4)),"")</f>
        <v>0.772160948356221</v>
      </c>
      <c r="J213" s="24" t="n">
        <f aca="false">IFERROR(I213/AVERAGE(I208:I219),"")</f>
        <v>0.772941222217599</v>
      </c>
      <c r="K213" s="23" t="n">
        <f aca="false">IF(ISNUMBER(Tabelle1!G220),(0.5*Tabelle1!G208+SUM(Tabelle1!G209:G219)+0.5*Tabelle1!G220)/12,"")</f>
        <v>83.26881125</v>
      </c>
      <c r="L213" s="24" t="n">
        <f aca="false">IFERROR(Tabelle1!G214/K213,"")</f>
        <v>1.0103240185262</v>
      </c>
      <c r="M213" s="24" t="n">
        <f aca="false">IFERROR(AVERAGEIFS($L$7:$L$294,$B$7:$B$294,$B213,$A$7:$A$294,"&gt;="&amp;EDATE($A213,-12*'Seasonal Factors'!$E$4),$A$7:$A$294,"&lt;="&amp;EDATE($A213,12*'Seasonal Factors'!$E$4)),"")</f>
        <v>1.00879552102522</v>
      </c>
      <c r="N213" s="24" t="n">
        <f aca="false">IFERROR(M213/AVERAGE(M208:M219),"")</f>
        <v>1.00989343842395</v>
      </c>
      <c r="O213" s="23" t="n">
        <f aca="false">IF(ISNUMBER(Tabelle1!H220),(0.5*Tabelle1!H208+SUM(Tabelle1!H209:H219)+0.5*Tabelle1!H220)/12,"")</f>
        <v>122.852837916667</v>
      </c>
      <c r="P213" s="24" t="n">
        <f aca="false">IFERROR(Tabelle1!H214/O213,"")</f>
        <v>1.05429986149655</v>
      </c>
      <c r="Q213" s="24" t="n">
        <f aca="false">IFERROR(AVERAGEIFS($P$7:$P$294,$B$7:$B$294,$B213,$A$7:$A$294,"&gt;="&amp;EDATE($A213,-12*'Seasonal Factors'!$E$4),$A$7:$A$294,"&lt;="&amp;EDATE($A213,12*'Seasonal Factors'!$E$4)),"")</f>
        <v>0.994094322825929</v>
      </c>
      <c r="R213" s="24" t="n">
        <f aca="false">IFERROR(Q213/AVERAGE(Q208:Q219),"")</f>
        <v>0.994315076558513</v>
      </c>
      <c r="S213" s="23" t="n">
        <f aca="false">IF(ISNUMBER(Tabelle1!I220),(0.5*Tabelle1!I208+SUM(Tabelle1!I209:I219)+0.5*Tabelle1!I220)/12,"")</f>
        <v>145.356114583333</v>
      </c>
      <c r="T213" s="24" t="n">
        <f aca="false">IFERROR(Tabelle1!I214/S213,"")</f>
        <v>0.997039377500101</v>
      </c>
      <c r="U213" s="24" t="n">
        <f aca="false">IFERROR(AVERAGEIFS($T$7:$T$294,$B$7:$B$294,$B213,$A$7:$A$294,"&gt;="&amp;EDATE($A213,-12*'Seasonal Factors'!$E$4),$A$7:$A$294,"&lt;="&amp;EDATE($A213,12*'Seasonal Factors'!$E$4)),"")</f>
        <v>1.01336286724292</v>
      </c>
      <c r="V213" s="24" t="n">
        <f aca="false">IFERROR(U213/AVERAGE(U208:U219),"")</f>
        <v>1.01358129209873</v>
      </c>
      <c r="W213" s="23" t="n">
        <f aca="false">IF(ISNUMBER(Tabelle1!J220),(0.5*Tabelle1!J208+SUM(Tabelle1!J209:J219)+0.5*Tabelle1!J220)/12,"")</f>
        <v>139.23442875</v>
      </c>
      <c r="X213" s="24" t="n">
        <f aca="false">IFERROR(Tabelle1!J214/W213,"")</f>
        <v>1.09531953676364</v>
      </c>
      <c r="Y213" s="24" t="n">
        <f aca="false">IFERROR(AVERAGEIFS($X$7:$X$294,$B$7:$B$294,$B213,$A$7:$A$294,"&gt;="&amp;EDATE($A213,-12*'Seasonal Factors'!$E$4),$A$7:$A$294,"&lt;="&amp;EDATE($A213,12*'Seasonal Factors'!$E$4)),"")</f>
        <v>1.01861508753998</v>
      </c>
      <c r="Z213" s="24" t="n">
        <f aca="false">IFERROR(Y213/AVERAGE(Y208:Y219),"")</f>
        <v>1.02008160611024</v>
      </c>
      <c r="AA213" s="23" t="n">
        <f aca="false">IF(ISNUMBER(Tabelle1!K220),(0.5*Tabelle1!K208+SUM(Tabelle1!K209:K219)+0.5*Tabelle1!K220)/12,"")</f>
        <v>147.416132916667</v>
      </c>
      <c r="AB213" s="24" t="n">
        <f aca="false">IFERROR(Tabelle1!K214/AA213,"")</f>
        <v>1.05515506968243</v>
      </c>
      <c r="AC213" s="24" t="n">
        <f aca="false">IFERROR(AVERAGEIFS($AB$7:$AB$294,$B$7:$B$294,$B213,$A$7:$A$294,"&gt;="&amp;EDATE($A213,-12*'Seasonal Factors'!$E$4),$A$7:$A$294,"&lt;="&amp;EDATE($A213,12*'Seasonal Factors'!$E$4)),"")</f>
        <v>1.03707977089839</v>
      </c>
      <c r="AD213" s="24" t="n">
        <f aca="false">IFERROR(AC213/AVERAGE(AC208:AC219),"")</f>
        <v>1.03755960588706</v>
      </c>
      <c r="AE213" s="23" t="n">
        <f aca="false">IF(ISNUMBER(Tabelle1!L220),(0.5*Tabelle1!L208+SUM(Tabelle1!L209:L219)+0.5*Tabelle1!L220)/12,"")</f>
        <v>96.06217625</v>
      </c>
      <c r="AF213" s="24" t="n">
        <f aca="false">IFERROR(Tabelle1!L214/AE213,"")</f>
        <v>0.956664460326548</v>
      </c>
      <c r="AG213" s="24" t="n">
        <f aca="false">IFERROR(AVERAGEIFS($AF$7:$AF$294,$B$7:$B$294,$B213,$A$7:$A$294,"&gt;="&amp;EDATE($A213,-12*'Seasonal Factors'!$E$4),$A$7:$A$294,"&lt;="&amp;EDATE($A213,12*'Seasonal Factors'!$E$4)),"")</f>
        <v>0.937795745300288</v>
      </c>
      <c r="AH213" s="24" t="n">
        <f aca="false">IFERROR(AG213/AVERAGE(AG208:AG219),"")</f>
        <v>0.943285582415643</v>
      </c>
      <c r="AI213" s="23" t="n">
        <f aca="false">IF(ISNUMBER(Tabelle1!M220),(0.5*Tabelle1!M208+SUM(Tabelle1!M209:M219)+0.5*Tabelle1!M220)/12,"")</f>
        <v>162.9227625</v>
      </c>
      <c r="AJ213" s="24" t="n">
        <f aca="false">IFERROR(Tabelle1!M214/AI213,"")</f>
        <v>1.02940207633663</v>
      </c>
      <c r="AK213" s="24" t="n">
        <f aca="false">IFERROR(AVERAGEIFS($AJ$7:$AJ$294,$B$7:$B$294,$B213,$A$7:$A$294,"&gt;="&amp;EDATE($A213,-12*'Seasonal Factors'!$E$4),$A$7:$A$294,"&lt;="&amp;EDATE($A213,12*'Seasonal Factors'!$E$4)),"")</f>
        <v>1.00822211460458</v>
      </c>
      <c r="AL213" s="24" t="n">
        <f aca="false">IFERROR(AK213/AVERAGE(AK208:AK219),"")</f>
        <v>1.00859731800909</v>
      </c>
      <c r="AM213" s="23" t="n">
        <f aca="false">IF(ISNUMBER(Tabelle1!N220),(0.5*Tabelle1!N208+SUM(Tabelle1!N209:N219)+0.5*Tabelle1!N220)/12,"")</f>
        <v>167.63650125</v>
      </c>
      <c r="AN213" s="24" t="n">
        <f aca="false">IFERROR(Tabelle1!N214/AM213,"")</f>
        <v>1.07084106779519</v>
      </c>
      <c r="AO213" s="24" t="n">
        <f aca="false">IFERROR(AVERAGEIFS($AN$7:$AN$294,$B$7:$B$294,$B213,$A$7:$A$294,"&gt;="&amp;EDATE($A213,-12*'Seasonal Factors'!$E$4),$A$7:$A$294,"&lt;="&amp;EDATE($A213,12*'Seasonal Factors'!$E$4)),"")</f>
        <v>1.03213871109193</v>
      </c>
      <c r="AP213" s="24" t="n">
        <f aca="false">IFERROR(AO213/AVERAGE(AO208:AO219),"")</f>
        <v>1.0320514109557</v>
      </c>
      <c r="AQ213" s="23" t="n">
        <f aca="false">IF(ISNUMBER(Tabelle1!O220),(0.5*Tabelle1!O208+SUM(Tabelle1!O209:O219)+0.5*Tabelle1!O220)/12,"")</f>
        <v>141.62258875</v>
      </c>
      <c r="AR213" s="24" t="n">
        <f aca="false">IFERROR(Tabelle1!O214/AQ213,"")</f>
        <v>1.00673692846898</v>
      </c>
      <c r="AS213" s="24" t="n">
        <f aca="false">IFERROR(AVERAGEIFS($AR$7:$AR$294,$B$7:$B$294,$B213,$A$7:$A$294,"&gt;="&amp;EDATE($A213,-12*'Seasonal Factors'!$E$4),$A$7:$A$294,"&lt;="&amp;EDATE($A213,12*'Seasonal Factors'!$E$4)),"")</f>
        <v>0.988618645964567</v>
      </c>
      <c r="AT213" s="24" t="n">
        <f aca="false">IFERROR(AS213/AVERAGE(AS208:AS219),"")</f>
        <v>0.988720432132838</v>
      </c>
      <c r="AU213" s="23" t="n">
        <f aca="false">IF(ISNUMBER(Tabelle1!P220),(0.5*Tabelle1!P208+SUM(Tabelle1!P209:P219)+0.5*Tabelle1!P220)/12,"")</f>
        <v>147.001419583333</v>
      </c>
      <c r="AV213" s="24" t="n">
        <f aca="false">IFERROR(Tabelle1!P214/AU213,"")</f>
        <v>1.01309191722176</v>
      </c>
      <c r="AW213" s="24" t="n">
        <f aca="false">IFERROR(AVERAGEIFS($AV$7:$AV$294,$B$7:$B$294,$B213,$A$7:$A$294,"&gt;="&amp;EDATE($A213,-12*'Seasonal Factors'!$E$4),$A$7:$A$294,"&lt;="&amp;EDATE($A213,12*'Seasonal Factors'!$E$4)),"")</f>
        <v>1.00533912804594</v>
      </c>
      <c r="AX213" s="24" t="n">
        <f aca="false">IFERROR(AW213/AVERAGE(AW208:AW219),"")</f>
        <v>1.00536232235817</v>
      </c>
      <c r="AY213" s="23" t="n">
        <f aca="false">IF(ISNUMBER(Tabelle1!Q220),(0.5*Tabelle1!Q208+SUM(Tabelle1!Q209:Q219)+0.5*Tabelle1!Q220)/12,"")</f>
        <v>157.364965416667</v>
      </c>
      <c r="AZ213" s="24" t="n">
        <f aca="false">IFERROR(Tabelle1!Q214/AY213,"")</f>
        <v>1.0130205257435</v>
      </c>
      <c r="BA213" s="24" t="n">
        <f aca="false">IFERROR(AVERAGEIFS($AZ$7:$AZ$294,$B$7:$B$294,$B213,$A$7:$A$294,"&gt;="&amp;EDATE($A213,-12*'Seasonal Factors'!$E$4),$A$7:$A$294,"&lt;="&amp;EDATE($A213,12*'Seasonal Factors'!$E$4)),"")</f>
        <v>0.998514631957267</v>
      </c>
      <c r="BB213" s="24" t="n">
        <f aca="false">IFERROR(BA213/AVERAGE(BA208:BA219),"")</f>
        <v>0.998446998709095</v>
      </c>
      <c r="BC213" s="23" t="n">
        <f aca="false">IF(ISNUMBER(Tabelle1!R220),(0.5*Tabelle1!R208+SUM(Tabelle1!R209:R219)+0.5*Tabelle1!R220)/12,"")</f>
        <v>179.60357375</v>
      </c>
      <c r="BD213" s="24" t="n">
        <f aca="false">IFERROR(Tabelle1!R214/BC213,"")</f>
        <v>1.03194026783668</v>
      </c>
      <c r="BE213" s="24" t="n">
        <f aca="false">IFERROR(AVERAGEIFS($BD$7:$BD$294,$B$7:$B$294,$B213,$A$7:$A$294,"&gt;="&amp;EDATE($A213,-12*'Seasonal Factors'!$E$4),$A$7:$A$294,"&lt;="&amp;EDATE($A213,12*'Seasonal Factors'!$E$4)),"")</f>
        <v>1.02845284137292</v>
      </c>
      <c r="BF213" s="24" t="n">
        <f aca="false">IFERROR(BE213/AVERAGE(BE208:BE219),"")</f>
        <v>1.0285661323594</v>
      </c>
      <c r="BG213" s="23" t="n">
        <f aca="false">IF(ISNUMBER(Tabelle1!S220),(0.5*Tabelle1!S208+SUM(Tabelle1!S209:S219)+0.5*Tabelle1!S220)/12,"")</f>
        <v>112.835425</v>
      </c>
      <c r="BH213" s="24" t="n">
        <f aca="false">IFERROR(Tabelle1!S214/BG213,"")</f>
        <v>1.09105974475658</v>
      </c>
      <c r="BI213" s="24" t="n">
        <f aca="false">IFERROR(AVERAGEIFS($BH$7:$BH$294,$B$7:$B$294,$B213,$A$7:$A$294,"&gt;="&amp;EDATE($A213,-12*'Seasonal Factors'!$E$4),$A$7:$A$294,"&lt;="&amp;EDATE($A213,12*'Seasonal Factors'!$E$4)),"")</f>
        <v>1.05944423703666</v>
      </c>
      <c r="BJ213" s="24" t="n">
        <f aca="false">IFERROR(BI213/AVERAGE(BI208:BI219),"")</f>
        <v>1.06394219461053</v>
      </c>
    </row>
    <row r="214" customFormat="false" ht="15" hidden="false" customHeight="false" outlineLevel="0" collapsed="false">
      <c r="A214" s="20" t="n">
        <v>44316</v>
      </c>
      <c r="B214" s="22" t="n">
        <f aca="false">MONTH(A214)</f>
        <v>4</v>
      </c>
      <c r="C214" s="23" t="n">
        <f aca="false">IF(ISNUMBER(Tabelle1!E221),(0.5*Tabelle1!E209+SUM(Tabelle1!E210:E220)+0.5*Tabelle1!E221)/12,"")</f>
        <v>127.609177916667</v>
      </c>
      <c r="D214" s="24" t="n">
        <f aca="false">IFERROR(Tabelle1!E215/C214,"")</f>
        <v>1.62769750100296</v>
      </c>
      <c r="E214" s="24" t="n">
        <f aca="false">IFERROR(AVERAGEIFS($D$7:$D$294,$B$7:$B$294,$B214,$A$7:$A$294,"&gt;="&amp;EDATE($A214,-12*'Seasonal Factors'!$E$4),$A$7:$A$294,"&lt;="&amp;EDATE($A214,12*'Seasonal Factors'!$E$4)),"")</f>
        <v>1.59555050108592</v>
      </c>
      <c r="F214" s="24" t="n">
        <f aca="false">IFERROR(E214/AVERAGE(E209:E220),"")</f>
        <v>1.6001934664187</v>
      </c>
      <c r="G214" s="23" t="n">
        <f aca="false">IF(ISNUMBER(Tabelle1!F221),(0.5*Tabelle1!F209+SUM(Tabelle1!F210:F220)+0.5*Tabelle1!F221)/12,"")</f>
        <v>167.662889166667</v>
      </c>
      <c r="H214" s="24" t="n">
        <f aca="false">IFERROR(Tabelle1!F215/G214,"")</f>
        <v>0.79363000757865</v>
      </c>
      <c r="I214" s="24" t="n">
        <f aca="false">IFERROR(AVERAGEIFS($H$7:$H$294,$B$7:$B$294,$B214,$A$7:$A$294,"&gt;="&amp;EDATE($A214,-12*'Seasonal Factors'!$E$4),$A$7:$A$294,"&lt;="&amp;EDATE($A214,12*'Seasonal Factors'!$E$4)),"")</f>
        <v>0.824289937762821</v>
      </c>
      <c r="J214" s="24" t="n">
        <f aca="false">IFERROR(I214/AVERAGE(I209:I220),"")</f>
        <v>0.830387887993206</v>
      </c>
      <c r="K214" s="23" t="n">
        <f aca="false">IF(ISNUMBER(Tabelle1!G221),(0.5*Tabelle1!G209+SUM(Tabelle1!G210:G220)+0.5*Tabelle1!G221)/12,"")</f>
        <v>84.3251608333333</v>
      </c>
      <c r="L214" s="24" t="n">
        <f aca="false">IFERROR(Tabelle1!G215/K214,"")</f>
        <v>0.978801097849472</v>
      </c>
      <c r="M214" s="24" t="n">
        <f aca="false">IFERROR(AVERAGEIFS($L$7:$L$294,$B$7:$B$294,$B214,$A$7:$A$294,"&gt;="&amp;EDATE($A214,-12*'Seasonal Factors'!$E$4),$A$7:$A$294,"&lt;="&amp;EDATE($A214,12*'Seasonal Factors'!$E$4)),"")</f>
        <v>0.9645085118232</v>
      </c>
      <c r="N214" s="24" t="n">
        <f aca="false">IFERROR(M214/AVERAGE(M209:M220),"")</f>
        <v>0.96565725068827</v>
      </c>
      <c r="O214" s="23" t="n">
        <f aca="false">IF(ISNUMBER(Tabelle1!H221),(0.5*Tabelle1!H209+SUM(Tabelle1!H210:H220)+0.5*Tabelle1!H221)/12,"")</f>
        <v>123.643788333333</v>
      </c>
      <c r="P214" s="24" t="n">
        <f aca="false">IFERROR(Tabelle1!H215/O214,"")</f>
        <v>0.997354834094442</v>
      </c>
      <c r="Q214" s="24" t="n">
        <f aca="false">IFERROR(AVERAGEIFS($P$7:$P$294,$B$7:$B$294,$B214,$A$7:$A$294,"&gt;="&amp;EDATE($A214,-12*'Seasonal Factors'!$E$4),$A$7:$A$294,"&lt;="&amp;EDATE($A214,12*'Seasonal Factors'!$E$4)),"")</f>
        <v>0.946094385352228</v>
      </c>
      <c r="R214" s="24" t="n">
        <f aca="false">IFERROR(Q214/AVERAGE(Q209:Q220),"")</f>
        <v>0.945872086171631</v>
      </c>
      <c r="S214" s="23" t="n">
        <f aca="false">IF(ISNUMBER(Tabelle1!I221),(0.5*Tabelle1!I209+SUM(Tabelle1!I210:I220)+0.5*Tabelle1!I221)/12,"")</f>
        <v>145.461515833333</v>
      </c>
      <c r="T214" s="24" t="n">
        <f aca="false">IFERROR(Tabelle1!I215/S214,"")</f>
        <v>0.925230080471628</v>
      </c>
      <c r="U214" s="24" t="n">
        <f aca="false">IFERROR(AVERAGEIFS($T$7:$T$294,$B$7:$B$294,$B214,$A$7:$A$294,"&gt;="&amp;EDATE($A214,-12*'Seasonal Factors'!$E$4),$A$7:$A$294,"&lt;="&amp;EDATE($A214,12*'Seasonal Factors'!$E$4)),"")</f>
        <v>0.911912413810497</v>
      </c>
      <c r="V214" s="24" t="n">
        <f aca="false">IFERROR(U214/AVERAGE(U209:U220),"")</f>
        <v>0.9121827959513</v>
      </c>
      <c r="W214" s="23" t="n">
        <f aca="false">IF(ISNUMBER(Tabelle1!J221),(0.5*Tabelle1!J209+SUM(Tabelle1!J210:J220)+0.5*Tabelle1!J221)/12,"")</f>
        <v>140.941394166667</v>
      </c>
      <c r="X214" s="24" t="n">
        <f aca="false">IFERROR(Tabelle1!J215/W214,"")</f>
        <v>0.979024443569994</v>
      </c>
      <c r="Y214" s="24" t="n">
        <f aca="false">IFERROR(AVERAGEIFS($X$7:$X$294,$B$7:$B$294,$B214,$A$7:$A$294,"&gt;="&amp;EDATE($A214,-12*'Seasonal Factors'!$E$4),$A$7:$A$294,"&lt;="&amp;EDATE($A214,12*'Seasonal Factors'!$E$4)),"")</f>
        <v>0.911118133794277</v>
      </c>
      <c r="Z214" s="24" t="n">
        <f aca="false">IFERROR(Y214/AVERAGE(Y209:Y220),"")</f>
        <v>0.911829184262302</v>
      </c>
      <c r="AA214" s="23" t="n">
        <f aca="false">IF(ISNUMBER(Tabelle1!K221),(0.5*Tabelle1!K209+SUM(Tabelle1!K210:K220)+0.5*Tabelle1!K221)/12,"")</f>
        <v>148.193911666667</v>
      </c>
      <c r="AB214" s="24" t="n">
        <f aca="false">IFERROR(Tabelle1!K215/AA214,"")</f>
        <v>1.02253337060732</v>
      </c>
      <c r="AC214" s="24" t="n">
        <f aca="false">IFERROR(AVERAGEIFS($AB$7:$AB$294,$B$7:$B$294,$B214,$A$7:$A$294,"&gt;="&amp;EDATE($A214,-12*'Seasonal Factors'!$E$4),$A$7:$A$294,"&lt;="&amp;EDATE($A214,12*'Seasonal Factors'!$E$4)),"")</f>
        <v>0.971971025680347</v>
      </c>
      <c r="AD214" s="24" t="n">
        <f aca="false">IFERROR(AC214/AVERAGE(AC209:AC220),"")</f>
        <v>0.972186551876582</v>
      </c>
      <c r="AE214" s="23" t="n">
        <f aca="false">IF(ISNUMBER(Tabelle1!L221),(0.5*Tabelle1!L209+SUM(Tabelle1!L210:L220)+0.5*Tabelle1!L221)/12,"")</f>
        <v>100.030424583333</v>
      </c>
      <c r="AF214" s="24" t="n">
        <f aca="false">IFERROR(Tabelle1!L215/AE214,"")</f>
        <v>0.988278420408417</v>
      </c>
      <c r="AG214" s="24" t="n">
        <f aca="false">IFERROR(AVERAGEIFS($AF$7:$AF$294,$B$7:$B$294,$B214,$A$7:$A$294,"&gt;="&amp;EDATE($A214,-12*'Seasonal Factors'!$E$4),$A$7:$A$294,"&lt;="&amp;EDATE($A214,12*'Seasonal Factors'!$E$4)),"")</f>
        <v>0.779518956619115</v>
      </c>
      <c r="AH214" s="24" t="n">
        <f aca="false">IFERROR(AG214/AVERAGE(AG209:AG220),"")</f>
        <v>0.784000274008034</v>
      </c>
      <c r="AI214" s="23" t="n">
        <f aca="false">IF(ISNUMBER(Tabelle1!M221),(0.5*Tabelle1!M209+SUM(Tabelle1!M210:M220)+0.5*Tabelle1!M221)/12,"")</f>
        <v>164.50627875</v>
      </c>
      <c r="AJ214" s="24" t="n">
        <f aca="false">IFERROR(Tabelle1!M215/AI214,"")</f>
        <v>1.03535051241927</v>
      </c>
      <c r="AK214" s="24" t="n">
        <f aca="false">IFERROR(AVERAGEIFS($AJ$7:$AJ$294,$B$7:$B$294,$B214,$A$7:$A$294,"&gt;="&amp;EDATE($A214,-12*'Seasonal Factors'!$E$4),$A$7:$A$294,"&lt;="&amp;EDATE($A214,12*'Seasonal Factors'!$E$4)),"")</f>
        <v>1.00265874149112</v>
      </c>
      <c r="AL214" s="24" t="n">
        <f aca="false">IFERROR(AK214/AVERAGE(AK209:AK220),"")</f>
        <v>1.00290541654252</v>
      </c>
      <c r="AM214" s="23" t="n">
        <f aca="false">IF(ISNUMBER(Tabelle1!N221),(0.5*Tabelle1!N209+SUM(Tabelle1!N210:N220)+0.5*Tabelle1!N221)/12,"")</f>
        <v>167.41491875</v>
      </c>
      <c r="AN214" s="24" t="n">
        <f aca="false">IFERROR(Tabelle1!N215/AM214,"")</f>
        <v>1.02040075804176</v>
      </c>
      <c r="AO214" s="24" t="n">
        <f aca="false">IFERROR(AVERAGEIFS($AN$7:$AN$294,$B$7:$B$294,$B214,$A$7:$A$294,"&gt;="&amp;EDATE($A214,-12*'Seasonal Factors'!$E$4),$A$7:$A$294,"&lt;="&amp;EDATE($A214,12*'Seasonal Factors'!$E$4)),"")</f>
        <v>1.00885105183841</v>
      </c>
      <c r="AP214" s="24" t="n">
        <f aca="false">IFERROR(AO214/AVERAGE(AO209:AO220),"")</f>
        <v>1.00810607077699</v>
      </c>
      <c r="AQ214" s="23" t="n">
        <f aca="false">IF(ISNUMBER(Tabelle1!O221),(0.5*Tabelle1!O209+SUM(Tabelle1!O210:O220)+0.5*Tabelle1!O221)/12,"")</f>
        <v>142.424506666667</v>
      </c>
      <c r="AR214" s="24" t="n">
        <f aca="false">IFERROR(Tabelle1!O215/AQ214,"")</f>
        <v>1.010586614401</v>
      </c>
      <c r="AS214" s="24" t="n">
        <f aca="false">IFERROR(AVERAGEIFS($AR$7:$AR$294,$B$7:$B$294,$B214,$A$7:$A$294,"&gt;="&amp;EDATE($A214,-12*'Seasonal Factors'!$E$4),$A$7:$A$294,"&lt;="&amp;EDATE($A214,12*'Seasonal Factors'!$E$4)),"")</f>
        <v>0.988122221053611</v>
      </c>
      <c r="AT214" s="24" t="n">
        <f aca="false">IFERROR(AS214/AVERAGE(AS209:AS220),"")</f>
        <v>0.987981721665312</v>
      </c>
      <c r="AU214" s="23" t="n">
        <f aca="false">IF(ISNUMBER(Tabelle1!P221),(0.5*Tabelle1!P209+SUM(Tabelle1!P210:P220)+0.5*Tabelle1!P221)/12,"")</f>
        <v>148.196781666667</v>
      </c>
      <c r="AV214" s="24" t="n">
        <f aca="false">IFERROR(Tabelle1!P215/AU214,"")</f>
        <v>0.987227444176729</v>
      </c>
      <c r="AW214" s="24" t="n">
        <f aca="false">IFERROR(AVERAGEIFS($AV$7:$AV$294,$B$7:$B$294,$B214,$A$7:$A$294,"&gt;="&amp;EDATE($A214,-12*'Seasonal Factors'!$E$4),$A$7:$A$294,"&lt;="&amp;EDATE($A214,12*'Seasonal Factors'!$E$4)),"")</f>
        <v>0.985887157504607</v>
      </c>
      <c r="AX214" s="24" t="n">
        <f aca="false">IFERROR(AW214/AVERAGE(AW209:AW220),"")</f>
        <v>0.985918251823467</v>
      </c>
      <c r="AY214" s="23" t="n">
        <f aca="false">IF(ISNUMBER(Tabelle1!Q221),(0.5*Tabelle1!Q209+SUM(Tabelle1!Q210:Q220)+0.5*Tabelle1!Q221)/12,"")</f>
        <v>158.037860833333</v>
      </c>
      <c r="AZ214" s="24" t="n">
        <f aca="false">IFERROR(Tabelle1!Q215/AY214,"")</f>
        <v>0.988023307684926</v>
      </c>
      <c r="BA214" s="24" t="n">
        <f aca="false">IFERROR(AVERAGEIFS($AZ$7:$AZ$294,$B$7:$B$294,$B214,$A$7:$A$294,"&gt;="&amp;EDATE($A214,-12*'Seasonal Factors'!$E$4),$A$7:$A$294,"&lt;="&amp;EDATE($A214,12*'Seasonal Factors'!$E$4)),"")</f>
        <v>0.98577584191588</v>
      </c>
      <c r="BB214" s="24" t="n">
        <f aca="false">IFERROR(BA214/AVERAGE(BA209:BA220),"")</f>
        <v>0.985792096210088</v>
      </c>
      <c r="BC214" s="23" t="n">
        <f aca="false">IF(ISNUMBER(Tabelle1!R221),(0.5*Tabelle1!R209+SUM(Tabelle1!R210:R220)+0.5*Tabelle1!R221)/12,"")</f>
        <v>180.334409583333</v>
      </c>
      <c r="BD214" s="24" t="n">
        <f aca="false">IFERROR(Tabelle1!R215/BC214,"")</f>
        <v>1.04348221969831</v>
      </c>
      <c r="BE214" s="24" t="n">
        <f aca="false">IFERROR(AVERAGEIFS($BD$7:$BD$294,$B$7:$B$294,$B214,$A$7:$A$294,"&gt;="&amp;EDATE($A214,-12*'Seasonal Factors'!$E$4),$A$7:$A$294,"&lt;="&amp;EDATE($A214,12*'Seasonal Factors'!$E$4)),"")</f>
        <v>1.01397305030438</v>
      </c>
      <c r="BF214" s="24" t="n">
        <f aca="false">IFERROR(BE214/AVERAGE(BE209:BE220),"")</f>
        <v>1.01411321165174</v>
      </c>
      <c r="BG214" s="23" t="n">
        <f aca="false">IF(ISNUMBER(Tabelle1!S221),(0.5*Tabelle1!S209+SUM(Tabelle1!S210:S220)+0.5*Tabelle1!S221)/12,"")</f>
        <v>115.507604166667</v>
      </c>
      <c r="BH214" s="24" t="n">
        <f aca="false">IFERROR(Tabelle1!S215/BG214,"")</f>
        <v>0.895785006939478</v>
      </c>
      <c r="BI214" s="24" t="n">
        <f aca="false">IFERROR(AVERAGEIFS($BH$7:$BH$294,$B$7:$B$294,$B214,$A$7:$A$294,"&gt;="&amp;EDATE($A214,-12*'Seasonal Factors'!$E$4),$A$7:$A$294,"&lt;="&amp;EDATE($A214,12*'Seasonal Factors'!$E$4)),"")</f>
        <v>0.893063904527754</v>
      </c>
      <c r="BJ214" s="24" t="n">
        <f aca="false">IFERROR(BI214/AVERAGE(BI209:BI220),"")</f>
        <v>0.896678434541118</v>
      </c>
    </row>
    <row r="215" customFormat="false" ht="15" hidden="false" customHeight="false" outlineLevel="0" collapsed="false">
      <c r="A215" s="20" t="n">
        <v>44347</v>
      </c>
      <c r="B215" s="22" t="n">
        <f aca="false">MONTH(A215)</f>
        <v>5</v>
      </c>
      <c r="C215" s="23" t="n">
        <f aca="false">IF(ISNUMBER(Tabelle1!E222),(0.5*Tabelle1!E210+SUM(Tabelle1!E211:E221)+0.5*Tabelle1!E222)/12,"")</f>
        <v>127.935920833333</v>
      </c>
      <c r="D215" s="24" t="n">
        <f aca="false">IFERROR(Tabelle1!E216/C215,"")</f>
        <v>2.20459084643969</v>
      </c>
      <c r="E215" s="24" t="n">
        <f aca="false">IFERROR(AVERAGEIFS($D$7:$D$294,$B$7:$B$294,$B215,$A$7:$A$294,"&gt;="&amp;EDATE($A215,-12*'Seasonal Factors'!$E$4),$A$7:$A$294,"&lt;="&amp;EDATE($A215,12*'Seasonal Factors'!$E$4)),"")</f>
        <v>2.1706353819639</v>
      </c>
      <c r="F215" s="24" t="n">
        <f aca="false">IFERROR(E215/AVERAGE(E210:E221),"")</f>
        <v>2.17730406397181</v>
      </c>
      <c r="G215" s="23" t="n">
        <f aca="false">IF(ISNUMBER(Tabelle1!F222),(0.5*Tabelle1!F210+SUM(Tabelle1!F211:F221)+0.5*Tabelle1!F222)/12,"")</f>
        <v>166.034120416667</v>
      </c>
      <c r="H215" s="24" t="n">
        <f aca="false">IFERROR(Tabelle1!F216/G215,"")</f>
        <v>0.953636635666521</v>
      </c>
      <c r="I215" s="24" t="n">
        <f aca="false">IFERROR(AVERAGEIFS($H$7:$H$294,$B$7:$B$294,$B215,$A$7:$A$294,"&gt;="&amp;EDATE($A215,-12*'Seasonal Factors'!$E$4),$A$7:$A$294,"&lt;="&amp;EDATE($A215,12*'Seasonal Factors'!$E$4)),"")</f>
        <v>0.861345719104736</v>
      </c>
      <c r="J215" s="24" t="n">
        <f aca="false">IFERROR(I215/AVERAGE(I210:I221),"")</f>
        <v>0.868127316957362</v>
      </c>
      <c r="K215" s="23" t="n">
        <f aca="false">IF(ISNUMBER(Tabelle1!G222),(0.5*Tabelle1!G210+SUM(Tabelle1!G211:G221)+0.5*Tabelle1!G222)/12,"")</f>
        <v>85.4073983333333</v>
      </c>
      <c r="L215" s="24" t="n">
        <f aca="false">IFERROR(Tabelle1!G216/K215,"")</f>
        <v>1.05840655217242</v>
      </c>
      <c r="M215" s="24" t="n">
        <f aca="false">IFERROR(AVERAGEIFS($L$7:$L$294,$B$7:$B$294,$B215,$A$7:$A$294,"&gt;="&amp;EDATE($A215,-12*'Seasonal Factors'!$E$4),$A$7:$A$294,"&lt;="&amp;EDATE($A215,12*'Seasonal Factors'!$E$4)),"")</f>
        <v>1.03709057184887</v>
      </c>
      <c r="N215" s="24" t="n">
        <f aca="false">IFERROR(M215/AVERAGE(M210:M221),"")</f>
        <v>1.03863761891121</v>
      </c>
      <c r="O215" s="23" t="n">
        <f aca="false">IF(ISNUMBER(Tabelle1!H222),(0.5*Tabelle1!H210+SUM(Tabelle1!H211:H221)+0.5*Tabelle1!H222)/12,"")</f>
        <v>124.449465</v>
      </c>
      <c r="P215" s="24" t="n">
        <f aca="false">IFERROR(Tabelle1!H216/O215,"")</f>
        <v>0.981022698651215</v>
      </c>
      <c r="Q215" s="24" t="n">
        <f aca="false">IFERROR(AVERAGEIFS($P$7:$P$294,$B$7:$B$294,$B215,$A$7:$A$294,"&gt;="&amp;EDATE($A215,-12*'Seasonal Factors'!$E$4),$A$7:$A$294,"&lt;="&amp;EDATE($A215,12*'Seasonal Factors'!$E$4)),"")</f>
        <v>0.999341617465877</v>
      </c>
      <c r="R215" s="24" t="n">
        <f aca="false">IFERROR(Q215/AVERAGE(Q210:Q221),"")</f>
        <v>0.999715518427152</v>
      </c>
      <c r="S215" s="23" t="n">
        <f aca="false">IF(ISNUMBER(Tabelle1!I222),(0.5*Tabelle1!I210+SUM(Tabelle1!I211:I221)+0.5*Tabelle1!I222)/12,"")</f>
        <v>145.336475</v>
      </c>
      <c r="T215" s="24" t="n">
        <f aca="false">IFERROR(Tabelle1!I216/S215,"")</f>
        <v>1.01011243048244</v>
      </c>
      <c r="U215" s="24" t="n">
        <f aca="false">IFERROR(AVERAGEIFS($T$7:$T$294,$B$7:$B$294,$B215,$A$7:$A$294,"&gt;="&amp;EDATE($A215,-12*'Seasonal Factors'!$E$4),$A$7:$A$294,"&lt;="&amp;EDATE($A215,12*'Seasonal Factors'!$E$4)),"")</f>
        <v>1.00162146546006</v>
      </c>
      <c r="V215" s="24" t="n">
        <f aca="false">IFERROR(U215/AVERAGE(U210:U221),"")</f>
        <v>1.00199362732412</v>
      </c>
      <c r="W215" s="23" t="n">
        <f aca="false">IF(ISNUMBER(Tabelle1!J222),(0.5*Tabelle1!J210+SUM(Tabelle1!J211:J221)+0.5*Tabelle1!J222)/12,"")</f>
        <v>141.573853333333</v>
      </c>
      <c r="X215" s="24" t="n">
        <f aca="false">IFERROR(Tabelle1!J216/W215,"")</f>
        <v>0.879118121528843</v>
      </c>
      <c r="Y215" s="24" t="n">
        <f aca="false">IFERROR(AVERAGEIFS($X$7:$X$294,$B$7:$B$294,$B215,$A$7:$A$294,"&gt;="&amp;EDATE($A215,-12*'Seasonal Factors'!$E$4),$A$7:$A$294,"&lt;="&amp;EDATE($A215,12*'Seasonal Factors'!$E$4)),"")</f>
        <v>0.934822095698799</v>
      </c>
      <c r="Z215" s="24" t="n">
        <f aca="false">IFERROR(Y215/AVERAGE(Y210:Y221),"")</f>
        <v>0.935841006534567</v>
      </c>
      <c r="AA215" s="23" t="n">
        <f aca="false">IF(ISNUMBER(Tabelle1!K222),(0.5*Tabelle1!K210+SUM(Tabelle1!K211:K221)+0.5*Tabelle1!K222)/12,"")</f>
        <v>149.053769583333</v>
      </c>
      <c r="AB215" s="24" t="n">
        <f aca="false">IFERROR(Tabelle1!K216/AA215,"")</f>
        <v>0.997872918046826</v>
      </c>
      <c r="AC215" s="24" t="n">
        <f aca="false">IFERROR(AVERAGEIFS($AB$7:$AB$294,$B$7:$B$294,$B215,$A$7:$A$294,"&gt;="&amp;EDATE($A215,-12*'Seasonal Factors'!$E$4),$A$7:$A$294,"&lt;="&amp;EDATE($A215,12*'Seasonal Factors'!$E$4)),"")</f>
        <v>1.0195671365872</v>
      </c>
      <c r="AD215" s="24" t="n">
        <f aca="false">IFERROR(AC215/AVERAGE(AC210:AC221),"")</f>
        <v>1.02071583400604</v>
      </c>
      <c r="AE215" s="23" t="n">
        <f aca="false">IF(ISNUMBER(Tabelle1!L222),(0.5*Tabelle1!L210+SUM(Tabelle1!L211:L221)+0.5*Tabelle1!L222)/12,"")</f>
        <v>103.36023125</v>
      </c>
      <c r="AF215" s="24" t="n">
        <f aca="false">IFERROR(Tabelle1!L216/AE215,"")</f>
        <v>0.884767370332291</v>
      </c>
      <c r="AG215" s="24" t="n">
        <f aca="false">IFERROR(AVERAGEIFS($AF$7:$AF$294,$B$7:$B$294,$B215,$A$7:$A$294,"&gt;="&amp;EDATE($A215,-12*'Seasonal Factors'!$E$4),$A$7:$A$294,"&lt;="&amp;EDATE($A215,12*'Seasonal Factors'!$E$4)),"")</f>
        <v>0.86340827075805</v>
      </c>
      <c r="AH215" s="24" t="n">
        <f aca="false">IFERROR(AG215/AVERAGE(AG210:AG221),"")</f>
        <v>0.867979759160085</v>
      </c>
      <c r="AI215" s="23" t="n">
        <f aca="false">IF(ISNUMBER(Tabelle1!M222),(0.5*Tabelle1!M210+SUM(Tabelle1!M211:M221)+0.5*Tabelle1!M222)/12,"")</f>
        <v>166.204838333333</v>
      </c>
      <c r="AJ215" s="24" t="n">
        <f aca="false">IFERROR(Tabelle1!M216/AI215,"")</f>
        <v>1.0551331222277</v>
      </c>
      <c r="AK215" s="24" t="n">
        <f aca="false">IFERROR(AVERAGEIFS($AJ$7:$AJ$294,$B$7:$B$294,$B215,$A$7:$A$294,"&gt;="&amp;EDATE($A215,-12*'Seasonal Factors'!$E$4),$A$7:$A$294,"&lt;="&amp;EDATE($A215,12*'Seasonal Factors'!$E$4)),"")</f>
        <v>1.05344611355714</v>
      </c>
      <c r="AL215" s="24" t="n">
        <f aca="false">IFERROR(AK215/AVERAGE(AK210:AK221),"")</f>
        <v>1.05375145640301</v>
      </c>
      <c r="AM215" s="23" t="n">
        <f aca="false">IF(ISNUMBER(Tabelle1!N222),(0.5*Tabelle1!N210+SUM(Tabelle1!N211:N221)+0.5*Tabelle1!N222)/12,"")</f>
        <v>167.38127125</v>
      </c>
      <c r="AN215" s="24" t="n">
        <f aca="false">IFERROR(Tabelle1!N216/AM215,"")</f>
        <v>0.935294186923556</v>
      </c>
      <c r="AO215" s="24" t="n">
        <f aca="false">IFERROR(AVERAGEIFS($AN$7:$AN$294,$B$7:$B$294,$B215,$A$7:$A$294,"&gt;="&amp;EDATE($A215,-12*'Seasonal Factors'!$E$4),$A$7:$A$294,"&lt;="&amp;EDATE($A215,12*'Seasonal Factors'!$E$4)),"")</f>
        <v>0.950228777226978</v>
      </c>
      <c r="AP215" s="24" t="n">
        <f aca="false">IFERROR(AO215/AVERAGE(AO210:AO221),"")</f>
        <v>0.949581430755374</v>
      </c>
      <c r="AQ215" s="23" t="n">
        <f aca="false">IF(ISNUMBER(Tabelle1!O222),(0.5*Tabelle1!O210+SUM(Tabelle1!O211:O221)+0.5*Tabelle1!O222)/12,"")</f>
        <v>143.186805833333</v>
      </c>
      <c r="AR215" s="24" t="n">
        <f aca="false">IFERROR(Tabelle1!O216/AQ215,"")</f>
        <v>0.992506950433812</v>
      </c>
      <c r="AS215" s="24" t="n">
        <f aca="false">IFERROR(AVERAGEIFS($AR$7:$AR$294,$B$7:$B$294,$B215,$A$7:$A$294,"&gt;="&amp;EDATE($A215,-12*'Seasonal Factors'!$E$4),$A$7:$A$294,"&lt;="&amp;EDATE($A215,12*'Seasonal Factors'!$E$4)),"")</f>
        <v>0.999828281699461</v>
      </c>
      <c r="AT215" s="24" t="n">
        <f aca="false">IFERROR(AS215/AVERAGE(AS210:AS221),"")</f>
        <v>0.999823973944616</v>
      </c>
      <c r="AU215" s="23" t="n">
        <f aca="false">IF(ISNUMBER(Tabelle1!P222),(0.5*Tabelle1!P210+SUM(Tabelle1!P211:P221)+0.5*Tabelle1!P222)/12,"")</f>
        <v>149.607729166667</v>
      </c>
      <c r="AV215" s="24" t="n">
        <f aca="false">IFERROR(Tabelle1!P216/AU215,"")</f>
        <v>0.984910143484955</v>
      </c>
      <c r="AW215" s="24" t="n">
        <f aca="false">IFERROR(AVERAGEIFS($AV$7:$AV$294,$B$7:$B$294,$B215,$A$7:$A$294,"&gt;="&amp;EDATE($A215,-12*'Seasonal Factors'!$E$4),$A$7:$A$294,"&lt;="&amp;EDATE($A215,12*'Seasonal Factors'!$E$4)),"")</f>
        <v>0.988806258115956</v>
      </c>
      <c r="AX215" s="24" t="n">
        <f aca="false">IFERROR(AW215/AVERAGE(AW210:AW221),"")</f>
        <v>0.988841083309601</v>
      </c>
      <c r="AY215" s="23" t="n">
        <f aca="false">IF(ISNUMBER(Tabelle1!Q222),(0.5*Tabelle1!Q210+SUM(Tabelle1!Q211:Q221)+0.5*Tabelle1!Q222)/12,"")</f>
        <v>158.697155416667</v>
      </c>
      <c r="AZ215" s="24" t="n">
        <f aca="false">IFERROR(Tabelle1!Q216/AY215,"")</f>
        <v>0.989461213641319</v>
      </c>
      <c r="BA215" s="24" t="n">
        <f aca="false">IFERROR(AVERAGEIFS($AZ$7:$AZ$294,$B$7:$B$294,$B215,$A$7:$A$294,"&gt;="&amp;EDATE($A215,-12*'Seasonal Factors'!$E$4),$A$7:$A$294,"&lt;="&amp;EDATE($A215,12*'Seasonal Factors'!$E$4)),"")</f>
        <v>0.993598630920624</v>
      </c>
      <c r="BB215" s="24" t="n">
        <f aca="false">IFERROR(BA215/AVERAGE(BA210:BA221),"")</f>
        <v>0.993713293449109</v>
      </c>
      <c r="BC215" s="23" t="n">
        <f aca="false">IF(ISNUMBER(Tabelle1!R222),(0.5*Tabelle1!R210+SUM(Tabelle1!R211:R221)+0.5*Tabelle1!R222)/12,"")</f>
        <v>180.699244583333</v>
      </c>
      <c r="BD215" s="24" t="n">
        <f aca="false">IFERROR(Tabelle1!R216/BC215,"")</f>
        <v>1.06882306257197</v>
      </c>
      <c r="BE215" s="24" t="n">
        <f aca="false">IFERROR(AVERAGEIFS($BD$7:$BD$294,$B$7:$B$294,$B215,$A$7:$A$294,"&gt;="&amp;EDATE($A215,-12*'Seasonal Factors'!$E$4),$A$7:$A$294,"&lt;="&amp;EDATE($A215,12*'Seasonal Factors'!$E$4)),"")</f>
        <v>1.0510340286159</v>
      </c>
      <c r="BF215" s="24" t="n">
        <f aca="false">IFERROR(BE215/AVERAGE(BE210:BE221),"")</f>
        <v>1.05123489213864</v>
      </c>
      <c r="BG215" s="23" t="n">
        <f aca="false">IF(ISNUMBER(Tabelle1!S222),(0.5*Tabelle1!S210+SUM(Tabelle1!S211:S221)+0.5*Tabelle1!S222)/12,"")</f>
        <v>116.932665833333</v>
      </c>
      <c r="BH215" s="24" t="n">
        <f aca="false">IFERROR(Tabelle1!S216/BG215,"")</f>
        <v>0.907262476605215</v>
      </c>
      <c r="BI215" s="24" t="n">
        <f aca="false">IFERROR(AVERAGEIFS($BH$7:$BH$294,$B$7:$B$294,$B215,$A$7:$A$294,"&gt;="&amp;EDATE($A215,-12*'Seasonal Factors'!$E$4),$A$7:$A$294,"&lt;="&amp;EDATE($A215,12*'Seasonal Factors'!$E$4)),"")</f>
        <v>0.895173837264377</v>
      </c>
      <c r="BJ215" s="24" t="n">
        <f aca="false">IFERROR(BI215/AVERAGE(BI210:BI221),"")</f>
        <v>0.89884775530864</v>
      </c>
    </row>
    <row r="216" customFormat="false" ht="15" hidden="false" customHeight="false" outlineLevel="0" collapsed="false">
      <c r="A216" s="20" t="n">
        <v>44377</v>
      </c>
      <c r="B216" s="22" t="n">
        <f aca="false">MONTH(A216)</f>
        <v>6</v>
      </c>
      <c r="C216" s="23" t="n">
        <f aca="false">IF(ISNUMBER(Tabelle1!E223),(0.5*Tabelle1!E211+SUM(Tabelle1!E212:E222)+0.5*Tabelle1!E223)/12,"")</f>
        <v>128.8833275</v>
      </c>
      <c r="D216" s="24" t="n">
        <f aca="false">IFERROR(Tabelle1!E217/C216,"")</f>
        <v>1.49644724217723</v>
      </c>
      <c r="E216" s="24" t="n">
        <f aca="false">IFERROR(AVERAGEIFS($D$7:$D$294,$B$7:$B$294,$B216,$A$7:$A$294,"&gt;="&amp;EDATE($A216,-12*'Seasonal Factors'!$E$4),$A$7:$A$294,"&lt;="&amp;EDATE($A216,12*'Seasonal Factors'!$E$4)),"")</f>
        <v>1.49458260886775</v>
      </c>
      <c r="F216" s="24" t="n">
        <f aca="false">IFERROR(E216/AVERAGE(E211:E222),"")</f>
        <v>1.49710117843434</v>
      </c>
      <c r="G216" s="23" t="n">
        <f aca="false">IF(ISNUMBER(Tabelle1!F223),(0.5*Tabelle1!F211+SUM(Tabelle1!F212:F222)+0.5*Tabelle1!F223)/12,"")</f>
        <v>166.361604166667</v>
      </c>
      <c r="H216" s="24" t="n">
        <f aca="false">IFERROR(Tabelle1!F217/G216,"")</f>
        <v>1.1215757442028</v>
      </c>
      <c r="I216" s="24" t="n">
        <f aca="false">IFERROR(AVERAGEIFS($H$7:$H$294,$B$7:$B$294,$B216,$A$7:$A$294,"&gt;="&amp;EDATE($A216,-12*'Seasonal Factors'!$E$4),$A$7:$A$294,"&lt;="&amp;EDATE($A216,12*'Seasonal Factors'!$E$4)),"")</f>
        <v>1.10177833814869</v>
      </c>
      <c r="J216" s="24" t="n">
        <f aca="false">IFERROR(I216/AVERAGE(I211:I222),"")</f>
        <v>1.11009601244834</v>
      </c>
      <c r="K216" s="23" t="n">
        <f aca="false">IF(ISNUMBER(Tabelle1!G223),(0.5*Tabelle1!G211+SUM(Tabelle1!G212:G222)+0.5*Tabelle1!G223)/12,"")</f>
        <v>86.4663229166667</v>
      </c>
      <c r="L216" s="24" t="n">
        <f aca="false">IFERROR(Tabelle1!G217/K216,"")</f>
        <v>1.0064257049981</v>
      </c>
      <c r="M216" s="24" t="n">
        <f aca="false">IFERROR(AVERAGEIFS($L$7:$L$294,$B$7:$B$294,$B216,$A$7:$A$294,"&gt;="&amp;EDATE($A216,-12*'Seasonal Factors'!$E$4),$A$7:$A$294,"&lt;="&amp;EDATE($A216,12*'Seasonal Factors'!$E$4)),"")</f>
        <v>0.983697710926801</v>
      </c>
      <c r="N216" s="24" t="n">
        <f aca="false">IFERROR(M216/AVERAGE(M211:M222),"")</f>
        <v>0.985094221712516</v>
      </c>
      <c r="O216" s="23" t="n">
        <f aca="false">IF(ISNUMBER(Tabelle1!H223),(0.5*Tabelle1!H211+SUM(Tabelle1!H212:H222)+0.5*Tabelle1!H223)/12,"")</f>
        <v>125.51554125</v>
      </c>
      <c r="P216" s="24" t="n">
        <f aca="false">IFERROR(Tabelle1!H217/O216,"")</f>
        <v>1.06004841053896</v>
      </c>
      <c r="Q216" s="24" t="n">
        <f aca="false">IFERROR(AVERAGEIFS($P$7:$P$294,$B$7:$B$294,$B216,$A$7:$A$294,"&gt;="&amp;EDATE($A216,-12*'Seasonal Factors'!$E$4),$A$7:$A$294,"&lt;="&amp;EDATE($A216,12*'Seasonal Factors'!$E$4)),"")</f>
        <v>1.02612174793918</v>
      </c>
      <c r="R216" s="24" t="n">
        <f aca="false">IFERROR(Q216/AVERAGE(Q211:Q222),"")</f>
        <v>1.0267544870382</v>
      </c>
      <c r="S216" s="23" t="n">
        <f aca="false">IF(ISNUMBER(Tabelle1!I223),(0.5*Tabelle1!I211+SUM(Tabelle1!I212:I222)+0.5*Tabelle1!I223)/12,"")</f>
        <v>145.545597083333</v>
      </c>
      <c r="T216" s="24" t="n">
        <f aca="false">IFERROR(Tabelle1!I217/S216,"")</f>
        <v>1.08475016190015</v>
      </c>
      <c r="U216" s="24" t="n">
        <f aca="false">IFERROR(AVERAGEIFS($T$7:$T$294,$B$7:$B$294,$B216,$A$7:$A$294,"&gt;="&amp;EDATE($A216,-12*'Seasonal Factors'!$E$4),$A$7:$A$294,"&lt;="&amp;EDATE($A216,12*'Seasonal Factors'!$E$4)),"")</f>
        <v>1.05111835579479</v>
      </c>
      <c r="V216" s="24" t="n">
        <f aca="false">IFERROR(U216/AVERAGE(U211:U222),"")</f>
        <v>1.05165941724449</v>
      </c>
      <c r="W216" s="23" t="n">
        <f aca="false">IF(ISNUMBER(Tabelle1!J223),(0.5*Tabelle1!J211+SUM(Tabelle1!J212:J222)+0.5*Tabelle1!J223)/12,"")</f>
        <v>142.095593333333</v>
      </c>
      <c r="X216" s="24" t="n">
        <f aca="false">IFERROR(Tabelle1!J217/W216,"")</f>
        <v>0.957048046387927</v>
      </c>
      <c r="Y216" s="24" t="n">
        <f aca="false">IFERROR(AVERAGEIFS($X$7:$X$294,$B$7:$B$294,$B216,$A$7:$A$294,"&gt;="&amp;EDATE($A216,-12*'Seasonal Factors'!$E$4),$A$7:$A$294,"&lt;="&amp;EDATE($A216,12*'Seasonal Factors'!$E$4)),"")</f>
        <v>0.962829129928498</v>
      </c>
      <c r="Z216" s="24" t="n">
        <f aca="false">IFERROR(Y216/AVERAGE(Y211:Y222),"")</f>
        <v>0.963796606995347</v>
      </c>
      <c r="AA216" s="23" t="n">
        <f aca="false">IF(ISNUMBER(Tabelle1!K223),(0.5*Tabelle1!K211+SUM(Tabelle1!K212:K222)+0.5*Tabelle1!K223)/12,"")</f>
        <v>150.078458333333</v>
      </c>
      <c r="AB216" s="24" t="n">
        <f aca="false">IFERROR(Tabelle1!K217/AA216,"")</f>
        <v>1.03812380357718</v>
      </c>
      <c r="AC216" s="24" t="n">
        <f aca="false">IFERROR(AVERAGEIFS($AB$7:$AB$294,$B$7:$B$294,$B216,$A$7:$A$294,"&gt;="&amp;EDATE($A216,-12*'Seasonal Factors'!$E$4),$A$7:$A$294,"&lt;="&amp;EDATE($A216,12*'Seasonal Factors'!$E$4)),"")</f>
        <v>1.03201733545258</v>
      </c>
      <c r="AD216" s="24" t="n">
        <f aca="false">IFERROR(AC216/AVERAGE(AC211:AC222),"")</f>
        <v>1.0331597459949</v>
      </c>
      <c r="AE216" s="23" t="n">
        <f aca="false">IF(ISNUMBER(Tabelle1!L223),(0.5*Tabelle1!L211+SUM(Tabelle1!L212:L222)+0.5*Tabelle1!L223)/12,"")</f>
        <v>106.586565</v>
      </c>
      <c r="AF216" s="24" t="n">
        <f aca="false">IFERROR(Tabelle1!L217/AE216,"")</f>
        <v>0.869182340194564</v>
      </c>
      <c r="AG216" s="24" t="n">
        <f aca="false">IFERROR(AVERAGEIFS($AF$7:$AF$294,$B$7:$B$294,$B216,$A$7:$A$294,"&gt;="&amp;EDATE($A216,-12*'Seasonal Factors'!$E$4),$A$7:$A$294,"&lt;="&amp;EDATE($A216,12*'Seasonal Factors'!$E$4)),"")</f>
        <v>0.958320735627348</v>
      </c>
      <c r="AH216" s="24" t="n">
        <f aca="false">IFERROR(AG216/AVERAGE(AG211:AG222),"")</f>
        <v>0.963040710494737</v>
      </c>
      <c r="AI216" s="23" t="n">
        <f aca="false">IF(ISNUMBER(Tabelle1!M223),(0.5*Tabelle1!M211+SUM(Tabelle1!M212:M222)+0.5*Tabelle1!M223)/12,"")</f>
        <v>168.168533333333</v>
      </c>
      <c r="AJ216" s="24" t="n">
        <f aca="false">IFERROR(Tabelle1!M217/AI216,"")</f>
        <v>1.03531062886121</v>
      </c>
      <c r="AK216" s="24" t="n">
        <f aca="false">IFERROR(AVERAGEIFS($AJ$7:$AJ$294,$B$7:$B$294,$B216,$A$7:$A$294,"&gt;="&amp;EDATE($A216,-12*'Seasonal Factors'!$E$4),$A$7:$A$294,"&lt;="&amp;EDATE($A216,12*'Seasonal Factors'!$E$4)),"")</f>
        <v>1.02245431933887</v>
      </c>
      <c r="AL216" s="24" t="n">
        <f aca="false">IFERROR(AK216/AVERAGE(AK211:AK222),"")</f>
        <v>1.02276252879217</v>
      </c>
      <c r="AM216" s="23" t="n">
        <f aca="false">IF(ISNUMBER(Tabelle1!N223),(0.5*Tabelle1!N211+SUM(Tabelle1!N212:N222)+0.5*Tabelle1!N223)/12,"")</f>
        <v>167.463727916667</v>
      </c>
      <c r="AN216" s="24" t="n">
        <f aca="false">IFERROR(Tabelle1!N217/AM216,"")</f>
        <v>0.977528101377635</v>
      </c>
      <c r="AO216" s="24" t="n">
        <f aca="false">IFERROR(AVERAGEIFS($AN$7:$AN$294,$B$7:$B$294,$B216,$A$7:$A$294,"&gt;="&amp;EDATE($A216,-12*'Seasonal Factors'!$E$4),$A$7:$A$294,"&lt;="&amp;EDATE($A216,12*'Seasonal Factors'!$E$4)),"")</f>
        <v>0.976312614564937</v>
      </c>
      <c r="AP216" s="24" t="n">
        <f aca="false">IFERROR(AO216/AVERAGE(AO211:AO222),"")</f>
        <v>0.975905520292527</v>
      </c>
      <c r="AQ216" s="23" t="n">
        <f aca="false">IF(ISNUMBER(Tabelle1!O223),(0.5*Tabelle1!O211+SUM(Tabelle1!O212:O222)+0.5*Tabelle1!O223)/12,"")</f>
        <v>143.958313333333</v>
      </c>
      <c r="AR216" s="24" t="n">
        <f aca="false">IFERROR(Tabelle1!O217/AQ216,"")</f>
        <v>1.00539834517835</v>
      </c>
      <c r="AS216" s="24" t="n">
        <f aca="false">IFERROR(AVERAGEIFS($AR$7:$AR$294,$B$7:$B$294,$B216,$A$7:$A$294,"&gt;="&amp;EDATE($A216,-12*'Seasonal Factors'!$E$4),$A$7:$A$294,"&lt;="&amp;EDATE($A216,12*'Seasonal Factors'!$E$4)),"")</f>
        <v>1.00820284321358</v>
      </c>
      <c r="AT216" s="24" t="n">
        <f aca="false">IFERROR(AS216/AVERAGE(AS211:AS222),"")</f>
        <v>1.0082755064376</v>
      </c>
      <c r="AU216" s="23" t="n">
        <f aca="false">IF(ISNUMBER(Tabelle1!P223),(0.5*Tabelle1!P211+SUM(Tabelle1!P212:P222)+0.5*Tabelle1!P223)/12,"")</f>
        <v>151.030779166667</v>
      </c>
      <c r="AV216" s="24" t="n">
        <f aca="false">IFERROR(Tabelle1!P217/AU216,"")</f>
        <v>0.981340166671876</v>
      </c>
      <c r="AW216" s="24" t="n">
        <f aca="false">IFERROR(AVERAGEIFS($AV$7:$AV$294,$B$7:$B$294,$B216,$A$7:$A$294,"&gt;="&amp;EDATE($A216,-12*'Seasonal Factors'!$E$4),$A$7:$A$294,"&lt;="&amp;EDATE($A216,12*'Seasonal Factors'!$E$4)),"")</f>
        <v>0.994790874099456</v>
      </c>
      <c r="AX216" s="24" t="n">
        <f aca="false">IFERROR(AW216/AVERAGE(AW211:AW222),"")</f>
        <v>0.994756556336153</v>
      </c>
      <c r="AY216" s="23" t="n">
        <f aca="false">IF(ISNUMBER(Tabelle1!Q223),(0.5*Tabelle1!Q211+SUM(Tabelle1!Q212:Q222)+0.5*Tabelle1!Q223)/12,"")</f>
        <v>159.387515833333</v>
      </c>
      <c r="AZ216" s="24" t="n">
        <f aca="false">IFERROR(Tabelle1!Q217/AY216,"")</f>
        <v>0.990672946839275</v>
      </c>
      <c r="BA216" s="24" t="n">
        <f aca="false">IFERROR(AVERAGEIFS($AZ$7:$AZ$294,$B$7:$B$294,$B216,$A$7:$A$294,"&gt;="&amp;EDATE($A216,-12*'Seasonal Factors'!$E$4),$A$7:$A$294,"&lt;="&amp;EDATE($A216,12*'Seasonal Factors'!$E$4)),"")</f>
        <v>0.999510305894683</v>
      </c>
      <c r="BB216" s="24" t="n">
        <f aca="false">IFERROR(BA216/AVERAGE(BA211:BA222),"")</f>
        <v>0.999615115901406</v>
      </c>
      <c r="BC216" s="23" t="n">
        <f aca="false">IF(ISNUMBER(Tabelle1!R223),(0.5*Tabelle1!R211+SUM(Tabelle1!R212:R222)+0.5*Tabelle1!R223)/12,"")</f>
        <v>181.038751666667</v>
      </c>
      <c r="BD216" s="24" t="n">
        <f aca="false">IFERROR(Tabelle1!R217/BC216,"")</f>
        <v>1.10278947552398</v>
      </c>
      <c r="BE216" s="24" t="n">
        <f aca="false">IFERROR(AVERAGEIFS($BD$7:$BD$294,$B$7:$B$294,$B216,$A$7:$A$294,"&gt;="&amp;EDATE($A216,-12*'Seasonal Factors'!$E$4),$A$7:$A$294,"&lt;="&amp;EDATE($A216,12*'Seasonal Factors'!$E$4)),"")</f>
        <v>1.0862867553629</v>
      </c>
      <c r="BF216" s="24" t="n">
        <f aca="false">IFERROR(BE216/AVERAGE(BE211:BE222),"")</f>
        <v>1.08636571841984</v>
      </c>
      <c r="BG216" s="23" t="n">
        <f aca="false">IF(ISNUMBER(Tabelle1!S223),(0.5*Tabelle1!S211+SUM(Tabelle1!S212:S222)+0.5*Tabelle1!S223)/12,"")</f>
        <v>118.241279583333</v>
      </c>
      <c r="BH216" s="24" t="n">
        <f aca="false">IFERROR(Tabelle1!S217/BG216,"")</f>
        <v>0.959989188209021</v>
      </c>
      <c r="BI216" s="24" t="n">
        <f aca="false">IFERROR(AVERAGEIFS($BH$7:$BH$294,$B$7:$B$294,$B216,$A$7:$A$294,"&gt;="&amp;EDATE($A216,-12*'Seasonal Factors'!$E$4),$A$7:$A$294,"&lt;="&amp;EDATE($A216,12*'Seasonal Factors'!$E$4)),"")</f>
        <v>0.928125848711638</v>
      </c>
      <c r="BJ216" s="24" t="n">
        <f aca="false">IFERROR(BI216/AVERAGE(BI211:BI222),"")</f>
        <v>0.931360092829346</v>
      </c>
    </row>
    <row r="217" customFormat="false" ht="15" hidden="false" customHeight="false" outlineLevel="0" collapsed="false">
      <c r="A217" s="20" t="n">
        <v>44408</v>
      </c>
      <c r="B217" s="22" t="n">
        <f aca="false">MONTH(A217)</f>
        <v>7</v>
      </c>
      <c r="C217" s="23" t="n">
        <f aca="false">IF(ISNUMBER(Tabelle1!E224),(0.5*Tabelle1!E212+SUM(Tabelle1!E213:E223)+0.5*Tabelle1!E224)/12,"")</f>
        <v>130.265339166667</v>
      </c>
      <c r="D217" s="24" t="n">
        <f aca="false">IFERROR(Tabelle1!E218/C217,"")</f>
        <v>0.887743975026562</v>
      </c>
      <c r="E217" s="24" t="n">
        <f aca="false">IFERROR(AVERAGEIFS($D$7:$D$294,$B$7:$B$294,$B217,$A$7:$A$294,"&gt;="&amp;EDATE($A217,-12*'Seasonal Factors'!$E$4),$A$7:$A$294,"&lt;="&amp;EDATE($A217,12*'Seasonal Factors'!$E$4)),"")</f>
        <v>0.912195057846193</v>
      </c>
      <c r="F217" s="24" t="n">
        <f aca="false">IFERROR(E217/AVERAGE(E212:E223),"")</f>
        <v>0.912152386378553</v>
      </c>
      <c r="G217" s="23" t="n">
        <f aca="false">IF(ISNUMBER(Tabelle1!F224),(0.5*Tabelle1!F212+SUM(Tabelle1!F213:F223)+0.5*Tabelle1!F224)/12,"")</f>
        <v>165.88807625</v>
      </c>
      <c r="H217" s="24" t="n">
        <f aca="false">IFERROR(Tabelle1!F218/G217,"")</f>
        <v>1.72772960226549</v>
      </c>
      <c r="I217" s="24" t="n">
        <f aca="false">IFERROR(AVERAGEIFS($H$7:$H$294,$B$7:$B$294,$B217,$A$7:$A$294,"&gt;="&amp;EDATE($A217,-12*'Seasonal Factors'!$E$4),$A$7:$A$294,"&lt;="&amp;EDATE($A217,12*'Seasonal Factors'!$E$4)),"")</f>
        <v>1.38815180514363</v>
      </c>
      <c r="J217" s="24" t="n">
        <f aca="false">IFERROR(I217/AVERAGE(I212:I223),"")</f>
        <v>1.39359502034862</v>
      </c>
      <c r="K217" s="23" t="n">
        <f aca="false">IF(ISNUMBER(Tabelle1!G224),(0.5*Tabelle1!G212+SUM(Tabelle1!G213:G223)+0.5*Tabelle1!G224)/12,"")</f>
        <v>87.5371704166667</v>
      </c>
      <c r="L217" s="24" t="n">
        <f aca="false">IFERROR(Tabelle1!G218/K217,"")</f>
        <v>1.01330302976199</v>
      </c>
      <c r="M217" s="24" t="n">
        <f aca="false">IFERROR(AVERAGEIFS($L$7:$L$294,$B$7:$B$294,$B217,$A$7:$A$294,"&gt;="&amp;EDATE($A217,-12*'Seasonal Factors'!$E$4),$A$7:$A$294,"&lt;="&amp;EDATE($A217,12*'Seasonal Factors'!$E$4)),"")</f>
        <v>1.0131988458388</v>
      </c>
      <c r="N217" s="24" t="n">
        <f aca="false">IFERROR(M217/AVERAGE(M212:M223),"")</f>
        <v>1.01451284040556</v>
      </c>
      <c r="O217" s="23" t="n">
        <f aca="false">IF(ISNUMBER(Tabelle1!H224),(0.5*Tabelle1!H212+SUM(Tabelle1!H213:H223)+0.5*Tabelle1!H224)/12,"")</f>
        <v>126.0072275</v>
      </c>
      <c r="P217" s="24" t="n">
        <f aca="false">IFERROR(Tabelle1!H218/O217,"")</f>
        <v>1.02888447410685</v>
      </c>
      <c r="Q217" s="24" t="n">
        <f aca="false">IFERROR(AVERAGEIFS($P$7:$P$294,$B$7:$B$294,$B217,$A$7:$A$294,"&gt;="&amp;EDATE($A217,-12*'Seasonal Factors'!$E$4),$A$7:$A$294,"&lt;="&amp;EDATE($A217,12*'Seasonal Factors'!$E$4)),"")</f>
        <v>1.04092619309391</v>
      </c>
      <c r="R217" s="24" t="n">
        <f aca="false">IFERROR(Q217/AVERAGE(Q212:Q223),"")</f>
        <v>1.04158276779495</v>
      </c>
      <c r="S217" s="23" t="n">
        <f aca="false">IF(ISNUMBER(Tabelle1!I224),(0.5*Tabelle1!I212+SUM(Tabelle1!I213:I223)+0.5*Tabelle1!I224)/12,"")</f>
        <v>146.29200625</v>
      </c>
      <c r="T217" s="24" t="n">
        <f aca="false">IFERROR(Tabelle1!I218/S217,"")</f>
        <v>1.12044515761093</v>
      </c>
      <c r="U217" s="24" t="n">
        <f aca="false">IFERROR(AVERAGEIFS($T$7:$T$294,$B$7:$B$294,$B217,$A$7:$A$294,"&gt;="&amp;EDATE($A217,-12*'Seasonal Factors'!$E$4),$A$7:$A$294,"&lt;="&amp;EDATE($A217,12*'Seasonal Factors'!$E$4)),"")</f>
        <v>1.08943937283409</v>
      </c>
      <c r="V217" s="24" t="n">
        <f aca="false">IFERROR(U217/AVERAGE(U212:U223),"")</f>
        <v>1.08999288734235</v>
      </c>
      <c r="W217" s="23" t="n">
        <f aca="false">IF(ISNUMBER(Tabelle1!J224),(0.5*Tabelle1!J212+SUM(Tabelle1!J213:J223)+0.5*Tabelle1!J224)/12,"")</f>
        <v>142.33728875</v>
      </c>
      <c r="X217" s="24" t="n">
        <f aca="false">IFERROR(Tabelle1!J218/W217,"")</f>
        <v>0.994320471064895</v>
      </c>
      <c r="Y217" s="24" t="n">
        <f aca="false">IFERROR(AVERAGEIFS($X$7:$X$294,$B$7:$B$294,$B217,$A$7:$A$294,"&gt;="&amp;EDATE($A217,-12*'Seasonal Factors'!$E$4),$A$7:$A$294,"&lt;="&amp;EDATE($A217,12*'Seasonal Factors'!$E$4)),"")</f>
        <v>1.0119541921197</v>
      </c>
      <c r="Z217" s="24" t="n">
        <f aca="false">IFERROR(Y217/AVERAGE(Y212:Y223),"")</f>
        <v>1.01284467127984</v>
      </c>
      <c r="AA217" s="23" t="n">
        <f aca="false">IF(ISNUMBER(Tabelle1!K224),(0.5*Tabelle1!K212+SUM(Tabelle1!K213:K223)+0.5*Tabelle1!K224)/12,"")</f>
        <v>150.694832916667</v>
      </c>
      <c r="AB217" s="24" t="n">
        <f aca="false">IFERROR(Tabelle1!K218/AA217,"")</f>
        <v>1.00583508449702</v>
      </c>
      <c r="AC217" s="24" t="n">
        <f aca="false">IFERROR(AVERAGEIFS($AB$7:$AB$294,$B$7:$B$294,$B217,$A$7:$A$294,"&gt;="&amp;EDATE($A217,-12*'Seasonal Factors'!$E$4),$A$7:$A$294,"&lt;="&amp;EDATE($A217,12*'Seasonal Factors'!$E$4)),"")</f>
        <v>1.01252124552582</v>
      </c>
      <c r="AD217" s="24" t="n">
        <f aca="false">IFERROR(AC217/AVERAGE(AC212:AC223),"")</f>
        <v>1.01300851806973</v>
      </c>
      <c r="AE217" s="23" t="n">
        <f aca="false">IF(ISNUMBER(Tabelle1!L224),(0.5*Tabelle1!L212+SUM(Tabelle1!L213:L223)+0.5*Tabelle1!L224)/12,"")</f>
        <v>110.412870416667</v>
      </c>
      <c r="AF217" s="24" t="n">
        <f aca="false">IFERROR(Tabelle1!L218/AE217,"")</f>
        <v>0.946456600626749</v>
      </c>
      <c r="AG217" s="24" t="n">
        <f aca="false">IFERROR(AVERAGEIFS($AF$7:$AF$294,$B$7:$B$294,$B217,$A$7:$A$294,"&gt;="&amp;EDATE($A217,-12*'Seasonal Factors'!$E$4),$A$7:$A$294,"&lt;="&amp;EDATE($A217,12*'Seasonal Factors'!$E$4)),"")</f>
        <v>0.949371425952</v>
      </c>
      <c r="AH217" s="24" t="n">
        <f aca="false">IFERROR(AG217/AVERAGE(AG212:AG223),"")</f>
        <v>0.95275467892466</v>
      </c>
      <c r="AI217" s="23" t="n">
        <f aca="false">IF(ISNUMBER(Tabelle1!M224),(0.5*Tabelle1!M212+SUM(Tabelle1!M213:M223)+0.5*Tabelle1!M224)/12,"")</f>
        <v>169.782413333333</v>
      </c>
      <c r="AJ217" s="24" t="n">
        <f aca="false">IFERROR(Tabelle1!M218/AI217,"")</f>
        <v>0.994132352616655</v>
      </c>
      <c r="AK217" s="24" t="n">
        <f aca="false">IFERROR(AVERAGEIFS($AJ$7:$AJ$294,$B$7:$B$294,$B217,$A$7:$A$294,"&gt;="&amp;EDATE($A217,-12*'Seasonal Factors'!$E$4),$A$7:$A$294,"&lt;="&amp;EDATE($A217,12*'Seasonal Factors'!$E$4)),"")</f>
        <v>1.00874442729262</v>
      </c>
      <c r="AL217" s="24" t="n">
        <f aca="false">IFERROR(AK217/AVERAGE(AK212:AK223),"")</f>
        <v>1.00908502322524</v>
      </c>
      <c r="AM217" s="23" t="n">
        <f aca="false">IF(ISNUMBER(Tabelle1!N224),(0.5*Tabelle1!N212+SUM(Tabelle1!N213:N223)+0.5*Tabelle1!N224)/12,"")</f>
        <v>167.642309583333</v>
      </c>
      <c r="AN217" s="24" t="n">
        <f aca="false">IFERROR(Tabelle1!N218/AM217,"")</f>
        <v>0.968908507665588</v>
      </c>
      <c r="AO217" s="24" t="n">
        <f aca="false">IFERROR(AVERAGEIFS($AN$7:$AN$294,$B$7:$B$294,$B217,$A$7:$A$294,"&gt;="&amp;EDATE($A217,-12*'Seasonal Factors'!$E$4),$A$7:$A$294,"&lt;="&amp;EDATE($A217,12*'Seasonal Factors'!$E$4)),"")</f>
        <v>1.00163105331991</v>
      </c>
      <c r="AP217" s="24" t="n">
        <f aca="false">IFERROR(AO217/AVERAGE(AO212:AO223),"")</f>
        <v>1.00149730705551</v>
      </c>
      <c r="AQ217" s="23" t="n">
        <f aca="false">IF(ISNUMBER(Tabelle1!O224),(0.5*Tabelle1!O212+SUM(Tabelle1!O213:O223)+0.5*Tabelle1!O224)/12,"")</f>
        <v>144.574514166667</v>
      </c>
      <c r="AR217" s="24" t="n">
        <f aca="false">IFERROR(Tabelle1!O218/AQ217,"")</f>
        <v>0.994780863203892</v>
      </c>
      <c r="AS217" s="24" t="n">
        <f aca="false">IFERROR(AVERAGEIFS($AR$7:$AR$294,$B$7:$B$294,$B217,$A$7:$A$294,"&gt;="&amp;EDATE($A217,-12*'Seasonal Factors'!$E$4),$A$7:$A$294,"&lt;="&amp;EDATE($A217,12*'Seasonal Factors'!$E$4)),"")</f>
        <v>0.999889497435247</v>
      </c>
      <c r="AT217" s="24" t="n">
        <f aca="false">IFERROR(AS217/AVERAGE(AS212:AS223),"")</f>
        <v>0.999782410869941</v>
      </c>
      <c r="AU217" s="23" t="n">
        <f aca="false">IF(ISNUMBER(Tabelle1!P224),(0.5*Tabelle1!P212+SUM(Tabelle1!P213:P223)+0.5*Tabelle1!P224)/12,"")</f>
        <v>152.346145416667</v>
      </c>
      <c r="AV217" s="24" t="n">
        <f aca="false">IFERROR(Tabelle1!P218/AU217,"")</f>
        <v>0.989294672259635</v>
      </c>
      <c r="AW217" s="24" t="n">
        <f aca="false">IFERROR(AVERAGEIFS($AV$7:$AV$294,$B$7:$B$294,$B217,$A$7:$A$294,"&gt;="&amp;EDATE($A217,-12*'Seasonal Factors'!$E$4),$A$7:$A$294,"&lt;="&amp;EDATE($A217,12*'Seasonal Factors'!$E$4)),"")</f>
        <v>0.997042768164695</v>
      </c>
      <c r="AX217" s="24" t="n">
        <f aca="false">IFERROR(AW217/AVERAGE(AW212:AW223),"")</f>
        <v>0.996905329374616</v>
      </c>
      <c r="AY217" s="23" t="n">
        <f aca="false">IF(ISNUMBER(Tabelle1!Q224),(0.5*Tabelle1!Q212+SUM(Tabelle1!Q213:Q223)+0.5*Tabelle1!Q224)/12,"")</f>
        <v>160.050161666667</v>
      </c>
      <c r="AZ217" s="24" t="n">
        <f aca="false">IFERROR(Tabelle1!Q218/AY217,"")</f>
        <v>0.992057417165787</v>
      </c>
      <c r="BA217" s="24" t="n">
        <f aca="false">IFERROR(AVERAGEIFS($AZ$7:$AZ$294,$B$7:$B$294,$B217,$A$7:$A$294,"&gt;="&amp;EDATE($A217,-12*'Seasonal Factors'!$E$4),$A$7:$A$294,"&lt;="&amp;EDATE($A217,12*'Seasonal Factors'!$E$4)),"")</f>
        <v>1.00535648619128</v>
      </c>
      <c r="BB217" s="24" t="n">
        <f aca="false">IFERROR(BA217/AVERAGE(BA212:BA223),"")</f>
        <v>1.0054064447159</v>
      </c>
      <c r="BC217" s="23" t="n">
        <f aca="false">IF(ISNUMBER(Tabelle1!R224),(0.5*Tabelle1!R212+SUM(Tabelle1!R213:R223)+0.5*Tabelle1!R224)/12,"")</f>
        <v>181.4126925</v>
      </c>
      <c r="BD217" s="24" t="n">
        <f aca="false">IFERROR(Tabelle1!R218/BC217,"")</f>
        <v>1.00457634737988</v>
      </c>
      <c r="BE217" s="24" t="n">
        <f aca="false">IFERROR(AVERAGEIFS($BD$7:$BD$294,$B$7:$B$294,$B217,$A$7:$A$294,"&gt;="&amp;EDATE($A217,-12*'Seasonal Factors'!$E$4),$A$7:$A$294,"&lt;="&amp;EDATE($A217,12*'Seasonal Factors'!$E$4)),"")</f>
        <v>1.00371126112491</v>
      </c>
      <c r="BF217" s="24" t="n">
        <f aca="false">IFERROR(BE217/AVERAGE(BE212:BE223),"")</f>
        <v>1.00366932467555</v>
      </c>
      <c r="BG217" s="23" t="n">
        <f aca="false">IF(ISNUMBER(Tabelle1!S224),(0.5*Tabelle1!S212+SUM(Tabelle1!S213:S223)+0.5*Tabelle1!S224)/12,"")</f>
        <v>119.135625</v>
      </c>
      <c r="BH217" s="24" t="n">
        <f aca="false">IFERROR(Tabelle1!S218/BG217,"")</f>
        <v>1.02728188986292</v>
      </c>
      <c r="BI217" s="24" t="n">
        <f aca="false">IFERROR(AVERAGEIFS($BH$7:$BH$294,$B$7:$B$294,$B217,$A$7:$A$294,"&gt;="&amp;EDATE($A217,-12*'Seasonal Factors'!$E$4),$A$7:$A$294,"&lt;="&amp;EDATE($A217,12*'Seasonal Factors'!$E$4)),"")</f>
        <v>1.03846003295657</v>
      </c>
      <c r="BJ217" s="24" t="n">
        <f aca="false">IFERROR(BI217/AVERAGE(BI212:BI223),"")</f>
        <v>1.04085723980654</v>
      </c>
    </row>
    <row r="218" customFormat="false" ht="15" hidden="false" customHeight="false" outlineLevel="0" collapsed="false">
      <c r="A218" s="20" t="n">
        <v>44439</v>
      </c>
      <c r="B218" s="22" t="n">
        <f aca="false">MONTH(A218)</f>
        <v>8</v>
      </c>
      <c r="C218" s="23" t="n">
        <f aca="false">IF(ISNUMBER(Tabelle1!E225),(0.5*Tabelle1!E213+SUM(Tabelle1!E214:E224)+0.5*Tabelle1!E225)/12,"")</f>
        <v>131.221417916667</v>
      </c>
      <c r="D218" s="24" t="n">
        <f aca="false">IFERROR(Tabelle1!E219/C218,"")</f>
        <v>0.598891638634081</v>
      </c>
      <c r="E218" s="24" t="n">
        <f aca="false">IFERROR(AVERAGEIFS($D$7:$D$294,$B$7:$B$294,$B218,$A$7:$A$294,"&gt;="&amp;EDATE($A218,-12*'Seasonal Factors'!$E$4),$A$7:$A$294,"&lt;="&amp;EDATE($A218,12*'Seasonal Factors'!$E$4)),"")</f>
        <v>0.621994967928296</v>
      </c>
      <c r="F218" s="24" t="n">
        <f aca="false">IFERROR(E218/AVERAGE(E213:E224),"")</f>
        <v>0.62177906211286</v>
      </c>
      <c r="G218" s="23" t="n">
        <f aca="false">IF(ISNUMBER(Tabelle1!F225),(0.5*Tabelle1!F213+SUM(Tabelle1!F214:F224)+0.5*Tabelle1!F225)/12,"")</f>
        <v>165.229592916667</v>
      </c>
      <c r="H218" s="24" t="n">
        <f aca="false">IFERROR(Tabelle1!F219/G218,"")</f>
        <v>1.66260913163752</v>
      </c>
      <c r="I218" s="24" t="n">
        <f aca="false">IFERROR(AVERAGEIFS($H$7:$H$294,$B$7:$B$294,$B218,$A$7:$A$294,"&gt;="&amp;EDATE($A218,-12*'Seasonal Factors'!$E$4),$A$7:$A$294,"&lt;="&amp;EDATE($A218,12*'Seasonal Factors'!$E$4)),"")</f>
        <v>1.63480884202794</v>
      </c>
      <c r="J218" s="24" t="n">
        <f aca="false">IFERROR(I218/AVERAGE(I213:I224),"")</f>
        <v>1.63997954996761</v>
      </c>
      <c r="K218" s="23" t="n">
        <f aca="false">IF(ISNUMBER(Tabelle1!G225),(0.5*Tabelle1!G213+SUM(Tabelle1!G214:G224)+0.5*Tabelle1!G225)/12,"")</f>
        <v>88.4870933333333</v>
      </c>
      <c r="L218" s="24" t="n">
        <f aca="false">IFERROR(Tabelle1!G219/K218,"")</f>
        <v>1.02271615657093</v>
      </c>
      <c r="M218" s="24" t="n">
        <f aca="false">IFERROR(AVERAGEIFS($L$7:$L$294,$B$7:$B$294,$B218,$A$7:$A$294,"&gt;="&amp;EDATE($A218,-12*'Seasonal Factors'!$E$4),$A$7:$A$294,"&lt;="&amp;EDATE($A218,12*'Seasonal Factors'!$E$4)),"")</f>
        <v>1.02287142134705</v>
      </c>
      <c r="N218" s="24" t="n">
        <f aca="false">IFERROR(M218/AVERAGE(M213:M224),"")</f>
        <v>1.02412245479917</v>
      </c>
      <c r="O218" s="23" t="n">
        <f aca="false">IF(ISNUMBER(Tabelle1!H225),(0.5*Tabelle1!H213+SUM(Tabelle1!H214:H224)+0.5*Tabelle1!H225)/12,"")</f>
        <v>126.430685</v>
      </c>
      <c r="P218" s="24" t="n">
        <f aca="false">IFERROR(Tabelle1!H219/O218,"")</f>
        <v>1.03325415028796</v>
      </c>
      <c r="Q218" s="24" t="n">
        <f aca="false">IFERROR(AVERAGEIFS($P$7:$P$294,$B$7:$B$294,$B218,$A$7:$A$294,"&gt;="&amp;EDATE($A218,-12*'Seasonal Factors'!$E$4),$A$7:$A$294,"&lt;="&amp;EDATE($A218,12*'Seasonal Factors'!$E$4)),"")</f>
        <v>1.06355612976599</v>
      </c>
      <c r="R218" s="24" t="n">
        <f aca="false">IFERROR(Q218/AVERAGE(Q213:Q224),"")</f>
        <v>1.06369381826515</v>
      </c>
      <c r="S218" s="23" t="n">
        <f aca="false">IF(ISNUMBER(Tabelle1!I225),(0.5*Tabelle1!I213+SUM(Tabelle1!I214:I224)+0.5*Tabelle1!I225)/12,"")</f>
        <v>147.1660475</v>
      </c>
      <c r="T218" s="24" t="n">
        <f aca="false">IFERROR(Tabelle1!I219/S218,"")</f>
        <v>1.07477392161395</v>
      </c>
      <c r="U218" s="24" t="n">
        <f aca="false">IFERROR(AVERAGEIFS($T$7:$T$294,$B$7:$B$294,$B218,$A$7:$A$294,"&gt;="&amp;EDATE($A218,-12*'Seasonal Factors'!$E$4),$A$7:$A$294,"&lt;="&amp;EDATE($A218,12*'Seasonal Factors'!$E$4)),"")</f>
        <v>1.03100463345826</v>
      </c>
      <c r="V218" s="24" t="n">
        <f aca="false">IFERROR(U218/AVERAGE(U213:U224),"")</f>
        <v>1.03152756877945</v>
      </c>
      <c r="W218" s="23" t="n">
        <f aca="false">IF(ISNUMBER(Tabelle1!J225),(0.5*Tabelle1!J213+SUM(Tabelle1!J214:J224)+0.5*Tabelle1!J225)/12,"")</f>
        <v>142.741247916667</v>
      </c>
      <c r="X218" s="24" t="n">
        <f aca="false">IFERROR(Tabelle1!J219/W218,"")</f>
        <v>1.05593976653472</v>
      </c>
      <c r="Y218" s="24" t="n">
        <f aca="false">IFERROR(AVERAGEIFS($X$7:$X$294,$B$7:$B$294,$B218,$A$7:$A$294,"&gt;="&amp;EDATE($A218,-12*'Seasonal Factors'!$E$4),$A$7:$A$294,"&lt;="&amp;EDATE($A218,12*'Seasonal Factors'!$E$4)),"")</f>
        <v>1.07793999177695</v>
      </c>
      <c r="Z218" s="24" t="n">
        <f aca="false">IFERROR(Y218/AVERAGE(Y213:Y224),"")</f>
        <v>1.07853055081876</v>
      </c>
      <c r="AA218" s="23" t="n">
        <f aca="false">IF(ISNUMBER(Tabelle1!K225),(0.5*Tabelle1!K213+SUM(Tabelle1!K214:K224)+0.5*Tabelle1!K225)/12,"")</f>
        <v>151.27046</v>
      </c>
      <c r="AB218" s="24" t="n">
        <f aca="false">IFERROR(Tabelle1!K219/AA218,"")</f>
        <v>1.00940646309927</v>
      </c>
      <c r="AC218" s="24" t="n">
        <f aca="false">IFERROR(AVERAGEIFS($AB$7:$AB$294,$B$7:$B$294,$B218,$A$7:$A$294,"&gt;="&amp;EDATE($A218,-12*'Seasonal Factors'!$E$4),$A$7:$A$294,"&lt;="&amp;EDATE($A218,12*'Seasonal Factors'!$E$4)),"")</f>
        <v>1.02707508490788</v>
      </c>
      <c r="AD218" s="24" t="n">
        <f aca="false">IFERROR(AC218/AVERAGE(AC213:AC224),"")</f>
        <v>1.02703919988988</v>
      </c>
      <c r="AE218" s="23" t="n">
        <f aca="false">IF(ISNUMBER(Tabelle1!L225),(0.5*Tabelle1!L213+SUM(Tabelle1!L214:L224)+0.5*Tabelle1!L225)/12,"")</f>
        <v>114.913297083333</v>
      </c>
      <c r="AF218" s="24" t="n">
        <f aca="false">IFERROR(Tabelle1!L219/AE218,"")</f>
        <v>0.990011538155581</v>
      </c>
      <c r="AG218" s="24" t="n">
        <f aca="false">IFERROR(AVERAGEIFS($AF$7:$AF$294,$B$7:$B$294,$B218,$A$7:$A$294,"&gt;="&amp;EDATE($A218,-12*'Seasonal Factors'!$E$4),$A$7:$A$294,"&lt;="&amp;EDATE($A218,12*'Seasonal Factors'!$E$4)),"")</f>
        <v>0.998801728401067</v>
      </c>
      <c r="AH218" s="24" t="n">
        <f aca="false">IFERROR(AG218/AVERAGE(AG213:AG224),"")</f>
        <v>1.00093323752871</v>
      </c>
      <c r="AI218" s="23" t="n">
        <f aca="false">IF(ISNUMBER(Tabelle1!M225),(0.5*Tabelle1!M213+SUM(Tabelle1!M214:M224)+0.5*Tabelle1!M225)/12,"")</f>
        <v>171.106787916667</v>
      </c>
      <c r="AJ218" s="24" t="n">
        <f aca="false">IFERROR(Tabelle1!M219/AI218,"")</f>
        <v>0.994393630268287</v>
      </c>
      <c r="AK218" s="24" t="n">
        <f aca="false">IFERROR(AVERAGEIFS($AJ$7:$AJ$294,$B$7:$B$294,$B218,$A$7:$A$294,"&gt;="&amp;EDATE($A218,-12*'Seasonal Factors'!$E$4),$A$7:$A$294,"&lt;="&amp;EDATE($A218,12*'Seasonal Factors'!$E$4)),"")</f>
        <v>0.99338639776344</v>
      </c>
      <c r="AL218" s="24" t="n">
        <f aca="false">IFERROR(AK218/AVERAGE(AK213:AK224),"")</f>
        <v>0.993539302236438</v>
      </c>
      <c r="AM218" s="23" t="n">
        <f aca="false">IF(ISNUMBER(Tabelle1!N225),(0.5*Tabelle1!N213+SUM(Tabelle1!N214:N224)+0.5*Tabelle1!N225)/12,"")</f>
        <v>167.94352375</v>
      </c>
      <c r="AN218" s="24" t="n">
        <f aca="false">IFERROR(Tabelle1!N219/AM218,"")</f>
        <v>1.00725420202457</v>
      </c>
      <c r="AO218" s="24" t="n">
        <f aca="false">IFERROR(AVERAGEIFS($AN$7:$AN$294,$B$7:$B$294,$B218,$A$7:$A$294,"&gt;="&amp;EDATE($A218,-12*'Seasonal Factors'!$E$4),$A$7:$A$294,"&lt;="&amp;EDATE($A218,12*'Seasonal Factors'!$E$4)),"")</f>
        <v>1.02553365725808</v>
      </c>
      <c r="AP218" s="24" t="n">
        <f aca="false">IFERROR(AO218/AVERAGE(AO213:AO224),"")</f>
        <v>1.02560034671077</v>
      </c>
      <c r="AQ218" s="23" t="n">
        <f aca="false">IF(ISNUMBER(Tabelle1!O225),(0.5*Tabelle1!O213+SUM(Tabelle1!O214:O224)+0.5*Tabelle1!O225)/12,"")</f>
        <v>145.15906</v>
      </c>
      <c r="AR218" s="24" t="n">
        <f aca="false">IFERROR(Tabelle1!O219/AQ218,"")</f>
        <v>0.999402724156522</v>
      </c>
      <c r="AS218" s="24" t="n">
        <f aca="false">IFERROR(AVERAGEIFS($AR$7:$AR$294,$B$7:$B$294,$B218,$A$7:$A$294,"&gt;="&amp;EDATE($A218,-12*'Seasonal Factors'!$E$4),$A$7:$A$294,"&lt;="&amp;EDATE($A218,12*'Seasonal Factors'!$E$4)),"")</f>
        <v>1.00986372664812</v>
      </c>
      <c r="AT218" s="24" t="n">
        <f aca="false">IFERROR(AS218/AVERAGE(AS213:AS224),"")</f>
        <v>1.00955447960295</v>
      </c>
      <c r="AU218" s="23" t="n">
        <f aca="false">IF(ISNUMBER(Tabelle1!P225),(0.5*Tabelle1!P213+SUM(Tabelle1!P214:P224)+0.5*Tabelle1!P225)/12,"")</f>
        <v>153.547136666667</v>
      </c>
      <c r="AV218" s="24" t="n">
        <f aca="false">IFERROR(Tabelle1!P219/AU218,"")</f>
        <v>0.983406680697682</v>
      </c>
      <c r="AW218" s="24" t="n">
        <f aca="false">IFERROR(AVERAGEIFS($AV$7:$AV$294,$B$7:$B$294,$B218,$A$7:$A$294,"&gt;="&amp;EDATE($A218,-12*'Seasonal Factors'!$E$4),$A$7:$A$294,"&lt;="&amp;EDATE($A218,12*'Seasonal Factors'!$E$4)),"")</f>
        <v>0.993379069989822</v>
      </c>
      <c r="AX218" s="24" t="n">
        <f aca="false">IFERROR(AW218/AVERAGE(AW213:AW224),"")</f>
        <v>0.993128910961651</v>
      </c>
      <c r="AY218" s="23" t="n">
        <f aca="false">IF(ISNUMBER(Tabelle1!Q225),(0.5*Tabelle1!Q213+SUM(Tabelle1!Q214:Q224)+0.5*Tabelle1!Q225)/12,"")</f>
        <v>160.662045</v>
      </c>
      <c r="AZ218" s="24" t="n">
        <f aca="false">IFERROR(Tabelle1!Q219/AY218,"")</f>
        <v>1.00631552399324</v>
      </c>
      <c r="BA218" s="24" t="n">
        <f aca="false">IFERROR(AVERAGEIFS($AZ$7:$AZ$294,$B$7:$B$294,$B218,$A$7:$A$294,"&gt;="&amp;EDATE($A218,-12*'Seasonal Factors'!$E$4),$A$7:$A$294,"&lt;="&amp;EDATE($A218,12*'Seasonal Factors'!$E$4)),"")</f>
        <v>1.00672575960382</v>
      </c>
      <c r="BB218" s="24" t="n">
        <f aca="false">IFERROR(BA218/AVERAGE(BA213:BA224),"")</f>
        <v>1.00666661343105</v>
      </c>
      <c r="BC218" s="23" t="n">
        <f aca="false">IF(ISNUMBER(Tabelle1!R225),(0.5*Tabelle1!R213+SUM(Tabelle1!R214:R224)+0.5*Tabelle1!R225)/12,"")</f>
        <v>181.797412083333</v>
      </c>
      <c r="BD218" s="24" t="n">
        <f aca="false">IFERROR(Tabelle1!R219/BC218,"")</f>
        <v>1.00266691319261</v>
      </c>
      <c r="BE218" s="24" t="n">
        <f aca="false">IFERROR(AVERAGEIFS($BD$7:$BD$294,$B$7:$B$294,$B218,$A$7:$A$294,"&gt;="&amp;EDATE($A218,-12*'Seasonal Factors'!$E$4),$A$7:$A$294,"&lt;="&amp;EDATE($A218,12*'Seasonal Factors'!$E$4)),"")</f>
        <v>0.999748223854617</v>
      </c>
      <c r="BF218" s="24" t="n">
        <f aca="false">IFERROR(BE218/AVERAGE(BE213:BE224),"")</f>
        <v>0.999569972256042</v>
      </c>
      <c r="BG218" s="23" t="n">
        <f aca="false">IF(ISNUMBER(Tabelle1!S225),(0.5*Tabelle1!S213+SUM(Tabelle1!S214:S224)+0.5*Tabelle1!S225)/12,"")</f>
        <v>119.922110833333</v>
      </c>
      <c r="BH218" s="24" t="n">
        <f aca="false">IFERROR(Tabelle1!S219/BG218,"")</f>
        <v>0.98847684698234</v>
      </c>
      <c r="BI218" s="24" t="n">
        <f aca="false">IFERROR(AVERAGEIFS($BH$7:$BH$294,$B$7:$B$294,$B218,$A$7:$A$294,"&gt;="&amp;EDATE($A218,-12*'Seasonal Factors'!$E$4),$A$7:$A$294,"&lt;="&amp;EDATE($A218,12*'Seasonal Factors'!$E$4)),"")</f>
        <v>0.970104990372574</v>
      </c>
      <c r="BJ218" s="24" t="n">
        <f aca="false">IFERROR(BI218/AVERAGE(BI213:BI224),"")</f>
        <v>0.97140694326342</v>
      </c>
    </row>
    <row r="219" customFormat="false" ht="15" hidden="false" customHeight="false" outlineLevel="0" collapsed="false">
      <c r="A219" s="20" t="n">
        <v>44469</v>
      </c>
      <c r="B219" s="22" t="n">
        <f aca="false">MONTH(A219)</f>
        <v>9</v>
      </c>
      <c r="C219" s="23" t="n">
        <f aca="false">IF(ISNUMBER(Tabelle1!E226),(0.5*Tabelle1!E214+SUM(Tabelle1!E215:E225)+0.5*Tabelle1!E226)/12,"")</f>
        <v>131.620818333333</v>
      </c>
      <c r="D219" s="24" t="n">
        <f aca="false">IFERROR(Tabelle1!E220/C219,"")</f>
        <v>0.563747520639814</v>
      </c>
      <c r="E219" s="24" t="n">
        <f aca="false">IFERROR(AVERAGEIFS($D$7:$D$294,$B$7:$B$294,$B219,$A$7:$A$294,"&gt;="&amp;EDATE($A219,-12*'Seasonal Factors'!$E$4),$A$7:$A$294,"&lt;="&amp;EDATE($A219,12*'Seasonal Factors'!$E$4)),"")</f>
        <v>0.580246173509752</v>
      </c>
      <c r="F219" s="24" t="n">
        <f aca="false">IFERROR(E219/AVERAGE(E214:E225),"")</f>
        <v>0.579504949895827</v>
      </c>
      <c r="G219" s="23" t="n">
        <f aca="false">IF(ISNUMBER(Tabelle1!F226),(0.5*Tabelle1!F214+SUM(Tabelle1!F215:F225)+0.5*Tabelle1!F226)/12,"")</f>
        <v>164.886516666667</v>
      </c>
      <c r="H219" s="24" t="n">
        <f aca="false">IFERROR(Tabelle1!F220/G219,"")</f>
        <v>1.32284740080324</v>
      </c>
      <c r="I219" s="24" t="n">
        <f aca="false">IFERROR(AVERAGEIFS($H$7:$H$294,$B$7:$B$294,$B219,$A$7:$A$294,"&gt;="&amp;EDATE($A219,-12*'Seasonal Factors'!$E$4),$A$7:$A$294,"&lt;="&amp;EDATE($A219,12*'Seasonal Factors'!$E$4)),"")</f>
        <v>1.37730376795881</v>
      </c>
      <c r="J219" s="24" t="n">
        <f aca="false">IFERROR(I219/AVERAGE(I214:I225),"")</f>
        <v>1.38287753131284</v>
      </c>
      <c r="K219" s="23" t="n">
        <f aca="false">IF(ISNUMBER(Tabelle1!G226),(0.5*Tabelle1!G214+SUM(Tabelle1!G215:G225)+0.5*Tabelle1!G226)/12,"")</f>
        <v>89.3145895833333</v>
      </c>
      <c r="L219" s="24" t="n">
        <f aca="false">IFERROR(Tabelle1!G220/K219,"")</f>
        <v>1.00904723875949</v>
      </c>
      <c r="M219" s="24" t="n">
        <f aca="false">IFERROR(AVERAGEIFS($L$7:$L$294,$B$7:$B$294,$B219,$A$7:$A$294,"&gt;="&amp;EDATE($A219,-12*'Seasonal Factors'!$E$4),$A$7:$A$294,"&lt;="&amp;EDATE($A219,12*'Seasonal Factors'!$E$4)),"")</f>
        <v>0.996104906890396</v>
      </c>
      <c r="N219" s="24" t="n">
        <f aca="false">IFERROR(M219/AVERAGE(M214:M225),"")</f>
        <v>0.997498530734003</v>
      </c>
      <c r="O219" s="23" t="n">
        <f aca="false">IF(ISNUMBER(Tabelle1!H226),(0.5*Tabelle1!H214+SUM(Tabelle1!H215:H225)+0.5*Tabelle1!H226)/12,"")</f>
        <v>127.090835</v>
      </c>
      <c r="P219" s="24" t="n">
        <f aca="false">IFERROR(Tabelle1!H220/O219,"")</f>
        <v>1.03855899601258</v>
      </c>
      <c r="Q219" s="24" t="n">
        <f aca="false">IFERROR(AVERAGEIFS($P$7:$P$294,$B$7:$B$294,$B219,$A$7:$A$294,"&gt;="&amp;EDATE($A219,-12*'Seasonal Factors'!$E$4),$A$7:$A$294,"&lt;="&amp;EDATE($A219,12*'Seasonal Factors'!$E$4)),"")</f>
        <v>1.03603295142871</v>
      </c>
      <c r="R219" s="24" t="n">
        <f aca="false">IFERROR(Q219/AVERAGE(Q214:Q225),"")</f>
        <v>1.03625708091957</v>
      </c>
      <c r="S219" s="23" t="n">
        <f aca="false">IF(ISNUMBER(Tabelle1!I226),(0.5*Tabelle1!I214+SUM(Tabelle1!I215:I225)+0.5*Tabelle1!I226)/12,"")</f>
        <v>147.54256875</v>
      </c>
      <c r="T219" s="24" t="n">
        <f aca="false">IFERROR(Tabelle1!I220/S219,"")</f>
        <v>0.946303573150986</v>
      </c>
      <c r="U219" s="24" t="n">
        <f aca="false">IFERROR(AVERAGEIFS($T$7:$T$294,$B$7:$B$294,$B219,$A$7:$A$294,"&gt;="&amp;EDATE($A219,-12*'Seasonal Factors'!$E$4),$A$7:$A$294,"&lt;="&amp;EDATE($A219,12*'Seasonal Factors'!$E$4)),"")</f>
        <v>0.937749027604459</v>
      </c>
      <c r="V219" s="24" t="n">
        <f aca="false">IFERROR(U219/AVERAGE(U214:U225),"")</f>
        <v>0.938226572266748</v>
      </c>
      <c r="W219" s="23" t="n">
        <f aca="false">IF(ISNUMBER(Tabelle1!J226),(0.5*Tabelle1!J214+SUM(Tabelle1!J215:J225)+0.5*Tabelle1!J226)/12,"")</f>
        <v>143.27316875</v>
      </c>
      <c r="X219" s="24" t="n">
        <f aca="false">IFERROR(Tabelle1!J220/W219,"")</f>
        <v>1.04510580247776</v>
      </c>
      <c r="Y219" s="24" t="n">
        <f aca="false">IFERROR(AVERAGEIFS($X$7:$X$294,$B$7:$B$294,$B219,$A$7:$A$294,"&gt;="&amp;EDATE($A219,-12*'Seasonal Factors'!$E$4),$A$7:$A$294,"&lt;="&amp;EDATE($A219,12*'Seasonal Factors'!$E$4)),"")</f>
        <v>1.04440884150336</v>
      </c>
      <c r="Z219" s="24" t="n">
        <f aca="false">IFERROR(Y219/AVERAGE(Y214:Y225),"")</f>
        <v>1.04550465315171</v>
      </c>
      <c r="AA219" s="23" t="n">
        <f aca="false">IF(ISNUMBER(Tabelle1!K226),(0.5*Tabelle1!K214+SUM(Tabelle1!K215:K225)+0.5*Tabelle1!K226)/12,"")</f>
        <v>151.933337083333</v>
      </c>
      <c r="AB219" s="24" t="n">
        <f aca="false">IFERROR(Tabelle1!K220/AA219,"")</f>
        <v>1.01373966343885</v>
      </c>
      <c r="AC219" s="24" t="n">
        <f aca="false">IFERROR(AVERAGEIFS($AB$7:$AB$294,$B$7:$B$294,$B219,$A$7:$A$294,"&gt;="&amp;EDATE($A219,-12*'Seasonal Factors'!$E$4),$A$7:$A$294,"&lt;="&amp;EDATE($A219,12*'Seasonal Factors'!$E$4)),"")</f>
        <v>1.00562763752922</v>
      </c>
      <c r="AD219" s="24" t="n">
        <f aca="false">IFERROR(AC219/AVERAGE(AC214:AC225),"")</f>
        <v>1.00625651113321</v>
      </c>
      <c r="AE219" s="23" t="n">
        <f aca="false">IF(ISNUMBER(Tabelle1!L226),(0.5*Tabelle1!L214+SUM(Tabelle1!L215:L225)+0.5*Tabelle1!L226)/12,"")</f>
        <v>118.71396</v>
      </c>
      <c r="AF219" s="24" t="n">
        <f aca="false">IFERROR(Tabelle1!L220/AE219,"")</f>
        <v>1.01373966465275</v>
      </c>
      <c r="AG219" s="24" t="n">
        <f aca="false">IFERROR(AVERAGEIFS($AF$7:$AF$294,$B$7:$B$294,$B219,$A$7:$A$294,"&gt;="&amp;EDATE($A219,-12*'Seasonal Factors'!$E$4),$A$7:$A$294,"&lt;="&amp;EDATE($A219,12*'Seasonal Factors'!$E$4)),"")</f>
        <v>0.954034142017738</v>
      </c>
      <c r="AH219" s="24" t="n">
        <f aca="false">IFERROR(AG219/AVERAGE(AG214:AG225),"")</f>
        <v>0.956313247434576</v>
      </c>
      <c r="AI219" s="23" t="n">
        <f aca="false">IF(ISNUMBER(Tabelle1!M226),(0.5*Tabelle1!M214+SUM(Tabelle1!M215:M225)+0.5*Tabelle1!M226)/12,"")</f>
        <v>172.598881666667</v>
      </c>
      <c r="AJ219" s="24" t="n">
        <f aca="false">IFERROR(Tabelle1!M220/AI219,"")</f>
        <v>0.990072579554856</v>
      </c>
      <c r="AK219" s="24" t="n">
        <f aca="false">IFERROR(AVERAGEIFS($AJ$7:$AJ$294,$B$7:$B$294,$B219,$A$7:$A$294,"&gt;="&amp;EDATE($A219,-12*'Seasonal Factors'!$E$4),$A$7:$A$294,"&lt;="&amp;EDATE($A219,12*'Seasonal Factors'!$E$4)),"")</f>
        <v>0.987834432231573</v>
      </c>
      <c r="AL219" s="24" t="n">
        <f aca="false">IFERROR(AK219/AVERAGE(AK214:AK225),"")</f>
        <v>0.988024633092444</v>
      </c>
      <c r="AM219" s="23" t="n">
        <f aca="false">IF(ISNUMBER(Tabelle1!N226),(0.5*Tabelle1!N214+SUM(Tabelle1!N215:N225)+0.5*Tabelle1!N226)/12,"")</f>
        <v>168.05617125</v>
      </c>
      <c r="AN219" s="24" t="n">
        <f aca="false">IFERROR(Tabelle1!N220/AM219,"")</f>
        <v>0.986009729767659</v>
      </c>
      <c r="AO219" s="24" t="n">
        <f aca="false">IFERROR(AVERAGEIFS($AN$7:$AN$294,$B$7:$B$294,$B219,$A$7:$A$294,"&gt;="&amp;EDATE($A219,-12*'Seasonal Factors'!$E$4),$A$7:$A$294,"&lt;="&amp;EDATE($A219,12*'Seasonal Factors'!$E$4)),"")</f>
        <v>1.00585520084355</v>
      </c>
      <c r="AP219" s="24" t="n">
        <f aca="false">IFERROR(AO219/AVERAGE(AO214:AO225),"")</f>
        <v>1.00597605450669</v>
      </c>
      <c r="AQ219" s="23" t="n">
        <f aca="false">IF(ISNUMBER(Tabelle1!O226),(0.5*Tabelle1!O214+SUM(Tabelle1!O215:O225)+0.5*Tabelle1!O226)/12,"")</f>
        <v>145.7607375</v>
      </c>
      <c r="AR219" s="24" t="n">
        <f aca="false">IFERROR(Tabelle1!O220/AQ219,"")</f>
        <v>1.00426008066816</v>
      </c>
      <c r="AS219" s="24" t="n">
        <f aca="false">IFERROR(AVERAGEIFS($AR$7:$AR$294,$B$7:$B$294,$B219,$A$7:$A$294,"&gt;="&amp;EDATE($A219,-12*'Seasonal Factors'!$E$4),$A$7:$A$294,"&lt;="&amp;EDATE($A219,12*'Seasonal Factors'!$E$4)),"")</f>
        <v>1.00124940874149</v>
      </c>
      <c r="AT219" s="24" t="n">
        <f aca="false">IFERROR(AS219/AVERAGE(AS214:AS225),"")</f>
        <v>1.00102259134117</v>
      </c>
      <c r="AU219" s="23" t="n">
        <f aca="false">IF(ISNUMBER(Tabelle1!P226),(0.5*Tabelle1!P214+SUM(Tabelle1!P215:P225)+0.5*Tabelle1!P226)/12,"")</f>
        <v>154.6619275</v>
      </c>
      <c r="AV219" s="24" t="n">
        <f aca="false">IFERROR(Tabelle1!P220/AU219,"")</f>
        <v>0.986722023104232</v>
      </c>
      <c r="AW219" s="24" t="n">
        <f aca="false">IFERROR(AVERAGEIFS($AV$7:$AV$294,$B$7:$B$294,$B219,$A$7:$A$294,"&gt;="&amp;EDATE($A219,-12*'Seasonal Factors'!$E$4),$A$7:$A$294,"&lt;="&amp;EDATE($A219,12*'Seasonal Factors'!$E$4)),"")</f>
        <v>0.997197239037036</v>
      </c>
      <c r="AX219" s="24" t="n">
        <f aca="false">IFERROR(AW219/AVERAGE(AW214:AW225),"")</f>
        <v>0.996892899695869</v>
      </c>
      <c r="AY219" s="23" t="n">
        <f aca="false">IF(ISNUMBER(Tabelle1!Q226),(0.5*Tabelle1!Q214+SUM(Tabelle1!Q215:Q225)+0.5*Tabelle1!Q226)/12,"")</f>
        <v>161.211788333333</v>
      </c>
      <c r="AZ219" s="24" t="n">
        <f aca="false">IFERROR(Tabelle1!Q220/AY219,"")</f>
        <v>1.01377077749474</v>
      </c>
      <c r="BA219" s="24" t="n">
        <f aca="false">IFERROR(AVERAGEIFS($AZ$7:$AZ$294,$B$7:$B$294,$B219,$A$7:$A$294,"&gt;="&amp;EDATE($A219,-12*'Seasonal Factors'!$E$4),$A$7:$A$294,"&lt;="&amp;EDATE($A219,12*'Seasonal Factors'!$E$4)),"")</f>
        <v>1.01143592695919</v>
      </c>
      <c r="BB219" s="24" t="n">
        <f aca="false">IFERROR(BA219/AVERAGE(BA214:BA225),"")</f>
        <v>1.01121074506868</v>
      </c>
      <c r="BC219" s="23" t="n">
        <f aca="false">IF(ISNUMBER(Tabelle1!R226),(0.5*Tabelle1!R214+SUM(Tabelle1!R215:R225)+0.5*Tabelle1!R226)/12,"")</f>
        <v>182.096386666667</v>
      </c>
      <c r="BD219" s="24" t="n">
        <f aca="false">IFERROR(Tabelle1!R220/BC219,"")</f>
        <v>0.985207357949405</v>
      </c>
      <c r="BE219" s="24" t="n">
        <f aca="false">IFERROR(AVERAGEIFS($BD$7:$BD$294,$B$7:$B$294,$B219,$A$7:$A$294,"&gt;="&amp;EDATE($A219,-12*'Seasonal Factors'!$E$4),$A$7:$A$294,"&lt;="&amp;EDATE($A219,12*'Seasonal Factors'!$E$4)),"")</f>
        <v>0.987324333908364</v>
      </c>
      <c r="BF219" s="24" t="n">
        <f aca="false">IFERROR(BE219/AVERAGE(BE214:BE225),"")</f>
        <v>0.987118170959603</v>
      </c>
      <c r="BG219" s="23" t="n">
        <f aca="false">IF(ISNUMBER(Tabelle1!S226),(0.5*Tabelle1!S214+SUM(Tabelle1!S215:S225)+0.5*Tabelle1!S226)/12,"")</f>
        <v>121.097640833333</v>
      </c>
      <c r="BH219" s="24" t="n">
        <f aca="false">IFERROR(Tabelle1!S220/BG219,"")</f>
        <v>0.952658443270389</v>
      </c>
      <c r="BI219" s="24" t="n">
        <f aca="false">IFERROR(AVERAGEIFS($BH$7:$BH$294,$B$7:$B$294,$B219,$A$7:$A$294,"&gt;="&amp;EDATE($A219,-12*'Seasonal Factors'!$E$4),$A$7:$A$294,"&lt;="&amp;EDATE($A219,12*'Seasonal Factors'!$E$4)),"")</f>
        <v>0.945162543034437</v>
      </c>
      <c r="BJ219" s="24" t="n">
        <f aca="false">IFERROR(BI219/AVERAGE(BI214:BI225),"")</f>
        <v>0.946021167317095</v>
      </c>
    </row>
    <row r="220" customFormat="false" ht="15" hidden="false" customHeight="false" outlineLevel="0" collapsed="false">
      <c r="A220" s="20" t="n">
        <v>44500</v>
      </c>
      <c r="B220" s="22" t="n">
        <f aca="false">MONTH(A220)</f>
        <v>10</v>
      </c>
      <c r="C220" s="23" t="n">
        <f aca="false">IF(ISNUMBER(Tabelle1!E227),(0.5*Tabelle1!E215+SUM(Tabelle1!E216:E226)+0.5*Tabelle1!E227)/12,"")</f>
        <v>131.530175833333</v>
      </c>
      <c r="D220" s="24" t="n">
        <f aca="false">IFERROR(Tabelle1!E221/C220,"")</f>
        <v>0.574899634406454</v>
      </c>
      <c r="E220" s="24" t="n">
        <f aca="false">IFERROR(AVERAGEIFS($D$7:$D$294,$B$7:$B$294,$B220,$A$7:$A$294,"&gt;="&amp;EDATE($A220,-12*'Seasonal Factors'!$E$4),$A$7:$A$294,"&lt;="&amp;EDATE($A220,12*'Seasonal Factors'!$E$4)),"")</f>
        <v>0.587733667261357</v>
      </c>
      <c r="F220" s="24" t="n">
        <f aca="false">IFERROR(E220/AVERAGE(E215:E226),"")</f>
        <v>0.588007670695572</v>
      </c>
      <c r="G220" s="23" t="n">
        <f aca="false">IF(ISNUMBER(Tabelle1!F227),(0.5*Tabelle1!F215+SUM(Tabelle1!F216:F226)+0.5*Tabelle1!F227)/12,"")</f>
        <v>167.842846666667</v>
      </c>
      <c r="H220" s="24" t="n">
        <f aca="false">IFERROR(Tabelle1!F221/G220,"")</f>
        <v>0.709160100438398</v>
      </c>
      <c r="I220" s="24" t="n">
        <f aca="false">IFERROR(AVERAGEIFS($H$7:$H$294,$B$7:$B$294,$B220,$A$7:$A$294,"&gt;="&amp;EDATE($A220,-12*'Seasonal Factors'!$E$4),$A$7:$A$294,"&lt;="&amp;EDATE($A220,12*'Seasonal Factors'!$E$4)),"")</f>
        <v>0.922555609183598</v>
      </c>
      <c r="J220" s="24" t="n">
        <f aca="false">IFERROR(I220/AVERAGE(I215:I226),"")</f>
        <v>0.924000755943043</v>
      </c>
      <c r="K220" s="23" t="n">
        <f aca="false">IF(ISNUMBER(Tabelle1!G227),(0.5*Tabelle1!G215+SUM(Tabelle1!G216:G226)+0.5*Tabelle1!G227)/12,"")</f>
        <v>90.3147783333333</v>
      </c>
      <c r="L220" s="24" t="n">
        <f aca="false">IFERROR(Tabelle1!G221/K220,"")</f>
        <v>1.01789177470716</v>
      </c>
      <c r="M220" s="24" t="n">
        <f aca="false">IFERROR(AVERAGEIFS($L$7:$L$294,$B$7:$B$294,$B220,$A$7:$A$294,"&gt;="&amp;EDATE($A220,-12*'Seasonal Factors'!$E$4),$A$7:$A$294,"&lt;="&amp;EDATE($A220,12*'Seasonal Factors'!$E$4)),"")</f>
        <v>1.02092882383161</v>
      </c>
      <c r="N220" s="24" t="n">
        <f aca="false">IFERROR(M220/AVERAGE(M215:M226),"")</f>
        <v>1.022132581031</v>
      </c>
      <c r="O220" s="23" t="n">
        <f aca="false">IF(ISNUMBER(Tabelle1!H227),(0.5*Tabelle1!H215+SUM(Tabelle1!H216:H226)+0.5*Tabelle1!H227)/12,"")</f>
        <v>127.540774166667</v>
      </c>
      <c r="P220" s="24" t="n">
        <f aca="false">IFERROR(Tabelle1!H221/O220,"")</f>
        <v>1.04812983042828</v>
      </c>
      <c r="Q220" s="24" t="n">
        <f aca="false">IFERROR(AVERAGEIFS($P$7:$P$294,$B$7:$B$294,$B220,$A$7:$A$294,"&gt;="&amp;EDATE($A220,-12*'Seasonal Factors'!$E$4),$A$7:$A$294,"&lt;="&amp;EDATE($A220,12*'Seasonal Factors'!$E$4)),"")</f>
        <v>1.09126897213661</v>
      </c>
      <c r="R220" s="24" t="n">
        <f aca="false">IFERROR(Q220/AVERAGE(Q215:Q226),"")</f>
        <v>1.09140753280433</v>
      </c>
      <c r="S220" s="23" t="n">
        <f aca="false">IF(ISNUMBER(Tabelle1!I227),(0.5*Tabelle1!I215+SUM(Tabelle1!I216:I226)+0.5*Tabelle1!I227)/12,"")</f>
        <v>147.7569425</v>
      </c>
      <c r="T220" s="24" t="n">
        <f aca="false">IFERROR(Tabelle1!I221/S220,"")</f>
        <v>0.874473698587801</v>
      </c>
      <c r="U220" s="24" t="n">
        <f aca="false">IFERROR(AVERAGEIFS($T$7:$T$294,$B$7:$B$294,$B220,$A$7:$A$294,"&gt;="&amp;EDATE($A220,-12*'Seasonal Factors'!$E$4),$A$7:$A$294,"&lt;="&amp;EDATE($A220,12*'Seasonal Factors'!$E$4)),"")</f>
        <v>0.92748487181323</v>
      </c>
      <c r="V220" s="24" t="n">
        <f aca="false">IFERROR(U220/AVERAGE(U215:U226),"")</f>
        <v>0.928183182636865</v>
      </c>
      <c r="W220" s="23" t="n">
        <f aca="false">IF(ISNUMBER(Tabelle1!J227),(0.5*Tabelle1!J215+SUM(Tabelle1!J216:J226)+0.5*Tabelle1!J227)/12,"")</f>
        <v>143.986204166667</v>
      </c>
      <c r="X220" s="24" t="n">
        <f aca="false">IFERROR(Tabelle1!J221/W220,"")</f>
        <v>0.977989459580459</v>
      </c>
      <c r="Y220" s="24" t="n">
        <f aca="false">IFERROR(AVERAGEIFS($X$7:$X$294,$B$7:$B$294,$B220,$A$7:$A$294,"&gt;="&amp;EDATE($A220,-12*'Seasonal Factors'!$E$4),$A$7:$A$294,"&lt;="&amp;EDATE($A220,12*'Seasonal Factors'!$E$4)),"")</f>
        <v>1.01387857937666</v>
      </c>
      <c r="Z220" s="24" t="n">
        <f aca="false">IFERROR(Y220/AVERAGE(Y215:Y226),"")</f>
        <v>1.01529656058531</v>
      </c>
      <c r="AA220" s="23" t="n">
        <f aca="false">IF(ISNUMBER(Tabelle1!K227),(0.5*Tabelle1!K215+SUM(Tabelle1!K216:K226)+0.5*Tabelle1!K227)/12,"")</f>
        <v>152.623014583333</v>
      </c>
      <c r="AB220" s="24" t="n">
        <f aca="false">IFERROR(Tabelle1!K221/AA220,"")</f>
        <v>0.994303581372005</v>
      </c>
      <c r="AC220" s="24" t="n">
        <f aca="false">IFERROR(AVERAGEIFS($AB$7:$AB$294,$B$7:$B$294,$B220,$A$7:$A$294,"&gt;="&amp;EDATE($A220,-12*'Seasonal Factors'!$E$4),$A$7:$A$294,"&lt;="&amp;EDATE($A220,12*'Seasonal Factors'!$E$4)),"")</f>
        <v>1.03411146412804</v>
      </c>
      <c r="AD220" s="24" t="n">
        <f aca="false">IFERROR(AC220/AVERAGE(AC215:AC226),"")</f>
        <v>1.03433011072478</v>
      </c>
      <c r="AE220" s="23" t="n">
        <f aca="false">IF(ISNUMBER(Tabelle1!L227),(0.5*Tabelle1!L215+SUM(Tabelle1!L216:L226)+0.5*Tabelle1!L227)/12,"")</f>
        <v>120.857188333333</v>
      </c>
      <c r="AF220" s="24" t="n">
        <f aca="false">IFERROR(Tabelle1!L221/AE220,"")</f>
        <v>0.942899810689788</v>
      </c>
      <c r="AG220" s="24" t="n">
        <f aca="false">IFERROR(AVERAGEIFS($AF$7:$AF$294,$B$7:$B$294,$B220,$A$7:$A$294,"&gt;="&amp;EDATE($A220,-12*'Seasonal Factors'!$E$4),$A$7:$A$294,"&lt;="&amp;EDATE($A220,12*'Seasonal Factors'!$E$4)),"")</f>
        <v>1.03947410161945</v>
      </c>
      <c r="AH220" s="24" t="n">
        <f aca="false">IFERROR(AG220/AVERAGE(AG215:AG226),"")</f>
        <v>1.04387781489792</v>
      </c>
      <c r="AI220" s="23" t="n">
        <f aca="false">IF(ISNUMBER(Tabelle1!M227),(0.5*Tabelle1!M215+SUM(Tabelle1!M216:M226)+0.5*Tabelle1!M227)/12,"")</f>
        <v>174.100595416667</v>
      </c>
      <c r="AJ220" s="24" t="n">
        <f aca="false">IFERROR(Tabelle1!M221/AI220,"")</f>
        <v>0.981856722493642</v>
      </c>
      <c r="AK220" s="24" t="n">
        <f aca="false">IFERROR(AVERAGEIFS($AJ$7:$AJ$294,$B$7:$B$294,$B220,$A$7:$A$294,"&gt;="&amp;EDATE($A220,-12*'Seasonal Factors'!$E$4),$A$7:$A$294,"&lt;="&amp;EDATE($A220,12*'Seasonal Factors'!$E$4)),"")</f>
        <v>0.993587474522816</v>
      </c>
      <c r="AL220" s="24" t="n">
        <f aca="false">IFERROR(AK220/AVERAGE(AK215:AK226),"")</f>
        <v>0.993775515362729</v>
      </c>
      <c r="AM220" s="23" t="n">
        <f aca="false">IF(ISNUMBER(Tabelle1!N227),(0.5*Tabelle1!N215+SUM(Tabelle1!N216:N226)+0.5*Tabelle1!N227)/12,"")</f>
        <v>168.284918333333</v>
      </c>
      <c r="AN220" s="24" t="n">
        <f aca="false">IFERROR(Tabelle1!N221/AM220,"")</f>
        <v>1.00361584194646</v>
      </c>
      <c r="AO220" s="24" t="n">
        <f aca="false">IFERROR(AVERAGEIFS($AN$7:$AN$294,$B$7:$B$294,$B220,$A$7:$A$294,"&gt;="&amp;EDATE($A220,-12*'Seasonal Factors'!$E$4),$A$7:$A$294,"&lt;="&amp;EDATE($A220,12*'Seasonal Factors'!$E$4)),"")</f>
        <v>1.0216984646633</v>
      </c>
      <c r="AP220" s="24" t="n">
        <f aca="false">IFERROR(AO220/AVERAGE(AO215:AO226),"")</f>
        <v>1.02131982154514</v>
      </c>
      <c r="AQ220" s="23" t="n">
        <f aca="false">IF(ISNUMBER(Tabelle1!O227),(0.5*Tabelle1!O215+SUM(Tabelle1!O216:O226)+0.5*Tabelle1!O227)/12,"")</f>
        <v>146.340019583333</v>
      </c>
      <c r="AR220" s="24" t="n">
        <f aca="false">IFERROR(Tabelle1!O221/AQ220,"")</f>
        <v>1.00015341269415</v>
      </c>
      <c r="AS220" s="24" t="n">
        <f aca="false">IFERROR(AVERAGEIFS($AR$7:$AR$294,$B$7:$B$294,$B220,$A$7:$A$294,"&gt;="&amp;EDATE($A220,-12*'Seasonal Factors'!$E$4),$A$7:$A$294,"&lt;="&amp;EDATE($A220,12*'Seasonal Factors'!$E$4)),"")</f>
        <v>1.01235152830025</v>
      </c>
      <c r="AT220" s="24" t="n">
        <f aca="false">IFERROR(AS220/AVERAGE(AS215:AS226),"")</f>
        <v>1.0120391950078</v>
      </c>
      <c r="AU220" s="23" t="n">
        <f aca="false">IF(ISNUMBER(Tabelle1!P227),(0.5*Tabelle1!P215+SUM(Tabelle1!P216:P226)+0.5*Tabelle1!P227)/12,"")</f>
        <v>155.785166666667</v>
      </c>
      <c r="AV220" s="24" t="n">
        <f aca="false">IFERROR(Tabelle1!P221/AU220,"")</f>
        <v>1.02587424348274</v>
      </c>
      <c r="AW220" s="24" t="n">
        <f aca="false">IFERROR(AVERAGEIFS($AV$7:$AV$294,$B$7:$B$294,$B220,$A$7:$A$294,"&gt;="&amp;EDATE($A220,-12*'Seasonal Factors'!$E$4),$A$7:$A$294,"&lt;="&amp;EDATE($A220,12*'Seasonal Factors'!$E$4)),"")</f>
        <v>1.00436966942737</v>
      </c>
      <c r="AX220" s="24" t="n">
        <f aca="false">IFERROR(AW220/AVERAGE(AW215:AW226),"")</f>
        <v>1.00419785242624</v>
      </c>
      <c r="AY220" s="23" t="n">
        <f aca="false">IF(ISNUMBER(Tabelle1!Q227),(0.5*Tabelle1!Q215+SUM(Tabelle1!Q216:Q226)+0.5*Tabelle1!Q227)/12,"")</f>
        <v>161.823045</v>
      </c>
      <c r="AZ220" s="24" t="n">
        <f aca="false">IFERROR(Tabelle1!Q221/AY220,"")</f>
        <v>1.01571083401626</v>
      </c>
      <c r="BA220" s="24" t="n">
        <f aca="false">IFERROR(AVERAGEIFS($AZ$7:$AZ$294,$B$7:$B$294,$B220,$A$7:$A$294,"&gt;="&amp;EDATE($A220,-12*'Seasonal Factors'!$E$4),$A$7:$A$294,"&lt;="&amp;EDATE($A220,12*'Seasonal Factors'!$E$4)),"")</f>
        <v>1.01092815197245</v>
      </c>
      <c r="BB220" s="24" t="n">
        <f aca="false">IFERROR(BA220/AVERAGE(BA215:BA226),"")</f>
        <v>1.01071473052879</v>
      </c>
      <c r="BC220" s="23" t="n">
        <f aca="false">IF(ISNUMBER(Tabelle1!R227),(0.5*Tabelle1!R215+SUM(Tabelle1!R216:R226)+0.5*Tabelle1!R227)/12,"")</f>
        <v>182.35077375</v>
      </c>
      <c r="BD220" s="24" t="n">
        <f aca="false">IFERROR(Tabelle1!R221/BC220,"")</f>
        <v>0.954515445262814</v>
      </c>
      <c r="BE220" s="24" t="n">
        <f aca="false">IFERROR(AVERAGEIFS($BD$7:$BD$294,$B$7:$B$294,$B220,$A$7:$A$294,"&gt;="&amp;EDATE($A220,-12*'Seasonal Factors'!$E$4),$A$7:$A$294,"&lt;="&amp;EDATE($A220,12*'Seasonal Factors'!$E$4)),"")</f>
        <v>0.965398494458402</v>
      </c>
      <c r="BF220" s="24" t="n">
        <f aca="false">IFERROR(BE220/AVERAGE(BE215:BE226),"")</f>
        <v>0.965522936174977</v>
      </c>
      <c r="BG220" s="23" t="n">
        <f aca="false">IF(ISNUMBER(Tabelle1!S227),(0.5*Tabelle1!S215+SUM(Tabelle1!S216:S226)+0.5*Tabelle1!S227)/12,"")</f>
        <v>122.48985375</v>
      </c>
      <c r="BH220" s="24" t="n">
        <f aca="false">IFERROR(Tabelle1!S221/BG220,"")</f>
        <v>0.990464404077224</v>
      </c>
      <c r="BI220" s="24" t="n">
        <f aca="false">IFERROR(AVERAGEIFS($BH$7:$BH$294,$B$7:$B$294,$B220,$A$7:$A$294,"&gt;="&amp;EDATE($A220,-12*'Seasonal Factors'!$E$4),$A$7:$A$294,"&lt;="&amp;EDATE($A220,12*'Seasonal Factors'!$E$4)),"")</f>
        <v>1.01486282361379</v>
      </c>
      <c r="BJ220" s="24" t="n">
        <f aca="false">IFERROR(BI220/AVERAGE(BI215:BI226),"")</f>
        <v>1.01721388160464</v>
      </c>
    </row>
    <row r="221" customFormat="false" ht="15" hidden="false" customHeight="false" outlineLevel="0" collapsed="false">
      <c r="A221" s="20" t="n">
        <v>44530</v>
      </c>
      <c r="B221" s="22" t="n">
        <f aca="false">MONTH(A221)</f>
        <v>11</v>
      </c>
      <c r="C221" s="23" t="n">
        <f aca="false">IF(ISNUMBER(Tabelle1!E228),(0.5*Tabelle1!E216+SUM(Tabelle1!E217:E227)+0.5*Tabelle1!E228)/12,"")</f>
        <v>130.91220875</v>
      </c>
      <c r="D221" s="24" t="n">
        <f aca="false">IFERROR(Tabelle1!E222/C221,"")</f>
        <v>0.706722091723932</v>
      </c>
      <c r="E221" s="24" t="n">
        <f aca="false">IFERROR(AVERAGEIFS($D$7:$D$294,$B$7:$B$294,$B221,$A$7:$A$294,"&gt;="&amp;EDATE($A221,-12*'Seasonal Factors'!$E$4),$A$7:$A$294,"&lt;="&amp;EDATE($A221,12*'Seasonal Factors'!$E$4)),"")</f>
        <v>0.693721158887242</v>
      </c>
      <c r="F221" s="24" t="n">
        <f aca="false">IFERROR(E221/AVERAGE(E216:E227),"")</f>
        <v>0.696434138644206</v>
      </c>
      <c r="G221" s="23" t="n">
        <f aca="false">IF(ISNUMBER(Tabelle1!F228),(0.5*Tabelle1!F216+SUM(Tabelle1!F217:F227)+0.5*Tabelle1!F228)/12,"")</f>
        <v>171.586925833333</v>
      </c>
      <c r="H221" s="24" t="n">
        <f aca="false">IFERROR(Tabelle1!F222/G221,"")</f>
        <v>0.531361113658276</v>
      </c>
      <c r="I221" s="24" t="n">
        <f aca="false">IFERROR(AVERAGEIFS($H$7:$H$294,$B$7:$B$294,$B221,$A$7:$A$294,"&gt;="&amp;EDATE($A221,-12*'Seasonal Factors'!$E$4),$A$7:$A$294,"&lt;="&amp;EDATE($A221,12*'Seasonal Factors'!$E$4)),"")</f>
        <v>0.596000815617483</v>
      </c>
      <c r="J221" s="24" t="n">
        <f aca="false">IFERROR(I221/AVERAGE(I216:I227),"")</f>
        <v>0.597382217648941</v>
      </c>
      <c r="K221" s="23" t="n">
        <f aca="false">IF(ISNUMBER(Tabelle1!G228),(0.5*Tabelle1!G216+SUM(Tabelle1!G217:G227)+0.5*Tabelle1!G228)/12,"")</f>
        <v>91.4247258333333</v>
      </c>
      <c r="L221" s="24" t="n">
        <f aca="false">IFERROR(Tabelle1!G222/K221,"")</f>
        <v>0.987383764918956</v>
      </c>
      <c r="M221" s="24" t="n">
        <f aca="false">IFERROR(AVERAGEIFS($L$7:$L$294,$B$7:$B$294,$B221,$A$7:$A$294,"&gt;="&amp;EDATE($A221,-12*'Seasonal Factors'!$E$4),$A$7:$A$294,"&lt;="&amp;EDATE($A221,12*'Seasonal Factors'!$E$4)),"")</f>
        <v>0.975268960885623</v>
      </c>
      <c r="N221" s="24" t="n">
        <f aca="false">IFERROR(M221/AVERAGE(M216:M227),"")</f>
        <v>0.976321682737544</v>
      </c>
      <c r="O221" s="23" t="n">
        <f aca="false">IF(ISNUMBER(Tabelle1!H228),(0.5*Tabelle1!H216+SUM(Tabelle1!H217:H227)+0.5*Tabelle1!H228)/12,"")</f>
        <v>128.336196666667</v>
      </c>
      <c r="P221" s="24" t="n">
        <f aca="false">IFERROR(Tabelle1!H222/O221,"")</f>
        <v>1.07328293636254</v>
      </c>
      <c r="Q221" s="24" t="n">
        <f aca="false">IFERROR(AVERAGEIFS($P$7:$P$294,$B$7:$B$294,$B221,$A$7:$A$294,"&gt;="&amp;EDATE($A221,-12*'Seasonal Factors'!$E$4),$A$7:$A$294,"&lt;="&amp;EDATE($A221,12*'Seasonal Factors'!$E$4)),"")</f>
        <v>1.06430847392061</v>
      </c>
      <c r="R221" s="24" t="n">
        <f aca="false">IFERROR(Q221/AVERAGE(Q216:Q227),"")</f>
        <v>1.06465637966125</v>
      </c>
      <c r="S221" s="23" t="n">
        <f aca="false">IF(ISNUMBER(Tabelle1!I228),(0.5*Tabelle1!I216+SUM(Tabelle1!I217:I227)+0.5*Tabelle1!I228)/12,"")</f>
        <v>148.30764625</v>
      </c>
      <c r="T221" s="24" t="n">
        <f aca="false">IFERROR(Tabelle1!I222/S221,"")</f>
        <v>0.940677257899641</v>
      </c>
      <c r="U221" s="24" t="n">
        <f aca="false">IFERROR(AVERAGEIFS($T$7:$T$294,$B$7:$B$294,$B221,$A$7:$A$294,"&gt;="&amp;EDATE($A221,-12*'Seasonal Factors'!$E$4),$A$7:$A$294,"&lt;="&amp;EDATE($A221,12*'Seasonal Factors'!$E$4)),"")</f>
        <v>0.944996976728527</v>
      </c>
      <c r="V221" s="24" t="n">
        <f aca="false">IFERROR(U221/AVERAGE(U216:U227),"")</f>
        <v>0.945704128868565</v>
      </c>
      <c r="W221" s="23" t="n">
        <f aca="false">IF(ISNUMBER(Tabelle1!J228),(0.5*Tabelle1!J216+SUM(Tabelle1!J217:J227)+0.5*Tabelle1!J228)/12,"")</f>
        <v>145.422175416667</v>
      </c>
      <c r="X221" s="24" t="n">
        <f aca="false">IFERROR(Tabelle1!J222/W221,"")</f>
        <v>0.995935658265508</v>
      </c>
      <c r="Y221" s="24" t="n">
        <f aca="false">IFERROR(AVERAGEIFS($X$7:$X$294,$B$7:$B$294,$B221,$A$7:$A$294,"&gt;="&amp;EDATE($A221,-12*'Seasonal Factors'!$E$4),$A$7:$A$294,"&lt;="&amp;EDATE($A221,12*'Seasonal Factors'!$E$4)),"")</f>
        <v>1.01366675540217</v>
      </c>
      <c r="Z221" s="24" t="n">
        <f aca="false">IFERROR(Y221/AVERAGE(Y216:Y227),"")</f>
        <v>1.01584729090839</v>
      </c>
      <c r="AA221" s="23" t="n">
        <f aca="false">IF(ISNUMBER(Tabelle1!K228),(0.5*Tabelle1!K216+SUM(Tabelle1!K217:K227)+0.5*Tabelle1!K228)/12,"")</f>
        <v>153.770379166667</v>
      </c>
      <c r="AB221" s="24" t="n">
        <f aca="false">IFERROR(Tabelle1!K222/AA221,"")</f>
        <v>1.03162618743407</v>
      </c>
      <c r="AC221" s="24" t="n">
        <f aca="false">IFERROR(AVERAGEIFS($AB$7:$AB$294,$B$7:$B$294,$B221,$A$7:$A$294,"&gt;="&amp;EDATE($A221,-12*'Seasonal Factors'!$E$4),$A$7:$A$294,"&lt;="&amp;EDATE($A221,12*'Seasonal Factors'!$E$4)),"")</f>
        <v>1.03783172027281</v>
      </c>
      <c r="AD221" s="24" t="n">
        <f aca="false">IFERROR(AC221/AVERAGE(AC216:AC227),"")</f>
        <v>1.03824078768512</v>
      </c>
      <c r="AE221" s="23" t="n">
        <f aca="false">IF(ISNUMBER(Tabelle1!L228),(0.5*Tabelle1!L216+SUM(Tabelle1!L217:L227)+0.5*Tabelle1!L228)/12,"")</f>
        <v>123.287535</v>
      </c>
      <c r="AF221" s="24" t="n">
        <f aca="false">IFERROR(Tabelle1!L222/AE221,"")</f>
        <v>0.966720277114795</v>
      </c>
      <c r="AG221" s="24" t="n">
        <f aca="false">IFERROR(AVERAGEIFS($AF$7:$AF$294,$B$7:$B$294,$B221,$A$7:$A$294,"&gt;="&amp;EDATE($A221,-12*'Seasonal Factors'!$E$4),$A$7:$A$294,"&lt;="&amp;EDATE($A221,12*'Seasonal Factors'!$E$4)),"")</f>
        <v>1.05539559347657</v>
      </c>
      <c r="AH221" s="24" t="n">
        <f aca="false">IFERROR(AG221/AVERAGE(AG216:AG227),"")</f>
        <v>1.06050694204617</v>
      </c>
      <c r="AI221" s="23" t="n">
        <f aca="false">IF(ISNUMBER(Tabelle1!M228),(0.5*Tabelle1!M216+SUM(Tabelle1!M217:M227)+0.5*Tabelle1!M228)/12,"")</f>
        <v>175.732821666667</v>
      </c>
      <c r="AJ221" s="24" t="n">
        <f aca="false">IFERROR(Tabelle1!M222/AI221,"")</f>
        <v>0.993962188414187</v>
      </c>
      <c r="AK221" s="24" t="n">
        <f aca="false">IFERROR(AVERAGEIFS($AJ$7:$AJ$294,$B$7:$B$294,$B221,$A$7:$A$294,"&gt;="&amp;EDATE($A221,-12*'Seasonal Factors'!$E$4),$A$7:$A$294,"&lt;="&amp;EDATE($A221,12*'Seasonal Factors'!$E$4)),"")</f>
        <v>0.991185800730504</v>
      </c>
      <c r="AL221" s="24" t="n">
        <f aca="false">IFERROR(AK221/AVERAGE(AK216:AK227),"")</f>
        <v>0.991550367720159</v>
      </c>
      <c r="AM221" s="23" t="n">
        <f aca="false">IF(ISNUMBER(Tabelle1!N228),(0.5*Tabelle1!N216+SUM(Tabelle1!N217:N227)+0.5*Tabelle1!N228)/12,"")</f>
        <v>168.60066625</v>
      </c>
      <c r="AN221" s="24" t="n">
        <f aca="false">IFERROR(Tabelle1!N222/AM221,"")</f>
        <v>1.02098125605717</v>
      </c>
      <c r="AO221" s="24" t="n">
        <f aca="false">IFERROR(AVERAGEIFS($AN$7:$AN$294,$B$7:$B$294,$B221,$A$7:$A$294,"&gt;="&amp;EDATE($A221,-12*'Seasonal Factors'!$E$4),$A$7:$A$294,"&lt;="&amp;EDATE($A221,12*'Seasonal Factors'!$E$4)),"")</f>
        <v>0.995598122934792</v>
      </c>
      <c r="AP221" s="24" t="n">
        <f aca="false">IFERROR(AO221/AVERAGE(AO216:AO227),"")</f>
        <v>0.995422583615474</v>
      </c>
      <c r="AQ221" s="23" t="n">
        <f aca="false">IF(ISNUMBER(Tabelle1!O228),(0.5*Tabelle1!O216+SUM(Tabelle1!O217:O227)+0.5*Tabelle1!O228)/12,"")</f>
        <v>147.12082875</v>
      </c>
      <c r="AR221" s="24" t="n">
        <f aca="false">IFERROR(Tabelle1!O222/AQ221,"")</f>
        <v>1.01478343527887</v>
      </c>
      <c r="AS221" s="24" t="n">
        <f aca="false">IFERROR(AVERAGEIFS($AR$7:$AR$294,$B$7:$B$294,$B221,$A$7:$A$294,"&gt;="&amp;EDATE($A221,-12*'Seasonal Factors'!$E$4),$A$7:$A$294,"&lt;="&amp;EDATE($A221,12*'Seasonal Factors'!$E$4)),"")</f>
        <v>1.01210615001631</v>
      </c>
      <c r="AT221" s="24" t="n">
        <f aca="false">IFERROR(AS221/AVERAGE(AS216:AS227),"")</f>
        <v>1.01183107935389</v>
      </c>
      <c r="AU221" s="23" t="n">
        <f aca="false">IF(ISNUMBER(Tabelle1!P228),(0.5*Tabelle1!P216+SUM(Tabelle1!P217:P227)+0.5*Tabelle1!P228)/12,"")</f>
        <v>156.951362083333</v>
      </c>
      <c r="AV221" s="24" t="n">
        <f aca="false">IFERROR(Tabelle1!P222/AU221,"")</f>
        <v>1.02265579520602</v>
      </c>
      <c r="AW221" s="24" t="n">
        <f aca="false">IFERROR(AVERAGEIFS($AV$7:$AV$294,$B$7:$B$294,$B221,$A$7:$A$294,"&gt;="&amp;EDATE($A221,-12*'Seasonal Factors'!$E$4),$A$7:$A$294,"&lt;="&amp;EDATE($A221,12*'Seasonal Factors'!$E$4)),"")</f>
        <v>1.00677256196597</v>
      </c>
      <c r="AX221" s="24" t="n">
        <f aca="false">IFERROR(AW221/AVERAGE(AW216:AW227),"")</f>
        <v>1.00671834162331</v>
      </c>
      <c r="AY221" s="23" t="n">
        <f aca="false">IF(ISNUMBER(Tabelle1!Q228),(0.5*Tabelle1!Q216+SUM(Tabelle1!Q217:Q227)+0.5*Tabelle1!Q228)/12,"")</f>
        <v>162.562869583333</v>
      </c>
      <c r="AZ221" s="24" t="n">
        <f aca="false">IFERROR(Tabelle1!Q222/AY221,"")</f>
        <v>1.0136711441079</v>
      </c>
      <c r="BA221" s="24" t="n">
        <f aca="false">IFERROR(AVERAGEIFS($AZ$7:$AZ$294,$B$7:$B$294,$B221,$A$7:$A$294,"&gt;="&amp;EDATE($A221,-12*'Seasonal Factors'!$E$4),$A$7:$A$294,"&lt;="&amp;EDATE($A221,12*'Seasonal Factors'!$E$4)),"")</f>
        <v>1.01213601958273</v>
      </c>
      <c r="BB221" s="24" t="n">
        <f aca="false">IFERROR(BA221/AVERAGE(BA216:BA227),"")</f>
        <v>1.01195014369059</v>
      </c>
      <c r="BC221" s="23" t="n">
        <f aca="false">IF(ISNUMBER(Tabelle1!R228),(0.5*Tabelle1!R216+SUM(Tabelle1!R217:R227)+0.5*Tabelle1!R228)/12,"")</f>
        <v>182.533304583333</v>
      </c>
      <c r="BD221" s="24" t="n">
        <f aca="false">IFERROR(Tabelle1!R222/BC221,"")</f>
        <v>0.953831085222665</v>
      </c>
      <c r="BE221" s="24" t="n">
        <f aca="false">IFERROR(AVERAGEIFS($BD$7:$BD$294,$B$7:$B$294,$B221,$A$7:$A$294,"&gt;="&amp;EDATE($A221,-12*'Seasonal Factors'!$E$4),$A$7:$A$294,"&lt;="&amp;EDATE($A221,12*'Seasonal Factors'!$E$4)),"")</f>
        <v>0.963216607840672</v>
      </c>
      <c r="BF221" s="24" t="n">
        <f aca="false">IFERROR(BE221/AVERAGE(BE216:BE227),"")</f>
        <v>0.963478990364756</v>
      </c>
      <c r="BG221" s="23" t="n">
        <f aca="false">IF(ISNUMBER(Tabelle1!S228),(0.5*Tabelle1!S216+SUM(Tabelle1!S217:S227)+0.5*Tabelle1!S228)/12,"")</f>
        <v>123.78036625</v>
      </c>
      <c r="BH221" s="24" t="n">
        <f aca="false">IFERROR(Tabelle1!S222/BG221,"")</f>
        <v>0.979982477633039</v>
      </c>
      <c r="BI221" s="24" t="n">
        <f aca="false">IFERROR(AVERAGEIFS($BH$7:$BH$294,$B$7:$B$294,$B221,$A$7:$A$294,"&gt;="&amp;EDATE($A221,-12*'Seasonal Factors'!$E$4),$A$7:$A$294,"&lt;="&amp;EDATE($A221,12*'Seasonal Factors'!$E$4)),"")</f>
        <v>0.991103842656004</v>
      </c>
      <c r="BJ221" s="24" t="n">
        <f aca="false">IFERROR(BI221/AVERAGE(BI216:BI227),"")</f>
        <v>0.994227333065995</v>
      </c>
    </row>
    <row r="222" customFormat="false" ht="15" hidden="false" customHeight="false" outlineLevel="0" collapsed="false">
      <c r="A222" s="20" t="n">
        <v>44561</v>
      </c>
      <c r="B222" s="22" t="n">
        <f aca="false">MONTH(A222)</f>
        <v>12</v>
      </c>
      <c r="C222" s="23" t="n">
        <f aca="false">IF(ISNUMBER(Tabelle1!E229),(0.5*Tabelle1!E217+SUM(Tabelle1!E218:E228)+0.5*Tabelle1!E229)/12,"")</f>
        <v>130.400012083333</v>
      </c>
      <c r="D222" s="24" t="n">
        <f aca="false">IFERROR(Tabelle1!E223/C222,"")</f>
        <v>0.992650291453034</v>
      </c>
      <c r="E222" s="24" t="n">
        <f aca="false">IFERROR(AVERAGEIFS($D$7:$D$294,$B$7:$B$294,$B222,$A$7:$A$294,"&gt;="&amp;EDATE($A222,-12*'Seasonal Factors'!$E$4),$A$7:$A$294,"&lt;="&amp;EDATE($A222,12*'Seasonal Factors'!$E$4)),"")</f>
        <v>0.86640030030804</v>
      </c>
      <c r="F222" s="24" t="n">
        <f aca="false">IFERROR(E222/AVERAGE(E217:E228),"")</f>
        <v>0.87188879652264</v>
      </c>
      <c r="G222" s="23" t="n">
        <f aca="false">IF(ISNUMBER(Tabelle1!F229),(0.5*Tabelle1!F217+SUM(Tabelle1!F218:F228)+0.5*Tabelle1!F229)/12,"")</f>
        <v>172.673177916667</v>
      </c>
      <c r="H222" s="24" t="n">
        <f aca="false">IFERROR(Tabelle1!F223/G222,"")</f>
        <v>0.616087636096792</v>
      </c>
      <c r="I222" s="24" t="n">
        <f aca="false">IFERROR(AVERAGEIFS($H$7:$H$294,$B$7:$B$294,$B222,$A$7:$A$294,"&gt;="&amp;EDATE($A222,-12*'Seasonal Factors'!$E$4),$A$7:$A$294,"&lt;="&amp;EDATE($A222,12*'Seasonal Factors'!$E$4)),"")</f>
        <v>0.624905549551423</v>
      </c>
      <c r="J222" s="24" t="n">
        <f aca="false">IFERROR(I222/AVERAGE(I217:I228),"")</f>
        <v>0.627843143708689</v>
      </c>
      <c r="K222" s="23" t="n">
        <f aca="false">IF(ISNUMBER(Tabelle1!G229),(0.5*Tabelle1!G217+SUM(Tabelle1!G218:G228)+0.5*Tabelle1!G229)/12,"")</f>
        <v>92.3967225</v>
      </c>
      <c r="L222" s="24" t="n">
        <f aca="false">IFERROR(Tabelle1!G223/K222,"")</f>
        <v>1.0008979485176</v>
      </c>
      <c r="M222" s="24" t="n">
        <f aca="false">IFERROR(AVERAGEIFS($L$7:$L$294,$B$7:$B$294,$B222,$A$7:$A$294,"&gt;="&amp;EDATE($A222,-12*'Seasonal Factors'!$E$4),$A$7:$A$294,"&lt;="&amp;EDATE($A222,12*'Seasonal Factors'!$E$4)),"")</f>
        <v>1.01171607568259</v>
      </c>
      <c r="N222" s="24" t="n">
        <f aca="false">IFERROR(M222/AVERAGE(M217:M228),"")</f>
        <v>1.01253481319483</v>
      </c>
      <c r="O222" s="23" t="n">
        <f aca="false">IF(ISNUMBER(Tabelle1!H229),(0.5*Tabelle1!H217+SUM(Tabelle1!H218:H228)+0.5*Tabelle1!H229)/12,"")</f>
        <v>129.237124583333</v>
      </c>
      <c r="P222" s="24" t="n">
        <f aca="false">IFERROR(Tabelle1!H223/O222,"")</f>
        <v>1.01398549698853</v>
      </c>
      <c r="Q222" s="24" t="n">
        <f aca="false">IFERROR(AVERAGEIFS($P$7:$P$294,$B$7:$B$294,$B222,$A$7:$A$294,"&gt;="&amp;EDATE($A222,-12*'Seasonal Factors'!$E$4),$A$7:$A$294,"&lt;="&amp;EDATE($A222,12*'Seasonal Factors'!$E$4)),"")</f>
        <v>0.989319679927179</v>
      </c>
      <c r="R222" s="24" t="n">
        <f aca="false">IFERROR(Q222/AVERAGE(Q217:Q228),"")</f>
        <v>0.990124222974663</v>
      </c>
      <c r="S222" s="23" t="n">
        <f aca="false">IF(ISNUMBER(Tabelle1!I229),(0.5*Tabelle1!I217+SUM(Tabelle1!I218:I228)+0.5*Tabelle1!I229)/12,"")</f>
        <v>149.054440416667</v>
      </c>
      <c r="T222" s="24" t="n">
        <f aca="false">IFERROR(Tabelle1!I223/S222,"")</f>
        <v>1.03893865601795</v>
      </c>
      <c r="U222" s="24" t="n">
        <f aca="false">IFERROR(AVERAGEIFS($T$7:$T$294,$B$7:$B$294,$B222,$A$7:$A$294,"&gt;="&amp;EDATE($A222,-12*'Seasonal Factors'!$E$4),$A$7:$A$294,"&lt;="&amp;EDATE($A222,12*'Seasonal Factors'!$E$4)),"")</f>
        <v>1.02218075583678</v>
      </c>
      <c r="V222" s="24" t="n">
        <f aca="false">IFERROR(U222/AVERAGE(U217:U228),"")</f>
        <v>1.0229011222305</v>
      </c>
      <c r="W222" s="23" t="n">
        <f aca="false">IF(ISNUMBER(Tabelle1!J229),(0.5*Tabelle1!J217+SUM(Tabelle1!J218:J228)+0.5*Tabelle1!J229)/12,"")</f>
        <v>146.882535</v>
      </c>
      <c r="X222" s="24" t="n">
        <f aca="false">IFERROR(Tabelle1!J223/W222,"")</f>
        <v>0.96435971778401</v>
      </c>
      <c r="Y222" s="24" t="n">
        <f aca="false">IFERROR(AVERAGEIFS($X$7:$X$294,$B$7:$B$294,$B222,$A$7:$A$294,"&gt;="&amp;EDATE($A222,-12*'Seasonal Factors'!$E$4),$A$7:$A$294,"&lt;="&amp;EDATE($A222,12*'Seasonal Factors'!$E$4)),"")</f>
        <v>0.958572095380472</v>
      </c>
      <c r="Z222" s="24" t="n">
        <f aca="false">IFERROR(Y222/AVERAGE(Y217:Y228),"")</f>
        <v>0.960991074807819</v>
      </c>
      <c r="AA222" s="23" t="n">
        <f aca="false">IF(ISNUMBER(Tabelle1!K229),(0.5*Tabelle1!K217+SUM(Tabelle1!K218:K228)+0.5*Tabelle1!K229)/12,"")</f>
        <v>155.147462083333</v>
      </c>
      <c r="AB222" s="24" t="n">
        <f aca="false">IFERROR(Tabelle1!K223/AA222,"")</f>
        <v>0.999754027021642</v>
      </c>
      <c r="AC222" s="24" t="n">
        <f aca="false">IFERROR(AVERAGEIFS($AB$7:$AB$294,$B$7:$B$294,$B222,$A$7:$A$294,"&gt;="&amp;EDATE($A222,-12*'Seasonal Factors'!$E$4),$A$7:$A$294,"&lt;="&amp;EDATE($A222,12*'Seasonal Factors'!$E$4)),"")</f>
        <v>0.958980380197029</v>
      </c>
      <c r="AD222" s="24" t="n">
        <f aca="false">IFERROR(AC222/AVERAGE(AC217:AC228),"")</f>
        <v>0.959733453222359</v>
      </c>
      <c r="AE222" s="23" t="n">
        <f aca="false">IF(ISNUMBER(Tabelle1!L229),(0.5*Tabelle1!L217+SUM(Tabelle1!L218:L228)+0.5*Tabelle1!L229)/12,"")</f>
        <v>128.154204583333</v>
      </c>
      <c r="AF222" s="24" t="n">
        <f aca="false">IFERROR(Tabelle1!L223/AE222,"")</f>
        <v>0.987528426487997</v>
      </c>
      <c r="AG222" s="24" t="n">
        <f aca="false">IFERROR(AVERAGEIFS($AF$7:$AF$294,$B$7:$B$294,$B222,$A$7:$A$294,"&gt;="&amp;EDATE($A222,-12*'Seasonal Factors'!$E$4),$A$7:$A$294,"&lt;="&amp;EDATE($A222,12*'Seasonal Factors'!$E$4)),"")</f>
        <v>1.09012801352459</v>
      </c>
      <c r="AH222" s="24" t="n">
        <f aca="false">IFERROR(AG222/AVERAGE(AG217:AG228),"")</f>
        <v>1.0950343859172</v>
      </c>
      <c r="AI222" s="23" t="n">
        <f aca="false">IF(ISNUMBER(Tabelle1!M229),(0.5*Tabelle1!M217+SUM(Tabelle1!M218:M228)+0.5*Tabelle1!M229)/12,"")</f>
        <v>177.288056666667</v>
      </c>
      <c r="AJ222" s="24" t="n">
        <f aca="false">IFERROR(Tabelle1!M223/AI222,"")</f>
        <v>0.994512057467605</v>
      </c>
      <c r="AK222" s="24" t="n">
        <f aca="false">IFERROR(AVERAGEIFS($AJ$7:$AJ$294,$B$7:$B$294,$B222,$A$7:$A$294,"&gt;="&amp;EDATE($A222,-12*'Seasonal Factors'!$E$4),$A$7:$A$294,"&lt;="&amp;EDATE($A222,12*'Seasonal Factors'!$E$4)),"")</f>
        <v>0.98395984591914</v>
      </c>
      <c r="AL222" s="24" t="n">
        <f aca="false">IFERROR(AK222/AVERAGE(AK217:AK228),"")</f>
        <v>0.984422018538515</v>
      </c>
      <c r="AM222" s="23" t="n">
        <f aca="false">IF(ISNUMBER(Tabelle1!N229),(0.5*Tabelle1!N217+SUM(Tabelle1!N218:N228)+0.5*Tabelle1!N229)/12,"")</f>
        <v>168.881467916667</v>
      </c>
      <c r="AN222" s="24" t="n">
        <f aca="false">IFERROR(Tabelle1!N223/AM222,"")</f>
        <v>1.03613304738886</v>
      </c>
      <c r="AO222" s="24" t="n">
        <f aca="false">IFERROR(AVERAGEIFS($AN$7:$AN$294,$B$7:$B$294,$B222,$A$7:$A$294,"&gt;="&amp;EDATE($A222,-12*'Seasonal Factors'!$E$4),$A$7:$A$294,"&lt;="&amp;EDATE($A222,12*'Seasonal Factors'!$E$4)),"")</f>
        <v>1.0233899488521</v>
      </c>
      <c r="AP222" s="24" t="n">
        <f aca="false">IFERROR(AO222/AVERAGE(AO217:AO228),"")</f>
        <v>1.0233605193421</v>
      </c>
      <c r="AQ222" s="23" t="n">
        <f aca="false">IF(ISNUMBER(Tabelle1!O229),(0.5*Tabelle1!O217+SUM(Tabelle1!O218:O228)+0.5*Tabelle1!O229)/12,"")</f>
        <v>147.93408375</v>
      </c>
      <c r="AR222" s="24" t="n">
        <f aca="false">IFERROR(Tabelle1!O223/AQ222,"")</f>
        <v>1.02189641607862</v>
      </c>
      <c r="AS222" s="24" t="n">
        <f aca="false">IFERROR(AVERAGEIFS($AR$7:$AR$294,$B$7:$B$294,$B222,$A$7:$A$294,"&gt;="&amp;EDATE($A222,-12*'Seasonal Factors'!$E$4),$A$7:$A$294,"&lt;="&amp;EDATE($A222,12*'Seasonal Factors'!$E$4)),"")</f>
        <v>1.02543118951553</v>
      </c>
      <c r="AT222" s="24" t="n">
        <f aca="false">IFERROR(AS222/AVERAGE(AS217:AS228),"")</f>
        <v>1.02532151581462</v>
      </c>
      <c r="AU222" s="23" t="n">
        <f aca="false">IF(ISNUMBER(Tabelle1!P229),(0.5*Tabelle1!P217+SUM(Tabelle1!P218:P228)+0.5*Tabelle1!P229)/12,"")</f>
        <v>158.113089583333</v>
      </c>
      <c r="AV222" s="24" t="n">
        <f aca="false">IFERROR(Tabelle1!P223/AU222,"")</f>
        <v>1.01972341711167</v>
      </c>
      <c r="AW222" s="24" t="n">
        <f aca="false">IFERROR(AVERAGEIFS($AV$7:$AV$294,$B$7:$B$294,$B222,$A$7:$A$294,"&gt;="&amp;EDATE($A222,-12*'Seasonal Factors'!$E$4),$A$7:$A$294,"&lt;="&amp;EDATE($A222,12*'Seasonal Factors'!$E$4)),"")</f>
        <v>1.0102353480701</v>
      </c>
      <c r="AX222" s="24" t="n">
        <f aca="false">IFERROR(AW222/AVERAGE(AW217:AW228),"")</f>
        <v>1.01028544488623</v>
      </c>
      <c r="AY222" s="23" t="n">
        <f aca="false">IF(ISNUMBER(Tabelle1!Q229),(0.5*Tabelle1!Q217+SUM(Tabelle1!Q218:Q228)+0.5*Tabelle1!Q229)/12,"")</f>
        <v>163.319035416667</v>
      </c>
      <c r="AZ222" s="24" t="n">
        <f aca="false">IFERROR(Tabelle1!Q223/AY222,"")</f>
        <v>1.01912284489904</v>
      </c>
      <c r="BA222" s="24" t="n">
        <f aca="false">IFERROR(AVERAGEIFS($AZ$7:$AZ$294,$B$7:$B$294,$B222,$A$7:$A$294,"&gt;="&amp;EDATE($A222,-12*'Seasonal Factors'!$E$4),$A$7:$A$294,"&lt;="&amp;EDATE($A222,12*'Seasonal Factors'!$E$4)),"")</f>
        <v>1.01578083249681</v>
      </c>
      <c r="BB222" s="24" t="n">
        <f aca="false">IFERROR(BA222/AVERAGE(BA217:BA228),"")</f>
        <v>1.01565789545584</v>
      </c>
      <c r="BC222" s="23" t="n">
        <f aca="false">IF(ISNUMBER(Tabelle1!R229),(0.5*Tabelle1!R217+SUM(Tabelle1!R218:R228)+0.5*Tabelle1!R229)/12,"")</f>
        <v>182.654646666667</v>
      </c>
      <c r="BD222" s="24" t="n">
        <f aca="false">IFERROR(Tabelle1!R223/BC222,"")</f>
        <v>0.916571699955292</v>
      </c>
      <c r="BE222" s="24" t="n">
        <f aca="false">IFERROR(AVERAGEIFS($BD$7:$BD$294,$B$7:$B$294,$B222,$A$7:$A$294,"&gt;="&amp;EDATE($A222,-12*'Seasonal Factors'!$E$4),$A$7:$A$294,"&lt;="&amp;EDATE($A222,12*'Seasonal Factors'!$E$4)),"")</f>
        <v>0.927299729178151</v>
      </c>
      <c r="BF222" s="24" t="n">
        <f aca="false">IFERROR(BE222/AVERAGE(BE217:BE228),"")</f>
        <v>0.927642966973957</v>
      </c>
      <c r="BG222" s="23" t="n">
        <f aca="false">IF(ISNUMBER(Tabelle1!S229),(0.5*Tabelle1!S217+SUM(Tabelle1!S218:S228)+0.5*Tabelle1!S229)/12,"")</f>
        <v>124.697258333333</v>
      </c>
      <c r="BH222" s="24" t="n">
        <f aca="false">IFERROR(Tabelle1!S223/BG222,"")</f>
        <v>1.01127901034445</v>
      </c>
      <c r="BI222" s="24" t="n">
        <f aca="false">IFERROR(AVERAGEIFS($BH$7:$BH$294,$B$7:$B$294,$B222,$A$7:$A$294,"&gt;="&amp;EDATE($A222,-12*'Seasonal Factors'!$E$4),$A$7:$A$294,"&lt;="&amp;EDATE($A222,12*'Seasonal Factors'!$E$4)),"")</f>
        <v>1.00735926565857</v>
      </c>
      <c r="BJ222" s="24" t="n">
        <f aca="false">IFERROR(BI222/AVERAGE(BI217:BI228),"")</f>
        <v>1.01081201684175</v>
      </c>
    </row>
    <row r="223" customFormat="false" ht="15" hidden="false" customHeight="false" outlineLevel="0" collapsed="false">
      <c r="A223" s="20" t="n">
        <v>44592</v>
      </c>
      <c r="B223" s="22" t="n">
        <f aca="false">MONTH(A223)</f>
        <v>1</v>
      </c>
      <c r="C223" s="23" t="n">
        <f aca="false">IF(ISNUMBER(Tabelle1!E230),(0.5*Tabelle1!E218+SUM(Tabelle1!E219:E229)+0.5*Tabelle1!E230)/12,"")</f>
        <v>130.003267083333</v>
      </c>
      <c r="D223" s="24" t="n">
        <f aca="false">IFERROR(Tabelle1!E224/C223,"")</f>
        <v>0.791960173847041</v>
      </c>
      <c r="E223" s="24" t="n">
        <f aca="false">IFERROR(AVERAGEIFS($D$7:$D$294,$B$7:$B$294,$B223,$A$7:$A$294,"&gt;="&amp;EDATE($A223,-12*'Seasonal Factors'!$E$4),$A$7:$A$294,"&lt;="&amp;EDATE($A223,12*'Seasonal Factors'!$E$4)),"")</f>
        <v>0.700946087637297</v>
      </c>
      <c r="F223" s="24" t="n">
        <f aca="false">IFERROR(E223/AVERAGE(E218:E229),"")</f>
        <v>0.704877336510132</v>
      </c>
      <c r="G223" s="23" t="n">
        <f aca="false">IF(ISNUMBER(Tabelle1!F230),(0.5*Tabelle1!F218+SUM(Tabelle1!F219:F229)+0.5*Tabelle1!F230)/12,"")</f>
        <v>172.822436666667</v>
      </c>
      <c r="H223" s="24" t="n">
        <f aca="false">IFERROR(Tabelle1!F224/G223,"")</f>
        <v>0.647156423420408</v>
      </c>
      <c r="I223" s="24" t="n">
        <f aca="false">IFERROR(AVERAGEIFS($H$7:$H$294,$B$7:$B$294,$B223,$A$7:$A$294,"&gt;="&amp;EDATE($A223,-12*'Seasonal Factors'!$E$4),$A$7:$A$294,"&lt;="&amp;EDATE($A223,12*'Seasonal Factors'!$E$4)),"")</f>
        <v>0.829354178250039</v>
      </c>
      <c r="J223" s="24" t="n">
        <f aca="false">IFERROR(I223/AVERAGE(I218:I229),"")</f>
        <v>0.833261919253667</v>
      </c>
      <c r="K223" s="23" t="n">
        <f aca="false">IF(ISNUMBER(Tabelle1!G230),(0.5*Tabelle1!G218+SUM(Tabelle1!G219:G229)+0.5*Tabelle1!G230)/12,"")</f>
        <v>93.2327704166667</v>
      </c>
      <c r="L223" s="24" t="n">
        <f aca="false">IFERROR(Tabelle1!G224/K223,"")</f>
        <v>1.00320026512137</v>
      </c>
      <c r="M223" s="24" t="n">
        <f aca="false">IFERROR(AVERAGEIFS($L$7:$L$294,$B$7:$B$294,$B223,$A$7:$A$294,"&gt;="&amp;EDATE($A223,-12*'Seasonal Factors'!$E$4),$A$7:$A$294,"&lt;="&amp;EDATE($A223,12*'Seasonal Factors'!$E$4)),"")</f>
        <v>1.01363306097238</v>
      </c>
      <c r="N223" s="24" t="n">
        <f aca="false">IFERROR(M223/AVERAGE(M218:M229),"")</f>
        <v>1.01438676112772</v>
      </c>
      <c r="O223" s="23" t="n">
        <f aca="false">IF(ISNUMBER(Tabelle1!H230),(0.5*Tabelle1!H218+SUM(Tabelle1!H219:H229)+0.5*Tabelle1!H230)/12,"")</f>
        <v>129.910912083333</v>
      </c>
      <c r="P223" s="24" t="n">
        <f aca="false">IFERROR(Tabelle1!H224/O223,"")</f>
        <v>0.812600406748613</v>
      </c>
      <c r="Q223" s="24" t="n">
        <f aca="false">IFERROR(AVERAGEIFS($P$7:$P$294,$B$7:$B$294,$B223,$A$7:$A$294,"&gt;="&amp;EDATE($A223,-12*'Seasonal Factors'!$E$4),$A$7:$A$294,"&lt;="&amp;EDATE($A223,12*'Seasonal Factors'!$E$4)),"")</f>
        <v>0.871337053237571</v>
      </c>
      <c r="R223" s="24" t="n">
        <f aca="false">IFERROR(Q223/AVERAGE(Q218:Q229),"")</f>
        <v>0.871843683521043</v>
      </c>
      <c r="S223" s="23" t="n">
        <f aca="false">IF(ISNUMBER(Tabelle1!I230),(0.5*Tabelle1!I218+SUM(Tabelle1!I219:I229)+0.5*Tabelle1!I230)/12,"")</f>
        <v>149.24079625</v>
      </c>
      <c r="T223" s="24" t="n">
        <f aca="false">IFERROR(Tabelle1!I224/S223,"")</f>
        <v>1.09920520475647</v>
      </c>
      <c r="U223" s="24" t="n">
        <f aca="false">IFERROR(AVERAGEIFS($T$7:$T$294,$B$7:$B$294,$B223,$A$7:$A$294,"&gt;="&amp;EDATE($A223,-12*'Seasonal Factors'!$E$4),$A$7:$A$294,"&lt;="&amp;EDATE($A223,12*'Seasonal Factors'!$E$4)),"")</f>
        <v>1.07997032558204</v>
      </c>
      <c r="V223" s="24" t="n">
        <f aca="false">IFERROR(U223/AVERAGE(U218:U229),"")</f>
        <v>1.08035873657636</v>
      </c>
      <c r="W223" s="23" t="n">
        <f aca="false">IF(ISNUMBER(Tabelle1!J230),(0.5*Tabelle1!J218+SUM(Tabelle1!J219:J229)+0.5*Tabelle1!J230)/12,"")</f>
        <v>147.85799875</v>
      </c>
      <c r="X223" s="24" t="n">
        <f aca="false">IFERROR(Tabelle1!J224/W223,"")</f>
        <v>0.989458948699588</v>
      </c>
      <c r="Y223" s="24" t="n">
        <f aca="false">IFERROR(AVERAGEIFS($X$7:$X$294,$B$7:$B$294,$B223,$A$7:$A$294,"&gt;="&amp;EDATE($A223,-12*'Seasonal Factors'!$E$4),$A$7:$A$294,"&lt;="&amp;EDATE($A223,12*'Seasonal Factors'!$E$4)),"")</f>
        <v>1.02972049394399</v>
      </c>
      <c r="Z223" s="24" t="n">
        <f aca="false">IFERROR(Y223/AVERAGE(Y218:Y229),"")</f>
        <v>1.03212184469472</v>
      </c>
      <c r="AA223" s="23" t="n">
        <f aca="false">IF(ISNUMBER(Tabelle1!K230),(0.5*Tabelle1!K218+SUM(Tabelle1!K219:K229)+0.5*Tabelle1!K230)/12,"")</f>
        <v>156.236854166667</v>
      </c>
      <c r="AB223" s="24" t="n">
        <f aca="false">IFERROR(Tabelle1!K224/AA223,"")</f>
        <v>0.891325550189623</v>
      </c>
      <c r="AC223" s="24" t="n">
        <f aca="false">IFERROR(AVERAGEIFS($AB$7:$AB$294,$B$7:$B$294,$B223,$A$7:$A$294,"&gt;="&amp;EDATE($A223,-12*'Seasonal Factors'!$E$4),$A$7:$A$294,"&lt;="&amp;EDATE($A223,12*'Seasonal Factors'!$E$4)),"")</f>
        <v>0.919534870091256</v>
      </c>
      <c r="AD223" s="24" t="n">
        <f aca="false">IFERROR(AC223/AVERAGE(AC218:AC229),"")</f>
        <v>0.920173248909565</v>
      </c>
      <c r="AE223" s="23" t="n">
        <f aca="false">IF(ISNUMBER(Tabelle1!L230),(0.5*Tabelle1!L218+SUM(Tabelle1!L219:L229)+0.5*Tabelle1!L230)/12,"")</f>
        <v>132.33048625</v>
      </c>
      <c r="AF223" s="24" t="n">
        <f aca="false">IFERROR(Tabelle1!L224/AE223,"")</f>
        <v>1.26487527359176</v>
      </c>
      <c r="AG223" s="24" t="n">
        <f aca="false">IFERROR(AVERAGEIFS($AF$7:$AF$294,$B$7:$B$294,$B223,$A$7:$A$294,"&gt;="&amp;EDATE($A223,-12*'Seasonal Factors'!$E$4),$A$7:$A$294,"&lt;="&amp;EDATE($A223,12*'Seasonal Factors'!$E$4)),"")</f>
        <v>1.19424830172094</v>
      </c>
      <c r="AH223" s="24" t="n">
        <f aca="false">IFERROR(AG223/AVERAGE(AG218:AG229),"")</f>
        <v>1.20075853732209</v>
      </c>
      <c r="AI223" s="23" t="n">
        <f aca="false">IF(ISNUMBER(Tabelle1!M230),(0.5*Tabelle1!M218+SUM(Tabelle1!M219:M229)+0.5*Tabelle1!M230)/12,"")</f>
        <v>178.705049166667</v>
      </c>
      <c r="AJ223" s="24" t="n">
        <f aca="false">IFERROR(Tabelle1!M224/AI223,"")</f>
        <v>0.957582344751787</v>
      </c>
      <c r="AK223" s="24" t="n">
        <f aca="false">IFERROR(AVERAGEIFS($AJ$7:$AJ$294,$B$7:$B$294,$B223,$A$7:$A$294,"&gt;="&amp;EDATE($A223,-12*'Seasonal Factors'!$E$4),$A$7:$A$294,"&lt;="&amp;EDATE($A223,12*'Seasonal Factors'!$E$4)),"")</f>
        <v>0.990873675693092</v>
      </c>
      <c r="AL223" s="24" t="n">
        <f aca="false">IFERROR(AK223/AVERAGE(AK218:AK229),"")</f>
        <v>0.991430015159029</v>
      </c>
      <c r="AM223" s="23" t="n">
        <f aca="false">IF(ISNUMBER(Tabelle1!N230),(0.5*Tabelle1!N218+SUM(Tabelle1!N219:N229)+0.5*Tabelle1!N230)/12,"")</f>
        <v>169.219667916667</v>
      </c>
      <c r="AN223" s="24" t="n">
        <f aca="false">IFERROR(Tabelle1!N224/AM223,"")</f>
        <v>1.00890027797522</v>
      </c>
      <c r="AO223" s="24" t="n">
        <f aca="false">IFERROR(AVERAGEIFS($AN$7:$AN$294,$B$7:$B$294,$B223,$A$7:$A$294,"&gt;="&amp;EDATE($A223,-12*'Seasonal Factors'!$E$4),$A$7:$A$294,"&lt;="&amp;EDATE($A223,12*'Seasonal Factors'!$E$4)),"")</f>
        <v>1.00528630700488</v>
      </c>
      <c r="AP223" s="24" t="n">
        <f aca="false">IFERROR(AO223/AVERAGE(AO218:AO229),"")</f>
        <v>1.00508676626428</v>
      </c>
      <c r="AQ223" s="23" t="n">
        <f aca="false">IF(ISNUMBER(Tabelle1!O230),(0.5*Tabelle1!O218+SUM(Tabelle1!O219:O229)+0.5*Tabelle1!O230)/12,"")</f>
        <v>148.647578333333</v>
      </c>
      <c r="AR223" s="24" t="n">
        <f aca="false">IFERROR(Tabelle1!O224/AQ223,"")</f>
        <v>0.973265367805577</v>
      </c>
      <c r="AS223" s="24" t="n">
        <f aca="false">IFERROR(AVERAGEIFS($AR$7:$AR$294,$B$7:$B$294,$B223,$A$7:$A$294,"&gt;="&amp;EDATE($A223,-12*'Seasonal Factors'!$E$4),$A$7:$A$294,"&lt;="&amp;EDATE($A223,12*'Seasonal Factors'!$E$4)),"")</f>
        <v>0.980002324119564</v>
      </c>
      <c r="AT223" s="24" t="n">
        <f aca="false">IFERROR(AS223/AVERAGE(AS218:AS229),"")</f>
        <v>0.979974280847491</v>
      </c>
      <c r="AU223" s="23" t="n">
        <f aca="false">IF(ISNUMBER(Tabelle1!P230),(0.5*Tabelle1!P218+SUM(Tabelle1!P219:P229)+0.5*Tabelle1!P230)/12,"")</f>
        <v>159.18371</v>
      </c>
      <c r="AV223" s="24" t="n">
        <f aca="false">IFERROR(Tabelle1!P224/AU223,"")</f>
        <v>1.0135601815035</v>
      </c>
      <c r="AW223" s="24" t="n">
        <f aca="false">IFERROR(AVERAGEIFS($AV$7:$AV$294,$B$7:$B$294,$B223,$A$7:$A$294,"&gt;="&amp;EDATE($A223,-12*'Seasonal Factors'!$E$4),$A$7:$A$294,"&lt;="&amp;EDATE($A223,12*'Seasonal Factors'!$E$4)),"")</f>
        <v>1.00910870024957</v>
      </c>
      <c r="AX223" s="24" t="n">
        <f aca="false">IFERROR(AW223/AVERAGE(AW218:AW229),"")</f>
        <v>1.00919472887872</v>
      </c>
      <c r="AY223" s="23" t="n">
        <f aca="false">IF(ISNUMBER(Tabelle1!Q230),(0.5*Tabelle1!Q218+SUM(Tabelle1!Q219:Q229)+0.5*Tabelle1!Q230)/12,"")</f>
        <v>164.085420833333</v>
      </c>
      <c r="AZ223" s="24" t="n">
        <f aca="false">IFERROR(Tabelle1!Q224/AY223,"")</f>
        <v>0.975972083239876</v>
      </c>
      <c r="BA223" s="24" t="n">
        <f aca="false">IFERROR(AVERAGEIFS($AZ$7:$AZ$294,$B$7:$B$294,$B223,$A$7:$A$294,"&gt;="&amp;EDATE($A223,-12*'Seasonal Factors'!$E$4),$A$7:$A$294,"&lt;="&amp;EDATE($A223,12*'Seasonal Factors'!$E$4)),"")</f>
        <v>0.978046144518169</v>
      </c>
      <c r="BB223" s="24" t="n">
        <f aca="false">IFERROR(BA223/AVERAGE(BA218:BA229),"")</f>
        <v>0.97801644932516</v>
      </c>
      <c r="BC223" s="23" t="n">
        <f aca="false">IF(ISNUMBER(Tabelle1!R230),(0.5*Tabelle1!R218+SUM(Tabelle1!R219:R229)+0.5*Tabelle1!R230)/12,"")</f>
        <v>182.79926125</v>
      </c>
      <c r="BD223" s="24" t="n">
        <f aca="false">IFERROR(Tabelle1!R224/BC223,"")</f>
        <v>1.0025918526517</v>
      </c>
      <c r="BE223" s="24" t="n">
        <f aca="false">IFERROR(AVERAGEIFS($BD$7:$BD$294,$B$7:$B$294,$B223,$A$7:$A$294,"&gt;="&amp;EDATE($A223,-12*'Seasonal Factors'!$E$4),$A$7:$A$294,"&lt;="&amp;EDATE($A223,12*'Seasonal Factors'!$E$4)),"")</f>
        <v>1.01346752292996</v>
      </c>
      <c r="BF223" s="24" t="n">
        <f aca="false">IFERROR(BE223/AVERAGE(BE218:BE229),"")</f>
        <v>1.01384739940858</v>
      </c>
      <c r="BG223" s="23" t="n">
        <f aca="false">IF(ISNUMBER(Tabelle1!S230),(0.5*Tabelle1!S218+SUM(Tabelle1!S219:S229)+0.5*Tabelle1!S230)/12,"")</f>
        <v>125.618245833333</v>
      </c>
      <c r="BH223" s="24" t="n">
        <f aca="false">IFERROR(Tabelle1!S224/BG223,"")</f>
        <v>1.08933482626048</v>
      </c>
      <c r="BI223" s="24" t="n">
        <f aca="false">IFERROR(AVERAGEIFS($BH$7:$BH$294,$B$7:$B$294,$B223,$A$7:$A$294,"&gt;="&amp;EDATE($A223,-12*'Seasonal Factors'!$E$4),$A$7:$A$294,"&lt;="&amp;EDATE($A223,12*'Seasonal Factors'!$E$4)),"")</f>
        <v>1.13722931525347</v>
      </c>
      <c r="BJ223" s="24" t="n">
        <f aca="false">IFERROR(BI223/AVERAGE(BI218:BI229),"")</f>
        <v>1.14211297646716</v>
      </c>
    </row>
    <row r="224" customFormat="false" ht="15" hidden="false" customHeight="false" outlineLevel="0" collapsed="false">
      <c r="A224" s="20" t="n">
        <v>44620</v>
      </c>
      <c r="B224" s="22" t="n">
        <f aca="false">MONTH(A224)</f>
        <v>2</v>
      </c>
      <c r="C224" s="23" t="n">
        <f aca="false">IF(ISNUMBER(Tabelle1!E231),(0.5*Tabelle1!E219+SUM(Tabelle1!E220:E230)+0.5*Tabelle1!E231)/12,"")</f>
        <v>129.613643333333</v>
      </c>
      <c r="D224" s="24" t="n">
        <f aca="false">IFERROR(Tabelle1!E225/C224,"")</f>
        <v>0.60758248880847</v>
      </c>
      <c r="E224" s="24" t="n">
        <f aca="false">IFERROR(AVERAGEIFS($D$7:$D$294,$B$7:$B$294,$B224,$A$7:$A$294,"&gt;="&amp;EDATE($A224,-12*'Seasonal Factors'!$E$4),$A$7:$A$294,"&lt;="&amp;EDATE($A224,12*'Seasonal Factors'!$E$4)),"")</f>
        <v>0.606508905878572</v>
      </c>
      <c r="F224" s="24" t="n">
        <f aca="false">IFERROR(E224/AVERAGE(E219:E230),"")</f>
        <v>0.609462679744758</v>
      </c>
      <c r="G224" s="23" t="n">
        <f aca="false">IF(ISNUMBER(Tabelle1!F231),(0.5*Tabelle1!F219+SUM(Tabelle1!F220:F230)+0.5*Tabelle1!F231)/12,"")</f>
        <v>173.112741666667</v>
      </c>
      <c r="H224" s="24" t="n">
        <f aca="false">IFERROR(Tabelle1!F225/G224,"")</f>
        <v>0.92556081347565</v>
      </c>
      <c r="I224" s="24" t="n">
        <f aca="false">IFERROR(AVERAGEIFS($H$7:$H$294,$B$7:$B$294,$B224,$A$7:$A$294,"&gt;="&amp;EDATE($A224,-12*'Seasonal Factors'!$E$4),$A$7:$A$294,"&lt;="&amp;EDATE($A224,12*'Seasonal Factors'!$E$4)),"")</f>
        <v>1.02950956877182</v>
      </c>
      <c r="J224" s="24" t="n">
        <f aca="false">IFERROR(I224/AVERAGE(I219:I230),"")</f>
        <v>1.03197803813479</v>
      </c>
      <c r="K224" s="23" t="n">
        <f aca="false">IF(ISNUMBER(Tabelle1!G231),(0.5*Tabelle1!G219+SUM(Tabelle1!G220:G230)+0.5*Tabelle1!G231)/12,"")</f>
        <v>94.149385</v>
      </c>
      <c r="L224" s="24" t="n">
        <f aca="false">IFERROR(Tabelle1!G225/K224,"")</f>
        <v>0.898827007738819</v>
      </c>
      <c r="M224" s="24" t="n">
        <f aca="false">IFERROR(AVERAGEIFS($L$7:$L$294,$B$7:$B$294,$B224,$A$7:$A$294,"&gt;="&amp;EDATE($A224,-12*'Seasonal Factors'!$E$4),$A$7:$A$294,"&lt;="&amp;EDATE($A224,12*'Seasonal Factors'!$E$4)),"")</f>
        <v>0.937526793629066</v>
      </c>
      <c r="N224" s="24" t="n">
        <f aca="false">IFERROR(M224/AVERAGE(M219:M230),"")</f>
        <v>0.938256295281013</v>
      </c>
      <c r="O224" s="23" t="n">
        <f aca="false">IF(ISNUMBER(Tabelle1!H231),(0.5*Tabelle1!H219+SUM(Tabelle1!H220:H230)+0.5*Tabelle1!H231)/12,"")</f>
        <v>130.691241666667</v>
      </c>
      <c r="P224" s="24" t="n">
        <f aca="false">IFERROR(Tabelle1!H225/O224,"")</f>
        <v>0.874671466444226</v>
      </c>
      <c r="Q224" s="24" t="n">
        <f aca="false">IFERROR(AVERAGEIFS($P$7:$P$294,$B$7:$B$294,$B224,$A$7:$A$294,"&gt;="&amp;EDATE($A224,-12*'Seasonal Factors'!$E$4),$A$7:$A$294,"&lt;="&amp;EDATE($A224,12*'Seasonal Factors'!$E$4)),"")</f>
        <v>0.876045148103988</v>
      </c>
      <c r="R224" s="24" t="n">
        <f aca="false">IFERROR(Q224/AVERAGE(Q219:Q230),"")</f>
        <v>0.876620541445129</v>
      </c>
      <c r="S224" s="23" t="n">
        <f aca="false">IF(ISNUMBER(Tabelle1!I231),(0.5*Tabelle1!I219+SUM(Tabelle1!I220:I230)+0.5*Tabelle1!I231)/12,"")</f>
        <v>148.744336666667</v>
      </c>
      <c r="T224" s="24" t="n">
        <f aca="false">IFERROR(Tabelle1!I225/S224,"")</f>
        <v>0.917288369141494</v>
      </c>
      <c r="U224" s="24" t="n">
        <f aca="false">IFERROR(AVERAGEIFS($T$7:$T$294,$B$7:$B$294,$B224,$A$7:$A$294,"&gt;="&amp;EDATE($A224,-12*'Seasonal Factors'!$E$4),$A$7:$A$294,"&lt;="&amp;EDATE($A224,12*'Seasonal Factors'!$E$4)),"")</f>
        <v>0.983075505679721</v>
      </c>
      <c r="V224" s="24" t="n">
        <f aca="false">IFERROR(U224/AVERAGE(U219:U230),"")</f>
        <v>0.983275269509887</v>
      </c>
      <c r="W224" s="23" t="n">
        <f aca="false">IF(ISNUMBER(Tabelle1!J231),(0.5*Tabelle1!J219+SUM(Tabelle1!J220:J230)+0.5*Tabelle1!J231)/12,"")</f>
        <v>148.723472916667</v>
      </c>
      <c r="X224" s="24" t="n">
        <f aca="false">IFERROR(Tabelle1!J225/W224,"")</f>
        <v>1.01418200531476</v>
      </c>
      <c r="Y224" s="24" t="n">
        <f aca="false">IFERROR(AVERAGEIFS($X$7:$X$294,$B$7:$B$294,$B224,$A$7:$A$294,"&gt;="&amp;EDATE($A224,-12*'Seasonal Factors'!$E$4),$A$7:$A$294,"&lt;="&amp;EDATE($A224,12*'Seasonal Factors'!$E$4)),"")</f>
        <v>1.01590389629254</v>
      </c>
      <c r="Z224" s="24" t="n">
        <f aca="false">IFERROR(Y224/AVERAGE(Y219:Y230),"")</f>
        <v>1.01821540314892</v>
      </c>
      <c r="AA224" s="23" t="n">
        <f aca="false">IF(ISNUMBER(Tabelle1!K231),(0.5*Tabelle1!K219+SUM(Tabelle1!K220:K230)+0.5*Tabelle1!K231)/12,"")</f>
        <v>157.237348333333</v>
      </c>
      <c r="AB224" s="24" t="n">
        <f aca="false">IFERROR(Tabelle1!K225/AA224,"")</f>
        <v>0.924201924926467</v>
      </c>
      <c r="AC224" s="24" t="n">
        <f aca="false">IFERROR(AVERAGEIFS($AB$7:$AB$294,$B$7:$B$294,$B224,$A$7:$A$294,"&gt;="&amp;EDATE($A224,-12*'Seasonal Factors'!$E$4),$A$7:$A$294,"&lt;="&amp;EDATE($A224,12*'Seasonal Factors'!$E$4)),"")</f>
        <v>0.944101611864939</v>
      </c>
      <c r="AD224" s="24" t="n">
        <f aca="false">IFERROR(AC224/AVERAGE(AC219:AC230),"")</f>
        <v>0.944815079397652</v>
      </c>
      <c r="AE224" s="23" t="n">
        <f aca="false">IF(ISNUMBER(Tabelle1!L231),(0.5*Tabelle1!L219+SUM(Tabelle1!L220:L230)+0.5*Tabelle1!L231)/12,"")</f>
        <v>134.751839583333</v>
      </c>
      <c r="AF224" s="24" t="n">
        <f aca="false">IFERROR(Tabelle1!L225/AE224,"")</f>
        <v>1.22169033468513</v>
      </c>
      <c r="AG224" s="24" t="n">
        <f aca="false">IFERROR(AVERAGEIFS($AF$7:$AF$294,$B$7:$B$294,$B224,$A$7:$A$294,"&gt;="&amp;EDATE($A224,-12*'Seasonal Factors'!$E$4),$A$7:$A$294,"&lt;="&amp;EDATE($A224,12*'Seasonal Factors'!$E$4)),"")</f>
        <v>1.15394872364686</v>
      </c>
      <c r="AH224" s="24" t="n">
        <f aca="false">IFERROR(AG224/AVERAGE(AG219:AG230),"")</f>
        <v>1.16037745792247</v>
      </c>
      <c r="AI224" s="23" t="n">
        <f aca="false">IF(ISNUMBER(Tabelle1!M231),(0.5*Tabelle1!M219+SUM(Tabelle1!M220:M230)+0.5*Tabelle1!M231)/12,"")</f>
        <v>179.917977916667</v>
      </c>
      <c r="AJ224" s="24" t="n">
        <f aca="false">IFERROR(Tabelle1!M225/AI224,"")</f>
        <v>0.957293606755488</v>
      </c>
      <c r="AK224" s="24" t="n">
        <f aca="false">IFERROR(AVERAGEIFS($AJ$7:$AJ$294,$B$7:$B$294,$B224,$A$7:$A$294,"&gt;="&amp;EDATE($A224,-12*'Seasonal Factors'!$E$4),$A$7:$A$294,"&lt;="&amp;EDATE($A224,12*'Seasonal Factors'!$E$4)),"")</f>
        <v>0.961799871658131</v>
      </c>
      <c r="AL224" s="24" t="n">
        <f aca="false">IFERROR(AK224/AVERAGE(AK219:AK230),"")</f>
        <v>0.962397290080862</v>
      </c>
      <c r="AM224" s="23" t="n">
        <f aca="false">IF(ISNUMBER(Tabelle1!N231),(0.5*Tabelle1!N219+SUM(Tabelle1!N220:N230)+0.5*Tabelle1!N231)/12,"")</f>
        <v>169.385925416667</v>
      </c>
      <c r="AN224" s="24" t="n">
        <f aca="false">IFERROR(Tabelle1!N225/AM224,"")</f>
        <v>0.954487863158032</v>
      </c>
      <c r="AO224" s="24" t="n">
        <f aca="false">IFERROR(AVERAGEIFS($AN$7:$AN$294,$B$7:$B$294,$B224,$A$7:$A$294,"&gt;="&amp;EDATE($A224,-12*'Seasonal Factors'!$E$4),$A$7:$A$294,"&lt;="&amp;EDATE($A224,12*'Seasonal Factors'!$E$4)),"")</f>
        <v>0.952695792856476</v>
      </c>
      <c r="AP224" s="24" t="n">
        <f aca="false">IFERROR(AO224/AVERAGE(AO219:AO230),"")</f>
        <v>0.95239767288439</v>
      </c>
      <c r="AQ224" s="23" t="n">
        <f aca="false">IF(ISNUMBER(Tabelle1!O231),(0.5*Tabelle1!O219+SUM(Tabelle1!O220:O230)+0.5*Tabelle1!O231)/12,"")</f>
        <v>149.409244166667</v>
      </c>
      <c r="AR224" s="24" t="n">
        <f aca="false">IFERROR(Tabelle1!O225/AQ224,"")</f>
        <v>0.976131234807074</v>
      </c>
      <c r="AS224" s="24" t="n">
        <f aca="false">IFERROR(AVERAGEIFS($AR$7:$AR$294,$B$7:$B$294,$B224,$A$7:$A$294,"&gt;="&amp;EDATE($A224,-12*'Seasonal Factors'!$E$4),$A$7:$A$294,"&lt;="&amp;EDATE($A224,12*'Seasonal Factors'!$E$4)),"")</f>
        <v>0.978010027060022</v>
      </c>
      <c r="AT224" s="24" t="n">
        <f aca="false">IFERROR(AS224/AVERAGE(AS219:AS230),"")</f>
        <v>0.978014834846135</v>
      </c>
      <c r="AU224" s="23" t="n">
        <f aca="false">IF(ISNUMBER(Tabelle1!P231),(0.5*Tabelle1!P219+SUM(Tabelle1!P220:P230)+0.5*Tabelle1!P231)/12,"")</f>
        <v>160.09695625</v>
      </c>
      <c r="AV224" s="24" t="n">
        <f aca="false">IFERROR(Tabelle1!P225/AU224,"")</f>
        <v>1.00974980278552</v>
      </c>
      <c r="AW224" s="24" t="n">
        <f aca="false">IFERROR(AVERAGEIFS($AV$7:$AV$294,$B$7:$B$294,$B224,$A$7:$A$294,"&gt;="&amp;EDATE($A224,-12*'Seasonal Factors'!$E$4),$A$7:$A$294,"&lt;="&amp;EDATE($A224,12*'Seasonal Factors'!$E$4)),"")</f>
        <v>1.01009390275324</v>
      </c>
      <c r="AX224" s="24" t="n">
        <f aca="false">IFERROR(AW224/AVERAGE(AW219:AW230),"")</f>
        <v>1.01020720724167</v>
      </c>
      <c r="AY224" s="23" t="n">
        <f aca="false">IF(ISNUMBER(Tabelle1!Q231),(0.5*Tabelle1!Q219+SUM(Tabelle1!Q220:Q230)+0.5*Tabelle1!Q231)/12,"")</f>
        <v>164.751270416667</v>
      </c>
      <c r="AZ224" s="24" t="n">
        <f aca="false">IFERROR(Tabelle1!Q225/AY224,"")</f>
        <v>0.980342243137331</v>
      </c>
      <c r="BA224" s="24" t="n">
        <f aca="false">IFERROR(AVERAGEIFS($AZ$7:$AZ$294,$B$7:$B$294,$B224,$A$7:$A$294,"&gt;="&amp;EDATE($A224,-12*'Seasonal Factors'!$E$4),$A$7:$A$294,"&lt;="&amp;EDATE($A224,12*'Seasonal Factors'!$E$4)),"")</f>
        <v>0.982896321739554</v>
      </c>
      <c r="BB224" s="24" t="n">
        <f aca="false">IFERROR(BA224/AVERAGE(BA219:BA230),"")</f>
        <v>0.982910646176006</v>
      </c>
      <c r="BC224" s="23" t="n">
        <f aca="false">IF(ISNUMBER(Tabelle1!R231),(0.5*Tabelle1!R219+SUM(Tabelle1!R220:R230)+0.5*Tabelle1!R231)/12,"")</f>
        <v>182.93536</v>
      </c>
      <c r="BD224" s="24" t="n">
        <f aca="false">IFERROR(Tabelle1!R225/BC224,"")</f>
        <v>0.953894096800094</v>
      </c>
      <c r="BE224" s="24" t="n">
        <f aca="false">IFERROR(AVERAGEIFS($BD$7:$BD$294,$B$7:$B$294,$B224,$A$7:$A$294,"&gt;="&amp;EDATE($A224,-12*'Seasonal Factors'!$E$4),$A$7:$A$294,"&lt;="&amp;EDATE($A224,12*'Seasonal Factors'!$E$4)),"")</f>
        <v>0.962227090465042</v>
      </c>
      <c r="BF224" s="24" t="n">
        <f aca="false">IFERROR(BE224/AVERAGE(BE219:BE230),"")</f>
        <v>0.96260461888594</v>
      </c>
      <c r="BG224" s="23" t="n">
        <f aca="false">IF(ISNUMBER(Tabelle1!S231),(0.5*Tabelle1!S219+SUM(Tabelle1!S220:S230)+0.5*Tabelle1!S231)/12,"")</f>
        <v>126.616387083333</v>
      </c>
      <c r="BH224" s="24" t="n">
        <f aca="false">IFERROR(Tabelle1!S225/BG224,"")</f>
        <v>1.08375221534072</v>
      </c>
      <c r="BI224" s="24" t="n">
        <f aca="false">IFERROR(AVERAGEIFS($BH$7:$BH$294,$B$7:$B$294,$B224,$A$7:$A$294,"&gt;="&amp;EDATE($A224,-12*'Seasonal Factors'!$E$4),$A$7:$A$294,"&lt;="&amp;EDATE($A224,12*'Seasonal Factors'!$E$4)),"")</f>
        <v>1.10382605335566</v>
      </c>
      <c r="BJ224" s="24" t="n">
        <f aca="false">IFERROR(BI224/AVERAGE(BI219:BI230),"")</f>
        <v>1.10880788131483</v>
      </c>
    </row>
    <row r="225" customFormat="false" ht="15" hidden="false" customHeight="false" outlineLevel="0" collapsed="false">
      <c r="A225" s="20" t="n">
        <v>44651</v>
      </c>
      <c r="B225" s="22" t="n">
        <f aca="false">MONTH(A225)</f>
        <v>3</v>
      </c>
      <c r="C225" s="23" t="n">
        <f aca="false">IF(ISNUMBER(Tabelle1!E232),(0.5*Tabelle1!E220+SUM(Tabelle1!E221:E231)+0.5*Tabelle1!E232)/12,"")</f>
        <v>129.457530833333</v>
      </c>
      <c r="D225" s="24" t="n">
        <f aca="false">IFERROR(Tabelle1!E226/C225,"")</f>
        <v>1.1619462307964</v>
      </c>
      <c r="E225" s="24" t="n">
        <f aca="false">IFERROR(AVERAGEIFS($D$7:$D$294,$B$7:$B$294,$B225,$A$7:$A$294,"&gt;="&amp;EDATE($A225,-12*'Seasonal Factors'!$E$4),$A$7:$A$294,"&lt;="&amp;EDATE($A225,12*'Seasonal Factors'!$E$4)),"")</f>
        <v>1.18483395050357</v>
      </c>
      <c r="F225" s="24" t="n">
        <f aca="false">IFERROR(E225/AVERAGE(E220:E231),"")</f>
        <v>1.18946332852107</v>
      </c>
      <c r="G225" s="23" t="n">
        <f aca="false">IF(ISNUMBER(Tabelle1!F232),(0.5*Tabelle1!F220+SUM(Tabelle1!F221:F231)+0.5*Tabelle1!F232)/12,"")</f>
        <v>173.60569125</v>
      </c>
      <c r="H225" s="24" t="n">
        <f aca="false">IFERROR(Tabelle1!F226/G225,"")</f>
        <v>0.743039062090656</v>
      </c>
      <c r="I225" s="24" t="n">
        <f aca="false">IFERROR(AVERAGEIFS($H$7:$H$294,$B$7:$B$294,$B225,$A$7:$A$294,"&gt;="&amp;EDATE($A225,-12*'Seasonal Factors'!$E$4),$A$7:$A$294,"&lt;="&amp;EDATE($A225,12*'Seasonal Factors'!$E$4)),"")</f>
        <v>0.761629213635142</v>
      </c>
      <c r="J225" s="24" t="n">
        <f aca="false">IFERROR(I225/AVERAGE(I220:I231),"")</f>
        <v>0.764740512574333</v>
      </c>
      <c r="K225" s="23" t="n">
        <f aca="false">IF(ISNUMBER(Tabelle1!G232),(0.5*Tabelle1!G220+SUM(Tabelle1!G221:G231)+0.5*Tabelle1!G232)/12,"")</f>
        <v>94.9985829166667</v>
      </c>
      <c r="L225" s="24" t="n">
        <f aca="false">IFERROR(Tabelle1!G226/K225,"")</f>
        <v>1.00206326323315</v>
      </c>
      <c r="M225" s="24" t="n">
        <f aca="false">IFERROR(AVERAGEIFS($L$7:$L$294,$B$7:$B$294,$B225,$A$7:$A$294,"&gt;="&amp;EDATE($A225,-12*'Seasonal Factors'!$E$4),$A$7:$A$294,"&lt;="&amp;EDATE($A225,12*'Seasonal Factors'!$E$4)),"")</f>
        <v>1.00668889200666</v>
      </c>
      <c r="N225" s="24" t="n">
        <f aca="false">IFERROR(M225/AVERAGE(M220:M231),"")</f>
        <v>1.00751025080568</v>
      </c>
      <c r="O225" s="23" t="n">
        <f aca="false">IF(ISNUMBER(Tabelle1!H232),(0.5*Tabelle1!H220+SUM(Tabelle1!H221:H231)+0.5*Tabelle1!H232)/12,"")</f>
        <v>131.365699583333</v>
      </c>
      <c r="P225" s="24" t="n">
        <f aca="false">IFERROR(Tabelle1!H226/O225,"")</f>
        <v>1.02394179322793</v>
      </c>
      <c r="Q225" s="24" t="n">
        <f aca="false">IFERROR(AVERAGEIFS($P$7:$P$294,$B$7:$B$294,$B225,$A$7:$A$294,"&gt;="&amp;EDATE($A225,-12*'Seasonal Factors'!$E$4),$A$7:$A$294,"&lt;="&amp;EDATE($A225,12*'Seasonal Factors'!$E$4)),"")</f>
        <v>0.993052197194309</v>
      </c>
      <c r="R225" s="24" t="n">
        <f aca="false">IFERROR(Q225/AVERAGE(Q220:Q231),"")</f>
        <v>0.99372567222265</v>
      </c>
      <c r="S225" s="23" t="n">
        <f aca="false">IF(ISNUMBER(Tabelle1!I232),(0.5*Tabelle1!I220+SUM(Tabelle1!I221:I231)+0.5*Tabelle1!I232)/12,"")</f>
        <v>148.188980833333</v>
      </c>
      <c r="T225" s="24" t="n">
        <f aca="false">IFERROR(Tabelle1!I226/S225,"")</f>
        <v>0.98533642095982</v>
      </c>
      <c r="U225" s="24" t="n">
        <f aca="false">IFERROR(AVERAGEIFS($T$7:$T$294,$B$7:$B$294,$B225,$A$7:$A$294,"&gt;="&amp;EDATE($A225,-12*'Seasonal Factors'!$E$4),$A$7:$A$294,"&lt;="&amp;EDATE($A225,12*'Seasonal Factors'!$E$4)),"")</f>
        <v>1.01333845735836</v>
      </c>
      <c r="V225" s="24" t="n">
        <f aca="false">IFERROR(U225/AVERAGE(U220:U231),"")</f>
        <v>1.01369986503242</v>
      </c>
      <c r="W225" s="23" t="n">
        <f aca="false">IF(ISNUMBER(Tabelle1!J232),(0.5*Tabelle1!J220+SUM(Tabelle1!J221:J231)+0.5*Tabelle1!J232)/12,"")</f>
        <v>149.618510833333</v>
      </c>
      <c r="X225" s="24" t="n">
        <f aca="false">IFERROR(Tabelle1!J226/W225,"")</f>
        <v>1.04491001233231</v>
      </c>
      <c r="Y225" s="24" t="n">
        <f aca="false">IFERROR(AVERAGEIFS($X$7:$X$294,$B$7:$B$294,$B225,$A$7:$A$294,"&gt;="&amp;EDATE($A225,-12*'Seasonal Factors'!$E$4),$A$7:$A$294,"&lt;="&amp;EDATE($A225,12*'Seasonal Factors'!$E$4)),"")</f>
        <v>1.01260838564286</v>
      </c>
      <c r="Z225" s="24" t="n">
        <f aca="false">IFERROR(Y225/AVERAGE(Y220:Y231),"")</f>
        <v>1.01456946699401</v>
      </c>
      <c r="AA225" s="23" t="n">
        <f aca="false">IF(ISNUMBER(Tabelle1!K232),(0.5*Tabelle1!K220+SUM(Tabelle1!K221:K231)+0.5*Tabelle1!K232)/12,"")</f>
        <v>158.281082083333</v>
      </c>
      <c r="AB225" s="24" t="n">
        <f aca="false">IFERROR(Tabelle1!K226/AA225,"")</f>
        <v>1.02343051909839</v>
      </c>
      <c r="AC225" s="24" t="n">
        <f aca="false">IFERROR(AVERAGEIFS($AB$7:$AB$294,$B$7:$B$294,$B225,$A$7:$A$294,"&gt;="&amp;EDATE($A225,-12*'Seasonal Factors'!$E$4),$A$7:$A$294,"&lt;="&amp;EDATE($A225,12*'Seasonal Factors'!$E$4)),"")</f>
        <v>1.0291609256091</v>
      </c>
      <c r="AD225" s="24" t="n">
        <f aca="false">IFERROR(AC225/AVERAGE(AC220:AC231),"")</f>
        <v>1.02980136084448</v>
      </c>
      <c r="AE225" s="23" t="n">
        <f aca="false">IF(ISNUMBER(Tabelle1!L232),(0.5*Tabelle1!L220+SUM(Tabelle1!L221:L231)+0.5*Tabelle1!L232)/12,"")</f>
        <v>136.487356666667</v>
      </c>
      <c r="AF225" s="24" t="n">
        <f aca="false">IFERROR(Tabelle1!L226/AE225,"")</f>
        <v>0.957630751976612</v>
      </c>
      <c r="AG225" s="24" t="n">
        <f aca="false">IFERROR(AVERAGEIFS($AF$7:$AF$294,$B$7:$B$294,$B225,$A$7:$A$294,"&gt;="&amp;EDATE($A225,-12*'Seasonal Factors'!$E$4),$A$7:$A$294,"&lt;="&amp;EDATE($A225,12*'Seasonal Factors'!$E$4)),"")</f>
        <v>0.93475135961825</v>
      </c>
      <c r="AH225" s="24" t="n">
        <f aca="false">IFERROR(AG225/AVERAGE(AG220:AG231),"")</f>
        <v>0.940325839333666</v>
      </c>
      <c r="AI225" s="23" t="n">
        <f aca="false">IF(ISNUMBER(Tabelle1!M232),(0.5*Tabelle1!M220+SUM(Tabelle1!M221:M231)+0.5*Tabelle1!M232)/12,"")</f>
        <v>180.823265</v>
      </c>
      <c r="AJ225" s="24" t="n">
        <f aca="false">IFERROR(Tabelle1!M226/AI225,"")</f>
        <v>1.02228587676481</v>
      </c>
      <c r="AK225" s="24" t="n">
        <f aca="false">IFERROR(AVERAGEIFS($AJ$7:$AJ$294,$B$7:$B$294,$B225,$A$7:$A$294,"&gt;="&amp;EDATE($A225,-12*'Seasonal Factors'!$E$4),$A$7:$A$294,"&lt;="&amp;EDATE($A225,12*'Seasonal Factors'!$E$4)),"")</f>
        <v>1.00775882548355</v>
      </c>
      <c r="AL225" s="24" t="n">
        <f aca="false">IFERROR(AK225/AVERAGE(AK220:AK231),"")</f>
        <v>1.00833988598692</v>
      </c>
      <c r="AM225" s="23" t="n">
        <f aca="false">IF(ISNUMBER(Tabelle1!N232),(0.5*Tabelle1!N220+SUM(Tabelle1!N221:N231)+0.5*Tabelle1!N232)/12,"")</f>
        <v>169.251649166667</v>
      </c>
      <c r="AN225" s="24" t="n">
        <f aca="false">IFERROR(Tabelle1!N226/AM225,"")</f>
        <v>1.06494454197317</v>
      </c>
      <c r="AO225" s="24" t="n">
        <f aca="false">IFERROR(AVERAGEIFS($AN$7:$AN$294,$B$7:$B$294,$B225,$A$7:$A$294,"&gt;="&amp;EDATE($A225,-12*'Seasonal Factors'!$E$4),$A$7:$A$294,"&lt;="&amp;EDATE($A225,12*'Seasonal Factors'!$E$4)),"")</f>
        <v>1.03147737993064</v>
      </c>
      <c r="AP225" s="24" t="n">
        <f aca="false">IFERROR(AO225/AVERAGE(AO220:AO231),"")</f>
        <v>1.03099158759604</v>
      </c>
      <c r="AQ225" s="23" t="n">
        <f aca="false">IF(ISNUMBER(Tabelle1!O232),(0.5*Tabelle1!O220+SUM(Tabelle1!O221:O231)+0.5*Tabelle1!O232)/12,"")</f>
        <v>150.06385125</v>
      </c>
      <c r="AR225" s="24" t="n">
        <f aca="false">IFERROR(Tabelle1!O226/AQ225,"")</f>
        <v>0.992067235113027</v>
      </c>
      <c r="AS225" s="24" t="n">
        <f aca="false">IFERROR(AVERAGEIFS($AR$7:$AR$294,$B$7:$B$294,$B225,$A$7:$A$294,"&gt;="&amp;EDATE($A225,-12*'Seasonal Factors'!$E$4),$A$7:$A$294,"&lt;="&amp;EDATE($A225,12*'Seasonal Factors'!$E$4)),"")</f>
        <v>0.987661830545831</v>
      </c>
      <c r="AT225" s="24" t="n">
        <f aca="false">IFERROR(AS225/AVERAGE(AS220:AS231),"")</f>
        <v>0.987655779040757</v>
      </c>
      <c r="AU225" s="23" t="n">
        <f aca="false">IF(ISNUMBER(Tabelle1!P232),(0.5*Tabelle1!P220+SUM(Tabelle1!P221:P231)+0.5*Tabelle1!P232)/12,"")</f>
        <v>160.939056666667</v>
      </c>
      <c r="AV225" s="24" t="n">
        <f aca="false">IFERROR(Tabelle1!P226/AU225,"")</f>
        <v>1.00330742173067</v>
      </c>
      <c r="AW225" s="24" t="n">
        <f aca="false">IFERROR(AVERAGEIFS($AV$7:$AV$294,$B$7:$B$294,$B225,$A$7:$A$294,"&gt;="&amp;EDATE($A225,-12*'Seasonal Factors'!$E$4),$A$7:$A$294,"&lt;="&amp;EDATE($A225,12*'Seasonal Factors'!$E$4)),"")</f>
        <v>1.00597990543774</v>
      </c>
      <c r="AX225" s="24" t="n">
        <f aca="false">IFERROR(AW225/AVERAGE(AW220:AW231),"")</f>
        <v>1.0060805803579</v>
      </c>
      <c r="AY225" s="23" t="n">
        <f aca="false">IF(ISNUMBER(Tabelle1!Q232),(0.5*Tabelle1!Q220+SUM(Tabelle1!Q221:Q231)+0.5*Tabelle1!Q232)/12,"")</f>
        <v>165.281818333333</v>
      </c>
      <c r="AZ225" s="24" t="n">
        <f aca="false">IFERROR(Tabelle1!Q226/AY225,"")</f>
        <v>0.999844639092235</v>
      </c>
      <c r="BA225" s="24" t="n">
        <f aca="false">IFERROR(AVERAGEIFS($AZ$7:$AZ$294,$B$7:$B$294,$B225,$A$7:$A$294,"&gt;="&amp;EDATE($A225,-12*'Seasonal Factors'!$E$4),$A$7:$A$294,"&lt;="&amp;EDATE($A225,12*'Seasonal Factors'!$E$4)),"")</f>
        <v>1.00048180325704</v>
      </c>
      <c r="BB225" s="24" t="n">
        <f aca="false">IFERROR(BA225/AVERAGE(BA220:BA231),"")</f>
        <v>1.00050592946231</v>
      </c>
      <c r="BC225" s="23" t="n">
        <f aca="false">IF(ISNUMBER(Tabelle1!R232),(0.5*Tabelle1!R220+SUM(Tabelle1!R221:R231)+0.5*Tabelle1!R232)/12,"")</f>
        <v>183.047820416667</v>
      </c>
      <c r="BD225" s="24" t="n">
        <f aca="false">IFERROR(Tabelle1!R226/BC225,"")</f>
        <v>1.02975440827941</v>
      </c>
      <c r="BE225" s="24" t="n">
        <f aca="false">IFERROR(AVERAGEIFS($BD$7:$BD$294,$B$7:$B$294,$B225,$A$7:$A$294,"&gt;="&amp;EDATE($A225,-12*'Seasonal Factors'!$E$4),$A$7:$A$294,"&lt;="&amp;EDATE($A225,12*'Seasonal Factors'!$E$4)),"")</f>
        <v>1.02881914230148</v>
      </c>
      <c r="BF225" s="24" t="n">
        <f aca="false">IFERROR(BE225/AVERAGE(BE220:BE231),"")</f>
        <v>1.02917927797746</v>
      </c>
      <c r="BG225" s="23" t="n">
        <f aca="false">IF(ISNUMBER(Tabelle1!S232),(0.5*Tabelle1!S220+SUM(Tabelle1!S221:S231)+0.5*Tabelle1!S232)/12,"")</f>
        <v>127.400005416667</v>
      </c>
      <c r="BH225" s="24" t="n">
        <f aca="false">IFERROR(Tabelle1!S226/BG225,"")</f>
        <v>1.09054288926917</v>
      </c>
      <c r="BI225" s="24" t="n">
        <f aca="false">IFERROR(AVERAGEIFS($BH$7:$BH$294,$B$7:$B$294,$B225,$A$7:$A$294,"&gt;="&amp;EDATE($A225,-12*'Seasonal Factors'!$E$4),$A$7:$A$294,"&lt;="&amp;EDATE($A225,12*'Seasonal Factors'!$E$4)),"")</f>
        <v>1.06463614634754</v>
      </c>
      <c r="BJ225" s="24" t="n">
        <f aca="false">IFERROR(BI225/AVERAGE(BI220:BI231),"")</f>
        <v>1.070021745634</v>
      </c>
    </row>
    <row r="226" customFormat="false" ht="15" hidden="false" customHeight="false" outlineLevel="0" collapsed="false">
      <c r="A226" s="20" t="n">
        <v>44681</v>
      </c>
      <c r="B226" s="22" t="n">
        <f aca="false">MONTH(A226)</f>
        <v>4</v>
      </c>
      <c r="C226" s="23" t="n">
        <f aca="false">IF(ISNUMBER(Tabelle1!E233),(0.5*Tabelle1!E221+SUM(Tabelle1!E222:E232)+0.5*Tabelle1!E233)/12,"")</f>
        <v>128.925822916667</v>
      </c>
      <c r="D226" s="24" t="n">
        <f aca="false">IFERROR(Tabelle1!E227/C226,"")</f>
        <v>1.5738600336967</v>
      </c>
      <c r="E226" s="24" t="n">
        <f aca="false">IFERROR(AVERAGEIFS($D$7:$D$294,$B$7:$B$294,$B226,$A$7:$A$294,"&gt;="&amp;EDATE($A226,-12*'Seasonal Factors'!$E$4),$A$7:$A$294,"&lt;="&amp;EDATE($A226,12*'Seasonal Factors'!$E$4)),"")</f>
        <v>1.57460990553502</v>
      </c>
      <c r="F226" s="24" t="n">
        <f aca="false">IFERROR(E226/AVERAGE(E221:E232),"")</f>
        <v>1.58101296431502</v>
      </c>
      <c r="G226" s="23" t="n">
        <f aca="false">IF(ISNUMBER(Tabelle1!F233),(0.5*Tabelle1!F221+SUM(Tabelle1!F222:F232)+0.5*Tabelle1!F233)/12,"")</f>
        <v>171.981599583333</v>
      </c>
      <c r="H226" s="24" t="n">
        <f aca="false">IFERROR(Tabelle1!F227/G226,"")</f>
        <v>1.22767517287623</v>
      </c>
      <c r="I226" s="24" t="n">
        <f aca="false">IFERROR(AVERAGEIFS($H$7:$H$294,$B$7:$B$294,$B226,$A$7:$A$294,"&gt;="&amp;EDATE($A226,-12*'Seasonal Factors'!$E$4),$A$7:$A$294,"&lt;="&amp;EDATE($A226,12*'Seasonal Factors'!$E$4)),"")</f>
        <v>0.853888468228204</v>
      </c>
      <c r="J226" s="24" t="n">
        <f aca="false">IFERROR(I226/AVERAGE(I221:I232),"")</f>
        <v>0.860599517908066</v>
      </c>
      <c r="K226" s="23" t="n">
        <f aca="false">IF(ISNUMBER(Tabelle1!G233),(0.5*Tabelle1!G221+SUM(Tabelle1!G222:G232)+0.5*Tabelle1!G233)/12,"")</f>
        <v>95.8175620833333</v>
      </c>
      <c r="L226" s="24" t="n">
        <f aca="false">IFERROR(Tabelle1!G227/K226,"")</f>
        <v>0.996435078539817</v>
      </c>
      <c r="M226" s="24" t="n">
        <f aca="false">IFERROR(AVERAGEIFS($L$7:$L$294,$B$7:$B$294,$B226,$A$7:$A$294,"&gt;="&amp;EDATE($A226,-12*'Seasonal Factors'!$E$4),$A$7:$A$294,"&lt;="&amp;EDATE($A226,12*'Seasonal Factors'!$E$4)),"")</f>
        <v>0.967141634068251</v>
      </c>
      <c r="N226" s="24" t="n">
        <f aca="false">IFERROR(M226/AVERAGE(M221:M232),"")</f>
        <v>0.968160507880763</v>
      </c>
      <c r="O226" s="23" t="n">
        <f aca="false">IF(ISNUMBER(Tabelle1!H233),(0.5*Tabelle1!H221+SUM(Tabelle1!H222:H232)+0.5*Tabelle1!H233)/12,"")</f>
        <v>131.778995</v>
      </c>
      <c r="P226" s="24" t="n">
        <f aca="false">IFERROR(Tabelle1!H227/O226,"")</f>
        <v>0.979884313125927</v>
      </c>
      <c r="Q226" s="24" t="n">
        <f aca="false">IFERROR(AVERAGEIFS($P$7:$P$294,$B$7:$B$294,$B226,$A$7:$A$294,"&gt;="&amp;EDATE($A226,-12*'Seasonal Factors'!$E$4),$A$7:$A$294,"&lt;="&amp;EDATE($A226,12*'Seasonal Factors'!$E$4)),"")</f>
        <v>0.947166364522938</v>
      </c>
      <c r="R226" s="24" t="n">
        <f aca="false">IFERROR(Q226/AVERAGE(Q221:Q232),"")</f>
        <v>0.947629113499319</v>
      </c>
      <c r="S226" s="23" t="n">
        <f aca="false">IF(ISNUMBER(Tabelle1!I233),(0.5*Tabelle1!I221+SUM(Tabelle1!I222:I232)+0.5*Tabelle1!I233)/12,"")</f>
        <v>148.283843333333</v>
      </c>
      <c r="T226" s="24" t="n">
        <f aca="false">IFERROR(Tabelle1!I227/S226,"")</f>
        <v>0.93496436889854</v>
      </c>
      <c r="U226" s="24" t="n">
        <f aca="false">IFERROR(AVERAGEIFS($T$7:$T$294,$B$7:$B$294,$B226,$A$7:$A$294,"&gt;="&amp;EDATE($A226,-12*'Seasonal Factors'!$E$4),$A$7:$A$294,"&lt;="&amp;EDATE($A226,12*'Seasonal Factors'!$E$4)),"")</f>
        <v>0.908992152611978</v>
      </c>
      <c r="V226" s="24" t="n">
        <f aca="false">IFERROR(U226/AVERAGE(U221:U232),"")</f>
        <v>0.909446107746626</v>
      </c>
      <c r="W226" s="23" t="n">
        <f aca="false">IF(ISNUMBER(Tabelle1!J233),(0.5*Tabelle1!J221+SUM(Tabelle1!J222:J232)+0.5*Tabelle1!J233)/12,"")</f>
        <v>150.277907083333</v>
      </c>
      <c r="X226" s="24" t="n">
        <f aca="false">IFERROR(Tabelle1!J227/W226,"")</f>
        <v>1.00657663482177</v>
      </c>
      <c r="Y226" s="24" t="n">
        <f aca="false">IFERROR(AVERAGEIFS($X$7:$X$294,$B$7:$B$294,$B226,$A$7:$A$294,"&gt;="&amp;EDATE($A226,-12*'Seasonal Factors'!$E$4),$A$7:$A$294,"&lt;="&amp;EDATE($A226,12*'Seasonal Factors'!$E$4)),"")</f>
        <v>0.90693612980848</v>
      </c>
      <c r="Z226" s="24" t="n">
        <f aca="false">IFERROR(Y226/AVERAGE(Y221:Y232),"")</f>
        <v>0.908517682701025</v>
      </c>
      <c r="AA226" s="23" t="n">
        <f aca="false">IF(ISNUMBER(Tabelle1!K233),(0.5*Tabelle1!K221+SUM(Tabelle1!K222:K232)+0.5*Tabelle1!K233)/12,"")</f>
        <v>159.063749166667</v>
      </c>
      <c r="AB226" s="24" t="n">
        <f aca="false">IFERROR(Tabelle1!K227/AA226,"")</f>
        <v>1.0162131274212</v>
      </c>
      <c r="AC226" s="24" t="n">
        <f aca="false">IFERROR(AVERAGEIFS($AB$7:$AB$294,$B$7:$B$294,$B226,$A$7:$A$294,"&gt;="&amp;EDATE($A226,-12*'Seasonal Factors'!$E$4),$A$7:$A$294,"&lt;="&amp;EDATE($A226,12*'Seasonal Factors'!$E$4)),"")</f>
        <v>0.976933913001172</v>
      </c>
      <c r="AD226" s="24" t="n">
        <f aca="false">IFERROR(AC226/AVERAGE(AC221:AC232),"")</f>
        <v>0.977617111777545</v>
      </c>
      <c r="AE226" s="23" t="n">
        <f aca="false">IF(ISNUMBER(Tabelle1!L233),(0.5*Tabelle1!L221+SUM(Tabelle1!L222:L232)+0.5*Tabelle1!L233)/12,"")</f>
        <v>138.51819875</v>
      </c>
      <c r="AF226" s="24" t="n">
        <f aca="false">IFERROR(Tabelle1!L227/AE226,"")</f>
        <v>0.804877416874438</v>
      </c>
      <c r="AG226" s="24" t="n">
        <f aca="false">IFERROR(AVERAGEIFS($AF$7:$AF$294,$B$7:$B$294,$B226,$A$7:$A$294,"&gt;="&amp;EDATE($A226,-12*'Seasonal Factors'!$E$4),$A$7:$A$294,"&lt;="&amp;EDATE($A226,12*'Seasonal Factors'!$E$4)),"")</f>
        <v>0.757494284904362</v>
      </c>
      <c r="AH226" s="24" t="n">
        <f aca="false">IFERROR(AG226/AVERAGE(AG221:AG232),"")</f>
        <v>0.762033131828745</v>
      </c>
      <c r="AI226" s="23" t="n">
        <f aca="false">IF(ISNUMBER(Tabelle1!M233),(0.5*Tabelle1!M221+SUM(Tabelle1!M222:M232)+0.5*Tabelle1!M233)/12,"")</f>
        <v>181.660568333333</v>
      </c>
      <c r="AJ226" s="24" t="n">
        <f aca="false">IFERROR(Tabelle1!M227/AI226,"")</f>
        <v>1.04162808547858</v>
      </c>
      <c r="AK226" s="24" t="n">
        <f aca="false">IFERROR(AVERAGEIFS($AJ$7:$AJ$294,$B$7:$B$294,$B226,$A$7:$A$294,"&gt;="&amp;EDATE($A226,-12*'Seasonal Factors'!$E$4),$A$7:$A$294,"&lt;="&amp;EDATE($A226,12*'Seasonal Factors'!$E$4)),"")</f>
        <v>1.00269819226882</v>
      </c>
      <c r="AL226" s="24" t="n">
        <f aca="false">IFERROR(AK226/AVERAGE(AK221:AK232),"")</f>
        <v>1.00326463473056</v>
      </c>
      <c r="AM226" s="23" t="n">
        <f aca="false">IF(ISNUMBER(Tabelle1!N233),(0.5*Tabelle1!N221+SUM(Tabelle1!N222:N232)+0.5*Tabelle1!N233)/12,"")</f>
        <v>168.912818333333</v>
      </c>
      <c r="AN226" s="24" t="n">
        <f aca="false">IFERROR(Tabelle1!N227/AM226,"")</f>
        <v>1.03952246923909</v>
      </c>
      <c r="AO226" s="24" t="n">
        <f aca="false">IFERROR(AVERAGEIFS($AN$7:$AN$294,$B$7:$B$294,$B226,$A$7:$A$294,"&gt;="&amp;EDATE($A226,-12*'Seasonal Factors'!$E$4),$A$7:$A$294,"&lt;="&amp;EDATE($A226,12*'Seasonal Factors'!$E$4)),"")</f>
        <v>1.01474154888323</v>
      </c>
      <c r="AP226" s="24" t="n">
        <f aca="false">IFERROR(AO226/AVERAGE(AO221:AO232),"")</f>
        <v>1.01413714421579</v>
      </c>
      <c r="AQ226" s="23" t="n">
        <f aca="false">IF(ISNUMBER(Tabelle1!O233),(0.5*Tabelle1!O221+SUM(Tabelle1!O222:O232)+0.5*Tabelle1!O233)/12,"")</f>
        <v>150.5519575</v>
      </c>
      <c r="AR226" s="24" t="n">
        <f aca="false">IFERROR(Tabelle1!O227/AQ226,"")</f>
        <v>1.00655170823667</v>
      </c>
      <c r="AS226" s="24" t="n">
        <f aca="false">IFERROR(AVERAGEIFS($AR$7:$AR$294,$B$7:$B$294,$B226,$A$7:$A$294,"&gt;="&amp;EDATE($A226,-12*'Seasonal Factors'!$E$4),$A$7:$A$294,"&lt;="&amp;EDATE($A226,12*'Seasonal Factors'!$E$4)),"")</f>
        <v>0.989106606097884</v>
      </c>
      <c r="AT226" s="24" t="n">
        <f aca="false">IFERROR(AS226/AVERAGE(AS221:AS232),"")</f>
        <v>0.989089808490189</v>
      </c>
      <c r="AU226" s="23" t="n">
        <f aca="false">IF(ISNUMBER(Tabelle1!P233),(0.5*Tabelle1!P221+SUM(Tabelle1!P222:P232)+0.5*Tabelle1!P233)/12,"")</f>
        <v>161.43048875</v>
      </c>
      <c r="AV226" s="24" t="n">
        <f aca="false">IFERROR(Tabelle1!P227/AU226,"")</f>
        <v>0.995575688610433</v>
      </c>
      <c r="AW226" s="24" t="n">
        <f aca="false">IFERROR(AVERAGEIFS($AV$7:$AV$294,$B$7:$B$294,$B226,$A$7:$A$294,"&gt;="&amp;EDATE($A226,-12*'Seasonal Factors'!$E$4),$A$7:$A$294,"&lt;="&amp;EDATE($A226,12*'Seasonal Factors'!$E$4)),"")</f>
        <v>0.984276887734838</v>
      </c>
      <c r="AX226" s="24" t="n">
        <f aca="false">IFERROR(AW226/AVERAGE(AW221:AW232),"")</f>
        <v>0.984329538467742</v>
      </c>
      <c r="AY226" s="23" t="n">
        <f aca="false">IF(ISNUMBER(Tabelle1!Q233),(0.5*Tabelle1!Q221+SUM(Tabelle1!Q222:Q232)+0.5*Tabelle1!Q233)/12,"")</f>
        <v>165.709299583333</v>
      </c>
      <c r="AZ226" s="24" t="n">
        <f aca="false">IFERROR(Tabelle1!Q227/AY226,"")</f>
        <v>0.99555698089857</v>
      </c>
      <c r="BA226" s="24" t="n">
        <f aca="false">IFERROR(AVERAGEIFS($AZ$7:$AZ$294,$B$7:$B$294,$B226,$A$7:$A$294,"&gt;="&amp;EDATE($A226,-12*'Seasonal Factors'!$E$4),$A$7:$A$294,"&lt;="&amp;EDATE($A226,12*'Seasonal Factors'!$E$4)),"")</f>
        <v>0.985637524054795</v>
      </c>
      <c r="BB226" s="24" t="n">
        <f aca="false">IFERROR(BA226/AVERAGE(BA221:BA232),"")</f>
        <v>0.985653980066996</v>
      </c>
      <c r="BC226" s="23" t="n">
        <f aca="false">IF(ISNUMBER(Tabelle1!R233),(0.5*Tabelle1!R221+SUM(Tabelle1!R222:R232)+0.5*Tabelle1!R233)/12,"")</f>
        <v>183.18897875</v>
      </c>
      <c r="BD226" s="24" t="n">
        <f aca="false">IFERROR(Tabelle1!R227/BC226,"")</f>
        <v>1.04333187129578</v>
      </c>
      <c r="BE226" s="24" t="n">
        <f aca="false">IFERROR(AVERAGEIFS($BD$7:$BD$294,$B$7:$B$294,$B226,$A$7:$A$294,"&gt;="&amp;EDATE($A226,-12*'Seasonal Factors'!$E$4),$A$7:$A$294,"&lt;="&amp;EDATE($A226,12*'Seasonal Factors'!$E$4)),"")</f>
        <v>1.00992018631872</v>
      </c>
      <c r="BF226" s="24" t="n">
        <f aca="false">IFERROR(BE226/AVERAGE(BE221:BE232),"")</f>
        <v>1.01018356084607</v>
      </c>
      <c r="BG226" s="23" t="n">
        <f aca="false">IF(ISNUMBER(Tabelle1!S233),(0.5*Tabelle1!S221+SUM(Tabelle1!S222:S232)+0.5*Tabelle1!S233)/12,"")</f>
        <v>128.176728333333</v>
      </c>
      <c r="BH226" s="24" t="n">
        <f aca="false">IFERROR(Tabelle1!S227/BG226,"")</f>
        <v>0.944462474382863</v>
      </c>
      <c r="BI226" s="24" t="n">
        <f aca="false">IFERROR(AVERAGEIFS($BH$7:$BH$294,$B$7:$B$294,$B226,$A$7:$A$294,"&gt;="&amp;EDATE($A226,-12*'Seasonal Factors'!$E$4),$A$7:$A$294,"&lt;="&amp;EDATE($A226,12*'Seasonal Factors'!$E$4)),"")</f>
        <v>0.8762200364416</v>
      </c>
      <c r="BJ226" s="24" t="n">
        <f aca="false">IFERROR(BI226/AVERAGE(BI221:BI232),"")</f>
        <v>0.880586697517933</v>
      </c>
    </row>
    <row r="227" customFormat="false" ht="15" hidden="false" customHeight="false" outlineLevel="0" collapsed="false">
      <c r="A227" s="20" t="n">
        <v>44712</v>
      </c>
      <c r="B227" s="22" t="n">
        <f aca="false">MONTH(A227)</f>
        <v>5</v>
      </c>
      <c r="C227" s="23" t="n">
        <f aca="false">IF(ISNUMBER(Tabelle1!E234),(0.5*Tabelle1!E222+SUM(Tabelle1!E223:E233)+0.5*Tabelle1!E234)/12,"")</f>
        <v>127.747110833333</v>
      </c>
      <c r="D227" s="24" t="n">
        <f aca="false">IFERROR(Tabelle1!E228/C227,"")</f>
        <v>2.12930913447338</v>
      </c>
      <c r="E227" s="24" t="n">
        <f aca="false">IFERROR(AVERAGEIFS($D$7:$D$294,$B$7:$B$294,$B227,$A$7:$A$294,"&gt;="&amp;EDATE($A227,-12*'Seasonal Factors'!$E$4),$A$7:$A$294,"&lt;="&amp;EDATE($A227,12*'Seasonal Factors'!$E$4)),"")</f>
        <v>2.12948086140497</v>
      </c>
      <c r="F227" s="24" t="n">
        <f aca="false">IFERROR(E227/AVERAGE(E222:E233),"")</f>
        <v>2.13888154496998</v>
      </c>
      <c r="G227" s="23" t="n">
        <f aca="false">IF(ISNUMBER(Tabelle1!F234),(0.5*Tabelle1!F222+SUM(Tabelle1!F223:F233)+0.5*Tabelle1!F234)/12,"")</f>
        <v>169.992277916667</v>
      </c>
      <c r="H227" s="24" t="n">
        <f aca="false">IFERROR(Tabelle1!F228/G227,"")</f>
        <v>1.00074475196688</v>
      </c>
      <c r="I227" s="24" t="n">
        <f aca="false">IFERROR(AVERAGEIFS($H$7:$H$294,$B$7:$B$294,$B227,$A$7:$A$294,"&gt;="&amp;EDATE($A227,-12*'Seasonal Factors'!$E$4),$A$7:$A$294,"&lt;="&amp;EDATE($A227,12*'Seasonal Factors'!$E$4)),"")</f>
        <v>0.852364734306943</v>
      </c>
      <c r="J227" s="24" t="n">
        <f aca="false">IFERROR(I227/AVERAGE(I222:I233),"")</f>
        <v>0.859955387014924</v>
      </c>
      <c r="K227" s="23" t="n">
        <f aca="false">IF(ISNUMBER(Tabelle1!G234),(0.5*Tabelle1!G222+SUM(Tabelle1!G223:G233)+0.5*Tabelle1!G234)/12,"")</f>
        <v>96.5508733333333</v>
      </c>
      <c r="L227" s="24" t="n">
        <f aca="false">IFERROR(Tabelle1!G228/K227,"")</f>
        <v>1.07814736838907</v>
      </c>
      <c r="M227" s="24" t="n">
        <f aca="false">IFERROR(AVERAGEIFS($L$7:$L$294,$B$7:$B$294,$B227,$A$7:$A$294,"&gt;="&amp;EDATE($A227,-12*'Seasonal Factors'!$E$4),$A$7:$A$294,"&lt;="&amp;EDATE($A227,12*'Seasonal Factors'!$E$4)),"")</f>
        <v>1.03828383707828</v>
      </c>
      <c r="N227" s="24" t="n">
        <f aca="false">IFERROR(M227/AVERAGE(M222:M233),"")</f>
        <v>1.03964283537529</v>
      </c>
      <c r="O227" s="23" t="n">
        <f aca="false">IF(ISNUMBER(Tabelle1!H234),(0.5*Tabelle1!H222+SUM(Tabelle1!H223:H233)+0.5*Tabelle1!H234)/12,"")</f>
        <v>132.055521666667</v>
      </c>
      <c r="P227" s="24" t="n">
        <f aca="false">IFERROR(Tabelle1!H228/O227,"")</f>
        <v>1.02507224454946</v>
      </c>
      <c r="Q227" s="24" t="n">
        <f aca="false">IFERROR(AVERAGEIFS($P$7:$P$294,$B$7:$B$294,$B227,$A$7:$A$294,"&gt;="&amp;EDATE($A227,-12*'Seasonal Factors'!$E$4),$A$7:$A$294,"&lt;="&amp;EDATE($A227,12*'Seasonal Factors'!$E$4)),"")</f>
        <v>0.996943758835746</v>
      </c>
      <c r="R227" s="24" t="n">
        <f aca="false">IFERROR(Q227/AVERAGE(Q222:Q233),"")</f>
        <v>0.997684404273619</v>
      </c>
      <c r="S227" s="23" t="n">
        <f aca="false">IF(ISNUMBER(Tabelle1!I234),(0.5*Tabelle1!I222+SUM(Tabelle1!I223:I233)+0.5*Tabelle1!I234)/12,"")</f>
        <v>148.869750416667</v>
      </c>
      <c r="T227" s="24" t="n">
        <f aca="false">IFERROR(Tabelle1!I228/S227,"")</f>
        <v>1.04768315633945</v>
      </c>
      <c r="U227" s="24" t="n">
        <f aca="false">IFERROR(AVERAGEIFS($T$7:$T$294,$B$7:$B$294,$B227,$A$7:$A$294,"&gt;="&amp;EDATE($A227,-12*'Seasonal Factors'!$E$4),$A$7:$A$294,"&lt;="&amp;EDATE($A227,12*'Seasonal Factors'!$E$4)),"")</f>
        <v>1.00167654087202</v>
      </c>
      <c r="V227" s="24" t="n">
        <f aca="false">IFERROR(U227/AVERAGE(U222:U233),"")</f>
        <v>1.00178694741442</v>
      </c>
      <c r="W227" s="23" t="n">
        <f aca="false">IF(ISNUMBER(Tabelle1!J234),(0.5*Tabelle1!J222+SUM(Tabelle1!J223:J233)+0.5*Tabelle1!J234)/12,"")</f>
        <v>150.71268625</v>
      </c>
      <c r="X227" s="24" t="n">
        <f aca="false">IFERROR(Tabelle1!J228/W227,"")</f>
        <v>0.966357203390368</v>
      </c>
      <c r="Y227" s="24" t="n">
        <f aca="false">IFERROR(AVERAGEIFS($X$7:$X$294,$B$7:$B$294,$B227,$A$7:$A$294,"&gt;="&amp;EDATE($A227,-12*'Seasonal Factors'!$E$4),$A$7:$A$294,"&lt;="&amp;EDATE($A227,12*'Seasonal Factors'!$E$4)),"")</f>
        <v>0.925823280881108</v>
      </c>
      <c r="Z227" s="24" t="n">
        <f aca="false">IFERROR(Y227/AVERAGE(Y222:Y233),"")</f>
        <v>0.927473153712401</v>
      </c>
      <c r="AA227" s="23" t="n">
        <f aca="false">IF(ISNUMBER(Tabelle1!K234),(0.5*Tabelle1!K222+SUM(Tabelle1!K223:K233)+0.5*Tabelle1!K234)/12,"")</f>
        <v>159.537783333333</v>
      </c>
      <c r="AB227" s="24" t="n">
        <f aca="false">IFERROR(Tabelle1!K228/AA227,"")</f>
        <v>1.04153396473375</v>
      </c>
      <c r="AC227" s="24" t="n">
        <f aca="false">IFERROR(AVERAGEIFS($AB$7:$AB$294,$B$7:$B$294,$B227,$A$7:$A$294,"&gt;="&amp;EDATE($A227,-12*'Seasonal Factors'!$E$4),$A$7:$A$294,"&lt;="&amp;EDATE($A227,12*'Seasonal Factors'!$E$4)),"")</f>
        <v>1.01737580515618</v>
      </c>
      <c r="AD227" s="24" t="n">
        <f aca="false">IFERROR(AC227/AVERAGE(AC222:AC233),"")</f>
        <v>1.01886100735203</v>
      </c>
      <c r="AE227" s="23" t="n">
        <f aca="false">IF(ISNUMBER(Tabelle1!L234),(0.5*Tabelle1!L222+SUM(Tabelle1!L223:L233)+0.5*Tabelle1!L234)/12,"")</f>
        <v>141.299528333333</v>
      </c>
      <c r="AF227" s="24" t="n">
        <f aca="false">IFERROR(Tabelle1!L228/AE227,"")</f>
        <v>0.970603523010109</v>
      </c>
      <c r="AG227" s="24" t="n">
        <f aca="false">IFERROR(AVERAGEIFS($AF$7:$AF$294,$B$7:$B$294,$B227,$A$7:$A$294,"&gt;="&amp;EDATE($A227,-12*'Seasonal Factors'!$E$4),$A$7:$A$294,"&lt;="&amp;EDATE($A227,12*'Seasonal Factors'!$E$4)),"")</f>
        <v>0.856194926284363</v>
      </c>
      <c r="AH227" s="24" t="n">
        <f aca="false">IFERROR(AG227/AVERAGE(AG222:AG233),"")</f>
        <v>0.861329811266674</v>
      </c>
      <c r="AI227" s="23" t="n">
        <f aca="false">IF(ISNUMBER(Tabelle1!M234),(0.5*Tabelle1!M222+SUM(Tabelle1!M223:M233)+0.5*Tabelle1!M234)/12,"")</f>
        <v>182.3132225</v>
      </c>
      <c r="AJ227" s="24" t="n">
        <f aca="false">IFERROR(Tabelle1!M228/AI227,"")</f>
        <v>1.07310137639633</v>
      </c>
      <c r="AK227" s="24" t="n">
        <f aca="false">IFERROR(AVERAGEIFS($AJ$7:$AJ$294,$B$7:$B$294,$B227,$A$7:$A$294,"&gt;="&amp;EDATE($A227,-12*'Seasonal Factors'!$E$4),$A$7:$A$294,"&lt;="&amp;EDATE($A227,12*'Seasonal Factors'!$E$4)),"")</f>
        <v>1.0513046527311</v>
      </c>
      <c r="AL227" s="24" t="n">
        <f aca="false">IFERROR(AK227/AVERAGE(AK222:AK233),"")</f>
        <v>1.05195068893491</v>
      </c>
      <c r="AM227" s="23" t="n">
        <f aca="false">IF(ISNUMBER(Tabelle1!N234),(0.5*Tabelle1!N222+SUM(Tabelle1!N223:N233)+0.5*Tabelle1!N234)/12,"")</f>
        <v>168.34269375</v>
      </c>
      <c r="AN227" s="24" t="n">
        <f aca="false">IFERROR(Tabelle1!N228/AM227,"")</f>
        <v>0.946701733528605</v>
      </c>
      <c r="AO227" s="24" t="n">
        <f aca="false">IFERROR(AVERAGEIFS($AN$7:$AN$294,$B$7:$B$294,$B227,$A$7:$A$294,"&gt;="&amp;EDATE($A227,-12*'Seasonal Factors'!$E$4),$A$7:$A$294,"&lt;="&amp;EDATE($A227,12*'Seasonal Factors'!$E$4)),"")</f>
        <v>0.947896067257927</v>
      </c>
      <c r="AP227" s="24" t="n">
        <f aca="false">IFERROR(AO227/AVERAGE(AO222:AO233),"")</f>
        <v>0.947375344387517</v>
      </c>
      <c r="AQ227" s="23" t="n">
        <f aca="false">IF(ISNUMBER(Tabelle1!O234),(0.5*Tabelle1!O222+SUM(Tabelle1!O223:O233)+0.5*Tabelle1!O234)/12,"")</f>
        <v>150.987587916667</v>
      </c>
      <c r="AR227" s="24" t="n">
        <f aca="false">IFERROR(Tabelle1!O228/AQ227,"")</f>
        <v>1.01496614466469</v>
      </c>
      <c r="AS227" s="24" t="n">
        <f aca="false">IFERROR(AVERAGEIFS($AR$7:$AR$294,$B$7:$B$294,$B227,$A$7:$A$294,"&gt;="&amp;EDATE($A227,-12*'Seasonal Factors'!$E$4),$A$7:$A$294,"&lt;="&amp;EDATE($A227,12*'Seasonal Factors'!$E$4)),"")</f>
        <v>0.999387120293086</v>
      </c>
      <c r="AT227" s="24" t="n">
        <f aca="false">IFERROR(AS227/AVERAGE(AS222:AS233),"")</f>
        <v>0.999383479836384</v>
      </c>
      <c r="AU227" s="23" t="n">
        <f aca="false">IF(ISNUMBER(Tabelle1!P234),(0.5*Tabelle1!P222+SUM(Tabelle1!P223:P233)+0.5*Tabelle1!P234)/12,"")</f>
        <v>161.60702375</v>
      </c>
      <c r="AV227" s="24" t="n">
        <f aca="false">IFERROR(Tabelle1!P228/AU227,"")</f>
        <v>0.995789144962828</v>
      </c>
      <c r="AW227" s="24" t="n">
        <f aca="false">IFERROR(AVERAGEIFS($AV$7:$AV$294,$B$7:$B$294,$B227,$A$7:$A$294,"&gt;="&amp;EDATE($A227,-12*'Seasonal Factors'!$E$4),$A$7:$A$294,"&lt;="&amp;EDATE($A227,12*'Seasonal Factors'!$E$4)),"")</f>
        <v>0.987399375104176</v>
      </c>
      <c r="AX227" s="24" t="n">
        <f aca="false">IFERROR(AW227/AVERAGE(AW222:AW233),"")</f>
        <v>0.987423407957091</v>
      </c>
      <c r="AY227" s="23" t="n">
        <f aca="false">IF(ISNUMBER(Tabelle1!Q234),(0.5*Tabelle1!Q222+SUM(Tabelle1!Q223:Q233)+0.5*Tabelle1!Q234)/12,"")</f>
        <v>166.07784875</v>
      </c>
      <c r="AZ227" s="24" t="n">
        <f aca="false">IFERROR(Tabelle1!Q228/AY227,"")</f>
        <v>0.999245301219016</v>
      </c>
      <c r="BA227" s="24" t="n">
        <f aca="false">IFERROR(AVERAGEIFS($AZ$7:$AZ$294,$B$7:$B$294,$B227,$A$7:$A$294,"&gt;="&amp;EDATE($A227,-12*'Seasonal Factors'!$E$4),$A$7:$A$294,"&lt;="&amp;EDATE($A227,12*'Seasonal Factors'!$E$4)),"")</f>
        <v>0.993268894280392</v>
      </c>
      <c r="BB227" s="24" t="n">
        <f aca="false">IFERROR(BA227/AVERAGE(BA222:BA233),"")</f>
        <v>0.993287000222181</v>
      </c>
      <c r="BC227" s="23" t="n">
        <f aca="false">IF(ISNUMBER(Tabelle1!R234),(0.5*Tabelle1!R222+SUM(Tabelle1!R223:R233)+0.5*Tabelle1!R234)/12,"")</f>
        <v>183.321282083333</v>
      </c>
      <c r="BD227" s="24" t="n">
        <f aca="false">IFERROR(Tabelle1!R228/BC227,"")</f>
        <v>1.06133400218942</v>
      </c>
      <c r="BE227" s="24" t="n">
        <f aca="false">IFERROR(AVERAGEIFS($BD$7:$BD$294,$B$7:$B$294,$B227,$A$7:$A$294,"&gt;="&amp;EDATE($A227,-12*'Seasonal Factors'!$E$4),$A$7:$A$294,"&lt;="&amp;EDATE($A227,12*'Seasonal Factors'!$E$4)),"")</f>
        <v>1.04931271354665</v>
      </c>
      <c r="BF227" s="24" t="n">
        <f aca="false">IFERROR(BE227/AVERAGE(BE222:BE233),"")</f>
        <v>1.04950816425716</v>
      </c>
      <c r="BG227" s="23" t="n">
        <f aca="false">IF(ISNUMBER(Tabelle1!S234),(0.5*Tabelle1!S222+SUM(Tabelle1!S223:S233)+0.5*Tabelle1!S234)/12,"")</f>
        <v>128.852603333333</v>
      </c>
      <c r="BH227" s="24" t="n">
        <f aca="false">IFERROR(Tabelle1!S228/BG227,"")</f>
        <v>0.927205092557825</v>
      </c>
      <c r="BI227" s="24" t="n">
        <f aca="false">IFERROR(AVERAGEIFS($BH$7:$BH$294,$B$7:$B$294,$B227,$A$7:$A$294,"&gt;="&amp;EDATE($A227,-12*'Seasonal Factors'!$E$4),$A$7:$A$294,"&lt;="&amp;EDATE($A227,12*'Seasonal Factors'!$E$4)),"")</f>
        <v>0.885209589953968</v>
      </c>
      <c r="BJ227" s="24" t="n">
        <f aca="false">IFERROR(BI227/AVERAGE(BI222:BI233),"")</f>
        <v>0.88951380751562</v>
      </c>
    </row>
    <row r="228" customFormat="false" ht="15" hidden="false" customHeight="false" outlineLevel="0" collapsed="false">
      <c r="A228" s="20" t="n">
        <v>44742</v>
      </c>
      <c r="B228" s="22" t="n">
        <f aca="false">MONTH(A228)</f>
        <v>6</v>
      </c>
      <c r="C228" s="23" t="n">
        <f aca="false">IF(ISNUMBER(Tabelle1!E235),(0.5*Tabelle1!E223+SUM(Tabelle1!E224:E234)+0.5*Tabelle1!E235)/12,"")</f>
        <v>125.470991666667</v>
      </c>
      <c r="D228" s="24" t="n">
        <f aca="false">IFERROR(Tabelle1!E229/C228,"")</f>
        <v>1.51913719233509</v>
      </c>
      <c r="E228" s="24" t="n">
        <f aca="false">IFERROR(AVERAGEIFS($D$7:$D$294,$B$7:$B$294,$B228,$A$7:$A$294,"&gt;="&amp;EDATE($A228,-12*'Seasonal Factors'!$E$4),$A$7:$A$294,"&lt;="&amp;EDATE($A228,12*'Seasonal Factors'!$E$4)),"")</f>
        <v>1.46578956557159</v>
      </c>
      <c r="F228" s="24" t="n">
        <f aca="false">IFERROR(E228/AVERAGE(E223:E234),"")</f>
        <v>1.47185300241928</v>
      </c>
      <c r="G228" s="23" t="n">
        <f aca="false">IF(ISNUMBER(Tabelle1!F235),(0.5*Tabelle1!F223+SUM(Tabelle1!F224:F234)+0.5*Tabelle1!F235)/12,"")</f>
        <v>169.918448333333</v>
      </c>
      <c r="H228" s="24" t="n">
        <f aca="false">IFERROR(Tabelle1!F229/G228,"")</f>
        <v>1.1821819935993</v>
      </c>
      <c r="I228" s="24" t="n">
        <f aca="false">IFERROR(AVERAGEIFS($H$7:$H$294,$B$7:$B$294,$B228,$A$7:$A$294,"&gt;="&amp;EDATE($A228,-12*'Seasonal Factors'!$E$4),$A$7:$A$294,"&lt;="&amp;EDATE($A228,12*'Seasonal Factors'!$E$4)),"")</f>
        <v>1.07338105114238</v>
      </c>
      <c r="J228" s="24" t="n">
        <f aca="false">IFERROR(I228/AVERAGE(I223:I234),"")</f>
        <v>1.08135099915038</v>
      </c>
      <c r="K228" s="23" t="n">
        <f aca="false">IF(ISNUMBER(Tabelle1!G235),(0.5*Tabelle1!G223+SUM(Tabelle1!G224:G234)+0.5*Tabelle1!G235)/12,"")</f>
        <v>97.2442079166667</v>
      </c>
      <c r="L228" s="24" t="n">
        <f aca="false">IFERROR(Tabelle1!G229/K228,"")</f>
        <v>0.993884695763307</v>
      </c>
      <c r="M228" s="24" t="n">
        <f aca="false">IFERROR(AVERAGEIFS($L$7:$L$294,$B$7:$B$294,$B228,$A$7:$A$294,"&gt;="&amp;EDATE($A228,-12*'Seasonal Factors'!$E$4),$A$7:$A$294,"&lt;="&amp;EDATE($A228,12*'Seasonal Factors'!$E$4)),"")</f>
        <v>0.986933525698443</v>
      </c>
      <c r="N228" s="24" t="n">
        <f aca="false">IFERROR(M228/AVERAGE(M223:M234),"")</f>
        <v>0.988209790667867</v>
      </c>
      <c r="O228" s="23" t="n">
        <f aca="false">IF(ISNUMBER(Tabelle1!H235),(0.5*Tabelle1!H223+SUM(Tabelle1!H224:H234)+0.5*Tabelle1!H235)/12,"")</f>
        <v>132.066797916667</v>
      </c>
      <c r="P228" s="24" t="n">
        <f aca="false">IFERROR(Tabelle1!H229/O228,"")</f>
        <v>1.07064093497005</v>
      </c>
      <c r="Q228" s="24" t="n">
        <f aca="false">IFERROR(AVERAGEIFS($P$7:$P$294,$B$7:$B$294,$B228,$A$7:$A$294,"&gt;="&amp;EDATE($A228,-12*'Seasonal Factors'!$E$4),$A$7:$A$294,"&lt;="&amp;EDATE($A228,12*'Seasonal Factors'!$E$4)),"")</f>
        <v>1.02029226440337</v>
      </c>
      <c r="R228" s="24" t="n">
        <f aca="false">IFERROR(Q228/AVERAGE(Q223:Q234),"")</f>
        <v>1.02117646752294</v>
      </c>
      <c r="S228" s="23" t="n">
        <f aca="false">IF(ISNUMBER(Tabelle1!I235),(0.5*Tabelle1!I223+SUM(Tabelle1!I224:I234)+0.5*Tabelle1!I235)/12,"")</f>
        <v>149.389206666667</v>
      </c>
      <c r="T228" s="24" t="n">
        <f aca="false">IFERROR(Tabelle1!I229/S228,"")</f>
        <v>1.11548567475714</v>
      </c>
      <c r="U228" s="24" t="n">
        <f aca="false">IFERROR(AVERAGEIFS($T$7:$T$294,$B$7:$B$294,$B228,$A$7:$A$294,"&gt;="&amp;EDATE($A228,-12*'Seasonal Factors'!$E$4),$A$7:$A$294,"&lt;="&amp;EDATE($A228,12*'Seasonal Factors'!$E$4)),"")</f>
        <v>1.05164051713075</v>
      </c>
      <c r="V228" s="24" t="n">
        <f aca="false">IFERROR(U228/AVERAGE(U223:U234),"")</f>
        <v>1.052041565326</v>
      </c>
      <c r="W228" s="23" t="n">
        <f aca="false">IF(ISNUMBER(Tabelle1!J235),(0.5*Tabelle1!J223+SUM(Tabelle1!J224:J234)+0.5*Tabelle1!J235)/12,"")</f>
        <v>150.831872083333</v>
      </c>
      <c r="X228" s="24" t="n">
        <f aca="false">IFERROR(Tabelle1!J229/W228,"")</f>
        <v>0.993548564571315</v>
      </c>
      <c r="Y228" s="24" t="n">
        <f aca="false">IFERROR(AVERAGEIFS($X$7:$X$294,$B$7:$B$294,$B228,$A$7:$A$294,"&gt;="&amp;EDATE($A228,-12*'Seasonal Factors'!$E$4),$A$7:$A$294,"&lt;="&amp;EDATE($A228,12*'Seasonal Factors'!$E$4)),"")</f>
        <v>0.958381298846692</v>
      </c>
      <c r="Z228" s="24" t="n">
        <f aca="false">IFERROR(Y228/AVERAGE(Y223:Y234),"")</f>
        <v>0.959934801232826</v>
      </c>
      <c r="AA228" s="23" t="n">
        <f aca="false">IF(ISNUMBER(Tabelle1!K235),(0.5*Tabelle1!K223+SUM(Tabelle1!K224:K234)+0.5*Tabelle1!K235)/12,"")</f>
        <v>159.62765875</v>
      </c>
      <c r="AB228" s="24" t="n">
        <f aca="false">IFERROR(Tabelle1!K229/AA228,"")</f>
        <v>1.07389102454026</v>
      </c>
      <c r="AC228" s="24" t="n">
        <f aca="false">IFERROR(AVERAGEIFS($AB$7:$AB$294,$B$7:$B$294,$B228,$A$7:$A$294,"&gt;="&amp;EDATE($A228,-12*'Seasonal Factors'!$E$4),$A$7:$A$294,"&lt;="&amp;EDATE($A228,12*'Seasonal Factors'!$E$4)),"")</f>
        <v>1.02732931451273</v>
      </c>
      <c r="AD228" s="24" t="n">
        <f aca="false">IFERROR(AC228/AVERAGE(AC223:AC234),"")</f>
        <v>1.02841786230524</v>
      </c>
      <c r="AE228" s="23" t="n">
        <f aca="false">IF(ISNUMBER(Tabelle1!L235),(0.5*Tabelle1!L223+SUM(Tabelle1!L224:L234)+0.5*Tabelle1!L235)/12,"")</f>
        <v>143.691282083333</v>
      </c>
      <c r="AF228" s="24" t="n">
        <f aca="false">IFERROR(Tabelle1!L229/AE228,"")</f>
        <v>1.13957623333777</v>
      </c>
      <c r="AG228" s="24" t="n">
        <f aca="false">IFERROR(AVERAGEIFS($AF$7:$AF$294,$B$7:$B$294,$B228,$A$7:$A$294,"&gt;="&amp;EDATE($A228,-12*'Seasonal Factors'!$E$4),$A$7:$A$294,"&lt;="&amp;EDATE($A228,12*'Seasonal Factors'!$E$4)),"")</f>
        <v>0.962390622677305</v>
      </c>
      <c r="AH228" s="24" t="n">
        <f aca="false">IFERROR(AG228/AVERAGE(AG223:AG234),"")</f>
        <v>0.967734754987518</v>
      </c>
      <c r="AI228" s="23" t="n">
        <f aca="false">IF(ISNUMBER(Tabelle1!M235),(0.5*Tabelle1!M223+SUM(Tabelle1!M224:M234)+0.5*Tabelle1!M235)/12,"")</f>
        <v>182.585838333333</v>
      </c>
      <c r="AJ228" s="24" t="n">
        <f aca="false">IFERROR(Tabelle1!M229/AI228,"")</f>
        <v>1.04695945613818</v>
      </c>
      <c r="AK228" s="24" t="n">
        <f aca="false">IFERROR(AVERAGEIFS($AJ$7:$AJ$294,$B$7:$B$294,$B228,$A$7:$A$294,"&gt;="&amp;EDATE($A228,-12*'Seasonal Factors'!$E$4),$A$7:$A$294,"&lt;="&amp;EDATE($A228,12*'Seasonal Factors'!$E$4)),"")</f>
        <v>1.0212325684922</v>
      </c>
      <c r="AL228" s="24" t="n">
        <f aca="false">IFERROR(AK228/AVERAGE(AK223:AK234),"")</f>
        <v>1.02182888812081</v>
      </c>
      <c r="AM228" s="23" t="n">
        <f aca="false">IF(ISNUMBER(Tabelle1!N235),(0.5*Tabelle1!N223+SUM(Tabelle1!N224:N234)+0.5*Tabelle1!N235)/12,"")</f>
        <v>167.78116125</v>
      </c>
      <c r="AN228" s="24" t="n">
        <f aca="false">IFERROR(Tabelle1!N229/AM228,"")</f>
        <v>0.999040349650697</v>
      </c>
      <c r="AO228" s="24" t="n">
        <f aca="false">IFERROR(AVERAGEIFS($AN$7:$AN$294,$B$7:$B$294,$B228,$A$7:$A$294,"&gt;="&amp;EDATE($A228,-12*'Seasonal Factors'!$E$4),$A$7:$A$294,"&lt;="&amp;EDATE($A228,12*'Seasonal Factors'!$E$4)),"")</f>
        <v>0.974541548773318</v>
      </c>
      <c r="AP228" s="24" t="n">
        <f aca="false">IFERROR(AO228/AVERAGE(AO223:AO234),"")</f>
        <v>0.974007647846978</v>
      </c>
      <c r="AQ228" s="23" t="n">
        <f aca="false">IF(ISNUMBER(Tabelle1!O235),(0.5*Tabelle1!O223+SUM(Tabelle1!O224:O234)+0.5*Tabelle1!O235)/12,"")</f>
        <v>151.332435416667</v>
      </c>
      <c r="AR228" s="24" t="n">
        <f aca="false">IFERROR(Tabelle1!O229/AQ228,"")</f>
        <v>1.01181336029128</v>
      </c>
      <c r="AS228" s="24" t="n">
        <f aca="false">IFERROR(AVERAGEIFS($AR$7:$AR$294,$B$7:$B$294,$B228,$A$7:$A$294,"&gt;="&amp;EDATE($A228,-12*'Seasonal Factors'!$E$4),$A$7:$A$294,"&lt;="&amp;EDATE($A228,12*'Seasonal Factors'!$E$4)),"")</f>
        <v>1.00622417339151</v>
      </c>
      <c r="AT228" s="24" t="n">
        <f aca="false">IFERROR(AS228/AVERAGE(AS223:AS234),"")</f>
        <v>1.00624108461348</v>
      </c>
      <c r="AU228" s="23" t="n">
        <f aca="false">IF(ISNUMBER(Tabelle1!P235),(0.5*Tabelle1!P223+SUM(Tabelle1!P224:P234)+0.5*Tabelle1!P235)/12,"")</f>
        <v>161.77387875</v>
      </c>
      <c r="AV228" s="24" t="n">
        <f aca="false">IFERROR(Tabelle1!P229/AU228,"")</f>
        <v>1.0045977833736</v>
      </c>
      <c r="AW228" s="24" t="n">
        <f aca="false">IFERROR(AVERAGEIFS($AV$7:$AV$294,$B$7:$B$294,$B228,$A$7:$A$294,"&gt;="&amp;EDATE($A228,-12*'Seasonal Factors'!$E$4),$A$7:$A$294,"&lt;="&amp;EDATE($A228,12*'Seasonal Factors'!$E$4)),"")</f>
        <v>0.993549530538656</v>
      </c>
      <c r="AX228" s="24" t="n">
        <f aca="false">IFERROR(AW228/AVERAGE(AW223:AW234),"")</f>
        <v>0.993526933816132</v>
      </c>
      <c r="AY228" s="23" t="n">
        <f aca="false">IF(ISNUMBER(Tabelle1!Q235),(0.5*Tabelle1!Q223+SUM(Tabelle1!Q224:Q234)+0.5*Tabelle1!Q235)/12,"")</f>
        <v>166.430512916667</v>
      </c>
      <c r="AZ228" s="24" t="n">
        <f aca="false">IFERROR(Tabelle1!Q229/AY228,"")</f>
        <v>1.00414910145521</v>
      </c>
      <c r="BA228" s="24" t="n">
        <f aca="false">IFERROR(AVERAGEIFS($AZ$7:$AZ$294,$B$7:$B$294,$B228,$A$7:$A$294,"&gt;="&amp;EDATE($A228,-12*'Seasonal Factors'!$E$4),$A$7:$A$294,"&lt;="&amp;EDATE($A228,12*'Seasonal Factors'!$E$4)),"")</f>
        <v>0.998758636720715</v>
      </c>
      <c r="BB228" s="24" t="n">
        <f aca="false">IFERROR(BA228/AVERAGE(BA223:BA234),"")</f>
        <v>0.998716986123974</v>
      </c>
      <c r="BC228" s="23" t="n">
        <f aca="false">IF(ISNUMBER(Tabelle1!R235),(0.5*Tabelle1!R223+SUM(Tabelle1!R224:R234)+0.5*Tabelle1!R235)/12,"")</f>
        <v>183.431220416667</v>
      </c>
      <c r="BD228" s="24" t="n">
        <f aca="false">IFERROR(Tabelle1!R229/BC228,"")</f>
        <v>1.09648864322622</v>
      </c>
      <c r="BE228" s="24" t="n">
        <f aca="false">IFERROR(AVERAGEIFS($BD$7:$BD$294,$B$7:$B$294,$B228,$A$7:$A$294,"&gt;="&amp;EDATE($A228,-12*'Seasonal Factors'!$E$4),$A$7:$A$294,"&lt;="&amp;EDATE($A228,12*'Seasonal Factors'!$E$4)),"")</f>
        <v>1.08511456603206</v>
      </c>
      <c r="BF228" s="24" t="n">
        <f aca="false">IFERROR(BE228/AVERAGE(BE223:BE234),"")</f>
        <v>1.0851478511592</v>
      </c>
      <c r="BG228" s="23" t="n">
        <f aca="false">IF(ISNUMBER(Tabelle1!S235),(0.5*Tabelle1!S223+SUM(Tabelle1!S224:S234)+0.5*Tabelle1!S235)/12,"")</f>
        <v>129.2131525</v>
      </c>
      <c r="BH228" s="24" t="n">
        <f aca="false">IFERROR(Tabelle1!S229/BG228,"")</f>
        <v>0.945194723888499</v>
      </c>
      <c r="BI228" s="24" t="n">
        <f aca="false">IFERROR(AVERAGEIFS($BH$7:$BH$294,$B$7:$B$294,$B228,$A$7:$A$294,"&gt;="&amp;EDATE($A228,-12*'Seasonal Factors'!$E$4),$A$7:$A$294,"&lt;="&amp;EDATE($A228,12*'Seasonal Factors'!$E$4)),"")</f>
        <v>0.924835528905678</v>
      </c>
      <c r="BJ228" s="24" t="n">
        <f aca="false">IFERROR(BI228/AVERAGE(BI223:BI234),"")</f>
        <v>0.928734190162097</v>
      </c>
    </row>
    <row r="229" customFormat="false" ht="15" hidden="false" customHeight="false" outlineLevel="0" collapsed="false">
      <c r="A229" s="20" t="n">
        <v>44773</v>
      </c>
      <c r="B229" s="22" t="n">
        <f aca="false">MONTH(A229)</f>
        <v>7</v>
      </c>
      <c r="C229" s="23" t="n">
        <f aca="false">IF(ISNUMBER(Tabelle1!E236),(0.5*Tabelle1!E224+SUM(Tabelle1!E225:E235)+0.5*Tabelle1!E236)/12,"")</f>
        <v>122.99869875</v>
      </c>
      <c r="D229" s="24" t="n">
        <f aca="false">IFERROR(Tabelle1!E230/C229,"")</f>
        <v>0.881146232451504</v>
      </c>
      <c r="E229" s="24" t="n">
        <f aca="false">IFERROR(AVERAGEIFS($D$7:$D$294,$B$7:$B$294,$B229,$A$7:$A$294,"&gt;="&amp;EDATE($A229,-12*'Seasonal Factors'!$E$4),$A$7:$A$294,"&lt;="&amp;EDATE($A229,12*'Seasonal Factors'!$E$4)),"")</f>
        <v>0.920807936546746</v>
      </c>
      <c r="F229" s="24" t="n">
        <f aca="false">IFERROR(E229/AVERAGE(E224:E235),"")</f>
        <v>0.923665661754105</v>
      </c>
      <c r="G229" s="23" t="n">
        <f aca="false">IF(ISNUMBER(Tabelle1!F236),(0.5*Tabelle1!F224+SUM(Tabelle1!F225:F235)+0.5*Tabelle1!F236)/12,"")</f>
        <v>173.443747916667</v>
      </c>
      <c r="H229" s="24" t="n">
        <f aca="false">IFERROR(Tabelle1!F230/G229,"")</f>
        <v>1.59074376167518</v>
      </c>
      <c r="I229" s="24" t="n">
        <f aca="false">IFERROR(AVERAGEIFS($H$7:$H$294,$B$7:$B$294,$B229,$A$7:$A$294,"&gt;="&amp;EDATE($A229,-12*'Seasonal Factors'!$E$4),$A$7:$A$294,"&lt;="&amp;EDATE($A229,12*'Seasonal Factors'!$E$4)),"")</f>
        <v>1.38802190817035</v>
      </c>
      <c r="J229" s="24" t="n">
        <f aca="false">IFERROR(I229/AVERAGE(I224:I235),"")</f>
        <v>1.39637042421967</v>
      </c>
      <c r="K229" s="23" t="n">
        <f aca="false">IF(ISNUMBER(Tabelle1!G236),(0.5*Tabelle1!G224+SUM(Tabelle1!G225:G235)+0.5*Tabelle1!G236)/12,"")</f>
        <v>98.1342404166667</v>
      </c>
      <c r="L229" s="24" t="n">
        <f aca="false">IFERROR(Tabelle1!G230/K229,"")</f>
        <v>1.01024096766904</v>
      </c>
      <c r="M229" s="24" t="n">
        <f aca="false">IFERROR(AVERAGEIFS($L$7:$L$294,$B$7:$B$294,$B229,$A$7:$A$294,"&gt;="&amp;EDATE($A229,-12*'Seasonal Factors'!$E$4),$A$7:$A$294,"&lt;="&amp;EDATE($A229,12*'Seasonal Factors'!$E$4)),"")</f>
        <v>1.01398594024447</v>
      </c>
      <c r="N229" s="24" t="n">
        <f aca="false">IFERROR(M229/AVERAGE(M224:M235),"")</f>
        <v>1.01511392070609</v>
      </c>
      <c r="O229" s="23" t="n">
        <f aca="false">IF(ISNUMBER(Tabelle1!H236),(0.5*Tabelle1!H224+SUM(Tabelle1!H225:H235)+0.5*Tabelle1!H236)/12,"")</f>
        <v>132.330979583333</v>
      </c>
      <c r="P229" s="24" t="n">
        <f aca="false">IFERROR(Tabelle1!H230/O229,"")</f>
        <v>1.03886641233112</v>
      </c>
      <c r="Q229" s="24" t="n">
        <f aca="false">IFERROR(AVERAGEIFS($P$7:$P$294,$B$7:$B$294,$B229,$A$7:$A$294,"&gt;="&amp;EDATE($A229,-12*'Seasonal Factors'!$E$4),$A$7:$A$294,"&lt;="&amp;EDATE($A229,12*'Seasonal Factors'!$E$4)),"")</f>
        <v>1.04370378011028</v>
      </c>
      <c r="R229" s="24" t="n">
        <f aca="false">IFERROR(Q229/AVERAGE(Q224:Q235),"")</f>
        <v>1.04477738861871</v>
      </c>
      <c r="S229" s="23" t="n">
        <f aca="false">IF(ISNUMBER(Tabelle1!I236),(0.5*Tabelle1!I224+SUM(Tabelle1!I225:I235)+0.5*Tabelle1!I236)/12,"")</f>
        <v>149.745179166667</v>
      </c>
      <c r="T229" s="24" t="n">
        <f aca="false">IFERROR(Tabelle1!I230/S229,"")</f>
        <v>1.06596954164607</v>
      </c>
      <c r="U229" s="24" t="n">
        <f aca="false">IFERROR(AVERAGEIFS($T$7:$T$294,$B$7:$B$294,$B229,$A$7:$A$294,"&gt;="&amp;EDATE($A229,-12*'Seasonal Factors'!$E$4),$A$7:$A$294,"&lt;="&amp;EDATE($A229,12*'Seasonal Factors'!$E$4)),"")</f>
        <v>1.09357599064382</v>
      </c>
      <c r="V229" s="24" t="n">
        <f aca="false">IFERROR(U229/AVERAGE(U224:U235),"")</f>
        <v>1.09388842472386</v>
      </c>
      <c r="W229" s="23" t="n">
        <f aca="false">IF(ISNUMBER(Tabelle1!J236),(0.5*Tabelle1!J224+SUM(Tabelle1!J225:J235)+0.5*Tabelle1!J236)/12,"")</f>
        <v>151.095762916667</v>
      </c>
      <c r="X229" s="24" t="n">
        <f aca="false">IFERROR(Tabelle1!J230/W229,"")</f>
        <v>0.999852855459098</v>
      </c>
      <c r="Y229" s="24" t="n">
        <f aca="false">IFERROR(AVERAGEIFS($X$7:$X$294,$B$7:$B$294,$B229,$A$7:$A$294,"&gt;="&amp;EDATE($A229,-12*'Seasonal Factors'!$E$4),$A$7:$A$294,"&lt;="&amp;EDATE($A229,12*'Seasonal Factors'!$E$4)),"")</f>
        <v>1.01424086434276</v>
      </c>
      <c r="Z229" s="24" t="n">
        <f aca="false">IFERROR(Y229/AVERAGE(Y224:Y235),"")</f>
        <v>1.01595262777418</v>
      </c>
      <c r="AA229" s="23" t="n">
        <f aca="false">IF(ISNUMBER(Tabelle1!K236),(0.5*Tabelle1!K224+SUM(Tabelle1!K225:K235)+0.5*Tabelle1!K236)/12,"")</f>
        <v>159.863644166667</v>
      </c>
      <c r="AB229" s="24" t="n">
        <f aca="false">IFERROR(Tabelle1!K230/AA229,"")</f>
        <v>1.01396956665773</v>
      </c>
      <c r="AC229" s="24" t="n">
        <f aca="false">IFERROR(AVERAGEIFS($AB$7:$AB$294,$B$7:$B$294,$B229,$A$7:$A$294,"&gt;="&amp;EDATE($A229,-12*'Seasonal Factors'!$E$4),$A$7:$A$294,"&lt;="&amp;EDATE($A229,12*'Seasonal Factors'!$E$4)),"")</f>
        <v>1.01361216022633</v>
      </c>
      <c r="AD229" s="24" t="n">
        <f aca="false">IFERROR(AC229/AVERAGE(AC224:AC235),"")</f>
        <v>1.01434357438838</v>
      </c>
      <c r="AE229" s="23" t="n">
        <f aca="false">IF(ISNUMBER(Tabelle1!L236),(0.5*Tabelle1!L224+SUM(Tabelle1!L225:L235)+0.5*Tabelle1!L236)/12,"")</f>
        <v>145.36872125</v>
      </c>
      <c r="AF229" s="24" t="n">
        <f aca="false">IFERROR(Tabelle1!L230/AE229,"")</f>
        <v>0.919233098089868</v>
      </c>
      <c r="AG229" s="24" t="n">
        <f aca="false">IFERROR(AVERAGEIFS($AF$7:$AF$294,$B$7:$B$294,$B229,$A$7:$A$294,"&gt;="&amp;EDATE($A229,-12*'Seasonal Factors'!$E$4),$A$7:$A$294,"&lt;="&amp;EDATE($A229,12*'Seasonal Factors'!$E$4)),"")</f>
        <v>0.938076972239491</v>
      </c>
      <c r="AH229" s="24" t="n">
        <f aca="false">IFERROR(AG229/AVERAGE(AG224:AG235),"")</f>
        <v>0.941762751878473</v>
      </c>
      <c r="AI229" s="23" t="n">
        <f aca="false">IF(ISNUMBER(Tabelle1!M236),(0.5*Tabelle1!M224+SUM(Tabelle1!M225:M235)+0.5*Tabelle1!M236)/12,"")</f>
        <v>182.904579166667</v>
      </c>
      <c r="AJ229" s="24" t="n">
        <f aca="false">IFERROR(Tabelle1!M230/AI229,"")</f>
        <v>1.01550606795224</v>
      </c>
      <c r="AK229" s="24" t="n">
        <f aca="false">IFERROR(AVERAGEIFS($AJ$7:$AJ$294,$B$7:$B$294,$B229,$A$7:$A$294,"&gt;="&amp;EDATE($A229,-12*'Seasonal Factors'!$E$4),$A$7:$A$294,"&lt;="&amp;EDATE($A229,12*'Seasonal Factors'!$E$4)),"")</f>
        <v>1.00764448050471</v>
      </c>
      <c r="AL229" s="24" t="n">
        <f aca="false">IFERROR(AK229/AVERAGE(AK224:AK235),"")</f>
        <v>1.00845863295685</v>
      </c>
      <c r="AM229" s="23" t="n">
        <f aca="false">IF(ISNUMBER(Tabelle1!N236),(0.5*Tabelle1!N224+SUM(Tabelle1!N225:N235)+0.5*Tabelle1!N236)/12,"")</f>
        <v>167.413741666667</v>
      </c>
      <c r="AN229" s="24" t="n">
        <f aca="false">IFERROR(Tabelle1!N230/AM229,"")</f>
        <v>0.995301869136688</v>
      </c>
      <c r="AO229" s="24" t="n">
        <f aca="false">IFERROR(AVERAGEIFS($AN$7:$AN$294,$B$7:$B$294,$B229,$A$7:$A$294,"&gt;="&amp;EDATE($A229,-12*'Seasonal Factors'!$E$4),$A$7:$A$294,"&lt;="&amp;EDATE($A229,12*'Seasonal Factors'!$E$4)),"")</f>
        <v>1.00366833106794</v>
      </c>
      <c r="AP229" s="24" t="n">
        <f aca="false">IFERROR(AO229/AVERAGE(AO224:AO235),"")</f>
        <v>1.00336874576187</v>
      </c>
      <c r="AQ229" s="23" t="n">
        <f aca="false">IF(ISNUMBER(Tabelle1!O236),(0.5*Tabelle1!O224+SUM(Tabelle1!O225:O235)+0.5*Tabelle1!O236)/12,"")</f>
        <v>151.663235</v>
      </c>
      <c r="AR229" s="24" t="n">
        <f aca="false">IFERROR(Tabelle1!O230/AQ229,"")</f>
        <v>1.00590693585034</v>
      </c>
      <c r="AS229" s="24" t="n">
        <f aca="false">IFERROR(AVERAGEIFS($AR$7:$AR$294,$B$7:$B$294,$B229,$A$7:$A$294,"&gt;="&amp;EDATE($A229,-12*'Seasonal Factors'!$E$4),$A$7:$A$294,"&lt;="&amp;EDATE($A229,12*'Seasonal Factors'!$E$4)),"")</f>
        <v>0.99894931128746</v>
      </c>
      <c r="AT229" s="24" t="n">
        <f aca="false">IFERROR(AS229/AVERAGE(AS224:AS235),"")</f>
        <v>0.998829539256018</v>
      </c>
      <c r="AU229" s="23" t="n">
        <f aca="false">IF(ISNUMBER(Tabelle1!P236),(0.5*Tabelle1!P224+SUM(Tabelle1!P225:P235)+0.5*Tabelle1!P236)/12,"")</f>
        <v>161.974720416667</v>
      </c>
      <c r="AV229" s="24" t="n">
        <f aca="false">IFERROR(Tabelle1!P230/AU229,"")</f>
        <v>1.00080438220852</v>
      </c>
      <c r="AW229" s="24" t="n">
        <f aca="false">IFERROR(AVERAGEIFS($AV$7:$AV$294,$B$7:$B$294,$B229,$A$7:$A$294,"&gt;="&amp;EDATE($A229,-12*'Seasonal Factors'!$E$4),$A$7:$A$294,"&lt;="&amp;EDATE($A229,12*'Seasonal Factors'!$E$4)),"")</f>
        <v>0.996614871778488</v>
      </c>
      <c r="AX229" s="24" t="n">
        <f aca="false">IFERROR(AW229/AVERAGE(AW224:AW235),"")</f>
        <v>0.996534909020537</v>
      </c>
      <c r="AY229" s="23" t="n">
        <f aca="false">IF(ISNUMBER(Tabelle1!Q236),(0.5*Tabelle1!Q224+SUM(Tabelle1!Q225:Q235)+0.5*Tabelle1!Q236)/12,"")</f>
        <v>166.774158333333</v>
      </c>
      <c r="AZ229" s="24" t="n">
        <f aca="false">IFERROR(Tabelle1!Q230/AY229,"")</f>
        <v>1.00706279485046</v>
      </c>
      <c r="BA229" s="24" t="n">
        <f aca="false">IFERROR(AVERAGEIFS($AZ$7:$AZ$294,$B$7:$B$294,$B229,$A$7:$A$294,"&gt;="&amp;EDATE($A229,-12*'Seasonal Factors'!$E$4),$A$7:$A$294,"&lt;="&amp;EDATE($A229,12*'Seasonal Factors'!$E$4)),"")</f>
        <v>1.00426833688261</v>
      </c>
      <c r="BB229" s="24" t="n">
        <f aca="false">IFERROR(BA229/AVERAGE(BA224:BA235),"")</f>
        <v>1.00420128951781</v>
      </c>
      <c r="BC229" s="23" t="n">
        <f aca="false">IF(ISNUMBER(Tabelle1!R236),(0.5*Tabelle1!R224+SUM(Tabelle1!R225:R235)+0.5*Tabelle1!R236)/12,"")</f>
        <v>183.556031666667</v>
      </c>
      <c r="BD229" s="24" t="n">
        <f aca="false">IFERROR(Tabelle1!R230/BC229,"")</f>
        <v>1.00367734215653</v>
      </c>
      <c r="BE229" s="24" t="n">
        <f aca="false">IFERROR(AVERAGEIFS($BD$7:$BD$294,$B$7:$B$294,$B229,$A$7:$A$294,"&gt;="&amp;EDATE($A229,-12*'Seasonal Factors'!$E$4),$A$7:$A$294,"&lt;="&amp;EDATE($A229,12*'Seasonal Factors'!$E$4)),"")</f>
        <v>1.00365513287909</v>
      </c>
      <c r="BF229" s="24" t="n">
        <f aca="false">IFERROR(BE229/AVERAGE(BE224:BE235),"")</f>
        <v>1.00356833708365</v>
      </c>
      <c r="BG229" s="23" t="n">
        <f aca="false">IF(ISNUMBER(Tabelle1!S236),(0.5*Tabelle1!S224+SUM(Tabelle1!S225:S235)+0.5*Tabelle1!S236)/12,"")</f>
        <v>129.659698333333</v>
      </c>
      <c r="BH229" s="24" t="n">
        <f aca="false">IFERROR(Tabelle1!S230/BG229,"")</f>
        <v>1.04788405145526</v>
      </c>
      <c r="BI229" s="24" t="n">
        <f aca="false">IFERROR(AVERAGEIFS($BH$7:$BH$294,$B$7:$B$294,$B229,$A$7:$A$294,"&gt;="&amp;EDATE($A229,-12*'Seasonal Factors'!$E$4),$A$7:$A$294,"&lt;="&amp;EDATE($A229,12*'Seasonal Factors'!$E$4)),"")</f>
        <v>1.02813801017532</v>
      </c>
      <c r="BJ229" s="24" t="n">
        <f aca="false">IFERROR(BI229/AVERAGE(BI224:BI235),"")</f>
        <v>1.03127585752948</v>
      </c>
    </row>
    <row r="230" customFormat="false" ht="15" hidden="false" customHeight="false" outlineLevel="0" collapsed="false">
      <c r="A230" s="20" t="n">
        <v>44804</v>
      </c>
      <c r="B230" s="22" t="n">
        <f aca="false">MONTH(A230)</f>
        <v>8</v>
      </c>
      <c r="C230" s="23" t="n">
        <f aca="false">IF(ISNUMBER(Tabelle1!E237),(0.5*Tabelle1!E225+SUM(Tabelle1!E226:E236)+0.5*Tabelle1!E237)/12,"")</f>
        <v>121.689875</v>
      </c>
      <c r="D230" s="24" t="n">
        <f aca="false">IFERROR(Tabelle1!E231/C230,"")</f>
        <v>0.62863792078018</v>
      </c>
      <c r="E230" s="24" t="n">
        <f aca="false">IFERROR(AVERAGEIFS($D$7:$D$294,$B$7:$B$294,$B230,$A$7:$A$294,"&gt;="&amp;EDATE($A230,-12*'Seasonal Factors'!$E$4),$A$7:$A$294,"&lt;="&amp;EDATE($A230,12*'Seasonal Factors'!$E$4)),"")</f>
        <v>0.630763231213126</v>
      </c>
      <c r="F230" s="24" t="n">
        <f aca="false">IFERROR(E230/AVERAGE(E225:E236),"")</f>
        <v>0.633222678599404</v>
      </c>
      <c r="G230" s="23" t="n">
        <f aca="false">IF(ISNUMBER(Tabelle1!F237),(0.5*Tabelle1!F225+SUM(Tabelle1!F226:F236)+0.5*Tabelle1!F237)/12,"")</f>
        <v>175.323054583333</v>
      </c>
      <c r="H230" s="24" t="n">
        <f aca="false">IFERROR(Tabelle1!F231/G230,"")</f>
        <v>1.66769128392653</v>
      </c>
      <c r="I230" s="24" t="n">
        <f aca="false">IFERROR(AVERAGEIFS($H$7:$H$294,$B$7:$B$294,$B230,$A$7:$A$294,"&gt;="&amp;EDATE($A230,-12*'Seasonal Factors'!$E$4),$A$7:$A$294,"&lt;="&amp;EDATE($A230,12*'Seasonal Factors'!$E$4)),"")</f>
        <v>1.66238139221537</v>
      </c>
      <c r="J230" s="24" t="n">
        <f aca="false">IFERROR(I230/AVERAGE(I225:I236),"")</f>
        <v>1.66987661528973</v>
      </c>
      <c r="K230" s="23" t="n">
        <f aca="false">IF(ISNUMBER(Tabelle1!G237),(0.5*Tabelle1!G225+SUM(Tabelle1!G226:G236)+0.5*Tabelle1!G237)/12,"")</f>
        <v>99.01233625</v>
      </c>
      <c r="L230" s="24" t="n">
        <f aca="false">IFERROR(Tabelle1!G231/K230,"")</f>
        <v>1.0307642851928</v>
      </c>
      <c r="M230" s="24" t="n">
        <f aca="false">IFERROR(AVERAGEIFS($L$7:$L$294,$B$7:$B$294,$B230,$A$7:$A$294,"&gt;="&amp;EDATE($A230,-12*'Seasonal Factors'!$E$4),$A$7:$A$294,"&lt;="&amp;EDATE($A230,12*'Seasonal Factors'!$E$4)),"")</f>
        <v>1.02245745459411</v>
      </c>
      <c r="N230" s="24" t="n">
        <f aca="false">IFERROR(M230/AVERAGE(M225:M236),"")</f>
        <v>1.02349210540642</v>
      </c>
      <c r="O230" s="23" t="n">
        <f aca="false">IF(ISNUMBER(Tabelle1!H237),(0.5*Tabelle1!H225+SUM(Tabelle1!H226:H236)+0.5*Tabelle1!H237)/12,"")</f>
        <v>132.58446375</v>
      </c>
      <c r="P230" s="24" t="n">
        <f aca="false">IFERROR(Tabelle1!H231/O230,"")</f>
        <v>1.06751278390263</v>
      </c>
      <c r="Q230" s="24" t="n">
        <f aca="false">IFERROR(AVERAGEIFS($P$7:$P$294,$B$7:$B$294,$B230,$A$7:$A$294,"&gt;="&amp;EDATE($A230,-12*'Seasonal Factors'!$E$4),$A$7:$A$294,"&lt;="&amp;EDATE($A230,12*'Seasonal Factors'!$E$4)),"")</f>
        <v>1.06265283519012</v>
      </c>
      <c r="R230" s="24" t="n">
        <f aca="false">IFERROR(Q230/AVERAGE(Q225:Q236),"")</f>
        <v>1.06351878515831</v>
      </c>
      <c r="S230" s="23" t="n">
        <f aca="false">IF(ISNUMBER(Tabelle1!I237),(0.5*Tabelle1!I225+SUM(Tabelle1!I226:I236)+0.5*Tabelle1!I237)/12,"")</f>
        <v>150.1603225</v>
      </c>
      <c r="T230" s="24" t="n">
        <f aca="false">IFERROR(Tabelle1!I231/S230,"")</f>
        <v>1.00255225544018</v>
      </c>
      <c r="U230" s="24" t="n">
        <f aca="false">IFERROR(AVERAGEIFS($T$7:$T$294,$B$7:$B$294,$B230,$A$7:$A$294,"&gt;="&amp;EDATE($A230,-12*'Seasonal Factors'!$E$4),$A$7:$A$294,"&lt;="&amp;EDATE($A230,12*'Seasonal Factors'!$E$4)),"")</f>
        <v>1.03288093828941</v>
      </c>
      <c r="V230" s="24" t="n">
        <f aca="false">IFERROR(U230/AVERAGE(U225:U236),"")</f>
        <v>1.0333423367229</v>
      </c>
      <c r="W230" s="23" t="n">
        <f aca="false">IF(ISNUMBER(Tabelle1!J237),(0.5*Tabelle1!J225+SUM(Tabelle1!J226:J236)+0.5*Tabelle1!J237)/12,"")</f>
        <v>151.473460833333</v>
      </c>
      <c r="X230" s="24" t="n">
        <f aca="false">IFERROR(Tabelle1!J231/W230,"")</f>
        <v>1.06918326886449</v>
      </c>
      <c r="Y230" s="24" t="n">
        <f aca="false">IFERROR(AVERAGEIFS($X$7:$X$294,$B$7:$B$294,$B230,$A$7:$A$294,"&gt;="&amp;EDATE($A230,-12*'Seasonal Factors'!$E$4),$A$7:$A$294,"&lt;="&amp;EDATE($A230,12*'Seasonal Factors'!$E$4)),"")</f>
        <v>1.07861751777935</v>
      </c>
      <c r="Z230" s="24" t="n">
        <f aca="false">IFERROR(Y230/AVERAGE(Y225:Y236),"")</f>
        <v>1.08019112896629</v>
      </c>
      <c r="AA230" s="23" t="n">
        <f aca="false">IF(ISNUMBER(Tabelle1!K237),(0.5*Tabelle1!K225+SUM(Tabelle1!K226:K236)+0.5*Tabelle1!K237)/12,"")</f>
        <v>160.24202375</v>
      </c>
      <c r="AB230" s="24" t="n">
        <f aca="false">IFERROR(Tabelle1!K231/AA230,"")</f>
        <v>1.03707202462238</v>
      </c>
      <c r="AC230" s="24" t="n">
        <f aca="false">IFERROR(AVERAGEIFS($AB$7:$AB$294,$B$7:$B$294,$B230,$A$7:$A$294,"&gt;="&amp;EDATE($A230,-12*'Seasonal Factors'!$E$4),$A$7:$A$294,"&lt;="&amp;EDATE($A230,12*'Seasonal Factors'!$E$4)),"")</f>
        <v>1.02633851901585</v>
      </c>
      <c r="AD230" s="24" t="n">
        <f aca="false">IFERROR(AC230/AVERAGE(AC225:AC236),"")</f>
        <v>1.02715981601477</v>
      </c>
      <c r="AE230" s="23" t="n">
        <f aca="false">IF(ISNUMBER(Tabelle1!L237),(0.5*Tabelle1!L225+SUM(Tabelle1!L226:L236)+0.5*Tabelle1!L237)/12,"")</f>
        <v>146.3131075</v>
      </c>
      <c r="AF230" s="24" t="n">
        <f aca="false">IFERROR(Tabelle1!L231/AE230,"")</f>
        <v>0.975655718336787</v>
      </c>
      <c r="AG230" s="24" t="n">
        <f aca="false">IFERROR(AVERAGEIFS($AF$7:$AF$294,$B$7:$B$294,$B230,$A$7:$A$294,"&gt;="&amp;EDATE($A230,-12*'Seasonal Factors'!$E$4),$A$7:$A$294,"&lt;="&amp;EDATE($A230,12*'Seasonal Factors'!$E$4)),"")</f>
        <v>0.997380443653266</v>
      </c>
      <c r="AH230" s="24" t="n">
        <f aca="false">IFERROR(AG230/AVERAGE(AG225:AG236),"")</f>
        <v>0.999632502309627</v>
      </c>
      <c r="AI230" s="23" t="n">
        <f aca="false">IF(ISNUMBER(Tabelle1!M237),(0.5*Tabelle1!M225+SUM(Tabelle1!M226:M236)+0.5*Tabelle1!M237)/12,"")</f>
        <v>183.16354375</v>
      </c>
      <c r="AJ230" s="24" t="n">
        <f aca="false">IFERROR(Tabelle1!M231/AI230,"")</f>
        <v>0.995303247947778</v>
      </c>
      <c r="AK230" s="24" t="n">
        <f aca="false">IFERROR(AVERAGEIFS($AJ$7:$AJ$294,$B$7:$B$294,$B230,$A$7:$A$294,"&gt;="&amp;EDATE($A230,-12*'Seasonal Factors'!$E$4),$A$7:$A$294,"&lt;="&amp;EDATE($A230,12*'Seasonal Factors'!$E$4)),"")</f>
        <v>0.992671051273803</v>
      </c>
      <c r="AL230" s="24" t="n">
        <f aca="false">IFERROR(AK230/AVERAGE(AK225:AK236),"")</f>
        <v>0.993397084169876</v>
      </c>
      <c r="AM230" s="23" t="n">
        <f aca="false">IF(ISNUMBER(Tabelle1!N237),(0.5*Tabelle1!N225+SUM(Tabelle1!N226:N236)+0.5*Tabelle1!N237)/12,"")</f>
        <v>166.985506666667</v>
      </c>
      <c r="AN230" s="24" t="n">
        <f aca="false">IFERROR(Tabelle1!N231/AM230,"")</f>
        <v>1.0117934985655</v>
      </c>
      <c r="AO230" s="24" t="n">
        <f aca="false">IFERROR(AVERAGEIFS($AN$7:$AN$294,$B$7:$B$294,$B230,$A$7:$A$294,"&gt;="&amp;EDATE($A230,-12*'Seasonal Factors'!$E$4),$A$7:$A$294,"&lt;="&amp;EDATE($A230,12*'Seasonal Factors'!$E$4)),"")</f>
        <v>1.02690753263349</v>
      </c>
      <c r="AP230" s="24" t="n">
        <f aca="false">IFERROR(AO230/AVERAGE(AO225:AO236),"")</f>
        <v>1.02697743465137</v>
      </c>
      <c r="AQ230" s="23" t="n">
        <f aca="false">IF(ISNUMBER(Tabelle1!O237),(0.5*Tabelle1!O225+SUM(Tabelle1!O226:O236)+0.5*Tabelle1!O237)/12,"")</f>
        <v>151.947700833333</v>
      </c>
      <c r="AR230" s="24" t="n">
        <f aca="false">IFERROR(Tabelle1!O231/AQ230,"")</f>
        <v>1.01754221453861</v>
      </c>
      <c r="AS230" s="24" t="n">
        <f aca="false">IFERROR(AVERAGEIFS($AR$7:$AR$294,$B$7:$B$294,$B230,$A$7:$A$294,"&gt;="&amp;EDATE($A230,-12*'Seasonal Factors'!$E$4),$A$7:$A$294,"&lt;="&amp;EDATE($A230,12*'Seasonal Factors'!$E$4)),"")</f>
        <v>1.0094613402852</v>
      </c>
      <c r="AT230" s="24" t="n">
        <f aca="false">IFERROR(AS230/AVERAGE(AS225:AS236),"")</f>
        <v>1.00916388421142</v>
      </c>
      <c r="AU230" s="23" t="n">
        <f aca="false">IF(ISNUMBER(Tabelle1!P237),(0.5*Tabelle1!P225+SUM(Tabelle1!P226:P236)+0.5*Tabelle1!P237)/12,"")</f>
        <v>162.218275833333</v>
      </c>
      <c r="AV230" s="24" t="n">
        <f aca="false">IFERROR(Tabelle1!P231/AU230,"")</f>
        <v>0.995741134408042</v>
      </c>
      <c r="AW230" s="24" t="n">
        <f aca="false">IFERROR(AVERAGEIFS($AV$7:$AV$294,$B$7:$B$294,$B230,$A$7:$A$294,"&gt;="&amp;EDATE($A230,-12*'Seasonal Factors'!$E$4),$A$7:$A$294,"&lt;="&amp;EDATE($A230,12*'Seasonal Factors'!$E$4)),"")</f>
        <v>0.993056092083335</v>
      </c>
      <c r="AX230" s="24" t="n">
        <f aca="false">IFERROR(AW230/AVERAGE(AW225:AW236),"")</f>
        <v>0.992879925189948</v>
      </c>
      <c r="AY230" s="23" t="n">
        <f aca="false">IF(ISNUMBER(Tabelle1!Q237),(0.5*Tabelle1!Q225+SUM(Tabelle1!Q226:Q236)+0.5*Tabelle1!Q237)/12,"")</f>
        <v>167.118215833333</v>
      </c>
      <c r="AZ230" s="24" t="n">
        <f aca="false">IFERROR(Tabelle1!Q231/AY230,"")</f>
        <v>1.00817256311561</v>
      </c>
      <c r="BA230" s="24" t="n">
        <f aca="false">IFERROR(AVERAGEIFS($AZ$7:$AZ$294,$B$7:$B$294,$B230,$A$7:$A$294,"&gt;="&amp;EDATE($A230,-12*'Seasonal Factors'!$E$4),$A$7:$A$294,"&lt;="&amp;EDATE($A230,12*'Seasonal Factors'!$E$4)),"")</f>
        <v>1.00618652568023</v>
      </c>
      <c r="BB230" s="24" t="n">
        <f aca="false">IFERROR(BA230/AVERAGE(BA225:BA236),"")</f>
        <v>1.00604458246406</v>
      </c>
      <c r="BC230" s="23" t="n">
        <f aca="false">IF(ISNUMBER(Tabelle1!R237),(0.5*Tabelle1!R225+SUM(Tabelle1!R226:R236)+0.5*Tabelle1!R237)/12,"")</f>
        <v>183.6580575</v>
      </c>
      <c r="BD230" s="24" t="n">
        <f aca="false">IFERROR(Tabelle1!R231/BC230,"")</f>
        <v>0.999468754590307</v>
      </c>
      <c r="BE230" s="24" t="n">
        <f aca="false">IFERROR(AVERAGEIFS($BD$7:$BD$294,$B$7:$B$294,$B230,$A$7:$A$294,"&gt;="&amp;EDATE($A230,-12*'Seasonal Factors'!$E$4),$A$7:$A$294,"&lt;="&amp;EDATE($A230,12*'Seasonal Factors'!$E$4)),"")</f>
        <v>0.999538143851415</v>
      </c>
      <c r="BF230" s="24" t="n">
        <f aca="false">IFERROR(BE230/AVERAGE(BE225:BE236),"")</f>
        <v>0.999278230409894</v>
      </c>
      <c r="BG230" s="23" t="n">
        <f aca="false">IF(ISNUMBER(Tabelle1!S237),(0.5*Tabelle1!S225+SUM(Tabelle1!S226:S236)+0.5*Tabelle1!S237)/12,"")</f>
        <v>130.244009166667</v>
      </c>
      <c r="BH230" s="24" t="n">
        <f aca="false">IFERROR(Tabelle1!S231/BG230,"")</f>
        <v>0.990549667700327</v>
      </c>
      <c r="BI230" s="24" t="n">
        <f aca="false">IFERROR(AVERAGEIFS($BH$7:$BH$294,$B$7:$B$294,$B230,$A$7:$A$294,"&gt;="&amp;EDATE($A230,-12*'Seasonal Factors'!$E$4),$A$7:$A$294,"&lt;="&amp;EDATE($A230,12*'Seasonal Factors'!$E$4)),"")</f>
        <v>0.967501340829595</v>
      </c>
      <c r="BJ230" s="24" t="n">
        <f aca="false">IFERROR(BI230/AVERAGE(BI225:BI236),"")</f>
        <v>0.969094507586377</v>
      </c>
    </row>
    <row r="231" customFormat="false" ht="15" hidden="false" customHeight="false" outlineLevel="0" collapsed="false">
      <c r="A231" s="20" t="n">
        <v>44834</v>
      </c>
      <c r="B231" s="22" t="n">
        <f aca="false">MONTH(A231)</f>
        <v>9</v>
      </c>
      <c r="C231" s="23" t="n">
        <f aca="false">IF(ISNUMBER(Tabelle1!E238),(0.5*Tabelle1!E226+SUM(Tabelle1!E227:E237)+0.5*Tabelle1!E238)/12,"")</f>
        <v>120.1682025</v>
      </c>
      <c r="D231" s="24" t="n">
        <f aca="false">IFERROR(Tabelle1!E232/C231,"")</f>
        <v>0.603676750511434</v>
      </c>
      <c r="E231" s="24" t="n">
        <f aca="false">IFERROR(AVERAGEIFS($D$7:$D$294,$B$7:$B$294,$B231,$A$7:$A$294,"&gt;="&amp;EDATE($A231,-12*'Seasonal Factors'!$E$4),$A$7:$A$294,"&lt;="&amp;EDATE($A231,12*'Seasonal Factors'!$E$4)),"")</f>
        <v>0.591700562997851</v>
      </c>
      <c r="F231" s="24" t="n">
        <f aca="false">IFERROR(E231/AVERAGE(E226:E237),"")</f>
        <v>0.594834264661982</v>
      </c>
      <c r="G231" s="23" t="n">
        <f aca="false">IF(ISNUMBER(Tabelle1!F238),(0.5*Tabelle1!F226+SUM(Tabelle1!F227:F237)+0.5*Tabelle1!F238)/12,"")</f>
        <v>173.852384166667</v>
      </c>
      <c r="H231" s="24" t="n">
        <f aca="false">IFERROR(Tabelle1!F232/G231,"")</f>
        <v>1.22102432484616</v>
      </c>
      <c r="I231" s="24" t="n">
        <f aca="false">IFERROR(AVERAGEIFS($H$7:$H$294,$B$7:$B$294,$B231,$A$7:$A$294,"&gt;="&amp;EDATE($A231,-12*'Seasonal Factors'!$E$4),$A$7:$A$294,"&lt;="&amp;EDATE($A231,12*'Seasonal Factors'!$E$4)),"")</f>
        <v>1.3571862615539</v>
      </c>
      <c r="J231" s="24" t="n">
        <f aca="false">IFERROR(I231/AVERAGE(I226:I237),"")</f>
        <v>1.36471201079008</v>
      </c>
      <c r="K231" s="23" t="n">
        <f aca="false">IF(ISNUMBER(Tabelle1!G238),(0.5*Tabelle1!G226+SUM(Tabelle1!G227:G237)+0.5*Tabelle1!G238)/12,"")</f>
        <v>99.7731520833333</v>
      </c>
      <c r="L231" s="24" t="n">
        <f aca="false">IFERROR(Tabelle1!G232/K231,"")</f>
        <v>0.99167148610641</v>
      </c>
      <c r="M231" s="24" t="n">
        <f aca="false">IFERROR(AVERAGEIFS($L$7:$L$294,$B$7:$B$294,$B231,$A$7:$A$294,"&gt;="&amp;EDATE($A231,-12*'Seasonal Factors'!$E$4),$A$7:$A$294,"&lt;="&amp;EDATE($A231,12*'Seasonal Factors'!$E$4)),"")</f>
        <v>0.99565216725763</v>
      </c>
      <c r="N231" s="24" t="n">
        <f aca="false">IFERROR(M231/AVERAGE(M226:M237),"")</f>
        <v>0.996847854729361</v>
      </c>
      <c r="O231" s="23" t="n">
        <f aca="false">IF(ISNUMBER(Tabelle1!H238),(0.5*Tabelle1!H226+SUM(Tabelle1!H227:H237)+0.5*Tabelle1!H238)/12,"")</f>
        <v>132.68933375</v>
      </c>
      <c r="P231" s="24" t="n">
        <f aca="false">IFERROR(Tabelle1!H232/O231,"")</f>
        <v>1.03458006849778</v>
      </c>
      <c r="Q231" s="24" t="n">
        <f aca="false">IFERROR(AVERAGEIFS($P$7:$P$294,$B$7:$B$294,$B231,$A$7:$A$294,"&gt;="&amp;EDATE($A231,-12*'Seasonal Factors'!$E$4),$A$7:$A$294,"&lt;="&amp;EDATE($A231,12*'Seasonal Factors'!$E$4)),"")</f>
        <v>1.03577674467761</v>
      </c>
      <c r="R231" s="24" t="n">
        <f aca="false">IFERROR(Q231/AVERAGE(Q226:Q237),"")</f>
        <v>1.0369653628282</v>
      </c>
      <c r="S231" s="23" t="n">
        <f aca="false">IF(ISNUMBER(Tabelle1!I238),(0.5*Tabelle1!I226+SUM(Tabelle1!I227:I237)+0.5*Tabelle1!I238)/12,"")</f>
        <v>151.278174166667</v>
      </c>
      <c r="T231" s="24" t="n">
        <f aca="false">IFERROR(Tabelle1!I232/S231,"")</f>
        <v>0.885244555189166</v>
      </c>
      <c r="U231" s="24" t="n">
        <f aca="false">IFERROR(AVERAGEIFS($T$7:$T$294,$B$7:$B$294,$B231,$A$7:$A$294,"&gt;="&amp;EDATE($A231,-12*'Seasonal Factors'!$E$4),$A$7:$A$294,"&lt;="&amp;EDATE($A231,12*'Seasonal Factors'!$E$4)),"")</f>
        <v>0.935908687226271</v>
      </c>
      <c r="V231" s="24" t="n">
        <f aca="false">IFERROR(U231/AVERAGE(U226:U237),"")</f>
        <v>0.936202165810091</v>
      </c>
      <c r="W231" s="23" t="n">
        <f aca="false">IF(ISNUMBER(Tabelle1!J238),(0.5*Tabelle1!J226+SUM(Tabelle1!J227:J237)+0.5*Tabelle1!J238)/12,"")</f>
        <v>151.772549583333</v>
      </c>
      <c r="X231" s="24" t="n">
        <f aca="false">IFERROR(Tabelle1!J232/W231,"")</f>
        <v>1.05414187505729</v>
      </c>
      <c r="Y231" s="24" t="n">
        <f aca="false">IFERROR(AVERAGEIFS($X$7:$X$294,$B$7:$B$294,$B231,$A$7:$A$294,"&gt;="&amp;EDATE($A231,-12*'Seasonal Factors'!$E$4),$A$7:$A$294,"&lt;="&amp;EDATE($A231,12*'Seasonal Factors'!$E$4)),"")</f>
        <v>1.04845566541358</v>
      </c>
      <c r="Z231" s="24" t="n">
        <f aca="false">IFERROR(Y231/AVERAGE(Y226:Y237),"")</f>
        <v>1.05038733520542</v>
      </c>
      <c r="AA231" s="23" t="n">
        <f aca="false">IF(ISNUMBER(Tabelle1!K238),(0.5*Tabelle1!K226+SUM(Tabelle1!K227:K237)+0.5*Tabelle1!K238)/12,"")</f>
        <v>160.610248333333</v>
      </c>
      <c r="AB231" s="24" t="n">
        <f aca="false">IFERROR(Tabelle1!K232/AA231,"")</f>
        <v>1.03095114862378</v>
      </c>
      <c r="AC231" s="24" t="n">
        <f aca="false">IFERROR(AVERAGEIFS($AB$7:$AB$294,$B$7:$B$294,$B231,$A$7:$A$294,"&gt;="&amp;EDATE($A231,-12*'Seasonal Factors'!$E$4),$A$7:$A$294,"&lt;="&amp;EDATE($A231,12*'Seasonal Factors'!$E$4)),"")</f>
        <v>1.00722649531006</v>
      </c>
      <c r="AD231" s="24" t="n">
        <f aca="false">IFERROR(AC231/AVERAGE(AC226:AC237),"")</f>
        <v>1.00909316622582</v>
      </c>
      <c r="AE231" s="23" t="n">
        <f aca="false">IF(ISNUMBER(Tabelle1!L238),(0.5*Tabelle1!L226+SUM(Tabelle1!L227:L237)+0.5*Tabelle1!L238)/12,"")</f>
        <v>147.023948333333</v>
      </c>
      <c r="AF231" s="24" t="n">
        <f aca="false">IFERROR(Tabelle1!L232/AE231,"")</f>
        <v>0.904694313462697</v>
      </c>
      <c r="AG231" s="24" t="n">
        <f aca="false">IFERROR(AVERAGEIFS($AF$7:$AF$294,$B$7:$B$294,$B231,$A$7:$A$294,"&gt;="&amp;EDATE($A231,-12*'Seasonal Factors'!$E$4),$A$7:$A$294,"&lt;="&amp;EDATE($A231,12*'Seasonal Factors'!$E$4)),"")</f>
        <v>0.949377745220189</v>
      </c>
      <c r="AH231" s="24" t="n">
        <f aca="false">IFERROR(AG231/AVERAGE(AG226:AG237),"")</f>
        <v>0.952238659645372</v>
      </c>
      <c r="AI231" s="23" t="n">
        <f aca="false">IF(ISNUMBER(Tabelle1!M238),(0.5*Tabelle1!M226+SUM(Tabelle1!M227:M237)+0.5*Tabelle1!M238)/12,"")</f>
        <v>183.079481666667</v>
      </c>
      <c r="AJ231" s="24" t="n">
        <f aca="false">IFERROR(Tabelle1!M232/AI231,"")</f>
        <v>0.985673207927023</v>
      </c>
      <c r="AK231" s="24" t="n">
        <f aca="false">IFERROR(AVERAGEIFS($AJ$7:$AJ$294,$B$7:$B$294,$B231,$A$7:$A$294,"&gt;="&amp;EDATE($A231,-12*'Seasonal Factors'!$E$4),$A$7:$A$294,"&lt;="&amp;EDATE($A231,12*'Seasonal Factors'!$E$4)),"")</f>
        <v>0.98836850545419</v>
      </c>
      <c r="AL231" s="24" t="n">
        <f aca="false">IFERROR(AK231/AVERAGE(AK226:AK237),"")</f>
        <v>0.989285688895915</v>
      </c>
      <c r="AM231" s="23" t="n">
        <f aca="false">IF(ISNUMBER(Tabelle1!N238),(0.5*Tabelle1!N226+SUM(Tabelle1!N227:N237)+0.5*Tabelle1!N238)/12,"")</f>
        <v>166.550840833333</v>
      </c>
      <c r="AN231" s="24" t="n">
        <f aca="false">IFERROR(Tabelle1!N232/AM231,"")</f>
        <v>0.976815002470042</v>
      </c>
      <c r="AO231" s="24" t="n">
        <f aca="false">IFERROR(AVERAGEIFS($AN$7:$AN$294,$B$7:$B$294,$B231,$A$7:$A$294,"&gt;="&amp;EDATE($A231,-12*'Seasonal Factors'!$E$4),$A$7:$A$294,"&lt;="&amp;EDATE($A231,12*'Seasonal Factors'!$E$4)),"")</f>
        <v>1.00775322825659</v>
      </c>
      <c r="AP231" s="24" t="n">
        <f aca="false">IFERROR(AO231/AVERAGE(AO226:AO237),"")</f>
        <v>1.00745212680218</v>
      </c>
      <c r="AQ231" s="23" t="n">
        <f aca="false">IF(ISNUMBER(Tabelle1!O238),(0.5*Tabelle1!O226+SUM(Tabelle1!O227:O237)+0.5*Tabelle1!O238)/12,"")</f>
        <v>152.21408375</v>
      </c>
      <c r="AR231" s="24" t="n">
        <f aca="false">IFERROR(Tabelle1!O232/AQ231,"")</f>
        <v>1.00221619604237</v>
      </c>
      <c r="AS231" s="24" t="n">
        <f aca="false">IFERROR(AVERAGEIFS($AR$7:$AR$294,$B$7:$B$294,$B231,$A$7:$A$294,"&gt;="&amp;EDATE($A231,-12*'Seasonal Factors'!$E$4),$A$7:$A$294,"&lt;="&amp;EDATE($A231,12*'Seasonal Factors'!$E$4)),"")</f>
        <v>1.00138192476545</v>
      </c>
      <c r="AT231" s="24" t="n">
        <f aca="false">IFERROR(AS231/AVERAGE(AS226:AS237),"")</f>
        <v>1.00121296155836</v>
      </c>
      <c r="AU231" s="23" t="n">
        <f aca="false">IF(ISNUMBER(Tabelle1!P238),(0.5*Tabelle1!P226+SUM(Tabelle1!P227:P237)+0.5*Tabelle1!P238)/12,"")</f>
        <v>162.456404166667</v>
      </c>
      <c r="AV231" s="24" t="n">
        <f aca="false">IFERROR(Tabelle1!P232/AU231,"")</f>
        <v>0.998979454411064</v>
      </c>
      <c r="AW231" s="24" t="n">
        <f aca="false">IFERROR(AVERAGEIFS($AV$7:$AV$294,$B$7:$B$294,$B231,$A$7:$A$294,"&gt;="&amp;EDATE($A231,-12*'Seasonal Factors'!$E$4),$A$7:$A$294,"&lt;="&amp;EDATE($A231,12*'Seasonal Factors'!$E$4)),"")</f>
        <v>0.997342357360274</v>
      </c>
      <c r="AX231" s="24" t="n">
        <f aca="false">IFERROR(AW231/AVERAGE(AW226:AW237),"")</f>
        <v>0.997099474757198</v>
      </c>
      <c r="AY231" s="23" t="n">
        <f aca="false">IF(ISNUMBER(Tabelle1!Q238),(0.5*Tabelle1!Q226+SUM(Tabelle1!Q227:Q237)+0.5*Tabelle1!Q238)/12,"")</f>
        <v>167.47139125</v>
      </c>
      <c r="AZ231" s="24" t="n">
        <f aca="false">IFERROR(Tabelle1!Q232/AY231,"")</f>
        <v>1.01126322971297</v>
      </c>
      <c r="BA231" s="24" t="n">
        <f aca="false">IFERROR(AVERAGEIFS($AZ$7:$AZ$294,$B$7:$B$294,$B231,$A$7:$A$294,"&gt;="&amp;EDATE($A231,-12*'Seasonal Factors'!$E$4),$A$7:$A$294,"&lt;="&amp;EDATE($A231,12*'Seasonal Factors'!$E$4)),"")</f>
        <v>1.01132144075113</v>
      </c>
      <c r="BB231" s="24" t="n">
        <f aca="false">IFERROR(BA231/AVERAGE(BA226:BA237),"")</f>
        <v>1.01104936887092</v>
      </c>
      <c r="BC231" s="23" t="n">
        <f aca="false">IF(ISNUMBER(Tabelle1!R238),(0.5*Tabelle1!R226+SUM(Tabelle1!R227:R237)+0.5*Tabelle1!R238)/12,"")</f>
        <v>183.783255416667</v>
      </c>
      <c r="BD231" s="24" t="n">
        <f aca="false">IFERROR(Tabelle1!R232/BC231,"")</f>
        <v>0.983895456580326</v>
      </c>
      <c r="BE231" s="24" t="n">
        <f aca="false">IFERROR(AVERAGEIFS($BD$7:$BD$294,$B$7:$B$294,$B231,$A$7:$A$294,"&gt;="&amp;EDATE($A231,-12*'Seasonal Factors'!$E$4),$A$7:$A$294,"&lt;="&amp;EDATE($A231,12*'Seasonal Factors'!$E$4)),"")</f>
        <v>0.987831568832654</v>
      </c>
      <c r="BF231" s="24" t="n">
        <f aca="false">IFERROR(BE231/AVERAGE(BE226:BE237),"")</f>
        <v>0.987575269528195</v>
      </c>
      <c r="BG231" s="23" t="n">
        <f aca="false">IF(ISNUMBER(Tabelle1!S238),(0.5*Tabelle1!S226+SUM(Tabelle1!S227:S237)+0.5*Tabelle1!S238)/12,"")</f>
        <v>130.629345</v>
      </c>
      <c r="BH231" s="24" t="n">
        <f aca="false">IFERROR(Tabelle1!S232/BG231,"")</f>
        <v>0.946943429900839</v>
      </c>
      <c r="BI231" s="24" t="n">
        <f aca="false">IFERROR(AVERAGEIFS($BH$7:$BH$294,$B$7:$B$294,$B231,$A$7:$A$294,"&gt;="&amp;EDATE($A231,-12*'Seasonal Factors'!$E$4),$A$7:$A$294,"&lt;="&amp;EDATE($A231,12*'Seasonal Factors'!$E$4)),"")</f>
        <v>0.938680029944958</v>
      </c>
      <c r="BJ231" s="24" t="n">
        <f aca="false">IFERROR(BI231/AVERAGE(BI226:BI237),"")</f>
        <v>0.939046111124139</v>
      </c>
    </row>
    <row r="232" customFormat="false" ht="15" hidden="false" customHeight="false" outlineLevel="0" collapsed="false">
      <c r="A232" s="20" t="n">
        <v>44865</v>
      </c>
      <c r="B232" s="22" t="n">
        <f aca="false">MONTH(A232)</f>
        <v>10</v>
      </c>
      <c r="C232" s="23" t="n">
        <f aca="false">IF(ISNUMBER(Tabelle1!E239),(0.5*Tabelle1!E227+SUM(Tabelle1!E228:E238)+0.5*Tabelle1!E239)/12,"")</f>
        <v>115.661422916667</v>
      </c>
      <c r="D232" s="24" t="n">
        <f aca="false">IFERROR(Tabelle1!E233/C232,"")</f>
        <v>0.557781655915489</v>
      </c>
      <c r="E232" s="24" t="n">
        <f aca="false">IFERROR(AVERAGEIFS($D$7:$D$294,$B$7:$B$294,$B232,$A$7:$A$294,"&gt;="&amp;EDATE($A232,-12*'Seasonal Factors'!$E$4),$A$7:$A$294,"&lt;="&amp;EDATE($A232,12*'Seasonal Factors'!$E$4)),"")</f>
        <v>0.58583786539547</v>
      </c>
      <c r="F232" s="24" t="n">
        <f aca="false">IFERROR(E232/AVERAGE(E227:E238),"")</f>
        <v>0.588191079907585</v>
      </c>
      <c r="G232" s="23" t="n">
        <f aca="false">IF(ISNUMBER(Tabelle1!F239),(0.5*Tabelle1!F227+SUM(Tabelle1!F228:F238)+0.5*Tabelle1!F239)/12,"")</f>
        <v>167.55679625</v>
      </c>
      <c r="H232" s="24" t="n">
        <f aca="false">IFERROR(Tabelle1!F233/G232,"")</f>
        <v>0.512608034542795</v>
      </c>
      <c r="I232" s="24" t="n">
        <f aca="false">IFERROR(AVERAGEIFS($H$7:$H$294,$B$7:$B$294,$B232,$A$7:$A$294,"&gt;="&amp;EDATE($A232,-12*'Seasonal Factors'!$E$4),$A$7:$A$294,"&lt;="&amp;EDATE($A232,12*'Seasonal Factors'!$E$4)),"")</f>
        <v>0.877799538929694</v>
      </c>
      <c r="J232" s="24" t="n">
        <f aca="false">IFERROR(I232/AVERAGE(I227:I238),"")</f>
        <v>0.880013972251807</v>
      </c>
      <c r="K232" s="23" t="n">
        <f aca="false">IF(ISNUMBER(Tabelle1!G239),(0.5*Tabelle1!G227+SUM(Tabelle1!G228:G238)+0.5*Tabelle1!G239)/12,"")</f>
        <v>100.408518333333</v>
      </c>
      <c r="L232" s="24" t="n">
        <f aca="false">IFERROR(Tabelle1!G233/K232,"")</f>
        <v>1.02348507582632</v>
      </c>
      <c r="M232" s="24" t="n">
        <f aca="false">IFERROR(AVERAGEIFS($L$7:$L$294,$B$7:$B$294,$B232,$A$7:$A$294,"&gt;="&amp;EDATE($A232,-12*'Seasonal Factors'!$E$4),$A$7:$A$294,"&lt;="&amp;EDATE($A232,12*'Seasonal Factors'!$E$4)),"")</f>
        <v>1.01808308477852</v>
      </c>
      <c r="N232" s="24" t="n">
        <f aca="false">IFERROR(M232/AVERAGE(M227:M238),"")</f>
        <v>1.01955163684972</v>
      </c>
      <c r="O232" s="23" t="n">
        <f aca="false">IF(ISNUMBER(Tabelle1!H239),(0.5*Tabelle1!H227+SUM(Tabelle1!H228:H238)+0.5*Tabelle1!H239)/12,"")</f>
        <v>132.9438875</v>
      </c>
      <c r="P232" s="24" t="n">
        <f aca="false">IFERROR(Tabelle1!H233/O232,"")</f>
        <v>1.04037855820938</v>
      </c>
      <c r="Q232" s="24" t="n">
        <f aca="false">IFERROR(AVERAGEIFS($P$7:$P$294,$B$7:$B$294,$B232,$A$7:$A$294,"&gt;="&amp;EDATE($A232,-12*'Seasonal Factors'!$E$4),$A$7:$A$294,"&lt;="&amp;EDATE($A232,12*'Seasonal Factors'!$E$4)),"")</f>
        <v>1.09354182533519</v>
      </c>
      <c r="R232" s="24" t="n">
        <f aca="false">IFERROR(Q232/AVERAGE(Q227:Q238),"")</f>
        <v>1.0952341357492</v>
      </c>
      <c r="S232" s="23" t="n">
        <f aca="false">IF(ISNUMBER(Tabelle1!I239),(0.5*Tabelle1!I227+SUM(Tabelle1!I228:I238)+0.5*Tabelle1!I239)/12,"")</f>
        <v>151.834008333333</v>
      </c>
      <c r="T232" s="24" t="n">
        <f aca="false">IFERROR(Tabelle1!I233/S232,"")</f>
        <v>0.903540264173359</v>
      </c>
      <c r="U232" s="24" t="n">
        <f aca="false">IFERROR(AVERAGEIFS($T$7:$T$294,$B$7:$B$294,$B232,$A$7:$A$294,"&gt;="&amp;EDATE($A232,-12*'Seasonal Factors'!$E$4),$A$7:$A$294,"&lt;="&amp;EDATE($A232,12*'Seasonal Factors'!$E$4)),"")</f>
        <v>0.925773284615125</v>
      </c>
      <c r="V232" s="24" t="n">
        <f aca="false">IFERROR(U232/AVERAGE(U227:U238),"")</f>
        <v>0.926596878680595</v>
      </c>
      <c r="W232" s="23" t="n">
        <f aca="false">IF(ISNUMBER(Tabelle1!J239),(0.5*Tabelle1!J227+SUM(Tabelle1!J228:J238)+0.5*Tabelle1!J239)/12,"")</f>
        <v>152.06851</v>
      </c>
      <c r="X232" s="24" t="n">
        <f aca="false">IFERROR(Tabelle1!J233/W232,"")</f>
        <v>0.962647164754886</v>
      </c>
      <c r="Y232" s="24" t="n">
        <f aca="false">IFERROR(AVERAGEIFS($X$7:$X$294,$B$7:$B$294,$B232,$A$7:$A$294,"&gt;="&amp;EDATE($A232,-12*'Seasonal Factors'!$E$4),$A$7:$A$294,"&lt;="&amp;EDATE($A232,12*'Seasonal Factors'!$E$4)),"")</f>
        <v>1.01618394612319</v>
      </c>
      <c r="Z232" s="24" t="n">
        <f aca="false">IFERROR(Y232/AVERAGE(Y227:Y238),"")</f>
        <v>1.01888774715029</v>
      </c>
      <c r="AA232" s="23" t="n">
        <f aca="false">IF(ISNUMBER(Tabelle1!K239),(0.5*Tabelle1!K227+SUM(Tabelle1!K228:K238)+0.5*Tabelle1!K239)/12,"")</f>
        <v>161.00325875</v>
      </c>
      <c r="AB232" s="24" t="n">
        <f aca="false">IFERROR(Tabelle1!K233/AA232,"")</f>
        <v>0.987415728316741</v>
      </c>
      <c r="AC232" s="24" t="n">
        <f aca="false">IFERROR(AVERAGEIFS($AB$7:$AB$294,$B$7:$B$294,$B232,$A$7:$A$294,"&gt;="&amp;EDATE($A232,-12*'Seasonal Factors'!$E$4),$A$7:$A$294,"&lt;="&amp;EDATE($A232,12*'Seasonal Factors'!$E$4)),"")</f>
        <v>1.03318819450567</v>
      </c>
      <c r="AD232" s="24" t="n">
        <f aca="false">IFERROR(AC232/AVERAGE(AC227:AC238),"")</f>
        <v>1.03530011643842</v>
      </c>
      <c r="AE232" s="23" t="n">
        <f aca="false">IF(ISNUMBER(Tabelle1!L239),(0.5*Tabelle1!L227+SUM(Tabelle1!L228:L238)+0.5*Tabelle1!L239)/12,"")</f>
        <v>147.311627083333</v>
      </c>
      <c r="AF232" s="24" t="n">
        <f aca="false">IFERROR(Tabelle1!L233/AE232,"")</f>
        <v>1.01845151649251</v>
      </c>
      <c r="AG232" s="24" t="n">
        <f aca="false">IFERROR(AVERAGEIFS($AF$7:$AF$294,$B$7:$B$294,$B232,$A$7:$A$294,"&gt;="&amp;EDATE($A232,-12*'Seasonal Factors'!$E$4),$A$7:$A$294,"&lt;="&amp;EDATE($A232,12*'Seasonal Factors'!$E$4)),"")</f>
        <v>1.03913821644344</v>
      </c>
      <c r="AH232" s="24" t="n">
        <f aca="false">IFERROR(AG232/AVERAGE(AG227:AG238),"")</f>
        <v>1.04474795599505</v>
      </c>
      <c r="AI232" s="23" t="n">
        <f aca="false">IF(ISNUMBER(Tabelle1!M239),(0.5*Tabelle1!M227+SUM(Tabelle1!M228:M238)+0.5*Tabelle1!M239)/12,"")</f>
        <v>182.737185</v>
      </c>
      <c r="AJ232" s="24" t="n">
        <f aca="false">IFERROR(Tabelle1!M233/AI232,"")</f>
        <v>0.993043643525537</v>
      </c>
      <c r="AK232" s="24" t="n">
        <f aca="false">IFERROR(AVERAGEIFS($AJ$7:$AJ$294,$B$7:$B$294,$B232,$A$7:$A$294,"&gt;="&amp;EDATE($A232,-12*'Seasonal Factors'!$E$4),$A$7:$A$294,"&lt;="&amp;EDATE($A232,12*'Seasonal Factors'!$E$4)),"")</f>
        <v>0.993727338773679</v>
      </c>
      <c r="AL232" s="24" t="n">
        <f aca="false">IFERROR(AK232/AVERAGE(AK227:AK238),"")</f>
        <v>0.99472059033449</v>
      </c>
      <c r="AM232" s="23" t="n">
        <f aca="false">IF(ISNUMBER(Tabelle1!N239),(0.5*Tabelle1!N227+SUM(Tabelle1!N228:N238)+0.5*Tabelle1!N239)/12,"")</f>
        <v>166.07887125</v>
      </c>
      <c r="AN232" s="24" t="n">
        <f aca="false">IFERROR(Tabelle1!N233/AM232,"")</f>
        <v>0.986140673809523</v>
      </c>
      <c r="AO232" s="24" t="n">
        <f aca="false">IFERROR(AVERAGEIFS($AN$7:$AN$294,$B$7:$B$294,$B232,$A$7:$A$294,"&gt;="&amp;EDATE($A232,-12*'Seasonal Factors'!$E$4),$A$7:$A$294,"&lt;="&amp;EDATE($A232,12*'Seasonal Factors'!$E$4)),"")</f>
        <v>1.02319594222713</v>
      </c>
      <c r="AP232" s="24" t="n">
        <f aca="false">IFERROR(AO232/AVERAGE(AO227:AO238),"")</f>
        <v>1.02273610440658</v>
      </c>
      <c r="AQ232" s="23" t="n">
        <f aca="false">IF(ISNUMBER(Tabelle1!O239),(0.5*Tabelle1!O227+SUM(Tabelle1!O228:O238)+0.5*Tabelle1!O239)/12,"")</f>
        <v>152.488655</v>
      </c>
      <c r="AR232" s="24" t="n">
        <f aca="false">IFERROR(Tabelle1!O233/AQ232,"")</f>
        <v>0.996187486865826</v>
      </c>
      <c r="AS232" s="24" t="n">
        <f aca="false">IFERROR(AVERAGEIFS($AR$7:$AR$294,$B$7:$B$294,$B232,$A$7:$A$294,"&gt;="&amp;EDATE($A232,-12*'Seasonal Factors'!$E$4),$A$7:$A$294,"&lt;="&amp;EDATE($A232,12*'Seasonal Factors'!$E$4)),"")</f>
        <v>1.01248179735404</v>
      </c>
      <c r="AT232" s="24" t="n">
        <f aca="false">IFERROR(AS232/AVERAGE(AS227:AS238),"")</f>
        <v>1.01254850013565</v>
      </c>
      <c r="AU232" s="23" t="n">
        <f aca="false">IF(ISNUMBER(Tabelle1!P239),(0.5*Tabelle1!P227+SUM(Tabelle1!P228:P238)+0.5*Tabelle1!P239)/12,"")</f>
        <v>162.700759583333</v>
      </c>
      <c r="AV232" s="24" t="n">
        <f aca="false">IFERROR(Tabelle1!P233/AU232,"")</f>
        <v>0.995250915943404</v>
      </c>
      <c r="AW232" s="24" t="n">
        <f aca="false">IFERROR(AVERAGEIFS($AV$7:$AV$294,$B$7:$B$294,$B232,$A$7:$A$294,"&gt;="&amp;EDATE($A232,-12*'Seasonal Factors'!$E$4),$A$7:$A$294,"&lt;="&amp;EDATE($A232,12*'Seasonal Factors'!$E$4)),"")</f>
        <v>1.0049285997743</v>
      </c>
      <c r="AX232" s="24" t="n">
        <f aca="false">IFERROR(AW232/AVERAGE(AW227:AW238),"")</f>
        <v>1.00482550688111</v>
      </c>
      <c r="AY232" s="23" t="n">
        <f aca="false">IF(ISNUMBER(Tabelle1!Q239),(0.5*Tabelle1!Q227+SUM(Tabelle1!Q228:Q238)+0.5*Tabelle1!Q239)/12,"")</f>
        <v>167.840658333333</v>
      </c>
      <c r="AZ232" s="24" t="n">
        <f aca="false">IFERROR(Tabelle1!Q233/AY232,"")</f>
        <v>1.00511468243268</v>
      </c>
      <c r="BA232" s="24" t="n">
        <f aca="false">IFERROR(AVERAGEIFS($AZ$7:$AZ$294,$B$7:$B$294,$B232,$A$7:$A$294,"&gt;="&amp;EDATE($A232,-12*'Seasonal Factors'!$E$4),$A$7:$A$294,"&lt;="&amp;EDATE($A232,12*'Seasonal Factors'!$E$4)),"")</f>
        <v>1.01101717371713</v>
      </c>
      <c r="BB232" s="24" t="n">
        <f aca="false">IFERROR(BA232/AVERAGE(BA227:BA238),"")</f>
        <v>1.01084355471306</v>
      </c>
      <c r="BC232" s="23" t="n">
        <f aca="false">IF(ISNUMBER(Tabelle1!R239),(0.5*Tabelle1!R227+SUM(Tabelle1!R228:R238)+0.5*Tabelle1!R239)/12,"")</f>
        <v>183.98599375</v>
      </c>
      <c r="BD232" s="24" t="n">
        <f aca="false">IFERROR(Tabelle1!R233/BC232,"")</f>
        <v>0.956722935329418</v>
      </c>
      <c r="BE232" s="24" t="n">
        <f aca="false">IFERROR(AVERAGEIFS($BD$7:$BD$294,$B$7:$B$294,$B232,$A$7:$A$294,"&gt;="&amp;EDATE($A232,-12*'Seasonal Factors'!$E$4),$A$7:$A$294,"&lt;="&amp;EDATE($A232,12*'Seasonal Factors'!$E$4)),"")</f>
        <v>0.966468962127437</v>
      </c>
      <c r="BF232" s="24" t="n">
        <f aca="false">IFERROR(BE232/AVERAGE(BE227:BE238),"")</f>
        <v>0.966646451706674</v>
      </c>
      <c r="BG232" s="23" t="n">
        <f aca="false">IF(ISNUMBER(Tabelle1!S239),(0.5*Tabelle1!S227+SUM(Tabelle1!S228:S238)+0.5*Tabelle1!S239)/12,"")</f>
        <v>130.840795833333</v>
      </c>
      <c r="BH232" s="24" t="n">
        <f aca="false">IFERROR(Tabelle1!S233/BG232,"")</f>
        <v>1.00602628684459</v>
      </c>
      <c r="BI232" s="24" t="n">
        <f aca="false">IFERROR(AVERAGEIFS($BH$7:$BH$294,$B$7:$B$294,$B232,$A$7:$A$294,"&gt;="&amp;EDATE($A232,-12*'Seasonal Factors'!$E$4),$A$7:$A$294,"&lt;="&amp;EDATE($A232,12*'Seasonal Factors'!$E$4)),"")</f>
        <v>1.01575513472067</v>
      </c>
      <c r="BJ232" s="24" t="n">
        <f aca="false">IFERROR(BI232/AVERAGE(BI227:BI238),"")</f>
        <v>1.0173500937495</v>
      </c>
    </row>
    <row r="233" customFormat="false" ht="15" hidden="false" customHeight="false" outlineLevel="0" collapsed="false">
      <c r="A233" s="20" t="n">
        <v>44895</v>
      </c>
      <c r="B233" s="22" t="n">
        <f aca="false">MONTH(A233)</f>
        <v>11</v>
      </c>
      <c r="C233" s="23" t="n">
        <f aca="false">IF(ISNUMBER(Tabelle1!E240),(0.5*Tabelle1!E228+SUM(Tabelle1!E229:E239)+0.5*Tabelle1!E240)/12,"")</f>
        <v>106.71911</v>
      </c>
      <c r="D233" s="24" t="n">
        <f aca="false">IFERROR(Tabelle1!E234/C233,"")</f>
        <v>0.705893161965088</v>
      </c>
      <c r="E233" s="24" t="n">
        <f aca="false">IFERROR(AVERAGEIFS($D$7:$D$294,$B$7:$B$294,$B233,$A$7:$A$294,"&gt;="&amp;EDATE($A233,-12*'Seasonal Factors'!$E$4),$A$7:$A$294,"&lt;="&amp;EDATE($A233,12*'Seasonal Factors'!$E$4)),"")</f>
        <v>0.689579148514439</v>
      </c>
      <c r="F233" s="24" t="n">
        <f aca="false">IFERROR(E233/AVERAGE(E228:E239),"")</f>
        <v>0.691361787238179</v>
      </c>
      <c r="G233" s="23" t="n">
        <f aca="false">IF(ISNUMBER(Tabelle1!F240),(0.5*Tabelle1!F228+SUM(Tabelle1!F229:F239)+0.5*Tabelle1!F240)/12,"")</f>
        <v>160.404426666667</v>
      </c>
      <c r="H233" s="24" t="n">
        <f aca="false">IFERROR(Tabelle1!F234/G233,"")</f>
        <v>0.477339632023455</v>
      </c>
      <c r="I233" s="24" t="n">
        <f aca="false">IFERROR(AVERAGEIFS($H$7:$H$294,$B$7:$B$294,$B233,$A$7:$A$294,"&gt;="&amp;EDATE($A233,-12*'Seasonal Factors'!$E$4),$A$7:$A$294,"&lt;="&amp;EDATE($A233,12*'Seasonal Factors'!$E$4)),"")</f>
        <v>0.583656556205674</v>
      </c>
      <c r="J233" s="24" t="n">
        <f aca="false">IFERROR(I233/AVERAGE(I228:I239),"")</f>
        <v>0.584059823881475</v>
      </c>
      <c r="K233" s="23" t="n">
        <f aca="false">IF(ISNUMBER(Tabelle1!G240),(0.5*Tabelle1!G228+SUM(Tabelle1!G229:G239)+0.5*Tabelle1!G240)/12,"")</f>
        <v>100.970116666667</v>
      </c>
      <c r="L233" s="24" t="n">
        <f aca="false">IFERROR(Tabelle1!G234/K233,"")</f>
        <v>0.961025035955358</v>
      </c>
      <c r="M233" s="24" t="n">
        <f aca="false">IFERROR(AVERAGEIFS($L$7:$L$294,$B$7:$B$294,$B233,$A$7:$A$294,"&gt;="&amp;EDATE($A233,-12*'Seasonal Factors'!$E$4),$A$7:$A$294,"&lt;="&amp;EDATE($A233,12*'Seasonal Factors'!$E$4)),"")</f>
        <v>0.972211397357671</v>
      </c>
      <c r="N233" s="24" t="n">
        <f aca="false">IFERROR(M233/AVERAGE(M228:M239),"")</f>
        <v>0.973670309659407</v>
      </c>
      <c r="O233" s="23" t="n">
        <f aca="false">IF(ISNUMBER(Tabelle1!H240),(0.5*Tabelle1!H228+SUM(Tabelle1!H229:H239)+0.5*Tabelle1!H240)/12,"")</f>
        <v>132.985053333333</v>
      </c>
      <c r="P233" s="24" t="n">
        <f aca="false">IFERROR(Tabelle1!H234/O233,"")</f>
        <v>1.05083245445428</v>
      </c>
      <c r="Q233" s="24" t="n">
        <f aca="false">IFERROR(AVERAGEIFS($P$7:$P$294,$B$7:$B$294,$B233,$A$7:$A$294,"&gt;="&amp;EDATE($A233,-12*'Seasonal Factors'!$E$4),$A$7:$A$294,"&lt;="&amp;EDATE($A233,12*'Seasonal Factors'!$E$4)),"")</f>
        <v>1.06125997501574</v>
      </c>
      <c r="R233" s="24" t="n">
        <f aca="false">IFERROR(Q233/AVERAGE(Q228:Q239),"")</f>
        <v>1.06341011874465</v>
      </c>
      <c r="S233" s="23" t="n">
        <f aca="false">IF(ISNUMBER(Tabelle1!I240),(0.5*Tabelle1!I228+SUM(Tabelle1!I229:I239)+0.5*Tabelle1!I240)/12,"")</f>
        <v>151.102245833333</v>
      </c>
      <c r="T233" s="24" t="n">
        <f aca="false">IFERROR(Tabelle1!I234/S233,"")</f>
        <v>0.963538425236841</v>
      </c>
      <c r="U233" s="24" t="n">
        <f aca="false">IFERROR(AVERAGEIFS($T$7:$T$294,$B$7:$B$294,$B233,$A$7:$A$294,"&gt;="&amp;EDATE($A233,-12*'Seasonal Factors'!$E$4),$A$7:$A$294,"&lt;="&amp;EDATE($A233,12*'Seasonal Factors'!$E$4)),"")</f>
        <v>0.949664328910065</v>
      </c>
      <c r="V233" s="24" t="n">
        <f aca="false">IFERROR(U233/AVERAGE(U228:U239),"")</f>
        <v>0.950283835461262</v>
      </c>
      <c r="W233" s="23" t="n">
        <f aca="false">IF(ISNUMBER(Tabelle1!J240),(0.5*Tabelle1!J228+SUM(Tabelle1!J229:J239)+0.5*Tabelle1!J240)/12,"")</f>
        <v>152.150316666667</v>
      </c>
      <c r="X233" s="24" t="n">
        <f aca="false">IFERROR(Tabelle1!J234/W233,"")</f>
        <v>0.983859273378662</v>
      </c>
      <c r="Y233" s="24" t="n">
        <f aca="false">IFERROR(AVERAGEIFS($X$7:$X$294,$B$7:$B$294,$B233,$A$7:$A$294,"&gt;="&amp;EDATE($A233,-12*'Seasonal Factors'!$E$4),$A$7:$A$294,"&lt;="&amp;EDATE($A233,12*'Seasonal Factors'!$E$4)),"")</f>
        <v>1.01320974408444</v>
      </c>
      <c r="Z233" s="24" t="n">
        <f aca="false">IFERROR(Y233/AVERAGE(Y228:Y239),"")</f>
        <v>1.01705182219197</v>
      </c>
      <c r="AA233" s="23" t="n">
        <f aca="false">IF(ISNUMBER(Tabelle1!K240),(0.5*Tabelle1!K228+SUM(Tabelle1!K229:K239)+0.5*Tabelle1!K240)/12,"")</f>
        <v>161.236264583333</v>
      </c>
      <c r="AB233" s="24" t="n">
        <f aca="false">IFERROR(Tabelle1!K234/AA233,"")</f>
        <v>1.00961672872213</v>
      </c>
      <c r="AC233" s="24" t="n">
        <f aca="false">IFERROR(AVERAGEIFS($AB$7:$AB$294,$B$7:$B$294,$B233,$A$7:$A$294,"&gt;="&amp;EDATE($A233,-12*'Seasonal Factors'!$E$4),$A$7:$A$294,"&lt;="&amp;EDATE($A233,12*'Seasonal Factors'!$E$4)),"")</f>
        <v>1.02872531033397</v>
      </c>
      <c r="AD233" s="24" t="n">
        <f aca="false">IFERROR(AC233/AVERAGE(AC228:AC239),"")</f>
        <v>1.03129613459205</v>
      </c>
      <c r="AE233" s="23" t="n">
        <f aca="false">IF(ISNUMBER(Tabelle1!L240),(0.5*Tabelle1!L228+SUM(Tabelle1!L229:L239)+0.5*Tabelle1!L240)/12,"")</f>
        <v>147.36252375</v>
      </c>
      <c r="AF233" s="24" t="n">
        <f aca="false">IFERROR(Tabelle1!L234/AE233,"")</f>
        <v>1.01696778927485</v>
      </c>
      <c r="AG233" s="24" t="n">
        <f aca="false">IFERROR(AVERAGEIFS($AF$7:$AF$294,$B$7:$B$294,$B233,$A$7:$A$294,"&gt;="&amp;EDATE($A233,-12*'Seasonal Factors'!$E$4),$A$7:$A$294,"&lt;="&amp;EDATE($A233,12*'Seasonal Factors'!$E$4)),"")</f>
        <v>1.05533145227365</v>
      </c>
      <c r="AH233" s="24" t="n">
        <f aca="false">IFERROR(AG233/AVERAGE(AG228:AG239),"")</f>
        <v>1.06188777558337</v>
      </c>
      <c r="AI233" s="23" t="n">
        <f aca="false">IF(ISNUMBER(Tabelle1!M240),(0.5*Tabelle1!M228+SUM(Tabelle1!M229:M239)+0.5*Tabelle1!M240)/12,"")</f>
        <v>182.201796666667</v>
      </c>
      <c r="AJ233" s="24" t="n">
        <f aca="false">IFERROR(Tabelle1!M234/AI233,"")</f>
        <v>0.986880059854514</v>
      </c>
      <c r="AK233" s="24" t="n">
        <f aca="false">IFERROR(AVERAGEIFS($AJ$7:$AJ$294,$B$7:$B$294,$B233,$A$7:$A$294,"&gt;="&amp;EDATE($A233,-12*'Seasonal Factors'!$E$4),$A$7:$A$294,"&lt;="&amp;EDATE($A233,12*'Seasonal Factors'!$E$4)),"")</f>
        <v>0.990591412044693</v>
      </c>
      <c r="AL233" s="24" t="n">
        <f aca="false">IFERROR(AK233/AVERAGE(AK228:AK239),"")</f>
        <v>0.991455413338877</v>
      </c>
      <c r="AM233" s="23" t="n">
        <f aca="false">IF(ISNUMBER(Tabelle1!N240),(0.5*Tabelle1!N228+SUM(Tabelle1!N229:N239)+0.5*Tabelle1!N240)/12,"")</f>
        <v>165.548864583333</v>
      </c>
      <c r="AN233" s="24" t="n">
        <f aca="false">IFERROR(Tabelle1!N234/AM233,"")</f>
        <v>0.988055160702489</v>
      </c>
      <c r="AO233" s="24" t="n">
        <f aca="false">IFERROR(AVERAGEIFS($AN$7:$AN$294,$B$7:$B$294,$B233,$A$7:$A$294,"&gt;="&amp;EDATE($A233,-12*'Seasonal Factors'!$E$4),$A$7:$A$294,"&lt;="&amp;EDATE($A233,12*'Seasonal Factors'!$E$4)),"")</f>
        <v>0.995042147079772</v>
      </c>
      <c r="AP233" s="24" t="n">
        <f aca="false">IFERROR(AO233/AVERAGE(AO228:AO239),"")</f>
        <v>0.995470521581265</v>
      </c>
      <c r="AQ233" s="23" t="n">
        <f aca="false">IF(ISNUMBER(Tabelle1!O240),(0.5*Tabelle1!O228+SUM(Tabelle1!O229:O239)+0.5*Tabelle1!O240)/12,"")</f>
        <v>152.679682916667</v>
      </c>
      <c r="AR233" s="24" t="n">
        <f aca="false">IFERROR(Tabelle1!O234/AQ233,"")</f>
        <v>1.00999744729734</v>
      </c>
      <c r="AS233" s="24" t="n">
        <f aca="false">IFERROR(AVERAGEIFS($AR$7:$AR$294,$B$7:$B$294,$B233,$A$7:$A$294,"&gt;="&amp;EDATE($A233,-12*'Seasonal Factors'!$E$4),$A$7:$A$294,"&lt;="&amp;EDATE($A233,12*'Seasonal Factors'!$E$4)),"")</f>
        <v>1.01194606771443</v>
      </c>
      <c r="AT233" s="24" t="n">
        <f aca="false">IFERROR(AS233/AVERAGE(AS228:AS239),"")</f>
        <v>1.01230185403548</v>
      </c>
      <c r="AU233" s="23" t="n">
        <f aca="false">IF(ISNUMBER(Tabelle1!P240),(0.5*Tabelle1!P228+SUM(Tabelle1!P229:P239)+0.5*Tabelle1!P240)/12,"")</f>
        <v>162.972765</v>
      </c>
      <c r="AV233" s="24" t="n">
        <f aca="false">IFERROR(Tabelle1!P234/AU233,"")</f>
        <v>0.997908883732813</v>
      </c>
      <c r="AW233" s="24" t="n">
        <f aca="false">IFERROR(AVERAGEIFS($AV$7:$AV$294,$B$7:$B$294,$B233,$A$7:$A$294,"&gt;="&amp;EDATE($A233,-12*'Seasonal Factors'!$E$4),$A$7:$A$294,"&lt;="&amp;EDATE($A233,12*'Seasonal Factors'!$E$4)),"")</f>
        <v>1.00712236166716</v>
      </c>
      <c r="AX233" s="24" t="n">
        <f aca="false">IFERROR(AW233/AVERAGE(AW228:AW239),"")</f>
        <v>1.0071368128538</v>
      </c>
      <c r="AY233" s="23" t="n">
        <f aca="false">IF(ISNUMBER(Tabelle1!Q240),(0.5*Tabelle1!Q228+SUM(Tabelle1!Q229:Q239)+0.5*Tabelle1!Q240)/12,"")</f>
        <v>168.206979166667</v>
      </c>
      <c r="AZ233" s="24" t="n">
        <f aca="false">IFERROR(Tabelle1!Q234/AY233,"")</f>
        <v>1.00647892756134</v>
      </c>
      <c r="BA233" s="24" t="n">
        <f aca="false">IFERROR(AVERAGEIFS($AZ$7:$AZ$294,$B$7:$B$294,$B233,$A$7:$A$294,"&gt;="&amp;EDATE($A233,-12*'Seasonal Factors'!$E$4),$A$7:$A$294,"&lt;="&amp;EDATE($A233,12*'Seasonal Factors'!$E$4)),"")</f>
        <v>1.01211762620039</v>
      </c>
      <c r="BB233" s="24" t="n">
        <f aca="false">IFERROR(BA233/AVERAGE(BA228:BA239),"")</f>
        <v>1.01201346000943</v>
      </c>
      <c r="BC233" s="23" t="n">
        <f aca="false">IF(ISNUMBER(Tabelle1!R240),(0.5*Tabelle1!R228+SUM(Tabelle1!R229:R239)+0.5*Tabelle1!R240)/12,"")</f>
        <v>184.223955416667</v>
      </c>
      <c r="BD233" s="24" t="n">
        <f aca="false">IFERROR(Tabelle1!R234/BC233,"")</f>
        <v>0.951636444910136</v>
      </c>
      <c r="BE233" s="24" t="n">
        <f aca="false">IFERROR(AVERAGEIFS($BD$7:$BD$294,$B$7:$B$294,$B233,$A$7:$A$294,"&gt;="&amp;EDATE($A233,-12*'Seasonal Factors'!$E$4),$A$7:$A$294,"&lt;="&amp;EDATE($A233,12*'Seasonal Factors'!$E$4)),"")</f>
        <v>0.964110472332149</v>
      </c>
      <c r="BF233" s="24" t="n">
        <f aca="false">IFERROR(BE233/AVERAGE(BE228:BE239),"")</f>
        <v>0.964513743142211</v>
      </c>
      <c r="BG233" s="23" t="n">
        <f aca="false">IF(ISNUMBER(Tabelle1!S240),(0.5*Tabelle1!S228+SUM(Tabelle1!S229:S239)+0.5*Tabelle1!S240)/12,"")</f>
        <v>131.049699583333</v>
      </c>
      <c r="BH233" s="24" t="n">
        <f aca="false">IFERROR(Tabelle1!S234/BG233,"")</f>
        <v>0.970747360768304</v>
      </c>
      <c r="BI233" s="24" t="n">
        <f aca="false">IFERROR(AVERAGEIFS($BH$7:$BH$294,$B$7:$B$294,$B233,$A$7:$A$294,"&gt;="&amp;EDATE($A233,-12*'Seasonal Factors'!$E$4),$A$7:$A$294,"&lt;="&amp;EDATE($A233,12*'Seasonal Factors'!$E$4)),"")</f>
        <v>0.992543433751869</v>
      </c>
      <c r="BJ233" s="24" t="n">
        <f aca="false">IFERROR(BI233/AVERAGE(BI228:BI239),"")</f>
        <v>0.995556958194486</v>
      </c>
    </row>
    <row r="234" customFormat="false" ht="15" hidden="false" customHeight="false" outlineLevel="0" collapsed="false">
      <c r="A234" s="20" t="n">
        <v>44926</v>
      </c>
      <c r="B234" s="22" t="n">
        <f aca="false">MONTH(A234)</f>
        <v>12</v>
      </c>
      <c r="C234" s="23" t="n">
        <f aca="false">IF(ISNUMBER(Tabelle1!E241),(0.5*Tabelle1!E229+SUM(Tabelle1!E230:E240)+0.5*Tabelle1!E241)/12,"")</f>
        <v>97.666325</v>
      </c>
      <c r="D234" s="24" t="n">
        <f aca="false">IFERROR(Tabelle1!E235/C234,"")</f>
        <v>0.941993158849788</v>
      </c>
      <c r="E234" s="24" t="n">
        <f aca="false">IFERROR(AVERAGEIFS($D$7:$D$294,$B$7:$B$294,$B234,$A$7:$A$294,"&gt;="&amp;EDATE($A234,-12*'Seasonal Factors'!$E$4),$A$7:$A$294,"&lt;="&amp;EDATE($A234,12*'Seasonal Factors'!$E$4)),"")</f>
        <v>0.869706850393393</v>
      </c>
      <c r="F234" s="24" t="n">
        <f aca="false">IFERROR(E234/AVERAGE(E229:E240),"")</f>
        <v>0.870692406147087</v>
      </c>
      <c r="G234" s="23" t="n">
        <f aca="false">IF(ISNUMBER(Tabelle1!F241),(0.5*Tabelle1!F229+SUM(Tabelle1!F230:F240)+0.5*Tabelle1!F241)/12,"")</f>
        <v>159.844252083333</v>
      </c>
      <c r="H234" s="24" t="n">
        <f aca="false">IFERROR(Tabelle1!F235/G234,"")</f>
        <v>0.745833074672258</v>
      </c>
      <c r="I234" s="24" t="n">
        <f aca="false">IFERROR(AVERAGEIFS($H$7:$H$294,$B$7:$B$294,$B234,$A$7:$A$294,"&gt;="&amp;EDATE($A234,-12*'Seasonal Factors'!$E$4),$A$7:$A$294,"&lt;="&amp;EDATE($A234,12*'Seasonal Factors'!$E$4)),"")</f>
        <v>0.642382787972908</v>
      </c>
      <c r="J234" s="24" t="n">
        <f aca="false">IFERROR(I234/AVERAGE(I229:I240),"")</f>
        <v>0.642688171973426</v>
      </c>
      <c r="K234" s="23" t="n">
        <f aca="false">IF(ISNUMBER(Tabelle1!G241),(0.5*Tabelle1!G229+SUM(Tabelle1!G230:G240)+0.5*Tabelle1!G241)/12,"")</f>
        <v>101.62465125</v>
      </c>
      <c r="L234" s="24" t="n">
        <f aca="false">IFERROR(Tabelle1!G235/K234,"")</f>
        <v>1.00719853638858</v>
      </c>
      <c r="M234" s="24" t="n">
        <f aca="false">IFERROR(AVERAGEIFS($L$7:$L$294,$B$7:$B$294,$B234,$A$7:$A$294,"&gt;="&amp;EDATE($A234,-12*'Seasonal Factors'!$E$4),$A$7:$A$294,"&lt;="&amp;EDATE($A234,12*'Seasonal Factors'!$E$4)),"")</f>
        <v>1.01190430915901</v>
      </c>
      <c r="N234" s="24" t="n">
        <f aca="false">IFERROR(M234/AVERAGE(M229:M240),"")</f>
        <v>1.01352591701537</v>
      </c>
      <c r="O234" s="23" t="n">
        <f aca="false">IF(ISNUMBER(Tabelle1!H241),(0.5*Tabelle1!H229+SUM(Tabelle1!H230:H240)+0.5*Tabelle1!H241)/12,"")</f>
        <v>132.65224125</v>
      </c>
      <c r="P234" s="24" t="n">
        <f aca="false">IFERROR(Tabelle1!H235/O234,"")</f>
        <v>0.974813834892518</v>
      </c>
      <c r="Q234" s="24" t="n">
        <f aca="false">IFERROR(AVERAGEIFS($P$7:$P$294,$B$7:$B$294,$B234,$A$7:$A$294,"&gt;="&amp;EDATE($A234,-12*'Seasonal Factors'!$E$4),$A$7:$A$294,"&lt;="&amp;EDATE($A234,12*'Seasonal Factors'!$E$4)),"")</f>
        <v>0.98783764801987</v>
      </c>
      <c r="R234" s="24" t="n">
        <f aca="false">IFERROR(Q234/AVERAGE(Q229:Q240),"")</f>
        <v>0.989996409733107</v>
      </c>
      <c r="S234" s="23" t="n">
        <f aca="false">IF(ISNUMBER(Tabelle1!I241),(0.5*Tabelle1!I229+SUM(Tabelle1!I230:I240)+0.5*Tabelle1!I241)/12,"")</f>
        <v>150.0905</v>
      </c>
      <c r="T234" s="24" t="n">
        <f aca="false">IFERROR(Tabelle1!I235/S234,"")</f>
        <v>1.07429970584414</v>
      </c>
      <c r="U234" s="24" t="n">
        <f aca="false">IFERROR(AVERAGEIFS($T$7:$T$294,$B$7:$B$294,$B234,$A$7:$A$294,"&gt;="&amp;EDATE($A234,-12*'Seasonal Factors'!$E$4),$A$7:$A$294,"&lt;="&amp;EDATE($A234,12*'Seasonal Factors'!$E$4)),"")</f>
        <v>1.01892875758058</v>
      </c>
      <c r="V234" s="24" t="n">
        <f aca="false">IFERROR(U234/AVERAGE(U229:U240),"")</f>
        <v>1.02003577631559</v>
      </c>
      <c r="W234" s="23" t="n">
        <f aca="false">IF(ISNUMBER(Tabelle1!J241),(0.5*Tabelle1!J229+SUM(Tabelle1!J230:J240)+0.5*Tabelle1!J241)/12,"")</f>
        <v>152.244320416667</v>
      </c>
      <c r="X234" s="24" t="n">
        <f aca="false">IFERROR(Tabelle1!J235/W234,"")</f>
        <v>0.917240719508067</v>
      </c>
      <c r="Y234" s="24" t="n">
        <f aca="false">IFERROR(AVERAGEIFS($X$7:$X$294,$B$7:$B$294,$B234,$A$7:$A$294,"&gt;="&amp;EDATE($A234,-12*'Seasonal Factors'!$E$4),$A$7:$A$294,"&lt;="&amp;EDATE($A234,12*'Seasonal Factors'!$E$4)),"")</f>
        <v>0.960498678090914</v>
      </c>
      <c r="Z234" s="24" t="n">
        <f aca="false">IFERROR(Y234/AVERAGE(Y229:Y240),"")</f>
        <v>0.964586250912804</v>
      </c>
      <c r="AA234" s="23" t="n">
        <f aca="false">IF(ISNUMBER(Tabelle1!K241),(0.5*Tabelle1!K229+SUM(Tabelle1!K230:K240)+0.5*Tabelle1!K241)/12,"")</f>
        <v>161.471610416667</v>
      </c>
      <c r="AB234" s="24" t="n">
        <f aca="false">IFERROR(Tabelle1!K235/AA234,"")</f>
        <v>0.948234984496049</v>
      </c>
      <c r="AC234" s="24" t="n">
        <f aca="false">IFERROR(AVERAGEIFS($AB$7:$AB$294,$B$7:$B$294,$B234,$A$7:$A$294,"&gt;="&amp;EDATE($A234,-12*'Seasonal Factors'!$E$4),$A$7:$A$294,"&lt;="&amp;EDATE($A234,12*'Seasonal Factors'!$E$4)),"")</f>
        <v>0.963771259768029</v>
      </c>
      <c r="AD234" s="24" t="n">
        <f aca="false">IFERROR(AC234/AVERAGE(AC229:AC240),"")</f>
        <v>0.966119166229906</v>
      </c>
      <c r="AE234" s="23" t="n">
        <f aca="false">IF(ISNUMBER(Tabelle1!L241),(0.5*Tabelle1!L229+SUM(Tabelle1!L230:L240)+0.5*Tabelle1!L241)/12,"")</f>
        <v>147.573945416667</v>
      </c>
      <c r="AF234" s="24" t="n">
        <f aca="false">IFERROR(Tabelle1!L235/AE234,"")</f>
        <v>1.03866322450907</v>
      </c>
      <c r="AG234" s="24" t="n">
        <f aca="false">IFERROR(AVERAGEIFS($AF$7:$AF$294,$B$7:$B$294,$B234,$A$7:$A$294,"&gt;="&amp;EDATE($A234,-12*'Seasonal Factors'!$E$4),$A$7:$A$294,"&lt;="&amp;EDATE($A234,12*'Seasonal Factors'!$E$4)),"")</f>
        <v>1.09539921897487</v>
      </c>
      <c r="AH234" s="24" t="n">
        <f aca="false">IFERROR(AG234/AVERAGE(AG229:AG240),"")</f>
        <v>1.10143845356622</v>
      </c>
      <c r="AI234" s="23" t="n">
        <f aca="false">IF(ISNUMBER(Tabelle1!M241),(0.5*Tabelle1!M229+SUM(Tabelle1!M230:M240)+0.5*Tabelle1!M241)/12,"")</f>
        <v>181.659204583333</v>
      </c>
      <c r="AJ234" s="24" t="n">
        <f aca="false">IFERROR(Tabelle1!M235/AI234,"")</f>
        <v>0.978306331394699</v>
      </c>
      <c r="AK234" s="24" t="n">
        <f aca="false">IFERROR(AVERAGEIFS($AJ$7:$AJ$294,$B$7:$B$294,$B234,$A$7:$A$294,"&gt;="&amp;EDATE($A234,-12*'Seasonal Factors'!$E$4),$A$7:$A$294,"&lt;="&amp;EDATE($A234,12*'Seasonal Factors'!$E$4)),"")</f>
        <v>0.984326457095228</v>
      </c>
      <c r="AL234" s="24" t="n">
        <f aca="false">IFERROR(AK234/AVERAGE(AK229:AK240),"")</f>
        <v>0.984959672528886</v>
      </c>
      <c r="AM234" s="23" t="n">
        <f aca="false">IF(ISNUMBER(Tabelle1!N241),(0.5*Tabelle1!N229+SUM(Tabelle1!N230:N240)+0.5*Tabelle1!N241)/12,"")</f>
        <v>165.0218225</v>
      </c>
      <c r="AN234" s="24" t="n">
        <f aca="false">IFERROR(Tabelle1!N235/AM234,"")</f>
        <v>1.03061278456066</v>
      </c>
      <c r="AO234" s="24" t="n">
        <f aca="false">IFERROR(AVERAGEIFS($AN$7:$AN$294,$B$7:$B$294,$B234,$A$7:$A$294,"&gt;="&amp;EDATE($A234,-12*'Seasonal Factors'!$E$4),$A$7:$A$294,"&lt;="&amp;EDATE($A234,12*'Seasonal Factors'!$E$4)),"")</f>
        <v>1.0233719572013</v>
      </c>
      <c r="AP234" s="24" t="n">
        <f aca="false">IFERROR(AO234/AVERAGE(AO229:AO240),"")</f>
        <v>1.02412483248255</v>
      </c>
      <c r="AQ234" s="23" t="n">
        <f aca="false">IF(ISNUMBER(Tabelle1!O241),(0.5*Tabelle1!O229+SUM(Tabelle1!O230:O240)+0.5*Tabelle1!O241)/12,"")</f>
        <v>152.87589375</v>
      </c>
      <c r="AR234" s="24" t="n">
        <f aca="false">IFERROR(Tabelle1!O235/AQ234,"")</f>
        <v>1.01088102387627</v>
      </c>
      <c r="AS234" s="24" t="n">
        <f aca="false">IFERROR(AVERAGEIFS($AR$7:$AR$294,$B$7:$B$294,$B234,$A$7:$A$294,"&gt;="&amp;EDATE($A234,-12*'Seasonal Factors'!$E$4),$A$7:$A$294,"&lt;="&amp;EDATE($A234,12*'Seasonal Factors'!$E$4)),"")</f>
        <v>1.02518580109882</v>
      </c>
      <c r="AT234" s="24" t="n">
        <f aca="false">IFERROR(AS234/AVERAGE(AS229:AS240),"")</f>
        <v>1.02577547304354</v>
      </c>
      <c r="AU234" s="23" t="n">
        <f aca="false">IF(ISNUMBER(Tabelle1!P241),(0.5*Tabelle1!P229+SUM(Tabelle1!P230:P240)+0.5*Tabelle1!P241)/12,"")</f>
        <v>163.25883875</v>
      </c>
      <c r="AV234" s="24" t="n">
        <f aca="false">IFERROR(Tabelle1!P235/AU234,"")</f>
        <v>0.999096840629708</v>
      </c>
      <c r="AW234" s="24" t="n">
        <f aca="false">IFERROR(AVERAGEIFS($AV$7:$AV$294,$B$7:$B$294,$B234,$A$7:$A$294,"&gt;="&amp;EDATE($A234,-12*'Seasonal Factors'!$E$4),$A$7:$A$294,"&lt;="&amp;EDATE($A234,12*'Seasonal Factors'!$E$4)),"")</f>
        <v>1.01080034286529</v>
      </c>
      <c r="AX234" s="24" t="n">
        <f aca="false">IFERROR(AW234/AVERAGE(AW229:AW240),"")</f>
        <v>1.01092682575487</v>
      </c>
      <c r="AY234" s="23" t="n">
        <f aca="false">IF(ISNUMBER(Tabelle1!Q241),(0.5*Tabelle1!Q229+SUM(Tabelle1!Q230:Q240)+0.5*Tabelle1!Q241)/12,"")</f>
        <v>168.581679583333</v>
      </c>
      <c r="AZ234" s="24" t="n">
        <f aca="false">IFERROR(Tabelle1!Q235/AY234,"")</f>
        <v>1.01075401799975</v>
      </c>
      <c r="BA234" s="24" t="n">
        <f aca="false">IFERROR(AVERAGEIFS($AZ$7:$AZ$294,$B$7:$B$294,$B234,$A$7:$A$294,"&gt;="&amp;EDATE($A234,-12*'Seasonal Factors'!$E$4),$A$7:$A$294,"&lt;="&amp;EDATE($A234,12*'Seasonal Factors'!$E$4)),"")</f>
        <v>1.01650002144206</v>
      </c>
      <c r="BB234" s="24" t="n">
        <f aca="false">IFERROR(BA234/AVERAGE(BA229:BA240),"")</f>
        <v>1.01649584971406</v>
      </c>
      <c r="BC234" s="23" t="n">
        <f aca="false">IF(ISNUMBER(Tabelle1!R241),(0.5*Tabelle1!R229+SUM(Tabelle1!R230:R240)+0.5*Tabelle1!R241)/12,"")</f>
        <v>184.475065833333</v>
      </c>
      <c r="BD234" s="24" t="n">
        <f aca="false">IFERROR(Tabelle1!R235/BC234,"")</f>
        <v>0.91527984683061</v>
      </c>
      <c r="BE234" s="24" t="n">
        <f aca="false">IFERROR(AVERAGEIFS($BD$7:$BD$294,$B$7:$B$294,$B234,$A$7:$A$294,"&gt;="&amp;EDATE($A234,-12*'Seasonal Factors'!$E$4),$A$7:$A$294,"&lt;="&amp;EDATE($A234,12*'Seasonal Factors'!$E$4)),"")</f>
        <v>0.929166418102606</v>
      </c>
      <c r="BF234" s="24" t="n">
        <f aca="false">IFERROR(BE234/AVERAGE(BE229:BE240),"")</f>
        <v>0.929722318178936</v>
      </c>
      <c r="BG234" s="23" t="n">
        <f aca="false">IF(ISNUMBER(Tabelle1!S241),(0.5*Tabelle1!S229+SUM(Tabelle1!S230:S240)+0.5*Tabelle1!S241)/12,"")</f>
        <v>131.267328333333</v>
      </c>
      <c r="BH234" s="24" t="n">
        <f aca="false">IFERROR(Tabelle1!S235/BG234,"")</f>
        <v>0.981533955447178</v>
      </c>
      <c r="BI234" s="24" t="n">
        <f aca="false">IFERROR(AVERAGEIFS($BH$7:$BH$294,$B$7:$B$294,$B234,$A$7:$A$294,"&gt;="&amp;EDATE($A234,-12*'Seasonal Factors'!$E$4),$A$7:$A$294,"&lt;="&amp;EDATE($A234,12*'Seasonal Factors'!$E$4)),"")</f>
        <v>1.01505151062412</v>
      </c>
      <c r="BJ234" s="24" t="n">
        <f aca="false">IFERROR(BI234/AVERAGE(BI229:BI240),"")</f>
        <v>1.01929723670198</v>
      </c>
    </row>
    <row r="235" customFormat="false" ht="15" hidden="false" customHeight="false" outlineLevel="0" collapsed="false">
      <c r="A235" s="20" t="n">
        <v>44957</v>
      </c>
      <c r="B235" s="22" t="n">
        <f aca="false">MONTH(A235)</f>
        <v>1</v>
      </c>
      <c r="C235" s="23" t="n">
        <f aca="false">IF(ISNUMBER(Tabelle1!E242),(0.5*Tabelle1!E230+SUM(Tabelle1!E231:E241)+0.5*Tabelle1!E242)/12,"")</f>
        <v>93.54118625</v>
      </c>
      <c r="D235" s="24" t="n">
        <f aca="false">IFERROR(Tabelle1!E236/C235,"")</f>
        <v>0.866602009764442</v>
      </c>
      <c r="E235" s="24" t="n">
        <f aca="false">IFERROR(AVERAGEIFS($D$7:$D$294,$B$7:$B$294,$B235,$A$7:$A$294,"&gt;="&amp;EDATE($A235,-12*'Seasonal Factors'!$E$4),$A$7:$A$294,"&lt;="&amp;EDATE($A235,12*'Seasonal Factors'!$E$4)),"")</f>
        <v>0.713254467798293</v>
      </c>
      <c r="F235" s="24" t="n">
        <f aca="false">IFERROR(E235/AVERAGE(E230:E241),"")</f>
        <v>0.714262725038418</v>
      </c>
      <c r="G235" s="23" t="n">
        <f aca="false">IF(ISNUMBER(Tabelle1!F242),(0.5*Tabelle1!F230+SUM(Tabelle1!F231:F241)+0.5*Tabelle1!F242)/12,"")</f>
        <v>162.857572083333</v>
      </c>
      <c r="H235" s="24" t="n">
        <f aca="false">IFERROR(Tabelle1!F236/G235,"")</f>
        <v>1.12745767759601</v>
      </c>
      <c r="I235" s="24" t="n">
        <f aca="false">IFERROR(AVERAGEIFS($H$7:$H$294,$B$7:$B$294,$B235,$A$7:$A$294,"&gt;="&amp;EDATE($A235,-12*'Seasonal Factors'!$E$4),$A$7:$A$294,"&lt;="&amp;EDATE($A235,12*'Seasonal Factors'!$E$4)),"")</f>
        <v>0.846053807826615</v>
      </c>
      <c r="J235" s="24" t="n">
        <f aca="false">IFERROR(I235/AVERAGE(I230:I241),"")</f>
        <v>0.846724482230582</v>
      </c>
      <c r="K235" s="23" t="n">
        <f aca="false">IF(ISNUMBER(Tabelle1!G242),(0.5*Tabelle1!G230+SUM(Tabelle1!G231:G241)+0.5*Tabelle1!G242)/12,"")</f>
        <v>102.321751666667</v>
      </c>
      <c r="L235" s="24" t="n">
        <f aca="false">IFERROR(Tabelle1!G236/K235,"")</f>
        <v>1.02632537353454</v>
      </c>
      <c r="M235" s="24" t="n">
        <f aca="false">IFERROR(AVERAGEIFS($L$7:$L$294,$B$7:$B$294,$B235,$A$7:$A$294,"&gt;="&amp;EDATE($A235,-12*'Seasonal Factors'!$E$4),$A$7:$A$294,"&lt;="&amp;EDATE($A235,12*'Seasonal Factors'!$E$4)),"")</f>
        <v>1.01579673112872</v>
      </c>
      <c r="N235" s="24" t="n">
        <f aca="false">IFERROR(M235/AVERAGE(M230:M241),"")</f>
        <v>1.0174531214642</v>
      </c>
      <c r="O235" s="23" t="n">
        <f aca="false">IF(ISNUMBER(Tabelle1!H242),(0.5*Tabelle1!H230+SUM(Tabelle1!H231:H241)+0.5*Tabelle1!H242)/12,"")</f>
        <v>132.186325</v>
      </c>
      <c r="P235" s="24" t="n">
        <f aca="false">IFERROR(Tabelle1!H236/O235,"")</f>
        <v>0.859690667699552</v>
      </c>
      <c r="Q235" s="24" t="n">
        <f aca="false">IFERROR(AVERAGEIFS($P$7:$P$294,$B$7:$B$294,$B235,$A$7:$A$294,"&gt;="&amp;EDATE($A235,-12*'Seasonal Factors'!$E$4),$A$7:$A$294,"&lt;="&amp;EDATE($A235,12*'Seasonal Factors'!$E$4)),"")</f>
        <v>0.869396312988362</v>
      </c>
      <c r="R235" s="24" t="n">
        <f aca="false">IFERROR(Q235/AVERAGE(Q230:Q241),"")</f>
        <v>0.870968426693783</v>
      </c>
      <c r="S235" s="23" t="n">
        <f aca="false">IF(ISNUMBER(Tabelle1!I242),(0.5*Tabelle1!I230+SUM(Tabelle1!I231:I241)+0.5*Tabelle1!I242)/12,"")</f>
        <v>149.534564166667</v>
      </c>
      <c r="T235" s="24" t="n">
        <f aca="false">IFERROR(Tabelle1!I236/S235,"")</f>
        <v>1.11148777492508</v>
      </c>
      <c r="U235" s="24" t="n">
        <f aca="false">IFERROR(AVERAGEIFS($T$7:$T$294,$B$7:$B$294,$B235,$A$7:$A$294,"&gt;="&amp;EDATE($A235,-12*'Seasonal Factors'!$E$4),$A$7:$A$294,"&lt;="&amp;EDATE($A235,12*'Seasonal Factors'!$E$4)),"")</f>
        <v>1.08111742466225</v>
      </c>
      <c r="V235" s="24" t="n">
        <f aca="false">IFERROR(U235/AVERAGE(U230:U241),"")</f>
        <v>1.08224027136729</v>
      </c>
      <c r="W235" s="23" t="n">
        <f aca="false">IF(ISNUMBER(Tabelle1!J242),(0.5*Tabelle1!J230+SUM(Tabelle1!J231:J241)+0.5*Tabelle1!J242)/12,"")</f>
        <v>152.252748333333</v>
      </c>
      <c r="X235" s="24" t="n">
        <f aca="false">IFERROR(Tabelle1!J236/W235,"")</f>
        <v>1.01565135403303</v>
      </c>
      <c r="Y235" s="24" t="n">
        <f aca="false">IFERROR(AVERAGEIFS($X$7:$X$294,$B$7:$B$294,$B235,$A$7:$A$294,"&gt;="&amp;EDATE($A235,-12*'Seasonal Factors'!$E$4),$A$7:$A$294,"&lt;="&amp;EDATE($A235,12*'Seasonal Factors'!$E$4)),"")</f>
        <v>1.02892197165269</v>
      </c>
      <c r="Z235" s="24" t="n">
        <f aca="false">IFERROR(Y235/AVERAGE(Y230:Y241),"")</f>
        <v>1.03310146682934</v>
      </c>
      <c r="AA235" s="23" t="n">
        <f aca="false">IF(ISNUMBER(Tabelle1!K242),(0.5*Tabelle1!K230+SUM(Tabelle1!K231:K241)+0.5*Tabelle1!K242)/12,"")</f>
        <v>161.502038333333</v>
      </c>
      <c r="AB235" s="24" t="n">
        <f aca="false">IFERROR(Tabelle1!K236/AA235,"")</f>
        <v>0.909696382263411</v>
      </c>
      <c r="AC235" s="24" t="n">
        <f aca="false">IFERROR(AVERAGEIFS($AB$7:$AB$294,$B$7:$B$294,$B235,$A$7:$A$294,"&gt;="&amp;EDATE($A235,-12*'Seasonal Factors'!$E$4),$A$7:$A$294,"&lt;="&amp;EDATE($A235,12*'Seasonal Factors'!$E$4)),"")</f>
        <v>0.923583633650167</v>
      </c>
      <c r="AD235" s="24" t="n">
        <f aca="false">IFERROR(AC235/AVERAGE(AC230:AC241),"")</f>
        <v>0.925558722219366</v>
      </c>
      <c r="AE235" s="23" t="n">
        <f aca="false">IF(ISNUMBER(Tabelle1!L242),(0.5*Tabelle1!L230+SUM(Tabelle1!L231:L241)+0.5*Tabelle1!L242)/12,"")</f>
        <v>148.129226666667</v>
      </c>
      <c r="AF235" s="24" t="n">
        <f aca="false">IFERROR(Tabelle1!L236/AE235,"")</f>
        <v>1.22134162225199</v>
      </c>
      <c r="AG235" s="24" t="n">
        <f aca="false">IFERROR(AVERAGEIFS($AF$7:$AF$294,$B$7:$B$294,$B235,$A$7:$A$294,"&gt;="&amp;EDATE($A235,-12*'Seasonal Factors'!$E$4),$A$7:$A$294,"&lt;="&amp;EDATE($A235,12*'Seasonal Factors'!$E$4)),"")</f>
        <v>1.21355159893468</v>
      </c>
      <c r="AH235" s="24" t="n">
        <f aca="false">IFERROR(AG235/AVERAGE(AG230:AG241),"")</f>
        <v>1.22138415044271</v>
      </c>
      <c r="AI235" s="23" t="n">
        <f aca="false">IF(ISNUMBER(Tabelle1!M242),(0.5*Tabelle1!M230+SUM(Tabelle1!M231:M241)+0.5*Tabelle1!M242)/12,"")</f>
        <v>181.333671666667</v>
      </c>
      <c r="AJ235" s="24" t="n">
        <f aca="false">IFERROR(Tabelle1!M236/AI235,"")</f>
        <v>0.978148947019888</v>
      </c>
      <c r="AK235" s="24" t="n">
        <f aca="false">IFERROR(AVERAGEIFS($AJ$7:$AJ$294,$B$7:$B$294,$B235,$A$7:$A$294,"&gt;="&amp;EDATE($A235,-12*'Seasonal Factors'!$E$4),$A$7:$A$294,"&lt;="&amp;EDATE($A235,12*'Seasonal Factors'!$E$4)),"")</f>
        <v>0.988188761042134</v>
      </c>
      <c r="AL235" s="24" t="n">
        <f aca="false">IFERROR(AK235/AVERAGE(AK230:AK241),"")</f>
        <v>0.988899242697556</v>
      </c>
      <c r="AM235" s="23" t="n">
        <f aca="false">IF(ISNUMBER(Tabelle1!N242),(0.5*Tabelle1!N230+SUM(Tabelle1!N231:N241)+0.5*Tabelle1!N242)/12,"")</f>
        <v>164.647835416667</v>
      </c>
      <c r="AN235" s="24" t="n">
        <f aca="false">IFERROR(Tabelle1!N236/AM235,"")</f>
        <v>1.01317924756097</v>
      </c>
      <c r="AO235" s="24" t="n">
        <f aca="false">IFERROR(AVERAGEIFS($AN$7:$AN$294,$B$7:$B$294,$B235,$A$7:$A$294,"&gt;="&amp;EDATE($A235,-12*'Seasonal Factors'!$E$4),$A$7:$A$294,"&lt;="&amp;EDATE($A235,12*'Seasonal Factors'!$E$4)),"")</f>
        <v>1.00229147744524</v>
      </c>
      <c r="AP235" s="24" t="n">
        <f aca="false">IFERROR(AO235/AVERAGE(AO230:AO241),"")</f>
        <v>1.00328390276538</v>
      </c>
      <c r="AQ235" s="23" t="n">
        <f aca="false">IF(ISNUMBER(Tabelle1!O242),(0.5*Tabelle1!O230+SUM(Tabelle1!O231:O241)+0.5*Tabelle1!O242)/12,"")</f>
        <v>152.988065416667</v>
      </c>
      <c r="AR235" s="24" t="n">
        <f aca="false">IFERROR(Tabelle1!O236/AQ235,"")</f>
        <v>0.975544723658823</v>
      </c>
      <c r="AS235" s="24" t="n">
        <f aca="false">IFERROR(AVERAGEIFS($AR$7:$AR$294,$B$7:$B$294,$B235,$A$7:$A$294,"&gt;="&amp;EDATE($A235,-12*'Seasonal Factors'!$E$4),$A$7:$A$294,"&lt;="&amp;EDATE($A235,12*'Seasonal Factors'!$E$4)),"")</f>
        <v>0.981642948716421</v>
      </c>
      <c r="AT235" s="24" t="n">
        <f aca="false">IFERROR(AS235/AVERAGE(AS230:AS241),"")</f>
        <v>0.982291946306722</v>
      </c>
      <c r="AU235" s="23" t="n">
        <f aca="false">IF(ISNUMBER(Tabelle1!P242),(0.5*Tabelle1!P230+SUM(Tabelle1!P231:P241)+0.5*Tabelle1!P242)/12,"")</f>
        <v>163.5538425</v>
      </c>
      <c r="AV235" s="24" t="n">
        <f aca="false">IFERROR(Tabelle1!P236/AU235,"")</f>
        <v>1.00445637649877</v>
      </c>
      <c r="AW235" s="24" t="n">
        <f aca="false">IFERROR(AVERAGEIFS($AV$7:$AV$294,$B$7:$B$294,$B235,$A$7:$A$294,"&gt;="&amp;EDATE($A235,-12*'Seasonal Factors'!$E$4),$A$7:$A$294,"&lt;="&amp;EDATE($A235,12*'Seasonal Factors'!$E$4)),"")</f>
        <v>1.00979866249796</v>
      </c>
      <c r="AX235" s="24" t="n">
        <f aca="false">IFERROR(AW235/AVERAGE(AW230:AW241),"")</f>
        <v>1.00995154834012</v>
      </c>
      <c r="AY235" s="23" t="n">
        <f aca="false">IF(ISNUMBER(Tabelle1!Q242),(0.5*Tabelle1!Q230+SUM(Tabelle1!Q231:Q241)+0.5*Tabelle1!Q242)/12,"")</f>
        <v>168.92826625</v>
      </c>
      <c r="AZ235" s="24" t="n">
        <f aca="false">IFERROR(Tabelle1!Q236/AY235,"")</f>
        <v>0.97341808834198</v>
      </c>
      <c r="BA235" s="24" t="n">
        <f aca="false">IFERROR(AVERAGEIFS($AZ$7:$AZ$294,$B$7:$B$294,$B235,$A$7:$A$294,"&gt;="&amp;EDATE($A235,-12*'Seasonal Factors'!$E$4),$A$7:$A$294,"&lt;="&amp;EDATE($A235,12*'Seasonal Factors'!$E$4)),"")</f>
        <v>0.978346897568736</v>
      </c>
      <c r="BB235" s="24" t="n">
        <f aca="false">IFERROR(BA235/AVERAGE(BA230:BA241),"")</f>
        <v>0.978399729544621</v>
      </c>
      <c r="BC235" s="23" t="n">
        <f aca="false">IF(ISNUMBER(Tabelle1!R242),(0.5*Tabelle1!R230+SUM(Tabelle1!R231:R241)+0.5*Tabelle1!R242)/12,"")</f>
        <v>184.719613333333</v>
      </c>
      <c r="BD235" s="24" t="n">
        <f aca="false">IFERROR(Tabelle1!R236/BC235,"")</f>
        <v>1.00064246922417</v>
      </c>
      <c r="BE235" s="24" t="n">
        <f aca="false">IFERROR(AVERAGEIFS($BD$7:$BD$294,$B$7:$B$294,$B235,$A$7:$A$294,"&gt;="&amp;EDATE($A235,-12*'Seasonal Factors'!$E$4),$A$7:$A$294,"&lt;="&amp;EDATE($A235,12*'Seasonal Factors'!$E$4)),"")</f>
        <v>1.014873449371</v>
      </c>
      <c r="BF235" s="24" t="n">
        <f aca="false">IFERROR(BE235/AVERAGE(BE230:BE241),"")</f>
        <v>1.01547616658084</v>
      </c>
      <c r="BG235" s="23" t="n">
        <f aca="false">IF(ISNUMBER(Tabelle1!S242),(0.5*Tabelle1!S230+SUM(Tabelle1!S231:S241)+0.5*Tabelle1!S242)/12,"")</f>
        <v>131.476091666667</v>
      </c>
      <c r="BH235" s="24" t="n">
        <f aca="false">IFERROR(Tabelle1!S236/BG235,"")</f>
        <v>1.10147638376077</v>
      </c>
      <c r="BI235" s="24" t="n">
        <f aca="false">IFERROR(AVERAGEIFS($BH$7:$BH$294,$B$7:$B$294,$B235,$A$7:$A$294,"&gt;="&amp;EDATE($A235,-12*'Seasonal Factors'!$E$4),$A$7:$A$294,"&lt;="&amp;EDATE($A235,12*'Seasonal Factors'!$E$4)),"")</f>
        <v>1.15109096760686</v>
      </c>
      <c r="BJ235" s="24" t="n">
        <f aca="false">IFERROR(BI235/AVERAGE(BI230:BI241),"")</f>
        <v>1.15752716559489</v>
      </c>
    </row>
    <row r="236" customFormat="false" ht="15" hidden="false" customHeight="false" outlineLevel="0" collapsed="false">
      <c r="A236" s="20" t="n">
        <v>44985</v>
      </c>
      <c r="B236" s="22" t="n">
        <f aca="false">MONTH(A236)</f>
        <v>2</v>
      </c>
      <c r="C236" s="23" t="n">
        <f aca="false">IF(ISNUMBER(Tabelle1!E243),(0.5*Tabelle1!E231+SUM(Tabelle1!E232:E242)+0.5*Tabelle1!E243)/12,"")</f>
        <v>92.8132075</v>
      </c>
      <c r="D236" s="24" t="n">
        <f aca="false">IFERROR(Tabelle1!E237/C236,"")</f>
        <v>0.745945990499251</v>
      </c>
      <c r="E236" s="24" t="n">
        <f aca="false">IFERROR(AVERAGEIFS($D$7:$D$294,$B$7:$B$294,$B236,$A$7:$A$294,"&gt;="&amp;EDATE($A236,-12*'Seasonal Factors'!$E$4),$A$7:$A$294,"&lt;="&amp;EDATE($A236,12*'Seasonal Factors'!$E$4)),"")</f>
        <v>0.597027455094158</v>
      </c>
      <c r="F236" s="24" t="n">
        <f aca="false">IFERROR(E236/AVERAGE(E231:E242),"")</f>
        <v>0.598108788291448</v>
      </c>
      <c r="G236" s="23" t="n">
        <f aca="false">IF(ISNUMBER(Tabelle1!F243),(0.5*Tabelle1!F231+SUM(Tabelle1!F232:F242)+0.5*Tabelle1!F243)/12,"")</f>
        <v>162.99395375</v>
      </c>
      <c r="H236" s="24" t="n">
        <f aca="false">IFERROR(Tabelle1!F237/G236,"")</f>
        <v>0.819403768834585</v>
      </c>
      <c r="I236" s="24" t="n">
        <f aca="false">IFERROR(AVERAGEIFS($H$7:$H$294,$B$7:$B$294,$B236,$A$7:$A$294,"&gt;="&amp;EDATE($A236,-12*'Seasonal Factors'!$E$4),$A$7:$A$294,"&lt;="&amp;EDATE($A236,12*'Seasonal Factors'!$E$4)),"")</f>
        <v>1.04739240997833</v>
      </c>
      <c r="J236" s="24" t="n">
        <f aca="false">IFERROR(I236/AVERAGE(I231:I242),"")</f>
        <v>1.04680072608283</v>
      </c>
      <c r="K236" s="23" t="n">
        <f aca="false">IF(ISNUMBER(Tabelle1!G243),(0.5*Tabelle1!G231+SUM(Tabelle1!G232:G242)+0.5*Tabelle1!G243)/12,"")</f>
        <v>102.948209166667</v>
      </c>
      <c r="L236" s="24" t="n">
        <f aca="false">IFERROR(Tabelle1!G237/K236,"")</f>
        <v>0.915159581333498</v>
      </c>
      <c r="M236" s="24" t="n">
        <f aca="false">IFERROR(AVERAGEIFS($L$7:$L$294,$B$7:$B$294,$B236,$A$7:$A$294,"&gt;="&amp;EDATE($A236,-12*'Seasonal Factors'!$E$4),$A$7:$A$294,"&lt;="&amp;EDATE($A236,12*'Seasonal Factors'!$E$4)),"")</f>
        <v>0.93873019564065</v>
      </c>
      <c r="N236" s="24" t="n">
        <f aca="false">IFERROR(M236/AVERAGE(M231:M242),"")</f>
        <v>0.940067308434168</v>
      </c>
      <c r="O236" s="23" t="n">
        <f aca="false">IF(ISNUMBER(Tabelle1!H243),(0.5*Tabelle1!H231+SUM(Tabelle1!H232:H242)+0.5*Tabelle1!H243)/12,"")</f>
        <v>131.86108125</v>
      </c>
      <c r="P236" s="24" t="n">
        <f aca="false">IFERROR(Tabelle1!H237/O236,"")</f>
        <v>0.851819421888746</v>
      </c>
      <c r="Q236" s="24" t="n">
        <f aca="false">IFERROR(AVERAGEIFS($P$7:$P$294,$B$7:$B$294,$B236,$A$7:$A$294,"&gt;="&amp;EDATE($A236,-12*'Seasonal Factors'!$E$4),$A$7:$A$294,"&lt;="&amp;EDATE($A236,12*'Seasonal Factors'!$E$4)),"")</f>
        <v>0.87860552165872</v>
      </c>
      <c r="R236" s="24" t="n">
        <f aca="false">IFERROR(Q236/AVERAGE(Q231:Q242),"")</f>
        <v>0.88044516085172</v>
      </c>
      <c r="S236" s="23" t="n">
        <f aca="false">IF(ISNUMBER(Tabelle1!I243),(0.5*Tabelle1!I231+SUM(Tabelle1!I232:I242)+0.5*Tabelle1!I243)/12,"")</f>
        <v>149.57041125</v>
      </c>
      <c r="T236" s="24" t="n">
        <f aca="false">IFERROR(Tabelle1!I237/S236,"")</f>
        <v>0.964397361714147</v>
      </c>
      <c r="U236" s="24" t="n">
        <f aca="false">IFERROR(AVERAGEIFS($T$7:$T$294,$B$7:$B$294,$B236,$A$7:$A$294,"&gt;="&amp;EDATE($A236,-12*'Seasonal Factors'!$E$4),$A$7:$A$294,"&lt;="&amp;EDATE($A236,12*'Seasonal Factors'!$E$4)),"")</f>
        <v>0.981144791427879</v>
      </c>
      <c r="V236" s="24" t="n">
        <f aca="false">IFERROR(U236/AVERAGE(U231:U242),"")</f>
        <v>0.982324702445391</v>
      </c>
      <c r="W236" s="23" t="n">
        <f aca="false">IF(ISNUMBER(Tabelle1!J243),(0.5*Tabelle1!J231+SUM(Tabelle1!J232:J242)+0.5*Tabelle1!J243)/12,"")</f>
        <v>152.35692125</v>
      </c>
      <c r="X236" s="24" t="n">
        <f aca="false">IFERROR(Tabelle1!J237/W236,"")</f>
        <v>0.994776796200192</v>
      </c>
      <c r="Y236" s="24" t="n">
        <f aca="false">IFERROR(AVERAGEIFS($X$7:$X$294,$B$7:$B$294,$B236,$A$7:$A$294,"&gt;="&amp;EDATE($A236,-12*'Seasonal Factors'!$E$4),$A$7:$A$294,"&lt;="&amp;EDATE($A236,12*'Seasonal Factors'!$E$4)),"")</f>
        <v>1.01864104230889</v>
      </c>
      <c r="Z236" s="24" t="n">
        <f aca="false">IFERROR(Y236/AVERAGE(Y231:Y242),"")</f>
        <v>1.02288721222227</v>
      </c>
      <c r="AA236" s="23" t="n">
        <f aca="false">IF(ISNUMBER(Tabelle1!K243),(0.5*Tabelle1!K231+SUM(Tabelle1!K232:K242)+0.5*Tabelle1!K243)/12,"")</f>
        <v>161.52044125</v>
      </c>
      <c r="AB236" s="24" t="n">
        <f aca="false">IFERROR(Tabelle1!K237/AA236,"")</f>
        <v>0.90849337003034</v>
      </c>
      <c r="AC236" s="24" t="n">
        <f aca="false">IFERROR(AVERAGEIFS($AB$7:$AB$294,$B$7:$B$294,$B236,$A$7:$A$294,"&gt;="&amp;EDATE($A236,-12*'Seasonal Factors'!$E$4),$A$7:$A$294,"&lt;="&amp;EDATE($A236,12*'Seasonal Factors'!$E$4)),"")</f>
        <v>0.943159502447567</v>
      </c>
      <c r="AD236" s="24" t="n">
        <f aca="false">IFERROR(AC236/AVERAGE(AC231:AC242),"")</f>
        <v>0.945323074400789</v>
      </c>
      <c r="AE236" s="23" t="n">
        <f aca="false">IF(ISNUMBER(Tabelle1!L243),(0.5*Tabelle1!L231+SUM(Tabelle1!L232:L242)+0.5*Tabelle1!L243)/12,"")</f>
        <v>149.03189125</v>
      </c>
      <c r="AF236" s="24" t="n">
        <f aca="false">IFERROR(Tabelle1!L237/AE236,"")</f>
        <v>1.16589448434581</v>
      </c>
      <c r="AG236" s="24" t="n">
        <f aca="false">IFERROR(AVERAGEIFS($AF$7:$AF$294,$B$7:$B$294,$B236,$A$7:$A$294,"&gt;="&amp;EDATE($A236,-12*'Seasonal Factors'!$E$4),$A$7:$A$294,"&lt;="&amp;EDATE($A236,12*'Seasonal Factors'!$E$4)),"")</f>
        <v>1.1738785197324</v>
      </c>
      <c r="AH236" s="24" t="n">
        <f aca="false">IFERROR(AG236/AVERAGE(AG231:AG242),"")</f>
        <v>1.18153675369575</v>
      </c>
      <c r="AI236" s="23" t="n">
        <f aca="false">IF(ISNUMBER(Tabelle1!M243),(0.5*Tabelle1!M231+SUM(Tabelle1!M232:M242)+0.5*Tabelle1!M243)/12,"")</f>
        <v>181.30587375</v>
      </c>
      <c r="AJ236" s="24" t="n">
        <f aca="false">IFERROR(Tabelle1!M237/AI236,"")</f>
        <v>0.94979239468793</v>
      </c>
      <c r="AK236" s="24" t="n">
        <f aca="false">IFERROR(AVERAGEIFS($AJ$7:$AJ$294,$B$7:$B$294,$B236,$A$7:$A$294,"&gt;="&amp;EDATE($A236,-12*'Seasonal Factors'!$E$4),$A$7:$A$294,"&lt;="&amp;EDATE($A236,12*'Seasonal Factors'!$E$4)),"")</f>
        <v>0.962717450501683</v>
      </c>
      <c r="AL236" s="24" t="n">
        <f aca="false">IFERROR(AK236/AVERAGE(AK231:AK242),"")</f>
        <v>0.963539961019963</v>
      </c>
      <c r="AM236" s="23" t="n">
        <f aca="false">IF(ISNUMBER(Tabelle1!N243),(0.5*Tabelle1!N231+SUM(Tabelle1!N232:N242)+0.5*Tabelle1!N243)/12,"")</f>
        <v>164.531478333333</v>
      </c>
      <c r="AN236" s="24" t="n">
        <f aca="false">IFERROR(Tabelle1!N237/AM236,"")</f>
        <v>0.943935905598287</v>
      </c>
      <c r="AO236" s="24" t="n">
        <f aca="false">IFERROR(AVERAGEIFS($AN$7:$AN$294,$B$7:$B$294,$B236,$A$7:$A$294,"&gt;="&amp;EDATE($A236,-12*'Seasonal Factors'!$E$4),$A$7:$A$294,"&lt;="&amp;EDATE($A236,12*'Seasonal Factors'!$E$4)),"")</f>
        <v>0.948296049909828</v>
      </c>
      <c r="AP236" s="24" t="n">
        <f aca="false">IFERROR(AO236/AVERAGE(AO231:AO242),"")</f>
        <v>0.949644037906405</v>
      </c>
      <c r="AQ236" s="23" t="n">
        <f aca="false">IF(ISNUMBER(Tabelle1!O243),(0.5*Tabelle1!O231+SUM(Tabelle1!O232:O242)+0.5*Tabelle1!O243)/12,"")</f>
        <v>153.08108625</v>
      </c>
      <c r="AR236" s="24" t="n">
        <f aca="false">IFERROR(Tabelle1!O237/AQ236,"")</f>
        <v>0.967441854692222</v>
      </c>
      <c r="AS236" s="24" t="n">
        <f aca="false">IFERROR(AVERAGEIFS($AR$7:$AR$294,$B$7:$B$294,$B236,$A$7:$A$294,"&gt;="&amp;EDATE($A236,-12*'Seasonal Factors'!$E$4),$A$7:$A$294,"&lt;="&amp;EDATE($A236,12*'Seasonal Factors'!$E$4)),"")</f>
        <v>0.980108138129948</v>
      </c>
      <c r="AT236" s="24" t="n">
        <f aca="false">IFERROR(AS236/AVERAGE(AS231:AS242),"")</f>
        <v>0.980752884272836</v>
      </c>
      <c r="AU236" s="23" t="n">
        <f aca="false">IF(ISNUMBER(Tabelle1!P243),(0.5*Tabelle1!P231+SUM(Tabelle1!P232:P242)+0.5*Tabelle1!P243)/12,"")</f>
        <v>163.867443333333</v>
      </c>
      <c r="AV236" s="24" t="n">
        <f aca="false">IFERROR(Tabelle1!P237/AU236,"")</f>
        <v>1.0042432264306</v>
      </c>
      <c r="AW236" s="24" t="n">
        <f aca="false">IFERROR(AVERAGEIFS($AV$7:$AV$294,$B$7:$B$294,$B236,$A$7:$A$294,"&gt;="&amp;EDATE($A236,-12*'Seasonal Factors'!$E$4),$A$7:$A$294,"&lt;="&amp;EDATE($A236,12*'Seasonal Factors'!$E$4)),"")</f>
        <v>1.01126017567483</v>
      </c>
      <c r="AX236" s="24" t="n">
        <f aca="false">IFERROR(AW236/AVERAGE(AW231:AW242),"")</f>
        <v>1.0114290145666</v>
      </c>
      <c r="AY236" s="23" t="n">
        <f aca="false">IF(ISNUMBER(Tabelle1!Q243),(0.5*Tabelle1!Q231+SUM(Tabelle1!Q232:Q242)+0.5*Tabelle1!Q243)/12,"")</f>
        <v>169.245163333333</v>
      </c>
      <c r="AZ236" s="24" t="n">
        <f aca="false">IFERROR(Tabelle1!Q237/AY236,"")</f>
        <v>0.977723479601554</v>
      </c>
      <c r="BA236" s="24" t="n">
        <f aca="false">IFERROR(AVERAGEIFS($AZ$7:$AZ$294,$B$7:$B$294,$B236,$A$7:$A$294,"&gt;="&amp;EDATE($A236,-12*'Seasonal Factors'!$E$4),$A$7:$A$294,"&lt;="&amp;EDATE($A236,12*'Seasonal Factors'!$E$4)),"")</f>
        <v>0.983788204049287</v>
      </c>
      <c r="BB236" s="24" t="n">
        <f aca="false">IFERROR(BA236/AVERAGE(BA231:BA242),"")</f>
        <v>0.98387424253974</v>
      </c>
      <c r="BC236" s="23" t="n">
        <f aca="false">IF(ISNUMBER(Tabelle1!R243),(0.5*Tabelle1!R231+SUM(Tabelle1!R232:R242)+0.5*Tabelle1!R243)/12,"")</f>
        <v>184.972415</v>
      </c>
      <c r="BD236" s="24" t="n">
        <f aca="false">IFERROR(Tabelle1!R237/BC236,"")</f>
        <v>0.948164838524707</v>
      </c>
      <c r="BE236" s="24" t="n">
        <f aca="false">IFERROR(AVERAGEIFS($BD$7:$BD$294,$B$7:$B$294,$B236,$A$7:$A$294,"&gt;="&amp;EDATE($A236,-12*'Seasonal Factors'!$E$4),$A$7:$A$294,"&lt;="&amp;EDATE($A236,12*'Seasonal Factors'!$E$4)),"")</f>
        <v>0.964310458400418</v>
      </c>
      <c r="BF236" s="24" t="n">
        <f aca="false">IFERROR(BE236/AVERAGE(BE231:BE242),"")</f>
        <v>0.964895142221328</v>
      </c>
      <c r="BG236" s="23" t="n">
        <f aca="false">IF(ISNUMBER(Tabelle1!S243),(0.5*Tabelle1!S231+SUM(Tabelle1!S232:S242)+0.5*Tabelle1!S243)/12,"")</f>
        <v>131.645848333333</v>
      </c>
      <c r="BH236" s="24" t="n">
        <f aca="false">IFERROR(Tabelle1!S237/BG236,"")</f>
        <v>1.08827412192477</v>
      </c>
      <c r="BI236" s="24" t="n">
        <f aca="false">IFERROR(AVERAGEIFS($BH$7:$BH$294,$B$7:$B$294,$B236,$A$7:$A$294,"&gt;="&amp;EDATE($A236,-12*'Seasonal Factors'!$E$4),$A$7:$A$294,"&lt;="&amp;EDATE($A236,12*'Seasonal Factors'!$E$4)),"")</f>
        <v>1.12061057548159</v>
      </c>
      <c r="BJ236" s="24" t="n">
        <f aca="false">IFERROR(BI236/AVERAGE(BI231:BI242),"")</f>
        <v>1.12764306647719</v>
      </c>
    </row>
    <row r="237" customFormat="false" ht="15" hidden="false" customHeight="false" outlineLevel="0" collapsed="false">
      <c r="A237" s="20" t="n">
        <v>45016</v>
      </c>
      <c r="B237" s="22" t="n">
        <f aca="false">MONTH(A237)</f>
        <v>3</v>
      </c>
      <c r="C237" s="23" t="n">
        <f aca="false">IF(ISNUMBER(Tabelle1!E244),(0.5*Tabelle1!E232+SUM(Tabelle1!E233:E243)+0.5*Tabelle1!E244)/12,"")</f>
        <v>92.66457125</v>
      </c>
      <c r="D237" s="24" t="n">
        <f aca="false">IFERROR(Tabelle1!E238/C237,"")</f>
        <v>1.33189943400294</v>
      </c>
      <c r="E237" s="24" t="n">
        <f aca="false">IFERROR(AVERAGEIFS($D$7:$D$294,$B$7:$B$294,$B237,$A$7:$A$294,"&gt;="&amp;EDATE($A237,-12*'Seasonal Factors'!$E$4),$A$7:$A$294,"&lt;="&amp;EDATE($A237,12*'Seasonal Factors'!$E$4)),"")</f>
        <v>1.1682238344452</v>
      </c>
      <c r="F237" s="24" t="n">
        <f aca="false">IFERROR(E237/AVERAGE(E232:E243),"")</f>
        <v>1.17015535137186</v>
      </c>
      <c r="G237" s="23" t="n">
        <f aca="false">IF(ISNUMBER(Tabelle1!F244),(0.5*Tabelle1!F232+SUM(Tabelle1!F233:F243)+0.5*Tabelle1!F244)/12,"")</f>
        <v>161.6239825</v>
      </c>
      <c r="H237" s="24" t="n">
        <f aca="false">IFERROR(Tabelle1!F238/G237,"")</f>
        <v>0.744742383761024</v>
      </c>
      <c r="I237" s="24" t="n">
        <f aca="false">IFERROR(AVERAGEIFS($H$7:$H$294,$B$7:$B$294,$B237,$A$7:$A$294,"&gt;="&amp;EDATE($A237,-12*'Seasonal Factors'!$E$4),$A$7:$A$294,"&lt;="&amp;EDATE($A237,12*'Seasonal Factors'!$E$4)),"")</f>
        <v>0.74931668907721</v>
      </c>
      <c r="J237" s="24" t="n">
        <f aca="false">IFERROR(I237/AVERAGE(I232:I243),"")</f>
        <v>0.750512750521819</v>
      </c>
      <c r="K237" s="23" t="n">
        <f aca="false">IF(ISNUMBER(Tabelle1!G244),(0.5*Tabelle1!G232+SUM(Tabelle1!G233:G243)+0.5*Tabelle1!G244)/12,"")</f>
        <v>103.57297375</v>
      </c>
      <c r="L237" s="24" t="n">
        <f aca="false">IFERROR(Tabelle1!G238/K237,"")</f>
        <v>1.00281121840436</v>
      </c>
      <c r="M237" s="24" t="n">
        <f aca="false">IFERROR(AVERAGEIFS($L$7:$L$294,$B$7:$B$294,$B237,$A$7:$A$294,"&gt;="&amp;EDATE($A237,-12*'Seasonal Factors'!$E$4),$A$7:$A$294,"&lt;="&amp;EDATE($A237,12*'Seasonal Factors'!$E$4)),"")</f>
        <v>1.00442610255085</v>
      </c>
      <c r="N237" s="24" t="n">
        <f aca="false">IFERROR(M237/AVERAGE(M232:M243),"")</f>
        <v>1.00577069119902</v>
      </c>
      <c r="O237" s="23" t="n">
        <f aca="false">IF(ISNUMBER(Tabelle1!H244),(0.5*Tabelle1!H232+SUM(Tabelle1!H233:H243)+0.5*Tabelle1!H244)/12,"")</f>
        <v>131.519706666667</v>
      </c>
      <c r="P237" s="24" t="n">
        <f aca="false">IFERROR(Tabelle1!H238/O237,"")</f>
        <v>1.05701102536928</v>
      </c>
      <c r="Q237" s="24" t="n">
        <f aca="false">IFERROR(AVERAGEIFS($P$7:$P$294,$B$7:$B$294,$B237,$A$7:$A$294,"&gt;="&amp;EDATE($A237,-12*'Seasonal Factors'!$E$4),$A$7:$A$294,"&lt;="&amp;EDATE($A237,12*'Seasonal Factors'!$E$4)),"")</f>
        <v>0.989068008547713</v>
      </c>
      <c r="R237" s="24" t="n">
        <f aca="false">IFERROR(Q237/AVERAGE(Q232:Q243),"")</f>
        <v>0.990614711287822</v>
      </c>
      <c r="S237" s="23" t="n">
        <f aca="false">IF(ISNUMBER(Tabelle1!I244),(0.5*Tabelle1!I232+SUM(Tabelle1!I233:I243)+0.5*Tabelle1!I244)/12,"")</f>
        <v>150.071069583333</v>
      </c>
      <c r="T237" s="24" t="n">
        <f aca="false">IFERROR(Tabelle1!I238/S237,"")</f>
        <v>1.0997494750869</v>
      </c>
      <c r="U237" s="24" t="n">
        <f aca="false">IFERROR(AVERAGEIFS($T$7:$T$294,$B$7:$B$294,$B237,$A$7:$A$294,"&gt;="&amp;EDATE($A237,-12*'Seasonal Factors'!$E$4),$A$7:$A$294,"&lt;="&amp;EDATE($A237,12*'Seasonal Factors'!$E$4)),"")</f>
        <v>1.01493485257692</v>
      </c>
      <c r="V237" s="24" t="n">
        <f aca="false">IFERROR(U237/AVERAGE(U232:U243),"")</f>
        <v>1.01612645169872</v>
      </c>
      <c r="W237" s="23" t="n">
        <f aca="false">IF(ISNUMBER(Tabelle1!J244),(0.5*Tabelle1!J232+SUM(Tabelle1!J233:J243)+0.5*Tabelle1!J244)/12,"")</f>
        <v>152.489290833333</v>
      </c>
      <c r="X237" s="24" t="n">
        <f aca="false">IFERROR(Tabelle1!J238/W237,"")</f>
        <v>1.06753431083841</v>
      </c>
      <c r="Y237" s="24" t="n">
        <f aca="false">IFERROR(AVERAGEIFS($X$7:$X$294,$B$7:$B$294,$B237,$A$7:$A$294,"&gt;="&amp;EDATE($A237,-12*'Seasonal Factors'!$E$4),$A$7:$A$294,"&lt;="&amp;EDATE($A237,12*'Seasonal Factors'!$E$4)),"")</f>
        <v>1.0080217751863</v>
      </c>
      <c r="Z237" s="24" t="n">
        <f aca="false">IFERROR(Y237/AVERAGE(Y232:Y243),"")</f>
        <v>1.01175404857828</v>
      </c>
      <c r="AA237" s="23" t="n">
        <f aca="false">IF(ISNUMBER(Tabelle1!K244),(0.5*Tabelle1!K232+SUM(Tabelle1!K233:K243)+0.5*Tabelle1!K244)/12,"")</f>
        <v>161.490675416667</v>
      </c>
      <c r="AB237" s="24" t="n">
        <f aca="false">IFERROR(Tabelle1!K238/AA237,"")</f>
        <v>1.04901344652198</v>
      </c>
      <c r="AC237" s="24" t="n">
        <f aca="false">IFERROR(AVERAGEIFS($AB$7:$AB$294,$B$7:$B$294,$B237,$A$7:$A$294,"&gt;="&amp;EDATE($A237,-12*'Seasonal Factors'!$E$4),$A$7:$A$294,"&lt;="&amp;EDATE($A237,12*'Seasonal Factors'!$E$4)),"")</f>
        <v>1.01655769299717</v>
      </c>
      <c r="AD237" s="24" t="n">
        <f aca="false">IFERROR(AC237/AVERAGE(AC232:AC243),"")</f>
        <v>1.01813198521609</v>
      </c>
      <c r="AE237" s="23" t="n">
        <f aca="false">IF(ISNUMBER(Tabelle1!L244),(0.5*Tabelle1!L232+SUM(Tabelle1!L233:L243)+0.5*Tabelle1!L244)/12,"")</f>
        <v>150.0051825</v>
      </c>
      <c r="AF237" s="24" t="n">
        <f aca="false">IFERROR(Tabelle1!L238/AE237,"")</f>
        <v>0.924196269018905</v>
      </c>
      <c r="AG237" s="24" t="n">
        <f aca="false">IFERROR(AVERAGEIFS($AF$7:$AF$294,$B$7:$B$294,$B237,$A$7:$A$294,"&gt;="&amp;EDATE($A237,-12*'Seasonal Factors'!$E$4),$A$7:$A$294,"&lt;="&amp;EDATE($A237,12*'Seasonal Factors'!$E$4)),"")</f>
        <v>0.925733090334388</v>
      </c>
      <c r="AH237" s="24" t="n">
        <f aca="false">IFERROR(AG237/AVERAGE(AG232:AG243),"")</f>
        <v>0.932080108978219</v>
      </c>
      <c r="AI237" s="23" t="n">
        <f aca="false">IF(ISNUMBER(Tabelle1!M244),(0.5*Tabelle1!M232+SUM(Tabelle1!M233:M243)+0.5*Tabelle1!M244)/12,"")</f>
        <v>181.369370833333</v>
      </c>
      <c r="AJ237" s="24" t="n">
        <f aca="false">IFERROR(Tabelle1!M238/AI237,"")</f>
        <v>1.00825717793355</v>
      </c>
      <c r="AK237" s="24" t="n">
        <f aca="false">IFERROR(AVERAGEIFS($AJ$7:$AJ$294,$B$7:$B$294,$B237,$A$7:$A$294,"&gt;="&amp;EDATE($A237,-12*'Seasonal Factors'!$E$4),$A$7:$A$294,"&lt;="&amp;EDATE($A237,12*'Seasonal Factors'!$E$4)),"")</f>
        <v>1.00540372749541</v>
      </c>
      <c r="AL237" s="24" t="n">
        <f aca="false">IFERROR(AK237/AVERAGE(AK232:AK243),"")</f>
        <v>1.00610552652035</v>
      </c>
      <c r="AM237" s="23" t="n">
        <f aca="false">IF(ISNUMBER(Tabelle1!N244),(0.5*Tabelle1!N232+SUM(Tabelle1!N233:N243)+0.5*Tabelle1!N244)/12,"")</f>
        <v>164.431740833333</v>
      </c>
      <c r="AN237" s="24" t="n">
        <f aca="false">IFERROR(Tabelle1!N238/AM237,"")</f>
        <v>1.07145542038976</v>
      </c>
      <c r="AO237" s="24" t="n">
        <f aca="false">IFERROR(AVERAGEIFS($AN$7:$AN$294,$B$7:$B$294,$B237,$A$7:$A$294,"&gt;="&amp;EDATE($A237,-12*'Seasonal Factors'!$E$4),$A$7:$A$294,"&lt;="&amp;EDATE($A237,12*'Seasonal Factors'!$E$4)),"")</f>
        <v>1.03588065973539</v>
      </c>
      <c r="AP237" s="24" t="n">
        <f aca="false">IFERROR(AO237/AVERAGE(AO232:AO243),"")</f>
        <v>1.03734055394975</v>
      </c>
      <c r="AQ237" s="23" t="n">
        <f aca="false">IF(ISNUMBER(Tabelle1!O244),(0.5*Tabelle1!O232+SUM(Tabelle1!O233:O243)+0.5*Tabelle1!O244)/12,"")</f>
        <v>153.245018333333</v>
      </c>
      <c r="AR237" s="24" t="n">
        <f aca="false">IFERROR(Tabelle1!O238/AQ237,"")</f>
        <v>0.998483354722646</v>
      </c>
      <c r="AS237" s="24" t="n">
        <f aca="false">IFERROR(AVERAGEIFS($AR$7:$AR$294,$B$7:$B$294,$B237,$A$7:$A$294,"&gt;="&amp;EDATE($A237,-12*'Seasonal Factors'!$E$4),$A$7:$A$294,"&lt;="&amp;EDATE($A237,12*'Seasonal Factors'!$E$4)),"")</f>
        <v>0.986149872979875</v>
      </c>
      <c r="AT237" s="24" t="n">
        <f aca="false">IFERROR(AS237/AVERAGE(AS232:AS243),"")</f>
        <v>0.986516639275905</v>
      </c>
      <c r="AU237" s="23" t="n">
        <f aca="false">IF(ISNUMBER(Tabelle1!P244),(0.5*Tabelle1!P232+SUM(Tabelle1!P233:P243)+0.5*Tabelle1!P244)/12,"")</f>
        <v>164.200780416667</v>
      </c>
      <c r="AV237" s="24" t="n">
        <f aca="false">IFERROR(Tabelle1!P238/AU237,"")</f>
        <v>1.00049177344425</v>
      </c>
      <c r="AW237" s="24" t="n">
        <f aca="false">IFERROR(AVERAGEIFS($AV$7:$AV$294,$B$7:$B$294,$B237,$A$7:$A$294,"&gt;="&amp;EDATE($A237,-12*'Seasonal Factors'!$E$4),$A$7:$A$294,"&lt;="&amp;EDATE($A237,12*'Seasonal Factors'!$E$4)),"")</f>
        <v>1.00677381259497</v>
      </c>
      <c r="AX237" s="24" t="n">
        <f aca="false">IFERROR(AW237/AVERAGE(AW232:AW243),"")</f>
        <v>1.0069324670118</v>
      </c>
      <c r="AY237" s="23" t="n">
        <f aca="false">IF(ISNUMBER(Tabelle1!Q244),(0.5*Tabelle1!Q232+SUM(Tabelle1!Q233:Q243)+0.5*Tabelle1!Q244)/12,"")</f>
        <v>169.556605416667</v>
      </c>
      <c r="AZ237" s="24" t="n">
        <f aca="false">IFERROR(Tabelle1!Q238/AY237,"")</f>
        <v>1.00125860377311</v>
      </c>
      <c r="BA237" s="24" t="n">
        <f aca="false">IFERROR(AVERAGEIFS($AZ$7:$AZ$294,$B$7:$B$294,$B237,$A$7:$A$294,"&gt;="&amp;EDATE($A237,-12*'Seasonal Factors'!$E$4),$A$7:$A$294,"&lt;="&amp;EDATE($A237,12*'Seasonal Factors'!$E$4)),"")</f>
        <v>1.00201790079041</v>
      </c>
      <c r="BB237" s="24" t="n">
        <f aca="false">IFERROR(BA237/AVERAGE(BA232:BA243),"")</f>
        <v>1.00210269809738</v>
      </c>
      <c r="BC237" s="23" t="n">
        <f aca="false">IF(ISNUMBER(Tabelle1!R244),(0.5*Tabelle1!R232+SUM(Tabelle1!R233:R243)+0.5*Tabelle1!R244)/12,"")</f>
        <v>185.230447083333</v>
      </c>
      <c r="BD237" s="24" t="n">
        <f aca="false">IFERROR(Tabelle1!R238/BC237,"")</f>
        <v>1.02907309787059</v>
      </c>
      <c r="BE237" s="24" t="n">
        <f aca="false">IFERROR(AVERAGEIFS($BD$7:$BD$294,$B$7:$B$294,$B237,$A$7:$A$294,"&gt;="&amp;EDATE($A237,-12*'Seasonal Factors'!$E$4),$A$7:$A$294,"&lt;="&amp;EDATE($A237,12*'Seasonal Factors'!$E$4)),"")</f>
        <v>1.02881221402119</v>
      </c>
      <c r="BF237" s="24" t="n">
        <f aca="false">IFERROR(BE237/AVERAGE(BE232:BE243),"")</f>
        <v>1.02938201549074</v>
      </c>
      <c r="BG237" s="23" t="n">
        <f aca="false">IF(ISNUMBER(Tabelle1!S244),(0.5*Tabelle1!S232+SUM(Tabelle1!S233:S243)+0.5*Tabelle1!S244)/12,"")</f>
        <v>131.794226666667</v>
      </c>
      <c r="BH237" s="24" t="n">
        <f aca="false">IFERROR(Tabelle1!S238/BG237,"")</f>
        <v>1.07847857675506</v>
      </c>
      <c r="BI237" s="24" t="n">
        <f aca="false">IFERROR(AVERAGEIFS($BH$7:$BH$294,$B$7:$B$294,$B237,$A$7:$A$294,"&gt;="&amp;EDATE($A237,-12*'Seasonal Factors'!$E$4),$A$7:$A$294,"&lt;="&amp;EDATE($A237,12*'Seasonal Factors'!$E$4)),"")</f>
        <v>1.07968571756311</v>
      </c>
      <c r="BJ237" s="24" t="n">
        <f aca="false">IFERROR(BI237/AVERAGE(BI232:BI243),"")</f>
        <v>1.08689914058167</v>
      </c>
    </row>
    <row r="238" customFormat="false" ht="15" hidden="false" customHeight="false" outlineLevel="0" collapsed="false">
      <c r="A238" s="20" t="n">
        <v>45046</v>
      </c>
      <c r="B238" s="22" t="n">
        <f aca="false">MONTH(A238)</f>
        <v>4</v>
      </c>
      <c r="C238" s="23" t="n">
        <f aca="false">IF(ISNUMBER(Tabelle1!E245),(0.5*Tabelle1!E233+SUM(Tabelle1!E234:E244)+0.5*Tabelle1!E245)/12,"")</f>
        <v>92.64046875</v>
      </c>
      <c r="D238" s="24" t="n">
        <f aca="false">IFERROR(Tabelle1!E239/C238,"")</f>
        <v>1.31423439068037</v>
      </c>
      <c r="E238" s="24" t="n">
        <f aca="false">IFERROR(AVERAGEIFS($D$7:$D$294,$B$7:$B$294,$B238,$A$7:$A$294,"&gt;="&amp;EDATE($A238,-12*'Seasonal Factors'!$E$4),$A$7:$A$294,"&lt;="&amp;EDATE($A238,12*'Seasonal Factors'!$E$4)),"")</f>
        <v>1.58981903600773</v>
      </c>
      <c r="F238" s="24" t="n">
        <f aca="false">IFERROR(E238/AVERAGE(E233:E244),"")</f>
        <v>1.59413960844711</v>
      </c>
      <c r="G238" s="23" t="n">
        <f aca="false">IF(ISNUMBER(Tabelle1!F245),(0.5*Tabelle1!F233+SUM(Tabelle1!F234:F244)+0.5*Tabelle1!F245)/12,"")</f>
        <v>163.22547125</v>
      </c>
      <c r="H238" s="24" t="n">
        <f aca="false">IFERROR(Tabelle1!F239/G238,"")</f>
        <v>0.420712585322066</v>
      </c>
      <c r="I238" s="24" t="n">
        <f aca="false">IFERROR(AVERAGEIFS($H$7:$H$294,$B$7:$B$294,$B238,$A$7:$A$294,"&gt;="&amp;EDATE($A238,-12*'Seasonal Factors'!$E$4),$A$7:$A$294,"&lt;="&amp;EDATE($A238,12*'Seasonal Factors'!$E$4)),"")</f>
        <v>0.889866524035946</v>
      </c>
      <c r="J238" s="24" t="n">
        <f aca="false">IFERROR(I238/AVERAGE(I233:I244),"")</f>
        <v>0.898969470594399</v>
      </c>
      <c r="K238" s="23" t="n">
        <f aca="false">IF(ISNUMBER(Tabelle1!G245),(0.5*Tabelle1!G233+SUM(Tabelle1!G234:G244)+0.5*Tabelle1!G245)/12,"")</f>
        <v>104.1667975</v>
      </c>
      <c r="L238" s="24" t="n">
        <f aca="false">IFERROR(Tabelle1!G239/K238,"")</f>
        <v>0.979728881460525</v>
      </c>
      <c r="M238" s="24" t="n">
        <f aca="false">IFERROR(AVERAGEIFS($L$7:$L$294,$B$7:$B$294,$B238,$A$7:$A$294,"&gt;="&amp;EDATE($A238,-12*'Seasonal Factors'!$E$4),$A$7:$A$294,"&lt;="&amp;EDATE($A238,12*'Seasonal Factors'!$E$4)),"")</f>
        <v>0.964250573464197</v>
      </c>
      <c r="N238" s="24" t="n">
        <f aca="false">IFERROR(M238/AVERAGE(M233:M244),"")</f>
        <v>0.965504071090988</v>
      </c>
      <c r="O238" s="23" t="n">
        <f aca="false">IF(ISNUMBER(Tabelle1!H245),(0.5*Tabelle1!H233+SUM(Tabelle1!H234:H244)+0.5*Tabelle1!H245)/12,"")</f>
        <v>131.270217916667</v>
      </c>
      <c r="P238" s="24" t="n">
        <f aca="false">IFERROR(Tabelle1!H239/O238,"")</f>
        <v>0.995888573011974</v>
      </c>
      <c r="Q238" s="24" t="n">
        <f aca="false">IFERROR(AVERAGEIFS($P$7:$P$294,$B$7:$B$294,$B238,$A$7:$A$294,"&gt;="&amp;EDATE($A238,-12*'Seasonal Factors'!$E$4),$A$7:$A$294,"&lt;="&amp;EDATE($A238,12*'Seasonal Factors'!$E$4)),"")</f>
        <v>0.942379422344429</v>
      </c>
      <c r="R238" s="24" t="n">
        <f aca="false">IFERROR(Q238/AVERAGE(Q233:Q244),"")</f>
        <v>0.943740461361905</v>
      </c>
      <c r="S238" s="23" t="n">
        <f aca="false">IF(ISNUMBER(Tabelle1!I245),(0.5*Tabelle1!I233+SUM(Tabelle1!I234:I244)+0.5*Tabelle1!I245)/12,"")</f>
        <v>150.50049375</v>
      </c>
      <c r="T238" s="24" t="n">
        <f aca="false">IFERROR(Tabelle1!I239/S238,"")</f>
        <v>0.883422683123257</v>
      </c>
      <c r="U238" s="24" t="n">
        <f aca="false">IFERROR(AVERAGEIFS($T$7:$T$294,$B$7:$B$294,$B238,$A$7:$A$294,"&gt;="&amp;EDATE($A238,-12*'Seasonal Factors'!$E$4),$A$7:$A$294,"&lt;="&amp;EDATE($A238,12*'Seasonal Factors'!$E$4)),"")</f>
        <v>0.902087835905411</v>
      </c>
      <c r="V238" s="24" t="n">
        <f aca="false">IFERROR(U238/AVERAGE(U233:U244),"")</f>
        <v>0.903364215867395</v>
      </c>
      <c r="W238" s="23" t="n">
        <f aca="false">IF(ISNUMBER(Tabelle1!J245),(0.5*Tabelle1!J233+SUM(Tabelle1!J234:J244)+0.5*Tabelle1!J245)/12,"")</f>
        <v>152.6497625</v>
      </c>
      <c r="X238" s="24" t="n">
        <f aca="false">IFERROR(Tabelle1!J239/W238,"")</f>
        <v>0.995216812079875</v>
      </c>
      <c r="Y238" s="24" t="n">
        <f aca="false">IFERROR(AVERAGEIFS($X$7:$X$294,$B$7:$B$294,$B238,$A$7:$A$294,"&gt;="&amp;EDATE($A238,-12*'Seasonal Factors'!$E$4),$A$7:$A$294,"&lt;="&amp;EDATE($A238,12*'Seasonal Factors'!$E$4)),"")</f>
        <v>0.897160067182609</v>
      </c>
      <c r="Z238" s="24" t="n">
        <f aca="false">IFERROR(Y238/AVERAGE(Y233:Y244),"")</f>
        <v>0.900155532248577</v>
      </c>
      <c r="AA238" s="23" t="n">
        <f aca="false">IF(ISNUMBER(Tabelle1!K245),(0.5*Tabelle1!K233+SUM(Tabelle1!K234:K244)+0.5*Tabelle1!K245)/12,"")</f>
        <v>161.419112916667</v>
      </c>
      <c r="AB238" s="24" t="n">
        <f aca="false">IFERROR(Tabelle1!K239/AA238,"")</f>
        <v>1.01387448513913</v>
      </c>
      <c r="AC238" s="24" t="n">
        <f aca="false">IFERROR(AVERAGEIFS($AB$7:$AB$294,$B$7:$B$294,$B238,$A$7:$A$294,"&gt;="&amp;EDATE($A238,-12*'Seasonal Factors'!$E$4),$A$7:$A$294,"&lt;="&amp;EDATE($A238,12*'Seasonal Factors'!$E$4)),"")</f>
        <v>0.974653158784746</v>
      </c>
      <c r="AD238" s="24" t="n">
        <f aca="false">IFERROR(AC238/AVERAGE(AC233:AC244),"")</f>
        <v>0.976114095477093</v>
      </c>
      <c r="AE238" s="23" t="n">
        <f aca="false">IF(ISNUMBER(Tabelle1!L245),(0.5*Tabelle1!L233+SUM(Tabelle1!L234:L244)+0.5*Tabelle1!L245)/12,"")</f>
        <v>150.911131666667</v>
      </c>
      <c r="AF238" s="24" t="n">
        <f aca="false">IFERROR(Tabelle1!L239/AE238,"")</f>
        <v>0.73198523382619</v>
      </c>
      <c r="AG238" s="24" t="n">
        <f aca="false">IFERROR(AVERAGEIFS($AF$7:$AF$294,$B$7:$B$294,$B238,$A$7:$A$294,"&gt;="&amp;EDATE($A238,-12*'Seasonal Factors'!$E$4),$A$7:$A$294,"&lt;="&amp;EDATE($A238,12*'Seasonal Factors'!$E$4)),"")</f>
        <v>0.729113590626556</v>
      </c>
      <c r="AH238" s="24" t="n">
        <f aca="false">IFERROR(AG238/AVERAGE(AG233:AG244),"")</f>
        <v>0.734122544300644</v>
      </c>
      <c r="AI238" s="23" t="n">
        <f aca="false">IF(ISNUMBER(Tabelle1!M245),(0.5*Tabelle1!M233+SUM(Tabelle1!M234:M244)+0.5*Tabelle1!M245)/12,"")</f>
        <v>181.33514875</v>
      </c>
      <c r="AJ238" s="24" t="n">
        <f aca="false">IFERROR(Tabelle1!M239/AI238,"")</f>
        <v>1.00914649620569</v>
      </c>
      <c r="AK238" s="24" t="n">
        <f aca="false">IFERROR(AVERAGEIFS($AJ$7:$AJ$294,$B$7:$B$294,$B238,$A$7:$A$294,"&gt;="&amp;EDATE($A238,-12*'Seasonal Factors'!$E$4),$A$7:$A$294,"&lt;="&amp;EDATE($A238,12*'Seasonal Factors'!$E$4)),"")</f>
        <v>1.00184131650669</v>
      </c>
      <c r="AL238" s="24" t="n">
        <f aca="false">IFERROR(AK238/AVERAGE(AK233:AK244),"")</f>
        <v>1.00257929355386</v>
      </c>
      <c r="AM238" s="23" t="n">
        <f aca="false">IF(ISNUMBER(Tabelle1!N245),(0.5*Tabelle1!N233+SUM(Tabelle1!N234:N244)+0.5*Tabelle1!N245)/12,"")</f>
        <v>164.632024166667</v>
      </c>
      <c r="AN238" s="24" t="n">
        <f aca="false">IFERROR(Tabelle1!N239/AM238,"")</f>
        <v>1.02242404448357</v>
      </c>
      <c r="AO238" s="24" t="n">
        <f aca="false">IFERROR(AVERAGEIFS($AN$7:$AN$294,$B$7:$B$294,$B238,$A$7:$A$294,"&gt;="&amp;EDATE($A238,-12*'Seasonal Factors'!$E$4),$A$7:$A$294,"&lt;="&amp;EDATE($A238,12*'Seasonal Factors'!$E$4)),"")</f>
        <v>1.01655044224851</v>
      </c>
      <c r="AP238" s="24" t="n">
        <f aca="false">IFERROR(AO238/AVERAGE(AO233:AO244),"")</f>
        <v>1.01764312942856</v>
      </c>
      <c r="AQ238" s="23" t="n">
        <f aca="false">IF(ISNUMBER(Tabelle1!O245),(0.5*Tabelle1!O233+SUM(Tabelle1!O234:O244)+0.5*Tabelle1!O245)/12,"")</f>
        <v>153.50533625</v>
      </c>
      <c r="AR238" s="24" t="n">
        <f aca="false">IFERROR(Tabelle1!O239/AQ238,"")</f>
        <v>1.00314994749898</v>
      </c>
      <c r="AS238" s="24" t="n">
        <f aca="false">IFERROR(AVERAGEIFS($AR$7:$AR$294,$B$7:$B$294,$B238,$A$7:$A$294,"&gt;="&amp;EDATE($A238,-12*'Seasonal Factors'!$E$4),$A$7:$A$294,"&lt;="&amp;EDATE($A238,12*'Seasonal Factors'!$E$4)),"")</f>
        <v>0.986290990364658</v>
      </c>
      <c r="AT238" s="24" t="n">
        <f aca="false">IFERROR(AS238/AVERAGE(AS233:AS244),"")</f>
        <v>0.98656724508767</v>
      </c>
      <c r="AU238" s="23" t="n">
        <f aca="false">IF(ISNUMBER(Tabelle1!P245),(0.5*Tabelle1!P233+SUM(Tabelle1!P234:P244)+0.5*Tabelle1!P245)/12,"")</f>
        <v>164.55965375</v>
      </c>
      <c r="AV238" s="24" t="n">
        <f aca="false">IFERROR(Tabelle1!P239/AU238,"")</f>
        <v>0.995205181026944</v>
      </c>
      <c r="AW238" s="24" t="n">
        <f aca="false">IFERROR(AVERAGEIFS($AV$7:$AV$294,$B$7:$B$294,$B238,$A$7:$A$294,"&gt;="&amp;EDATE($A238,-12*'Seasonal Factors'!$E$4),$A$7:$A$294,"&lt;="&amp;EDATE($A238,12*'Seasonal Factors'!$E$4)),"")</f>
        <v>0.982584991741746</v>
      </c>
      <c r="AX238" s="24" t="n">
        <f aca="false">IFERROR(AW238/AVERAGE(AW233:AW244),"")</f>
        <v>0.982673429965386</v>
      </c>
      <c r="AY238" s="23" t="n">
        <f aca="false">IF(ISNUMBER(Tabelle1!Q245),(0.5*Tabelle1!Q233+SUM(Tabelle1!Q234:Q244)+0.5*Tabelle1!Q245)/12,"")</f>
        <v>169.862010833333</v>
      </c>
      <c r="AZ238" s="24" t="n">
        <f aca="false">IFERROR(Tabelle1!Q239/AY238,"")</f>
        <v>0.996818471471743</v>
      </c>
      <c r="BA238" s="24" t="n">
        <f aca="false">IFERROR(AVERAGEIFS($AZ$7:$AZ$294,$B$7:$B$294,$B238,$A$7:$A$294,"&gt;="&amp;EDATE($A238,-12*'Seasonal Factors'!$E$4),$A$7:$A$294,"&lt;="&amp;EDATE($A238,12*'Seasonal Factors'!$E$4)),"")</f>
        <v>0.984469420546908</v>
      </c>
      <c r="BB238" s="24" t="n">
        <f aca="false">IFERROR(BA238/AVERAGE(BA233:BA244),"")</f>
        <v>0.984568564222013</v>
      </c>
      <c r="BC238" s="23" t="n">
        <f aca="false">IF(ISNUMBER(Tabelle1!R245),(0.5*Tabelle1!R233+SUM(Tabelle1!R234:R244)+0.5*Tabelle1!R245)/12,"")</f>
        <v>185.494963333333</v>
      </c>
      <c r="BD238" s="24" t="n">
        <f aca="false">IFERROR(Tabelle1!R239/BC238,"")</f>
        <v>1.04515641026659</v>
      </c>
      <c r="BE238" s="24" t="n">
        <f aca="false">IFERROR(AVERAGEIFS($BD$7:$BD$294,$B$7:$B$294,$B238,$A$7:$A$294,"&gt;="&amp;EDATE($A238,-12*'Seasonal Factors'!$E$4),$A$7:$A$294,"&lt;="&amp;EDATE($A238,12*'Seasonal Factors'!$E$4)),"")</f>
        <v>1.00460253551185</v>
      </c>
      <c r="BF238" s="24" t="n">
        <f aca="false">IFERROR(BE238/AVERAGE(BE233:BE244),"")</f>
        <v>1.00503436519539</v>
      </c>
      <c r="BG238" s="23" t="n">
        <f aca="false">IF(ISNUMBER(Tabelle1!S245),(0.5*Tabelle1!S233+SUM(Tabelle1!S234:S244)+0.5*Tabelle1!S245)/12,"")</f>
        <v>131.89160375</v>
      </c>
      <c r="BH238" s="24" t="n">
        <f aca="false">IFERROR(Tabelle1!S239/BG238,"")</f>
        <v>0.932059710434752</v>
      </c>
      <c r="BI238" s="24" t="n">
        <f aca="false">IFERROR(AVERAGEIFS($BH$7:$BH$294,$B$7:$B$294,$B238,$A$7:$A$294,"&gt;="&amp;EDATE($A238,-12*'Seasonal Factors'!$E$4),$A$7:$A$294,"&lt;="&amp;EDATE($A238,12*'Seasonal Factors'!$E$4)),"")</f>
        <v>0.862085061133068</v>
      </c>
      <c r="BJ238" s="24" t="n">
        <f aca="false">IFERROR(BI238/AVERAGE(BI233:BI244),"")</f>
        <v>0.867463121683167</v>
      </c>
    </row>
    <row r="239" customFormat="false" ht="15" hidden="false" customHeight="false" outlineLevel="0" collapsed="false">
      <c r="A239" s="20" t="n">
        <v>45077</v>
      </c>
      <c r="B239" s="22" t="n">
        <f aca="false">MONTH(A239)</f>
        <v>5</v>
      </c>
      <c r="C239" s="23" t="n">
        <f aca="false">IF(ISNUMBER(Tabelle1!E246),(0.5*Tabelle1!E234+SUM(Tabelle1!E235:E245)+0.5*Tabelle1!E246)/12,"")</f>
        <v>92.81588125</v>
      </c>
      <c r="D239" s="24" t="n">
        <f aca="false">IFERROR(Tabelle1!E240/C239,"")</f>
        <v>1.49282092820726</v>
      </c>
      <c r="E239" s="24" t="n">
        <f aca="false">IFERROR(AVERAGEIFS($D$7:$D$294,$B$7:$B$294,$B239,$A$7:$A$294,"&gt;="&amp;EDATE($A239,-12*'Seasonal Factors'!$E$4),$A$7:$A$294,"&lt;="&amp;EDATE($A239,12*'Seasonal Factors'!$E$4)),"")</f>
        <v>2.14654869942208</v>
      </c>
      <c r="F239" s="24" t="n">
        <f aca="false">IFERROR(E239/AVERAGE(E234:E245),"")</f>
        <v>2.15332015050259</v>
      </c>
      <c r="G239" s="23" t="n">
        <f aca="false">IF(ISNUMBER(Tabelle1!F246),(0.5*Tabelle1!F234+SUM(Tabelle1!F235:F245)+0.5*Tabelle1!F246)/12,"")</f>
        <v>163.162629583333</v>
      </c>
      <c r="H239" s="24" t="n">
        <f aca="false">IFERROR(Tabelle1!F240/G239,"")</f>
        <v>0.863730502259541</v>
      </c>
      <c r="I239" s="24" t="n">
        <f aca="false">IFERROR(AVERAGEIFS($H$7:$H$294,$B$7:$B$294,$B239,$A$7:$A$294,"&gt;="&amp;EDATE($A239,-12*'Seasonal Factors'!$E$4),$A$7:$A$294,"&lt;="&amp;EDATE($A239,12*'Seasonal Factors'!$E$4)),"")</f>
        <v>0.874275599534716</v>
      </c>
      <c r="J239" s="24" t="n">
        <f aca="false">IFERROR(I239/AVERAGE(I234:I245),"")</f>
        <v>0.883784654522073</v>
      </c>
      <c r="K239" s="23" t="n">
        <f aca="false">IF(ISNUMBER(Tabelle1!G246),(0.5*Tabelle1!G234+SUM(Tabelle1!G235:G245)+0.5*Tabelle1!G246)/12,"")</f>
        <v>104.783406666667</v>
      </c>
      <c r="L239" s="24" t="n">
        <f aca="false">IFERROR(Tabelle1!G240/K239,"")</f>
        <v>1.05928212806722</v>
      </c>
      <c r="M239" s="24" t="n">
        <f aca="false">IFERROR(AVERAGEIFS($L$7:$L$294,$B$7:$B$294,$B239,$A$7:$A$294,"&gt;="&amp;EDATE($A239,-12*'Seasonal Factors'!$E$4),$A$7:$A$294,"&lt;="&amp;EDATE($A239,12*'Seasonal Factors'!$E$4)),"")</f>
        <v>1.03758815306051</v>
      </c>
      <c r="N239" s="24" t="n">
        <f aca="false">IFERROR(M239/AVERAGE(M234:M245),"")</f>
        <v>1.03893649464491</v>
      </c>
      <c r="O239" s="23" t="n">
        <f aca="false">IF(ISNUMBER(Tabelle1!H246),(0.5*Tabelle1!H234+SUM(Tabelle1!H235:H245)+0.5*Tabelle1!H246)/12,"")</f>
        <v>130.903897916667</v>
      </c>
      <c r="P239" s="24" t="n">
        <f aca="false">IFERROR(Tabelle1!H240/O239,"")</f>
        <v>1.02939707789132</v>
      </c>
      <c r="Q239" s="24" t="n">
        <f aca="false">IFERROR(AVERAGEIFS($P$7:$P$294,$B$7:$B$294,$B239,$A$7:$A$294,"&gt;="&amp;EDATE($A239,-12*'Seasonal Factors'!$E$4),$A$7:$A$294,"&lt;="&amp;EDATE($A239,12*'Seasonal Factors'!$E$4)),"")</f>
        <v>0.991222468898885</v>
      </c>
      <c r="R239" s="24" t="n">
        <f aca="false">IFERROR(Q239/AVERAGE(Q234:Q245),"")</f>
        <v>0.992368810685513</v>
      </c>
      <c r="S239" s="23" t="n">
        <f aca="false">IF(ISNUMBER(Tabelle1!I246),(0.5*Tabelle1!I234+SUM(Tabelle1!I235:I245)+0.5*Tabelle1!I246)/12,"")</f>
        <v>150.3832</v>
      </c>
      <c r="T239" s="24" t="n">
        <f aca="false">IFERROR(Tabelle1!I240/S239,"")</f>
        <v>0.958156163720416</v>
      </c>
      <c r="U239" s="24" t="n">
        <f aca="false">IFERROR(AVERAGEIFS($T$7:$T$294,$B$7:$B$294,$B239,$A$7:$A$294,"&gt;="&amp;EDATE($A239,-12*'Seasonal Factors'!$E$4),$A$7:$A$294,"&lt;="&amp;EDATE($A239,12*'Seasonal Factors'!$E$4)),"")</f>
        <v>1.00451958243455</v>
      </c>
      <c r="V239" s="24" t="n">
        <f aca="false">IFERROR(U239/AVERAGE(U234:U245),"")</f>
        <v>1.00574654849586</v>
      </c>
      <c r="W239" s="23" t="n">
        <f aca="false">IF(ISNUMBER(Tabelle1!J246),(0.5*Tabelle1!J234+SUM(Tabelle1!J235:J245)+0.5*Tabelle1!J246)/12,"")</f>
        <v>152.811195416667</v>
      </c>
      <c r="X239" s="24" t="n">
        <f aca="false">IFERROR(Tabelle1!J240/W239,"")</f>
        <v>0.961659056454003</v>
      </c>
      <c r="Y239" s="24" t="n">
        <f aca="false">IFERROR(AVERAGEIFS($X$7:$X$294,$B$7:$B$294,$B239,$A$7:$A$294,"&gt;="&amp;EDATE($A239,-12*'Seasonal Factors'!$E$4),$A$7:$A$294,"&lt;="&amp;EDATE($A239,12*'Seasonal Factors'!$E$4)),"")</f>
        <v>0.912335483964329</v>
      </c>
      <c r="Z239" s="24" t="n">
        <f aca="false">IFERROR(Y239/AVERAGE(Y234:Y245),"")</f>
        <v>0.91473228002582</v>
      </c>
      <c r="AA239" s="23" t="n">
        <f aca="false">IF(ISNUMBER(Tabelle1!K246),(0.5*Tabelle1!K234+SUM(Tabelle1!K235:K245)+0.5*Tabelle1!K246)/12,"")</f>
        <v>161.27012625</v>
      </c>
      <c r="AB239" s="24" t="n">
        <f aca="false">IFERROR(Tabelle1!K240/AA239,"")</f>
        <v>1.05252047571954</v>
      </c>
      <c r="AC239" s="24" t="n">
        <f aca="false">IFERROR(AVERAGEIFS($AB$7:$AB$294,$B$7:$B$294,$B239,$A$7:$A$294,"&gt;="&amp;EDATE($A239,-12*'Seasonal Factors'!$E$4),$A$7:$A$294,"&lt;="&amp;EDATE($A239,12*'Seasonal Factors'!$E$4)),"")</f>
        <v>1.01194105077235</v>
      </c>
      <c r="AD239" s="24" t="n">
        <f aca="false">IFERROR(AC239/AVERAGE(AC234:AC245),"")</f>
        <v>1.01364905804499</v>
      </c>
      <c r="AE239" s="23" t="n">
        <f aca="false">IF(ISNUMBER(Tabelle1!L246),(0.5*Tabelle1!L234+SUM(Tabelle1!L235:L245)+0.5*Tabelle1!L246)/12,"")</f>
        <v>151.742815</v>
      </c>
      <c r="AF239" s="24" t="n">
        <f aca="false">IFERROR(Tabelle1!L240/AE239,"")</f>
        <v>0.918612126709261</v>
      </c>
      <c r="AG239" s="24" t="n">
        <f aca="false">IFERROR(AVERAGEIFS($AF$7:$AF$294,$B$7:$B$294,$B239,$A$7:$A$294,"&gt;="&amp;EDATE($A239,-12*'Seasonal Factors'!$E$4),$A$7:$A$294,"&lt;="&amp;EDATE($A239,12*'Seasonal Factors'!$E$4)),"")</f>
        <v>0.846537950275247</v>
      </c>
      <c r="AH239" s="24" t="n">
        <f aca="false">IFERROR(AG239/AVERAGE(AG234:AG245),"")</f>
        <v>0.852272754034756</v>
      </c>
      <c r="AI239" s="23" t="n">
        <f aca="false">IF(ISNUMBER(Tabelle1!M246),(0.5*Tabelle1!M234+SUM(Tabelle1!M235:M245)+0.5*Tabelle1!M246)/12,"")</f>
        <v>181.27518375</v>
      </c>
      <c r="AJ239" s="24" t="n">
        <f aca="false">IFERROR(Tabelle1!M240/AI239,"")</f>
        <v>1.04272557384734</v>
      </c>
      <c r="AK239" s="24" t="n">
        <f aca="false">IFERROR(AVERAGEIFS($AJ$7:$AJ$294,$B$7:$B$294,$B239,$A$7:$A$294,"&gt;="&amp;EDATE($A239,-12*'Seasonal Factors'!$E$4),$A$7:$A$294,"&lt;="&amp;EDATE($A239,12*'Seasonal Factors'!$E$4)),"")</f>
        <v>1.05282956138602</v>
      </c>
      <c r="AL239" s="24" t="n">
        <f aca="false">IFERROR(AK239/AVERAGE(AK234:AK245),"")</f>
        <v>1.05346766169816</v>
      </c>
      <c r="AM239" s="23" t="n">
        <f aca="false">IF(ISNUMBER(Tabelle1!N246),(0.5*Tabelle1!N234+SUM(Tabelle1!N235:N245)+0.5*Tabelle1!N246)/12,"")</f>
        <v>164.7129525</v>
      </c>
      <c r="AN239" s="24" t="n">
        <f aca="false">IFERROR(Tabelle1!N240/AM239,"")</f>
        <v>0.934444363141387</v>
      </c>
      <c r="AO239" s="24" t="n">
        <f aca="false">IFERROR(AVERAGEIFS($AN$7:$AN$294,$B$7:$B$294,$B239,$A$7:$A$294,"&gt;="&amp;EDATE($A239,-12*'Seasonal Factors'!$E$4),$A$7:$A$294,"&lt;="&amp;EDATE($A239,12*'Seasonal Factors'!$E$4)),"")</f>
        <v>0.937336799703703</v>
      </c>
      <c r="AP239" s="24" t="n">
        <f aca="false">IFERROR(AO239/AVERAGE(AO234:AO245),"")</f>
        <v>0.937939390378002</v>
      </c>
      <c r="AQ239" s="23" t="n">
        <f aca="false">IF(ISNUMBER(Tabelle1!O246),(0.5*Tabelle1!O234+SUM(Tabelle1!O235:O245)+0.5*Tabelle1!O246)/12,"")</f>
        <v>153.76436125</v>
      </c>
      <c r="AR239" s="24" t="n">
        <f aca="false">IFERROR(Tabelle1!O240/AQ239,"")</f>
        <v>1.01051647297758</v>
      </c>
      <c r="AS239" s="24" t="n">
        <f aca="false">IFERROR(AVERAGEIFS($AR$7:$AR$294,$B$7:$B$294,$B239,$A$7:$A$294,"&gt;="&amp;EDATE($A239,-12*'Seasonal Factors'!$E$4),$A$7:$A$294,"&lt;="&amp;EDATE($A239,12*'Seasonal Factors'!$E$4)),"")</f>
        <v>0.99596008177046</v>
      </c>
      <c r="AT239" s="24" t="n">
        <f aca="false">IFERROR(AS239/AVERAGE(AS234:AS245),"")</f>
        <v>0.996080740767323</v>
      </c>
      <c r="AU239" s="23" t="n">
        <f aca="false">IF(ISNUMBER(Tabelle1!P246),(0.5*Tabelle1!P234+SUM(Tabelle1!P235:P245)+0.5*Tabelle1!P246)/12,"")</f>
        <v>164.91729</v>
      </c>
      <c r="AV239" s="24" t="n">
        <f aca="false">IFERROR(Tabelle1!P240/AU239,"")</f>
        <v>0.996865155860856</v>
      </c>
      <c r="AW239" s="24" t="n">
        <f aca="false">IFERROR(AVERAGEIFS($AV$7:$AV$294,$B$7:$B$294,$B239,$A$7:$A$294,"&gt;="&amp;EDATE($A239,-12*'Seasonal Factors'!$E$4),$A$7:$A$294,"&lt;="&amp;EDATE($A239,12*'Seasonal Factors'!$E$4)),"")</f>
        <v>0.985996016038153</v>
      </c>
      <c r="AX239" s="24" t="n">
        <f aca="false">IFERROR(AW239/AVERAGE(AW234:AW245),"")</f>
        <v>0.986036614723292</v>
      </c>
      <c r="AY239" s="23" t="n">
        <f aca="false">IF(ISNUMBER(Tabelle1!Q246),(0.5*Tabelle1!Q234+SUM(Tabelle1!Q235:Q245)+0.5*Tabelle1!Q246)/12,"")</f>
        <v>170.159528333333</v>
      </c>
      <c r="AZ239" s="24" t="n">
        <f aca="false">IFERROR(Tabelle1!Q240/AY239,"")</f>
        <v>1.00138776634479</v>
      </c>
      <c r="BA239" s="24" t="n">
        <f aca="false">IFERROR(AVERAGEIFS($AZ$7:$AZ$294,$B$7:$B$294,$B239,$A$7:$A$294,"&gt;="&amp;EDATE($A239,-12*'Seasonal Factors'!$E$4),$A$7:$A$294,"&lt;="&amp;EDATE($A239,12*'Seasonal Factors'!$E$4)),"")</f>
        <v>0.992442971447241</v>
      </c>
      <c r="BB239" s="24" t="n">
        <f aca="false">IFERROR(BA239/AVERAGE(BA234:BA245),"")</f>
        <v>0.992566195634151</v>
      </c>
      <c r="BC239" s="23" t="n">
        <f aca="false">IF(ISNUMBER(Tabelle1!R246),(0.5*Tabelle1!R234+SUM(Tabelle1!R235:R245)+0.5*Tabelle1!R246)/12,"")</f>
        <v>185.787725833333</v>
      </c>
      <c r="BD239" s="24" t="n">
        <f aca="false">IFERROR(Tabelle1!R240/BC239,"")</f>
        <v>1.06321254062393</v>
      </c>
      <c r="BE239" s="24" t="n">
        <f aca="false">IFERROR(AVERAGEIFS($BD$7:$BD$294,$B$7:$B$294,$B239,$A$7:$A$294,"&gt;="&amp;EDATE($A239,-12*'Seasonal Factors'!$E$4),$A$7:$A$294,"&lt;="&amp;EDATE($A239,12*'Seasonal Factors'!$E$4)),"")</f>
        <v>1.04649878380788</v>
      </c>
      <c r="BF239" s="24" t="n">
        <f aca="false">IFERROR(BE239/AVERAGE(BE234:BE245),"")</f>
        <v>1.04686239275794</v>
      </c>
      <c r="BG239" s="23" t="n">
        <f aca="false">IF(ISNUMBER(Tabelle1!S246),(0.5*Tabelle1!S234+SUM(Tabelle1!S235:S245)+0.5*Tabelle1!S246)/12,"")</f>
        <v>131.913018333333</v>
      </c>
      <c r="BH239" s="24" t="n">
        <f aca="false">IFERROR(Tabelle1!S240/BG239,"")</f>
        <v>0.929504468544304</v>
      </c>
      <c r="BI239" s="24" t="n">
        <f aca="false">IFERROR(AVERAGEIFS($BH$7:$BH$294,$B$7:$B$294,$B239,$A$7:$A$294,"&gt;="&amp;EDATE($A239,-12*'Seasonal Factors'!$E$4),$A$7:$A$294,"&lt;="&amp;EDATE($A239,12*'Seasonal Factors'!$E$4)),"")</f>
        <v>0.867699008318785</v>
      </c>
      <c r="BJ239" s="24" t="n">
        <f aca="false">IFERROR(BI239/AVERAGE(BI234:BI245),"")</f>
        <v>0.872601215577001</v>
      </c>
    </row>
    <row r="240" customFormat="false" ht="15" hidden="false" customHeight="false" outlineLevel="0" collapsed="false">
      <c r="A240" s="20" t="n">
        <v>45107</v>
      </c>
      <c r="B240" s="22" t="n">
        <f aca="false">MONTH(A240)</f>
        <v>6</v>
      </c>
      <c r="C240" s="23" t="n">
        <f aca="false">IF(ISNUMBER(Tabelle1!E247),(0.5*Tabelle1!E235+SUM(Tabelle1!E236:E246)+0.5*Tabelle1!E247)/12,"")</f>
        <v>93.3285054166667</v>
      </c>
      <c r="D240" s="24" t="n">
        <f aca="false">IFERROR(Tabelle1!E241/C240,"")</f>
        <v>1.14430644231584</v>
      </c>
      <c r="E240" s="24" t="n">
        <f aca="false">IFERROR(AVERAGEIFS($D$7:$D$294,$B$7:$B$294,$B240,$A$7:$A$294,"&gt;="&amp;EDATE($A240,-12*'Seasonal Factors'!$E$4),$A$7:$A$294,"&lt;="&amp;EDATE($A240,12*'Seasonal Factors'!$E$4)),"")</f>
        <v>1.48314785004667</v>
      </c>
      <c r="F240" s="24" t="n">
        <f aca="false">IFERROR(E240/AVERAGE(E235:E246),"")</f>
        <v>1.48577439737532</v>
      </c>
      <c r="G240" s="23" t="n">
        <f aca="false">IF(ISNUMBER(Tabelle1!F247),(0.5*Tabelle1!F235+SUM(Tabelle1!F236:F246)+0.5*Tabelle1!F247)/12,"")</f>
        <v>162.912558333333</v>
      </c>
      <c r="H240" s="24" t="n">
        <f aca="false">IFERROR(Tabelle1!F241/G240,"")</f>
        <v>1.32967453348056</v>
      </c>
      <c r="I240" s="24" t="n">
        <f aca="false">IFERROR(AVERAGEIFS($H$7:$H$294,$B$7:$B$294,$B240,$A$7:$A$294,"&gt;="&amp;EDATE($A240,-12*'Seasonal Factors'!$E$4),$A$7:$A$294,"&lt;="&amp;EDATE($A240,12*'Seasonal Factors'!$E$4)),"")</f>
        <v>1.07596452442207</v>
      </c>
      <c r="J240" s="24" t="n">
        <f aca="false">IFERROR(I240/AVERAGE(I235:I246),"")</f>
        <v>1.0847078218772</v>
      </c>
      <c r="K240" s="23" t="n">
        <f aca="false">IF(ISNUMBER(Tabelle1!G247),(0.5*Tabelle1!G235+SUM(Tabelle1!G236:G246)+0.5*Tabelle1!G247)/12,"")</f>
        <v>105.4717075</v>
      </c>
      <c r="L240" s="24" t="n">
        <f aca="false">IFERROR(Tabelle1!G241/K240,"")</f>
        <v>0.999881792944331</v>
      </c>
      <c r="M240" s="24" t="n">
        <f aca="false">IFERROR(AVERAGEIFS($L$7:$L$294,$B$7:$B$294,$B240,$A$7:$A$294,"&gt;="&amp;EDATE($A240,-12*'Seasonal Factors'!$E$4),$A$7:$A$294,"&lt;="&amp;EDATE($A240,12*'Seasonal Factors'!$E$4)),"")</f>
        <v>0.98571428871146</v>
      </c>
      <c r="N240" s="24" t="n">
        <f aca="false">IFERROR(M240/AVERAGE(M235:M246),"")</f>
        <v>0.986903423083067</v>
      </c>
      <c r="O240" s="23" t="n">
        <f aca="false">IF(ISNUMBER(Tabelle1!H247),(0.5*Tabelle1!H235+SUM(Tabelle1!H236:H246)+0.5*Tabelle1!H247)/12,"")</f>
        <v>129.952442916667</v>
      </c>
      <c r="P240" s="24" t="n">
        <f aca="false">IFERROR(Tabelle1!H241/O240,"")</f>
        <v>1.03132335946885</v>
      </c>
      <c r="Q240" s="24" t="n">
        <f aca="false">IFERROR(AVERAGEIFS($P$7:$P$294,$B$7:$B$294,$B240,$A$7:$A$294,"&gt;="&amp;EDATE($A240,-12*'Seasonal Factors'!$E$4),$A$7:$A$294,"&lt;="&amp;EDATE($A240,12*'Seasonal Factors'!$E$4)),"")</f>
        <v>1.01838855367265</v>
      </c>
      <c r="R240" s="24" t="n">
        <f aca="false">IFERROR(Q240/AVERAGE(Q235:Q246),"")</f>
        <v>1.01886961457506</v>
      </c>
      <c r="S240" s="23" t="n">
        <f aca="false">IF(ISNUMBER(Tabelle1!I247),(0.5*Tabelle1!I235+SUM(Tabelle1!I236:I246)+0.5*Tabelle1!I247)/12,"")</f>
        <v>149.440384166667</v>
      </c>
      <c r="T240" s="24" t="n">
        <f aca="false">IFERROR(Tabelle1!I241/S240,"")</f>
        <v>1.03209959516688</v>
      </c>
      <c r="U240" s="24" t="n">
        <f aca="false">IFERROR(AVERAGEIFS($T$7:$T$294,$B$7:$B$294,$B240,$A$7:$A$294,"&gt;="&amp;EDATE($A240,-12*'Seasonal Factors'!$E$4),$A$7:$A$294,"&lt;="&amp;EDATE($A240,12*'Seasonal Factors'!$E$4)),"")</f>
        <v>1.04644023269372</v>
      </c>
      <c r="V240" s="24" t="n">
        <f aca="false">IFERROR(U240/AVERAGE(U235:U246),"")</f>
        <v>1.04741042877938</v>
      </c>
      <c r="W240" s="23" t="n">
        <f aca="false">IF(ISNUMBER(Tabelle1!J247),(0.5*Tabelle1!J235+SUM(Tabelle1!J236:J246)+0.5*Tabelle1!J247)/12,"")</f>
        <v>152.464131666667</v>
      </c>
      <c r="X240" s="24" t="n">
        <f aca="false">IFERROR(Tabelle1!J241/W240,"")</f>
        <v>0.98911723269907</v>
      </c>
      <c r="Y240" s="24" t="n">
        <f aca="false">IFERROR(AVERAGEIFS($X$7:$X$294,$B$7:$B$294,$B240,$A$7:$A$294,"&gt;="&amp;EDATE($A240,-12*'Seasonal Factors'!$E$4),$A$7:$A$294,"&lt;="&amp;EDATE($A240,12*'Seasonal Factors'!$E$4)),"")</f>
        <v>0.952861519811793</v>
      </c>
      <c r="Z240" s="24" t="n">
        <f aca="false">IFERROR(Y240/AVERAGE(Y235:Y246),"")</f>
        <v>0.954199419874305</v>
      </c>
      <c r="AA240" s="23" t="n">
        <f aca="false">IF(ISNUMBER(Tabelle1!K247),(0.5*Tabelle1!K235+SUM(Tabelle1!K236:K246)+0.5*Tabelle1!K247)/12,"")</f>
        <v>160.44461875</v>
      </c>
      <c r="AB240" s="24" t="n">
        <f aca="false">IFERROR(Tabelle1!K241/AA240,"")</f>
        <v>1.08133835432857</v>
      </c>
      <c r="AC240" s="24" t="n">
        <f aca="false">IFERROR(AVERAGEIFS($AB$7:$AB$294,$B$7:$B$294,$B240,$A$7:$A$294,"&gt;="&amp;EDATE($A240,-12*'Seasonal Factors'!$E$4),$A$7:$A$294,"&lt;="&amp;EDATE($A240,12*'Seasonal Factors'!$E$4)),"")</f>
        <v>1.02808007984375</v>
      </c>
      <c r="AD240" s="24" t="n">
        <f aca="false">IFERROR(AC240/AVERAGE(AC235:AC246),"")</f>
        <v>1.02907375403756</v>
      </c>
      <c r="AE240" s="23" t="n">
        <f aca="false">IF(ISNUMBER(Tabelle1!L247),(0.5*Tabelle1!L235+SUM(Tabelle1!L236:L246)+0.5*Tabelle1!L247)/12,"")</f>
        <v>152.7222</v>
      </c>
      <c r="AF240" s="24" t="n">
        <f aca="false">IFERROR(Tabelle1!L241/AE240,"")</f>
        <v>1.0907014173447</v>
      </c>
      <c r="AG240" s="24" t="n">
        <f aca="false">IFERROR(AVERAGEIFS($AF$7:$AF$294,$B$7:$B$294,$B240,$A$7:$A$294,"&gt;="&amp;EDATE($A240,-12*'Seasonal Factors'!$E$4),$A$7:$A$294,"&lt;="&amp;EDATE($A240,12*'Seasonal Factors'!$E$4)),"")</f>
        <v>0.970684683237079</v>
      </c>
      <c r="AH240" s="24" t="n">
        <f aca="false">IFERROR(AG240/AVERAGE(AG235:AG246),"")</f>
        <v>0.976707467105289</v>
      </c>
      <c r="AI240" s="23" t="n">
        <f aca="false">IF(ISNUMBER(Tabelle1!M247),(0.5*Tabelle1!M235+SUM(Tabelle1!M236:M246)+0.5*Tabelle1!M247)/12,"")</f>
        <v>181.25202875</v>
      </c>
      <c r="AJ240" s="24" t="n">
        <f aca="false">IFERROR(Tabelle1!M241/AI240,"")</f>
        <v>1.01934340417693</v>
      </c>
      <c r="AK240" s="24" t="n">
        <f aca="false">IFERROR(AVERAGEIFS($AJ$7:$AJ$294,$B$7:$B$294,$B240,$A$7:$A$294,"&gt;="&amp;EDATE($A240,-12*'Seasonal Factors'!$E$4),$A$7:$A$294,"&lt;="&amp;EDATE($A240,12*'Seasonal Factors'!$E$4)),"")</f>
        <v>1.02397532237369</v>
      </c>
      <c r="AL240" s="24" t="n">
        <f aca="false">IFERROR(AK240/AVERAGE(AK235:AK246),"")</f>
        <v>1.02436027100045</v>
      </c>
      <c r="AM240" s="23" t="n">
        <f aca="false">IF(ISNUMBER(Tabelle1!N247),(0.5*Tabelle1!N235+SUM(Tabelle1!N236:N246)+0.5*Tabelle1!N247)/12,"")</f>
        <v>163.755092083333</v>
      </c>
      <c r="AN240" s="24" t="n">
        <f aca="false">IFERROR(Tabelle1!N241/AM240,"")</f>
        <v>0.979672558324847</v>
      </c>
      <c r="AO240" s="24" t="n">
        <f aca="false">IFERROR(AVERAGEIFS($AN$7:$AN$294,$B$7:$B$294,$B240,$A$7:$A$294,"&gt;="&amp;EDATE($A240,-12*'Seasonal Factors'!$E$4),$A$7:$A$294,"&lt;="&amp;EDATE($A240,12*'Seasonal Factors'!$E$4)),"")</f>
        <v>0.970883750711197</v>
      </c>
      <c r="AP240" s="24" t="n">
        <f aca="false">IFERROR(AO240/AVERAGE(AO235:AO246),"")</f>
        <v>0.971632381666392</v>
      </c>
      <c r="AQ240" s="23" t="n">
        <f aca="false">IF(ISNUMBER(Tabelle1!O247),(0.5*Tabelle1!O235+SUM(Tabelle1!O236:O246)+0.5*Tabelle1!O247)/12,"")</f>
        <v>153.834919166667</v>
      </c>
      <c r="AR240" s="24" t="n">
        <f aca="false">IFERROR(Tabelle1!O241/AQ240,"")</f>
        <v>1.01209212344902</v>
      </c>
      <c r="AS240" s="24" t="n">
        <f aca="false">IFERROR(AVERAGEIFS($AR$7:$AR$294,$B$7:$B$294,$B240,$A$7:$A$294,"&gt;="&amp;EDATE($A240,-12*'Seasonal Factors'!$E$4),$A$7:$A$294,"&lt;="&amp;EDATE($A240,12*'Seasonal Factors'!$E$4)),"")</f>
        <v>1.00354346804649</v>
      </c>
      <c r="AT240" s="24" t="n">
        <f aca="false">IFERROR(AS240/AVERAGE(AS235:AS246),"")</f>
        <v>1.00355369646658</v>
      </c>
      <c r="AU240" s="23" t="n">
        <f aca="false">IF(ISNUMBER(Tabelle1!P247),(0.5*Tabelle1!P235+SUM(Tabelle1!P236:P246)+0.5*Tabelle1!P247)/12,"")</f>
        <v>165.270634166667</v>
      </c>
      <c r="AV240" s="24" t="n">
        <f aca="false">IFERROR(Tabelle1!P241/AU240,"")</f>
        <v>1.00386660241582</v>
      </c>
      <c r="AW240" s="24" t="n">
        <f aca="false">IFERROR(AVERAGEIFS($AV$7:$AV$294,$B$7:$B$294,$B240,$A$7:$A$294,"&gt;="&amp;EDATE($A240,-12*'Seasonal Factors'!$E$4),$A$7:$A$294,"&lt;="&amp;EDATE($A240,12*'Seasonal Factors'!$E$4)),"")</f>
        <v>0.992220326667302</v>
      </c>
      <c r="AX240" s="24" t="n">
        <f aca="false">IFERROR(AW240/AVERAGE(AW235:AW246),"")</f>
        <v>0.992148337340848</v>
      </c>
      <c r="AY240" s="23" t="n">
        <f aca="false">IF(ISNUMBER(Tabelle1!Q247),(0.5*Tabelle1!Q235+SUM(Tabelle1!Q236:Q246)+0.5*Tabelle1!Q247)/12,"")</f>
        <v>170.4493275</v>
      </c>
      <c r="AZ240" s="24" t="n">
        <f aca="false">IFERROR(Tabelle1!Q241/AY240,"")</f>
        <v>1.00716560468682</v>
      </c>
      <c r="BA240" s="24" t="n">
        <f aca="false">IFERROR(AVERAGEIFS($AZ$7:$AZ$294,$B$7:$B$294,$B240,$A$7:$A$294,"&gt;="&amp;EDATE($A240,-12*'Seasonal Factors'!$E$4),$A$7:$A$294,"&lt;="&amp;EDATE($A240,12*'Seasonal Factors'!$E$4)),"")</f>
        <v>0.997572729266578</v>
      </c>
      <c r="BB240" s="24" t="n">
        <f aca="false">IFERROR(BA240/AVERAGE(BA235:BA246),"")</f>
        <v>0.997626538022858</v>
      </c>
      <c r="BC240" s="23" t="n">
        <f aca="false">IF(ISNUMBER(Tabelle1!R247),(0.5*Tabelle1!R235+SUM(Tabelle1!R236:R246)+0.5*Tabelle1!R247)/12,"")</f>
        <v>186.075726666667</v>
      </c>
      <c r="BD240" s="24" t="n">
        <f aca="false">IFERROR(Tabelle1!R241/BC240,"")</f>
        <v>1.09734984598923</v>
      </c>
      <c r="BE240" s="24" t="n">
        <f aca="false">IFERROR(AVERAGEIFS($BD$7:$BD$294,$B$7:$B$294,$B240,$A$7:$A$294,"&gt;="&amp;EDATE($A240,-12*'Seasonal Factors'!$E$4),$A$7:$A$294,"&lt;="&amp;EDATE($A240,12*'Seasonal Factors'!$E$4)),"")</f>
        <v>1.08295681420754</v>
      </c>
      <c r="BF240" s="24" t="n">
        <f aca="false">IFERROR(BE240/AVERAGE(BE235:BE246),"")</f>
        <v>1.08314687729649</v>
      </c>
      <c r="BG240" s="23" t="n">
        <f aca="false">IF(ISNUMBER(Tabelle1!S247),(0.5*Tabelle1!S235+SUM(Tabelle1!S236:S246)+0.5*Tabelle1!S247)/12,"")</f>
        <v>132.014298333333</v>
      </c>
      <c r="BH240" s="24" t="n">
        <f aca="false">IFERROR(Tabelle1!S241/BG240,"")</f>
        <v>0.940911185895659</v>
      </c>
      <c r="BI240" s="24" t="n">
        <f aca="false">IFERROR(AVERAGEIFS($BH$7:$BH$294,$B$7:$B$294,$B240,$A$7:$A$294,"&gt;="&amp;EDATE($A240,-12*'Seasonal Factors'!$E$4),$A$7:$A$294,"&lt;="&amp;EDATE($A240,12*'Seasonal Factors'!$E$4)),"")</f>
        <v>0.911175053021468</v>
      </c>
      <c r="BJ240" s="24" t="n">
        <f aca="false">IFERROR(BI240/AVERAGE(BI235:BI246),"")</f>
        <v>0.915112760926339</v>
      </c>
    </row>
    <row r="241" customFormat="false" ht="15" hidden="false" customHeight="false" outlineLevel="0" collapsed="false">
      <c r="A241" s="20" t="n">
        <v>45138</v>
      </c>
      <c r="B241" s="22" t="n">
        <f aca="false">MONTH(A241)</f>
        <v>7</v>
      </c>
      <c r="C241" s="23" t="n">
        <f aca="false">IF(ISNUMBER(Tabelle1!E248),(0.5*Tabelle1!E236+SUM(Tabelle1!E237:E247)+0.5*Tabelle1!E248)/12,"")</f>
        <v>94.0392183333333</v>
      </c>
      <c r="D241" s="24" t="n">
        <f aca="false">IFERROR(Tabelle1!E242/C241,"")</f>
        <v>0.990945603882891</v>
      </c>
      <c r="E241" s="24" t="n">
        <f aca="false">IFERROR(AVERAGEIFS($D$7:$D$294,$B$7:$B$294,$B241,$A$7:$A$294,"&gt;="&amp;EDATE($A241,-12*'Seasonal Factors'!$E$4),$A$7:$A$294,"&lt;="&amp;EDATE($A241,12*'Seasonal Factors'!$E$4)),"")</f>
        <v>0.917451731848107</v>
      </c>
      <c r="F241" s="24" t="n">
        <f aca="false">IFERROR(E241/AVERAGE(E236:E247),"")</f>
        <v>0.91683589621341</v>
      </c>
      <c r="G241" s="23" t="n">
        <f aca="false">IF(ISNUMBER(Tabelle1!F248),(0.5*Tabelle1!F236+SUM(Tabelle1!F237:F247)+0.5*Tabelle1!F248)/12,"")</f>
        <v>162.493702916667</v>
      </c>
      <c r="H241" s="24" t="n">
        <f aca="false">IFERROR(Tabelle1!F242/G241,"")</f>
        <v>2.04609830431711</v>
      </c>
      <c r="I241" s="24" t="n">
        <f aca="false">IFERROR(AVERAGEIFS($H$7:$H$294,$B$7:$B$294,$B241,$A$7:$A$294,"&gt;="&amp;EDATE($A241,-12*'Seasonal Factors'!$E$4),$A$7:$A$294,"&lt;="&amp;EDATE($A241,12*'Seasonal Factors'!$E$4)),"")</f>
        <v>1.38421893583151</v>
      </c>
      <c r="J241" s="24" t="n">
        <f aca="false">IFERROR(I241/AVERAGE(I236:I247),"")</f>
        <v>1.3946787609793</v>
      </c>
      <c r="K241" s="23" t="n">
        <f aca="false">IF(ISNUMBER(Tabelle1!G248),(0.5*Tabelle1!G236+SUM(Tabelle1!G237:G247)+0.5*Tabelle1!G248)/12,"")</f>
        <v>106.127464166667</v>
      </c>
      <c r="L241" s="24" t="n">
        <f aca="false">IFERROR(Tabelle1!G242/K241,"")</f>
        <v>1.00878628204919</v>
      </c>
      <c r="M241" s="24" t="n">
        <f aca="false">IFERROR(AVERAGEIFS($L$7:$L$294,$B$7:$B$294,$B241,$A$7:$A$294,"&gt;="&amp;EDATE($A241,-12*'Seasonal Factors'!$E$4),$A$7:$A$294,"&lt;="&amp;EDATE($A241,12*'Seasonal Factors'!$E$4)),"")</f>
        <v>1.01364981764612</v>
      </c>
      <c r="N241" s="24" t="n">
        <f aca="false">IFERROR(M241/AVERAGE(M236:M247),"")</f>
        <v>1.01463116033906</v>
      </c>
      <c r="O241" s="23" t="n">
        <f aca="false">IF(ISNUMBER(Tabelle1!H248),(0.5*Tabelle1!H236+SUM(Tabelle1!H237:H247)+0.5*Tabelle1!H248)/12,"")</f>
        <v>128.753199166667</v>
      </c>
      <c r="P241" s="24" t="n">
        <f aca="false">IFERROR(Tabelle1!H242/O241,"")</f>
        <v>1.03815167984273</v>
      </c>
      <c r="Q241" s="24" t="n">
        <f aca="false">IFERROR(AVERAGEIFS($P$7:$P$294,$B$7:$B$294,$B241,$A$7:$A$294,"&gt;="&amp;EDATE($A241,-12*'Seasonal Factors'!$E$4),$A$7:$A$294,"&lt;="&amp;EDATE($A241,12*'Seasonal Factors'!$E$4)),"")</f>
        <v>1.04821046740537</v>
      </c>
      <c r="R241" s="24" t="n">
        <f aca="false">IFERROR(Q241/AVERAGE(Q236:Q247),"")</f>
        <v>1.04875822319218</v>
      </c>
      <c r="S241" s="23" t="n">
        <f aca="false">IF(ISNUMBER(Tabelle1!I248),(0.5*Tabelle1!I236+SUM(Tabelle1!I237:I247)+0.5*Tabelle1!I248)/12,"")</f>
        <v>148.225394166667</v>
      </c>
      <c r="T241" s="24" t="n">
        <f aca="false">IFERROR(Tabelle1!I242/S241,"")</f>
        <v>1.07056891899084</v>
      </c>
      <c r="U241" s="24" t="n">
        <f aca="false">IFERROR(AVERAGEIFS($T$7:$T$294,$B$7:$B$294,$B241,$A$7:$A$294,"&gt;="&amp;EDATE($A241,-12*'Seasonal Factors'!$E$4),$A$7:$A$294,"&lt;="&amp;EDATE($A241,12*'Seasonal Factors'!$E$4)),"")</f>
        <v>1.09414903504363</v>
      </c>
      <c r="V241" s="24" t="n">
        <f aca="false">IFERROR(U241/AVERAGE(U236:U247),"")</f>
        <v>1.0947101154374</v>
      </c>
      <c r="W241" s="23" t="n">
        <f aca="false">IF(ISNUMBER(Tabelle1!J248),(0.5*Tabelle1!J236+SUM(Tabelle1!J237:J247)+0.5*Tabelle1!J248)/12,"")</f>
        <v>151.112138333333</v>
      </c>
      <c r="X241" s="24" t="n">
        <f aca="false">IFERROR(Tabelle1!J242/W241,"")</f>
        <v>0.994822068286749</v>
      </c>
      <c r="Y241" s="24" t="n">
        <f aca="false">IFERROR(AVERAGEIFS($X$7:$X$294,$B$7:$B$294,$B241,$A$7:$A$294,"&gt;="&amp;EDATE($A241,-12*'Seasonal Factors'!$E$4),$A$7:$A$294,"&lt;="&amp;EDATE($A241,12*'Seasonal Factors'!$E$4)),"")</f>
        <v>1.01654562207758</v>
      </c>
      <c r="Z241" s="24" t="n">
        <f aca="false">IFERROR(Y241/AVERAGE(Y236:Y247),"")</f>
        <v>1.01744567820515</v>
      </c>
      <c r="AA241" s="23" t="n">
        <f aca="false">IF(ISNUMBER(Tabelle1!K248),(0.5*Tabelle1!K236+SUM(Tabelle1!K237:K247)+0.5*Tabelle1!K248)/12,"")</f>
        <v>159.33956625</v>
      </c>
      <c r="AB241" s="24" t="n">
        <f aca="false">IFERROR(Tabelle1!K242/AA241,"")</f>
        <v>1.00888268860842</v>
      </c>
      <c r="AC241" s="24" t="n">
        <f aca="false">IFERROR(AVERAGEIFS($AB$7:$AB$294,$B$7:$B$294,$B241,$A$7:$A$294,"&gt;="&amp;EDATE($A241,-12*'Seasonal Factors'!$E$4),$A$7:$A$294,"&lt;="&amp;EDATE($A241,12*'Seasonal Factors'!$E$4)),"")</f>
        <v>1.01716779936947</v>
      </c>
      <c r="AD241" s="24" t="n">
        <f aca="false">IFERROR(AC241/AVERAGE(AC236:AC247),"")</f>
        <v>1.01758637169318</v>
      </c>
      <c r="AE241" s="23" t="n">
        <f aca="false">IF(ISNUMBER(Tabelle1!L248),(0.5*Tabelle1!L236+SUM(Tabelle1!L237:L247)+0.5*Tabelle1!L248)/12,"")</f>
        <v>153.14875875</v>
      </c>
      <c r="AF241" s="24" t="n">
        <f aca="false">IFERROR(Tabelle1!L242/AE241,"")</f>
        <v>0.941093752090237</v>
      </c>
      <c r="AG241" s="24" t="n">
        <f aca="false">IFERROR(AVERAGEIFS($AF$7:$AF$294,$B$7:$B$294,$B241,$A$7:$A$294,"&gt;="&amp;EDATE($A241,-12*'Seasonal Factors'!$E$4),$A$7:$A$294,"&lt;="&amp;EDATE($A241,12*'Seasonal Factors'!$E$4)),"")</f>
        <v>0.926919308383249</v>
      </c>
      <c r="AH241" s="24" t="n">
        <f aca="false">IFERROR(AG241/AVERAGE(AG236:AG247),"")</f>
        <v>0.930654112109238</v>
      </c>
      <c r="AI241" s="23" t="n">
        <f aca="false">IF(ISNUMBER(Tabelle1!M248),(0.5*Tabelle1!M236+SUM(Tabelle1!M237:M247)+0.5*Tabelle1!M248)/12,"")</f>
        <v>181.230571666667</v>
      </c>
      <c r="AJ241" s="24" t="n">
        <f aca="false">IFERROR(Tabelle1!M242/AI241,"")</f>
        <v>1.01710118941209</v>
      </c>
      <c r="AK241" s="24" t="n">
        <f aca="false">IFERROR(AVERAGEIFS($AJ$7:$AJ$294,$B$7:$B$294,$B241,$A$7:$A$294,"&gt;="&amp;EDATE($A241,-12*'Seasonal Factors'!$E$4),$A$7:$A$294,"&lt;="&amp;EDATE($A241,12*'Seasonal Factors'!$E$4)),"")</f>
        <v>1.00673761117652</v>
      </c>
      <c r="AL241" s="24" t="n">
        <f aca="false">IFERROR(AK241/AVERAGE(AK236:AK247),"")</f>
        <v>1.00701979676149</v>
      </c>
      <c r="AM241" s="23" t="n">
        <f aca="false">IF(ISNUMBER(Tabelle1!N248),(0.5*Tabelle1!N236+SUM(Tabelle1!N237:N247)+0.5*Tabelle1!N248)/12,"")</f>
        <v>162.186086666667</v>
      </c>
      <c r="AN241" s="24" t="n">
        <f aca="false">IFERROR(Tabelle1!N242/AM241,"")</f>
        <v>1.01639606323814</v>
      </c>
      <c r="AO241" s="24" t="n">
        <f aca="false">IFERROR(AVERAGEIFS($AN$7:$AN$294,$B$7:$B$294,$B241,$A$7:$A$294,"&gt;="&amp;EDATE($A241,-12*'Seasonal Factors'!$E$4),$A$7:$A$294,"&lt;="&amp;EDATE($A241,12*'Seasonal Factors'!$E$4)),"")</f>
        <v>1.00061988933764</v>
      </c>
      <c r="AP241" s="24" t="n">
        <f aca="false">IFERROR(AO241/AVERAGE(AO236:AO247),"")</f>
        <v>1.00157341611605</v>
      </c>
      <c r="AQ241" s="23" t="n">
        <f aca="false">IF(ISNUMBER(Tabelle1!O248),(0.5*Tabelle1!O236+SUM(Tabelle1!O237:O247)+0.5*Tabelle1!O248)/12,"")</f>
        <v>153.773701666667</v>
      </c>
      <c r="AR241" s="24" t="n">
        <f aca="false">IFERROR(Tabelle1!O242/AQ241,"")</f>
        <v>0.992863463292017</v>
      </c>
      <c r="AS241" s="24" t="n">
        <f aca="false">IFERROR(AVERAGEIFS($AR$7:$AR$294,$B$7:$B$294,$B241,$A$7:$A$294,"&gt;="&amp;EDATE($A241,-12*'Seasonal Factors'!$E$4),$A$7:$A$294,"&lt;="&amp;EDATE($A241,12*'Seasonal Factors'!$E$4)),"")</f>
        <v>0.997919201741479</v>
      </c>
      <c r="AT241" s="24" t="n">
        <f aca="false">IFERROR(AS241/AVERAGE(AS236:AS247),"")</f>
        <v>0.997687833425807</v>
      </c>
      <c r="AU241" s="23" t="n">
        <f aca="false">IF(ISNUMBER(Tabelle1!P248),(0.5*Tabelle1!P236+SUM(Tabelle1!P237:P247)+0.5*Tabelle1!P248)/12,"")</f>
        <v>165.496324166667</v>
      </c>
      <c r="AV241" s="24" t="n">
        <f aca="false">IFERROR(Tabelle1!P242/AU241,"")</f>
        <v>1.00179330770534</v>
      </c>
      <c r="AW241" s="24" t="n">
        <f aca="false">IFERROR(AVERAGEIFS($AV$7:$AV$294,$B$7:$B$294,$B241,$A$7:$A$294,"&gt;="&amp;EDATE($A241,-12*'Seasonal Factors'!$E$4),$A$7:$A$294,"&lt;="&amp;EDATE($A241,12*'Seasonal Factors'!$E$4)),"")</f>
        <v>0.996299708439719</v>
      </c>
      <c r="AX241" s="24" t="n">
        <f aca="false">IFERROR(AW241/AVERAGE(AW236:AW247),"")</f>
        <v>0.996060390264986</v>
      </c>
      <c r="AY241" s="23" t="n">
        <f aca="false">IF(ISNUMBER(Tabelle1!Q248),(0.5*Tabelle1!Q236+SUM(Tabelle1!Q237:Q247)+0.5*Tabelle1!Q248)/12,"")</f>
        <v>170.708926666667</v>
      </c>
      <c r="AZ241" s="24" t="n">
        <f aca="false">IFERROR(Tabelle1!Q242/AY241,"")</f>
        <v>1.00592560303134</v>
      </c>
      <c r="BA241" s="24" t="n">
        <f aca="false">IFERROR(AVERAGEIFS($AZ$7:$AZ$294,$B$7:$B$294,$B241,$A$7:$A$294,"&gt;="&amp;EDATE($A241,-12*'Seasonal Factors'!$E$4),$A$7:$A$294,"&lt;="&amp;EDATE($A241,12*'Seasonal Factors'!$E$4)),"")</f>
        <v>1.00357110828042</v>
      </c>
      <c r="BB241" s="24" t="n">
        <f aca="false">IFERROR(BA241/AVERAGE(BA236:BA247),"")</f>
        <v>1.00353702764782</v>
      </c>
      <c r="BC241" s="23" t="n">
        <f aca="false">IF(ISNUMBER(Tabelle1!R248),(0.5*Tabelle1!R236+SUM(Tabelle1!R237:R247)+0.5*Tabelle1!R248)/12,"")</f>
        <v>186.3489375</v>
      </c>
      <c r="BD241" s="24" t="n">
        <f aca="false">IFERROR(Tabelle1!R242/BC241,"")</f>
        <v>1.00370977430446</v>
      </c>
      <c r="BE241" s="24" t="n">
        <f aca="false">IFERROR(AVERAGEIFS($BD$7:$BD$294,$B$7:$B$294,$B241,$A$7:$A$294,"&gt;="&amp;EDATE($A241,-12*'Seasonal Factors'!$E$4),$A$7:$A$294,"&lt;="&amp;EDATE($A241,12*'Seasonal Factors'!$E$4)),"")</f>
        <v>1.00370780004567</v>
      </c>
      <c r="BF241" s="24" t="n">
        <f aca="false">IFERROR(BE241/AVERAGE(BE236:BE247),"")</f>
        <v>1.00364176728479</v>
      </c>
      <c r="BG241" s="23" t="n">
        <f aca="false">IF(ISNUMBER(Tabelle1!S248),(0.5*Tabelle1!S236+SUM(Tabelle1!S237:S247)+0.5*Tabelle1!S248)/12,"")</f>
        <v>132.038999583333</v>
      </c>
      <c r="BH241" s="24" t="n">
        <f aca="false">IFERROR(Tabelle1!S242/BG241,"")</f>
        <v>1.05117814007976</v>
      </c>
      <c r="BI241" s="24" t="n">
        <f aca="false">IFERROR(AVERAGEIFS($BH$7:$BH$294,$B$7:$B$294,$B241,$A$7:$A$294,"&gt;="&amp;EDATE($A241,-12*'Seasonal Factors'!$E$4),$A$7:$A$294,"&lt;="&amp;EDATE($A241,12*'Seasonal Factors'!$E$4)),"")</f>
        <v>1.01139857022619</v>
      </c>
      <c r="BJ241" s="24" t="n">
        <f aca="false">IFERROR(BI241/AVERAGE(BI236:BI247),"")</f>
        <v>1.01433851832045</v>
      </c>
    </row>
    <row r="242" customFormat="false" ht="15" hidden="false" customHeight="false" outlineLevel="0" collapsed="false">
      <c r="A242" s="20" t="n">
        <v>45169</v>
      </c>
      <c r="B242" s="22" t="n">
        <f aca="false">MONTH(A242)</f>
        <v>8</v>
      </c>
      <c r="C242" s="23" t="n">
        <f aca="false">IF(ISNUMBER(Tabelle1!E249),(0.5*Tabelle1!E237+SUM(Tabelle1!E238:E248)+0.5*Tabelle1!E249)/12,"")</f>
        <v>94.4443041666667</v>
      </c>
      <c r="D242" s="24" t="n">
        <f aca="false">IFERROR(Tabelle1!E243/C242,"")</f>
        <v>0.785854378989592</v>
      </c>
      <c r="E242" s="24" t="n">
        <f aca="false">IFERROR(AVERAGEIFS($D$7:$D$294,$B$7:$B$294,$B242,$A$7:$A$294,"&gt;="&amp;EDATE($A242,-12*'Seasonal Factors'!$E$4),$A$7:$A$294,"&lt;="&amp;EDATE($A242,12*'Seasonal Factors'!$E$4)),"")</f>
        <v>0.626007450878816</v>
      </c>
      <c r="F242" s="24" t="n">
        <f aca="false">IFERROR(E242/AVERAGE(E237:E248),"")</f>
        <v>0.625295530833134</v>
      </c>
      <c r="G242" s="23" t="n">
        <f aca="false">IF(ISNUMBER(Tabelle1!F249),(0.5*Tabelle1!F237+SUM(Tabelle1!F238:F248)+0.5*Tabelle1!F249)/12,"")</f>
        <v>163.164718333333</v>
      </c>
      <c r="H242" s="24" t="n">
        <f aca="false">IFERROR(Tabelle1!F243/G242,"")</f>
        <v>1.46529447323023</v>
      </c>
      <c r="I242" s="24" t="n">
        <f aca="false">IFERROR(AVERAGEIFS($H$7:$H$294,$B$7:$B$294,$B242,$A$7:$A$294,"&gt;="&amp;EDATE($A242,-12*'Seasonal Factors'!$E$4),$A$7:$A$294,"&lt;="&amp;EDATE($A242,12*'Seasonal Factors'!$E$4)),"")</f>
        <v>1.67866913289778</v>
      </c>
      <c r="J242" s="24" t="n">
        <f aca="false">IFERROR(I242/AVERAGE(I237:I248),"")</f>
        <v>1.68755301883283</v>
      </c>
      <c r="K242" s="23" t="n">
        <f aca="false">IF(ISNUMBER(Tabelle1!G249),(0.5*Tabelle1!G237+SUM(Tabelle1!G238:G248)+0.5*Tabelle1!G249)/12,"")</f>
        <v>106.89063375</v>
      </c>
      <c r="L242" s="24" t="n">
        <f aca="false">IFERROR(Tabelle1!G243/K242,"")</f>
        <v>1.02134916942618</v>
      </c>
      <c r="M242" s="24" t="n">
        <f aca="false">IFERROR(AVERAGEIFS($L$7:$L$294,$B$7:$B$294,$B242,$A$7:$A$294,"&gt;="&amp;EDATE($A242,-12*'Seasonal Factors'!$E$4),$A$7:$A$294,"&lt;="&amp;EDATE($A242,12*'Seasonal Factors'!$E$4)),"")</f>
        <v>1.02492487639201</v>
      </c>
      <c r="N242" s="24" t="n">
        <f aca="false">IFERROR(M242/AVERAGE(M237:M248),"")</f>
        <v>1.02577274806594</v>
      </c>
      <c r="O242" s="23" t="n">
        <f aca="false">IF(ISNUMBER(Tabelle1!H249),(0.5*Tabelle1!H237+SUM(Tabelle1!H238:H248)+0.5*Tabelle1!H249)/12,"")</f>
        <v>127.81345875</v>
      </c>
      <c r="P242" s="24" t="n">
        <f aca="false">IFERROR(Tabelle1!H243/O242,"")</f>
        <v>1.07608871041525</v>
      </c>
      <c r="Q242" s="24" t="n">
        <f aca="false">IFERROR(AVERAGEIFS($P$7:$P$294,$B$7:$B$294,$B242,$A$7:$A$294,"&gt;="&amp;EDATE($A242,-12*'Seasonal Factors'!$E$4),$A$7:$A$294,"&lt;="&amp;EDATE($A242,12*'Seasonal Factors'!$E$4)),"")</f>
        <v>1.05923974613766</v>
      </c>
      <c r="R242" s="24" t="n">
        <f aca="false">IFERROR(Q242/AVERAGE(Q237:Q248),"")</f>
        <v>1.05966993783437</v>
      </c>
      <c r="S242" s="23" t="n">
        <f aca="false">IF(ISNUMBER(Tabelle1!I249),(0.5*Tabelle1!I237+SUM(Tabelle1!I238:I248)+0.5*Tabelle1!I249)/12,"")</f>
        <v>148.33135875</v>
      </c>
      <c r="T242" s="24" t="n">
        <f aca="false">IFERROR(Tabelle1!I243/S242,"")</f>
        <v>1.02703973916102</v>
      </c>
      <c r="U242" s="24" t="n">
        <f aca="false">IFERROR(AVERAGEIFS($T$7:$T$294,$B$7:$B$294,$B242,$A$7:$A$294,"&gt;="&amp;EDATE($A242,-12*'Seasonal Factors'!$E$4),$A$7:$A$294,"&lt;="&amp;EDATE($A242,12*'Seasonal Factors'!$E$4)),"")</f>
        <v>1.03091748830144</v>
      </c>
      <c r="V242" s="24" t="n">
        <f aca="false">IFERROR(U242/AVERAGE(U237:U248),"")</f>
        <v>1.03172725413707</v>
      </c>
      <c r="W242" s="23" t="n">
        <f aca="false">IF(ISNUMBER(Tabelle1!J249),(0.5*Tabelle1!J237+SUM(Tabelle1!J238:J248)+0.5*Tabelle1!J249)/12,"")</f>
        <v>149.001516666667</v>
      </c>
      <c r="X242" s="24" t="n">
        <f aca="false">IFERROR(Tabelle1!J243/W242,"")</f>
        <v>1.10869260726764</v>
      </c>
      <c r="Y242" s="24" t="n">
        <f aca="false">IFERROR(AVERAGEIFS($X$7:$X$294,$B$7:$B$294,$B242,$A$7:$A$294,"&gt;="&amp;EDATE($A242,-12*'Seasonal Factors'!$E$4),$A$7:$A$294,"&lt;="&amp;EDATE($A242,12*'Seasonal Factors'!$E$4)),"")</f>
        <v>1.07735054728667</v>
      </c>
      <c r="Z242" s="24" t="n">
        <f aca="false">IFERROR(Y242/AVERAGE(Y237:Y248),"")</f>
        <v>1.07838630481008</v>
      </c>
      <c r="AA242" s="23" t="n">
        <f aca="false">IF(ISNUMBER(Tabelle1!K249),(0.5*Tabelle1!K237+SUM(Tabelle1!K238:K248)+0.5*Tabelle1!K249)/12,"")</f>
        <v>158.579005833333</v>
      </c>
      <c r="AB242" s="24" t="n">
        <f aca="false">IFERROR(Tabelle1!K243/AA242,"")</f>
        <v>1.05919525171278</v>
      </c>
      <c r="AC242" s="24" t="n">
        <f aca="false">IFERROR(AVERAGEIFS($AB$7:$AB$294,$B$7:$B$294,$B242,$A$7:$A$294,"&gt;="&amp;EDATE($A242,-12*'Seasonal Factors'!$E$4),$A$7:$A$294,"&lt;="&amp;EDATE($A242,12*'Seasonal Factors'!$E$4)),"")</f>
        <v>1.02448128216537</v>
      </c>
      <c r="AD242" s="24" t="n">
        <f aca="false">IFERROR(AC242/AVERAGE(AC237:AC248),"")</f>
        <v>1.02496948246767</v>
      </c>
      <c r="AE242" s="23" t="n">
        <f aca="false">IF(ISNUMBER(Tabelle1!L249),(0.5*Tabelle1!L237+SUM(Tabelle1!L238:L248)+0.5*Tabelle1!L249)/12,"")</f>
        <v>152.905193333333</v>
      </c>
      <c r="AF242" s="24" t="n">
        <f aca="false">IFERROR(Tabelle1!L243/AE242,"")</f>
        <v>1.00660786363524</v>
      </c>
      <c r="AG242" s="24" t="n">
        <f aca="false">IFERROR(AVERAGEIFS($AF$7:$AF$294,$B$7:$B$294,$B242,$A$7:$A$294,"&gt;="&amp;EDATE($A242,-12*'Seasonal Factors'!$E$4),$A$7:$A$294,"&lt;="&amp;EDATE($A242,12*'Seasonal Factors'!$E$4)),"")</f>
        <v>0.996555574449081</v>
      </c>
      <c r="AH242" s="24" t="n">
        <f aca="false">IFERROR(AG242/AVERAGE(AG237:AG248),"")</f>
        <v>0.998095977894469</v>
      </c>
      <c r="AI242" s="23" t="n">
        <f aca="false">IF(ISNUMBER(Tabelle1!M249),(0.5*Tabelle1!M237+SUM(Tabelle1!M238:M248)+0.5*Tabelle1!M249)/12,"")</f>
        <v>181.2318075</v>
      </c>
      <c r="AJ242" s="24" t="n">
        <f aca="false">IFERROR(Tabelle1!M243/AI242,"")</f>
        <v>1.01001586048851</v>
      </c>
      <c r="AK242" s="24" t="n">
        <f aca="false">IFERROR(AVERAGEIFS($AJ$7:$AJ$294,$B$7:$B$294,$B242,$A$7:$A$294,"&gt;="&amp;EDATE($A242,-12*'Seasonal Factors'!$E$4),$A$7:$A$294,"&lt;="&amp;EDATE($A242,12*'Seasonal Factors'!$E$4)),"")</f>
        <v>0.991048927562303</v>
      </c>
      <c r="AL242" s="24" t="n">
        <f aca="false">IFERROR(AK242/AVERAGE(AK237:AK248),"")</f>
        <v>0.991026616924355</v>
      </c>
      <c r="AM242" s="23" t="n">
        <f aca="false">IF(ISNUMBER(Tabelle1!N249),(0.5*Tabelle1!N237+SUM(Tabelle1!N238:N248)+0.5*Tabelle1!N249)/12,"")</f>
        <v>160.63897875</v>
      </c>
      <c r="AN242" s="24" t="n">
        <f aca="false">IFERROR(Tabelle1!N243/AM242,"")</f>
        <v>1.04547595675001</v>
      </c>
      <c r="AO242" s="24" t="n">
        <f aca="false">IFERROR(AVERAGEIFS($AN$7:$AN$294,$B$7:$B$294,$B242,$A$7:$A$294,"&gt;="&amp;EDATE($A242,-12*'Seasonal Factors'!$E$4),$A$7:$A$294,"&lt;="&amp;EDATE($A242,12*'Seasonal Factors'!$E$4)),"")</f>
        <v>1.02174405690731</v>
      </c>
      <c r="AP242" s="24" t="n">
        <f aca="false">IFERROR(AO242/AVERAGE(AO237:AO248),"")</f>
        <v>1.02302485963576</v>
      </c>
      <c r="AQ242" s="23" t="n">
        <f aca="false">IF(ISNUMBER(Tabelle1!O249),(0.5*Tabelle1!O237+SUM(Tabelle1!O238:O248)+0.5*Tabelle1!O249)/12,"")</f>
        <v>153.689982916667</v>
      </c>
      <c r="AR242" s="24" t="n">
        <f aca="false">IFERROR(Tabelle1!O243/AQ242,"")</f>
        <v>1.01977049528973</v>
      </c>
      <c r="AS242" s="24" t="n">
        <f aca="false">IFERROR(AVERAGEIFS($AR$7:$AR$294,$B$7:$B$294,$B242,$A$7:$A$294,"&gt;="&amp;EDATE($A242,-12*'Seasonal Factors'!$E$4),$A$7:$A$294,"&lt;="&amp;EDATE($A242,12*'Seasonal Factors'!$E$4)),"")</f>
        <v>1.00950091714589</v>
      </c>
      <c r="AT242" s="24" t="n">
        <f aca="false">IFERROR(AS242/AVERAGE(AS237:AS248),"")</f>
        <v>1.00920037311441</v>
      </c>
      <c r="AU242" s="23" t="n">
        <f aca="false">IF(ISNUMBER(Tabelle1!P249),(0.5*Tabelle1!P237+SUM(Tabelle1!P238:P248)+0.5*Tabelle1!P249)/12,"")</f>
        <v>165.575595</v>
      </c>
      <c r="AV242" s="24" t="n">
        <f aca="false">IFERROR(Tabelle1!P243/AU242,"")</f>
        <v>0.998732512481686</v>
      </c>
      <c r="AW242" s="24" t="n">
        <f aca="false">IFERROR(AVERAGEIFS($AV$7:$AV$294,$B$7:$B$294,$B242,$A$7:$A$294,"&gt;="&amp;EDATE($A242,-12*'Seasonal Factors'!$E$4),$A$7:$A$294,"&lt;="&amp;EDATE($A242,12*'Seasonal Factors'!$E$4)),"")</f>
        <v>0.992869472263742</v>
      </c>
      <c r="AX242" s="24" t="n">
        <f aca="false">IFERROR(AW242/AVERAGE(AW237:AW248),"")</f>
        <v>0.992451179734928</v>
      </c>
      <c r="AY242" s="23" t="n">
        <f aca="false">IF(ISNUMBER(Tabelle1!Q249),(0.5*Tabelle1!Q237+SUM(Tabelle1!Q238:Q248)+0.5*Tabelle1!Q249)/12,"")</f>
        <v>170.948385</v>
      </c>
      <c r="AZ242" s="24" t="n">
        <f aca="false">IFERROR(Tabelle1!Q243/AY242,"")</f>
        <v>1.00802999689058</v>
      </c>
      <c r="BA242" s="24" t="n">
        <f aca="false">IFERROR(AVERAGEIFS($AZ$7:$AZ$294,$B$7:$B$294,$B242,$A$7:$A$294,"&gt;="&amp;EDATE($A242,-12*'Seasonal Factors'!$E$4),$A$7:$A$294,"&lt;="&amp;EDATE($A242,12*'Seasonal Factors'!$E$4)),"")</f>
        <v>1.00578512194243</v>
      </c>
      <c r="BB242" s="24" t="n">
        <f aca="false">IFERROR(BA242/AVERAGE(BA237:BA248),"")</f>
        <v>1.00563719068136</v>
      </c>
      <c r="BC242" s="23" t="n">
        <f aca="false">IF(ISNUMBER(Tabelle1!R249),(0.5*Tabelle1!R237+SUM(Tabelle1!R238:R248)+0.5*Tabelle1!R249)/12,"")</f>
        <v>186.592234583333</v>
      </c>
      <c r="BD242" s="24" t="n">
        <f aca="false">IFERROR(Tabelle1!R243/BC242,"")</f>
        <v>1.00121267327749</v>
      </c>
      <c r="BE242" s="24" t="n">
        <f aca="false">IFERROR(AVERAGEIFS($BD$7:$BD$294,$B$7:$B$294,$B242,$A$7:$A$294,"&gt;="&amp;EDATE($A242,-12*'Seasonal Factors'!$E$4),$A$7:$A$294,"&lt;="&amp;EDATE($A242,12*'Seasonal Factors'!$E$4)),"")</f>
        <v>0.999389053476843</v>
      </c>
      <c r="BF242" s="24" t="n">
        <f aca="false">IFERROR(BE242/AVERAGE(BE237:BE248),"")</f>
        <v>0.99911181077378</v>
      </c>
      <c r="BG242" s="23" t="n">
        <f aca="false">IF(ISNUMBER(Tabelle1!S249),(0.5*Tabelle1!S237+SUM(Tabelle1!S238:S248)+0.5*Tabelle1!S249)/12,"")</f>
        <v>131.885988333333</v>
      </c>
      <c r="BH242" s="24" t="n">
        <f aca="false">IFERROR(Tabelle1!S243/BG242,"")</f>
        <v>0.986906506482184</v>
      </c>
      <c r="BI242" s="24" t="n">
        <f aca="false">IFERROR(AVERAGEIFS($BH$7:$BH$294,$B$7:$B$294,$B242,$A$7:$A$294,"&gt;="&amp;EDATE($A242,-12*'Seasonal Factors'!$E$4),$A$7:$A$294,"&lt;="&amp;EDATE($A242,12*'Seasonal Factors'!$E$4)),"")</f>
        <v>0.959387522776352</v>
      </c>
      <c r="BJ242" s="24" t="n">
        <f aca="false">IFERROR(BI242/AVERAGE(BI237:BI248),"")</f>
        <v>0.960380517644253</v>
      </c>
    </row>
    <row r="243" customFormat="false" ht="15" hidden="false" customHeight="false" outlineLevel="0" collapsed="false">
      <c r="A243" s="20" t="n">
        <v>45199</v>
      </c>
      <c r="B243" s="22" t="n">
        <f aca="false">MONTH(A243)</f>
        <v>9</v>
      </c>
      <c r="C243" s="23" t="n">
        <f aca="false">IF(ISNUMBER(Tabelle1!E250),(0.5*Tabelle1!E238+SUM(Tabelle1!E239:E249)+0.5*Tabelle1!E250)/12,"")</f>
        <v>95.08805375</v>
      </c>
      <c r="D243" s="24" t="n">
        <f aca="false">IFERROR(Tabelle1!E244/C243,"")</f>
        <v>0.749356803403919</v>
      </c>
      <c r="E243" s="24" t="n">
        <f aca="false">IFERROR(AVERAGEIFS($D$7:$D$294,$B$7:$B$294,$B243,$A$7:$A$294,"&gt;="&amp;EDATE($A243,-12*'Seasonal Factors'!$E$4),$A$7:$A$294,"&lt;="&amp;EDATE($A243,12*'Seasonal Factors'!$E$4)),"")</f>
        <v>0.593587810197527</v>
      </c>
      <c r="F243" s="24" t="n">
        <f aca="false">IFERROR(E243/AVERAGE(E238:E249),"")</f>
        <v>0.592904872697513</v>
      </c>
      <c r="G243" s="23" t="n">
        <f aca="false">IF(ISNUMBER(Tabelle1!F250),(0.5*Tabelle1!F238+SUM(Tabelle1!F239:F249)+0.5*Tabelle1!F250)/12,"")</f>
        <v>164.89978</v>
      </c>
      <c r="H243" s="24" t="n">
        <f aca="false">IFERROR(Tabelle1!F244/G243,"")</f>
        <v>1.41115439935699</v>
      </c>
      <c r="I243" s="24" t="n">
        <f aca="false">IFERROR(AVERAGEIFS($H$7:$H$294,$B$7:$B$294,$B243,$A$7:$A$294,"&gt;="&amp;EDATE($A243,-12*'Seasonal Factors'!$E$4),$A$7:$A$294,"&lt;="&amp;EDATE($A243,12*'Seasonal Factors'!$E$4)),"")</f>
        <v>1.33127958456604</v>
      </c>
      <c r="J243" s="24" t="n">
        <f aca="false">IFERROR(I243/AVERAGE(I238:I249),"")</f>
        <v>1.34024822572712</v>
      </c>
      <c r="K243" s="23" t="n">
        <f aca="false">IF(ISNUMBER(Tabelle1!G250),(0.5*Tabelle1!G238+SUM(Tabelle1!G239:G249)+0.5*Tabelle1!G250)/12,"")</f>
        <v>107.615999166667</v>
      </c>
      <c r="L243" s="24" t="n">
        <f aca="false">IFERROR(Tabelle1!G244/K243,"")</f>
        <v>0.992624338640973</v>
      </c>
      <c r="M243" s="24" t="n">
        <f aca="false">IFERROR(AVERAGEIFS($L$7:$L$294,$B$7:$B$294,$B243,$A$7:$A$294,"&gt;="&amp;EDATE($A243,-12*'Seasonal Factors'!$E$4),$A$7:$A$294,"&lt;="&amp;EDATE($A243,12*'Seasonal Factors'!$E$4)),"")</f>
        <v>0.99667798257388</v>
      </c>
      <c r="N243" s="24" t="n">
        <f aca="false">IFERROR(M243/AVERAGE(M238:M249),"")</f>
        <v>0.997496705155622</v>
      </c>
      <c r="O243" s="23" t="n">
        <f aca="false">IF(ISNUMBER(Tabelle1!H250),(0.5*Tabelle1!H238+SUM(Tabelle1!H239:H249)+0.5*Tabelle1!H250)/12,"")</f>
        <v>126.25056375</v>
      </c>
      <c r="P243" s="24" t="n">
        <f aca="false">IFERROR(Tabelle1!H244/O243,"")</f>
        <v>1.05410808512132</v>
      </c>
      <c r="Q243" s="24" t="n">
        <f aca="false">IFERROR(AVERAGEIFS($P$7:$P$294,$B$7:$B$294,$B243,$A$7:$A$294,"&gt;="&amp;EDATE($A243,-12*'Seasonal Factors'!$E$4),$A$7:$A$294,"&lt;="&amp;EDATE($A243,12*'Seasonal Factors'!$E$4)),"")</f>
        <v>1.04211377171321</v>
      </c>
      <c r="R243" s="24" t="n">
        <f aca="false">IFERROR(Q243/AVERAGE(Q238:Q249),"")</f>
        <v>1.04222910293424</v>
      </c>
      <c r="S243" s="23" t="n">
        <f aca="false">IF(ISNUMBER(Tabelle1!I250),(0.5*Tabelle1!I238+SUM(Tabelle1!I239:I249)+0.5*Tabelle1!I250)/12,"")</f>
        <v>148.29539625</v>
      </c>
      <c r="T243" s="24" t="n">
        <f aca="false">IFERROR(Tabelle1!I244/S243,"")</f>
        <v>0.971947569815405</v>
      </c>
      <c r="U243" s="24" t="n">
        <f aca="false">IFERROR(AVERAGEIFS($T$7:$T$294,$B$7:$B$294,$B243,$A$7:$A$294,"&gt;="&amp;EDATE($A243,-12*'Seasonal Factors'!$E$4),$A$7:$A$294,"&lt;="&amp;EDATE($A243,12*'Seasonal Factors'!$E$4)),"")</f>
        <v>0.936250131910308</v>
      </c>
      <c r="V243" s="24" t="n">
        <f aca="false">IFERROR(U243/AVERAGE(U238:U249),"")</f>
        <v>0.936497105462844</v>
      </c>
      <c r="W243" s="23" t="n">
        <f aca="false">IF(ISNUMBER(Tabelle1!J250),(0.5*Tabelle1!J238+SUM(Tabelle1!J239:J249)+0.5*Tabelle1!J250)/12,"")</f>
        <v>146.090013333333</v>
      </c>
      <c r="X243" s="24" t="n">
        <f aca="false">IFERROR(Tabelle1!J244/W243,"")</f>
        <v>1.09468591556019</v>
      </c>
      <c r="Y243" s="24" t="n">
        <f aca="false">IFERROR(AVERAGEIFS($X$7:$X$294,$B$7:$B$294,$B243,$A$7:$A$294,"&gt;="&amp;EDATE($A243,-12*'Seasonal Factors'!$E$4),$A$7:$A$294,"&lt;="&amp;EDATE($A243,12*'Seasonal Factors'!$E$4)),"")</f>
        <v>1.05400263757974</v>
      </c>
      <c r="Z243" s="24" t="n">
        <f aca="false">IFERROR(Y243/AVERAGE(Y238:Y249),"")</f>
        <v>1.0553470166805</v>
      </c>
      <c r="AA243" s="23" t="n">
        <f aca="false">IF(ISNUMBER(Tabelle1!K250),(0.5*Tabelle1!K238+SUM(Tabelle1!K239:K249)+0.5*Tabelle1!K250)/12,"")</f>
        <v>157.1972825</v>
      </c>
      <c r="AB243" s="24" t="n">
        <f aca="false">IFERROR(Tabelle1!K244/AA243,"")</f>
        <v>1.03744369753975</v>
      </c>
      <c r="AC243" s="24" t="n">
        <f aca="false">IFERROR(AVERAGEIFS($AB$7:$AB$294,$B$7:$B$294,$B243,$A$7:$A$294,"&gt;="&amp;EDATE($A243,-12*'Seasonal Factors'!$E$4),$A$7:$A$294,"&lt;="&amp;EDATE($A243,12*'Seasonal Factors'!$E$4)),"")</f>
        <v>1.01613596892494</v>
      </c>
      <c r="AD243" s="24" t="n">
        <f aca="false">IFERROR(AC243/AVERAGE(AC238:AC249),"")</f>
        <v>1.0171251000234</v>
      </c>
      <c r="AE243" s="23" t="n">
        <f aca="false">IF(ISNUMBER(Tabelle1!L250),(0.5*Tabelle1!L238+SUM(Tabelle1!L239:L249)+0.5*Tabelle1!L250)/12,"")</f>
        <v>152.705680416667</v>
      </c>
      <c r="AF243" s="24" t="n">
        <f aca="false">IFERROR(Tabelle1!L244/AE243,"")</f>
        <v>0.950890429247921</v>
      </c>
      <c r="AG243" s="24" t="n">
        <f aca="false">IFERROR(AVERAGEIFS($AF$7:$AF$294,$B$7:$B$294,$B243,$A$7:$A$294,"&gt;="&amp;EDATE($A243,-12*'Seasonal Factors'!$E$4),$A$7:$A$294,"&lt;="&amp;EDATE($A243,12*'Seasonal Factors'!$E$4)),"")</f>
        <v>0.945442549896339</v>
      </c>
      <c r="AH243" s="24" t="n">
        <f aca="false">IFERROR(AG243/AVERAGE(AG238:AG249),"")</f>
        <v>0.947528073552197</v>
      </c>
      <c r="AI243" s="23" t="n">
        <f aca="false">IF(ISNUMBER(Tabelle1!M250),(0.5*Tabelle1!M238+SUM(Tabelle1!M239:M249)+0.5*Tabelle1!M250)/12,"")</f>
        <v>181.167901666667</v>
      </c>
      <c r="AJ243" s="24" t="n">
        <f aca="false">IFERROR(Tabelle1!M244/AI243,"")</f>
        <v>1.00037996981088</v>
      </c>
      <c r="AK243" s="24" t="n">
        <f aca="false">IFERROR(AVERAGEIFS($AJ$7:$AJ$294,$B$7:$B$294,$B243,$A$7:$A$294,"&gt;="&amp;EDATE($A243,-12*'Seasonal Factors'!$E$4),$A$7:$A$294,"&lt;="&amp;EDATE($A243,12*'Seasonal Factors'!$E$4)),"")</f>
        <v>0.990241631943156</v>
      </c>
      <c r="AL243" s="24" t="n">
        <f aca="false">IFERROR(AK243/AVERAGE(AK238:AK249),"")</f>
        <v>0.990226656889448</v>
      </c>
      <c r="AM243" s="23" t="n">
        <f aca="false">IF(ISNUMBER(Tabelle1!N250),(0.5*Tabelle1!N238+SUM(Tabelle1!N239:N249)+0.5*Tabelle1!N250)/12,"")</f>
        <v>158.753939583333</v>
      </c>
      <c r="AN243" s="24" t="n">
        <f aca="false">IFERROR(Tabelle1!N244/AM243,"")</f>
        <v>1.01607758789083</v>
      </c>
      <c r="AO243" s="24" t="n">
        <f aca="false">IFERROR(AVERAGEIFS($AN$7:$AN$294,$B$7:$B$294,$B243,$A$7:$A$294,"&gt;="&amp;EDATE($A243,-12*'Seasonal Factors'!$E$4),$A$7:$A$294,"&lt;="&amp;EDATE($A243,12*'Seasonal Factors'!$E$4)),"")</f>
        <v>1.00789870863405</v>
      </c>
      <c r="AP243" s="24" t="n">
        <f aca="false">IFERROR(AO243/AVERAGE(AO238:AO249),"")</f>
        <v>1.00850331031239</v>
      </c>
      <c r="AQ243" s="23" t="n">
        <f aca="false">IF(ISNUMBER(Tabelle1!O250),(0.5*Tabelle1!O238+SUM(Tabelle1!O239:O249)+0.5*Tabelle1!O250)/12,"")</f>
        <v>153.45424625</v>
      </c>
      <c r="AR243" s="24" t="n">
        <f aca="false">IFERROR(Tabelle1!O244/AQ243,"")</f>
        <v>1.00597072920685</v>
      </c>
      <c r="AS243" s="24" t="n">
        <f aca="false">IFERROR(AVERAGEIFS($AR$7:$AR$294,$B$7:$B$294,$B243,$A$7:$A$294,"&gt;="&amp;EDATE($A243,-12*'Seasonal Factors'!$E$4),$A$7:$A$294,"&lt;="&amp;EDATE($A243,12*'Seasonal Factors'!$E$4)),"")</f>
        <v>1.00480936539999</v>
      </c>
      <c r="AT243" s="24" t="n">
        <f aca="false">IFERROR(AS243/AVERAGE(AS238:AS249),"")</f>
        <v>1.00447092725537</v>
      </c>
      <c r="AU243" s="23" t="n">
        <f aca="false">IF(ISNUMBER(Tabelle1!P250),(0.5*Tabelle1!P238+SUM(Tabelle1!P239:P249)+0.5*Tabelle1!P250)/12,"")</f>
        <v>165.58018</v>
      </c>
      <c r="AV243" s="24" t="n">
        <f aca="false">IFERROR(Tabelle1!P244/AU243,"")</f>
        <v>1.00526753866314</v>
      </c>
      <c r="AW243" s="24" t="n">
        <f aca="false">IFERROR(AVERAGEIFS($AV$7:$AV$294,$B$7:$B$294,$B243,$A$7:$A$294,"&gt;="&amp;EDATE($A243,-12*'Seasonal Factors'!$E$4),$A$7:$A$294,"&lt;="&amp;EDATE($A243,12*'Seasonal Factors'!$E$4)),"")</f>
        <v>0.997454784303495</v>
      </c>
      <c r="AX243" s="24" t="n">
        <f aca="false">IFERROR(AW243/AVERAGE(AW238:AW249),"")</f>
        <v>0.996896051271503</v>
      </c>
      <c r="AY243" s="23" t="n">
        <f aca="false">IF(ISNUMBER(Tabelle1!Q250),(0.5*Tabelle1!Q238+SUM(Tabelle1!Q239:Q249)+0.5*Tabelle1!Q250)/12,"")</f>
        <v>171.1368675</v>
      </c>
      <c r="AZ243" s="24" t="n">
        <f aca="false">IFERROR(Tabelle1!Q244/AY243,"")</f>
        <v>1.01085857493564</v>
      </c>
      <c r="BA243" s="24" t="n">
        <f aca="false">IFERROR(AVERAGEIFS($AZ$7:$AZ$294,$B$7:$B$294,$B243,$A$7:$A$294,"&gt;="&amp;EDATE($A243,-12*'Seasonal Factors'!$E$4),$A$7:$A$294,"&lt;="&amp;EDATE($A243,12*'Seasonal Factors'!$E$4)),"")</f>
        <v>1.01135539221282</v>
      </c>
      <c r="BB243" s="24" t="n">
        <f aca="false">IFERROR(BA243/AVERAGE(BA238:BA249),"")</f>
        <v>1.01104286350375</v>
      </c>
      <c r="BC243" s="23" t="n">
        <f aca="false">IF(ISNUMBER(Tabelle1!R250),(0.5*Tabelle1!R238+SUM(Tabelle1!R239:R249)+0.5*Tabelle1!R250)/12,"")</f>
        <v>186.75972875</v>
      </c>
      <c r="BD243" s="24" t="n">
        <f aca="false">IFERROR(Tabelle1!R244/BC243,"")</f>
        <v>0.983928715413708</v>
      </c>
      <c r="BE243" s="24" t="n">
        <f aca="false">IFERROR(AVERAGEIFS($BD$7:$BD$294,$B$7:$B$294,$B243,$A$7:$A$294,"&gt;="&amp;EDATE($A243,-12*'Seasonal Factors'!$E$4),$A$7:$A$294,"&lt;="&amp;EDATE($A243,12*'Seasonal Factors'!$E$4)),"")</f>
        <v>0.988460589502886</v>
      </c>
      <c r="BF243" s="24" t="n">
        <f aca="false">IFERROR(BE243/AVERAGE(BE238:BE249),"")</f>
        <v>0.988167489781882</v>
      </c>
      <c r="BG243" s="23" t="n">
        <f aca="false">IF(ISNUMBER(Tabelle1!S250),(0.5*Tabelle1!S238+SUM(Tabelle1!S239:S249)+0.5*Tabelle1!S250)/12,"")</f>
        <v>131.643702916667</v>
      </c>
      <c r="BH243" s="24" t="n">
        <f aca="false">IFERROR(Tabelle1!S244/BG243,"")</f>
        <v>0.957992651420879</v>
      </c>
      <c r="BI243" s="24" t="n">
        <f aca="false">IFERROR(AVERAGEIFS($BH$7:$BH$294,$B$7:$B$294,$B243,$A$7:$A$294,"&gt;="&amp;EDATE($A243,-12*'Seasonal Factors'!$E$4),$A$7:$A$294,"&lt;="&amp;EDATE($A243,12*'Seasonal Factors'!$E$4)),"")</f>
        <v>0.933877050381678</v>
      </c>
      <c r="BJ243" s="24" t="n">
        <f aca="false">IFERROR(BI243/AVERAGE(BI238:BI249),"")</f>
        <v>0.933438784883153</v>
      </c>
    </row>
    <row r="244" customFormat="false" ht="15" hidden="false" customHeight="false" outlineLevel="0" collapsed="false">
      <c r="A244" s="20" t="n">
        <v>45230</v>
      </c>
      <c r="B244" s="22" t="n">
        <f aca="false">MONTH(A244)</f>
        <v>10</v>
      </c>
      <c r="C244" s="23" t="n">
        <f aca="false">IF(ISNUMBER(Tabelle1!E251),(0.5*Tabelle1!E239+SUM(Tabelle1!E240:E250)+0.5*Tabelle1!E251)/12,"")</f>
        <v>98.92600625</v>
      </c>
      <c r="D244" s="24" t="n">
        <f aca="false">IFERROR(Tabelle1!E245/C244,"")</f>
        <v>0.659313283457251</v>
      </c>
      <c r="E244" s="24" t="n">
        <f aca="false">IFERROR(AVERAGEIFS($D$7:$D$294,$B$7:$B$294,$B244,$A$7:$A$294,"&gt;="&amp;EDATE($A244,-12*'Seasonal Factors'!$E$4),$A$7:$A$294,"&lt;="&amp;EDATE($A244,12*'Seasonal Factors'!$E$4)),"")</f>
        <v>0.573122247079699</v>
      </c>
      <c r="F244" s="24" t="n">
        <f aca="false">IFERROR(E244/AVERAGE(E239:E250),"")</f>
        <v>0.573147024950449</v>
      </c>
      <c r="G244" s="23" t="n">
        <f aca="false">IF(ISNUMBER(Tabelle1!F251),(0.5*Tabelle1!F239+SUM(Tabelle1!F240:F250)+0.5*Tabelle1!F251)/12,"")</f>
        <v>169.89126</v>
      </c>
      <c r="H244" s="24" t="n">
        <f aca="false">IFERROR(Tabelle1!F245/G244,"")</f>
        <v>0.611600796886197</v>
      </c>
      <c r="I244" s="24" t="n">
        <f aca="false">IFERROR(AVERAGEIFS($H$7:$H$294,$B$7:$B$294,$B244,$A$7:$A$294,"&gt;="&amp;EDATE($A244,-12*'Seasonal Factors'!$E$4),$A$7:$A$294,"&lt;="&amp;EDATE($A244,12*'Seasonal Factors'!$E$4)),"")</f>
        <v>0.775411691941402</v>
      </c>
      <c r="J244" s="24" t="n">
        <f aca="false">IFERROR(I244/AVERAGE(I239:I250),"")</f>
        <v>0.780597230860441</v>
      </c>
      <c r="K244" s="23" t="n">
        <f aca="false">IF(ISNUMBER(Tabelle1!G251),(0.5*Tabelle1!G239+SUM(Tabelle1!G240:G250)+0.5*Tabelle1!G251)/12,"")</f>
        <v>108.267532916667</v>
      </c>
      <c r="L244" s="24" t="n">
        <f aca="false">IFERROR(Tabelle1!G245/K244,"")</f>
        <v>1.00804291979206</v>
      </c>
      <c r="M244" s="24" t="n">
        <f aca="false">IFERROR(AVERAGEIFS($L$7:$L$294,$B$7:$B$294,$B244,$A$7:$A$294,"&gt;="&amp;EDATE($A244,-12*'Seasonal Factors'!$E$4),$A$7:$A$294,"&lt;="&amp;EDATE($A244,12*'Seasonal Factors'!$E$4)),"")</f>
        <v>1.0185461750116</v>
      </c>
      <c r="N244" s="24" t="n">
        <f aca="false">IFERROR(M244/AVERAGE(M239:M250),"")</f>
        <v>1.01968470090984</v>
      </c>
      <c r="O244" s="23" t="n">
        <f aca="false">IF(ISNUMBER(Tabelle1!H251),(0.5*Tabelle1!H239+SUM(Tabelle1!H240:H250)+0.5*Tabelle1!H251)/12,"")</f>
        <v>124.21656</v>
      </c>
      <c r="P244" s="24" t="n">
        <f aca="false">IFERROR(Tabelle1!H245/O244,"")</f>
        <v>1.09905023935617</v>
      </c>
      <c r="Q244" s="24" t="n">
        <f aca="false">IFERROR(AVERAGEIFS($P$7:$P$294,$B$7:$B$294,$B244,$A$7:$A$294,"&gt;="&amp;EDATE($A244,-12*'Seasonal Factors'!$E$4),$A$7:$A$294,"&lt;="&amp;EDATE($A244,12*'Seasonal Factors'!$E$4)),"")</f>
        <v>1.09497200210191</v>
      </c>
      <c r="R244" s="24" t="n">
        <f aca="false">IFERROR(Q244/AVERAGE(Q239:Q250),"")</f>
        <v>1.09564589587532</v>
      </c>
      <c r="S244" s="23" t="n">
        <f aca="false">IF(ISNUMBER(Tabelle1!I251),(0.5*Tabelle1!I239+SUM(Tabelle1!I240:I250)+0.5*Tabelle1!I251)/12,"")</f>
        <v>147.854364166667</v>
      </c>
      <c r="T244" s="24" t="n">
        <f aca="false">IFERROR(Tabelle1!I245/S244,"")</f>
        <v>0.928461941409158</v>
      </c>
      <c r="U244" s="24" t="n">
        <f aca="false">IFERROR(AVERAGEIFS($T$7:$T$294,$B$7:$B$294,$B244,$A$7:$A$294,"&gt;="&amp;EDATE($A244,-12*'Seasonal Factors'!$E$4),$A$7:$A$294,"&lt;="&amp;EDATE($A244,12*'Seasonal Factors'!$E$4)),"")</f>
        <v>0.922890517228767</v>
      </c>
      <c r="V244" s="24" t="n">
        <f aca="false">IFERROR(U244/AVERAGE(U239:U250),"")</f>
        <v>0.923574224831173</v>
      </c>
      <c r="W244" s="23" t="n">
        <f aca="false">IF(ISNUMBER(Tabelle1!J251),(0.5*Tabelle1!J239+SUM(Tabelle1!J240:J250)+0.5*Tabelle1!J251)/12,"")</f>
        <v>142.731466666667</v>
      </c>
      <c r="X244" s="24" t="n">
        <f aca="false">IFERROR(Tabelle1!J245/W244,"")</f>
        <v>1.05307374407512</v>
      </c>
      <c r="Y244" s="24" t="n">
        <f aca="false">IFERROR(AVERAGEIFS($X$7:$X$294,$B$7:$B$294,$B244,$A$7:$A$294,"&gt;="&amp;EDATE($A244,-12*'Seasonal Factors'!$E$4),$A$7:$A$294,"&lt;="&amp;EDATE($A244,12*'Seasonal Factors'!$E$4)),"")</f>
        <v>1.02051827746364</v>
      </c>
      <c r="Z244" s="24" t="n">
        <f aca="false">IFERROR(Y244/AVERAGE(Y239:Y250),"")</f>
        <v>1.0230679211937</v>
      </c>
      <c r="AA244" s="23" t="n">
        <f aca="false">IF(ISNUMBER(Tabelle1!K251),(0.5*Tabelle1!K239+SUM(Tabelle1!K240:K250)+0.5*Tabelle1!K251)/12,"")</f>
        <v>155.098406666667</v>
      </c>
      <c r="AB244" s="24" t="n">
        <f aca="false">IFERROR(Tabelle1!K245/AA244,"")</f>
        <v>1.03004049772959</v>
      </c>
      <c r="AC244" s="24" t="n">
        <f aca="false">IFERROR(AVERAGEIFS($AB$7:$AB$294,$B$7:$B$294,$B244,$A$7:$A$294,"&gt;="&amp;EDATE($A244,-12*'Seasonal Factors'!$E$4),$A$7:$A$294,"&lt;="&amp;EDATE($A244,12*'Seasonal Factors'!$E$4)),"")</f>
        <v>1.03378302413266</v>
      </c>
      <c r="AD244" s="24" t="n">
        <f aca="false">IFERROR(AC244/AVERAGE(AC239:AC250),"")</f>
        <v>1.03492168590699</v>
      </c>
      <c r="AE244" s="23" t="n">
        <f aca="false">IF(ISNUMBER(Tabelle1!L251),(0.5*Tabelle1!L239+SUM(Tabelle1!L240:L250)+0.5*Tabelle1!L251)/12,"")</f>
        <v>152.458160833333</v>
      </c>
      <c r="AF244" s="24" t="n">
        <f aca="false">IFERROR(Tabelle1!L245/AE244,"")</f>
        <v>1.04669956090084</v>
      </c>
      <c r="AG244" s="24" t="n">
        <f aca="false">IFERROR(AVERAGEIFS($AF$7:$AF$294,$B$7:$B$294,$B244,$A$7:$A$294,"&gt;="&amp;EDATE($A244,-12*'Seasonal Factors'!$E$4),$A$7:$A$294,"&lt;="&amp;EDATE($A244,12*'Seasonal Factors'!$E$4)),"")</f>
        <v>1.03897588170989</v>
      </c>
      <c r="AH244" s="24" t="n">
        <f aca="false">IFERROR(AG244/AVERAGE(AG239:AG250),"")</f>
        <v>1.04442736266933</v>
      </c>
      <c r="AI244" s="23" t="n">
        <f aca="false">IF(ISNUMBER(Tabelle1!M251),(0.5*Tabelle1!M239+SUM(Tabelle1!M240:M250)+0.5*Tabelle1!M251)/12,"")</f>
        <v>181.198803333333</v>
      </c>
      <c r="AJ244" s="24" t="n">
        <f aca="false">IFERROR(Tabelle1!M245/AI244,"")</f>
        <v>0.99263608087478</v>
      </c>
      <c r="AK244" s="24" t="n">
        <f aca="false">IFERROR(AVERAGEIFS($AJ$7:$AJ$294,$B$7:$B$294,$B244,$A$7:$A$294,"&gt;="&amp;EDATE($A244,-12*'Seasonal Factors'!$E$4),$A$7:$A$294,"&lt;="&amp;EDATE($A244,12*'Seasonal Factors'!$E$4)),"")</f>
        <v>0.993264879056364</v>
      </c>
      <c r="AL244" s="24" t="n">
        <f aca="false">IFERROR(AK244/AVERAGE(AK239:AK250),"")</f>
        <v>0.993469461051709</v>
      </c>
      <c r="AM244" s="23" t="n">
        <f aca="false">IF(ISNUMBER(Tabelle1!N251),(0.5*Tabelle1!N239+SUM(Tabelle1!N240:N250)+0.5*Tabelle1!N251)/12,"")</f>
        <v>156.966105416667</v>
      </c>
      <c r="AN244" s="24" t="n">
        <f aca="false">IFERROR(Tabelle1!N245/AM244,"")</f>
        <v>1.08282593588484</v>
      </c>
      <c r="AO244" s="24" t="n">
        <f aca="false">IFERROR(AVERAGEIFS($AN$7:$AN$294,$B$7:$B$294,$B244,$A$7:$A$294,"&gt;="&amp;EDATE($A244,-12*'Seasonal Factors'!$E$4),$A$7:$A$294,"&lt;="&amp;EDATE($A244,12*'Seasonal Factors'!$E$4)),"")</f>
        <v>1.02719914516475</v>
      </c>
      <c r="AP244" s="24" t="n">
        <f aca="false">IFERROR(AO244/AVERAGE(AO239:AO250),"")</f>
        <v>1.02766615170691</v>
      </c>
      <c r="AQ244" s="23" t="n">
        <f aca="false">IF(ISNUMBER(Tabelle1!O251),(0.5*Tabelle1!O239+SUM(Tabelle1!O240:O250)+0.5*Tabelle1!O251)/12,"")</f>
        <v>153.149054583333</v>
      </c>
      <c r="AR244" s="24" t="n">
        <f aca="false">IFERROR(Tabelle1!O245/AQ244,"")</f>
        <v>1.02080852164146</v>
      </c>
      <c r="AS244" s="24" t="n">
        <f aca="false">IFERROR(AVERAGEIFS($AR$7:$AR$294,$B$7:$B$294,$B244,$A$7:$A$294,"&gt;="&amp;EDATE($A244,-12*'Seasonal Factors'!$E$4),$A$7:$A$294,"&lt;="&amp;EDATE($A244,12*'Seasonal Factors'!$E$4)),"")</f>
        <v>1.01358295356194</v>
      </c>
      <c r="AT244" s="24" t="n">
        <f aca="false">IFERROR(AS244/AVERAGE(AS239:AS250),"")</f>
        <v>1.01344812217759</v>
      </c>
      <c r="AU244" s="23" t="n">
        <f aca="false">IF(ISNUMBER(Tabelle1!P251),(0.5*Tabelle1!P239+SUM(Tabelle1!P240:P250)+0.5*Tabelle1!P251)/12,"")</f>
        <v>165.494358333333</v>
      </c>
      <c r="AV244" s="24" t="n">
        <f aca="false">IFERROR(Tabelle1!P245/AU244,"")</f>
        <v>1.00534708056262</v>
      </c>
      <c r="AW244" s="24" t="n">
        <f aca="false">IFERROR(AVERAGEIFS($AV$7:$AV$294,$B$7:$B$294,$B244,$A$7:$A$294,"&gt;="&amp;EDATE($A244,-12*'Seasonal Factors'!$E$4),$A$7:$A$294,"&lt;="&amp;EDATE($A244,12*'Seasonal Factors'!$E$4)),"")</f>
        <v>1.00573937437095</v>
      </c>
      <c r="AX244" s="24" t="n">
        <f aca="false">IFERROR(AW244/AVERAGE(AW239:AW250),"")</f>
        <v>1.00537365192494</v>
      </c>
      <c r="AY244" s="23" t="n">
        <f aca="false">IF(ISNUMBER(Tabelle1!Q251),(0.5*Tabelle1!Q239+SUM(Tabelle1!Q240:Q250)+0.5*Tabelle1!Q251)/12,"")</f>
        <v>171.24531125</v>
      </c>
      <c r="AZ244" s="24" t="n">
        <f aca="false">IFERROR(Tabelle1!Q245/AY244,"")</f>
        <v>1.00669226352322</v>
      </c>
      <c r="BA244" s="24" t="n">
        <f aca="false">IFERROR(AVERAGEIFS($AZ$7:$AZ$294,$B$7:$B$294,$B244,$A$7:$A$294,"&gt;="&amp;EDATE($A244,-12*'Seasonal Factors'!$E$4),$A$7:$A$294,"&lt;="&amp;EDATE($A244,12*'Seasonal Factors'!$E$4)),"")</f>
        <v>1.01082423525195</v>
      </c>
      <c r="BB244" s="24" t="n">
        <f aca="false">IFERROR(BA244/AVERAGE(BA239:BA250),"")</f>
        <v>1.01060186923678</v>
      </c>
      <c r="BC244" s="23" t="n">
        <f aca="false">IF(ISNUMBER(Tabelle1!R251),(0.5*Tabelle1!R239+SUM(Tabelle1!R240:R250)+0.5*Tabelle1!R251)/12,"")</f>
        <v>186.87945875</v>
      </c>
      <c r="BD244" s="24" t="n">
        <f aca="false">IFERROR(Tabelle1!R245/BC244,"")</f>
        <v>0.960176475254266</v>
      </c>
      <c r="BE244" s="24" t="n">
        <f aca="false">IFERROR(AVERAGEIFS($BD$7:$BD$294,$B$7:$B$294,$B244,$A$7:$A$294,"&gt;="&amp;EDATE($A244,-12*'Seasonal Factors'!$E$4),$A$7:$A$294,"&lt;="&amp;EDATE($A244,12*'Seasonal Factors'!$E$4)),"")</f>
        <v>0.967955412199559</v>
      </c>
      <c r="BF244" s="24" t="n">
        <f aca="false">IFERROR(BE244/AVERAGE(BE239:BE250),"")</f>
        <v>0.968161648661912</v>
      </c>
      <c r="BG244" s="23" t="n">
        <f aca="false">IF(ISNUMBER(Tabelle1!S251),(0.5*Tabelle1!S239+SUM(Tabelle1!S240:S250)+0.5*Tabelle1!S251)/12,"")</f>
        <v>131.359673333333</v>
      </c>
      <c r="BH244" s="24" t="n">
        <f aca="false">IFERROR(Tabelle1!S245/BG244,"")</f>
        <v>1.00145826083307</v>
      </c>
      <c r="BI244" s="24" t="n">
        <f aca="false">IFERROR(AVERAGEIFS($BH$7:$BH$294,$B$7:$B$294,$B244,$A$7:$A$294,"&gt;="&amp;EDATE($A244,-12*'Seasonal Factors'!$E$4),$A$7:$A$294,"&lt;="&amp;EDATE($A244,12*'Seasonal Factors'!$E$4)),"")</f>
        <v>1.02099844526427</v>
      </c>
      <c r="BJ244" s="24" t="n">
        <f aca="false">IFERROR(BI244/AVERAGE(BI239:BI250),"")</f>
        <v>1.02212668639313</v>
      </c>
    </row>
    <row r="245" customFormat="false" ht="15" hidden="false" customHeight="false" outlineLevel="0" collapsed="false">
      <c r="A245" s="20" t="n">
        <v>45260</v>
      </c>
      <c r="B245" s="22" t="n">
        <f aca="false">MONTH(A245)</f>
        <v>11</v>
      </c>
      <c r="C245" s="23" t="n">
        <f aca="false">IF(ISNUMBER(Tabelle1!E252),(0.5*Tabelle1!E240+SUM(Tabelle1!E241:E251)+0.5*Tabelle1!E252)/12,"")</f>
        <v>107.717624166667</v>
      </c>
      <c r="D245" s="24" t="n">
        <f aca="false">IFERROR(Tabelle1!E246/C245,"")</f>
        <v>0.731846627790691</v>
      </c>
      <c r="E245" s="24" t="n">
        <f aca="false">IFERROR(AVERAGEIFS($D$7:$D$294,$B$7:$B$294,$B245,$A$7:$A$294,"&gt;="&amp;EDATE($A245,-12*'Seasonal Factors'!$E$4),$A$7:$A$294,"&lt;="&amp;EDATE($A245,12*'Seasonal Factors'!$E$4)),"")</f>
        <v>0.684366695070838</v>
      </c>
      <c r="F245" s="24" t="n">
        <f aca="false">IFERROR(E245/AVERAGE(E240:E251),"")</f>
        <v>0.687560092038517</v>
      </c>
      <c r="G245" s="23" t="n">
        <f aca="false">IF(ISNUMBER(Tabelle1!F252),(0.5*Tabelle1!F240+SUM(Tabelle1!F241:F251)+0.5*Tabelle1!F252)/12,"")</f>
        <v>174.573697916667</v>
      </c>
      <c r="H245" s="24" t="n">
        <f aca="false">IFERROR(Tabelle1!F246/G245,"")</f>
        <v>0.326764688385248</v>
      </c>
      <c r="I245" s="24" t="n">
        <f aca="false">IFERROR(AVERAGEIFS($H$7:$H$294,$B$7:$B$294,$B245,$A$7:$A$294,"&gt;="&amp;EDATE($A245,-12*'Seasonal Factors'!$E$4),$A$7:$A$294,"&lt;="&amp;EDATE($A245,12*'Seasonal Factors'!$E$4)),"")</f>
        <v>0.576054664983023</v>
      </c>
      <c r="J245" s="24" t="n">
        <f aca="false">IFERROR(I245/AVERAGE(I240:I251),"")</f>
        <v>0.57727623091221</v>
      </c>
      <c r="K245" s="23" t="n">
        <f aca="false">IF(ISNUMBER(Tabelle1!G252),(0.5*Tabelle1!G240+SUM(Tabelle1!G241:G251)+0.5*Tabelle1!G252)/12,"")</f>
        <v>108.986229583333</v>
      </c>
      <c r="L245" s="24" t="n">
        <f aca="false">IFERROR(Tabelle1!G246/K245,"")</f>
        <v>0.967661055925984</v>
      </c>
      <c r="M245" s="24" t="n">
        <f aca="false">IFERROR(AVERAGEIFS($L$7:$L$294,$B$7:$B$294,$B245,$A$7:$A$294,"&gt;="&amp;EDATE($A245,-12*'Seasonal Factors'!$E$4),$A$7:$A$294,"&lt;="&amp;EDATE($A245,12*'Seasonal Factors'!$E$4)),"")</f>
        <v>0.972217081449273</v>
      </c>
      <c r="N245" s="24" t="n">
        <f aca="false">IFERROR(M245/AVERAGE(M240:M251),"")</f>
        <v>0.973462200569297</v>
      </c>
      <c r="O245" s="23" t="n">
        <f aca="false">IF(ISNUMBER(Tabelle1!H252),(0.5*Tabelle1!H240+SUM(Tabelle1!H241:H251)+0.5*Tabelle1!H252)/12,"")</f>
        <v>122.513799166667</v>
      </c>
      <c r="P245" s="24" t="n">
        <f aca="false">IFERROR(Tabelle1!H246/O245,"")</f>
        <v>1.08351108938688</v>
      </c>
      <c r="Q245" s="24" t="n">
        <f aca="false">IFERROR(AVERAGEIFS($P$7:$P$294,$B$7:$B$294,$B245,$A$7:$A$294,"&gt;="&amp;EDATE($A245,-12*'Seasonal Factors'!$E$4),$A$7:$A$294,"&lt;="&amp;EDATE($A245,12*'Seasonal Factors'!$E$4)),"")</f>
        <v>1.06470419240984</v>
      </c>
      <c r="R245" s="24" t="n">
        <f aca="false">IFERROR(Q245/AVERAGE(Q240:Q251),"")</f>
        <v>1.06625487129217</v>
      </c>
      <c r="S245" s="23" t="n">
        <f aca="false">IF(ISNUMBER(Tabelle1!I252),(0.5*Tabelle1!I240+SUM(Tabelle1!I241:I251)+0.5*Tabelle1!I252)/12,"")</f>
        <v>148.648654583333</v>
      </c>
      <c r="T245" s="24" t="n">
        <f aca="false">IFERROR(Tabelle1!I246/S245,"")</f>
        <v>0.959906165312837</v>
      </c>
      <c r="U245" s="24" t="n">
        <f aca="false">IFERROR(AVERAGEIFS($T$7:$T$294,$B$7:$B$294,$B245,$A$7:$A$294,"&gt;="&amp;EDATE($A245,-12*'Seasonal Factors'!$E$4),$A$7:$A$294,"&lt;="&amp;EDATE($A245,12*'Seasonal Factors'!$E$4)),"")</f>
        <v>0.95197988390204</v>
      </c>
      <c r="V245" s="24" t="n">
        <f aca="false">IFERROR(U245/AVERAGE(U240:U251),"")</f>
        <v>0.952630344911286</v>
      </c>
      <c r="W245" s="23" t="n">
        <f aca="false">IF(ISNUMBER(Tabelle1!J252),(0.5*Tabelle1!J240+SUM(Tabelle1!J241:J251)+0.5*Tabelle1!J252)/12,"")</f>
        <v>139.84838125</v>
      </c>
      <c r="X245" s="24" t="n">
        <f aca="false">IFERROR(Tabelle1!J246/W245,"")</f>
        <v>1.07009068437108</v>
      </c>
      <c r="Y245" s="24" t="n">
        <f aca="false">IFERROR(AVERAGEIFS($X$7:$X$294,$B$7:$B$294,$B245,$A$7:$A$294,"&gt;="&amp;EDATE($A245,-12*'Seasonal Factors'!$E$4),$A$7:$A$294,"&lt;="&amp;EDATE($A245,12*'Seasonal Factors'!$E$4)),"")</f>
        <v>1.02169978663258</v>
      </c>
      <c r="Z245" s="24" t="n">
        <f aca="false">IFERROR(Y245/AVERAGE(Y240:Y251),"")</f>
        <v>1.02621625749481</v>
      </c>
      <c r="AA245" s="23" t="n">
        <f aca="false">IF(ISNUMBER(Tabelle1!K252),(0.5*Tabelle1!K240+SUM(Tabelle1!K241:K251)+0.5*Tabelle1!K252)/12,"")</f>
        <v>153.15512</v>
      </c>
      <c r="AB245" s="24" t="n">
        <f aca="false">IFERROR(Tabelle1!K246/AA245,"")</f>
        <v>1.03444573057695</v>
      </c>
      <c r="AC245" s="24" t="n">
        <f aca="false">IFERROR(AVERAGEIFS($AB$7:$AB$294,$B$7:$B$294,$B245,$A$7:$A$294,"&gt;="&amp;EDATE($A245,-12*'Seasonal Factors'!$E$4),$A$7:$A$294,"&lt;="&amp;EDATE($A245,12*'Seasonal Factors'!$E$4)),"")</f>
        <v>1.02646544521694</v>
      </c>
      <c r="AD245" s="24" t="n">
        <f aca="false">IFERROR(AC245/AVERAGE(AC240:AC251),"")</f>
        <v>1.02811860456112</v>
      </c>
      <c r="AE245" s="23" t="n">
        <f aca="false">IF(ISNUMBER(Tabelle1!L252),(0.5*Tabelle1!L240+SUM(Tabelle1!L241:L251)+0.5*Tabelle1!L252)/12,"")</f>
        <v>152.120859166667</v>
      </c>
      <c r="AF245" s="24" t="n">
        <f aca="false">IFERROR(Tabelle1!L246/AE245,"")</f>
        <v>1.05360435694358</v>
      </c>
      <c r="AG245" s="24" t="n">
        <f aca="false">IFERROR(AVERAGEIFS($AF$7:$AF$294,$B$7:$B$294,$B245,$A$7:$A$294,"&gt;="&amp;EDATE($A245,-12*'Seasonal Factors'!$E$4),$A$7:$A$294,"&lt;="&amp;EDATE($A245,12*'Seasonal Factors'!$E$4)),"")</f>
        <v>1.05646199904783</v>
      </c>
      <c r="AH245" s="24" t="n">
        <f aca="false">IFERROR(AG245/AVERAGE(AG240:AG251),"")</f>
        <v>1.06321603162213</v>
      </c>
      <c r="AI245" s="23" t="n">
        <f aca="false">IF(ISNUMBER(Tabelle1!M252),(0.5*Tabelle1!M240+SUM(Tabelle1!M241:M251)+0.5*Tabelle1!M252)/12,"")</f>
        <v>181.508424583333</v>
      </c>
      <c r="AJ245" s="24" t="n">
        <f aca="false">IFERROR(Tabelle1!M246/AI245,"")</f>
        <v>0.991544554546951</v>
      </c>
      <c r="AK245" s="24" t="n">
        <f aca="false">IFERROR(AVERAGEIFS($AJ$7:$AJ$294,$B$7:$B$294,$B245,$A$7:$A$294,"&gt;="&amp;EDATE($A245,-12*'Seasonal Factors'!$E$4),$A$7:$A$294,"&lt;="&amp;EDATE($A245,12*'Seasonal Factors'!$E$4)),"")</f>
        <v>0.992155783572263</v>
      </c>
      <c r="AL245" s="24" t="n">
        <f aca="false">IFERROR(AK245/AVERAGE(AK240:AK251),"")</f>
        <v>0.992701748188213</v>
      </c>
      <c r="AM245" s="23" t="n">
        <f aca="false">IF(ISNUMBER(Tabelle1!N252),(0.5*Tabelle1!N240+SUM(Tabelle1!N241:N251)+0.5*Tabelle1!N252)/12,"")</f>
        <v>155.737497083333</v>
      </c>
      <c r="AN245" s="24" t="n">
        <f aca="false">IFERROR(Tabelle1!N246/AM245,"")</f>
        <v>1.02302819156486</v>
      </c>
      <c r="AO245" s="24" t="n">
        <f aca="false">IFERROR(AVERAGEIFS($AN$7:$AN$294,$B$7:$B$294,$B245,$A$7:$A$294,"&gt;="&amp;EDATE($A245,-12*'Seasonal Factors'!$E$4),$A$7:$A$294,"&lt;="&amp;EDATE($A245,12*'Seasonal Factors'!$E$4)),"")</f>
        <v>1.00021751570434</v>
      </c>
      <c r="AP245" s="24" t="n">
        <f aca="false">IFERROR(AO245/AVERAGE(AO240:AO251),"")</f>
        <v>1.00116961163134</v>
      </c>
      <c r="AQ245" s="23" t="n">
        <f aca="false">IF(ISNUMBER(Tabelle1!O252),(0.5*Tabelle1!O240+SUM(Tabelle1!O241:O251)+0.5*Tabelle1!O252)/12,"")</f>
        <v>153.003565</v>
      </c>
      <c r="AR245" s="24" t="n">
        <f aca="false">IFERROR(Tabelle1!O246/AQ245,"")</f>
        <v>1.01954565568456</v>
      </c>
      <c r="AS245" s="24" t="n">
        <f aca="false">IFERROR(AVERAGEIFS($AR$7:$AR$294,$B$7:$B$294,$B245,$A$7:$A$294,"&gt;="&amp;EDATE($A245,-12*'Seasonal Factors'!$E$4),$A$7:$A$294,"&lt;="&amp;EDATE($A245,12*'Seasonal Factors'!$E$4)),"")</f>
        <v>1.01385265602679</v>
      </c>
      <c r="AT245" s="24" t="n">
        <f aca="false">IFERROR(AS245/AVERAGE(AS240:AS251),"")</f>
        <v>1.01400157046928</v>
      </c>
      <c r="AU245" s="23" t="n">
        <f aca="false">IF(ISNUMBER(Tabelle1!P252),(0.5*Tabelle1!P240+SUM(Tabelle1!P241:P251)+0.5*Tabelle1!P252)/12,"")</f>
        <v>165.365685833333</v>
      </c>
      <c r="AV245" s="24" t="n">
        <f aca="false">IFERROR(Tabelle1!P246/AU245,"")</f>
        <v>1.00845619307065</v>
      </c>
      <c r="AW245" s="24" t="n">
        <f aca="false">IFERROR(AVERAGEIFS($AV$7:$AV$294,$B$7:$B$294,$B245,$A$7:$A$294,"&gt;="&amp;EDATE($A245,-12*'Seasonal Factors'!$E$4),$A$7:$A$294,"&lt;="&amp;EDATE($A245,12*'Seasonal Factors'!$E$4)),"")</f>
        <v>1.00770824924472</v>
      </c>
      <c r="AX245" s="24" t="n">
        <f aca="false">IFERROR(AW245/AVERAGE(AW240:AW251),"")</f>
        <v>1.00753452106277</v>
      </c>
      <c r="AY245" s="23" t="n">
        <f aca="false">IF(ISNUMBER(Tabelle1!Q252),(0.5*Tabelle1!Q240+SUM(Tabelle1!Q241:Q251)+0.5*Tabelle1!Q252)/12,"")</f>
        <v>171.319976666667</v>
      </c>
      <c r="AZ245" s="24" t="n">
        <f aca="false">IFERROR(Tabelle1!Q246/AY245,"")</f>
        <v>1.00831778850931</v>
      </c>
      <c r="BA245" s="24" t="n">
        <f aca="false">IFERROR(AVERAGEIFS($AZ$7:$AZ$294,$B$7:$B$294,$B245,$A$7:$A$294,"&gt;="&amp;EDATE($A245,-12*'Seasonal Factors'!$E$4),$A$7:$A$294,"&lt;="&amp;EDATE($A245,12*'Seasonal Factors'!$E$4)),"")</f>
        <v>1.01183623233769</v>
      </c>
      <c r="BB245" s="24" t="n">
        <f aca="false">IFERROR(BA245/AVERAGE(BA240:BA251),"")</f>
        <v>1.0117070998747</v>
      </c>
      <c r="BC245" s="23" t="n">
        <f aca="false">IF(ISNUMBER(Tabelle1!R252),(0.5*Tabelle1!R240+SUM(Tabelle1!R241:R251)+0.5*Tabelle1!R252)/12,"")</f>
        <v>186.935830833333</v>
      </c>
      <c r="BD245" s="24" t="n">
        <f aca="false">IFERROR(Tabelle1!R246/BC245,"")</f>
        <v>0.957156737701753</v>
      </c>
      <c r="BE245" s="24" t="n">
        <f aca="false">IFERROR(AVERAGEIFS($BD$7:$BD$294,$B$7:$B$294,$B245,$A$7:$A$294,"&gt;="&amp;EDATE($A245,-12*'Seasonal Factors'!$E$4),$A$7:$A$294,"&lt;="&amp;EDATE($A245,12*'Seasonal Factors'!$E$4)),"")</f>
        <v>0.965098485730996</v>
      </c>
      <c r="BF245" s="24" t="n">
        <f aca="false">IFERROR(BE245/AVERAGE(BE240:BE251),"")</f>
        <v>0.965560904448505</v>
      </c>
      <c r="BG245" s="23" t="n">
        <f aca="false">IF(ISNUMBER(Tabelle1!S252),(0.5*Tabelle1!S240+SUM(Tabelle1!S241:S251)+0.5*Tabelle1!S252)/12,"")</f>
        <v>130.970325416667</v>
      </c>
      <c r="BH245" s="24" t="n">
        <f aca="false">IFERROR(Tabelle1!S246/BG245,"")</f>
        <v>0.975855787128828</v>
      </c>
      <c r="BI245" s="24" t="n">
        <f aca="false">IFERROR(AVERAGEIFS($BH$7:$BH$294,$B$7:$B$294,$B245,$A$7:$A$294,"&gt;="&amp;EDATE($A245,-12*'Seasonal Factors'!$E$4),$A$7:$A$294,"&lt;="&amp;EDATE($A245,12*'Seasonal Factors'!$E$4)),"")</f>
        <v>0.999525430334153</v>
      </c>
      <c r="BJ245" s="24" t="n">
        <f aca="false">IFERROR(BI245/AVERAGE(BI240:BI251),"")</f>
        <v>1.00255434845061</v>
      </c>
    </row>
    <row r="246" customFormat="false" ht="15" hidden="false" customHeight="false" outlineLevel="0" collapsed="false">
      <c r="A246" s="20" t="n">
        <v>45291</v>
      </c>
      <c r="B246" s="22" t="n">
        <f aca="false">MONTH(A246)</f>
        <v>12</v>
      </c>
      <c r="C246" s="23" t="n">
        <f aca="false">IF(ISNUMBER(Tabelle1!E253),(0.5*Tabelle1!E241+SUM(Tabelle1!E242:E252)+0.5*Tabelle1!E253)/12,"")</f>
        <v>116.64542625</v>
      </c>
      <c r="D246" s="24" t="n">
        <f aca="false">IFERROR(Tabelle1!E247/C246,"")</f>
        <v>0.864187334563407</v>
      </c>
      <c r="E246" s="24" t="n">
        <f aca="false">IFERROR(AVERAGEIFS($D$7:$D$294,$B$7:$B$294,$B246,$A$7:$A$294,"&gt;="&amp;EDATE($A246,-12*'Seasonal Factors'!$E$4),$A$7:$A$294,"&lt;="&amp;EDATE($A246,12*'Seasonal Factors'!$E$4)),"")</f>
        <v>0.886229159675377</v>
      </c>
      <c r="F246" s="24" t="n">
        <f aca="false">IFERROR(E246/AVERAGE(E241:E252),"")</f>
        <v>0.892010332431385</v>
      </c>
      <c r="G246" s="23" t="n">
        <f aca="false">IF(ISNUMBER(Tabelle1!F253),(0.5*Tabelle1!F241+SUM(Tabelle1!F242:F252)+0.5*Tabelle1!F253)/12,"")</f>
        <v>177.576415</v>
      </c>
      <c r="H246" s="24" t="n">
        <f aca="false">IFERROR(Tabelle1!F247/G246,"")</f>
        <v>0.747499548293055</v>
      </c>
      <c r="I246" s="24" t="n">
        <f aca="false">IFERROR(AVERAGEIFS($H$7:$H$294,$B$7:$B$294,$B246,$A$7:$A$294,"&gt;="&amp;EDATE($A246,-12*'Seasonal Factors'!$E$4),$A$7:$A$294,"&lt;="&amp;EDATE($A246,12*'Seasonal Factors'!$E$4)),"")</f>
        <v>0.674770323647165</v>
      </c>
      <c r="J246" s="24" t="n">
        <f aca="false">IFERROR(I246/AVERAGE(I241:I252),"")</f>
        <v>0.676235626485318</v>
      </c>
      <c r="K246" s="23" t="n">
        <f aca="false">IF(ISNUMBER(Tabelle1!G253),(0.5*Tabelle1!G241+SUM(Tabelle1!G242:G252)+0.5*Tabelle1!G253)/12,"")</f>
        <v>109.496284166667</v>
      </c>
      <c r="L246" s="24" t="n">
        <f aca="false">IFERROR(Tabelle1!G247/K246,"")</f>
        <v>1.00869633011367</v>
      </c>
      <c r="M246" s="24" t="n">
        <f aca="false">IFERROR(AVERAGEIFS($L$7:$L$294,$B$7:$B$294,$B246,$A$7:$A$294,"&gt;="&amp;EDATE($A246,-12*'Seasonal Factors'!$E$4),$A$7:$A$294,"&lt;="&amp;EDATE($A246,12*'Seasonal Factors'!$E$4)),"")</f>
        <v>1.01301904682607</v>
      </c>
      <c r="N246" s="24" t="n">
        <f aca="false">IFERROR(M246/AVERAGE(M241:M252),"")</f>
        <v>1.01450335624951</v>
      </c>
      <c r="O246" s="23" t="n">
        <f aca="false">IF(ISNUMBER(Tabelle1!H253),(0.5*Tabelle1!H241+SUM(Tabelle1!H242:H252)+0.5*Tabelle1!H253)/12,"")</f>
        <v>120.57685375</v>
      </c>
      <c r="P246" s="24" t="n">
        <f aca="false">IFERROR(Tabelle1!H247/O246,"")</f>
        <v>0.941111552265893</v>
      </c>
      <c r="Q246" s="24" t="n">
        <f aca="false">IFERROR(AVERAGEIFS($P$7:$P$294,$B$7:$B$294,$B246,$A$7:$A$294,"&gt;="&amp;EDATE($A246,-12*'Seasonal Factors'!$E$4),$A$7:$A$294,"&lt;="&amp;EDATE($A246,12*'Seasonal Factors'!$E$4)),"")</f>
        <v>0.996033713113294</v>
      </c>
      <c r="R246" s="24" t="n">
        <f aca="false">IFERROR(Q246/AVERAGE(Q241:Q252),"")</f>
        <v>0.997653120541169</v>
      </c>
      <c r="S246" s="23" t="n">
        <f aca="false">IF(ISNUMBER(Tabelle1!I253),(0.5*Tabelle1!I241+SUM(Tabelle1!I242:I252)+0.5*Tabelle1!I253)/12,"")</f>
        <v>149.1078475</v>
      </c>
      <c r="T246" s="24" t="n">
        <f aca="false">IFERROR(Tabelle1!I247/S246,"")</f>
        <v>0.94910269561768</v>
      </c>
      <c r="U246" s="24" t="n">
        <f aca="false">IFERROR(AVERAGEIFS($T$7:$T$294,$B$7:$B$294,$B246,$A$7:$A$294,"&gt;="&amp;EDATE($A246,-12*'Seasonal Factors'!$E$4),$A$7:$A$294,"&lt;="&amp;EDATE($A246,12*'Seasonal Factors'!$E$4)),"")</f>
        <v>1.02245285527817</v>
      </c>
      <c r="V246" s="24" t="n">
        <f aca="false">IFERROR(U246/AVERAGE(U241:U252),"")</f>
        <v>1.02238137694651</v>
      </c>
      <c r="W246" s="23" t="n">
        <f aca="false">IF(ISNUMBER(Tabelle1!J253),(0.5*Tabelle1!J241+SUM(Tabelle1!J242:J252)+0.5*Tabelle1!J253)/12,"")</f>
        <v>137.054245</v>
      </c>
      <c r="X246" s="24" t="n">
        <f aca="false">IFERROR(Tabelle1!J247/W246,"")</f>
        <v>0.958446854382365</v>
      </c>
      <c r="Y246" s="24" t="n">
        <f aca="false">IFERROR(AVERAGEIFS($X$7:$X$294,$B$7:$B$294,$B246,$A$7:$A$294,"&gt;="&amp;EDATE($A246,-12*'Seasonal Factors'!$E$4),$A$7:$A$294,"&lt;="&amp;EDATE($A246,12*'Seasonal Factors'!$E$4)),"")</f>
        <v>0.975115854358318</v>
      </c>
      <c r="Z246" s="24" t="n">
        <f aca="false">IFERROR(Y246/AVERAGE(Y241:Y252),"")</f>
        <v>0.979683580435223</v>
      </c>
      <c r="AA246" s="23" t="n">
        <f aca="false">IF(ISNUMBER(Tabelle1!K253),(0.5*Tabelle1!K241+SUM(Tabelle1!K242:K252)+0.5*Tabelle1!K253)/12,"")</f>
        <v>150.871084583333</v>
      </c>
      <c r="AB246" s="24" t="n">
        <f aca="false">IFERROR(Tabelle1!K247/AA246,"")</f>
        <v>0.912414863193785</v>
      </c>
      <c r="AC246" s="24" t="n">
        <f aca="false">IFERROR(AVERAGEIFS($AB$7:$AB$294,$B$7:$B$294,$B246,$A$7:$A$294,"&gt;="&amp;EDATE($A246,-12*'Seasonal Factors'!$E$4),$A$7:$A$294,"&lt;="&amp;EDATE($A246,12*'Seasonal Factors'!$E$4)),"")</f>
        <v>0.972404154967548</v>
      </c>
      <c r="AD246" s="24" t="n">
        <f aca="false">IFERROR(AC246/AVERAGE(AC241:AC252),"")</f>
        <v>0.973958516335632</v>
      </c>
      <c r="AE246" s="23" t="n">
        <f aca="false">IF(ISNUMBER(Tabelle1!L253),(0.5*Tabelle1!L241+SUM(Tabelle1!L242:L252)+0.5*Tabelle1!L253)/12,"")</f>
        <v>151.8148925</v>
      </c>
      <c r="AF246" s="24" t="n">
        <f aca="false">IFERROR(Tabelle1!L247/AE246,"")</f>
        <v>1.0958912347812</v>
      </c>
      <c r="AG246" s="24" t="n">
        <f aca="false">IFERROR(AVERAGEIFS($AF$7:$AF$294,$B$7:$B$294,$B246,$A$7:$A$294,"&gt;="&amp;EDATE($A246,-12*'Seasonal Factors'!$E$4),$A$7:$A$294,"&lt;="&amp;EDATE($A246,12*'Seasonal Factors'!$E$4)),"")</f>
        <v>1.10214826978029</v>
      </c>
      <c r="AH246" s="24" t="n">
        <f aca="false">IFERROR(AG246/AVERAGE(AG241:AG252),"")</f>
        <v>1.10843527488543</v>
      </c>
      <c r="AI246" s="23" t="n">
        <f aca="false">IF(ISNUMBER(Tabelle1!M253),(0.5*Tabelle1!M241+SUM(Tabelle1!M242:M252)+0.5*Tabelle1!M253)/12,"")</f>
        <v>181.796017083333</v>
      </c>
      <c r="AJ246" s="24" t="n">
        <f aca="false">IFERROR(Tabelle1!M247/AI246,"")</f>
        <v>0.973620120174938</v>
      </c>
      <c r="AK246" s="24" t="n">
        <f aca="false">IFERROR(AVERAGEIFS($AJ$7:$AJ$294,$B$7:$B$294,$B246,$A$7:$A$294,"&gt;="&amp;EDATE($A246,-12*'Seasonal Factors'!$E$4),$A$7:$A$294,"&lt;="&amp;EDATE($A246,12*'Seasonal Factors'!$E$4)),"")</f>
        <v>0.987085497239037</v>
      </c>
      <c r="AL246" s="24" t="n">
        <f aca="false">IFERROR(AK246/AVERAGE(AK241:AK252),"")</f>
        <v>0.987752788057824</v>
      </c>
      <c r="AM246" s="23" t="n">
        <f aca="false">IF(ISNUMBER(Tabelle1!N253),(0.5*Tabelle1!N241+SUM(Tabelle1!N242:N252)+0.5*Tabelle1!N253)/12,"")</f>
        <v>154.48989875</v>
      </c>
      <c r="AN246" s="24" t="n">
        <f aca="false">IFERROR(Tabelle1!N247/AM246,"")</f>
        <v>0.979562490651189</v>
      </c>
      <c r="AO246" s="24" t="n">
        <f aca="false">IFERROR(AVERAGEIFS($AN$7:$AN$294,$B$7:$B$294,$B246,$A$7:$A$294,"&gt;="&amp;EDATE($A246,-12*'Seasonal Factors'!$E$4),$A$7:$A$294,"&lt;="&amp;EDATE($A246,12*'Seasonal Factors'!$E$4)),"")</f>
        <v>1.02183565016892</v>
      </c>
      <c r="AP246" s="24" t="n">
        <f aca="false">IFERROR(AO246/AVERAGE(AO241:AO252),"")</f>
        <v>1.02262736280094</v>
      </c>
      <c r="AQ246" s="23" t="n">
        <f aca="false">IF(ISNUMBER(Tabelle1!O253),(0.5*Tabelle1!O241+SUM(Tabelle1!O242:O252)+0.5*Tabelle1!O253)/12,"")</f>
        <v>152.854214166667</v>
      </c>
      <c r="AR246" s="24" t="n">
        <f aca="false">IFERROR(Tabelle1!O247/AQ246,"")</f>
        <v>1.01040524686875</v>
      </c>
      <c r="AS246" s="24" t="n">
        <f aca="false">IFERROR(AVERAGEIFS($AR$7:$AR$294,$B$7:$B$294,$B246,$A$7:$A$294,"&gt;="&amp;EDATE($A246,-12*'Seasonal Factors'!$E$4),$A$7:$A$294,"&lt;="&amp;EDATE($A246,12*'Seasonal Factors'!$E$4)),"")</f>
        <v>1.02651709971481</v>
      </c>
      <c r="AT246" s="24" t="n">
        <f aca="false">IFERROR(AS246/AVERAGE(AS241:AS252),"")</f>
        <v>1.02680549579866</v>
      </c>
      <c r="AU246" s="23" t="n">
        <f aca="false">IF(ISNUMBER(Tabelle1!P253),(0.5*Tabelle1!P241+SUM(Tabelle1!P242:P252)+0.5*Tabelle1!P253)/12,"")</f>
        <v>165.189373333333</v>
      </c>
      <c r="AV246" s="24" t="n">
        <f aca="false">IFERROR(Tabelle1!P247/AU246,"")</f>
        <v>1.01374299460587</v>
      </c>
      <c r="AW246" s="24" t="n">
        <f aca="false">IFERROR(AVERAGEIFS($AV$7:$AV$294,$B$7:$B$294,$B246,$A$7:$A$294,"&gt;="&amp;EDATE($A246,-12*'Seasonal Factors'!$E$4),$A$7:$A$294,"&lt;="&amp;EDATE($A246,12*'Seasonal Factors'!$E$4)),"")</f>
        <v>1.01216513458869</v>
      </c>
      <c r="AX246" s="24" t="n">
        <f aca="false">IFERROR(AW246/AVERAGE(AW241:AW252),"")</f>
        <v>1.01214504989974</v>
      </c>
      <c r="AY246" s="23" t="n">
        <f aca="false">IF(ISNUMBER(Tabelle1!Q253),(0.5*Tabelle1!Q241+SUM(Tabelle1!Q242:Q252)+0.5*Tabelle1!Q253)/12,"")</f>
        <v>171.36541875</v>
      </c>
      <c r="AZ246" s="24" t="n">
        <f aca="false">IFERROR(Tabelle1!Q247/AY246,"")</f>
        <v>1.01479978439349</v>
      </c>
      <c r="BA246" s="24" t="n">
        <f aca="false">IFERROR(AVERAGEIFS($AZ$7:$AZ$294,$B$7:$B$294,$B246,$A$7:$A$294,"&gt;="&amp;EDATE($A246,-12*'Seasonal Factors'!$E$4),$A$7:$A$294,"&lt;="&amp;EDATE($A246,12*'Seasonal Factors'!$E$4)),"")</f>
        <v>1.0173425450276</v>
      </c>
      <c r="BB246" s="24" t="n">
        <f aca="false">IFERROR(BA246/AVERAGE(BA241:BA252),"")</f>
        <v>1.01730954449537</v>
      </c>
      <c r="BC246" s="23" t="n">
        <f aca="false">IF(ISNUMBER(Tabelle1!R253),(0.5*Tabelle1!R241+SUM(Tabelle1!R242:R252)+0.5*Tabelle1!R253)/12,"")</f>
        <v>186.901461666667</v>
      </c>
      <c r="BD246" s="24" t="n">
        <f aca="false">IFERROR(Tabelle1!R247/BC246,"")</f>
        <v>0.921050421248266</v>
      </c>
      <c r="BE246" s="24" t="n">
        <f aca="false">IFERROR(AVERAGEIFS($BD$7:$BD$294,$B$7:$B$294,$B246,$A$7:$A$294,"&gt;="&amp;EDATE($A246,-12*'Seasonal Factors'!$E$4),$A$7:$A$294,"&lt;="&amp;EDATE($A246,12*'Seasonal Factors'!$E$4)),"")</f>
        <v>0.931228727093208</v>
      </c>
      <c r="BF246" s="24" t="n">
        <f aca="false">IFERROR(BE246/AVERAGE(BE241:BE252),"")</f>
        <v>0.931857219609378</v>
      </c>
      <c r="BG246" s="23" t="n">
        <f aca="false">IF(ISNUMBER(Tabelle1!S253),(0.5*Tabelle1!S241+SUM(Tabelle1!S242:S252)+0.5*Tabelle1!S253)/12,"")</f>
        <v>130.518916666667</v>
      </c>
      <c r="BH246" s="24" t="n">
        <f aca="false">IFERROR(Tabelle1!S247/BG246,"")</f>
        <v>1.00124995929709</v>
      </c>
      <c r="BI246" s="24" t="n">
        <f aca="false">IFERROR(AVERAGEIFS($BH$7:$BH$294,$B$7:$B$294,$B246,$A$7:$A$294,"&gt;="&amp;EDATE($A246,-12*'Seasonal Factors'!$E$4),$A$7:$A$294,"&lt;="&amp;EDATE($A246,12*'Seasonal Factors'!$E$4)),"")</f>
        <v>1.03083089038619</v>
      </c>
      <c r="BJ246" s="24" t="n">
        <f aca="false">IFERROR(BI246/AVERAGE(BI241:BI252),"")</f>
        <v>1.03574842054683</v>
      </c>
    </row>
    <row r="247" customFormat="false" ht="15" hidden="false" customHeight="false" outlineLevel="0" collapsed="false">
      <c r="A247" s="20" t="n">
        <v>45322</v>
      </c>
      <c r="B247" s="22" t="n">
        <f aca="false">MONTH(A247)</f>
        <v>1</v>
      </c>
      <c r="C247" s="23" t="n">
        <f aca="false">IF(ISNUMBER(Tabelle1!E254),(0.5*Tabelle1!E242+SUM(Tabelle1!E243:E253)+0.5*Tabelle1!E254)/12,"")</f>
        <v>121.022495416667</v>
      </c>
      <c r="D247" s="24" t="n">
        <f aca="false">IFERROR(Tabelle1!E248/C247,"")</f>
        <v>0.738024775414601</v>
      </c>
      <c r="E247" s="24" t="n">
        <f aca="false">IFERROR(AVERAGEIFS($D$7:$D$294,$B$7:$B$294,$B247,$A$7:$A$294,"&gt;="&amp;EDATE($A247,-12*'Seasonal Factors'!$E$4),$A$7:$A$294,"&lt;="&amp;EDATE($A247,12*'Seasonal Factors'!$E$4)),"")</f>
        <v>0.742528390486807</v>
      </c>
      <c r="F247" s="24" t="n">
        <f aca="false">IFERROR(E247/AVERAGE(E242:E253),"")</f>
        <v>0.747364617350268</v>
      </c>
      <c r="G247" s="23" t="n">
        <f aca="false">IF(ISNUMBER(Tabelle1!F254),(0.5*Tabelle1!F242+SUM(Tabelle1!F243:F253)+0.5*Tabelle1!F254)/12,"")</f>
        <v>180.02515375</v>
      </c>
      <c r="H247" s="24" t="n">
        <f aca="false">IFERROR(Tabelle1!F248/G247,"")</f>
        <v>0.888994269224447</v>
      </c>
      <c r="I247" s="24" t="n">
        <f aca="false">IFERROR(AVERAGEIFS($H$7:$H$294,$B$7:$B$294,$B247,$A$7:$A$294,"&gt;="&amp;EDATE($A247,-12*'Seasonal Factors'!$E$4),$A$7:$A$294,"&lt;="&amp;EDATE($A247,12*'Seasonal Factors'!$E$4)),"")</f>
        <v>0.852782203994233</v>
      </c>
      <c r="J247" s="24" t="n">
        <f aca="false">IFERROR(I247/AVERAGE(I242:I253),"")</f>
        <v>0.856275901247316</v>
      </c>
      <c r="K247" s="23" t="n">
        <f aca="false">IF(ISNUMBER(Tabelle1!G254),(0.5*Tabelle1!G242+SUM(Tabelle1!G243:G253)+0.5*Tabelle1!G254)/12,"")</f>
        <v>109.91854</v>
      </c>
      <c r="L247" s="24" t="n">
        <f aca="false">IFERROR(Tabelle1!G248/K247,"")</f>
        <v>1.02495238746803</v>
      </c>
      <c r="M247" s="24" t="n">
        <f aca="false">IFERROR(AVERAGEIFS($L$7:$L$294,$B$7:$B$294,$B247,$A$7:$A$294,"&gt;="&amp;EDATE($A247,-12*'Seasonal Factors'!$E$4),$A$7:$A$294,"&lt;="&amp;EDATE($A247,12*'Seasonal Factors'!$E$4)),"")</f>
        <v>1.01864940797531</v>
      </c>
      <c r="N247" s="24" t="n">
        <f aca="false">IFERROR(M247/AVERAGE(M242:M253),"")</f>
        <v>1.0204184061711</v>
      </c>
      <c r="O247" s="23" t="n">
        <f aca="false">IF(ISNUMBER(Tabelle1!H254),(0.5*Tabelle1!H242+SUM(Tabelle1!H243:H253)+0.5*Tabelle1!H254)/12,"")</f>
        <v>119.160079166667</v>
      </c>
      <c r="P247" s="24" t="n">
        <f aca="false">IFERROR(Tabelle1!H248/O247,"")</f>
        <v>0.845018488609458</v>
      </c>
      <c r="Q247" s="24" t="n">
        <f aca="false">IFERROR(AVERAGEIFS($P$7:$P$294,$B$7:$B$294,$B247,$A$7:$A$294,"&gt;="&amp;EDATE($A247,-12*'Seasonal Factors'!$E$4),$A$7:$A$294,"&lt;="&amp;EDATE($A247,12*'Seasonal Factors'!$E$4)),"")</f>
        <v>0.868794653661992</v>
      </c>
      <c r="R247" s="24" t="n">
        <f aca="false">IFERROR(Q247/AVERAGE(Q242:Q253),"")</f>
        <v>0.870358949803275</v>
      </c>
      <c r="S247" s="23" t="n">
        <f aca="false">IF(ISNUMBER(Tabelle1!I254),(0.5*Tabelle1!I242+SUM(Tabelle1!I243:I253)+0.5*Tabelle1!I254)/12,"")</f>
        <v>149.148116666667</v>
      </c>
      <c r="T247" s="24" t="n">
        <f aca="false">IFERROR(Tabelle1!I248/S247,"")</f>
        <v>1.0511000976993</v>
      </c>
      <c r="U247" s="24" t="n">
        <f aca="false">IFERROR(AVERAGEIFS($T$7:$T$294,$B$7:$B$294,$B247,$A$7:$A$294,"&gt;="&amp;EDATE($A247,-12*'Seasonal Factors'!$E$4),$A$7:$A$294,"&lt;="&amp;EDATE($A247,12*'Seasonal Factors'!$E$4)),"")</f>
        <v>1.08608233882497</v>
      </c>
      <c r="V247" s="24" t="n">
        <f aca="false">IFERROR(U247/AVERAGE(U242:U253),"")</f>
        <v>1.085885031612</v>
      </c>
      <c r="W247" s="23" t="n">
        <f aca="false">IF(ISNUMBER(Tabelle1!J254),(0.5*Tabelle1!J242+SUM(Tabelle1!J243:J253)+0.5*Tabelle1!J254)/12,"")</f>
        <v>134.773683333333</v>
      </c>
      <c r="X247" s="24" t="n">
        <f aca="false">IFERROR(Tabelle1!J248/W247,"")</f>
        <v>0.968092188126243</v>
      </c>
      <c r="Y247" s="24" t="n">
        <f aca="false">IFERROR(AVERAGEIFS($X$7:$X$294,$B$7:$B$294,$B247,$A$7:$A$294,"&gt;="&amp;EDATE($A247,-12*'Seasonal Factors'!$E$4),$A$7:$A$294,"&lt;="&amp;EDATE($A247,12*'Seasonal Factors'!$E$4)),"")</f>
        <v>1.0351319068525</v>
      </c>
      <c r="Z247" s="24" t="n">
        <f aca="false">IFERROR(Y247/AVERAGE(Y242:Y253),"")</f>
        <v>1.04030046386874</v>
      </c>
      <c r="AA247" s="23" t="n">
        <f aca="false">IF(ISNUMBER(Tabelle1!K254),(0.5*Tabelle1!K242+SUM(Tabelle1!K243:K253)+0.5*Tabelle1!K254)/12,"")</f>
        <v>149.184816666667</v>
      </c>
      <c r="AB247" s="24" t="n">
        <f aca="false">IFERROR(Tabelle1!K248/AA247,"")</f>
        <v>0.910632683911421</v>
      </c>
      <c r="AC247" s="24" t="n">
        <f aca="false">IFERROR(AVERAGEIFS($AB$7:$AB$294,$B$7:$B$294,$B247,$A$7:$A$294,"&gt;="&amp;EDATE($A247,-12*'Seasonal Factors'!$E$4),$A$7:$A$294,"&lt;="&amp;EDATE($A247,12*'Seasonal Factors'!$E$4)),"")</f>
        <v>0.930234779887446</v>
      </c>
      <c r="AD247" s="24" t="n">
        <f aca="false">IFERROR(AC247/AVERAGE(AC242:AC253),"")</f>
        <v>0.931946562407245</v>
      </c>
      <c r="AE247" s="23" t="n">
        <f aca="false">IF(ISNUMBER(Tabelle1!L254),(0.5*Tabelle1!L242+SUM(Tabelle1!L243:L253)+0.5*Tabelle1!L254)/12,"")</f>
        <v>152.1460525</v>
      </c>
      <c r="AF247" s="24" t="n">
        <f aca="false">IFERROR(Tabelle1!L248/AE247,"")</f>
        <v>1.1703282278717</v>
      </c>
      <c r="AG247" s="24" t="n">
        <f aca="false">IFERROR(AVERAGEIFS($AF$7:$AF$294,$B$7:$B$294,$B247,$A$7:$A$294,"&gt;="&amp;EDATE($A247,-12*'Seasonal Factors'!$E$4),$A$7:$A$294,"&lt;="&amp;EDATE($A247,12*'Seasonal Factors'!$E$4)),"")</f>
        <v>1.23939143786057</v>
      </c>
      <c r="AH247" s="24" t="n">
        <f aca="false">IFERROR(AG247/AVERAGE(AG242:AG253),"")</f>
        <v>1.24866550709432</v>
      </c>
      <c r="AI247" s="23" t="n">
        <f aca="false">IF(ISNUMBER(Tabelle1!M254),(0.5*Tabelle1!M242+SUM(Tabelle1!M243:M253)+0.5*Tabelle1!M254)/12,"")</f>
        <v>181.959375416667</v>
      </c>
      <c r="AJ247" s="24" t="n">
        <f aca="false">IFERROR(Tabelle1!M248/AI247,"")</f>
        <v>0.97590167911587</v>
      </c>
      <c r="AK247" s="24" t="n">
        <f aca="false">IFERROR(AVERAGEIFS($AJ$7:$AJ$294,$B$7:$B$294,$B247,$A$7:$A$294,"&gt;="&amp;EDATE($A247,-12*'Seasonal Factors'!$E$4),$A$7:$A$294,"&lt;="&amp;EDATE($A247,12*'Seasonal Factors'!$E$4)),"")</f>
        <v>0.989335669090833</v>
      </c>
      <c r="AL247" s="24" t="n">
        <f aca="false">IFERROR(AK247/AVERAGE(AK242:AK253),"")</f>
        <v>0.990341847367868</v>
      </c>
      <c r="AM247" s="23" t="n">
        <f aca="false">IF(ISNUMBER(Tabelle1!N254),(0.5*Tabelle1!N242+SUM(Tabelle1!N243:N253)+0.5*Tabelle1!N254)/12,"")</f>
        <v>153.652627083333</v>
      </c>
      <c r="AN247" s="24" t="n">
        <f aca="false">IFERROR(Tabelle1!N248/AM247,"")</f>
        <v>0.962578595677281</v>
      </c>
      <c r="AO247" s="24" t="n">
        <f aca="false">IFERROR(AVERAGEIFS($AN$7:$AN$294,$B$7:$B$294,$B247,$A$7:$A$294,"&gt;="&amp;EDATE($A247,-12*'Seasonal Factors'!$E$4),$A$7:$A$294,"&lt;="&amp;EDATE($A247,12*'Seasonal Factors'!$E$4)),"")</f>
        <v>1.00011298568369</v>
      </c>
      <c r="AP247" s="24" t="n">
        <f aca="false">IFERROR(AO247/AVERAGE(AO242:AO253),"")</f>
        <v>1.00093061752128</v>
      </c>
      <c r="AQ247" s="23" t="n">
        <f aca="false">IF(ISNUMBER(Tabelle1!O254),(0.5*Tabelle1!O242+SUM(Tabelle1!O243:O253)+0.5*Tabelle1!O254)/12,"")</f>
        <v>152.758655416667</v>
      </c>
      <c r="AR247" s="24" t="n">
        <f aca="false">IFERROR(Tabelle1!O248/AQ247,"")</f>
        <v>0.968011400706964</v>
      </c>
      <c r="AS247" s="24" t="n">
        <f aca="false">IFERROR(AVERAGEIFS($AR$7:$AR$294,$B$7:$B$294,$B247,$A$7:$A$294,"&gt;="&amp;EDATE($A247,-12*'Seasonal Factors'!$E$4),$A$7:$A$294,"&lt;="&amp;EDATE($A247,12*'Seasonal Factors'!$E$4)),"")</f>
        <v>0.984548109328227</v>
      </c>
      <c r="AT247" s="24" t="n">
        <f aca="false">IFERROR(AS247/AVERAGE(AS242:AS253),"")</f>
        <v>0.985094685128183</v>
      </c>
      <c r="AU247" s="23" t="n">
        <f aca="false">IF(ISNUMBER(Tabelle1!P254),(0.5*Tabelle1!P242+SUM(Tabelle1!P243:P253)+0.5*Tabelle1!P254)/12,"")</f>
        <v>164.9799225</v>
      </c>
      <c r="AV247" s="24" t="n">
        <f aca="false">IFERROR(Tabelle1!P248/AU247,"")</f>
        <v>1.00224971314313</v>
      </c>
      <c r="AW247" s="24" t="n">
        <f aca="false">IFERROR(AVERAGEIFS($AV$7:$AV$294,$B$7:$B$294,$B247,$A$7:$A$294,"&gt;="&amp;EDATE($A247,-12*'Seasonal Factors'!$E$4),$A$7:$A$294,"&lt;="&amp;EDATE($A247,12*'Seasonal Factors'!$E$4)),"")</f>
        <v>1.01181113075942</v>
      </c>
      <c r="AX247" s="24" t="n">
        <f aca="false">IFERROR(AW247/AVERAGE(AW242:AW253),"")</f>
        <v>1.01182507451032</v>
      </c>
      <c r="AY247" s="23" t="n">
        <f aca="false">IF(ISNUMBER(Tabelle1!Q254),(0.5*Tabelle1!Q242+SUM(Tabelle1!Q243:Q253)+0.5*Tabelle1!Q254)/12,"")</f>
        <v>171.411541666667</v>
      </c>
      <c r="AZ247" s="24" t="n">
        <f aca="false">IFERROR(Tabelle1!Q248/AY247,"")</f>
        <v>0.97520405204142</v>
      </c>
      <c r="BA247" s="24" t="n">
        <f aca="false">IFERROR(AVERAGEIFS($AZ$7:$AZ$294,$B$7:$B$294,$B247,$A$7:$A$294,"&gt;="&amp;EDATE($A247,-12*'Seasonal Factors'!$E$4),$A$7:$A$294,"&lt;="&amp;EDATE($A247,12*'Seasonal Factors'!$E$4)),"")</f>
        <v>0.979401665006656</v>
      </c>
      <c r="BB247" s="24" t="n">
        <f aca="false">IFERROR(BA247/AVERAGE(BA242:BA253),"")</f>
        <v>0.979488114551269</v>
      </c>
      <c r="BC247" s="23" t="n">
        <f aca="false">IF(ISNUMBER(Tabelle1!R254),(0.5*Tabelle1!R242+SUM(Tabelle1!R243:R253)+0.5*Tabelle1!R254)/12,"")</f>
        <v>186.836951666667</v>
      </c>
      <c r="BD247" s="24" t="n">
        <f aca="false">IFERROR(Tabelle1!R248/BC247,"")</f>
        <v>1.00673870089456</v>
      </c>
      <c r="BE247" s="24" t="n">
        <f aca="false">IFERROR(AVERAGEIFS($BD$7:$BD$294,$B$7:$B$294,$B247,$A$7:$A$294,"&gt;="&amp;EDATE($A247,-12*'Seasonal Factors'!$E$4),$A$7:$A$294,"&lt;="&amp;EDATE($A247,12*'Seasonal Factors'!$E$4)),"")</f>
        <v>1.01776864389209</v>
      </c>
      <c r="BF247" s="24" t="n">
        <f aca="false">IFERROR(BE247/AVERAGE(BE242:BE253),"")</f>
        <v>1.01845847267292</v>
      </c>
      <c r="BG247" s="23" t="n">
        <f aca="false">IF(ISNUMBER(Tabelle1!S254),(0.5*Tabelle1!S242+SUM(Tabelle1!S243:S253)+0.5*Tabelle1!S254)/12,"")</f>
        <v>130.095935833333</v>
      </c>
      <c r="BH247" s="24" t="n">
        <f aca="false">IFERROR(Tabelle1!S248/BG247,"")</f>
        <v>1.10358497427568</v>
      </c>
      <c r="BI247" s="24" t="n">
        <f aca="false">IFERROR(AVERAGEIFS($BH$7:$BH$294,$B$7:$B$294,$B247,$A$7:$A$294,"&gt;="&amp;EDATE($A247,-12*'Seasonal Factors'!$E$4),$A$7:$A$294,"&lt;="&amp;EDATE($A247,12*'Seasonal Factors'!$E$4)),"")</f>
        <v>1.16794600131053</v>
      </c>
      <c r="BJ247" s="24" t="n">
        <f aca="false">IFERROR(BI247/AVERAGE(BI242:BI253),"")</f>
        <v>1.17603905792109</v>
      </c>
    </row>
    <row r="248" customFormat="false" ht="15" hidden="false" customHeight="false" outlineLevel="0" collapsed="false">
      <c r="A248" s="20" t="n">
        <v>45351</v>
      </c>
      <c r="B248" s="22" t="n">
        <f aca="false">MONTH(A248)</f>
        <v>2</v>
      </c>
      <c r="C248" s="23" t="n">
        <f aca="false">IF(ISNUMBER(Tabelle1!E255),(0.5*Tabelle1!E243+SUM(Tabelle1!E244:E254)+0.5*Tabelle1!E255)/12,"")</f>
        <v>122.195116666667</v>
      </c>
      <c r="D248" s="24" t="n">
        <f aca="false">IFERROR(Tabelle1!E249/C248,"")</f>
        <v>0.578591697676953</v>
      </c>
      <c r="E248" s="24" t="n">
        <f aca="false">IFERROR(AVERAGEIFS($D$7:$D$294,$B$7:$B$294,$B248,$A$7:$A$294,"&gt;="&amp;EDATE($A248,-12*'Seasonal Factors'!$E$4),$A$7:$A$294,"&lt;="&amp;EDATE($A248,12*'Seasonal Factors'!$E$4)),"")</f>
        <v>0.602629499459342</v>
      </c>
      <c r="F248" s="24" t="n">
        <f aca="false">IFERROR(E248/AVERAGE(E243:E254),"")</f>
        <v>0.606023897155948</v>
      </c>
      <c r="G248" s="23" t="n">
        <f aca="false">IF(ISNUMBER(Tabelle1!F255),(0.5*Tabelle1!F243+SUM(Tabelle1!F244:F254)+0.5*Tabelle1!F255)/12,"")</f>
        <v>181.442021666667</v>
      </c>
      <c r="H248" s="24" t="n">
        <f aca="false">IFERROR(Tabelle1!F249/G248,"")</f>
        <v>0.954772871293606</v>
      </c>
      <c r="I248" s="24" t="n">
        <f aca="false">IFERROR(AVERAGEIFS($H$7:$H$294,$B$7:$B$294,$B248,$A$7:$A$294,"&gt;="&amp;EDATE($A248,-12*'Seasonal Factors'!$E$4),$A$7:$A$294,"&lt;="&amp;EDATE($A248,12*'Seasonal Factors'!$E$4)),"")</f>
        <v>1.07421780986997</v>
      </c>
      <c r="J248" s="24" t="n">
        <f aca="false">IFERROR(I248/AVERAGE(I243:I254),"")</f>
        <v>1.07991210812069</v>
      </c>
      <c r="K248" s="23" t="n">
        <f aca="false">IF(ISNUMBER(Tabelle1!G255),(0.5*Tabelle1!G243+SUM(Tabelle1!G244:G254)+0.5*Tabelle1!G255)/12,"")</f>
        <v>110.476296666667</v>
      </c>
      <c r="L248" s="24" t="n">
        <f aca="false">IFERROR(Tabelle1!G249/K248,"")</f>
        <v>0.949382384860897</v>
      </c>
      <c r="M248" s="24" t="n">
        <f aca="false">IFERROR(AVERAGEIFS($L$7:$L$294,$B$7:$B$294,$B248,$A$7:$A$294,"&gt;="&amp;EDATE($A248,-12*'Seasonal Factors'!$E$4),$A$7:$A$294,"&lt;="&amp;EDATE($A248,12*'Seasonal Factors'!$E$4)),"")</f>
        <v>0.940417669622013</v>
      </c>
      <c r="N248" s="24" t="n">
        <f aca="false">IFERROR(M248/AVERAGE(M243:M254),"")</f>
        <v>0.942092563894463</v>
      </c>
      <c r="O248" s="23" t="n">
        <f aca="false">IF(ISNUMBER(Tabelle1!H255),(0.5*Tabelle1!H243+SUM(Tabelle1!H244:H254)+0.5*Tabelle1!H255)/12,"")</f>
        <v>118.48066875</v>
      </c>
      <c r="P248" s="24" t="n">
        <f aca="false">IFERROR(Tabelle1!H249/O248,"")</f>
        <v>0.866934168110863</v>
      </c>
      <c r="Q248" s="24" t="n">
        <f aca="false">IFERROR(AVERAGEIFS($P$7:$P$294,$B$7:$B$294,$B248,$A$7:$A$294,"&gt;="&amp;EDATE($A248,-12*'Seasonal Factors'!$E$4),$A$7:$A$294,"&lt;="&amp;EDATE($A248,12*'Seasonal Factors'!$E$4)),"")</f>
        <v>0.880001388393846</v>
      </c>
      <c r="R248" s="24" t="n">
        <f aca="false">IFERROR(Q248/AVERAGE(Q243:Q254),"")</f>
        <v>0.881693907560846</v>
      </c>
      <c r="S248" s="23" t="n">
        <f aca="false">IF(ISNUMBER(Tabelle1!I255),(0.5*Tabelle1!I243+SUM(Tabelle1!I244:I254)+0.5*Tabelle1!I255)/12,"")</f>
        <v>149.550144166667</v>
      </c>
      <c r="T248" s="24" t="n">
        <f aca="false">IFERROR(Tabelle1!I249/S248,"")</f>
        <v>1.04463088865963</v>
      </c>
      <c r="U248" s="24" t="n">
        <f aca="false">IFERROR(AVERAGEIFS($T$7:$T$294,$B$7:$B$294,$B248,$A$7:$A$294,"&gt;="&amp;EDATE($A248,-12*'Seasonal Factors'!$E$4),$A$7:$A$294,"&lt;="&amp;EDATE($A248,12*'Seasonal Factors'!$E$4)),"")</f>
        <v>0.977876874922111</v>
      </c>
      <c r="V248" s="24" t="n">
        <f aca="false">IFERROR(U248/AVERAGE(U243:U254),"")</f>
        <v>0.977584402097127</v>
      </c>
      <c r="W248" s="23" t="n">
        <f aca="false">IF(ISNUMBER(Tabelle1!J255),(0.5*Tabelle1!J243+SUM(Tabelle1!J244:J254)+0.5*Tabelle1!J255)/12,"")</f>
        <v>132.815598333333</v>
      </c>
      <c r="X248" s="24" t="n">
        <f aca="false">IFERROR(Tabelle1!J249/W248,"")</f>
        <v>0.941670794465796</v>
      </c>
      <c r="Y248" s="24" t="n">
        <f aca="false">IFERROR(AVERAGEIFS($X$7:$X$294,$B$7:$B$294,$B248,$A$7:$A$294,"&gt;="&amp;EDATE($A248,-12*'Seasonal Factors'!$E$4),$A$7:$A$294,"&lt;="&amp;EDATE($A248,12*'Seasonal Factors'!$E$4)),"")</f>
        <v>1.01773088350424</v>
      </c>
      <c r="Z248" s="24" t="n">
        <f aca="false">IFERROR(Y248/AVERAGE(Y243:Y254),"")</f>
        <v>1.02332098284551</v>
      </c>
      <c r="AA248" s="23" t="n">
        <f aca="false">IF(ISNUMBER(Tabelle1!K255),(0.5*Tabelle1!K243+SUM(Tabelle1!K244:K254)+0.5*Tabelle1!K255)/12,"")</f>
        <v>148.393334166667</v>
      </c>
      <c r="AB248" s="24" t="n">
        <f aca="false">IFERROR(Tabelle1!K249/AA248,"")</f>
        <v>0.940419937214049</v>
      </c>
      <c r="AC248" s="24" t="n">
        <f aca="false">IFERROR(AVERAGEIFS($AB$7:$AB$294,$B$7:$B$294,$B248,$A$7:$A$294,"&gt;="&amp;EDATE($A248,-12*'Seasonal Factors'!$E$4),$A$7:$A$294,"&lt;="&amp;EDATE($A248,12*'Seasonal Factors'!$E$4)),"")</f>
        <v>0.942379877029045</v>
      </c>
      <c r="AD248" s="24" t="n">
        <f aca="false">IFERROR(AC248/AVERAGE(AC243:AC254),"")</f>
        <v>0.944021621068765</v>
      </c>
      <c r="AE248" s="23" t="n">
        <f aca="false">IF(ISNUMBER(Tabelle1!L255),(0.5*Tabelle1!L243+SUM(Tabelle1!L244:L254)+0.5*Tabelle1!L255)/12,"")</f>
        <v>153.213249583333</v>
      </c>
      <c r="AF248" s="24" t="n">
        <f aca="false">IFERROR(Tabelle1!L249/AE248,"")</f>
        <v>1.11456065623828</v>
      </c>
      <c r="AG248" s="24" t="n">
        <f aca="false">IFERROR(AVERAGEIFS($AF$7:$AF$294,$B$7:$B$294,$B248,$A$7:$A$294,"&gt;="&amp;EDATE($A248,-12*'Seasonal Factors'!$E$4),$A$7:$A$294,"&lt;="&amp;EDATE($A248,12*'Seasonal Factors'!$E$4)),"")</f>
        <v>1.20351556036734</v>
      </c>
      <c r="AH248" s="24" t="n">
        <f aca="false">IFERROR(AG248/AVERAGE(AG243:AG254),"")</f>
        <v>1.21268850264964</v>
      </c>
      <c r="AI248" s="23" t="n">
        <f aca="false">IF(ISNUMBER(Tabelle1!M255),(0.5*Tabelle1!M243+SUM(Tabelle1!M244:M254)+0.5*Tabelle1!M255)/12,"")</f>
        <v>181.92126125</v>
      </c>
      <c r="AJ248" s="24" t="n">
        <f aca="false">IFERROR(Tabelle1!M249/AI248,"")</f>
        <v>0.945626029733784</v>
      </c>
      <c r="AK248" s="24" t="n">
        <f aca="false">IFERROR(AVERAGEIFS($AJ$7:$AJ$294,$B$7:$B$294,$B248,$A$7:$A$294,"&gt;="&amp;EDATE($A248,-12*'Seasonal Factors'!$E$4),$A$7:$A$294,"&lt;="&amp;EDATE($A248,12*'Seasonal Factors'!$E$4)),"")</f>
        <v>0.966350224428958</v>
      </c>
      <c r="AL248" s="24" t="n">
        <f aca="false">IFERROR(AK248/AVERAGE(AK243:AK254),"")</f>
        <v>0.967460143055662</v>
      </c>
      <c r="AM248" s="23" t="n">
        <f aca="false">IF(ISNUMBER(Tabelle1!N255),(0.5*Tabelle1!N243+SUM(Tabelle1!N244:N254)+0.5*Tabelle1!N255)/12,"")</f>
        <v>153.271735416667</v>
      </c>
      <c r="AN248" s="24" t="n">
        <f aca="false">IFERROR(Tabelle1!N249/AM248,"")</f>
        <v>0.894435100035363</v>
      </c>
      <c r="AO248" s="24" t="n">
        <f aca="false">IFERROR(AVERAGEIFS($AN$7:$AN$294,$B$7:$B$294,$B248,$A$7:$A$294,"&gt;="&amp;EDATE($A248,-12*'Seasonal Factors'!$E$4),$A$7:$A$294,"&lt;="&amp;EDATE($A248,12*'Seasonal Factors'!$E$4)),"")</f>
        <v>0.944696682161428</v>
      </c>
      <c r="AP248" s="24" t="n">
        <f aca="false">IFERROR(AO248/AVERAGE(AO243:AO254),"")</f>
        <v>0.945465154349776</v>
      </c>
      <c r="AQ248" s="23" t="n">
        <f aca="false">IF(ISNUMBER(Tabelle1!O255),(0.5*Tabelle1!O243+SUM(Tabelle1!O244:O254)+0.5*Tabelle1!O255)/12,"")</f>
        <v>152.7049675</v>
      </c>
      <c r="AR248" s="24" t="n">
        <f aca="false">IFERROR(Tabelle1!O249/AQ248,"")</f>
        <v>0.965668520246403</v>
      </c>
      <c r="AS248" s="24" t="n">
        <f aca="false">IFERROR(AVERAGEIFS($AR$7:$AR$294,$B$7:$B$294,$B248,$A$7:$A$294,"&gt;="&amp;EDATE($A248,-12*'Seasonal Factors'!$E$4),$A$7:$A$294,"&lt;="&amp;EDATE($A248,12*'Seasonal Factors'!$E$4)),"")</f>
        <v>0.980898933388669</v>
      </c>
      <c r="AT248" s="24" t="n">
        <f aca="false">IFERROR(AS248/AVERAGE(AS243:AS254),"")</f>
        <v>0.981405245912702</v>
      </c>
      <c r="AU248" s="23" t="n">
        <f aca="false">IF(ISNUMBER(Tabelle1!P255),(0.5*Tabelle1!P243+SUM(Tabelle1!P244:P254)+0.5*Tabelle1!P255)/12,"")</f>
        <v>164.752612916667</v>
      </c>
      <c r="AV248" s="24" t="n">
        <f aca="false">IFERROR(Tabelle1!P249/AU248,"")</f>
        <v>1.00391057277895</v>
      </c>
      <c r="AW248" s="24" t="n">
        <f aca="false">IFERROR(AVERAGEIFS($AV$7:$AV$294,$B$7:$B$294,$B248,$A$7:$A$294,"&gt;="&amp;EDATE($A248,-12*'Seasonal Factors'!$E$4),$A$7:$A$294,"&lt;="&amp;EDATE($A248,12*'Seasonal Factors'!$E$4)),"")</f>
        <v>1.01343468892516</v>
      </c>
      <c r="AX248" s="24" t="n">
        <f aca="false">IFERROR(AW248/AVERAGE(AW243:AW254),"")</f>
        <v>1.01351179349605</v>
      </c>
      <c r="AY248" s="23" t="n">
        <f aca="false">IF(ISNUMBER(Tabelle1!Q255),(0.5*Tabelle1!Q243+SUM(Tabelle1!Q244:Q254)+0.5*Tabelle1!Q255)/12,"")</f>
        <v>171.45561125</v>
      </c>
      <c r="AZ248" s="24" t="n">
        <f aca="false">IFERROR(Tabelle1!Q249/AY248,"")</f>
        <v>0.982753313067787</v>
      </c>
      <c r="BA248" s="24" t="n">
        <f aca="false">IFERROR(AVERAGEIFS($AZ$7:$AZ$294,$B$7:$B$294,$B248,$A$7:$A$294,"&gt;="&amp;EDATE($A248,-12*'Seasonal Factors'!$E$4),$A$7:$A$294,"&lt;="&amp;EDATE($A248,12*'Seasonal Factors'!$E$4)),"")</f>
        <v>0.985145902116526</v>
      </c>
      <c r="BB248" s="24" t="n">
        <f aca="false">IFERROR(BA248/AVERAGE(BA243:BA254),"")</f>
        <v>0.985280855258575</v>
      </c>
      <c r="BC248" s="23" t="n">
        <f aca="false">IF(ISNUMBER(Tabelle1!R255),(0.5*Tabelle1!R243+SUM(Tabelle1!R244:R254)+0.5*Tabelle1!R255)/12,"")</f>
        <v>186.733517916667</v>
      </c>
      <c r="BD248" s="24" t="n">
        <f aca="false">IFERROR(Tabelle1!R249/BC248,"")</f>
        <v>0.953046737326614</v>
      </c>
      <c r="BE248" s="24" t="n">
        <f aca="false">IFERROR(AVERAGEIFS($BD$7:$BD$294,$B$7:$B$294,$B248,$A$7:$A$294,"&gt;="&amp;EDATE($A248,-12*'Seasonal Factors'!$E$4),$A$7:$A$294,"&lt;="&amp;EDATE($A248,12*'Seasonal Factors'!$E$4)),"")</f>
        <v>0.966850810501705</v>
      </c>
      <c r="BF248" s="24" t="n">
        <f aca="false">IFERROR(BE248/AVERAGE(BE243:BE254),"")</f>
        <v>0.967531938793421</v>
      </c>
      <c r="BG248" s="23" t="n">
        <f aca="false">IF(ISNUMBER(Tabelle1!S255),(0.5*Tabelle1!S243+SUM(Tabelle1!S244:S254)+0.5*Tabelle1!S255)/12,"")</f>
        <v>129.693159166667</v>
      </c>
      <c r="BH248" s="24" t="n">
        <f aca="false">IFERROR(Tabelle1!S249/BG248,"")</f>
        <v>1.08595080037343</v>
      </c>
      <c r="BI248" s="24" t="n">
        <f aca="false">IFERROR(AVERAGEIFS($BH$7:$BH$294,$B$7:$B$294,$B248,$A$7:$A$294,"&gt;="&amp;EDATE($A248,-12*'Seasonal Factors'!$E$4),$A$7:$A$294,"&lt;="&amp;EDATE($A248,12*'Seasonal Factors'!$E$4)),"")</f>
        <v>1.14298373143489</v>
      </c>
      <c r="BJ248" s="24" t="n">
        <f aca="false">IFERROR(BI248/AVERAGE(BI243:BI254),"")</f>
        <v>1.151700984068</v>
      </c>
    </row>
    <row r="249" customFormat="false" ht="15" hidden="false" customHeight="false" outlineLevel="0" collapsed="false">
      <c r="A249" s="20" t="n">
        <v>45382</v>
      </c>
      <c r="B249" s="22" t="n">
        <f aca="false">MONTH(A249)</f>
        <v>3</v>
      </c>
      <c r="C249" s="23" t="n">
        <f aca="false">IF(ISNUMBER(Tabelle1!E256),(0.5*Tabelle1!E244+SUM(Tabelle1!E245:E255)+0.5*Tabelle1!E256)/12,"")</f>
        <v>122.513615</v>
      </c>
      <c r="D249" s="24" t="n">
        <f aca="false">IFERROR(Tabelle1!E250/C249,"")</f>
        <v>1.121527921611</v>
      </c>
      <c r="E249" s="24" t="n">
        <f aca="false">IFERROR(AVERAGEIFS($D$7:$D$294,$B$7:$B$294,$B249,$A$7:$A$294,"&gt;="&amp;EDATE($A249,-12*'Seasonal Factors'!$E$4),$A$7:$A$294,"&lt;="&amp;EDATE($A249,12*'Seasonal Factors'!$E$4)),"")</f>
        <v>1.16838363028031</v>
      </c>
      <c r="F249" s="24" t="n">
        <f aca="false">IFERROR(E249/AVERAGE(E244:E255),"")</f>
        <v>1.17369231283836</v>
      </c>
      <c r="G249" s="23" t="n">
        <f aca="false">IF(ISNUMBER(Tabelle1!F256),(0.5*Tabelle1!F244+SUM(Tabelle1!F245:F255)+0.5*Tabelle1!F256)/12,"")</f>
        <v>181.802155416667</v>
      </c>
      <c r="H249" s="24" t="n">
        <f aca="false">IFERROR(Tabelle1!F250/G249,"")</f>
        <v>0.672883386446282</v>
      </c>
      <c r="I249" s="24" t="n">
        <f aca="false">IFERROR(AVERAGEIFS($H$7:$H$294,$B$7:$B$294,$B249,$A$7:$A$294,"&gt;="&amp;EDATE($A249,-12*'Seasonal Factors'!$E$4),$A$7:$A$294,"&lt;="&amp;EDATE($A249,12*'Seasonal Factors'!$E$4)),"")</f>
        <v>0.73218769003672</v>
      </c>
      <c r="J249" s="24" t="n">
        <f aca="false">IFERROR(I249/AVERAGE(I244:I255),"")</f>
        <v>0.732753588614779</v>
      </c>
      <c r="K249" s="23" t="n">
        <f aca="false">IF(ISNUMBER(Tabelle1!G256),(0.5*Tabelle1!G244+SUM(Tabelle1!G245:G255)+0.5*Tabelle1!G256)/12,"")</f>
        <v>111.14954625</v>
      </c>
      <c r="L249" s="24" t="n">
        <f aca="false">IFERROR(Tabelle1!G250/K249,"")</f>
        <v>0.99508008562833</v>
      </c>
      <c r="M249" s="24" t="n">
        <f aca="false">IFERROR(AVERAGEIFS($L$7:$L$294,$B$7:$B$294,$B249,$A$7:$A$294,"&gt;="&amp;EDATE($A249,-12*'Seasonal Factors'!$E$4),$A$7:$A$294,"&lt;="&amp;EDATE($A249,12*'Seasonal Factors'!$E$4)),"")</f>
        <v>1.00449560051778</v>
      </c>
      <c r="N249" s="24" t="n">
        <f aca="false">IFERROR(M249/AVERAGE(M244:M255),"")</f>
        <v>1.00622082399776</v>
      </c>
      <c r="O249" s="23" t="n">
        <f aca="false">IF(ISNUMBER(Tabelle1!H256),(0.5*Tabelle1!H244+SUM(Tabelle1!H245:H255)+0.5*Tabelle1!H256)/12,"")</f>
        <v>117.767437083333</v>
      </c>
      <c r="P249" s="24" t="n">
        <f aca="false">IFERROR(Tabelle1!H250/O249,"")</f>
        <v>0.943513697435513</v>
      </c>
      <c r="Q249" s="24" t="n">
        <f aca="false">IFERROR(AVERAGEIFS($P$7:$P$294,$B$7:$B$294,$B249,$A$7:$A$294,"&gt;="&amp;EDATE($A249,-12*'Seasonal Factors'!$E$4),$A$7:$A$294,"&lt;="&amp;EDATE($A249,12*'Seasonal Factors'!$E$4)),"")</f>
        <v>0.99261172146467</v>
      </c>
      <c r="R249" s="24" t="n">
        <f aca="false">IFERROR(Q249/AVERAGE(Q244:Q255),"")</f>
        <v>0.993830902726829</v>
      </c>
      <c r="S249" s="23" t="n">
        <f aca="false">IF(ISNUMBER(Tabelle1!I256),(0.5*Tabelle1!I244+SUM(Tabelle1!I245:I255)+0.5*Tabelle1!I256)/12,"")</f>
        <v>149.381215</v>
      </c>
      <c r="T249" s="24" t="n">
        <f aca="false">IFERROR(Tabelle1!I250/S249,"")</f>
        <v>1.01885695601017</v>
      </c>
      <c r="U249" s="24" t="n">
        <f aca="false">IFERROR(AVERAGEIFS($T$7:$T$294,$B$7:$B$294,$B249,$A$7:$A$294,"&gt;="&amp;EDATE($A249,-12*'Seasonal Factors'!$E$4),$A$7:$A$294,"&lt;="&amp;EDATE($A249,12*'Seasonal Factors'!$E$4)),"")</f>
        <v>1.02118857668822</v>
      </c>
      <c r="V249" s="24" t="n">
        <f aca="false">IFERROR(U249/AVERAGE(U244:U255),"")</f>
        <v>1.02097622933852</v>
      </c>
      <c r="W249" s="23" t="n">
        <f aca="false">IF(ISNUMBER(Tabelle1!J256),(0.5*Tabelle1!J244+SUM(Tabelle1!J245:J255)+0.5*Tabelle1!J256)/12,"")</f>
        <v>130.659824583333</v>
      </c>
      <c r="X249" s="24" t="n">
        <f aca="false">IFERROR(Tabelle1!J250/W249,"")</f>
        <v>0.913854204081267</v>
      </c>
      <c r="Y249" s="24" t="n">
        <f aca="false">IFERROR(AVERAGEIFS($X$7:$X$294,$B$7:$B$294,$B249,$A$7:$A$294,"&gt;="&amp;EDATE($A249,-12*'Seasonal Factors'!$E$4),$A$7:$A$294,"&lt;="&amp;EDATE($A249,12*'Seasonal Factors'!$E$4)),"")</f>
        <v>1.00426092556762</v>
      </c>
      <c r="Z249" s="24" t="n">
        <f aca="false">IFERROR(Y249/AVERAGE(Y244:Y255),"")</f>
        <v>1.00959393061504</v>
      </c>
      <c r="AA249" s="23" t="n">
        <f aca="false">IF(ISNUMBER(Tabelle1!K256),(0.5*Tabelle1!K244+SUM(Tabelle1!K245:K255)+0.5*Tabelle1!K256)/12,"")</f>
        <v>147.527469583333</v>
      </c>
      <c r="AB249" s="24" t="n">
        <f aca="false">IFERROR(Tabelle1!K250/AA249,"")</f>
        <v>0.972244222754595</v>
      </c>
      <c r="AC249" s="24" t="n">
        <f aca="false">IFERROR(AVERAGEIFS($AB$7:$AB$294,$B$7:$B$294,$B249,$A$7:$A$294,"&gt;="&amp;EDATE($A249,-12*'Seasonal Factors'!$E$4),$A$7:$A$294,"&lt;="&amp;EDATE($A249,12*'Seasonal Factors'!$E$4)),"")</f>
        <v>1.01060365098221</v>
      </c>
      <c r="AD249" s="24" t="n">
        <f aca="false">IFERROR(AC249/AVERAGE(AC244:AC255),"")</f>
        <v>1.01148454529719</v>
      </c>
      <c r="AE249" s="23" t="n">
        <f aca="false">IF(ISNUMBER(Tabelle1!L256),(0.5*Tabelle1!L244+SUM(Tabelle1!L245:L255)+0.5*Tabelle1!L256)/12,"")</f>
        <v>154.224825</v>
      </c>
      <c r="AF249" s="24" t="n">
        <f aca="false">IFERROR(Tabelle1!L250/AE249,"")</f>
        <v>0.887249637015312</v>
      </c>
      <c r="AG249" s="24" t="n">
        <f aca="false">IFERROR(AVERAGEIFS($AF$7:$AF$294,$B$7:$B$294,$B249,$A$7:$A$294,"&gt;="&amp;EDATE($A249,-12*'Seasonal Factors'!$E$4),$A$7:$A$294,"&lt;="&amp;EDATE($A249,12*'Seasonal Factors'!$E$4)),"")</f>
        <v>0.917841012428244</v>
      </c>
      <c r="AH249" s="24" t="n">
        <f aca="false">IFERROR(AG249/AVERAGE(AG244:AG255),"")</f>
        <v>0.925454131991635</v>
      </c>
      <c r="AI249" s="23" t="n">
        <f aca="false">IF(ISNUMBER(Tabelle1!M256),(0.5*Tabelle1!M244+SUM(Tabelle1!M245:M255)+0.5*Tabelle1!M256)/12,"")</f>
        <v>181.771165</v>
      </c>
      <c r="AJ249" s="24" t="n">
        <f aca="false">IFERROR(Tabelle1!M250/AI249,"")</f>
        <v>0.998545011250822</v>
      </c>
      <c r="AK249" s="24" t="n">
        <f aca="false">IFERROR(AVERAGEIFS($AJ$7:$AJ$294,$B$7:$B$294,$B249,$A$7:$A$294,"&gt;="&amp;EDATE($A249,-12*'Seasonal Factors'!$E$4),$A$7:$A$294,"&lt;="&amp;EDATE($A249,12*'Seasonal Factors'!$E$4)),"")</f>
        <v>1.00531504991882</v>
      </c>
      <c r="AL249" s="24" t="n">
        <f aca="false">IFERROR(AK249/AVERAGE(AK244:AK255),"")</f>
        <v>1.00647057926538</v>
      </c>
      <c r="AM249" s="23" t="n">
        <f aca="false">IF(ISNUMBER(Tabelle1!N256),(0.5*Tabelle1!N244+SUM(Tabelle1!N245:N255)+0.5*Tabelle1!N256)/12,"")</f>
        <v>153.047626666667</v>
      </c>
      <c r="AN249" s="24" t="n">
        <f aca="false">IFERROR(Tabelle1!N250/AM249,"")</f>
        <v>0.974571728086037</v>
      </c>
      <c r="AO249" s="24" t="n">
        <f aca="false">IFERROR(AVERAGEIFS($AN$7:$AN$294,$B$7:$B$294,$B249,$A$7:$A$294,"&gt;="&amp;EDATE($A249,-12*'Seasonal Factors'!$E$4),$A$7:$A$294,"&lt;="&amp;EDATE($A249,12*'Seasonal Factors'!$E$4)),"")</f>
        <v>1.04371032664779</v>
      </c>
      <c r="AP249" s="24" t="n">
        <f aca="false">IFERROR(AO249/AVERAGE(AO244:AO255),"")</f>
        <v>1.04396968626654</v>
      </c>
      <c r="AQ249" s="23" t="n">
        <f aca="false">IF(ISNUMBER(Tabelle1!O256),(0.5*Tabelle1!O244+SUM(Tabelle1!O245:O255)+0.5*Tabelle1!O256)/12,"")</f>
        <v>152.614910416667</v>
      </c>
      <c r="AR249" s="24" t="n">
        <f aca="false">IFERROR(Tabelle1!O250/AQ249,"")</f>
        <v>0.969692866810728</v>
      </c>
      <c r="AS249" s="24" t="n">
        <f aca="false">IFERROR(AVERAGEIFS($AR$7:$AR$294,$B$7:$B$294,$B249,$A$7:$A$294,"&gt;="&amp;EDATE($A249,-12*'Seasonal Factors'!$E$4),$A$7:$A$294,"&lt;="&amp;EDATE($A249,12*'Seasonal Factors'!$E$4)),"")</f>
        <v>0.986619404478078</v>
      </c>
      <c r="AT249" s="24" t="n">
        <f aca="false">IFERROR(AS249/AVERAGE(AS244:AS255),"")</f>
        <v>0.987026597141945</v>
      </c>
      <c r="AU249" s="23" t="n">
        <f aca="false">IF(ISNUMBER(Tabelle1!P256),(0.5*Tabelle1!P244+SUM(Tabelle1!P245:P255)+0.5*Tabelle1!P256)/12,"")</f>
        <v>164.485876666667</v>
      </c>
      <c r="AV249" s="24" t="n">
        <f aca="false">IFERROR(Tabelle1!P250/AU249,"")</f>
        <v>0.994355584287956</v>
      </c>
      <c r="AW249" s="24" t="n">
        <f aca="false">IFERROR(AVERAGEIFS($AV$7:$AV$294,$B$7:$B$294,$B249,$A$7:$A$294,"&gt;="&amp;EDATE($A249,-12*'Seasonal Factors'!$E$4),$A$7:$A$294,"&lt;="&amp;EDATE($A249,12*'Seasonal Factors'!$E$4)),"")</f>
        <v>1.0084417951835</v>
      </c>
      <c r="AX249" s="24" t="n">
        <f aca="false">IFERROR(AW249/AVERAGE(AW244:AW255),"")</f>
        <v>1.00855790776174</v>
      </c>
      <c r="AY249" s="23" t="n">
        <f aca="false">IF(ISNUMBER(Tabelle1!Q256),(0.5*Tabelle1!Q244+SUM(Tabelle1!Q245:Q255)+0.5*Tabelle1!Q256)/12,"")</f>
        <v>171.471040416667</v>
      </c>
      <c r="AZ249" s="24" t="n">
        <f aca="false">IFERROR(Tabelle1!Q250/AY249,"")</f>
        <v>0.998827496373859</v>
      </c>
      <c r="BA249" s="24" t="n">
        <f aca="false">IFERROR(AVERAGEIFS($AZ$7:$AZ$294,$B$7:$B$294,$B249,$A$7:$A$294,"&gt;="&amp;EDATE($A249,-12*'Seasonal Factors'!$E$4),$A$7:$A$294,"&lt;="&amp;EDATE($A249,12*'Seasonal Factors'!$E$4)),"")</f>
        <v>1.00396205886961</v>
      </c>
      <c r="BB249" s="24" t="n">
        <f aca="false">IFERROR(BA249/AVERAGE(BA244:BA255),"")</f>
        <v>1.00414226814401</v>
      </c>
      <c r="BC249" s="23" t="n">
        <f aca="false">IF(ISNUMBER(Tabelle1!R256),(0.5*Tabelle1!R244+SUM(Tabelle1!R245:R255)+0.5*Tabelle1!R256)/12,"")</f>
        <v>186.587140833333</v>
      </c>
      <c r="BD249" s="24" t="n">
        <f aca="false">IFERROR(Tabelle1!R250/BC249,"")</f>
        <v>1.02929976386502</v>
      </c>
      <c r="BE249" s="24" t="n">
        <f aca="false">IFERROR(AVERAGEIFS($BD$7:$BD$294,$B$7:$B$294,$B249,$A$7:$A$294,"&gt;="&amp;EDATE($A249,-12*'Seasonal Factors'!$E$4),$A$7:$A$294,"&lt;="&amp;EDATE($A249,12*'Seasonal Factors'!$E$4)),"")</f>
        <v>1.02904165628042</v>
      </c>
      <c r="BF249" s="24" t="n">
        <f aca="false">IFERROR(BE249/AVERAGE(BE244:BE255),"")</f>
        <v>1.02976041007341</v>
      </c>
      <c r="BG249" s="23" t="n">
        <f aca="false">IF(ISNUMBER(Tabelle1!S256),(0.5*Tabelle1!S244+SUM(Tabelle1!S245:S255)+0.5*Tabelle1!S256)/12,"")</f>
        <v>129.252748333333</v>
      </c>
      <c r="BH249" s="24" t="n">
        <f aca="false">IFERROR(Tabelle1!S250/BG249,"")</f>
        <v>1.07346870212908</v>
      </c>
      <c r="BI249" s="24" t="n">
        <f aca="false">IFERROR(AVERAGEIFS($BH$7:$BH$294,$B$7:$B$294,$B249,$A$7:$A$294,"&gt;="&amp;EDATE($A249,-12*'Seasonal Factors'!$E$4),$A$7:$A$294,"&lt;="&amp;EDATE($A249,12*'Seasonal Factors'!$E$4)),"")</f>
        <v>1.09772744096235</v>
      </c>
      <c r="BJ249" s="24" t="n">
        <f aca="false">IFERROR(BI249/AVERAGE(BI244:BI255),"")</f>
        <v>1.10678180037924</v>
      </c>
    </row>
    <row r="250" customFormat="false" ht="15" hidden="false" customHeight="false" outlineLevel="0" collapsed="false">
      <c r="A250" s="20" t="n">
        <v>45412</v>
      </c>
      <c r="B250" s="22" t="n">
        <f aca="false">MONTH(A250)</f>
        <v>4</v>
      </c>
      <c r="C250" s="23" t="n">
        <f aca="false">IF(ISNUMBER(Tabelle1!E257),(0.5*Tabelle1!E245+SUM(Tabelle1!E246:E256)+0.5*Tabelle1!E257)/12,"")</f>
        <v>122.754586666667</v>
      </c>
      <c r="D250" s="24" t="n">
        <f aca="false">IFERROR(Tabelle1!E251/C250,"")</f>
        <v>1.6282862044313</v>
      </c>
      <c r="E250" s="24" t="n">
        <f aca="false">IFERROR(AVERAGEIFS($D$7:$D$294,$B$7:$B$294,$B250,$A$7:$A$294,"&gt;="&amp;EDATE($A250,-12*'Seasonal Factors'!$E$4),$A$7:$A$294,"&lt;="&amp;EDATE($A250,12*'Seasonal Factors'!$E$4)),"")</f>
        <v>1.57547806037797</v>
      </c>
      <c r="F250" s="24" t="n">
        <f aca="false">IFERROR(E250/AVERAGE(E245:E256),"")</f>
        <v>1.58312603023645</v>
      </c>
      <c r="G250" s="23" t="n">
        <f aca="false">IF(ISNUMBER(Tabelle1!F257),(0.5*Tabelle1!F245+SUM(Tabelle1!F246:F256)+0.5*Tabelle1!F257)/12,"")</f>
        <v>178.613133333333</v>
      </c>
      <c r="H250" s="24" t="n">
        <f aca="false">IFERROR(Tabelle1!F251/G250,"")</f>
        <v>1.04417355274733</v>
      </c>
      <c r="I250" s="24" t="n">
        <f aca="false">IFERROR(AVERAGEIFS($H$7:$H$294,$B$7:$B$294,$B250,$A$7:$A$294,"&gt;="&amp;EDATE($A250,-12*'Seasonal Factors'!$E$4),$A$7:$A$294,"&lt;="&amp;EDATE($A250,12*'Seasonal Factors'!$E$4)),"")</f>
        <v>0.890451353808888</v>
      </c>
      <c r="J250" s="24" t="n">
        <f aca="false">IFERROR(I250/AVERAGE(I245:I256),"")</f>
        <v>0.898896032622434</v>
      </c>
      <c r="K250" s="23" t="n">
        <f aca="false">IF(ISNUMBER(Tabelle1!G257),(0.5*Tabelle1!G245+SUM(Tabelle1!G246:G256)+0.5*Tabelle1!G257)/12,"")</f>
        <v>111.915913333333</v>
      </c>
      <c r="L250" s="24" t="n">
        <f aca="false">IFERROR(Tabelle1!G251/K250,"")</f>
        <v>0.991400299522493</v>
      </c>
      <c r="M250" s="24" t="n">
        <f aca="false">IFERROR(AVERAGEIFS($L$7:$L$294,$B$7:$B$294,$B250,$A$7:$A$294,"&gt;="&amp;EDATE($A250,-12*'Seasonal Factors'!$E$4),$A$7:$A$294,"&lt;="&amp;EDATE($A250,12*'Seasonal Factors'!$E$4)),"")</f>
        <v>0.960701336161094</v>
      </c>
      <c r="N250" s="24" t="n">
        <f aca="false">IFERROR(M250/AVERAGE(M245:M256),"")</f>
        <v>0.962519791830869</v>
      </c>
      <c r="O250" s="23" t="n">
        <f aca="false">IF(ISNUMBER(Tabelle1!H257),(0.5*Tabelle1!H245+SUM(Tabelle1!H246:H256)+0.5*Tabelle1!H257)/12,"")</f>
        <v>117.3314575</v>
      </c>
      <c r="P250" s="24" t="n">
        <f aca="false">IFERROR(Tabelle1!H251/O250,"")</f>
        <v>0.935955389457256</v>
      </c>
      <c r="Q250" s="24" t="n">
        <f aca="false">IFERROR(AVERAGEIFS($P$7:$P$294,$B$7:$B$294,$B250,$A$7:$A$294,"&gt;="&amp;EDATE($A250,-12*'Seasonal Factors'!$E$4),$A$7:$A$294,"&lt;="&amp;EDATE($A250,12*'Seasonal Factors'!$E$4)),"")</f>
        <v>0.936326537407373</v>
      </c>
      <c r="R250" s="24" t="n">
        <f aca="false">IFERROR(Q250/AVERAGE(Q245:Q256),"")</f>
        <v>0.937947814507428</v>
      </c>
      <c r="S250" s="23" t="n">
        <f aca="false">IF(ISNUMBER(Tabelle1!I257),(0.5*Tabelle1!I245+SUM(Tabelle1!I246:I256)+0.5*Tabelle1!I257)/12,"")</f>
        <v>149.02800375</v>
      </c>
      <c r="T250" s="24" t="n">
        <f aca="false">IFERROR(Tabelle1!I251/S250,"")</f>
        <v>0.907301088370111</v>
      </c>
      <c r="U250" s="24" t="n">
        <f aca="false">IFERROR(AVERAGEIFS($T$7:$T$294,$B$7:$B$294,$B250,$A$7:$A$294,"&gt;="&amp;EDATE($A250,-12*'Seasonal Factors'!$E$4),$A$7:$A$294,"&lt;="&amp;EDATE($A250,12*'Seasonal Factors'!$E$4)),"")</f>
        <v>0.896369069822382</v>
      </c>
      <c r="V250" s="24" t="n">
        <f aca="false">IFERROR(U250/AVERAGE(U245:U256),"")</f>
        <v>0.896831536494921</v>
      </c>
      <c r="W250" s="23" t="n">
        <f aca="false">IF(ISNUMBER(Tabelle1!J257),(0.5*Tabelle1!J245+SUM(Tabelle1!J246:J256)+0.5*Tabelle1!J257)/12,"")</f>
        <v>128.719200416667</v>
      </c>
      <c r="X250" s="24" t="n">
        <f aca="false">IFERROR(Tabelle1!J251/W250,"")</f>
        <v>0.891071492277144</v>
      </c>
      <c r="Y250" s="24" t="n">
        <f aca="false">IFERROR(AVERAGEIFS($X$7:$X$294,$B$7:$B$294,$B250,$A$7:$A$294,"&gt;="&amp;EDATE($A250,-12*'Seasonal Factors'!$E$4),$A$7:$A$294,"&lt;="&amp;EDATE($A250,12*'Seasonal Factors'!$E$4)),"")</f>
        <v>0.882540696133613</v>
      </c>
      <c r="Z250" s="24" t="n">
        <f aca="false">IFERROR(Y250/AVERAGE(Y245:Y256),"")</f>
        <v>0.887448586390185</v>
      </c>
      <c r="AA250" s="23" t="n">
        <f aca="false">IF(ISNUMBER(Tabelle1!K257),(0.5*Tabelle1!K245+SUM(Tabelle1!K246:K256)+0.5*Tabelle1!K257)/12,"")</f>
        <v>147.120128333333</v>
      </c>
      <c r="AB250" s="24" t="n">
        <f aca="false">IFERROR(Tabelle1!K251/AA250,"")</f>
        <v>0.946565650653037</v>
      </c>
      <c r="AC250" s="24" t="n">
        <f aca="false">IFERROR(AVERAGEIFS($AB$7:$AB$294,$B$7:$B$294,$B250,$A$7:$A$294,"&gt;="&amp;EDATE($A250,-12*'Seasonal Factors'!$E$4),$A$7:$A$294,"&lt;="&amp;EDATE($A250,12*'Seasonal Factors'!$E$4)),"")</f>
        <v>0.9731200120579</v>
      </c>
      <c r="AD250" s="24" t="n">
        <f aca="false">IFERROR(AC250/AVERAGE(AC245:AC256),"")</f>
        <v>0.974554152391405</v>
      </c>
      <c r="AE250" s="23" t="n">
        <f aca="false">IF(ISNUMBER(Tabelle1!L257),(0.5*Tabelle1!L245+SUM(Tabelle1!L246:L256)+0.5*Tabelle1!L257)/12,"")</f>
        <v>155.683035416667</v>
      </c>
      <c r="AF250" s="24" t="n">
        <f aca="false">IFERROR(Tabelle1!L251/AE250,"")</f>
        <v>0.682942490910719</v>
      </c>
      <c r="AG250" s="24" t="n">
        <f aca="false">IFERROR(AVERAGEIFS($AF$7:$AF$294,$B$7:$B$294,$B250,$A$7:$A$294,"&gt;="&amp;EDATE($A250,-12*'Seasonal Factors'!$E$4),$A$7:$A$294,"&lt;="&amp;EDATE($A250,12*'Seasonal Factors'!$E$4)),"")</f>
        <v>0.692890711620006</v>
      </c>
      <c r="AH250" s="24" t="n">
        <f aca="false">IFERROR(AG250/AVERAGE(AG245:AG256),"")</f>
        <v>0.69930322924047</v>
      </c>
      <c r="AI250" s="23" t="n">
        <f aca="false">IF(ISNUMBER(Tabelle1!M257),(0.5*Tabelle1!M245+SUM(Tabelle1!M246:M256)+0.5*Tabelle1!M257)/12,"")</f>
        <v>181.876764166667</v>
      </c>
      <c r="AJ250" s="24" t="n">
        <f aca="false">IFERROR(Tabelle1!M251/AI250,"")</f>
        <v>1.01769816968144</v>
      </c>
      <c r="AK250" s="24" t="n">
        <f aca="false">IFERROR(AVERAGEIFS($AJ$7:$AJ$294,$B$7:$B$294,$B250,$A$7:$A$294,"&gt;="&amp;EDATE($A250,-12*'Seasonal Factors'!$E$4),$A$7:$A$294,"&lt;="&amp;EDATE($A250,12*'Seasonal Factors'!$E$4)),"")</f>
        <v>0.999188720551395</v>
      </c>
      <c r="AL250" s="24" t="n">
        <f aca="false">IFERROR(AK250/AVERAGE(AK245:AK256),"")</f>
        <v>1.00066499082598</v>
      </c>
      <c r="AM250" s="23" t="n">
        <f aca="false">IF(ISNUMBER(Tabelle1!N257),(0.5*Tabelle1!N245+SUM(Tabelle1!N246:N256)+0.5*Tabelle1!N257)/12,"")</f>
        <v>153.079844583333</v>
      </c>
      <c r="AN250" s="24" t="n">
        <f aca="false">IFERROR(Tabelle1!N251/AM250,"")</f>
        <v>0.99582744165261</v>
      </c>
      <c r="AO250" s="24" t="n">
        <f aca="false">IFERROR(AVERAGEIFS($AN$7:$AN$294,$B$7:$B$294,$B250,$A$7:$A$294,"&gt;="&amp;EDATE($A250,-12*'Seasonal Factors'!$E$4),$A$7:$A$294,"&lt;="&amp;EDATE($A250,12*'Seasonal Factors'!$E$4)),"")</f>
        <v>1.01829127998208</v>
      </c>
      <c r="AP250" s="24" t="n">
        <f aca="false">IFERROR(AO250/AVERAGE(AO245:AO256),"")</f>
        <v>1.01840434136605</v>
      </c>
      <c r="AQ250" s="23" t="n">
        <f aca="false">IF(ISNUMBER(Tabelle1!O257),(0.5*Tabelle1!O245+SUM(Tabelle1!O246:O256)+0.5*Tabelle1!O257)/12,"")</f>
        <v>152.620805</v>
      </c>
      <c r="AR250" s="24" t="n">
        <f aca="false">IFERROR(Tabelle1!O251/AQ250,"")</f>
        <v>0.993883369963879</v>
      </c>
      <c r="AS250" s="24" t="n">
        <f aca="false">IFERROR(AVERAGEIFS($AR$7:$AR$294,$B$7:$B$294,$B250,$A$7:$A$294,"&gt;="&amp;EDATE($A250,-12*'Seasonal Factors'!$E$4),$A$7:$A$294,"&lt;="&amp;EDATE($A250,12*'Seasonal Factors'!$E$4)),"")</f>
        <v>0.983844315993595</v>
      </c>
      <c r="AT250" s="24" t="n">
        <f aca="false">IFERROR(AS250/AVERAGE(AS245:AS256),"")</f>
        <v>0.984346589708579</v>
      </c>
      <c r="AU250" s="23" t="n">
        <f aca="false">IF(ISNUMBER(Tabelle1!P257),(0.5*Tabelle1!P245+SUM(Tabelle1!P246:P256)+0.5*Tabelle1!P257)/12,"")</f>
        <v>164.1783325</v>
      </c>
      <c r="AV250" s="24" t="n">
        <f aca="false">IFERROR(Tabelle1!P251/AU250,"")</f>
        <v>0.989381348479709</v>
      </c>
      <c r="AW250" s="24" t="n">
        <f aca="false">IFERROR(AVERAGEIFS($AV$7:$AV$294,$B$7:$B$294,$B250,$A$7:$A$294,"&gt;="&amp;EDATE($A250,-12*'Seasonal Factors'!$E$4),$A$7:$A$294,"&lt;="&amp;EDATE($A250,12*'Seasonal Factors'!$E$4)),"")</f>
        <v>0.980224531436203</v>
      </c>
      <c r="AX250" s="24" t="n">
        <f aca="false">IFERROR(AW250/AVERAGE(AW245:AW256),"")</f>
        <v>0.980422931522555</v>
      </c>
      <c r="AY250" s="23" t="n">
        <f aca="false">IF(ISNUMBER(Tabelle1!Q257),(0.5*Tabelle1!Q245+SUM(Tabelle1!Q246:Q256)+0.5*Tabelle1!Q257)/12,"")</f>
        <v>171.50674625</v>
      </c>
      <c r="AZ250" s="24" t="n">
        <f aca="false">IFERROR(Tabelle1!Q251/AY250,"")</f>
        <v>0.993688375100872</v>
      </c>
      <c r="BA250" s="24" t="n">
        <f aca="false">IFERROR(AVERAGEIFS($AZ$7:$AZ$294,$B$7:$B$294,$B250,$A$7:$A$294,"&gt;="&amp;EDATE($A250,-12*'Seasonal Factors'!$E$4),$A$7:$A$294,"&lt;="&amp;EDATE($A250,12*'Seasonal Factors'!$E$4)),"")</f>
        <v>0.983400437257429</v>
      </c>
      <c r="BB250" s="24" t="n">
        <f aca="false">IFERROR(BA250/AVERAGE(BA245:BA256),"")</f>
        <v>0.983652189631367</v>
      </c>
      <c r="BC250" s="23" t="n">
        <f aca="false">IF(ISNUMBER(Tabelle1!R257),(0.5*Tabelle1!R245+SUM(Tabelle1!R246:R256)+0.5*Tabelle1!R257)/12,"")</f>
        <v>186.419372916667</v>
      </c>
      <c r="BD250" s="24" t="n">
        <f aca="false">IFERROR(Tabelle1!R251/BC250,"")</f>
        <v>1.04767190740045</v>
      </c>
      <c r="BE250" s="24" t="n">
        <f aca="false">IFERROR(AVERAGEIFS($BD$7:$BD$294,$B$7:$B$294,$B250,$A$7:$A$294,"&gt;="&amp;EDATE($A250,-12*'Seasonal Factors'!$E$4),$A$7:$A$294,"&lt;="&amp;EDATE($A250,12*'Seasonal Factors'!$E$4)),"")</f>
        <v>0.998486999771408</v>
      </c>
      <c r="BF250" s="24" t="n">
        <f aca="false">IFERROR(BE250/AVERAGE(BE245:BE256),"")</f>
        <v>0.999321468293986</v>
      </c>
      <c r="BG250" s="23" t="n">
        <f aca="false">IF(ISNUMBER(Tabelle1!S257),(0.5*Tabelle1!S245+SUM(Tabelle1!S246:S256)+0.5*Tabelle1!S257)/12,"")</f>
        <v>128.804348333333</v>
      </c>
      <c r="BH250" s="24" t="n">
        <f aca="false">IFERROR(Tabelle1!S251/BG250,"")</f>
        <v>0.927783972717588</v>
      </c>
      <c r="BI250" s="24" t="n">
        <f aca="false">IFERROR(AVERAGEIFS($BH$7:$BH$294,$B$7:$B$294,$B250,$A$7:$A$294,"&gt;="&amp;EDATE($A250,-12*'Seasonal Factors'!$E$4),$A$7:$A$294,"&lt;="&amp;EDATE($A250,12*'Seasonal Factors'!$E$4)),"")</f>
        <v>0.843205047870106</v>
      </c>
      <c r="BJ250" s="24" t="n">
        <f aca="false">IFERROR(BI250/AVERAGE(BI245:BI256),"")</f>
        <v>0.849751569658923</v>
      </c>
    </row>
    <row r="251" customFormat="false" ht="15" hidden="false" customHeight="false" outlineLevel="0" collapsed="false">
      <c r="A251" s="20" t="n">
        <v>45443</v>
      </c>
      <c r="B251" s="22" t="n">
        <f aca="false">MONTH(A251)</f>
        <v>5</v>
      </c>
      <c r="C251" s="23" t="n">
        <f aca="false">IF(ISNUMBER(Tabelle1!E258),(0.5*Tabelle1!E246+SUM(Tabelle1!E247:E257)+0.5*Tabelle1!E258)/12,"")</f>
        <v>122.95605625</v>
      </c>
      <c r="D251" s="24" t="n">
        <f aca="false">IFERROR(Tabelle1!E252/C251,"")</f>
        <v>2.20752046119729</v>
      </c>
      <c r="E251" s="24" t="n">
        <f aca="false">IFERROR(AVERAGEIFS($D$7:$D$294,$B$7:$B$294,$B251,$A$7:$A$294,"&gt;="&amp;EDATE($A251,-12*'Seasonal Factors'!$E$4),$A$7:$A$294,"&lt;="&amp;EDATE($A251,12*'Seasonal Factors'!$E$4)),"")</f>
        <v>2.09133305362811</v>
      </c>
      <c r="F251" s="24" t="n">
        <f aca="false">IFERROR(E251/AVERAGE(E246:E257),"")</f>
        <v>2.10153607574044</v>
      </c>
      <c r="G251" s="23" t="n">
        <f aca="false">IF(ISNUMBER(Tabelle1!F258),(0.5*Tabelle1!F246+SUM(Tabelle1!F247:F257)+0.5*Tabelle1!F258)/12,"")</f>
        <v>180.9756225</v>
      </c>
      <c r="H251" s="24" t="n">
        <f aca="false">IFERROR(Tabelle1!F252/G251,"")</f>
        <v>0.748581207394383</v>
      </c>
      <c r="I251" s="24" t="n">
        <f aca="false">IFERROR(AVERAGEIFS($H$7:$H$294,$B$7:$B$294,$B251,$A$7:$A$294,"&gt;="&amp;EDATE($A251,-12*'Seasonal Factors'!$E$4),$A$7:$A$294,"&lt;="&amp;EDATE($A251,12*'Seasonal Factors'!$E$4)),"")</f>
        <v>0.928599056598928</v>
      </c>
      <c r="J251" s="24" t="n">
        <f aca="false">IFERROR(I251/AVERAGE(I246:I257),"")</f>
        <v>0.937630498027115</v>
      </c>
      <c r="K251" s="23" t="n">
        <f aca="false">IF(ISNUMBER(Tabelle1!G258),(0.5*Tabelle1!G246+SUM(Tabelle1!G247:G257)+0.5*Tabelle1!G258)/12,"")</f>
        <v>112.654142083333</v>
      </c>
      <c r="L251" s="24" t="n">
        <f aca="false">IFERROR(Tabelle1!G252/K251,"")</f>
        <v>1.05939877391918</v>
      </c>
      <c r="M251" s="24" t="n">
        <f aca="false">IFERROR(AVERAGEIFS($L$7:$L$294,$B$7:$B$294,$B251,$A$7:$A$294,"&gt;="&amp;EDATE($A251,-12*'Seasonal Factors'!$E$4),$A$7:$A$294,"&lt;="&amp;EDATE($A251,12*'Seasonal Factors'!$E$4)),"")</f>
        <v>1.0356379655835</v>
      </c>
      <c r="N251" s="24" t="n">
        <f aca="false">IFERROR(M251/AVERAGE(M246:M257),"")</f>
        <v>1.03800043172318</v>
      </c>
      <c r="O251" s="23" t="n">
        <f aca="false">IF(ISNUMBER(Tabelle1!H258),(0.5*Tabelle1!H246+SUM(Tabelle1!H247:H257)+0.5*Tabelle1!H258)/12,"")</f>
        <v>117.160243333333</v>
      </c>
      <c r="P251" s="24" t="n">
        <f aca="false">IFERROR(Tabelle1!H252/O251,"")</f>
        <v>0.979848852595703</v>
      </c>
      <c r="Q251" s="24" t="n">
        <f aca="false">IFERROR(AVERAGEIFS($P$7:$P$294,$B$7:$B$294,$B251,$A$7:$A$294,"&gt;="&amp;EDATE($A251,-12*'Seasonal Factors'!$E$4),$A$7:$A$294,"&lt;="&amp;EDATE($A251,12*'Seasonal Factors'!$E$4)),"")</f>
        <v>0.981151377653169</v>
      </c>
      <c r="R251" s="24" t="n">
        <f aca="false">IFERROR(Q251/AVERAGE(Q246:Q257),"")</f>
        <v>0.982937532680883</v>
      </c>
      <c r="S251" s="23" t="n">
        <f aca="false">IF(ISNUMBER(Tabelle1!I258),(0.5*Tabelle1!I246+SUM(Tabelle1!I247:I257)+0.5*Tabelle1!I258)/12,"")</f>
        <v>148.690582916667</v>
      </c>
      <c r="T251" s="24" t="n">
        <f aca="false">IFERROR(Tabelle1!I252/S251,"")</f>
        <v>1.08208493667803</v>
      </c>
      <c r="U251" s="24" t="n">
        <f aca="false">IFERROR(AVERAGEIFS($T$7:$T$294,$B$7:$B$294,$B251,$A$7:$A$294,"&gt;="&amp;EDATE($A251,-12*'Seasonal Factors'!$E$4),$A$7:$A$294,"&lt;="&amp;EDATE($A251,12*'Seasonal Factors'!$E$4)),"")</f>
        <v>1.00520933227803</v>
      </c>
      <c r="V251" s="24" t="n">
        <f aca="false">IFERROR(U251/AVERAGE(U246:U257),"")</f>
        <v>1.00609729981233</v>
      </c>
      <c r="W251" s="23" t="n">
        <f aca="false">IF(ISNUMBER(Tabelle1!J258),(0.5*Tabelle1!J246+SUM(Tabelle1!J247:J257)+0.5*Tabelle1!J258)/12,"")</f>
        <v>126.892109166667</v>
      </c>
      <c r="X251" s="24" t="n">
        <f aca="false">IFERROR(Tabelle1!J252/W251,"")</f>
        <v>0.906122695533255</v>
      </c>
      <c r="Y251" s="24" t="n">
        <f aca="false">IFERROR(AVERAGEIFS($X$7:$X$294,$B$7:$B$294,$B251,$A$7:$A$294,"&gt;="&amp;EDATE($A251,-12*'Seasonal Factors'!$E$4),$A$7:$A$294,"&lt;="&amp;EDATE($A251,12*'Seasonal Factors'!$E$4)),"")</f>
        <v>0.88942825392024</v>
      </c>
      <c r="Z251" s="24" t="n">
        <f aca="false">IFERROR(Y251/AVERAGE(Y246:Y257),"")</f>
        <v>0.895124775141904</v>
      </c>
      <c r="AA251" s="23" t="n">
        <f aca="false">IF(ISNUMBER(Tabelle1!K258),(0.5*Tabelle1!K246+SUM(Tabelle1!K247:K257)+0.5*Tabelle1!K258)/12,"")</f>
        <v>147.15589875</v>
      </c>
      <c r="AB251" s="24" t="n">
        <f aca="false">IFERROR(Tabelle1!K252/AA251,"")</f>
        <v>1.0023457520421</v>
      </c>
      <c r="AC251" s="24" t="n">
        <f aca="false">IFERROR(AVERAGEIFS($AB$7:$AB$294,$B$7:$B$294,$B251,$A$7:$A$294,"&gt;="&amp;EDATE($A251,-12*'Seasonal Factors'!$E$4),$A$7:$A$294,"&lt;="&amp;EDATE($A251,12*'Seasonal Factors'!$E$4)),"")</f>
        <v>1.00584857171331</v>
      </c>
      <c r="AD251" s="24" t="n">
        <f aca="false">IFERROR(AC251/AVERAGE(AC246:AC257),"")</f>
        <v>1.00787419188011</v>
      </c>
      <c r="AE251" s="23" t="n">
        <f aca="false">IF(ISNUMBER(Tabelle1!L258),(0.5*Tabelle1!L246+SUM(Tabelle1!L247:L257)+0.5*Tabelle1!L258)/12,"")</f>
        <v>157.86458</v>
      </c>
      <c r="AF251" s="24" t="n">
        <f aca="false">IFERROR(Tabelle1!L252/AE251,"")</f>
        <v>0.857948692480606</v>
      </c>
      <c r="AG251" s="24" t="n">
        <f aca="false">IFERROR(AVERAGEIFS($AF$7:$AF$294,$B$7:$B$294,$B251,$A$7:$A$294,"&gt;="&amp;EDATE($A251,-12*'Seasonal Factors'!$E$4),$A$7:$A$294,"&lt;="&amp;EDATE($A251,12*'Seasonal Factors'!$E$4)),"")</f>
        <v>0.832943544694882</v>
      </c>
      <c r="AH251" s="24" t="n">
        <f aca="false">IFERROR(AG251/AVERAGE(AG246:AG257),"")</f>
        <v>0.84220424911418</v>
      </c>
      <c r="AI251" s="23" t="n">
        <f aca="false">IF(ISNUMBER(Tabelle1!M258),(0.5*Tabelle1!M246+SUM(Tabelle1!M247:M257)+0.5*Tabelle1!M258)/12,"")</f>
        <v>182.086807916667</v>
      </c>
      <c r="AJ251" s="24" t="n">
        <f aca="false">IFERROR(Tabelle1!M252/AI251,"")</f>
        <v>1.06734398951595</v>
      </c>
      <c r="AK251" s="24" t="n">
        <f aca="false">IFERROR(AVERAGEIFS($AJ$7:$AJ$294,$B$7:$B$294,$B251,$A$7:$A$294,"&gt;="&amp;EDATE($A251,-12*'Seasonal Factors'!$E$4),$A$7:$A$294,"&lt;="&amp;EDATE($A251,12*'Seasonal Factors'!$E$4)),"")</f>
        <v>1.04870094111647</v>
      </c>
      <c r="AL251" s="24" t="n">
        <f aca="false">IFERROR(AK251/AVERAGE(AK246:AK257),"")</f>
        <v>1.05068236184297</v>
      </c>
      <c r="AM251" s="23" t="n">
        <f aca="false">IF(ISNUMBER(Tabelle1!N258),(0.5*Tabelle1!N246+SUM(Tabelle1!N247:N257)+0.5*Tabelle1!N258)/12,"")</f>
        <v>153.616422083333</v>
      </c>
      <c r="AN251" s="24" t="n">
        <f aca="false">IFERROR(Tabelle1!N252/AM251,"")</f>
        <v>0.913386199841866</v>
      </c>
      <c r="AO251" s="24" t="n">
        <f aca="false">IFERROR(AVERAGEIFS($AN$7:$AN$294,$B$7:$B$294,$B251,$A$7:$A$294,"&gt;="&amp;EDATE($A251,-12*'Seasonal Factors'!$E$4),$A$7:$A$294,"&lt;="&amp;EDATE($A251,12*'Seasonal Factors'!$E$4)),"")</f>
        <v>0.931378205151231</v>
      </c>
      <c r="AP251" s="24" t="n">
        <f aca="false">IFERROR(AO251/AVERAGE(AO246:AO257),"")</f>
        <v>0.931242002452814</v>
      </c>
      <c r="AQ251" s="23" t="n">
        <f aca="false">IF(ISNUMBER(Tabelle1!O258),(0.5*Tabelle1!O246+SUM(Tabelle1!O247:O257)+0.5*Tabelle1!O258)/12,"")</f>
        <v>152.742364166667</v>
      </c>
      <c r="AR251" s="24" t="n">
        <f aca="false">IFERROR(Tabelle1!O252/AQ251,"")</f>
        <v>1.00948588062806</v>
      </c>
      <c r="AS251" s="24" t="n">
        <f aca="false">IFERROR(AVERAGEIFS($AR$7:$AR$294,$B$7:$B$294,$B251,$A$7:$A$294,"&gt;="&amp;EDATE($A251,-12*'Seasonal Factors'!$E$4),$A$7:$A$294,"&lt;="&amp;EDATE($A251,12*'Seasonal Factors'!$E$4)),"")</f>
        <v>0.992601276808894</v>
      </c>
      <c r="AT251" s="24" t="n">
        <f aca="false">IFERROR(AS251/AVERAGE(AS246:AS257),"")</f>
        <v>0.993230238900613</v>
      </c>
      <c r="AU251" s="23" t="n">
        <f aca="false">IF(ISNUMBER(Tabelle1!P258),(0.5*Tabelle1!P246+SUM(Tabelle1!P247:P257)+0.5*Tabelle1!P258)/12,"")</f>
        <v>163.850382916667</v>
      </c>
      <c r="AV251" s="24" t="n">
        <f aca="false">IFERROR(Tabelle1!P252/AU251,"")</f>
        <v>0.992660481499892</v>
      </c>
      <c r="AW251" s="24" t="n">
        <f aca="false">IFERROR(AVERAGEIFS($AV$7:$AV$294,$B$7:$B$294,$B251,$A$7:$A$294,"&gt;="&amp;EDATE($A251,-12*'Seasonal Factors'!$E$4),$A$7:$A$294,"&lt;="&amp;EDATE($A251,12*'Seasonal Factors'!$E$4)),"")</f>
        <v>0.98369995196022</v>
      </c>
      <c r="AX251" s="24" t="n">
        <f aca="false">IFERROR(AW251/AVERAGE(AW246:AW257),"")</f>
        <v>0.984107687593927</v>
      </c>
      <c r="AY251" s="23" t="n">
        <f aca="false">IF(ISNUMBER(Tabelle1!Q258),(0.5*Tabelle1!Q246+SUM(Tabelle1!Q247:Q257)+0.5*Tabelle1!Q258)/12,"")</f>
        <v>171.571461666667</v>
      </c>
      <c r="AZ251" s="24" t="n">
        <f aca="false">IFERROR(Tabelle1!Q252/AY251,"")</f>
        <v>0.997164495412344</v>
      </c>
      <c r="BA251" s="24" t="n">
        <f aca="false">IFERROR(AVERAGEIFS($AZ$7:$AZ$294,$B$7:$B$294,$B251,$A$7:$A$294,"&gt;="&amp;EDATE($A251,-12*'Seasonal Factors'!$E$4),$A$7:$A$294,"&lt;="&amp;EDATE($A251,12*'Seasonal Factors'!$E$4)),"")</f>
        <v>0.991334230709748</v>
      </c>
      <c r="BB251" s="24" t="n">
        <f aca="false">IFERROR(BA251/AVERAGE(BA246:BA257),"")</f>
        <v>0.991769878983262</v>
      </c>
      <c r="BC251" s="23" t="n">
        <f aca="false">IF(ISNUMBER(Tabelle1!R258),(0.5*Tabelle1!R246+SUM(Tabelle1!R247:R257)+0.5*Tabelle1!R258)/12,"")</f>
        <v>186.22426875</v>
      </c>
      <c r="BD251" s="24" t="n">
        <f aca="false">IFERROR(Tabelle1!R252/BC251,"")</f>
        <v>1.06027899223527</v>
      </c>
      <c r="BE251" s="24" t="n">
        <f aca="false">IFERROR(AVERAGEIFS($BD$7:$BD$294,$B$7:$B$294,$B251,$A$7:$A$294,"&gt;="&amp;EDATE($A251,-12*'Seasonal Factors'!$E$4),$A$7:$A$294,"&lt;="&amp;EDATE($A251,12*'Seasonal Factors'!$E$4)),"")</f>
        <v>1.0433080631282</v>
      </c>
      <c r="BF251" s="24" t="n">
        <f aca="false">IFERROR(BE251/AVERAGE(BE246:BE257),"")</f>
        <v>1.04470257415054</v>
      </c>
      <c r="BG251" s="23" t="n">
        <f aca="false">IF(ISNUMBER(Tabelle1!S258),(0.5*Tabelle1!S246+SUM(Tabelle1!S247:S257)+0.5*Tabelle1!S258)/12,"")</f>
        <v>128.371735833333</v>
      </c>
      <c r="BH251" s="24" t="n">
        <f aca="false">IFERROR(Tabelle1!S252/BG251,"")</f>
        <v>0.909060154421453</v>
      </c>
      <c r="BI251" s="24" t="n">
        <f aca="false">IFERROR(AVERAGEIFS($BH$7:$BH$294,$B$7:$B$294,$B251,$A$7:$A$294,"&gt;="&amp;EDATE($A251,-12*'Seasonal Factors'!$E$4),$A$7:$A$294,"&lt;="&amp;EDATE($A251,12*'Seasonal Factors'!$E$4)),"")</f>
        <v>0.844690405032887</v>
      </c>
      <c r="BJ251" s="24" t="n">
        <f aca="false">IFERROR(BI251/AVERAGE(BI246:BI257),"")</f>
        <v>0.85174590338521</v>
      </c>
    </row>
    <row r="252" customFormat="false" ht="15" hidden="false" customHeight="false" outlineLevel="0" collapsed="false">
      <c r="A252" s="20" t="n">
        <v>45473</v>
      </c>
      <c r="B252" s="22" t="n">
        <f aca="false">MONTH(A252)</f>
        <v>6</v>
      </c>
      <c r="C252" s="23" t="n">
        <f aca="false">IF(ISNUMBER(Tabelle1!E259),(0.5*Tabelle1!E247+SUM(Tabelle1!E248:E258)+0.5*Tabelle1!E259)/12,"")</f>
        <v>123.451713333333</v>
      </c>
      <c r="D252" s="24" t="n">
        <f aca="false">IFERROR(Tabelle1!E253/C252,"")</f>
        <v>1.52442712149209</v>
      </c>
      <c r="E252" s="24" t="n">
        <f aca="false">IFERROR(AVERAGEIFS($D$7:$D$294,$B$7:$B$294,$B252,$A$7:$A$294,"&gt;="&amp;EDATE($A252,-12*'Seasonal Factors'!$E$4),$A$7:$A$294,"&lt;="&amp;EDATE($A252,12*'Seasonal Factors'!$E$4)),"")</f>
        <v>1.46110954737275</v>
      </c>
      <c r="F252" s="24" t="n">
        <f aca="false">IFERROR(E252/AVERAGE(E247:E258),"")</f>
        <v>1.46553816463303</v>
      </c>
      <c r="G252" s="23" t="n">
        <f aca="false">IF(ISNUMBER(Tabelle1!F259),(0.5*Tabelle1!F247+SUM(Tabelle1!F248:F258)+0.5*Tabelle1!F259)/12,"")</f>
        <v>183.928595833333</v>
      </c>
      <c r="H252" s="24" t="n">
        <f aca="false">IFERROR(Tabelle1!F253/G252,"")</f>
        <v>1.59920472761361</v>
      </c>
      <c r="I252" s="24" t="n">
        <f aca="false">IFERROR(AVERAGEIFS($H$7:$H$294,$B$7:$B$294,$B252,$A$7:$A$294,"&gt;="&amp;EDATE($A252,-12*'Seasonal Factors'!$E$4),$A$7:$A$294,"&lt;="&amp;EDATE($A252,12*'Seasonal Factors'!$E$4)),"")</f>
        <v>1.07535532217369</v>
      </c>
      <c r="J252" s="24" t="n">
        <f aca="false">IFERROR(I252/AVERAGE(I247:I258),"")</f>
        <v>1.08453049020499</v>
      </c>
      <c r="K252" s="23" t="n">
        <f aca="false">IF(ISNUMBER(Tabelle1!G259),(0.5*Tabelle1!G247+SUM(Tabelle1!G248:G258)+0.5*Tabelle1!G259)/12,"")</f>
        <v>113.34450625</v>
      </c>
      <c r="L252" s="24" t="n">
        <f aca="false">IFERROR(Tabelle1!G253/K252,"")</f>
        <v>0.964758536764105</v>
      </c>
      <c r="M252" s="24" t="n">
        <f aca="false">IFERROR(AVERAGEIFS($L$7:$L$294,$B$7:$B$294,$B252,$A$7:$A$294,"&gt;="&amp;EDATE($A252,-12*'Seasonal Factors'!$E$4),$A$7:$A$294,"&lt;="&amp;EDATE($A252,12*'Seasonal Factors'!$E$4)),"")</f>
        <v>0.983505963695953</v>
      </c>
      <c r="N252" s="24" t="n">
        <f aca="false">IFERROR(M252/AVERAGE(M247:M258),"")</f>
        <v>0.986258638023781</v>
      </c>
      <c r="O252" s="23" t="n">
        <f aca="false">IF(ISNUMBER(Tabelle1!H259),(0.5*Tabelle1!H247+SUM(Tabelle1!H248:H258)+0.5*Tabelle1!H259)/12,"")</f>
        <v>117.452059583333</v>
      </c>
      <c r="P252" s="24" t="n">
        <f aca="false">IFERROR(Tabelle1!H253/O252,"")</f>
        <v>0.915173904836769</v>
      </c>
      <c r="Q252" s="24" t="n">
        <f aca="false">IFERROR(AVERAGEIFS($P$7:$P$294,$B$7:$B$294,$B252,$A$7:$A$294,"&gt;="&amp;EDATE($A252,-12*'Seasonal Factors'!$E$4),$A$7:$A$294,"&lt;="&amp;EDATE($A252,12*'Seasonal Factors'!$E$4)),"")</f>
        <v>1.01636182546975</v>
      </c>
      <c r="R252" s="24" t="n">
        <f aca="false">IFERROR(Q252/AVERAGE(Q247:Q258),"")</f>
        <v>1.01889546679353</v>
      </c>
      <c r="S252" s="23" t="n">
        <f aca="false">IF(ISNUMBER(Tabelle1!I259),(0.5*Tabelle1!I247+SUM(Tabelle1!I248:I258)+0.5*Tabelle1!I259)/12,"")</f>
        <v>148.595598333333</v>
      </c>
      <c r="T252" s="24" t="n">
        <f aca="false">IFERROR(Tabelle1!I253/S252,"")</f>
        <v>0.999038609925626</v>
      </c>
      <c r="U252" s="24" t="n">
        <f aca="false">IFERROR(AVERAGEIFS($T$7:$T$294,$B$7:$B$294,$B252,$A$7:$A$294,"&gt;="&amp;EDATE($A252,-12*'Seasonal Factors'!$E$4),$A$7:$A$294,"&lt;="&amp;EDATE($A252,12*'Seasonal Factors'!$E$4)),"")</f>
        <v>1.05547285863635</v>
      </c>
      <c r="V252" s="24" t="n">
        <f aca="false">IFERROR(U252/AVERAGE(U247:U258),"")</f>
        <v>1.05668329847447</v>
      </c>
      <c r="W252" s="23" t="n">
        <f aca="false">IF(ISNUMBER(Tabelle1!J259),(0.5*Tabelle1!J247+SUM(Tabelle1!J248:J258)+0.5*Tabelle1!J259)/12,"")</f>
        <v>125.605329166667</v>
      </c>
      <c r="X252" s="24" t="n">
        <f aca="false">IFERROR(Tabelle1!J253/W252,"")</f>
        <v>0.921283203250499</v>
      </c>
      <c r="Y252" s="24" t="n">
        <f aca="false">IFERROR(AVERAGEIFS($X$7:$X$294,$B$7:$B$294,$B252,$A$7:$A$294,"&gt;="&amp;EDATE($A252,-12*'Seasonal Factors'!$E$4),$A$7:$A$294,"&lt;="&amp;EDATE($A252,12*'Seasonal Factors'!$E$4)),"")</f>
        <v>0.949725204124193</v>
      </c>
      <c r="Z252" s="24" t="n">
        <f aca="false">IFERROR(Y252/AVERAGE(Y247:Y258),"")</f>
        <v>0.956639826664961</v>
      </c>
      <c r="AA252" s="23" t="n">
        <f aca="false">IF(ISNUMBER(Tabelle1!K259),(0.5*Tabelle1!K247+SUM(Tabelle1!K248:K258)+0.5*Tabelle1!K259)/12,"")</f>
        <v>147.7280625</v>
      </c>
      <c r="AB252" s="24" t="n">
        <f aca="false">IFERROR(Tabelle1!K253/AA252,"")</f>
        <v>0.953895201867959</v>
      </c>
      <c r="AC252" s="24" t="n">
        <f aca="false">IFERROR(AVERAGEIFS($AB$7:$AB$294,$B$7:$B$294,$B252,$A$7:$A$294,"&gt;="&amp;EDATE($A252,-12*'Seasonal Factors'!$E$4),$A$7:$A$294,"&lt;="&amp;EDATE($A252,12*'Seasonal Factors'!$E$4)),"")</f>
        <v>1.0282243751619</v>
      </c>
      <c r="AD252" s="24" t="n">
        <f aca="false">IFERROR(AC252/AVERAGE(AC247:AC258),"")</f>
        <v>1.03057990260629</v>
      </c>
      <c r="AE252" s="23" t="n">
        <f aca="false">IF(ISNUMBER(Tabelle1!L259),(0.5*Tabelle1!L247+SUM(Tabelle1!L248:L258)+0.5*Tabelle1!L259)/12,"")</f>
        <v>160.208256666667</v>
      </c>
      <c r="AF252" s="24" t="n">
        <f aca="false">IFERROR(Tabelle1!L253/AE252,"")</f>
        <v>1.01857546792688</v>
      </c>
      <c r="AG252" s="24" t="n">
        <f aca="false">IFERROR(AVERAGEIFS($AF$7:$AF$294,$B$7:$B$294,$B252,$A$7:$A$294,"&gt;="&amp;EDATE($A252,-12*'Seasonal Factors'!$E$4),$A$7:$A$294,"&lt;="&amp;EDATE($A252,12*'Seasonal Factors'!$E$4)),"")</f>
        <v>0.978850580358606</v>
      </c>
      <c r="AH252" s="24" t="n">
        <f aca="false">IFERROR(AG252/AVERAGE(AG247:AG258),"")</f>
        <v>0.992679299838883</v>
      </c>
      <c r="AI252" s="23" t="n">
        <f aca="false">IF(ISNUMBER(Tabelle1!M259),(0.5*Tabelle1!M247+SUM(Tabelle1!M248:M258)+0.5*Tabelle1!M259)/12,"")</f>
        <v>182.404197083333</v>
      </c>
      <c r="AJ252" s="24" t="n">
        <f aca="false">IFERROR(Tabelle1!M253/AI252,"")</f>
        <v>1.02152961927116</v>
      </c>
      <c r="AK252" s="24" t="n">
        <f aca="false">IFERROR(AVERAGEIFS($AJ$7:$AJ$294,$B$7:$B$294,$B252,$A$7:$A$294,"&gt;="&amp;EDATE($A252,-12*'Seasonal Factors'!$E$4),$A$7:$A$294,"&lt;="&amp;EDATE($A252,12*'Seasonal Factors'!$E$4)),"")</f>
        <v>1.02246828912415</v>
      </c>
      <c r="AL252" s="24" t="n">
        <f aca="false">IFERROR(AK252/AVERAGE(AK247:AK258),"")</f>
        <v>1.02521603034204</v>
      </c>
      <c r="AM252" s="23" t="n">
        <f aca="false">IF(ISNUMBER(Tabelle1!N259),(0.5*Tabelle1!N247+SUM(Tabelle1!N248:N258)+0.5*Tabelle1!N259)/12,"")</f>
        <v>155.167902083333</v>
      </c>
      <c r="AN252" s="24" t="n">
        <f aca="false">IFERROR(Tabelle1!N253/AM252,"")</f>
        <v>0.928593981522139</v>
      </c>
      <c r="AO252" s="24" t="n">
        <f aca="false">IFERROR(AVERAGEIFS($AN$7:$AN$294,$B$7:$B$294,$B252,$A$7:$A$294,"&gt;="&amp;EDATE($A252,-12*'Seasonal Factors'!$E$4),$A$7:$A$294,"&lt;="&amp;EDATE($A252,12*'Seasonal Factors'!$E$4)),"")</f>
        <v>0.973005218670863</v>
      </c>
      <c r="AP252" s="24" t="n">
        <f aca="false">IFERROR(AO252/AVERAGE(AO247:AO258),"")</f>
        <v>0.972978219812281</v>
      </c>
      <c r="AQ252" s="23" t="n">
        <f aca="false">IF(ISNUMBER(Tabelle1!O259),(0.5*Tabelle1!O247+SUM(Tabelle1!O248:O258)+0.5*Tabelle1!O259)/12,"")</f>
        <v>153.098190416667</v>
      </c>
      <c r="AR252" s="24" t="n">
        <f aca="false">IFERROR(Tabelle1!O253/AQ252,"")</f>
        <v>1.00132372291783</v>
      </c>
      <c r="AS252" s="24" t="n">
        <f aca="false">IFERROR(AVERAGEIFS($AR$7:$AR$294,$B$7:$B$294,$B252,$A$7:$A$294,"&gt;="&amp;EDATE($A252,-12*'Seasonal Factors'!$E$4),$A$7:$A$294,"&lt;="&amp;EDATE($A252,12*'Seasonal Factors'!$E$4)),"")</f>
        <v>1.00193535885111</v>
      </c>
      <c r="AT252" s="24" t="n">
        <f aca="false">IFERROR(AS252/AVERAGE(AS247:AS258),"")</f>
        <v>1.00312442019878</v>
      </c>
      <c r="AU252" s="23" t="n">
        <f aca="false">IF(ISNUMBER(Tabelle1!P259),(0.5*Tabelle1!P247+SUM(Tabelle1!P248:P258)+0.5*Tabelle1!P259)/12,"")</f>
        <v>163.49380625</v>
      </c>
      <c r="AV252" s="24" t="n">
        <f aca="false">IFERROR(Tabelle1!P253/AU252,"")</f>
        <v>0.999613830936791</v>
      </c>
      <c r="AW252" s="24" t="n">
        <f aca="false">IFERROR(AVERAGEIFS($AV$7:$AV$294,$B$7:$B$294,$B252,$A$7:$A$294,"&gt;="&amp;EDATE($A252,-12*'Seasonal Factors'!$E$4),$A$7:$A$294,"&lt;="&amp;EDATE($A252,12*'Seasonal Factors'!$E$4)),"")</f>
        <v>0.990389302760759</v>
      </c>
      <c r="AX252" s="24" t="n">
        <f aca="false">IFERROR(AW252/AVERAGE(AW247:AW258),"")</f>
        <v>0.991219558827312</v>
      </c>
      <c r="AY252" s="23" t="n">
        <f aca="false">IF(ISNUMBER(Tabelle1!Q259),(0.5*Tabelle1!Q247+SUM(Tabelle1!Q248:Q258)+0.5*Tabelle1!Q259)/12,"")</f>
        <v>171.622046666667</v>
      </c>
      <c r="AZ252" s="24" t="n">
        <f aca="false">IFERROR(Tabelle1!Q253/AY252,"")</f>
        <v>1.00262182710248</v>
      </c>
      <c r="BA252" s="24" t="n">
        <f aca="false">IFERROR(AVERAGEIFS($AZ$7:$AZ$294,$B$7:$B$294,$B252,$A$7:$A$294,"&gt;="&amp;EDATE($A252,-12*'Seasonal Factors'!$E$4),$A$7:$A$294,"&lt;="&amp;EDATE($A252,12*'Seasonal Factors'!$E$4)),"")</f>
        <v>0.996430339316371</v>
      </c>
      <c r="BB252" s="24" t="n">
        <f aca="false">IFERROR(BA252/AVERAGE(BA247:BA258),"")</f>
        <v>0.997077643158346</v>
      </c>
      <c r="BC252" s="23" t="n">
        <f aca="false">IF(ISNUMBER(Tabelle1!R259),(0.5*Tabelle1!R247+SUM(Tabelle1!R248:R258)+0.5*Tabelle1!R259)/12,"")</f>
        <v>186.016476666667</v>
      </c>
      <c r="BD252" s="24" t="n">
        <f aca="false">IFERROR(Tabelle1!R253/BC252,"")</f>
        <v>1.09370671698383</v>
      </c>
      <c r="BE252" s="24" t="n">
        <f aca="false">IFERROR(AVERAGEIFS($BD$7:$BD$294,$B$7:$B$294,$B252,$A$7:$A$294,"&gt;="&amp;EDATE($A252,-12*'Seasonal Factors'!$E$4),$A$7:$A$294,"&lt;="&amp;EDATE($A252,12*'Seasonal Factors'!$E$4)),"")</f>
        <v>1.08061034016301</v>
      </c>
      <c r="BF252" s="24" t="n">
        <f aca="false">IFERROR(BE252/AVERAGE(BE247:BE258),"")</f>
        <v>1.08295836277627</v>
      </c>
      <c r="BG252" s="23" t="n">
        <f aca="false">IF(ISNUMBER(Tabelle1!S259),(0.5*Tabelle1!S247+SUM(Tabelle1!S248:S258)+0.5*Tabelle1!S259)/12,"")</f>
        <v>127.950635</v>
      </c>
      <c r="BH252" s="24" t="n">
        <f aca="false">IFERROR(Tabelle1!S253/BG252,"")</f>
        <v>0.932359812047826</v>
      </c>
      <c r="BI252" s="24" t="n">
        <f aca="false">IFERROR(AVERAGEIFS($BH$7:$BH$294,$B$7:$B$294,$B252,$A$7:$A$294,"&gt;="&amp;EDATE($A252,-12*'Seasonal Factors'!$E$4),$A$7:$A$294,"&lt;="&amp;EDATE($A252,12*'Seasonal Factors'!$E$4)),"")</f>
        <v>0.89045581988343</v>
      </c>
      <c r="BJ252" s="24" t="n">
        <f aca="false">IFERROR(BI252/AVERAGE(BI247:BI258),"")</f>
        <v>0.898661836188471</v>
      </c>
    </row>
    <row r="253" customFormat="false" ht="15" hidden="false" customHeight="false" outlineLevel="0" collapsed="false">
      <c r="A253" s="20" t="n">
        <v>45504</v>
      </c>
      <c r="B253" s="22" t="n">
        <f aca="false">MONTH(A253)</f>
        <v>7</v>
      </c>
      <c r="C253" s="23" t="n">
        <f aca="false">IF(ISNUMBER(Tabelle1!E260),(0.5*Tabelle1!E248+SUM(Tabelle1!E249:E259)+0.5*Tabelle1!E260)/12,"")</f>
        <v>123.962965</v>
      </c>
      <c r="D253" s="24" t="n">
        <f aca="false">IFERROR(Tabelle1!E254/C253,"")</f>
        <v>0.94254505771139</v>
      </c>
      <c r="E253" s="24" t="n">
        <f aca="false">IFERROR(AVERAGEIFS($D$7:$D$294,$B$7:$B$294,$B253,$A$7:$A$294,"&gt;="&amp;EDATE($A253,-12*'Seasonal Factors'!$E$4),$A$7:$A$294,"&lt;="&amp;EDATE($A253,12*'Seasonal Factors'!$E$4)),"")</f>
        <v>0.917571966982509</v>
      </c>
      <c r="F253" s="24" t="n">
        <f aca="false">IFERROR(E253/AVERAGE(E248:E259),"")</f>
        <v>0.919087490579737</v>
      </c>
      <c r="G253" s="23" t="n">
        <f aca="false">IF(ISNUMBER(Tabelle1!F260),(0.5*Tabelle1!F248+SUM(Tabelle1!F249:F259)+0.5*Tabelle1!F260)/12,"")</f>
        <v>183.017195</v>
      </c>
      <c r="H253" s="24" t="n">
        <f aca="false">IFERROR(Tabelle1!F254/G253,"")</f>
        <v>1.71420515979387</v>
      </c>
      <c r="I253" s="24" t="n">
        <f aca="false">IFERROR(AVERAGEIFS($H$7:$H$294,$B$7:$B$294,$B253,$A$7:$A$294,"&gt;="&amp;EDATE($A253,-12*'Seasonal Factors'!$E$4),$A$7:$A$294,"&lt;="&amp;EDATE($A253,12*'Seasonal Factors'!$E$4)),"")</f>
        <v>1.36125988212019</v>
      </c>
      <c r="J253" s="24" t="n">
        <f aca="false">IFERROR(I253/AVERAGE(I248:I259),"")</f>
        <v>1.36910123593251</v>
      </c>
      <c r="K253" s="23" t="n">
        <f aca="false">IF(ISNUMBER(Tabelle1!G260),(0.5*Tabelle1!G248+SUM(Tabelle1!G249:G259)+0.5*Tabelle1!G260)/12,"")</f>
        <v>114.094544166667</v>
      </c>
      <c r="L253" s="24" t="n">
        <f aca="false">IFERROR(Tabelle1!G254/K253,"")</f>
        <v>0.993064399595561</v>
      </c>
      <c r="M253" s="24" t="n">
        <f aca="false">IFERROR(AVERAGEIFS($L$7:$L$294,$B$7:$B$294,$B253,$A$7:$A$294,"&gt;="&amp;EDATE($A253,-12*'Seasonal Factors'!$E$4),$A$7:$A$294,"&lt;="&amp;EDATE($A253,12*'Seasonal Factors'!$E$4)),"")</f>
        <v>1.01040368423266</v>
      </c>
      <c r="N253" s="24" t="n">
        <f aca="false">IFERROR(M253/AVERAGE(M248:M259),"")</f>
        <v>1.01367252606082</v>
      </c>
      <c r="O253" s="23" t="n">
        <f aca="false">IF(ISNUMBER(Tabelle1!H260),(0.5*Tabelle1!H248+SUM(Tabelle1!H249:H259)+0.5*Tabelle1!H260)/12,"")</f>
        <v>118.083340416667</v>
      </c>
      <c r="P253" s="24" t="n">
        <f aca="false">IFERROR(Tabelle1!H254/O253,"")</f>
        <v>1.06870867266038</v>
      </c>
      <c r="Q253" s="24" t="n">
        <f aca="false">IFERROR(AVERAGEIFS($P$7:$P$294,$B$7:$B$294,$B253,$A$7:$A$294,"&gt;="&amp;EDATE($A253,-12*'Seasonal Factors'!$E$4),$A$7:$A$294,"&lt;="&amp;EDATE($A253,12*'Seasonal Factors'!$E$4)),"")</f>
        <v>1.04612147046224</v>
      </c>
      <c r="R253" s="24" t="n">
        <f aca="false">IFERROR(Q253/AVERAGE(Q248:Q259),"")</f>
        <v>1.04980276832352</v>
      </c>
      <c r="S253" s="23" t="n">
        <f aca="false">IF(ISNUMBER(Tabelle1!I260),(0.5*Tabelle1!I248+SUM(Tabelle1!I249:I259)+0.5*Tabelle1!I260)/12,"")</f>
        <v>149.177580833333</v>
      </c>
      <c r="T253" s="24" t="n">
        <f aca="false">IFERROR(Tabelle1!I254/S253,"")</f>
        <v>1.10899090249246</v>
      </c>
      <c r="U253" s="24" t="n">
        <f aca="false">IFERROR(AVERAGEIFS($T$7:$T$294,$B$7:$B$294,$B253,$A$7:$A$294,"&gt;="&amp;EDATE($A253,-12*'Seasonal Factors'!$E$4),$A$7:$A$294,"&lt;="&amp;EDATE($A253,12*'Seasonal Factors'!$E$4)),"")</f>
        <v>1.09549049323402</v>
      </c>
      <c r="V253" s="24" t="n">
        <f aca="false">IFERROR(U253/AVERAGE(U248:U259),"")</f>
        <v>1.0966897207769</v>
      </c>
      <c r="W253" s="23" t="n">
        <f aca="false">IF(ISNUMBER(Tabelle1!J260),(0.5*Tabelle1!J248+SUM(Tabelle1!J249:J259)+0.5*Tabelle1!J260)/12,"")</f>
        <v>125.360274583333</v>
      </c>
      <c r="X253" s="24" t="n">
        <f aca="false">IFERROR(Tabelle1!J254/W253,"")</f>
        <v>1.04245966622487</v>
      </c>
      <c r="Y253" s="24" t="n">
        <f aca="false">IFERROR(AVERAGEIFS($X$7:$X$294,$B$7:$B$294,$B253,$A$7:$A$294,"&gt;="&amp;EDATE($A253,-12*'Seasonal Factors'!$E$4),$A$7:$A$294,"&lt;="&amp;EDATE($A253,12*'Seasonal Factors'!$E$4)),"")</f>
        <v>1.01287505489634</v>
      </c>
      <c r="Z253" s="24" t="n">
        <f aca="false">IFERROR(Y253/AVERAGE(Y248:Y259),"")</f>
        <v>1.02175510779489</v>
      </c>
      <c r="AA253" s="23" t="n">
        <f aca="false">IF(ISNUMBER(Tabelle1!K260),(0.5*Tabelle1!K248+SUM(Tabelle1!K249:K259)+0.5*Tabelle1!K260)/12,"")</f>
        <v>148.771390833333</v>
      </c>
      <c r="AB253" s="24" t="n">
        <f aca="false">IFERROR(Tabelle1!K254/AA253,"")</f>
        <v>1.0274981577019</v>
      </c>
      <c r="AC253" s="24" t="n">
        <f aca="false">IFERROR(AVERAGEIFS($AB$7:$AB$294,$B$7:$B$294,$B253,$A$7:$A$294,"&gt;="&amp;EDATE($A253,-12*'Seasonal Factors'!$E$4),$A$7:$A$294,"&lt;="&amp;EDATE($A253,12*'Seasonal Factors'!$E$4)),"")</f>
        <v>1.01427747570496</v>
      </c>
      <c r="AD253" s="24" t="n">
        <f aca="false">IFERROR(AC253/AVERAGE(AC248:AC259),"")</f>
        <v>1.01748443964667</v>
      </c>
      <c r="AE253" s="23" t="n">
        <f aca="false">IF(ISNUMBER(Tabelle1!L260),(0.5*Tabelle1!L248+SUM(Tabelle1!L249:L259)+0.5*Tabelle1!L260)/12,"")</f>
        <v>162.131360416667</v>
      </c>
      <c r="AF253" s="24" t="n">
        <f aca="false">IFERROR(Tabelle1!L254/AE253,"")</f>
        <v>0.958884817844399</v>
      </c>
      <c r="AG253" s="24" t="n">
        <f aca="false">IFERROR(AVERAGEIFS($AF$7:$AF$294,$B$7:$B$294,$B253,$A$7:$A$294,"&gt;="&amp;EDATE($A253,-12*'Seasonal Factors'!$E$4),$A$7:$A$294,"&lt;="&amp;EDATE($A253,12*'Seasonal Factors'!$E$4)),"")</f>
        <v>0.905856662501382</v>
      </c>
      <c r="AH253" s="24" t="n">
        <f aca="false">IFERROR(AG253/AVERAGE(AG248:AG259),"")</f>
        <v>0.920753232727917</v>
      </c>
      <c r="AI253" s="23" t="n">
        <f aca="false">IF(ISNUMBER(Tabelle1!M260),(0.5*Tabelle1!M248+SUM(Tabelle1!M249:M259)+0.5*Tabelle1!M260)/12,"")</f>
        <v>182.840590833333</v>
      </c>
      <c r="AJ253" s="24" t="n">
        <f aca="false">IFERROR(Tabelle1!M254/AI253,"")</f>
        <v>1.02098335577008</v>
      </c>
      <c r="AK253" s="24" t="n">
        <f aca="false">IFERROR(AVERAGEIFS($AJ$7:$AJ$294,$B$7:$B$294,$B253,$A$7:$A$294,"&gt;="&amp;EDATE($A253,-12*'Seasonal Factors'!$E$4),$A$7:$A$294,"&lt;="&amp;EDATE($A253,12*'Seasonal Factors'!$E$4)),"")</f>
        <v>1.00265249593286</v>
      </c>
      <c r="AL253" s="24" t="n">
        <f aca="false">IFERROR(AK253/AVERAGE(AK248:AK259),"")</f>
        <v>1.00629565921829</v>
      </c>
      <c r="AM253" s="23" t="n">
        <f aca="false">IF(ISNUMBER(Tabelle1!N260),(0.5*Tabelle1!N248+SUM(Tabelle1!N249:N259)+0.5*Tabelle1!N260)/12,"")</f>
        <v>157.803597916667</v>
      </c>
      <c r="AN253" s="24" t="n">
        <f aca="false">IFERROR(Tabelle1!N254/AM253,"")</f>
        <v>1.02082064114323</v>
      </c>
      <c r="AO253" s="24" t="n">
        <f aca="false">IFERROR(AVERAGEIFS($AN$7:$AN$294,$B$7:$B$294,$B253,$A$7:$A$294,"&gt;="&amp;EDATE($A253,-12*'Seasonal Factors'!$E$4),$A$7:$A$294,"&lt;="&amp;EDATE($A253,12*'Seasonal Factors'!$E$4)),"")</f>
        <v>1.00010776541328</v>
      </c>
      <c r="AP253" s="24" t="n">
        <f aca="false">IFERROR(AO253/AVERAGE(AO248:AO259),"")</f>
        <v>0.999822594412456</v>
      </c>
      <c r="AQ253" s="23" t="n">
        <f aca="false">IF(ISNUMBER(Tabelle1!O260),(0.5*Tabelle1!O248+SUM(Tabelle1!O249:O259)+0.5*Tabelle1!O260)/12,"")</f>
        <v>153.606348333333</v>
      </c>
      <c r="AR253" s="24" t="n">
        <f aca="false">IFERROR(Tabelle1!O254/AQ253,"")</f>
        <v>0.994601731358564</v>
      </c>
      <c r="AS253" s="24" t="n">
        <f aca="false">IFERROR(AVERAGEIFS($AR$7:$AR$294,$B$7:$B$294,$B253,$A$7:$A$294,"&gt;="&amp;EDATE($A253,-12*'Seasonal Factors'!$E$4),$A$7:$A$294,"&lt;="&amp;EDATE($A253,12*'Seasonal Factors'!$E$4)),"")</f>
        <v>0.994631457858815</v>
      </c>
      <c r="AT253" s="24" t="n">
        <f aca="false">IFERROR(AS253/AVERAGE(AS248:AS259),"")</f>
        <v>0.99638822381833</v>
      </c>
      <c r="AU253" s="23" t="n">
        <f aca="false">IF(ISNUMBER(Tabelle1!P260),(0.5*Tabelle1!P248+SUM(Tabelle1!P249:P259)+0.5*Tabelle1!P260)/12,"")</f>
        <v>163.205480416667</v>
      </c>
      <c r="AV253" s="24" t="n">
        <f aca="false">IFERROR(Tabelle1!P254/AU253,"")</f>
        <v>1.00024392307925</v>
      </c>
      <c r="AW253" s="24" t="n">
        <f aca="false">IFERROR(AVERAGEIFS($AV$7:$AV$294,$B$7:$B$294,$B253,$A$7:$A$294,"&gt;="&amp;EDATE($A253,-12*'Seasonal Factors'!$E$4),$A$7:$A$294,"&lt;="&amp;EDATE($A253,12*'Seasonal Factors'!$E$4)),"")</f>
        <v>0.995896214699046</v>
      </c>
      <c r="AX253" s="24" t="n">
        <f aca="false">IFERROR(AW253/AVERAGE(AW248:AW259),"")</f>
        <v>0.997118878810776</v>
      </c>
      <c r="AY253" s="23" t="n">
        <f aca="false">IF(ISNUMBER(Tabelle1!Q260),(0.5*Tabelle1!Q248+SUM(Tabelle1!Q249:Q259)+0.5*Tabelle1!Q260)/12,"")</f>
        <v>171.669096666667</v>
      </c>
      <c r="AZ253" s="24" t="n">
        <f aca="false">IFERROR(Tabelle1!Q254/AY253,"")</f>
        <v>1.00440978223823</v>
      </c>
      <c r="BA253" s="24" t="n">
        <f aca="false">IFERROR(AVERAGEIFS($AZ$7:$AZ$294,$B$7:$B$294,$B253,$A$7:$A$294,"&gt;="&amp;EDATE($A253,-12*'Seasonal Factors'!$E$4),$A$7:$A$294,"&lt;="&amp;EDATE($A253,12*'Seasonal Factors'!$E$4)),"")</f>
        <v>1.0021227208869</v>
      </c>
      <c r="BB253" s="24" t="n">
        <f aca="false">IFERROR(BA253/AVERAGE(BA248:BA259),"")</f>
        <v>1.00307435799685</v>
      </c>
      <c r="BC253" s="23" t="n">
        <f aca="false">IF(ISNUMBER(Tabelle1!R260),(0.5*Tabelle1!R248+SUM(Tabelle1!R249:R259)+0.5*Tabelle1!R260)/12,"")</f>
        <v>185.863573333333</v>
      </c>
      <c r="BD253" s="24" t="n">
        <f aca="false">IFERROR(Tabelle1!R254/BC253,"")</f>
        <v>1.00199682304612</v>
      </c>
      <c r="BE253" s="24" t="n">
        <f aca="false">IFERROR(AVERAGEIFS($BD$7:$BD$294,$B$7:$B$294,$B253,$A$7:$A$294,"&gt;="&amp;EDATE($A253,-12*'Seasonal Factors'!$E$4),$A$7:$A$294,"&lt;="&amp;EDATE($A253,12*'Seasonal Factors'!$E$4)),"")</f>
        <v>1.00367330181332</v>
      </c>
      <c r="BF253" s="24" t="n">
        <f aca="false">IFERROR(BE253/AVERAGE(BE248:BE259),"")</f>
        <v>1.00691189989336</v>
      </c>
      <c r="BG253" s="23" t="n">
        <f aca="false">IF(ISNUMBER(Tabelle1!S260),(0.5*Tabelle1!S248+SUM(Tabelle1!S249:S259)+0.5*Tabelle1!S260)/12,"")</f>
        <v>127.66255</v>
      </c>
      <c r="BH253" s="24" t="n">
        <f aca="false">IFERROR(Tabelle1!S254/BG253,"")</f>
        <v>1.04621652943639</v>
      </c>
      <c r="BI253" s="24" t="n">
        <f aca="false">IFERROR(AVERAGEIFS($BH$7:$BH$294,$B$7:$B$294,$B253,$A$7:$A$294,"&gt;="&amp;EDATE($A253,-12*'Seasonal Factors'!$E$4),$A$7:$A$294,"&lt;="&amp;EDATE($A253,12*'Seasonal Factors'!$E$4)),"")</f>
        <v>0.985792746723422</v>
      </c>
      <c r="BJ253" s="24" t="n">
        <f aca="false">IFERROR(BI253/AVERAGE(BI248:BI259),"")</f>
        <v>0.998029411737631</v>
      </c>
    </row>
    <row r="254" customFormat="false" ht="15" hidden="false" customHeight="false" outlineLevel="0" collapsed="false">
      <c r="A254" s="20" t="n">
        <v>45535</v>
      </c>
      <c r="B254" s="22" t="n">
        <f aca="false">MONTH(A254)</f>
        <v>8</v>
      </c>
      <c r="C254" s="23" t="n">
        <f aca="false">IF(ISNUMBER(Tabelle1!E261),(0.5*Tabelle1!E249+SUM(Tabelle1!E250:E260)+0.5*Tabelle1!E261)/12,"")</f>
        <v>124.25455875</v>
      </c>
      <c r="D254" s="24" t="n">
        <f aca="false">IFERROR(Tabelle1!E255/C254,"")</f>
        <v>0.633453217264755</v>
      </c>
      <c r="E254" s="24" t="n">
        <f aca="false">IFERROR(AVERAGEIFS($D$7:$D$294,$B$7:$B$294,$B254,$A$7:$A$294,"&gt;="&amp;EDATE($A254,-12*'Seasonal Factors'!$E$4),$A$7:$A$294,"&lt;="&amp;EDATE($A254,12*'Seasonal Factors'!$E$4)),"")</f>
        <v>0.636446793916402</v>
      </c>
      <c r="F254" s="24" t="n">
        <f aca="false">IFERROR(E254/AVERAGE(E249:E260),"")</f>
        <v>0.636786181787213</v>
      </c>
      <c r="G254" s="23" t="n">
        <f aca="false">IF(ISNUMBER(Tabelle1!F261),(0.5*Tabelle1!F249+SUM(Tabelle1!F250:F260)+0.5*Tabelle1!F261)/12,"")</f>
        <v>184.898162916667</v>
      </c>
      <c r="H254" s="24" t="n">
        <f aca="false">IFERROR(Tabelle1!F255/G254,"")</f>
        <v>1.57837295620688</v>
      </c>
      <c r="I254" s="24" t="n">
        <f aca="false">IFERROR(AVERAGEIFS($H$7:$H$294,$B$7:$B$294,$B254,$A$7:$A$294,"&gt;="&amp;EDATE($A254,-12*'Seasonal Factors'!$E$4),$A$7:$A$294,"&lt;="&amp;EDATE($A254,12*'Seasonal Factors'!$E$4)),"")</f>
        <v>1.66435528627945</v>
      </c>
      <c r="J254" s="24" t="n">
        <f aca="false">IFERROR(I254/AVERAGE(I249:I260),"")</f>
        <v>1.68070371580877</v>
      </c>
      <c r="K254" s="23" t="n">
        <f aca="false">IF(ISNUMBER(Tabelle1!G261),(0.5*Tabelle1!G249+SUM(Tabelle1!G250:G260)+0.5*Tabelle1!G261)/12,"")</f>
        <v>114.730065833333</v>
      </c>
      <c r="L254" s="24" t="n">
        <f aca="false">IFERROR(Tabelle1!G255/K254,"")</f>
        <v>1.01381899465629</v>
      </c>
      <c r="M254" s="24" t="n">
        <f aca="false">IFERROR(AVERAGEIFS($L$7:$L$294,$B$7:$B$294,$B254,$A$7:$A$294,"&gt;="&amp;EDATE($A254,-12*'Seasonal Factors'!$E$4),$A$7:$A$294,"&lt;="&amp;EDATE($A254,12*'Seasonal Factors'!$E$4)),"")</f>
        <v>1.02439394994042</v>
      </c>
      <c r="N254" s="24" t="n">
        <f aca="false">IFERROR(M254/AVERAGE(M249:M260),"")</f>
        <v>1.02927953518864</v>
      </c>
      <c r="O254" s="23" t="n">
        <f aca="false">IF(ISNUMBER(Tabelle1!H261),(0.5*Tabelle1!H249+SUM(Tabelle1!H250:H260)+0.5*Tabelle1!H261)/12,"")</f>
        <v>118.558905416667</v>
      </c>
      <c r="P254" s="24" t="n">
        <f aca="false">IFERROR(Tabelle1!H255/O254,"")</f>
        <v>1.08554839931837</v>
      </c>
      <c r="Q254" s="24" t="n">
        <f aca="false">IFERROR(AVERAGEIFS($P$7:$P$294,$B$7:$B$294,$B254,$A$7:$A$294,"&gt;="&amp;EDATE($A254,-12*'Seasonal Factors'!$E$4),$A$7:$A$294,"&lt;="&amp;EDATE($A254,12*'Seasonal Factors'!$E$4)),"")</f>
        <v>1.05777188017823</v>
      </c>
      <c r="R254" s="24" t="n">
        <f aca="false">IFERROR(Q254/AVERAGE(Q249:Q260),"")</f>
        <v>1.06261696169496</v>
      </c>
      <c r="S254" s="23" t="n">
        <f aca="false">IF(ISNUMBER(Tabelle1!I261),(0.5*Tabelle1!I249+SUM(Tabelle1!I250:I260)+0.5*Tabelle1!I261)/12,"")</f>
        <v>149.5852475</v>
      </c>
      <c r="T254" s="24" t="n">
        <f aca="false">IFERROR(Tabelle1!I255/S254,"")</f>
        <v>1.03780140484776</v>
      </c>
      <c r="U254" s="24" t="n">
        <f aca="false">IFERROR(AVERAGEIFS($T$7:$T$294,$B$7:$B$294,$B254,$A$7:$A$294,"&gt;="&amp;EDATE($A254,-12*'Seasonal Factors'!$E$4),$A$7:$A$294,"&lt;="&amp;EDATE($A254,12*'Seasonal Factors'!$E$4)),"")</f>
        <v>1.03232721651624</v>
      </c>
      <c r="V254" s="24" t="n">
        <f aca="false">IFERROR(U254/AVERAGE(U249:U260),"")</f>
        <v>1.0337846207985</v>
      </c>
      <c r="W254" s="23" t="n">
        <f aca="false">IF(ISNUMBER(Tabelle1!J261),(0.5*Tabelle1!J249+SUM(Tabelle1!J250:J260)+0.5*Tabelle1!J261)/12,"")</f>
        <v>125.736812916667</v>
      </c>
      <c r="X254" s="24" t="n">
        <f aca="false">IFERROR(Tabelle1!J255/W254,"")</f>
        <v>1.09633365760083</v>
      </c>
      <c r="Y254" s="24" t="n">
        <f aca="false">IFERROR(AVERAGEIFS($X$7:$X$294,$B$7:$B$294,$B254,$A$7:$A$294,"&gt;="&amp;EDATE($A254,-12*'Seasonal Factors'!$E$4),$A$7:$A$294,"&lt;="&amp;EDATE($A254,12*'Seasonal Factors'!$E$4)),"")</f>
        <v>1.07141807430908</v>
      </c>
      <c r="Z254" s="24" t="n">
        <f aca="false">IFERROR(Y254/AVERAGE(Y249:Y260),"")</f>
        <v>1.08250786394387</v>
      </c>
      <c r="AA254" s="23" t="n">
        <f aca="false">IF(ISNUMBER(Tabelle1!K261),(0.5*Tabelle1!K249+SUM(Tabelle1!K250:K260)+0.5*Tabelle1!K261)/12,"")</f>
        <v>149.680359583333</v>
      </c>
      <c r="AB254" s="24" t="n">
        <f aca="false">IFERROR(Tabelle1!K255/AA254,"")</f>
        <v>1.04798752780032</v>
      </c>
      <c r="AC254" s="24" t="n">
        <f aca="false">IFERROR(AVERAGEIFS($AB$7:$AB$294,$B$7:$B$294,$B254,$A$7:$A$294,"&gt;="&amp;EDATE($A254,-12*'Seasonal Factors'!$E$4),$A$7:$A$294,"&lt;="&amp;EDATE($A254,12*'Seasonal Factors'!$E$4)),"")</f>
        <v>1.02565351457781</v>
      </c>
      <c r="AD254" s="24" t="n">
        <f aca="false">IFERROR(AC254/AVERAGE(AC249:AC260),"")</f>
        <v>1.02969767938574</v>
      </c>
      <c r="AE254" s="23" t="n">
        <f aca="false">IF(ISNUMBER(Tabelle1!L261),(0.5*Tabelle1!L249+SUM(Tabelle1!L250:L260)+0.5*Tabelle1!L261)/12,"")</f>
        <v>163.476305416667</v>
      </c>
      <c r="AF254" s="24" t="n">
        <f aca="false">IFERROR(Tabelle1!L255/AE254,"")</f>
        <v>1.02883619477036</v>
      </c>
      <c r="AG254" s="24" t="n">
        <f aca="false">IFERROR(AVERAGEIFS($AF$7:$AF$294,$B$7:$B$294,$B254,$A$7:$A$294,"&gt;="&amp;EDATE($A254,-12*'Seasonal Factors'!$E$4),$A$7:$A$294,"&lt;="&amp;EDATE($A254,12*'Seasonal Factors'!$E$4)),"")</f>
        <v>0.994912142667735</v>
      </c>
      <c r="AH254" s="24" t="n">
        <f aca="false">IFERROR(AG254/AVERAGE(AG249:AG260),"")</f>
        <v>1.01501925516642</v>
      </c>
      <c r="AI254" s="23" t="n">
        <f aca="false">IF(ISNUMBER(Tabelle1!M261),(0.5*Tabelle1!M249+SUM(Tabelle1!M250:M260)+0.5*Tabelle1!M261)/12,"")</f>
        <v>183.259169583333</v>
      </c>
      <c r="AJ254" s="24" t="n">
        <f aca="false">IFERROR(Tabelle1!M255/AI254,"")</f>
        <v>0.981041714904457</v>
      </c>
      <c r="AK254" s="24" t="n">
        <f aca="false">IFERROR(AVERAGEIFS($AJ$7:$AJ$294,$B$7:$B$294,$B254,$A$7:$A$294,"&gt;="&amp;EDATE($A254,-12*'Seasonal Factors'!$E$4),$A$7:$A$294,"&lt;="&amp;EDATE($A254,12*'Seasonal Factors'!$E$4)),"")</f>
        <v>0.989473818303735</v>
      </c>
      <c r="AL254" s="24" t="n">
        <f aca="false">IFERROR(AK254/AVERAGE(AK249:AK260),"")</f>
        <v>0.994220795889474</v>
      </c>
      <c r="AM254" s="23" t="n">
        <f aca="false">IF(ISNUMBER(Tabelle1!N261),(0.5*Tabelle1!N249+SUM(Tabelle1!N250:N260)+0.5*Tabelle1!N261)/12,"")</f>
        <v>161.082155</v>
      </c>
      <c r="AN254" s="24" t="n">
        <f aca="false">IFERROR(Tabelle1!N255/AM254,"")</f>
        <v>1.00916777528833</v>
      </c>
      <c r="AO254" s="24" t="n">
        <f aca="false">IFERROR(AVERAGEIFS($AN$7:$AN$294,$B$7:$B$294,$B254,$A$7:$A$294,"&gt;="&amp;EDATE($A254,-12*'Seasonal Factors'!$E$4),$A$7:$A$294,"&lt;="&amp;EDATE($A254,12*'Seasonal Factors'!$E$4)),"")</f>
        <v>1.02179294059442</v>
      </c>
      <c r="AP254" s="24" t="n">
        <f aca="false">IFERROR(AO254/AVERAGE(AO249:AO260),"")</f>
        <v>1.02144517731109</v>
      </c>
      <c r="AQ254" s="23" t="n">
        <f aca="false">IF(ISNUMBER(Tabelle1!O261),(0.5*Tabelle1!O249+SUM(Tabelle1!O250:O260)+0.5*Tabelle1!O261)/12,"")</f>
        <v>154.113014583333</v>
      </c>
      <c r="AR254" s="24" t="n">
        <f aca="false">IFERROR(Tabelle1!O255/AQ254,"")</f>
        <v>1.00795607963404</v>
      </c>
      <c r="AS254" s="24" t="n">
        <f aca="false">IFERROR(AVERAGEIFS($AR$7:$AR$294,$B$7:$B$294,$B254,$A$7:$A$294,"&gt;="&amp;EDATE($A254,-12*'Seasonal Factors'!$E$4),$A$7:$A$294,"&lt;="&amp;EDATE($A254,12*'Seasonal Factors'!$E$4)),"")</f>
        <v>1.00996820063348</v>
      </c>
      <c r="AT254" s="24" t="n">
        <f aca="false">IFERROR(AS254/AVERAGE(AS249:AS260),"")</f>
        <v>1.0124029550575</v>
      </c>
      <c r="AU254" s="23" t="n">
        <f aca="false">IF(ISNUMBER(Tabelle1!P261),(0.5*Tabelle1!P249+SUM(Tabelle1!P250:P260)+0.5*Tabelle1!P261)/12,"")</f>
        <v>163.008775</v>
      </c>
      <c r="AV254" s="24" t="n">
        <f aca="false">IFERROR(Tabelle1!P255/AU254,"")</f>
        <v>0.996621930322463</v>
      </c>
      <c r="AW254" s="24" t="n">
        <f aca="false">IFERROR(AVERAGEIFS($AV$7:$AV$294,$B$7:$B$294,$B254,$A$7:$A$294,"&gt;="&amp;EDATE($A254,-12*'Seasonal Factors'!$E$4),$A$7:$A$294,"&lt;="&amp;EDATE($A254,12*'Seasonal Factors'!$E$4)),"")</f>
        <v>0.99212192209921</v>
      </c>
      <c r="AX254" s="24" t="n">
        <f aca="false">IFERROR(AW254/AVERAGE(AW249:AW260),"")</f>
        <v>0.993899979175067</v>
      </c>
      <c r="AY254" s="23" t="n">
        <f aca="false">IF(ISNUMBER(Tabelle1!Q261),(0.5*Tabelle1!Q249+SUM(Tabelle1!Q250:Q260)+0.5*Tabelle1!Q261)/12,"")</f>
        <v>171.690441666667</v>
      </c>
      <c r="AZ254" s="24" t="n">
        <f aca="false">IFERROR(Tabelle1!Q255/AY254,"")</f>
        <v>1.00572360536669</v>
      </c>
      <c r="BA254" s="24" t="n">
        <f aca="false">IFERROR(AVERAGEIFS($AZ$7:$AZ$294,$B$7:$B$294,$B254,$A$7:$A$294,"&gt;="&amp;EDATE($A254,-12*'Seasonal Factors'!$E$4),$A$7:$A$294,"&lt;="&amp;EDATE($A254,12*'Seasonal Factors'!$E$4)),"")</f>
        <v>1.0052006104663</v>
      </c>
      <c r="BB254" s="24" t="n">
        <f aca="false">IFERROR(BA254/AVERAGE(BA249:BA260),"")</f>
        <v>1.00653261424767</v>
      </c>
      <c r="BC254" s="23" t="n">
        <f aca="false">IF(ISNUMBER(Tabelle1!R261),(0.5*Tabelle1!R249+SUM(Tabelle1!R250:R260)+0.5*Tabelle1!R261)/12,"")</f>
        <v>185.73872625</v>
      </c>
      <c r="BD254" s="24" t="n">
        <f aca="false">IFERROR(Tabelle1!R255/BC254,"")</f>
        <v>0.996785343250409</v>
      </c>
      <c r="BE254" s="24" t="n">
        <f aca="false">IFERROR(AVERAGEIFS($BD$7:$BD$294,$B$7:$B$294,$B254,$A$7:$A$294,"&gt;="&amp;EDATE($A254,-12*'Seasonal Factors'!$E$4),$A$7:$A$294,"&lt;="&amp;EDATE($A254,12*'Seasonal Factors'!$E$4)),"")</f>
        <v>0.999069145957007</v>
      </c>
      <c r="BF254" s="24" t="n">
        <f aca="false">IFERROR(BE254/AVERAGE(BE249:BE260),"")</f>
        <v>1.00351122714145</v>
      </c>
      <c r="BG254" s="23" t="n">
        <f aca="false">IF(ISNUMBER(Tabelle1!S261),(0.5*Tabelle1!S249+SUM(Tabelle1!S250:S260)+0.5*Tabelle1!S261)/12,"")</f>
        <v>127.450675833333</v>
      </c>
      <c r="BH254" s="24" t="n">
        <f aca="false">IFERROR(Tabelle1!S255/BG254,"")</f>
        <v>0.986470563439081</v>
      </c>
      <c r="BI254" s="24" t="n">
        <f aca="false">IFERROR(AVERAGEIFS($BH$7:$BH$294,$B$7:$B$294,$B254,$A$7:$A$294,"&gt;="&amp;EDATE($A254,-12*'Seasonal Factors'!$E$4),$A$7:$A$294,"&lt;="&amp;EDATE($A254,12*'Seasonal Factors'!$E$4)),"")</f>
        <v>0.951138699874988</v>
      </c>
      <c r="BJ254" s="24" t="n">
        <f aca="false">IFERROR(BI254/AVERAGE(BI249:BI260),"")</f>
        <v>0.966610605768737</v>
      </c>
    </row>
    <row r="255" customFormat="false" ht="15" hidden="false" customHeight="false" outlineLevel="0" collapsed="false">
      <c r="A255" s="20" t="n">
        <v>45565</v>
      </c>
      <c r="B255" s="22" t="n">
        <f aca="false">MONTH(A255)</f>
        <v>9</v>
      </c>
      <c r="C255" s="23" t="n">
        <f aca="false">IF(ISNUMBER(Tabelle1!E262),(0.5*Tabelle1!E250+SUM(Tabelle1!E251:E261)+0.5*Tabelle1!E262)/12,"")</f>
        <v>124.87983875</v>
      </c>
      <c r="D255" s="24" t="n">
        <f aca="false">IFERROR(Tabelle1!E256/C255,"")</f>
        <v>0.595843658550528</v>
      </c>
      <c r="E255" s="24" t="n">
        <f aca="false">IFERROR(AVERAGEIFS($D$7:$D$294,$B$7:$B$294,$B255,$A$7:$A$294,"&gt;="&amp;EDATE($A255,-12*'Seasonal Factors'!$E$4),$A$7:$A$294,"&lt;="&amp;EDATE($A255,12*'Seasonal Factors'!$E$4)),"")</f>
        <v>0.606524217209773</v>
      </c>
      <c r="F255" s="24" t="n">
        <f aca="false">IFERROR(E255/AVERAGE(E250:E261),"")</f>
        <v>0.606002273873867</v>
      </c>
      <c r="G255" s="23" t="n">
        <f aca="false">IF(ISNUMBER(Tabelle1!F262),(0.5*Tabelle1!F250+SUM(Tabelle1!F251:F261)+0.5*Tabelle1!F262)/12,"")</f>
        <v>187.349391666667</v>
      </c>
      <c r="H255" s="24" t="n">
        <f aca="false">IFERROR(Tabelle1!F256/G255,"")</f>
        <v>1.00661314308155</v>
      </c>
      <c r="I255" s="24" t="n">
        <f aca="false">IFERROR(AVERAGEIFS($H$7:$H$294,$B$7:$B$294,$B255,$A$7:$A$294,"&gt;="&amp;EDATE($A255,-12*'Seasonal Factors'!$E$4),$A$7:$A$294,"&lt;="&amp;EDATE($A255,12*'Seasonal Factors'!$E$4)),"")</f>
        <v>1.38528722948421</v>
      </c>
      <c r="J255" s="24" t="n">
        <f aca="false">IFERROR(I255/AVERAGE(I250:I261),"")</f>
        <v>1.3951144838618</v>
      </c>
      <c r="K255" s="23" t="n">
        <f aca="false">IF(ISNUMBER(Tabelle1!G262),(0.5*Tabelle1!G250+SUM(Tabelle1!G251:G261)+0.5*Tabelle1!G262)/12,"")</f>
        <v>115.224909583333</v>
      </c>
      <c r="L255" s="24" t="n">
        <f aca="false">IFERROR(Tabelle1!G256/K255,"")</f>
        <v>1.00531552091368</v>
      </c>
      <c r="M255" s="24" t="n">
        <f aca="false">IFERROR(AVERAGEIFS($L$7:$L$294,$B$7:$B$294,$B255,$A$7:$A$294,"&gt;="&amp;EDATE($A255,-12*'Seasonal Factors'!$E$4),$A$7:$A$294,"&lt;="&amp;EDATE($A255,12*'Seasonal Factors'!$E$4)),"")</f>
        <v>0.997437428751301</v>
      </c>
      <c r="N255" s="24" t="n">
        <f aca="false">IFERROR(M255/AVERAGE(M250:M261),"")</f>
        <v>1.0028177934696</v>
      </c>
      <c r="O255" s="23" t="n">
        <f aca="false">IF(ISNUMBER(Tabelle1!H262),(0.5*Tabelle1!H250+SUM(Tabelle1!H251:H261)+0.5*Tabelle1!H262)/12,"")</f>
        <v>118.97649375</v>
      </c>
      <c r="P255" s="24" t="n">
        <f aca="false">IFERROR(Tabelle1!H256/O255,"")</f>
        <v>1.04895821070538</v>
      </c>
      <c r="Q255" s="24" t="n">
        <f aca="false">IFERROR(AVERAGEIFS($P$7:$P$294,$B$7:$B$294,$B255,$A$7:$A$294,"&gt;="&amp;EDATE($A255,-12*'Seasonal Factors'!$E$4),$A$7:$A$294,"&lt;="&amp;EDATE($A255,12*'Seasonal Factors'!$E$4)),"")</f>
        <v>1.05042824731625</v>
      </c>
      <c r="R255" s="24" t="n">
        <f aca="false">IFERROR(Q255/AVERAGE(Q250:Q261),"")</f>
        <v>1.05387304740528</v>
      </c>
      <c r="S255" s="23" t="n">
        <f aca="false">IF(ISNUMBER(Tabelle1!I262),(0.5*Tabelle1!I250+SUM(Tabelle1!I251:I261)+0.5*Tabelle1!I262)/12,"")</f>
        <v>149.340655</v>
      </c>
      <c r="T255" s="24" t="n">
        <f aca="false">IFERROR(Tabelle1!I256/S255,"")</f>
        <v>0.918594270260834</v>
      </c>
      <c r="U255" s="24" t="n">
        <f aca="false">IFERROR(AVERAGEIFS($T$7:$T$294,$B$7:$B$294,$B255,$A$7:$A$294,"&gt;="&amp;EDATE($A255,-12*'Seasonal Factors'!$E$4),$A$7:$A$294,"&lt;="&amp;EDATE($A255,12*'Seasonal Factors'!$E$4)),"")</f>
        <v>0.935155798068846</v>
      </c>
      <c r="V255" s="24" t="n">
        <f aca="false">IFERROR(U255/AVERAGE(U250:U261),"")</f>
        <v>0.936754115081303</v>
      </c>
      <c r="W255" s="23" t="n">
        <f aca="false">IF(ISNUMBER(Tabelle1!J262),(0.5*Tabelle1!J250+SUM(Tabelle1!J251:J261)+0.5*Tabelle1!J262)/12,"")</f>
        <v>126.513737916667</v>
      </c>
      <c r="X255" s="24" t="n">
        <f aca="false">IFERROR(Tabelle1!J256/W255,"")</f>
        <v>1.07127883684279</v>
      </c>
      <c r="Y255" s="24" t="n">
        <f aca="false">IFERROR(AVERAGEIFS($X$7:$X$294,$B$7:$B$294,$B255,$A$7:$A$294,"&gt;="&amp;EDATE($A255,-12*'Seasonal Factors'!$E$4),$A$7:$A$294,"&lt;="&amp;EDATE($A255,12*'Seasonal Factors'!$E$4)),"")</f>
        <v>1.05616716098685</v>
      </c>
      <c r="Z255" s="24" t="n">
        <f aca="false">IFERROR(Y255/AVERAGE(Y250:Y261),"")</f>
        <v>1.0650055105097</v>
      </c>
      <c r="AA255" s="23" t="n">
        <f aca="false">IF(ISNUMBER(Tabelle1!K262),(0.5*Tabelle1!K250+SUM(Tabelle1!K251:K261)+0.5*Tabelle1!K262)/12,"")</f>
        <v>150.51665375</v>
      </c>
      <c r="AB255" s="24" t="n">
        <f aca="false">IFERROR(Tabelle1!K256/AA255,"")</f>
        <v>1.01919326651254</v>
      </c>
      <c r="AC255" s="24" t="n">
        <f aca="false">IFERROR(AVERAGEIFS($AB$7:$AB$294,$B$7:$B$294,$B255,$A$7:$A$294,"&gt;="&amp;EDATE($A255,-12*'Seasonal Factors'!$E$4),$A$7:$A$294,"&lt;="&amp;EDATE($A255,12*'Seasonal Factors'!$E$4)),"")</f>
        <v>1.0265544084423</v>
      </c>
      <c r="AD255" s="24" t="n">
        <f aca="false">IFERROR(AC255/AVERAGE(AC250:AC261),"")</f>
        <v>1.02988061975068</v>
      </c>
      <c r="AE255" s="23" t="n">
        <f aca="false">IF(ISNUMBER(Tabelle1!L262),(0.5*Tabelle1!L250+SUM(Tabelle1!L251:L261)+0.5*Tabelle1!L262)/12,"")</f>
        <v>164.64318375</v>
      </c>
      <c r="AF255" s="24" t="n">
        <f aca="false">IFERROR(Tabelle1!L256/AE255,"")</f>
        <v>0.942701704770696</v>
      </c>
      <c r="AG255" s="24" t="n">
        <f aca="false">IFERROR(AVERAGEIFS($AF$7:$AF$294,$B$7:$B$294,$B255,$A$7:$A$294,"&gt;="&amp;EDATE($A255,-12*'Seasonal Factors'!$E$4),$A$7:$A$294,"&lt;="&amp;EDATE($A255,12*'Seasonal Factors'!$E$4)),"")</f>
        <v>0.937495867755109</v>
      </c>
      <c r="AH255" s="24" t="n">
        <f aca="false">IFERROR(AG255/AVERAGE(AG250:AG261),"")</f>
        <v>0.956443373865845</v>
      </c>
      <c r="AI255" s="23" t="n">
        <f aca="false">IF(ISNUMBER(Tabelle1!M262),(0.5*Tabelle1!M250+SUM(Tabelle1!M251:M261)+0.5*Tabelle1!M262)/12,"")</f>
        <v>183.6163275</v>
      </c>
      <c r="AJ255" s="24" t="n">
        <f aca="false">IFERROR(Tabelle1!M256/AI255,"")</f>
        <v>0.98518765985013</v>
      </c>
      <c r="AK255" s="24" t="n">
        <f aca="false">IFERROR(AVERAGEIFS($AJ$7:$AJ$294,$B$7:$B$294,$B255,$A$7:$A$294,"&gt;="&amp;EDATE($A255,-12*'Seasonal Factors'!$E$4),$A$7:$A$294,"&lt;="&amp;EDATE($A255,12*'Seasonal Factors'!$E$4)),"")</f>
        <v>0.990231426007689</v>
      </c>
      <c r="AL255" s="24" t="n">
        <f aca="false">IFERROR(AK255/AVERAGE(AK250:AK261),"")</f>
        <v>0.994470690224249</v>
      </c>
      <c r="AM255" s="23" t="n">
        <f aca="false">IF(ISNUMBER(Tabelle1!N262),(0.5*Tabelle1!N250+SUM(Tabelle1!N251:N261)+0.5*Tabelle1!N262)/12,"")</f>
        <v>164.578675416667</v>
      </c>
      <c r="AN255" s="24" t="n">
        <f aca="false">IFERROR(Tabelle1!N256/AM255,"")</f>
        <v>0.98015723842473</v>
      </c>
      <c r="AO255" s="24" t="n">
        <f aca="false">IFERROR(AVERAGEIFS($AN$7:$AN$294,$B$7:$B$294,$B255,$A$7:$A$294,"&gt;="&amp;EDATE($A255,-12*'Seasonal Factors'!$E$4),$A$7:$A$294,"&lt;="&amp;EDATE($A255,12*'Seasonal Factors'!$E$4)),"")</f>
        <v>1.0146710530507</v>
      </c>
      <c r="AP255" s="24" t="n">
        <f aca="false">IFERROR(AO255/AVERAGE(AO250:AO261),"")</f>
        <v>1.01427732120451</v>
      </c>
      <c r="AQ255" s="23" t="n">
        <f aca="false">IF(ISNUMBER(Tabelle1!O262),(0.5*Tabelle1!O250+SUM(Tabelle1!O251:O261)+0.5*Tabelle1!O262)/12,"")</f>
        <v>154.663263333333</v>
      </c>
      <c r="AR255" s="24" t="n">
        <f aca="false">IFERROR(Tabelle1!O256/AQ255,"")</f>
        <v>0.993115408854147</v>
      </c>
      <c r="AS255" s="24" t="n">
        <f aca="false">IFERROR(AVERAGEIFS($AR$7:$AR$294,$B$7:$B$294,$B255,$A$7:$A$294,"&gt;="&amp;EDATE($A255,-12*'Seasonal Factors'!$E$4),$A$7:$A$294,"&lt;="&amp;EDATE($A255,12*'Seasonal Factors'!$E$4)),"")</f>
        <v>1.00604969607468</v>
      </c>
      <c r="AT255" s="24" t="n">
        <f aca="false">IFERROR(AS255/AVERAGE(AS250:AS261),"")</f>
        <v>1.00823829587739</v>
      </c>
      <c r="AU255" s="23" t="n">
        <f aca="false">IF(ISNUMBER(Tabelle1!P262),(0.5*Tabelle1!P250+SUM(Tabelle1!P251:P261)+0.5*Tabelle1!P262)/12,"")</f>
        <v>162.81722375</v>
      </c>
      <c r="AV255" s="24" t="n">
        <f aca="false">IFERROR(Tabelle1!P256/AU255,"")</f>
        <v>1.00086659289939</v>
      </c>
      <c r="AW255" s="24" t="n">
        <f aca="false">IFERROR(AVERAGEIFS($AV$7:$AV$294,$B$7:$B$294,$B255,$A$7:$A$294,"&gt;="&amp;EDATE($A255,-12*'Seasonal Factors'!$E$4),$A$7:$A$294,"&lt;="&amp;EDATE($A255,12*'Seasonal Factors'!$E$4)),"")</f>
        <v>0.996986176022007</v>
      </c>
      <c r="AX255" s="24" t="n">
        <f aca="false">IFERROR(AW255/AVERAGE(AW250:AW261),"")</f>
        <v>0.999349707131751</v>
      </c>
      <c r="AY255" s="23" t="n">
        <f aca="false">IF(ISNUMBER(Tabelle1!Q262),(0.5*Tabelle1!Q250+SUM(Tabelle1!Q251:Q261)+0.5*Tabelle1!Q262)/12,"")</f>
        <v>171.714428333333</v>
      </c>
      <c r="AZ255" s="24" t="n">
        <f aca="false">IFERROR(Tabelle1!Q256/AY255,"")</f>
        <v>1.00756495350609</v>
      </c>
      <c r="BA255" s="24" t="n">
        <f aca="false">IFERROR(AVERAGEIFS($AZ$7:$AZ$294,$B$7:$B$294,$B255,$A$7:$A$294,"&gt;="&amp;EDATE($A255,-12*'Seasonal Factors'!$E$4),$A$7:$A$294,"&lt;="&amp;EDATE($A255,12*'Seasonal Factors'!$E$4)),"")</f>
        <v>1.01084543220997</v>
      </c>
      <c r="BB255" s="24" t="n">
        <f aca="false">IFERROR(BA255/AVERAGE(BA250:BA261),"")</f>
        <v>1.01232287162515</v>
      </c>
      <c r="BC255" s="23" t="n">
        <f aca="false">IF(ISNUMBER(Tabelle1!R262),(0.5*Tabelle1!R250+SUM(Tabelle1!R251:R261)+0.5*Tabelle1!R262)/12,"")</f>
        <v>185.606901666667</v>
      </c>
      <c r="BD255" s="24" t="n">
        <f aca="false">IFERROR(Tabelle1!R256/BC255,"")</f>
        <v>0.980147173226972</v>
      </c>
      <c r="BE255" s="24" t="n">
        <f aca="false">IFERROR(AVERAGEIFS($BD$7:$BD$294,$B$7:$B$294,$B255,$A$7:$A$294,"&gt;="&amp;EDATE($A255,-12*'Seasonal Factors'!$E$4),$A$7:$A$294,"&lt;="&amp;EDATE($A255,12*'Seasonal Factors'!$E$4)),"")</f>
        <v>0.988532634567896</v>
      </c>
      <c r="BF255" s="24" t="n">
        <f aca="false">IFERROR(BE255/AVERAGE(BE250:BE261),"")</f>
        <v>0.992873028075415</v>
      </c>
      <c r="BG255" s="23" t="n">
        <f aca="false">IF(ISNUMBER(Tabelle1!S262),(0.5*Tabelle1!S250+SUM(Tabelle1!S251:S261)+0.5*Tabelle1!S262)/12,"")</f>
        <v>127.32849625</v>
      </c>
      <c r="BH255" s="24" t="n">
        <f aca="false">IFERROR(Tabelle1!S256/BG255,"")</f>
        <v>0.942260715656571</v>
      </c>
      <c r="BI255" s="24" t="n">
        <f aca="false">IFERROR(AVERAGEIFS($BH$7:$BH$294,$B$7:$B$294,$B255,$A$7:$A$294,"&gt;="&amp;EDATE($A255,-12*'Seasonal Factors'!$E$4),$A$7:$A$294,"&lt;="&amp;EDATE($A255,12*'Seasonal Factors'!$E$4)),"")</f>
        <v>0.926535753235752</v>
      </c>
      <c r="BJ255" s="24" t="n">
        <f aca="false">IFERROR(BI255/AVERAGE(BI250:BI261),"")</f>
        <v>0.942753635753389</v>
      </c>
    </row>
    <row r="256" customFormat="false" ht="15" hidden="false" customHeight="false" outlineLevel="0" collapsed="false">
      <c r="A256" s="20" t="n">
        <v>45596</v>
      </c>
      <c r="B256" s="22" t="n">
        <f aca="false">MONTH(A256)</f>
        <v>10</v>
      </c>
      <c r="C256" s="23" t="n">
        <f aca="false">IF(ISNUMBER(Tabelle1!E263),(0.5*Tabelle1!E251+SUM(Tabelle1!E252:E262)+0.5*Tabelle1!E263)/12,"")</f>
        <v>125.908652083333</v>
      </c>
      <c r="D256" s="24" t="n">
        <f aca="false">IFERROR(Tabelle1!E257/C256,"")</f>
        <v>0.538903156195266</v>
      </c>
      <c r="E256" s="24" t="n">
        <f aca="false">IFERROR(AVERAGEIFS($D$7:$D$294,$B$7:$B$294,$B256,$A$7:$A$294,"&gt;="&amp;EDATE($A256,-12*'Seasonal Factors'!$E$4),$A$7:$A$294,"&lt;="&amp;EDATE($A256,12*'Seasonal Factors'!$E$4)),"")</f>
        <v>0.569427834444473</v>
      </c>
      <c r="F256" s="24" t="n">
        <f aca="false">IFERROR(E256/AVERAGE(E251:E262),"")</f>
        <v>0.569618722103218</v>
      </c>
      <c r="G256" s="23" t="n">
        <f aca="false">IF(ISNUMBER(Tabelle1!F263),(0.5*Tabelle1!F251+SUM(Tabelle1!F252:F262)+0.5*Tabelle1!F263)/12,"")</f>
        <v>186.329235416667</v>
      </c>
      <c r="H256" s="24" t="n">
        <f aca="false">IFERROR(Tabelle1!F257/G256,"")</f>
        <v>0.383620905437399</v>
      </c>
      <c r="I256" s="24" t="n">
        <f aca="false">IFERROR(AVERAGEIFS($H$7:$H$294,$B$7:$B$294,$B256,$A$7:$A$294,"&gt;="&amp;EDATE($A256,-12*'Seasonal Factors'!$E$4),$A$7:$A$294,"&lt;="&amp;EDATE($A256,12*'Seasonal Factors'!$E$4)),"")</f>
        <v>0.671945176535299</v>
      </c>
      <c r="J256" s="24" t="n">
        <f aca="false">IFERROR(I256/AVERAGE(I251:I262),"")</f>
        <v>0.676879623185995</v>
      </c>
      <c r="K256" s="23" t="n">
        <f aca="false">IF(ISNUMBER(Tabelle1!G263),(0.5*Tabelle1!G251+SUM(Tabelle1!G252:G262)+0.5*Tabelle1!G263)/12,"")</f>
        <v>115.70597375</v>
      </c>
      <c r="L256" s="24" t="n">
        <f aca="false">IFERROR(Tabelle1!G257/K256,"")</f>
        <v>1.02428592197039</v>
      </c>
      <c r="M256" s="24" t="n">
        <f aca="false">IFERROR(AVERAGEIFS($L$7:$L$294,$B$7:$B$294,$B256,$A$7:$A$294,"&gt;="&amp;EDATE($A256,-12*'Seasonal Factors'!$E$4),$A$7:$A$294,"&lt;="&amp;EDATE($A256,12*'Seasonal Factors'!$E$4)),"")</f>
        <v>1.01644967632728</v>
      </c>
      <c r="N256" s="24" t="n">
        <f aca="false">IFERROR(M256/AVERAGE(M251:M262),"")</f>
        <v>1.02015244815321</v>
      </c>
      <c r="O256" s="23" t="n">
        <f aca="false">IF(ISNUMBER(Tabelle1!H263),(0.5*Tabelle1!H251+SUM(Tabelle1!H252:H262)+0.5*Tabelle1!H263)/12,"")</f>
        <v>119.5552</v>
      </c>
      <c r="P256" s="24" t="n">
        <f aca="false">IFERROR(Tabelle1!H257/O256,"")</f>
        <v>1.12364079521426</v>
      </c>
      <c r="Q256" s="24" t="n">
        <f aca="false">IFERROR(AVERAGEIFS($P$7:$P$294,$B$7:$B$294,$B256,$A$7:$A$294,"&gt;="&amp;EDATE($A256,-12*'Seasonal Factors'!$E$4),$A$7:$A$294,"&lt;="&amp;EDATE($A256,12*'Seasonal Factors'!$E$4)),"")</f>
        <v>1.0889505536047</v>
      </c>
      <c r="R256" s="24" t="n">
        <f aca="false">IFERROR(Q256/AVERAGE(Q251:Q262),"")</f>
        <v>1.08860489635318</v>
      </c>
      <c r="S256" s="23" t="n">
        <f aca="false">IF(ISNUMBER(Tabelle1!I263),(0.5*Tabelle1!I251+SUM(Tabelle1!I252:I262)+0.5*Tabelle1!I263)/12,"")</f>
        <v>148.8613125</v>
      </c>
      <c r="T256" s="24" t="n">
        <f aca="false">IFERROR(Tabelle1!I257/S256,"")</f>
        <v>0.911935799303126</v>
      </c>
      <c r="U256" s="24" t="n">
        <f aca="false">IFERROR(AVERAGEIFS($T$7:$T$294,$B$7:$B$294,$B256,$A$7:$A$294,"&gt;="&amp;EDATE($A256,-12*'Seasonal Factors'!$E$4),$A$7:$A$294,"&lt;="&amp;EDATE($A256,12*'Seasonal Factors'!$E$4)),"")</f>
        <v>0.914206694555623</v>
      </c>
      <c r="V256" s="24" t="n">
        <f aca="false">IFERROR(U256/AVERAGE(U251:U262),"")</f>
        <v>0.915104151937963</v>
      </c>
      <c r="W256" s="23" t="n">
        <f aca="false">IF(ISNUMBER(Tabelle1!J263),(0.5*Tabelle1!J251+SUM(Tabelle1!J252:J262)+0.5*Tabelle1!J263)/12,"")</f>
        <v>127.8235975</v>
      </c>
      <c r="X256" s="24" t="n">
        <f aca="false">IFERROR(Tabelle1!J257/W256,"")</f>
        <v>1.00234207537462</v>
      </c>
      <c r="Y256" s="24" t="n">
        <f aca="false">IFERROR(AVERAGEIFS($X$7:$X$294,$B$7:$B$294,$B256,$A$7:$A$294,"&gt;="&amp;EDATE($A256,-12*'Seasonal Factors'!$E$4),$A$7:$A$294,"&lt;="&amp;EDATE($A256,12*'Seasonal Factors'!$E$4)),"")</f>
        <v>1.01754214790396</v>
      </c>
      <c r="Z256" s="24" t="n">
        <f aca="false">IFERROR(Y256/AVERAGE(Y251:Y262),"")</f>
        <v>1.01785577418676</v>
      </c>
      <c r="AA256" s="23" t="n">
        <f aca="false">IF(ISNUMBER(Tabelle1!K263),(0.5*Tabelle1!K251+SUM(Tabelle1!K252:K262)+0.5*Tabelle1!K263)/12,"")</f>
        <v>151.788268333333</v>
      </c>
      <c r="AB256" s="24" t="n">
        <f aca="false">IFERROR(Tabelle1!K257/AA256,"")</f>
        <v>1.05185480902504</v>
      </c>
      <c r="AC256" s="24" t="n">
        <f aca="false">IFERROR(AVERAGEIFS($AB$7:$AB$294,$B$7:$B$294,$B256,$A$7:$A$294,"&gt;="&amp;EDATE($A256,-12*'Seasonal Factors'!$E$4),$A$7:$A$294,"&lt;="&amp;EDATE($A256,12*'Seasonal Factors'!$E$4)),"")</f>
        <v>1.02657470119226</v>
      </c>
      <c r="AD256" s="24" t="n">
        <f aca="false">IFERROR(AC256/AVERAGE(AC251:AC262),"")</f>
        <v>1.02710848919042</v>
      </c>
      <c r="AE256" s="23" t="n">
        <f aca="false">IF(ISNUMBER(Tabelle1!L263),(0.5*Tabelle1!L251+SUM(Tabelle1!L252:L262)+0.5*Tabelle1!L263)/12,"")</f>
        <v>165.951669583333</v>
      </c>
      <c r="AF256" s="24" t="n">
        <f aca="false">IFERROR(Tabelle1!L257/AE256,"")</f>
        <v>1.11220273024922</v>
      </c>
      <c r="AG256" s="24" t="n">
        <f aca="false">IFERROR(AVERAGEIFS($AF$7:$AF$294,$B$7:$B$294,$B256,$A$7:$A$294,"&gt;="&amp;EDATE($A256,-12*'Seasonal Factors'!$E$4),$A$7:$A$294,"&lt;="&amp;EDATE($A256,12*'Seasonal Factors'!$E$4)),"")</f>
        <v>1.02765380664931</v>
      </c>
      <c r="AH256" s="24" t="n">
        <f aca="false">IFERROR(AG256/AVERAGE(AG251:AG262),"")</f>
        <v>1.04028584443237</v>
      </c>
      <c r="AI256" s="23" t="n">
        <f aca="false">IF(ISNUMBER(Tabelle1!M263),(0.5*Tabelle1!M251+SUM(Tabelle1!M252:M262)+0.5*Tabelle1!M263)/12,"")</f>
        <v>183.947864166667</v>
      </c>
      <c r="AJ256" s="24" t="n">
        <f aca="false">IFERROR(Tabelle1!M257/AI256,"")</f>
        <v>0.993428495774371</v>
      </c>
      <c r="AK256" s="24" t="n">
        <f aca="false">IFERROR(AVERAGEIFS($AJ$7:$AJ$294,$B$7:$B$294,$B256,$A$7:$A$294,"&gt;="&amp;EDATE($A256,-12*'Seasonal Factors'!$E$4),$A$7:$A$294,"&lt;="&amp;EDATE($A256,12*'Seasonal Factors'!$E$4)),"")</f>
        <v>0.989338614064374</v>
      </c>
      <c r="AL256" s="24" t="n">
        <f aca="false">IFERROR(AK256/AVERAGE(AK251:AK262),"")</f>
        <v>0.991442955457045</v>
      </c>
      <c r="AM256" s="23" t="n">
        <f aca="false">IF(ISNUMBER(Tabelle1!N263),(0.5*Tabelle1!N251+SUM(Tabelle1!N252:N262)+0.5*Tabelle1!N263)/12,"")</f>
        <v>168.154825</v>
      </c>
      <c r="AN256" s="24" t="n">
        <f aca="false">IFERROR(Tabelle1!N257/AM256,"")</f>
        <v>1.01533536132549</v>
      </c>
      <c r="AO256" s="24" t="n">
        <f aca="false">IFERROR(AVERAGEIFS($AN$7:$AN$294,$B$7:$B$294,$B256,$A$7:$A$294,"&gt;="&amp;EDATE($A256,-12*'Seasonal Factors'!$E$4),$A$7:$A$294,"&lt;="&amp;EDATE($A256,12*'Seasonal Factors'!$E$4)),"")</f>
        <v>1.02884815875865</v>
      </c>
      <c r="AP256" s="24" t="n">
        <f aca="false">IFERROR(AO256/AVERAGE(AO251:AO262),"")</f>
        <v>1.02818464970076</v>
      </c>
      <c r="AQ256" s="23" t="n">
        <f aca="false">IF(ISNUMBER(Tabelle1!O263),(0.5*Tabelle1!O251+SUM(Tabelle1!O252:O262)+0.5*Tabelle1!O263)/12,"")</f>
        <v>155.3218275</v>
      </c>
      <c r="AR256" s="24" t="n">
        <f aca="false">IFERROR(Tabelle1!O257/AQ256,"")</f>
        <v>1.01240979797254</v>
      </c>
      <c r="AS256" s="24" t="n">
        <f aca="false">IFERROR(AVERAGEIFS($AR$7:$AR$294,$B$7:$B$294,$B256,$A$7:$A$294,"&gt;="&amp;EDATE($A256,-12*'Seasonal Factors'!$E$4),$A$7:$A$294,"&lt;="&amp;EDATE($A256,12*'Seasonal Factors'!$E$4)),"")</f>
        <v>1.01241035835799</v>
      </c>
      <c r="AT256" s="24" t="n">
        <f aca="false">IFERROR(AS256/AVERAGE(AS251:AS262),"")</f>
        <v>1.01275019343476</v>
      </c>
      <c r="AU256" s="23" t="n">
        <f aca="false">IF(ISNUMBER(Tabelle1!P263),(0.5*Tabelle1!P251+SUM(Tabelle1!P252:P262)+0.5*Tabelle1!P263)/12,"")</f>
        <v>162.654446666667</v>
      </c>
      <c r="AV256" s="24" t="n">
        <f aca="false">IFERROR(Tabelle1!P257/AU256,"")</f>
        <v>0.999002937392797</v>
      </c>
      <c r="AW256" s="24" t="n">
        <f aca="false">IFERROR(AVERAGEIFS($AV$7:$AV$294,$B$7:$B$294,$B256,$A$7:$A$294,"&gt;="&amp;EDATE($A256,-12*'Seasonal Factors'!$E$4),$A$7:$A$294,"&lt;="&amp;EDATE($A256,12*'Seasonal Factors'!$E$4)),"")</f>
        <v>1.00469256149011</v>
      </c>
      <c r="AX256" s="24" t="n">
        <f aca="false">IFERROR(AW256/AVERAGE(AW251:AW262),"")</f>
        <v>1.00606480509969</v>
      </c>
      <c r="AY256" s="23" t="n">
        <f aca="false">IF(ISNUMBER(Tabelle1!Q263),(0.5*Tabelle1!Q251+SUM(Tabelle1!Q252:Q262)+0.5*Tabelle1!Q263)/12,"")</f>
        <v>171.783285416667</v>
      </c>
      <c r="AZ256" s="24" t="n">
        <f aca="false">IFERROR(Tabelle1!Q257/AY256,"")</f>
        <v>1.00842174242869</v>
      </c>
      <c r="BA256" s="24" t="n">
        <f aca="false">IFERROR(AVERAGEIFS($AZ$7:$AZ$294,$B$7:$B$294,$B256,$A$7:$A$294,"&gt;="&amp;EDATE($A256,-12*'Seasonal Factors'!$E$4),$A$7:$A$294,"&lt;="&amp;EDATE($A256,12*'Seasonal Factors'!$E$4)),"")</f>
        <v>1.0099065893164</v>
      </c>
      <c r="BB256" s="24" t="n">
        <f aca="false">IFERROR(BA256/AVERAGE(BA251:BA262),"")</f>
        <v>1.01050551020249</v>
      </c>
      <c r="BC256" s="23" t="n">
        <f aca="false">IF(ISNUMBER(Tabelle1!R263),(0.5*Tabelle1!R251+SUM(Tabelle1!R252:R262)+0.5*Tabelle1!R263)/12,"")</f>
        <v>185.520285</v>
      </c>
      <c r="BD256" s="24" t="n">
        <f aca="false">IFERROR(Tabelle1!R257/BC256,"")</f>
        <v>0.955405011371129</v>
      </c>
      <c r="BE256" s="24" t="n">
        <f aca="false">IFERROR(AVERAGEIFS($BD$7:$BD$294,$B$7:$B$294,$B256,$A$7:$A$294,"&gt;="&amp;EDATE($A256,-12*'Seasonal Factors'!$E$4),$A$7:$A$294,"&lt;="&amp;EDATE($A256,12*'Seasonal Factors'!$E$4)),"")</f>
        <v>0.966310769656143</v>
      </c>
      <c r="BF256" s="24" t="n">
        <f aca="false">IFERROR(BE256/AVERAGE(BE251:BE262),"")</f>
        <v>0.966729805915925</v>
      </c>
      <c r="BG256" s="23" t="n">
        <f aca="false">IF(ISNUMBER(Tabelle1!S263),(0.5*Tabelle1!S251+SUM(Tabelle1!S252:S262)+0.5*Tabelle1!S263)/12,"")</f>
        <v>127.428450833333</v>
      </c>
      <c r="BH256" s="24" t="n">
        <f aca="false">IFERROR(Tabelle1!S257/BG256,"")</f>
        <v>0.996062411258616</v>
      </c>
      <c r="BI256" s="24" t="n">
        <f aca="false">IFERROR(AVERAGEIFS($BH$7:$BH$294,$B$7:$B$294,$B256,$A$7:$A$294,"&gt;="&amp;EDATE($A256,-12*'Seasonal Factors'!$E$4),$A$7:$A$294,"&lt;="&amp;EDATE($A256,12*'Seasonal Factors'!$E$4)),"")</f>
        <v>1.02671952885812</v>
      </c>
      <c r="BJ256" s="24" t="n">
        <f aca="false">IFERROR(BI256/AVERAGE(BI251:BI262),"")</f>
        <v>1.03694706763005</v>
      </c>
    </row>
    <row r="257" customFormat="false" ht="15" hidden="false" customHeight="false" outlineLevel="0" collapsed="false">
      <c r="A257" s="20" t="n">
        <v>45626</v>
      </c>
      <c r="B257" s="22" t="n">
        <f aca="false">MONTH(A257)</f>
        <v>11</v>
      </c>
      <c r="C257" s="23" t="n">
        <f aca="false">IF(ISNUMBER(Tabelle1!E264),(0.5*Tabelle1!E252+SUM(Tabelle1!E253:E263)+0.5*Tabelle1!E264)/12,"")</f>
        <v>127.045092916667</v>
      </c>
      <c r="D257" s="24" t="n">
        <f aca="false">IFERROR(Tabelle1!E258/C257,"")</f>
        <v>0.637873593851879</v>
      </c>
      <c r="E257" s="24" t="n">
        <f aca="false">IFERROR(AVERAGEIFS($D$7:$D$294,$B$7:$B$294,$B257,$A$7:$A$294,"&gt;="&amp;EDATE($A257,-12*'Seasonal Factors'!$E$4),$A$7:$A$294,"&lt;="&amp;EDATE($A257,12*'Seasonal Factors'!$E$4)),"")</f>
        <v>0.684077478066241</v>
      </c>
      <c r="F257" s="24" t="n">
        <f aca="false">IFERROR(E257/AVERAGE(E252:E263),"")</f>
        <v>0.686848233775579</v>
      </c>
      <c r="G257" s="23" t="n">
        <f aca="false">IF(ISNUMBER(Tabelle1!F264),(0.5*Tabelle1!F252+SUM(Tabelle1!F253:F263)+0.5*Tabelle1!F264)/12,"")</f>
        <v>185.309278333333</v>
      </c>
      <c r="H257" s="24" t="n">
        <f aca="false">IFERROR(Tabelle1!F258/G257,"")</f>
        <v>0.788789969475085</v>
      </c>
      <c r="I257" s="24" t="n">
        <f aca="false">IFERROR(AVERAGEIFS($H$7:$H$294,$B$7:$B$294,$B257,$A$7:$A$294,"&gt;="&amp;EDATE($A257,-12*'Seasonal Factors'!$E$4),$A$7:$A$294,"&lt;="&amp;EDATE($A257,12*'Seasonal Factors'!$E$4)),"")</f>
        <v>0.573202304548657</v>
      </c>
      <c r="J257" s="24" t="n">
        <f aca="false">IFERROR(I257/AVERAGE(I252:I263),"")</f>
        <v>0.579065478252347</v>
      </c>
      <c r="K257" s="23" t="n">
        <f aca="false">IF(ISNUMBER(Tabelle1!G264),(0.5*Tabelle1!G252+SUM(Tabelle1!G253:G263)+0.5*Tabelle1!G264)/12,"")</f>
        <v>116.156789166667</v>
      </c>
      <c r="L257" s="24" t="n">
        <f aca="false">IFERROR(Tabelle1!G258/K257,"")</f>
        <v>0.979723534168225</v>
      </c>
      <c r="M257" s="24" t="n">
        <f aca="false">IFERROR(AVERAGEIFS($L$7:$L$294,$B$7:$B$294,$B257,$A$7:$A$294,"&gt;="&amp;EDATE($A257,-12*'Seasonal Factors'!$E$4),$A$7:$A$294,"&lt;="&amp;EDATE($A257,12*'Seasonal Factors'!$E$4)),"")</f>
        <v>0.967576534446493</v>
      </c>
      <c r="N257" s="24" t="n">
        <f aca="false">IFERROR(M257/AVERAGE(M252:M263),"")</f>
        <v>0.969386220698046</v>
      </c>
      <c r="O257" s="23" t="n">
        <f aca="false">IF(ISNUMBER(Tabelle1!H264),(0.5*Tabelle1!H252+SUM(Tabelle1!H253:H263)+0.5*Tabelle1!H264)/12,"")</f>
        <v>120.197715</v>
      </c>
      <c r="P257" s="24" t="n">
        <f aca="false">IFERROR(Tabelle1!H258/O257,"")</f>
        <v>1.08836561493702</v>
      </c>
      <c r="Q257" s="24" t="n">
        <f aca="false">IFERROR(AVERAGEIFS($P$7:$P$294,$B$7:$B$294,$B257,$A$7:$A$294,"&gt;="&amp;EDATE($A257,-12*'Seasonal Factors'!$E$4),$A$7:$A$294,"&lt;="&amp;EDATE($A257,12*'Seasonal Factors'!$E$4)),"")</f>
        <v>1.06364070809022</v>
      </c>
      <c r="R257" s="24" t="n">
        <f aca="false">IFERROR(Q257/AVERAGE(Q252:Q263),"")</f>
        <v>1.06115657366702</v>
      </c>
      <c r="S257" s="23" t="n">
        <f aca="false">IF(ISNUMBER(Tabelle1!I264),(0.5*Tabelle1!I252+SUM(Tabelle1!I253:I263)+0.5*Tabelle1!I264)/12,"")</f>
        <v>148.04796375</v>
      </c>
      <c r="T257" s="24" t="n">
        <f aca="false">IFERROR(Tabelle1!I258/S257,"")</f>
        <v>0.919403729387666</v>
      </c>
      <c r="U257" s="24" t="n">
        <f aca="false">IFERROR(AVERAGEIFS($T$7:$T$294,$B$7:$B$294,$B257,$A$7:$A$294,"&gt;="&amp;EDATE($A257,-12*'Seasonal Factors'!$E$4),$A$7:$A$294,"&lt;="&amp;EDATE($A257,12*'Seasonal Factors'!$E$4)),"")</f>
        <v>0.947576857471249</v>
      </c>
      <c r="V257" s="24" t="n">
        <f aca="false">IFERROR(U257/AVERAGE(U252:U263),"")</f>
        <v>0.947541471888717</v>
      </c>
      <c r="W257" s="23" t="n">
        <f aca="false">IF(ISNUMBER(Tabelle1!J264),(0.5*Tabelle1!J252+SUM(Tabelle1!J253:J263)+0.5*Tabelle1!J264)/12,"")</f>
        <v>128.88816875</v>
      </c>
      <c r="X257" s="24" t="n">
        <f aca="false">IFERROR(Tabelle1!J258/W257,"")</f>
        <v>0.992985246366921</v>
      </c>
      <c r="Y257" s="24" t="n">
        <f aca="false">IFERROR(AVERAGEIFS($X$7:$X$294,$B$7:$B$294,$B257,$A$7:$A$294,"&gt;="&amp;EDATE($A257,-12*'Seasonal Factors'!$E$4),$A$7:$A$294,"&lt;="&amp;EDATE($A257,12*'Seasonal Factors'!$E$4)),"")</f>
        <v>1.01169654591195</v>
      </c>
      <c r="Z257" s="24" t="n">
        <f aca="false">IFERROR(Y257/AVERAGE(Y252:Y263),"")</f>
        <v>1.00863609169726</v>
      </c>
      <c r="AA257" s="23" t="n">
        <f aca="false">IF(ISNUMBER(Tabelle1!K264),(0.5*Tabelle1!K252+SUM(Tabelle1!K253:K263)+0.5*Tabelle1!K264)/12,"")</f>
        <v>153.177800833333</v>
      </c>
      <c r="AB257" s="24" t="n">
        <f aca="false">IFERROR(Tabelle1!K258/AA257,"")</f>
        <v>1.04053961561586</v>
      </c>
      <c r="AC257" s="24" t="n">
        <f aca="false">IFERROR(AVERAGEIFS($AB$7:$AB$294,$B$7:$B$294,$B257,$A$7:$A$294,"&gt;="&amp;EDATE($A257,-12*'Seasonal Factors'!$E$4),$A$7:$A$294,"&lt;="&amp;EDATE($A257,12*'Seasonal Factors'!$E$4)),"")</f>
        <v>1.02000694238704</v>
      </c>
      <c r="AD257" s="24" t="n">
        <f aca="false">IFERROR(AC257/AVERAGE(AC252:AC263),"")</f>
        <v>1.01872001854266</v>
      </c>
      <c r="AE257" s="23" t="n">
        <f aca="false">IF(ISNUMBER(Tabelle1!L264),(0.5*Tabelle1!L252+SUM(Tabelle1!L253:L263)+0.5*Tabelle1!L264)/12,"")</f>
        <v>167.743309166667</v>
      </c>
      <c r="AF257" s="24" t="n">
        <f aca="false">IFERROR(Tabelle1!L258/AE257,"")</f>
        <v>1.11860354330775</v>
      </c>
      <c r="AG257" s="24" t="n">
        <f aca="false">IFERROR(AVERAGEIFS($AF$7:$AF$294,$B$7:$B$294,$B257,$A$7:$A$294,"&gt;="&amp;EDATE($A257,-12*'Seasonal Factors'!$E$4),$A$7:$A$294,"&lt;="&amp;EDATE($A257,12*'Seasonal Factors'!$E$4)),"")</f>
        <v>1.03455087545737</v>
      </c>
      <c r="AH257" s="24" t="n">
        <f aca="false">IFERROR(AG257/AVERAGE(AG252:AG263),"")</f>
        <v>1.0405126495821</v>
      </c>
      <c r="AI257" s="23" t="n">
        <f aca="false">IF(ISNUMBER(Tabelle1!M264),(0.5*Tabelle1!M252+SUM(Tabelle1!M253:M263)+0.5*Tabelle1!M264)/12,"")</f>
        <v>184.20516375</v>
      </c>
      <c r="AJ257" s="24" t="n">
        <f aca="false">IFERROR(Tabelle1!M258/AI257,"")</f>
        <v>0.988789653297654</v>
      </c>
      <c r="AK257" s="24" t="n">
        <f aca="false">IFERROR(AVERAGEIFS($AJ$7:$AJ$294,$B$7:$B$294,$B257,$A$7:$A$294,"&gt;="&amp;EDATE($A257,-12*'Seasonal Factors'!$E$4),$A$7:$A$294,"&lt;="&amp;EDATE($A257,12*'Seasonal Factors'!$E$4)),"")</f>
        <v>0.987229152507348</v>
      </c>
      <c r="AL257" s="24" t="n">
        <f aca="false">IFERROR(AK257/AVERAGE(AK252:AK263),"")</f>
        <v>0.988519904270879</v>
      </c>
      <c r="AM257" s="23" t="n">
        <f aca="false">IF(ISNUMBER(Tabelle1!N264),(0.5*Tabelle1!N252+SUM(Tabelle1!N253:N263)+0.5*Tabelle1!N264)/12,"")</f>
        <v>171.430803333333</v>
      </c>
      <c r="AN257" s="24" t="n">
        <f aca="false">IFERROR(Tabelle1!N258/AM257,"")</f>
        <v>1.00002529689287</v>
      </c>
      <c r="AO257" s="24" t="n">
        <f aca="false">IFERROR(AVERAGEIFS($AN$7:$AN$294,$B$7:$B$294,$B257,$A$7:$A$294,"&gt;="&amp;EDATE($A257,-12*'Seasonal Factors'!$E$4),$A$7:$A$294,"&lt;="&amp;EDATE($A257,12*'Seasonal Factors'!$E$4)),"")</f>
        <v>1.003304843964</v>
      </c>
      <c r="AP257" s="24" t="n">
        <f aca="false">IFERROR(AO257/AVERAGE(AO252:AO263),"")</f>
        <v>1.00280412744682</v>
      </c>
      <c r="AQ257" s="23" t="n">
        <f aca="false">IF(ISNUMBER(Tabelle1!O264),(0.5*Tabelle1!O252+SUM(Tabelle1!O253:O263)+0.5*Tabelle1!O264)/12,"")</f>
        <v>155.910568333333</v>
      </c>
      <c r="AR257" s="24" t="n">
        <f aca="false">IFERROR(Tabelle1!O258/AQ257,"")</f>
        <v>1.01338903250101</v>
      </c>
      <c r="AS257" s="24" t="n">
        <f aca="false">IFERROR(AVERAGEIFS($AR$7:$AR$294,$B$7:$B$294,$B257,$A$7:$A$294,"&gt;="&amp;EDATE($A257,-12*'Seasonal Factors'!$E$4),$A$7:$A$294,"&lt;="&amp;EDATE($A257,12*'Seasonal Factors'!$E$4)),"")</f>
        <v>1.01237680007472</v>
      </c>
      <c r="AT257" s="24" t="n">
        <f aca="false">IFERROR(AS257/AVERAGE(AS252:AS263),"")</f>
        <v>1.01157065833569</v>
      </c>
      <c r="AU257" s="23" t="n">
        <f aca="false">IF(ISNUMBER(Tabelle1!P264),(0.5*Tabelle1!P252+SUM(Tabelle1!P253:P263)+0.5*Tabelle1!P264)/12,"")</f>
        <v>162.506780416667</v>
      </c>
      <c r="AV257" s="24" t="n">
        <f aca="false">IFERROR(Tabelle1!P258/AU257,"")</f>
        <v>1.00168288106276</v>
      </c>
      <c r="AW257" s="24" t="n">
        <f aca="false">IFERROR(AVERAGEIFS($AV$7:$AV$294,$B$7:$B$294,$B257,$A$7:$A$294,"&gt;="&amp;EDATE($A257,-12*'Seasonal Factors'!$E$4),$A$7:$A$294,"&lt;="&amp;EDATE($A257,12*'Seasonal Factors'!$E$4)),"")</f>
        <v>1.00516474841023</v>
      </c>
      <c r="AX257" s="24" t="n">
        <f aca="false">IFERROR(AW257/AVERAGE(AW252:AW263),"")</f>
        <v>1.00575115898201</v>
      </c>
      <c r="AY257" s="23" t="n">
        <f aca="false">IF(ISNUMBER(Tabelle1!Q264),(0.5*Tabelle1!Q252+SUM(Tabelle1!Q253:Q263)+0.5*Tabelle1!Q264)/12,"")</f>
        <v>171.85942125</v>
      </c>
      <c r="AZ257" s="24" t="n">
        <f aca="false">IFERROR(Tabelle1!Q258/AY257,"")</f>
        <v>1.00931027661075</v>
      </c>
      <c r="BA257" s="24" t="n">
        <f aca="false">IFERROR(AVERAGEIFS($AZ$7:$AZ$294,$B$7:$B$294,$B257,$A$7:$A$294,"&gt;="&amp;EDATE($A257,-12*'Seasonal Factors'!$E$4),$A$7:$A$294,"&lt;="&amp;EDATE($A257,12*'Seasonal Factors'!$E$4)),"")</f>
        <v>1.00963630723664</v>
      </c>
      <c r="BB257" s="24" t="n">
        <f aca="false">IFERROR(BA257/AVERAGE(BA252:BA263),"")</f>
        <v>1.00975228421874</v>
      </c>
      <c r="BC257" s="23" t="n">
        <f aca="false">IF(ISNUMBER(Tabelle1!R264),(0.5*Tabelle1!R252+SUM(Tabelle1!R253:R263)+0.5*Tabelle1!R264)/12,"")</f>
        <v>185.466327916667</v>
      </c>
      <c r="BD257" s="24" t="n">
        <f aca="false">IFERROR(Tabelle1!R258/BC257,"")</f>
        <v>0.951302815890523</v>
      </c>
      <c r="BE257" s="24" t="n">
        <f aca="false">IFERROR(AVERAGEIFS($BD$7:$BD$294,$B$7:$B$294,$B257,$A$7:$A$294,"&gt;="&amp;EDATE($A257,-12*'Seasonal Factors'!$E$4),$A$7:$A$294,"&lt;="&amp;EDATE($A257,12*'Seasonal Factors'!$E$4)),"")</f>
        <v>0.959100824438857</v>
      </c>
      <c r="BF257" s="24" t="n">
        <f aca="false">IFERROR(BE257/AVERAGE(BE252:BE263),"")</f>
        <v>0.957941151304082</v>
      </c>
      <c r="BG257" s="23" t="n">
        <f aca="false">IF(ISNUMBER(Tabelle1!S264),(0.5*Tabelle1!S252+SUM(Tabelle1!S253:S263)+0.5*Tabelle1!S264)/12,"")</f>
        <v>127.60879</v>
      </c>
      <c r="BH257" s="24" t="n">
        <f aca="false">IFERROR(Tabelle1!S258/BG257,"")</f>
        <v>0.956438737488225</v>
      </c>
      <c r="BI257" s="24" t="n">
        <f aca="false">IFERROR(AVERAGEIFS($BH$7:$BH$294,$B$7:$B$294,$B257,$A$7:$A$294,"&gt;="&amp;EDATE($A257,-12*'Seasonal Factors'!$E$4),$A$7:$A$294,"&lt;="&amp;EDATE($A257,12*'Seasonal Factors'!$E$4)),"")</f>
        <v>0.992571072738917</v>
      </c>
      <c r="BJ257" s="24" t="n">
        <f aca="false">IFERROR(BI257/AVERAGE(BI252:BI263),"")</f>
        <v>0.996205600780562</v>
      </c>
    </row>
    <row r="258" customFormat="false" ht="15" hidden="false" customHeight="false" outlineLevel="0" collapsed="false">
      <c r="A258" s="20" t="n">
        <v>45657</v>
      </c>
      <c r="B258" s="22" t="n">
        <f aca="false">MONTH(A258)</f>
        <v>12</v>
      </c>
      <c r="C258" s="23" t="n">
        <f aca="false">IF(ISNUMBER(Tabelle1!E265),(0.5*Tabelle1!E253+SUM(Tabelle1!E254:E264)+0.5*Tabelle1!E265)/12,"")</f>
        <v>127.9968325</v>
      </c>
      <c r="D258" s="24" t="n">
        <f aca="false">IFERROR(Tabelle1!E259/C258,"")</f>
        <v>0.863250580829803</v>
      </c>
      <c r="E258" s="24" t="n">
        <f aca="false">IFERROR(AVERAGEIFS($D$7:$D$294,$B$7:$B$294,$B258,$A$7:$A$294,"&gt;="&amp;EDATE($A258,-12*'Seasonal Factors'!$E$4),$A$7:$A$294,"&lt;="&amp;EDATE($A258,12*'Seasonal Factors'!$E$4)),"")</f>
        <v>0.908227485335302</v>
      </c>
      <c r="F258" s="24" t="n">
        <f aca="false">IFERROR(E258/AVERAGE(E253:E264),"")</f>
        <v>0.91363507495336</v>
      </c>
      <c r="G258" s="23" t="n">
        <f aca="false">IF(ISNUMBER(Tabelle1!F265),(0.5*Tabelle1!F253+SUM(Tabelle1!F254:F264)+0.5*Tabelle1!F265)/12,"")</f>
        <v>177.37141375</v>
      </c>
      <c r="H258" s="24" t="n">
        <f aca="false">IFERROR(Tabelle1!F259/G258,"")</f>
        <v>0.645448257865059</v>
      </c>
      <c r="I258" s="24" t="n">
        <f aca="false">IFERROR(AVERAGEIFS($H$7:$H$294,$B$7:$B$294,$B258,$A$7:$A$294,"&gt;="&amp;EDATE($A258,-12*'Seasonal Factors'!$E$4),$A$7:$A$294,"&lt;="&amp;EDATE($A258,12*'Seasonal Factors'!$E$4)),"")</f>
        <v>0.68883624103064</v>
      </c>
      <c r="J258" s="24" t="n">
        <f aca="false">IFERROR(I258/AVERAGE(I253:I264),"")</f>
        <v>0.690776458371085</v>
      </c>
      <c r="K258" s="23" t="n">
        <f aca="false">IF(ISNUMBER(Tabelle1!G265),(0.5*Tabelle1!G253+SUM(Tabelle1!G254:G264)+0.5*Tabelle1!G265)/12,"")</f>
        <v>116.903868333333</v>
      </c>
      <c r="L258" s="24" t="n">
        <f aca="false">IFERROR(Tabelle1!G259/K258,"")</f>
        <v>1.01517111188836</v>
      </c>
      <c r="M258" s="24" t="n">
        <f aca="false">IFERROR(AVERAGEIFS($L$7:$L$294,$B$7:$B$294,$B258,$A$7:$A$294,"&gt;="&amp;EDATE($A258,-12*'Seasonal Factors'!$E$4),$A$7:$A$294,"&lt;="&amp;EDATE($A258,12*'Seasonal Factors'!$E$4)),"")</f>
        <v>1.00683846069149</v>
      </c>
      <c r="N258" s="24" t="n">
        <f aca="false">IFERROR(M258/AVERAGE(M253:M264),"")</f>
        <v>1.00802529230277</v>
      </c>
      <c r="O258" s="23" t="n">
        <f aca="false">IF(ISNUMBER(Tabelle1!H265),(0.5*Tabelle1!H253+SUM(Tabelle1!H254:H264)+0.5*Tabelle1!H265)/12,"")</f>
        <v>120.834330833333</v>
      </c>
      <c r="P258" s="24" t="n">
        <f aca="false">IFERROR(Tabelle1!H259/O258,"")</f>
        <v>1.0130056512568</v>
      </c>
      <c r="Q258" s="24" t="n">
        <f aca="false">IFERROR(AVERAGEIFS($P$7:$P$294,$B$7:$B$294,$B258,$A$7:$A$294,"&gt;="&amp;EDATE($A258,-12*'Seasonal Factors'!$E$4),$A$7:$A$294,"&lt;="&amp;EDATE($A258,12*'Seasonal Factors'!$E$4)),"")</f>
        <v>0.98799977845516</v>
      </c>
      <c r="R258" s="24" t="n">
        <f aca="false">IFERROR(Q258/AVERAGE(Q253:Q264),"")</f>
        <v>0.986137262749899</v>
      </c>
      <c r="S258" s="23" t="n">
        <f aca="false">IF(ISNUMBER(Tabelle1!I265),(0.5*Tabelle1!I253+SUM(Tabelle1!I254:I264)+0.5*Tabelle1!I265)/12,"")</f>
        <v>148.022357083333</v>
      </c>
      <c r="T258" s="24" t="n">
        <f aca="false">IFERROR(Tabelle1!I259/S258,"")</f>
        <v>0.985067005235642</v>
      </c>
      <c r="U258" s="24" t="n">
        <f aca="false">IFERROR(AVERAGEIFS($T$7:$T$294,$B$7:$B$294,$B258,$A$7:$A$294,"&gt;="&amp;EDATE($A258,-12*'Seasonal Factors'!$E$4),$A$7:$A$294,"&lt;="&amp;EDATE($A258,12*'Seasonal Factors'!$E$4)),"")</f>
        <v>1.01929778541586</v>
      </c>
      <c r="V258" s="24" t="n">
        <f aca="false">IFERROR(U258/AVERAGE(U253:U264),"")</f>
        <v>1.01860309138659</v>
      </c>
      <c r="W258" s="23" t="n">
        <f aca="false">IF(ISNUMBER(Tabelle1!J265),(0.5*Tabelle1!J253+SUM(Tabelle1!J254:J264)+0.5*Tabelle1!J265)/12,"")</f>
        <v>129.6217225</v>
      </c>
      <c r="X258" s="24" t="n">
        <f aca="false">IFERROR(Tabelle1!J259/W258,"")</f>
        <v>0.942302629869774</v>
      </c>
      <c r="Y258" s="24" t="n">
        <f aca="false">IFERROR(AVERAGEIFS($X$7:$X$294,$B$7:$B$294,$B258,$A$7:$A$294,"&gt;="&amp;EDATE($A258,-12*'Seasonal Factors'!$E$4),$A$7:$A$294,"&lt;="&amp;EDATE($A258,12*'Seasonal Factors'!$E$4)),"")</f>
        <v>0.964746771157361</v>
      </c>
      <c r="Z258" s="24" t="n">
        <f aca="false">IFERROR(Y258/AVERAGE(Y253:Y264),"")</f>
        <v>0.960546694145829</v>
      </c>
      <c r="AA258" s="23" t="n">
        <f aca="false">IF(ISNUMBER(Tabelle1!K265),(0.5*Tabelle1!K253+SUM(Tabelle1!K254:K264)+0.5*Tabelle1!K265)/12,"")</f>
        <v>154.34303375</v>
      </c>
      <c r="AB258" s="24" t="n">
        <f aca="false">IFERROR(Tabelle1!K259/AA258,"")</f>
        <v>0.974660380485103</v>
      </c>
      <c r="AC258" s="24" t="n">
        <f aca="false">IFERROR(AVERAGEIFS($AB$7:$AB$294,$B$7:$B$294,$B258,$A$7:$A$294,"&gt;="&amp;EDATE($A258,-12*'Seasonal Factors'!$E$4),$A$7:$A$294,"&lt;="&amp;EDATE($A258,12*'Seasonal Factors'!$E$4)),"")</f>
        <v>0.969094094749055</v>
      </c>
      <c r="AD258" s="24" t="n">
        <f aca="false">IFERROR(AC258/AVERAGE(AC253:AC264),"")</f>
        <v>0.967601695913709</v>
      </c>
      <c r="AE258" s="23" t="n">
        <f aca="false">IF(ISNUMBER(Tabelle1!L265),(0.5*Tabelle1!L253+SUM(Tabelle1!L254:L264)+0.5*Tabelle1!L265)/12,"")</f>
        <v>169.8964725</v>
      </c>
      <c r="AF258" s="24" t="n">
        <f aca="false">IFERROR(Tabelle1!L259/AE258,"")</f>
        <v>1.14927512694532</v>
      </c>
      <c r="AG258" s="24" t="n">
        <f aca="false">IFERROR(AVERAGEIFS($AF$7:$AF$294,$B$7:$B$294,$B258,$A$7:$A$294,"&gt;="&amp;EDATE($A258,-12*'Seasonal Factors'!$E$4),$A$7:$A$294,"&lt;="&amp;EDATE($A258,12*'Seasonal Factors'!$E$4)),"")</f>
        <v>1.06692937397002</v>
      </c>
      <c r="AH258" s="24" t="n">
        <f aca="false">IFERROR(AG258/AVERAGE(AG253:AG264),"")</f>
        <v>1.06748769875066</v>
      </c>
      <c r="AI258" s="23" t="n">
        <f aca="false">IF(ISNUMBER(Tabelle1!M265),(0.5*Tabelle1!M253+SUM(Tabelle1!M254:M264)+0.5*Tabelle1!M265)/12,"")</f>
        <v>184.39644</v>
      </c>
      <c r="AJ258" s="24" t="n">
        <f aca="false">IFERROR(Tabelle1!M259/AI258,"")</f>
        <v>0.989450392860079</v>
      </c>
      <c r="AK258" s="24" t="n">
        <f aca="false">IFERROR(AVERAGEIFS($AJ$7:$AJ$294,$B$7:$B$294,$B258,$A$7:$A$294,"&gt;="&amp;EDATE($A258,-12*'Seasonal Factors'!$E$4),$A$7:$A$294,"&lt;="&amp;EDATE($A258,12*'Seasonal Factors'!$E$4)),"")</f>
        <v>0.977553699764504</v>
      </c>
      <c r="AL258" s="24" t="n">
        <f aca="false">IFERROR(AK258/AVERAGE(AK253:AK264),"")</f>
        <v>0.978406325485575</v>
      </c>
      <c r="AM258" s="23" t="n">
        <f aca="false">IF(ISNUMBER(Tabelle1!N265),(0.5*Tabelle1!N253+SUM(Tabelle1!N254:N264)+0.5*Tabelle1!N265)/12,"")</f>
        <v>174.615725</v>
      </c>
      <c r="AN258" s="24" t="n">
        <f aca="false">IFERROR(Tabelle1!N259/AM258,"")</f>
        <v>1.01054323715691</v>
      </c>
      <c r="AO258" s="24" t="n">
        <f aca="false">IFERROR(AVERAGEIFS($AN$7:$AN$294,$B$7:$B$294,$B258,$A$7:$A$294,"&gt;="&amp;EDATE($A258,-12*'Seasonal Factors'!$E$4),$A$7:$A$294,"&lt;="&amp;EDATE($A258,12*'Seasonal Factors'!$E$4)),"")</f>
        <v>1.02041352404871</v>
      </c>
      <c r="AP258" s="24" t="n">
        <f aca="false">IFERROR(AO258/AVERAGE(AO253:AO264),"")</f>
        <v>1.02043247118491</v>
      </c>
      <c r="AQ258" s="23" t="n">
        <f aca="false">IF(ISNUMBER(Tabelle1!O265),(0.5*Tabelle1!O253+SUM(Tabelle1!O254:O264)+0.5*Tabelle1!O265)/12,"")</f>
        <v>156.423381666667</v>
      </c>
      <c r="AR258" s="24" t="n">
        <f aca="false">IFERROR(Tabelle1!O259/AQ258,"")</f>
        <v>1.02913380522002</v>
      </c>
      <c r="AS258" s="24" t="n">
        <f aca="false">IFERROR(AVERAGEIFS($AR$7:$AR$294,$B$7:$B$294,$B258,$A$7:$A$294,"&gt;="&amp;EDATE($A258,-12*'Seasonal Factors'!$E$4),$A$7:$A$294,"&lt;="&amp;EDATE($A258,12*'Seasonal Factors'!$E$4)),"")</f>
        <v>1.01989179464963</v>
      </c>
      <c r="AT258" s="24" t="n">
        <f aca="false">IFERROR(AS258/AVERAGE(AS253:AS264),"")</f>
        <v>1.01853390636347</v>
      </c>
      <c r="AU258" s="23" t="n">
        <f aca="false">IF(ISNUMBER(Tabelle1!P265),(0.5*Tabelle1!P253+SUM(Tabelle1!P254:P264)+0.5*Tabelle1!P265)/12,"")</f>
        <v>162.364359583333</v>
      </c>
      <c r="AV258" s="24" t="n">
        <f aca="false">IFERROR(Tabelle1!P259/AU258,"")</f>
        <v>1.00320982029556</v>
      </c>
      <c r="AW258" s="24" t="n">
        <f aca="false">IFERROR(AVERAGEIFS($AV$7:$AV$294,$B$7:$B$294,$B258,$A$7:$A$294,"&gt;="&amp;EDATE($A258,-12*'Seasonal Factors'!$E$4),$A$7:$A$294,"&lt;="&amp;EDATE($A258,12*'Seasonal Factors'!$E$4)),"")</f>
        <v>1.00708564836225</v>
      </c>
      <c r="AX258" s="24" t="n">
        <f aca="false">IFERROR(AW258/AVERAGE(AW253:AW264),"")</f>
        <v>1.00699451504081</v>
      </c>
      <c r="AY258" s="23" t="n">
        <f aca="false">IF(ISNUMBER(Tabelle1!Q265),(0.5*Tabelle1!Q253+SUM(Tabelle1!Q254:Q264)+0.5*Tabelle1!Q265)/12,"")</f>
        <v>171.93556375</v>
      </c>
      <c r="AZ258" s="24" t="n">
        <f aca="false">IFERROR(Tabelle1!Q259/AY258,"")</f>
        <v>1.0143400597074</v>
      </c>
      <c r="BA258" s="24" t="n">
        <f aca="false">IFERROR(AVERAGEIFS($AZ$7:$AZ$294,$B$7:$B$294,$B258,$A$7:$A$294,"&gt;="&amp;EDATE($A258,-12*'Seasonal Factors'!$E$4),$A$7:$A$294,"&lt;="&amp;EDATE($A258,12*'Seasonal Factors'!$E$4)),"")</f>
        <v>1.01482329413859</v>
      </c>
      <c r="BB258" s="24" t="n">
        <f aca="false">IFERROR(BA258/AVERAGE(BA253:BA264),"")</f>
        <v>1.0144879680307</v>
      </c>
      <c r="BC258" s="23" t="n">
        <f aca="false">IF(ISNUMBER(Tabelle1!R265),(0.5*Tabelle1!R253+SUM(Tabelle1!R254:R264)+0.5*Tabelle1!R265)/12,"")</f>
        <v>185.443955416667</v>
      </c>
      <c r="BD258" s="24" t="n">
        <f aca="false">IFERROR(Tabelle1!R259/BC258,"")</f>
        <v>0.914836558672501</v>
      </c>
      <c r="BE258" s="24" t="n">
        <f aca="false">IFERROR(AVERAGEIFS($BD$7:$BD$294,$B$7:$B$294,$B258,$A$7:$A$294,"&gt;="&amp;EDATE($A258,-12*'Seasonal Factors'!$E$4),$A$7:$A$294,"&lt;="&amp;EDATE($A258,12*'Seasonal Factors'!$E$4)),"")</f>
        <v>0.921228938480861</v>
      </c>
      <c r="BF258" s="24" t="n">
        <f aca="false">IFERROR(BE258/AVERAGE(BE253:BE264),"")</f>
        <v>0.918826438343717</v>
      </c>
      <c r="BG258" s="23" t="n">
        <f aca="false">IF(ISNUMBER(Tabelle1!S265),(0.5*Tabelle1!S253+SUM(Tabelle1!S254:S264)+0.5*Tabelle1!S265)/12,"")</f>
        <v>127.62736625</v>
      </c>
      <c r="BH258" s="24" t="n">
        <f aca="false">IFERROR(Tabelle1!S259/BG258,"")</f>
        <v>0.989864507213397</v>
      </c>
      <c r="BI258" s="24" t="n">
        <f aca="false">IFERROR(AVERAGEIFS($BH$7:$BH$294,$B$7:$B$294,$B258,$A$7:$A$294,"&gt;="&amp;EDATE($A258,-12*'Seasonal Factors'!$E$4),$A$7:$A$294,"&lt;="&amp;EDATE($A258,12*'Seasonal Factors'!$E$4)),"")</f>
        <v>1.02065727770452</v>
      </c>
      <c r="BJ258" s="24" t="n">
        <f aca="false">IFERROR(BI258/AVERAGE(BI253:BI264),"")</f>
        <v>1.0201546027386</v>
      </c>
    </row>
    <row r="259" customFormat="false" ht="15" hidden="false" customHeight="false" outlineLevel="0" collapsed="false">
      <c r="A259" s="20" t="n">
        <v>45688</v>
      </c>
      <c r="B259" s="22" t="n">
        <f aca="false">MONTH(A259)</f>
        <v>1</v>
      </c>
      <c r="C259" s="23" t="n">
        <f aca="false">IF(ISNUMBER(Tabelle1!E266),(0.5*Tabelle1!E254+SUM(Tabelle1!E255:E265)+0.5*Tabelle1!E266)/12,"")</f>
        <v>128.484541666667</v>
      </c>
      <c r="D259" s="24" t="n">
        <f aca="false">IFERROR(Tabelle1!E260/C259,"")</f>
        <v>0.71524401930323</v>
      </c>
      <c r="E259" s="24" t="n">
        <f aca="false">IFERROR(AVERAGEIFS($D$7:$D$294,$B$7:$B$294,$B259,$A$7:$A$294,"&gt;="&amp;EDATE($A259,-12*'Seasonal Factors'!$E$4),$A$7:$A$294,"&lt;="&amp;EDATE($A259,12*'Seasonal Factors'!$E$4)),"")</f>
        <v>0.759003107614342</v>
      </c>
      <c r="F259" s="24" t="n">
        <f aca="false">IFERROR(E259/AVERAGE(E254:E265),"")</f>
        <v>0.763464926191213</v>
      </c>
      <c r="G259" s="23" t="n">
        <f aca="false">IF(ISNUMBER(Tabelle1!F266),(0.5*Tabelle1!F254+SUM(Tabelle1!F255:F265)+0.5*Tabelle1!F266)/12,"")</f>
        <v>159.177041666667</v>
      </c>
      <c r="H259" s="24" t="n">
        <f aca="false">IFERROR(Tabelle1!F260/G259,"")</f>
        <v>0.982691526128271</v>
      </c>
      <c r="I259" s="24" t="n">
        <f aca="false">IFERROR(AVERAGEIFS($H$7:$H$294,$B$7:$B$294,$B259,$A$7:$A$294,"&gt;="&amp;EDATE($A259,-12*'Seasonal Factors'!$E$4),$A$7:$A$294,"&lt;="&amp;EDATE($A259,12*'Seasonal Factors'!$E$4)),"")</f>
        <v>0.885574168363507</v>
      </c>
      <c r="J259" s="24" t="n">
        <f aca="false">IFERROR(I259/AVERAGE(I254:I265),"")</f>
        <v>0.877149434549115</v>
      </c>
      <c r="K259" s="23" t="n">
        <f aca="false">IF(ISNUMBER(Tabelle1!G266),(0.5*Tabelle1!G254+SUM(Tabelle1!G255:G265)+0.5*Tabelle1!G266)/12,"")</f>
        <v>118.05001625</v>
      </c>
      <c r="L259" s="24" t="n">
        <f aca="false">IFERROR(Tabelle1!G260/K259,"")</f>
        <v>1.03713031043314</v>
      </c>
      <c r="M259" s="24" t="n">
        <f aca="false">IFERROR(AVERAGEIFS($L$7:$L$294,$B$7:$B$294,$B259,$A$7:$A$294,"&gt;="&amp;EDATE($A259,-12*'Seasonal Factors'!$E$4),$A$7:$A$294,"&lt;="&amp;EDATE($A259,12*'Seasonal Factors'!$E$4)),"")</f>
        <v>1.01344471405149</v>
      </c>
      <c r="N259" s="24" t="n">
        <f aca="false">IFERROR(M259/AVERAGE(M254:M265),"")</f>
        <v>1.01437901758667</v>
      </c>
      <c r="O259" s="23" t="n">
        <f aca="false">IF(ISNUMBER(Tabelle1!H266),(0.5*Tabelle1!H254+SUM(Tabelle1!H255:H265)+0.5*Tabelle1!H266)/12,"")</f>
        <v>121.149909166667</v>
      </c>
      <c r="P259" s="24" t="n">
        <f aca="false">IFERROR(Tabelle1!H260/O259,"")</f>
        <v>0.882490302596251</v>
      </c>
      <c r="Q259" s="24" t="n">
        <f aca="false">IFERROR(AVERAGEIFS($P$7:$P$294,$B$7:$B$294,$B259,$A$7:$A$294,"&gt;="&amp;EDATE($A259,-12*'Seasonal Factors'!$E$4),$A$7:$A$294,"&lt;="&amp;EDATE($A259,12*'Seasonal Factors'!$E$4)),"")</f>
        <v>0.856554631675186</v>
      </c>
      <c r="R259" s="24" t="n">
        <f aca="false">IFERROR(Q259/AVERAGE(Q254:Q265),"")</f>
        <v>0.855007962414097</v>
      </c>
      <c r="S259" s="23" t="n">
        <f aca="false">IF(ISNUMBER(Tabelle1!I266),(0.5*Tabelle1!I254+SUM(Tabelle1!I255:I265)+0.5*Tabelle1!I266)/12,"")</f>
        <v>148.425875833333</v>
      </c>
      <c r="T259" s="24" t="n">
        <f aca="false">IFERROR(Tabelle1!I260/S259,"")</f>
        <v>1.12139409025215</v>
      </c>
      <c r="U259" s="24" t="n">
        <f aca="false">IFERROR(AVERAGEIFS($T$7:$T$294,$B$7:$B$294,$B259,$A$7:$A$294,"&gt;="&amp;EDATE($A259,-12*'Seasonal Factors'!$E$4),$A$7:$A$294,"&lt;="&amp;EDATE($A259,12*'Seasonal Factors'!$E$4)),"")</f>
        <v>1.08670647157112</v>
      </c>
      <c r="V259" s="24" t="n">
        <f aca="false">IFERROR(U259/AVERAGE(U254:U265),"")</f>
        <v>1.08651653250974</v>
      </c>
      <c r="W259" s="23" t="n">
        <f aca="false">IF(ISNUMBER(Tabelle1!J266),(0.5*Tabelle1!J254+SUM(Tabelle1!J255:J265)+0.5*Tabelle1!J266)/12,"")</f>
        <v>130.107195833333</v>
      </c>
      <c r="X259" s="24" t="n">
        <f aca="false">IFERROR(Tabelle1!J260/W259,"")</f>
        <v>1.02844703663745</v>
      </c>
      <c r="Y259" s="24" t="n">
        <f aca="false">IFERROR(AVERAGEIFS($X$7:$X$294,$B$7:$B$294,$B259,$A$7:$A$294,"&gt;="&amp;EDATE($A259,-12*'Seasonal Factors'!$E$4),$A$7:$A$294,"&lt;="&amp;EDATE($A259,12*'Seasonal Factors'!$E$4)),"")</f>
        <v>1.0175765252041</v>
      </c>
      <c r="Z259" s="24" t="n">
        <f aca="false">IFERROR(Y259/AVERAGE(Y254:Y265),"")</f>
        <v>1.0135237526475</v>
      </c>
      <c r="AA259" s="23" t="n">
        <f aca="false">IF(ISNUMBER(Tabelle1!K266),(0.5*Tabelle1!K254+SUM(Tabelle1!K255:K265)+0.5*Tabelle1!K266)/12,"")</f>
        <v>155.015127916667</v>
      </c>
      <c r="AB259" s="24" t="n">
        <f aca="false">IFERROR(Tabelle1!K260/AA259,"")</f>
        <v>0.955503065995116</v>
      </c>
      <c r="AC259" s="24" t="n">
        <f aca="false">IFERROR(AVERAGEIFS($AB$7:$AB$294,$B$7:$B$294,$B259,$A$7:$A$294,"&gt;="&amp;EDATE($A259,-12*'Seasonal Factors'!$E$4),$A$7:$A$294,"&lt;="&amp;EDATE($A259,12*'Seasonal Factors'!$E$4)),"")</f>
        <v>0.919840109831855</v>
      </c>
      <c r="AD259" s="24" t="n">
        <f aca="false">IFERROR(AC259/AVERAGE(AC254:AC265),"")</f>
        <v>0.918591649575474</v>
      </c>
      <c r="AE259" s="23" t="n">
        <f aca="false">IF(ISNUMBER(Tabelle1!L266),(0.5*Tabelle1!L254+SUM(Tabelle1!L255:L265)+0.5*Tabelle1!L266)/12,"")</f>
        <v>171.468745416667</v>
      </c>
      <c r="AF259" s="24" t="n">
        <f aca="false">IFERROR(Tabelle1!L260/AE259,"")</f>
        <v>1.13915879844662</v>
      </c>
      <c r="AG259" s="24" t="n">
        <f aca="false">IFERROR(AVERAGEIFS($AF$7:$AF$294,$B$7:$B$294,$B259,$A$7:$A$294,"&gt;="&amp;EDATE($A259,-12*'Seasonal Factors'!$E$4),$A$7:$A$294,"&lt;="&amp;EDATE($A259,12*'Seasonal Factors'!$E$4)),"")</f>
        <v>1.21241572348682</v>
      </c>
      <c r="AH259" s="24" t="n">
        <f aca="false">IFERROR(AG259/AVERAGE(AG254:AG265),"")</f>
        <v>1.20931982027575</v>
      </c>
      <c r="AI259" s="23" t="n">
        <f aca="false">IF(ISNUMBER(Tabelle1!M266),(0.5*Tabelle1!M254+SUM(Tabelle1!M255:M265)+0.5*Tabelle1!M266)/12,"")</f>
        <v>184.585867916667</v>
      </c>
      <c r="AJ259" s="24" t="n">
        <f aca="false">IFERROR(Tabelle1!M260/AI259,"")</f>
        <v>0.989225459461693</v>
      </c>
      <c r="AK259" s="24" t="n">
        <f aca="false">IFERROR(AVERAGEIFS($AJ$7:$AJ$294,$B$7:$B$294,$B259,$A$7:$A$294,"&gt;="&amp;EDATE($A259,-12*'Seasonal Factors'!$E$4),$A$7:$A$294,"&lt;="&amp;EDATE($A259,12*'Seasonal Factors'!$E$4)),"")</f>
        <v>0.978053120293976</v>
      </c>
      <c r="AL259" s="24" t="n">
        <f aca="false">IFERROR(AK259/AVERAGE(AK254:AK265),"")</f>
        <v>0.97818975055729</v>
      </c>
      <c r="AM259" s="23" t="n">
        <f aca="false">IF(ISNUMBER(Tabelle1!N266),(0.5*Tabelle1!N254+SUM(Tabelle1!N255:N265)+0.5*Tabelle1!N266)/12,"")</f>
        <v>177.741776666667</v>
      </c>
      <c r="AN259" s="24" t="n">
        <f aca="false">IFERROR(Tabelle1!N260/AM259,"")</f>
        <v>1.04665995518255</v>
      </c>
      <c r="AO259" s="24" t="n">
        <f aca="false">IFERROR(AVERAGEIFS($AN$7:$AN$294,$B$7:$B$294,$B259,$A$7:$A$294,"&gt;="&amp;EDATE($A259,-12*'Seasonal Factors'!$E$4),$A$7:$A$294,"&lt;="&amp;EDATE($A259,12*'Seasonal Factors'!$E$4)),"")</f>
        <v>1.00320266076565</v>
      </c>
      <c r="AP259" s="24" t="n">
        <f aca="false">IFERROR(AO259/AVERAGE(AO254:AO265),"")</f>
        <v>1.00320671506976</v>
      </c>
      <c r="AQ259" s="23" t="n">
        <f aca="false">IF(ISNUMBER(Tabelle1!O266),(0.5*Tabelle1!O254+SUM(Tabelle1!O255:O265)+0.5*Tabelle1!O266)/12,"")</f>
        <v>156.966170416667</v>
      </c>
      <c r="AR259" s="24" t="n">
        <f aca="false">IFERROR(Tabelle1!O260/AQ259,"")</f>
        <v>0.978121716242737</v>
      </c>
      <c r="AS259" s="24" t="n">
        <f aca="false">IFERROR(AVERAGEIFS($AR$7:$AR$294,$B$7:$B$294,$B259,$A$7:$A$294,"&gt;="&amp;EDATE($A259,-12*'Seasonal Factors'!$E$4),$A$7:$A$294,"&lt;="&amp;EDATE($A259,12*'Seasonal Factors'!$E$4)),"")</f>
        <v>0.977614794771305</v>
      </c>
      <c r="AT259" s="24" t="n">
        <f aca="false">IFERROR(AS259/AVERAGE(AS254:AS265),"")</f>
        <v>0.976108455920744</v>
      </c>
      <c r="AU259" s="23" t="n">
        <f aca="false">IF(ISNUMBER(Tabelle1!P266),(0.5*Tabelle1!P254+SUM(Tabelle1!P255:P265)+0.5*Tabelle1!P266)/12,"")</f>
        <v>162.220595</v>
      </c>
      <c r="AV259" s="24" t="n">
        <f aca="false">IFERROR(Tabelle1!P260/AU259,"")</f>
        <v>1.004837332769</v>
      </c>
      <c r="AW259" s="24" t="n">
        <f aca="false">IFERROR(AVERAGEIFS($AV$7:$AV$294,$B$7:$B$294,$B259,$A$7:$A$294,"&gt;="&amp;EDATE($A259,-12*'Seasonal Factors'!$E$4),$A$7:$A$294,"&lt;="&amp;EDATE($A259,12*'Seasonal Factors'!$E$4)),"")</f>
        <v>1.00714809544695</v>
      </c>
      <c r="AX259" s="24" t="n">
        <f aca="false">IFERROR(AW259/AVERAGE(AW254:AW265),"")</f>
        <v>1.00682986090782</v>
      </c>
      <c r="AY259" s="23" t="n">
        <f aca="false">IF(ISNUMBER(Tabelle1!Q266),(0.5*Tabelle1!Q254+SUM(Tabelle1!Q255:Q265)+0.5*Tabelle1!Q266)/12,"")</f>
        <v>172.021705833333</v>
      </c>
      <c r="AZ259" s="24" t="n">
        <f aca="false">IFERROR(Tabelle1!Q260/AY259,"")</f>
        <v>0.975405337292536</v>
      </c>
      <c r="BA259" s="24" t="n">
        <f aca="false">IFERROR(AVERAGEIFS($AZ$7:$AZ$294,$B$7:$B$294,$B259,$A$7:$A$294,"&gt;="&amp;EDATE($A259,-12*'Seasonal Factors'!$E$4),$A$7:$A$294,"&lt;="&amp;EDATE($A259,12*'Seasonal Factors'!$E$4)),"")</f>
        <v>0.975807432629963</v>
      </c>
      <c r="BB259" s="24" t="n">
        <f aca="false">IFERROR(BA259/AVERAGE(BA254:BA265),"")</f>
        <v>0.975385318432914</v>
      </c>
      <c r="BC259" s="23" t="n">
        <f aca="false">IF(ISNUMBER(Tabelle1!R266),(0.5*Tabelle1!R254+SUM(Tabelle1!R255:R265)+0.5*Tabelle1!R266)/12,"")</f>
        <v>185.42542875</v>
      </c>
      <c r="BD259" s="24" t="n">
        <f aca="false">IFERROR(Tabelle1!R260/BC259,"")</f>
        <v>1.008065998607</v>
      </c>
      <c r="BE259" s="24" t="n">
        <f aca="false">IFERROR(AVERAGEIFS($BD$7:$BD$294,$B$7:$B$294,$B259,$A$7:$A$294,"&gt;="&amp;EDATE($A259,-12*'Seasonal Factors'!$E$4),$A$7:$A$294,"&lt;="&amp;EDATE($A259,12*'Seasonal Factors'!$E$4)),"")</f>
        <v>1.00519011275094</v>
      </c>
      <c r="BF259" s="24" t="n">
        <f aca="false">IFERROR(BE259/AVERAGE(BE254:BE265),"")</f>
        <v>1.00261831389908</v>
      </c>
      <c r="BG259" s="23" t="n">
        <f aca="false">IF(ISNUMBER(Tabelle1!S266),(0.5*Tabelle1!S254+SUM(Tabelle1!S255:S265)+0.5*Tabelle1!S266)/12,"")</f>
        <v>127.566320416667</v>
      </c>
      <c r="BH259" s="24" t="n">
        <f aca="false">IFERROR(Tabelle1!S260/BG259,"")</f>
        <v>1.10535554791763</v>
      </c>
      <c r="BI259" s="24" t="n">
        <f aca="false">IFERROR(AVERAGEIFS($BH$7:$BH$294,$B$7:$B$294,$B259,$A$7:$A$294,"&gt;="&amp;EDATE($A259,-12*'Seasonal Factors'!$E$4),$A$7:$A$294,"&lt;="&amp;EDATE($A259,12*'Seasonal Factors'!$E$4)),"")</f>
        <v>1.13039256303121</v>
      </c>
      <c r="BJ259" s="24" t="n">
        <f aca="false">IFERROR(BI259/AVERAGE(BI254:BI265),"")</f>
        <v>1.12456264036139</v>
      </c>
    </row>
    <row r="260" customFormat="false" ht="15" hidden="false" customHeight="false" outlineLevel="0" collapsed="false">
      <c r="A260" s="20" t="n">
        <v>45716</v>
      </c>
      <c r="B260" s="22" t="n">
        <f aca="false">MONTH(A260)</f>
        <v>2</v>
      </c>
      <c r="C260" s="23" t="n">
        <f aca="false">IF(ISNUMBER(Tabelle1!E267),(0.5*Tabelle1!E255+SUM(Tabelle1!E256:E266)+0.5*Tabelle1!E267)/12,"")</f>
        <v>128.553167916667</v>
      </c>
      <c r="D260" s="24" t="n">
        <f aca="false">IFERROR(Tabelle1!E261/C260,"")</f>
        <v>0.584342892651975</v>
      </c>
      <c r="E260" s="24" t="n">
        <f aca="false">IFERROR(AVERAGEIFS($D$7:$D$294,$B$7:$B$294,$B260,$A$7:$A$294,"&gt;="&amp;EDATE($A260,-12*'Seasonal Factors'!$E$4),$A$7:$A$294,"&lt;="&amp;EDATE($A260,12*'Seasonal Factors'!$E$4)),"")</f>
        <v>0.616021185911862</v>
      </c>
      <c r="F260" s="24" t="n">
        <f aca="false">IFERROR(E260/AVERAGE(E255:E266),"")</f>
        <v>0.61916501348823</v>
      </c>
      <c r="G260" s="23" t="n">
        <f aca="false">IF(ISNUMBER(Tabelle1!F267),(0.5*Tabelle1!F255+SUM(Tabelle1!F256:F266)+0.5*Tabelle1!F267)/12,"")</f>
        <v>149.394813333333</v>
      </c>
      <c r="H260" s="24" t="n">
        <f aca="false">IFERROR(Tabelle1!F261/G260,"")</f>
        <v>1.48598565804739</v>
      </c>
      <c r="I260" s="24" t="n">
        <f aca="false">IFERROR(AVERAGEIFS($H$7:$H$294,$B$7:$B$294,$B260,$A$7:$A$294,"&gt;="&amp;EDATE($A260,-12*'Seasonal Factors'!$E$4),$A$7:$A$294,"&lt;="&amp;EDATE($A260,12*'Seasonal Factors'!$E$4)),"")</f>
        <v>1.02622068622229</v>
      </c>
      <c r="J260" s="24" t="n">
        <f aca="false">IFERROR(I260/AVERAGE(I255:I266),"")</f>
        <v>1.01999687533903</v>
      </c>
      <c r="K260" s="23" t="n">
        <f aca="false">IF(ISNUMBER(Tabelle1!G267),(0.5*Tabelle1!G255+SUM(Tabelle1!G256:G266)+0.5*Tabelle1!G267)/12,"")</f>
        <v>119.142638333333</v>
      </c>
      <c r="L260" s="24" t="n">
        <f aca="false">IFERROR(Tabelle1!G261/K260,"")</f>
        <v>0.926324878682181</v>
      </c>
      <c r="M260" s="24" t="n">
        <f aca="false">IFERROR(AVERAGEIFS($L$7:$L$294,$B$7:$B$294,$B260,$A$7:$A$294,"&gt;="&amp;EDATE($A260,-12*'Seasonal Factors'!$E$4),$A$7:$A$294,"&lt;="&amp;EDATE($A260,12*'Seasonal Factors'!$E$4)),"")</f>
        <v>0.922155403914414</v>
      </c>
      <c r="N260" s="24" t="n">
        <f aca="false">IFERROR(M260/AVERAGE(M255:M266),"")</f>
        <v>0.923156645467983</v>
      </c>
      <c r="O260" s="23" t="n">
        <f aca="false">IF(ISNUMBER(Tabelle1!H267),(0.5*Tabelle1!H255+SUM(Tabelle1!H256:H266)+0.5*Tabelle1!H267)/12,"")</f>
        <v>120.84489625</v>
      </c>
      <c r="P260" s="24" t="n">
        <f aca="false">IFERROR(Tabelle1!H261/O260,"")</f>
        <v>0.892940896542</v>
      </c>
      <c r="Q260" s="24" t="n">
        <f aca="false">IFERROR(AVERAGEIFS($P$7:$P$294,$B$7:$B$294,$B260,$A$7:$A$294,"&gt;="&amp;EDATE($A260,-12*'Seasonal Factors'!$E$4),$A$7:$A$294,"&lt;="&amp;EDATE($A260,12*'Seasonal Factors'!$E$4)),"")</f>
        <v>0.867366370666742</v>
      </c>
      <c r="R260" s="24" t="n">
        <f aca="false">IFERROR(Q260/AVERAGE(Q255:Q266),"")</f>
        <v>0.865640778706815</v>
      </c>
      <c r="S260" s="23" t="n">
        <f aca="false">IF(ISNUMBER(Tabelle1!I267),(0.5*Tabelle1!I255+SUM(Tabelle1!I256:I266)+0.5*Tabelle1!I267)/12,"")</f>
        <v>148.158695833333</v>
      </c>
      <c r="T260" s="24" t="n">
        <f aca="false">IFERROR(Tabelle1!I261/S260,"")</f>
        <v>1.05518207433375</v>
      </c>
      <c r="U260" s="24" t="n">
        <f aca="false">IFERROR(AVERAGEIFS($T$7:$T$294,$B$7:$B$294,$B260,$A$7:$A$294,"&gt;="&amp;EDATE($A260,-12*'Seasonal Factors'!$E$4),$A$7:$A$294,"&lt;="&amp;EDATE($A260,12*'Seasonal Factors'!$E$4)),"")</f>
        <v>0.97408153914332</v>
      </c>
      <c r="V260" s="24" t="n">
        <f aca="false">IFERROR(U260/AVERAGE(U255:U266),"")</f>
        <v>0.973850117903463</v>
      </c>
      <c r="W260" s="23" t="n">
        <f aca="false">IF(ISNUMBER(Tabelle1!J267),(0.5*Tabelle1!J255+SUM(Tabelle1!J256:J266)+0.5*Tabelle1!J267)/12,"")</f>
        <v>130.112698333333</v>
      </c>
      <c r="X260" s="24" t="n">
        <f aca="false">IFERROR(Tabelle1!J261/W260,"")</f>
        <v>1.00505547633008</v>
      </c>
      <c r="Y260" s="24" t="n">
        <f aca="false">IFERROR(AVERAGEIFS($X$7:$X$294,$B$7:$B$294,$B260,$A$7:$A$294,"&gt;="&amp;EDATE($A260,-12*'Seasonal Factors'!$E$4),$A$7:$A$294,"&lt;="&amp;EDATE($A260,12*'Seasonal Factors'!$E$4)),"")</f>
        <v>0.999088220607078</v>
      </c>
      <c r="Z260" s="24" t="n">
        <f aca="false">IFERROR(Y260/AVERAGE(Y255:Y266),"")</f>
        <v>0.99473141801587</v>
      </c>
      <c r="AA260" s="23" t="n">
        <f aca="false">IF(ISNUMBER(Tabelle1!K267),(0.5*Tabelle1!K255+SUM(Tabelle1!K256:K266)+0.5*Tabelle1!K267)/12,"")</f>
        <v>154.881232916667</v>
      </c>
      <c r="AB260" s="24" t="n">
        <f aca="false">IFERROR(Tabelle1!K261/AA260,"")</f>
        <v>0.962688875806045</v>
      </c>
      <c r="AC260" s="24" t="n">
        <f aca="false">IFERROR(AVERAGEIFS($AB$7:$AB$294,$B$7:$B$294,$B260,$A$7:$A$294,"&gt;="&amp;EDATE($A260,-12*'Seasonal Factors'!$E$4),$A$7:$A$294,"&lt;="&amp;EDATE($A260,12*'Seasonal Factors'!$E$4)),"")</f>
        <v>0.933071826537771</v>
      </c>
      <c r="AD260" s="24" t="n">
        <f aca="false">IFERROR(AC260/AVERAGE(AC255:AC266),"")</f>
        <v>0.931540785874243</v>
      </c>
      <c r="AE260" s="23" t="n">
        <f aca="false">IF(ISNUMBER(Tabelle1!L267),(0.5*Tabelle1!L255+SUM(Tabelle1!L256:L266)+0.5*Tabelle1!L267)/12,"")</f>
        <v>172.48497875</v>
      </c>
      <c r="AF260" s="24" t="n">
        <f aca="false">IFERROR(Tabelle1!L261/AE260,"")</f>
        <v>1.07704932537495</v>
      </c>
      <c r="AG260" s="24" t="n">
        <f aca="false">IFERROR(AVERAGEIFS($AF$7:$AF$294,$B$7:$B$294,$B260,$A$7:$A$294,"&gt;="&amp;EDATE($A260,-12*'Seasonal Factors'!$E$4),$A$7:$A$294,"&lt;="&amp;EDATE($A260,12*'Seasonal Factors'!$E$4)),"")</f>
        <v>1.15994465137458</v>
      </c>
      <c r="AH260" s="24" t="n">
        <f aca="false">IFERROR(AG260/AVERAGE(AG255:AG266),"")</f>
        <v>1.15577629121636</v>
      </c>
      <c r="AI260" s="23" t="n">
        <f aca="false">IF(ISNUMBER(Tabelle1!M267),(0.5*Tabelle1!M255+SUM(Tabelle1!M256:M266)+0.5*Tabelle1!M267)/12,"")</f>
        <v>184.8639325</v>
      </c>
      <c r="AJ260" s="24" t="n">
        <f aca="false">IFERROR(Tabelle1!M261/AI260,"")</f>
        <v>0.957746530681424</v>
      </c>
      <c r="AK260" s="24" t="n">
        <f aca="false">IFERROR(AVERAGEIFS($AJ$7:$AJ$294,$B$7:$B$294,$B260,$A$7:$A$294,"&gt;="&amp;EDATE($A260,-12*'Seasonal Factors'!$E$4),$A$7:$A$294,"&lt;="&amp;EDATE($A260,12*'Seasonal Factors'!$E$4)),"")</f>
        <v>0.952499822755146</v>
      </c>
      <c r="AL260" s="24" t="n">
        <f aca="false">IFERROR(AK260/AVERAGE(AK255:AK266),"")</f>
        <v>0.952275621520658</v>
      </c>
      <c r="AM260" s="23" t="n">
        <f aca="false">IF(ISNUMBER(Tabelle1!N267),(0.5*Tabelle1!N255+SUM(Tabelle1!N256:N266)+0.5*Tabelle1!N267)/12,"")</f>
        <v>180.8823125</v>
      </c>
      <c r="AN260" s="24" t="n">
        <f aca="false">IFERROR(Tabelle1!N261/AM260,"")</f>
        <v>0.982100004941058</v>
      </c>
      <c r="AO260" s="24" t="n">
        <f aca="false">IFERROR(AVERAGEIFS($AN$7:$AN$294,$B$7:$B$294,$B260,$A$7:$A$294,"&gt;="&amp;EDATE($A260,-12*'Seasonal Factors'!$E$4),$A$7:$A$294,"&lt;="&amp;EDATE($A260,12*'Seasonal Factors'!$E$4)),"")</f>
        <v>0.94535956713322</v>
      </c>
      <c r="AP260" s="24" t="n">
        <f aca="false">IFERROR(AO260/AVERAGE(AO255:AO266),"")</f>
        <v>0.945410512371622</v>
      </c>
      <c r="AQ260" s="23" t="n">
        <f aca="false">IF(ISNUMBER(Tabelle1!O267),(0.5*Tabelle1!O255+SUM(Tabelle1!O256:O266)+0.5*Tabelle1!O267)/12,"")</f>
        <v>157.360795416667</v>
      </c>
      <c r="AR260" s="24" t="n">
        <f aca="false">IFERROR(Tabelle1!O261/AQ260,"")</f>
        <v>0.978404243524136</v>
      </c>
      <c r="AS260" s="24" t="n">
        <f aca="false">IFERROR(AVERAGEIFS($AR$7:$AR$294,$B$7:$B$294,$B260,$A$7:$A$294,"&gt;="&amp;EDATE($A260,-12*'Seasonal Factors'!$E$4),$A$7:$A$294,"&lt;="&amp;EDATE($A260,12*'Seasonal Factors'!$E$4)),"")</f>
        <v>0.973197426663132</v>
      </c>
      <c r="AT260" s="24" t="n">
        <f aca="false">IFERROR(AS260/AVERAGE(AS255:AS266),"")</f>
        <v>0.971766183094521</v>
      </c>
      <c r="AU260" s="23" t="n">
        <f aca="false">IF(ISNUMBER(Tabelle1!P267),(0.5*Tabelle1!P255+SUM(Tabelle1!P256:P266)+0.5*Tabelle1!P267)/12,"")</f>
        <v>162.068425833333</v>
      </c>
      <c r="AV260" s="24" t="n">
        <f aca="false">IFERROR(Tabelle1!P261/AU260,"")</f>
        <v>1.00588210912622</v>
      </c>
      <c r="AW260" s="24" t="n">
        <f aca="false">IFERROR(AVERAGEIFS($AV$7:$AV$294,$B$7:$B$294,$B260,$A$7:$A$294,"&gt;="&amp;EDATE($A260,-12*'Seasonal Factors'!$E$4),$A$7:$A$294,"&lt;="&amp;EDATE($A260,12*'Seasonal Factors'!$E$4)),"")</f>
        <v>1.00668141418069</v>
      </c>
      <c r="AX260" s="24" t="n">
        <f aca="false">IFERROR(AW260/AVERAGE(AW255:AW266),"")</f>
        <v>1.0061639787805</v>
      </c>
      <c r="AY260" s="23" t="n">
        <f aca="false">IF(ISNUMBER(Tabelle1!Q267),(0.5*Tabelle1!Q255+SUM(Tabelle1!Q256:Q266)+0.5*Tabelle1!Q267)/12,"")</f>
        <v>172.10090625</v>
      </c>
      <c r="AZ260" s="24" t="n">
        <f aca="false">IFERROR(Tabelle1!Q261/AY260,"")</f>
        <v>0.978386422645581</v>
      </c>
      <c r="BA260" s="24" t="n">
        <f aca="false">IFERROR(AVERAGEIFS($AZ$7:$AZ$294,$B$7:$B$294,$B260,$A$7:$A$294,"&gt;="&amp;EDATE($A260,-12*'Seasonal Factors'!$E$4),$A$7:$A$294,"&lt;="&amp;EDATE($A260,12*'Seasonal Factors'!$E$4)),"")</f>
        <v>0.980650241495373</v>
      </c>
      <c r="BB260" s="24" t="n">
        <f aca="false">IFERROR(BA260/AVERAGE(BA255:BA266),"")</f>
        <v>0.980076679341301</v>
      </c>
      <c r="BC260" s="23" t="n">
        <f aca="false">IF(ISNUMBER(Tabelle1!R267),(0.5*Tabelle1!R255+SUM(Tabelle1!R256:R266)+0.5*Tabelle1!R267)/12,"")</f>
        <v>185.410795</v>
      </c>
      <c r="BD260" s="24" t="n">
        <f aca="false">IFERROR(Tabelle1!R261/BC260,"")</f>
        <v>0.950022138678603</v>
      </c>
      <c r="BE260" s="24" t="n">
        <f aca="false">IFERROR(AVERAGEIFS($BD$7:$BD$294,$B$7:$B$294,$B260,$A$7:$A$294,"&gt;="&amp;EDATE($A260,-12*'Seasonal Factors'!$E$4),$A$7:$A$294,"&lt;="&amp;EDATE($A260,12*'Seasonal Factors'!$E$4)),"")</f>
        <v>0.952328749768351</v>
      </c>
      <c r="BF260" s="24" t="n">
        <f aca="false">IFERROR(BE260/AVERAGE(BE255:BE266),"")</f>
        <v>0.949842770464825</v>
      </c>
      <c r="BG260" s="23" t="n">
        <f aca="false">IF(ISNUMBER(Tabelle1!S267),(0.5*Tabelle1!S255+SUM(Tabelle1!S256:S266)+0.5*Tabelle1!S267)/12,"")</f>
        <v>127.560867916667</v>
      </c>
      <c r="BH260" s="24" t="n">
        <f aca="false">IFERROR(Tabelle1!S261/BG260,"")</f>
        <v>1.0843544125959</v>
      </c>
      <c r="BI260" s="24" t="n">
        <f aca="false">IFERROR(AVERAGEIFS($BH$7:$BH$294,$B$7:$B$294,$B260,$A$7:$A$294,"&gt;="&amp;EDATE($A260,-12*'Seasonal Factors'!$E$4),$A$7:$A$294,"&lt;="&amp;EDATE($A260,12*'Seasonal Factors'!$E$4)),"")</f>
        <v>1.09803746613119</v>
      </c>
      <c r="BJ260" s="24" t="n">
        <f aca="false">IFERROR(BI260/AVERAGE(BI255:BI266),"")</f>
        <v>1.08915634972499</v>
      </c>
    </row>
    <row r="261" customFormat="false" ht="15" hidden="false" customHeight="false" outlineLevel="0" collapsed="false">
      <c r="A261" s="20" t="n">
        <v>45747</v>
      </c>
      <c r="B261" s="22" t="n">
        <f aca="false">MONTH(A261)</f>
        <v>3</v>
      </c>
      <c r="C261" s="23" t="n">
        <f aca="false">IF(ISNUMBER(Tabelle1!E268),(0.5*Tabelle1!E256+SUM(Tabelle1!E257:E267)+0.5*Tabelle1!E268)/12,"")</f>
        <v>128.581520416667</v>
      </c>
      <c r="D261" s="24" t="n">
        <f aca="false">IFERROR(Tabelle1!E262/C261,"")</f>
        <v>1.15095162602244</v>
      </c>
      <c r="E261" s="24" t="n">
        <f aca="false">IFERROR(AVERAGEIFS($D$7:$D$294,$B$7:$B$294,$B261,$A$7:$A$294,"&gt;="&amp;EDATE($A261,-12*'Seasonal Factors'!$E$4),$A$7:$A$294,"&lt;="&amp;EDATE($A261,12*'Seasonal Factors'!$E$4)),"")</f>
        <v>1.18511474196091</v>
      </c>
      <c r="F261" s="24" t="n">
        <f aca="false">IFERROR(E261/AVERAGE(E256:E267),"")</f>
        <v>1.19048061129237</v>
      </c>
      <c r="G261" s="23" t="n">
        <f aca="false">IF(ISNUMBER(Tabelle1!F268),(0.5*Tabelle1!F256+SUM(Tabelle1!F257:F267)+0.5*Tabelle1!F268)/12,"")</f>
        <v>153.611332916667</v>
      </c>
      <c r="H261" s="24" t="n">
        <f aca="false">IFERROR(Tabelle1!F262/G261,"")</f>
        <v>0.861905872998482</v>
      </c>
      <c r="I261" s="24" t="n">
        <f aca="false">IFERROR(AVERAGEIFS($H$7:$H$294,$B$7:$B$294,$B261,$A$7:$A$294,"&gt;="&amp;EDATE($A261,-12*'Seasonal Factors'!$E$4),$A$7:$A$294,"&lt;="&amp;EDATE($A261,12*'Seasonal Factors'!$E$4)),"")</f>
        <v>0.764384708337995</v>
      </c>
      <c r="J261" s="24" t="n">
        <f aca="false">IFERROR(I261/AVERAGE(I256:I267),"")</f>
        <v>0.763325004705831</v>
      </c>
      <c r="K261" s="23" t="n">
        <f aca="false">IF(ISNUMBER(Tabelle1!G268),(0.5*Tabelle1!G256+SUM(Tabelle1!G257:G267)+0.5*Tabelle1!G268)/12,"")</f>
        <v>119.988397083333</v>
      </c>
      <c r="L261" s="24" t="n">
        <f aca="false">IFERROR(Tabelle1!G262/K261,"")</f>
        <v>0.975081031532934</v>
      </c>
      <c r="M261" s="24" t="n">
        <f aca="false">IFERROR(AVERAGEIFS($L$7:$L$294,$B$7:$B$294,$B261,$A$7:$A$294,"&gt;="&amp;EDATE($A261,-12*'Seasonal Factors'!$E$4),$A$7:$A$294,"&lt;="&amp;EDATE($A261,12*'Seasonal Factors'!$E$4)),"")</f>
        <v>0.997071923464995</v>
      </c>
      <c r="N261" s="24" t="n">
        <f aca="false">IFERROR(M261/AVERAGE(M256:M267),"")</f>
        <v>0.998025968775993</v>
      </c>
      <c r="O261" s="23" t="n">
        <f aca="false">IF(ISNUMBER(Tabelle1!H268),(0.5*Tabelle1!H256+SUM(Tabelle1!H257:H267)+0.5*Tabelle1!H268)/12,"")</f>
        <v>120.556873333333</v>
      </c>
      <c r="P261" s="24" t="n">
        <f aca="false">IFERROR(Tabelle1!H262/O261,"")</f>
        <v>0.961744418167005</v>
      </c>
      <c r="Q261" s="24" t="n">
        <f aca="false">IFERROR(AVERAGEIFS($P$7:$P$294,$B$7:$B$294,$B261,$A$7:$A$294,"&gt;="&amp;EDATE($A261,-12*'Seasonal Factors'!$E$4),$A$7:$A$294,"&lt;="&amp;EDATE($A261,12*'Seasonal Factors'!$E$4)),"")</f>
        <v>1.00810215913926</v>
      </c>
      <c r="R261" s="24" t="n">
        <f aca="false">IFERROR(Q261/AVERAGE(Q256:Q267),"")</f>
        <v>1.00655963265069</v>
      </c>
      <c r="S261" s="23" t="n">
        <f aca="false">IF(ISNUMBER(Tabelle1!I268),(0.5*Tabelle1!I256+SUM(Tabelle1!I257:I267)+0.5*Tabelle1!I268)/12,"")</f>
        <v>148.118013333333</v>
      </c>
      <c r="T261" s="24" t="n">
        <f aca="false">IFERROR(Tabelle1!I262/S261,"")</f>
        <v>0.987173448451149</v>
      </c>
      <c r="U261" s="24" t="n">
        <f aca="false">IFERROR(AVERAGEIFS($T$7:$T$294,$B$7:$B$294,$B261,$A$7:$A$294,"&gt;="&amp;EDATE($A261,-12*'Seasonal Factors'!$E$4),$A$7:$A$294,"&lt;="&amp;EDATE($A261,12*'Seasonal Factors'!$E$4)),"")</f>
        <v>1.01763113560163</v>
      </c>
      <c r="V261" s="24" t="n">
        <f aca="false">IFERROR(U261/AVERAGE(U256:U267),"")</f>
        <v>1.0177542052621</v>
      </c>
      <c r="W261" s="23" t="n">
        <f aca="false">IF(ISNUMBER(Tabelle1!J268),(0.5*Tabelle1!J256+SUM(Tabelle1!J257:J267)+0.5*Tabelle1!J268)/12,"")</f>
        <v>130.209492083333</v>
      </c>
      <c r="X261" s="24" t="n">
        <f aca="false">IFERROR(Tabelle1!J262/W261,"")</f>
        <v>1.01642605222128</v>
      </c>
      <c r="Y261" s="24" t="n">
        <f aca="false">IFERROR(AVERAGEIFS($X$7:$X$294,$B$7:$B$294,$B261,$A$7:$A$294,"&gt;="&amp;EDATE($A261,-12*'Seasonal Factors'!$E$4),$A$7:$A$294,"&lt;="&amp;EDATE($A261,12*'Seasonal Factors'!$E$4)),"")</f>
        <v>1.02760882324738</v>
      </c>
      <c r="Z261" s="24" t="n">
        <f aca="false">IFERROR(Y261/AVERAGE(Y256:Y267),"")</f>
        <v>1.02235524397791</v>
      </c>
      <c r="AA261" s="23" t="n">
        <f aca="false">IF(ISNUMBER(Tabelle1!K268),(0.5*Tabelle1!K256+SUM(Tabelle1!K257:K267)+0.5*Tabelle1!K268)/12,"")</f>
        <v>154.72015625</v>
      </c>
      <c r="AB261" s="24" t="n">
        <f aca="false">IFERROR(Tabelle1!K262/AA261,"")</f>
        <v>0.995044238135585</v>
      </c>
      <c r="AC261" s="24" t="n">
        <f aca="false">IFERROR(AVERAGEIFS($AB$7:$AB$294,$B$7:$B$294,$B261,$A$7:$A$294,"&gt;="&amp;EDATE($A261,-12*'Seasonal Factors'!$E$4),$A$7:$A$294,"&lt;="&amp;EDATE($A261,12*'Seasonal Factors'!$E$4)),"")</f>
        <v>1.0189774992386</v>
      </c>
      <c r="AD261" s="24" t="n">
        <f aca="false">IFERROR(AC261/AVERAGE(AC256:AC267),"")</f>
        <v>1.0177472109035</v>
      </c>
      <c r="AE261" s="23" t="n">
        <f aca="false">IF(ISNUMBER(Tabelle1!L268),(0.5*Tabelle1!L256+SUM(Tabelle1!L257:L267)+0.5*Tabelle1!L268)/12,"")</f>
        <v>173.533450833333</v>
      </c>
      <c r="AF261" s="24" t="n">
        <f aca="false">IFERROR(Tabelle1!L262/AE261,"")</f>
        <v>0.863416414993688</v>
      </c>
      <c r="AG261" s="24" t="n">
        <f aca="false">IFERROR(AVERAGEIFS($AF$7:$AF$294,$B$7:$B$294,$B261,$A$7:$A$294,"&gt;="&amp;EDATE($A261,-12*'Seasonal Factors'!$E$4),$A$7:$A$294,"&lt;="&amp;EDATE($A261,12*'Seasonal Factors'!$E$4)),"")</f>
        <v>0.917831506666213</v>
      </c>
      <c r="AH261" s="24" t="n">
        <f aca="false">IFERROR(AG261/AVERAGE(AG256:AG267),"")</f>
        <v>0.91345220356824</v>
      </c>
      <c r="AI261" s="23" t="n">
        <f aca="false">IF(ISNUMBER(Tabelle1!M268),(0.5*Tabelle1!M256+SUM(Tabelle1!M257:M267)+0.5*Tabelle1!M268)/12,"")</f>
        <v>185.279493333333</v>
      </c>
      <c r="AJ261" s="24" t="n">
        <f aca="false">IFERROR(Tabelle1!M262/AI261,"")</f>
        <v>0.998789270580907</v>
      </c>
      <c r="AK261" s="24" t="n">
        <f aca="false">IFERROR(AVERAGEIFS($AJ$7:$AJ$294,$B$7:$B$294,$B261,$A$7:$A$294,"&gt;="&amp;EDATE($A261,-12*'Seasonal Factors'!$E$4),$A$7:$A$294,"&lt;="&amp;EDATE($A261,12*'Seasonal Factors'!$E$4)),"")</f>
        <v>1.01145588257334</v>
      </c>
      <c r="AL261" s="24" t="n">
        <f aca="false">IFERROR(AK261/AVERAGE(AK256:AK267),"")</f>
        <v>1.01115326628066</v>
      </c>
      <c r="AM261" s="23" t="n">
        <f aca="false">IF(ISNUMBER(Tabelle1!N268),(0.5*Tabelle1!N256+SUM(Tabelle1!N257:N267)+0.5*Tabelle1!N268)/12,"")</f>
        <v>185.18566</v>
      </c>
      <c r="AN261" s="24" t="n">
        <f aca="false">IFERROR(Tabelle1!N262/AM261,"")</f>
        <v>1.03960252645912</v>
      </c>
      <c r="AO261" s="24" t="n">
        <f aca="false">IFERROR(AVERAGEIFS($AN$7:$AN$294,$B$7:$B$294,$B261,$A$7:$A$294,"&gt;="&amp;EDATE($A261,-12*'Seasonal Factors'!$E$4),$A$7:$A$294,"&lt;="&amp;EDATE($A261,12*'Seasonal Factors'!$E$4)),"")</f>
        <v>1.04428305694066</v>
      </c>
      <c r="AP261" s="24" t="n">
        <f aca="false">IFERROR(AO261/AVERAGE(AO256:AO267),"")</f>
        <v>1.04404877609276</v>
      </c>
      <c r="AQ261" s="23" t="n">
        <f aca="false">IF(ISNUMBER(Tabelle1!O268),(0.5*Tabelle1!O256+SUM(Tabelle1!O257:O267)+0.5*Tabelle1!O268)/12,"")</f>
        <v>157.825270833333</v>
      </c>
      <c r="AR261" s="24" t="n">
        <f aca="false">IFERROR(Tabelle1!O262/AQ261,"")</f>
        <v>0.980169203469079</v>
      </c>
      <c r="AS261" s="24" t="n">
        <f aca="false">IFERROR(AVERAGEIFS($AR$7:$AR$294,$B$7:$B$294,$B261,$A$7:$A$294,"&gt;="&amp;EDATE($A261,-12*'Seasonal Factors'!$E$4),$A$7:$A$294,"&lt;="&amp;EDATE($A261,12*'Seasonal Factors'!$E$4)),"")</f>
        <v>0.989429917716891</v>
      </c>
      <c r="AT261" s="24" t="n">
        <f aca="false">IFERROR(AS261/AVERAGE(AS256:AS267),"")</f>
        <v>0.988178295276691</v>
      </c>
      <c r="AU261" s="23" t="n">
        <f aca="false">IF(ISNUMBER(Tabelle1!P268),(0.5*Tabelle1!P256+SUM(Tabelle1!P257:P267)+0.5*Tabelle1!P268)/12,"")</f>
        <v>161.918883333333</v>
      </c>
      <c r="AV261" s="24" t="n">
        <f aca="false">IFERROR(Tabelle1!P262/AU261,"")</f>
        <v>0.996396323138345</v>
      </c>
      <c r="AW261" s="24" t="n">
        <f aca="false">IFERROR(AVERAGEIFS($AV$7:$AV$294,$B$7:$B$294,$B261,$A$7:$A$294,"&gt;="&amp;EDATE($A261,-12*'Seasonal Factors'!$E$4),$A$7:$A$294,"&lt;="&amp;EDATE($A261,12*'Seasonal Factors'!$E$4)),"")</f>
        <v>1.0015286039646</v>
      </c>
      <c r="AX261" s="24" t="n">
        <f aca="false">IFERROR(AW261/AVERAGE(AW256:AW267),"")</f>
        <v>1.00086832555043</v>
      </c>
      <c r="AY261" s="23" t="n">
        <f aca="false">IF(ISNUMBER(Tabelle1!Q268),(0.5*Tabelle1!Q256+SUM(Tabelle1!Q257:Q267)+0.5*Tabelle1!Q268)/12,"")</f>
        <v>172.188052916667</v>
      </c>
      <c r="AZ261" s="24" t="n">
        <f aca="false">IFERROR(Tabelle1!Q262/AY261,"")</f>
        <v>0.998693272193655</v>
      </c>
      <c r="BA261" s="24" t="n">
        <f aca="false">IFERROR(AVERAGEIFS($AZ$7:$AZ$294,$B$7:$B$294,$B261,$A$7:$A$294,"&gt;="&amp;EDATE($A261,-12*'Seasonal Factors'!$E$4),$A$7:$A$294,"&lt;="&amp;EDATE($A261,12*'Seasonal Factors'!$E$4)),"")</f>
        <v>1.00232890743527</v>
      </c>
      <c r="BB261" s="24" t="n">
        <f aca="false">IFERROR(BA261/AVERAGE(BA256:BA267),"")</f>
        <v>1.00172878172914</v>
      </c>
      <c r="BC261" s="23" t="n">
        <f aca="false">IF(ISNUMBER(Tabelle1!R268),(0.5*Tabelle1!R256+SUM(Tabelle1!R257:R267)+0.5*Tabelle1!R268)/12,"")</f>
        <v>185.43785</v>
      </c>
      <c r="BD261" s="24" t="n">
        <f aca="false">IFERROR(Tabelle1!R262/BC261,"")</f>
        <v>1.0284400946193</v>
      </c>
      <c r="BE261" s="24" t="n">
        <f aca="false">IFERROR(AVERAGEIFS($BD$7:$BD$294,$B$7:$B$294,$B261,$A$7:$A$294,"&gt;="&amp;EDATE($A261,-12*'Seasonal Factors'!$E$4),$A$7:$A$294,"&lt;="&amp;EDATE($A261,12*'Seasonal Factors'!$E$4)),"")</f>
        <v>1.0297015264942</v>
      </c>
      <c r="BF261" s="24" t="n">
        <f aca="false">IFERROR(BE261/AVERAGE(BE256:BE267),"")</f>
        <v>1.02746977624606</v>
      </c>
      <c r="BG261" s="23" t="n">
        <f aca="false">IF(ISNUMBER(Tabelle1!S268),(0.5*Tabelle1!S256+SUM(Tabelle1!S257:S267)+0.5*Tabelle1!S268)/12,"")</f>
        <v>127.697474166667</v>
      </c>
      <c r="BH261" s="24" t="n">
        <f aca="false">IFERROR(Tabelle1!S262/BG261,"")</f>
        <v>1.08330780152667</v>
      </c>
      <c r="BI261" s="24" t="n">
        <f aca="false">IFERROR(AVERAGEIFS($BH$7:$BH$294,$B$7:$B$294,$B261,$A$7:$A$294,"&gt;="&amp;EDATE($A261,-12*'Seasonal Factors'!$E$4),$A$7:$A$294,"&lt;="&amp;EDATE($A261,12*'Seasonal Factors'!$E$4)),"")</f>
        <v>1.08337154288731</v>
      </c>
      <c r="BJ261" s="24" t="n">
        <f aca="false">IFERROR(BI261/AVERAGE(BI256:BI267),"")</f>
        <v>1.07240060687975</v>
      </c>
    </row>
    <row r="262" customFormat="false" ht="15" hidden="false" customHeight="false" outlineLevel="0" collapsed="false">
      <c r="A262" s="20" t="n">
        <v>45777</v>
      </c>
      <c r="B262" s="22" t="n">
        <f aca="false">MONTH(A262)</f>
        <v>4</v>
      </c>
      <c r="C262" s="23" t="n">
        <f aca="false">IF(ISNUMBER(Tabelle1!E269),(0.5*Tabelle1!E257+SUM(Tabelle1!E258:E268)+0.5*Tabelle1!E269)/12,"")</f>
        <v>128.786550833333</v>
      </c>
      <c r="D262" s="24" t="n">
        <f aca="false">IFERROR(Tabelle1!E263/C262,"")</f>
        <v>1.66152792054289</v>
      </c>
      <c r="E262" s="24" t="n">
        <f aca="false">IFERROR(AVERAGEIFS($D$7:$D$294,$B$7:$B$294,$B262,$A$7:$A$294,"&gt;="&amp;EDATE($A262,-12*'Seasonal Factors'!$E$4),$A$7:$A$294,"&lt;="&amp;EDATE($A262,12*'Seasonal Factors'!$E$4)),"")</f>
        <v>1.56112121007084</v>
      </c>
      <c r="F262" s="24" t="n">
        <f aca="false">IFERROR(E262/AVERAGE(E257:E268),"")</f>
        <v>1.56814157224963</v>
      </c>
      <c r="G262" s="23" t="n">
        <f aca="false">IF(ISNUMBER(Tabelle1!F269),(0.5*Tabelle1!F257+SUM(Tabelle1!F258:F268)+0.5*Tabelle1!F269)/12,"")</f>
        <v>159.729927916667</v>
      </c>
      <c r="H262" s="24" t="n">
        <f aca="false">IFERROR(Tabelle1!F263/G262,"")</f>
        <v>0.951308887331845</v>
      </c>
      <c r="I262" s="24" t="n">
        <f aca="false">IFERROR(AVERAGEIFS($H$7:$H$294,$B$7:$B$294,$B262,$A$7:$A$294,"&gt;="&amp;EDATE($A262,-12*'Seasonal Factors'!$E$4),$A$7:$A$294,"&lt;="&amp;EDATE($A262,12*'Seasonal Factors'!$E$4)),"")</f>
        <v>0.887500041171226</v>
      </c>
      <c r="J262" s="24" t="n">
        <f aca="false">IFERROR(I262/AVERAGE(I257:I268),"")</f>
        <v>0.892973282622235</v>
      </c>
      <c r="K262" s="23" t="n">
        <f aca="false">IF(ISNUMBER(Tabelle1!G269),(0.5*Tabelle1!G257+SUM(Tabelle1!G258:G268)+0.5*Tabelle1!G269)/12,"")</f>
        <v>120.78007875</v>
      </c>
      <c r="L262" s="24" t="n">
        <f aca="false">IFERROR(Tabelle1!G263/K262,"")</f>
        <v>0.961278558530498</v>
      </c>
      <c r="M262" s="24" t="n">
        <f aca="false">IFERROR(AVERAGEIFS($L$7:$L$294,$B$7:$B$294,$B262,$A$7:$A$294,"&gt;="&amp;EDATE($A262,-12*'Seasonal Factors'!$E$4),$A$7:$A$294,"&lt;="&amp;EDATE($A262,12*'Seasonal Factors'!$E$4)),"")</f>
        <v>0.981528783180561</v>
      </c>
      <c r="N262" s="24" t="n">
        <f aca="false">IFERROR(M262/AVERAGE(M257:M268),"")</f>
        <v>0.982488772935365</v>
      </c>
      <c r="O262" s="23" t="n">
        <f aca="false">IF(ISNUMBER(Tabelle1!H269),(0.5*Tabelle1!H257+SUM(Tabelle1!H258:H268)+0.5*Tabelle1!H269)/12,"")</f>
        <v>120.353801666667</v>
      </c>
      <c r="P262" s="24" t="n">
        <f aca="false">IFERROR(Tabelle1!H263/O262,"")</f>
        <v>0.987723265520445</v>
      </c>
      <c r="Q262" s="24" t="n">
        <f aca="false">IFERROR(AVERAGEIFS($P$7:$P$294,$B$7:$B$294,$B262,$A$7:$A$294,"&gt;="&amp;EDATE($A262,-12*'Seasonal Factors'!$E$4),$A$7:$A$294,"&lt;="&amp;EDATE($A262,12*'Seasonal Factors'!$E$4)),"")</f>
        <v>0.979361275042009</v>
      </c>
      <c r="R262" s="24" t="n">
        <f aca="false">IFERROR(Q262/AVERAGE(Q257:Q268),"")</f>
        <v>0.978369024321645</v>
      </c>
      <c r="S262" s="23" t="n">
        <f aca="false">IF(ISNUMBER(Tabelle1!I269),(0.5*Tabelle1!I257+SUM(Tabelle1!I258:I268)+0.5*Tabelle1!I269)/12,"")</f>
        <v>148.30784875</v>
      </c>
      <c r="T262" s="24" t="n">
        <f aca="false">IFERROR(Tabelle1!I263/S262,"")</f>
        <v>0.874457900192555</v>
      </c>
      <c r="U262" s="24" t="n">
        <f aca="false">IFERROR(AVERAGEIFS($T$7:$T$294,$B$7:$B$294,$B262,$A$7:$A$294,"&gt;="&amp;EDATE($A262,-12*'Seasonal Factors'!$E$4),$A$7:$A$294,"&lt;="&amp;EDATE($A262,12*'Seasonal Factors'!$E$4)),"")</f>
        <v>0.905075224211218</v>
      </c>
      <c r="V262" s="24" t="n">
        <f aca="false">IFERROR(U262/AVERAGE(U257:U268),"")</f>
        <v>0.905596449335998</v>
      </c>
      <c r="W262" s="23" t="n">
        <f aca="false">IF(ISNUMBER(Tabelle1!J269),(0.5*Tabelle1!J257+SUM(Tabelle1!J258:J268)+0.5*Tabelle1!J269)/12,"")</f>
        <v>130.545595833333</v>
      </c>
      <c r="X262" s="24" t="n">
        <f aca="false">IFERROR(Tabelle1!J263/W262,"")</f>
        <v>1.02025923701052</v>
      </c>
      <c r="Y262" s="24" t="n">
        <f aca="false">IFERROR(AVERAGEIFS($X$7:$X$294,$B$7:$B$294,$B262,$A$7:$A$294,"&gt;="&amp;EDATE($A262,-12*'Seasonal Factors'!$E$4),$A$7:$A$294,"&lt;="&amp;EDATE($A262,12*'Seasonal Factors'!$E$4)),"")</f>
        <v>0.97842972395186</v>
      </c>
      <c r="Z262" s="24" t="n">
        <f aca="false">IFERROR(Y262/AVERAGE(Y257:Y268),"")</f>
        <v>0.974697803347361</v>
      </c>
      <c r="AA262" s="23" t="n">
        <f aca="false">IF(ISNUMBER(Tabelle1!K269),(0.5*Tabelle1!K257+SUM(Tabelle1!K258:K268)+0.5*Tabelle1!K269)/12,"")</f>
        <v>154.766575833333</v>
      </c>
      <c r="AB262" s="24" t="n">
        <f aca="false">IFERROR(Tabelle1!K263/AA262,"")</f>
        <v>1.02901378506624</v>
      </c>
      <c r="AC262" s="24" t="n">
        <f aca="false">IFERROR(AVERAGEIFS($AB$7:$AB$294,$B$7:$B$294,$B262,$A$7:$A$294,"&gt;="&amp;EDATE($A262,-12*'Seasonal Factors'!$E$4),$A$7:$A$294,"&lt;="&amp;EDATE($A262,12*'Seasonal Factors'!$E$4)),"")</f>
        <v>1.00564008377739</v>
      </c>
      <c r="AD262" s="24" t="n">
        <f aca="false">IFERROR(AC262/AVERAGE(AC257:AC268),"")</f>
        <v>1.00488550884889</v>
      </c>
      <c r="AE262" s="23" t="n">
        <f aca="false">IF(ISNUMBER(Tabelle1!L269),(0.5*Tabelle1!L257+SUM(Tabelle1!L258:L268)+0.5*Tabelle1!L269)/12,"")</f>
        <v>174.1021075</v>
      </c>
      <c r="AF262" s="24" t="n">
        <f aca="false">IFERROR(Tabelle1!L263/AE262,"")</f>
        <v>0.716421597596112</v>
      </c>
      <c r="AG262" s="24" t="n">
        <f aca="false">IFERROR(AVERAGEIFS($AF$7:$AF$294,$B$7:$B$294,$B262,$A$7:$A$294,"&gt;="&amp;EDATE($A262,-12*'Seasonal Factors'!$E$4),$A$7:$A$294,"&lt;="&amp;EDATE($A262,12*'Seasonal Factors'!$E$4)),"")</f>
        <v>0.784901031923175</v>
      </c>
      <c r="AH262" s="24" t="n">
        <f aca="false">IFERROR(AG262/AVERAGE(AG257:AG268),"")</f>
        <v>0.780609082767035</v>
      </c>
      <c r="AI262" s="23" t="n">
        <f aca="false">IF(ISNUMBER(Tabelle1!M269),(0.5*Tabelle1!M257+SUM(Tabelle1!M258:M268)+0.5*Tabelle1!M269)/12,"")</f>
        <v>185.689941666667</v>
      </c>
      <c r="AJ262" s="24" t="n">
        <f aca="false">IFERROR(Tabelle1!M263/AI262,"")</f>
        <v>1.02054019888799</v>
      </c>
      <c r="AK262" s="24" t="n">
        <f aca="false">IFERROR(AVERAGEIFS($AJ$7:$AJ$294,$B$7:$B$294,$B262,$A$7:$A$294,"&gt;="&amp;EDATE($A262,-12*'Seasonal Factors'!$E$4),$A$7:$A$294,"&lt;="&amp;EDATE($A262,12*'Seasonal Factors'!$E$4)),"")</f>
        <v>1.02487269253459</v>
      </c>
      <c r="AL262" s="24" t="n">
        <f aca="false">IFERROR(AK262/AVERAGE(AK257:AK268),"")</f>
        <v>1.02433034332906</v>
      </c>
      <c r="AM262" s="23" t="n">
        <f aca="false">IF(ISNUMBER(Tabelle1!N269),(0.5*Tabelle1!N257+SUM(Tabelle1!N258:N268)+0.5*Tabelle1!N269)/12,"")</f>
        <v>189.465633333333</v>
      </c>
      <c r="AN262" s="24" t="n">
        <f aca="false">IFERROR(Tabelle1!N263/AM262,"")</f>
        <v>1.02870956896493</v>
      </c>
      <c r="AO262" s="24" t="n">
        <f aca="false">IFERROR(AVERAGEIFS($AN$7:$AN$294,$B$7:$B$294,$B262,$A$7:$A$294,"&gt;="&amp;EDATE($A262,-12*'Seasonal Factors'!$E$4),$A$7:$A$294,"&lt;="&amp;EDATE($A262,12*'Seasonal Factors'!$E$4)),"")</f>
        <v>1.02137685647639</v>
      </c>
      <c r="AP262" s="24" t="n">
        <f aca="false">IFERROR(AO262/AVERAGE(AO257:AO268),"")</f>
        <v>1.02110972074625</v>
      </c>
      <c r="AQ262" s="23" t="n">
        <f aca="false">IF(ISNUMBER(Tabelle1!O269),(0.5*Tabelle1!O257+SUM(Tabelle1!O258:O268)+0.5*Tabelle1!O269)/12,"")</f>
        <v>158.385881666667</v>
      </c>
      <c r="AR262" s="24" t="n">
        <f aca="false">IFERROR(Tabelle1!O263/AQ262,"")</f>
        <v>1.01515954773284</v>
      </c>
      <c r="AS262" s="24" t="n">
        <f aca="false">IFERROR(AVERAGEIFS($AR$7:$AR$294,$B$7:$B$294,$B262,$A$7:$A$294,"&gt;="&amp;EDATE($A262,-12*'Seasonal Factors'!$E$4),$A$7:$A$294,"&lt;="&amp;EDATE($A262,12*'Seasonal Factors'!$E$4)),"")</f>
        <v>1.00586623756667</v>
      </c>
      <c r="AT262" s="24" t="n">
        <f aca="false">IFERROR(AS262/AVERAGE(AS257:AS268),"")</f>
        <v>1.00471049528423</v>
      </c>
      <c r="AU262" s="23" t="n">
        <f aca="false">IF(ISNUMBER(Tabelle1!P269),(0.5*Tabelle1!P257+SUM(Tabelle1!P258:P268)+0.5*Tabelle1!P269)/12,"")</f>
        <v>161.75345625</v>
      </c>
      <c r="AV262" s="24" t="n">
        <f aca="false">IFERROR(Tabelle1!P263/AU262,"")</f>
        <v>0.993798857389176</v>
      </c>
      <c r="AW262" s="24" t="n">
        <f aca="false">IFERROR(AVERAGEIFS($AV$7:$AV$294,$B$7:$B$294,$B262,$A$7:$A$294,"&gt;="&amp;EDATE($A262,-12*'Seasonal Factors'!$E$4),$A$7:$A$294,"&lt;="&amp;EDATE($A262,12*'Seasonal Factors'!$E$4)),"")</f>
        <v>0.992237703936598</v>
      </c>
      <c r="AX262" s="24" t="n">
        <f aca="false">IFERROR(AW262/AVERAGE(AW257:AW268),"")</f>
        <v>0.991582115574019</v>
      </c>
      <c r="AY262" s="23" t="n">
        <f aca="false">IF(ISNUMBER(Tabelle1!Q269),(0.5*Tabelle1!Q257+SUM(Tabelle1!Q258:Q268)+0.5*Tabelle1!Q269)/12,"")</f>
        <v>172.258727916667</v>
      </c>
      <c r="AZ262" s="24" t="n">
        <f aca="false">IFERROR(Tabelle1!Q263/AY262,"")</f>
        <v>0.994920675850515</v>
      </c>
      <c r="BA262" s="24" t="n">
        <f aca="false">IFERROR(AVERAGEIFS($AZ$7:$AZ$294,$B$7:$B$294,$B262,$A$7:$A$294,"&gt;="&amp;EDATE($A262,-12*'Seasonal Factors'!$E$4),$A$7:$A$294,"&lt;="&amp;EDATE($A262,12*'Seasonal Factors'!$E$4)),"")</f>
        <v>0.993801562201325</v>
      </c>
      <c r="BB262" s="24" t="n">
        <f aca="false">IFERROR(BA262/AVERAGE(BA257:BA268),"")</f>
        <v>0.993306911382694</v>
      </c>
      <c r="BC262" s="23" t="n">
        <f aca="false">IF(ISNUMBER(Tabelle1!R269),(0.5*Tabelle1!R257+SUM(Tabelle1!R258:R268)+0.5*Tabelle1!R269)/12,"")</f>
        <v>185.467525</v>
      </c>
      <c r="BD262" s="24" t="n">
        <f aca="false">IFERROR(Tabelle1!R263/BC262,"")</f>
        <v>1.04907810680064</v>
      </c>
      <c r="BE262" s="24" t="n">
        <f aca="false">IFERROR(AVERAGEIFS($BD$7:$BD$294,$B$7:$B$294,$B262,$A$7:$A$294,"&gt;="&amp;EDATE($A262,-12*'Seasonal Factors'!$E$4),$A$7:$A$294,"&lt;="&amp;EDATE($A262,12*'Seasonal Factors'!$E$4)),"")</f>
        <v>1.04574410309235</v>
      </c>
      <c r="BF262" s="24" t="n">
        <f aca="false">IFERROR(BE262/AVERAGE(BE257:BE268),"")</f>
        <v>1.04433725974361</v>
      </c>
      <c r="BG262" s="23" t="n">
        <f aca="false">IF(ISNUMBER(Tabelle1!S269),(0.5*Tabelle1!S257+SUM(Tabelle1!S258:S268)+0.5*Tabelle1!S269)/12,"")</f>
        <v>127.903107916667</v>
      </c>
      <c r="BH262" s="24" t="n">
        <f aca="false">IFERROR(Tabelle1!S263/BG262,"")</f>
        <v>0.956306941968074</v>
      </c>
      <c r="BI262" s="24" t="n">
        <f aca="false">IFERROR(AVERAGEIFS($BH$7:$BH$294,$B$7:$B$294,$B262,$A$7:$A$294,"&gt;="&amp;EDATE($A262,-12*'Seasonal Factors'!$E$4),$A$7:$A$294,"&lt;="&amp;EDATE($A262,12*'Seasonal Factors'!$E$4)),"")</f>
        <v>0.931279621288551</v>
      </c>
      <c r="BJ262" s="24" t="n">
        <f aca="false">IFERROR(BI262/AVERAGE(BI257:BI268),"")</f>
        <v>0.923925733202511</v>
      </c>
    </row>
    <row r="263" customFormat="false" ht="15" hidden="false" customHeight="false" outlineLevel="0" collapsed="false">
      <c r="A263" s="20" t="n">
        <v>45808</v>
      </c>
      <c r="B263" s="22" t="n">
        <f aca="false">MONTH(A263)</f>
        <v>5</v>
      </c>
      <c r="C263" s="23" t="n">
        <f aca="false">IF(ISNUMBER(Tabelle1!E270),(0.5*Tabelle1!E258+SUM(Tabelle1!E259:E269)+0.5*Tabelle1!E270)/12,"")</f>
        <v>129.334716666667</v>
      </c>
      <c r="D263" s="24" t="n">
        <f aca="false">IFERROR(Tabelle1!E264/C263,"")</f>
        <v>2.20048991744032</v>
      </c>
      <c r="E263" s="24" t="n">
        <f aca="false">IFERROR(AVERAGEIFS($D$7:$D$294,$B$7:$B$294,$B263,$A$7:$A$294,"&gt;="&amp;EDATE($A263,-12*'Seasonal Factors'!$E$4),$A$7:$A$294,"&lt;="&amp;EDATE($A263,12*'Seasonal Factors'!$E$4)),"")</f>
        <v>2.04694625755159</v>
      </c>
      <c r="F263" s="24" t="n">
        <f aca="false">IFERROR(E263/AVERAGE(E258:E269),"")</f>
        <v>2.05589048126617</v>
      </c>
      <c r="G263" s="23" t="n">
        <f aca="false">IF(ISNUMBER(Tabelle1!F270),(0.5*Tabelle1!F258+SUM(Tabelle1!F259:F269)+0.5*Tabelle1!F270)/12,"")</f>
        <v>160.614191666667</v>
      </c>
      <c r="H263" s="24" t="n">
        <f aca="false">IFERROR(Tabelle1!F264/G263,"")</f>
        <v>0.90618760702082</v>
      </c>
      <c r="I263" s="24" t="n">
        <f aca="false">IFERROR(AVERAGEIFS($H$7:$H$294,$B$7:$B$294,$B263,$A$7:$A$294,"&gt;="&amp;EDATE($A263,-12*'Seasonal Factors'!$E$4),$A$7:$A$294,"&lt;="&amp;EDATE($A263,12*'Seasonal Factors'!$E$4)),"")</f>
        <v>0.89457614086163</v>
      </c>
      <c r="J263" s="24" t="n">
        <f aca="false">IFERROR(I263/AVERAGE(I258:I269),"")</f>
        <v>0.900446921562957</v>
      </c>
      <c r="K263" s="23" t="n">
        <f aca="false">IF(ISNUMBER(Tabelle1!G270),(0.5*Tabelle1!G258+SUM(Tabelle1!G259:G269)+0.5*Tabelle1!G270)/12,"")</f>
        <v>121.524920833333</v>
      </c>
      <c r="L263" s="24" t="n">
        <f aca="false">IFERROR(Tabelle1!G264/K263,"")</f>
        <v>1.02872233236386</v>
      </c>
      <c r="M263" s="24" t="n">
        <f aca="false">IFERROR(AVERAGEIFS($L$7:$L$294,$B$7:$B$294,$B263,$A$7:$A$294,"&gt;="&amp;EDATE($A263,-12*'Seasonal Factors'!$E$4),$A$7:$A$294,"&lt;="&amp;EDATE($A263,12*'Seasonal Factors'!$E$4)),"")</f>
        <v>1.05679143098235</v>
      </c>
      <c r="N263" s="24" t="n">
        <f aca="false">IFERROR(M263/AVERAGE(M258:M269),"")</f>
        <v>1.05775049606217</v>
      </c>
      <c r="O263" s="23" t="n">
        <f aca="false">IF(ISNUMBER(Tabelle1!H270),(0.5*Tabelle1!H258+SUM(Tabelle1!H259:H269)+0.5*Tabelle1!H270)/12,"")</f>
        <v>119.7447375</v>
      </c>
      <c r="P263" s="24" t="n">
        <f aca="false">IFERROR(Tabelle1!H264/O263,"")</f>
        <v>1.01182275337987</v>
      </c>
      <c r="Q263" s="24" t="n">
        <f aca="false">IFERROR(AVERAGEIFS($P$7:$P$294,$B$7:$B$294,$B263,$A$7:$A$294,"&gt;="&amp;EDATE($A263,-12*'Seasonal Factors'!$E$4),$A$7:$A$294,"&lt;="&amp;EDATE($A263,12*'Seasonal Factors'!$E$4)),"")</f>
        <v>1.00543272541351</v>
      </c>
      <c r="R263" s="24" t="n">
        <f aca="false">IFERROR(Q263/AVERAGE(Q258:Q269),"")</f>
        <v>1.00446270735915</v>
      </c>
      <c r="S263" s="23" t="n">
        <f aca="false">IF(ISNUMBER(Tabelle1!I270),(0.5*Tabelle1!I258+SUM(Tabelle1!I259:I269)+0.5*Tabelle1!I270)/12,"")</f>
        <v>148.51958125</v>
      </c>
      <c r="T263" s="24" t="n">
        <f aca="false">IFERROR(Tabelle1!I264/S263,"")</f>
        <v>0.989093618253115</v>
      </c>
      <c r="U263" s="24" t="n">
        <f aca="false">IFERROR(AVERAGEIFS($T$7:$T$294,$B$7:$B$294,$B263,$A$7:$A$294,"&gt;="&amp;EDATE($A263,-12*'Seasonal Factors'!$E$4),$A$7:$A$294,"&lt;="&amp;EDATE($A263,12*'Seasonal Factors'!$E$4)),"")</f>
        <v>1.01742606109469</v>
      </c>
      <c r="V263" s="24" t="n">
        <f aca="false">IFERROR(U263/AVERAGE(U258:U269),"")</f>
        <v>1.01861589572217</v>
      </c>
      <c r="W263" s="23" t="n">
        <f aca="false">IF(ISNUMBER(Tabelle1!J270),(0.5*Tabelle1!J258+SUM(Tabelle1!J259:J269)+0.5*Tabelle1!J270)/12,"")</f>
        <v>130.601141666667</v>
      </c>
      <c r="X263" s="24" t="n">
        <f aca="false">IFERROR(Tabelle1!J264/W263,"")</f>
        <v>0.934426670721421</v>
      </c>
      <c r="Y263" s="24" t="n">
        <f aca="false">IFERROR(AVERAGEIFS($X$7:$X$294,$B$7:$B$294,$B263,$A$7:$A$294,"&gt;="&amp;EDATE($A263,-12*'Seasonal Factors'!$E$4),$A$7:$A$294,"&lt;="&amp;EDATE($A263,12*'Seasonal Factors'!$E$4)),"")</f>
        <v>0.929536749525578</v>
      </c>
      <c r="Z263" s="24" t="n">
        <f aca="false">IFERROR(Y263/AVERAGE(Y258:Y269),"")</f>
        <v>0.927010018984445</v>
      </c>
      <c r="AA263" s="23" t="n">
        <f aca="false">IF(ISNUMBER(Tabelle1!K270),(0.5*Tabelle1!K258+SUM(Tabelle1!K259:K269)+0.5*Tabelle1!K270)/12,"")</f>
        <v>154.3759875</v>
      </c>
      <c r="AB263" s="24" t="n">
        <f aca="false">IFERROR(Tabelle1!K264/AA263,"")</f>
        <v>1.04194824988569</v>
      </c>
      <c r="AC263" s="24" t="n">
        <f aca="false">IFERROR(AVERAGEIFS($AB$7:$AB$294,$B$7:$B$294,$B263,$A$7:$A$294,"&gt;="&amp;EDATE($A263,-12*'Seasonal Factors'!$E$4),$A$7:$A$294,"&lt;="&amp;EDATE($A263,12*'Seasonal Factors'!$E$4)),"")</f>
        <v>1.02724427208558</v>
      </c>
      <c r="AD263" s="24" t="n">
        <f aca="false">IFERROR(AC263/AVERAGE(AC258:AC269),"")</f>
        <v>1.02655775326925</v>
      </c>
      <c r="AE263" s="23" t="n">
        <f aca="false">IF(ISNUMBER(Tabelle1!L270),(0.5*Tabelle1!L258+SUM(Tabelle1!L259:L269)+0.5*Tabelle1!L270)/12,"")</f>
        <v>174.4059775</v>
      </c>
      <c r="AF263" s="24" t="n">
        <f aca="false">IFERROR(Tabelle1!L264/AE263,"")</f>
        <v>0.917578126013485</v>
      </c>
      <c r="AG263" s="24" t="n">
        <f aca="false">IFERROR(AVERAGEIFS($AF$7:$AF$294,$B$7:$B$294,$B263,$A$7:$A$294,"&gt;="&amp;EDATE($A263,-12*'Seasonal Factors'!$E$4),$A$7:$A$294,"&lt;="&amp;EDATE($A263,12*'Seasonal Factors'!$E$4)),"")</f>
        <v>0.90990196770915</v>
      </c>
      <c r="AH263" s="24" t="n">
        <f aca="false">IFERROR(AG263/AVERAGE(AG258:AG269),"")</f>
        <v>0.903762809416966</v>
      </c>
      <c r="AI263" s="23" t="n">
        <f aca="false">IF(ISNUMBER(Tabelle1!M270),(0.5*Tabelle1!M258+SUM(Tabelle1!M259:M269)+0.5*Tabelle1!M270)/12,"")</f>
        <v>186.031935833333</v>
      </c>
      <c r="AJ263" s="24" t="n">
        <f aca="false">IFERROR(Tabelle1!M264/AI263,"")</f>
        <v>1.0542063604375</v>
      </c>
      <c r="AK263" s="24" t="n">
        <f aca="false">IFERROR(AVERAGEIFS($AJ$7:$AJ$294,$B$7:$B$294,$B263,$A$7:$A$294,"&gt;="&amp;EDATE($A263,-12*'Seasonal Factors'!$E$4),$A$7:$A$294,"&lt;="&amp;EDATE($A263,12*'Seasonal Factors'!$E$4)),"")</f>
        <v>1.05850208448496</v>
      </c>
      <c r="AL263" s="24" t="n">
        <f aca="false">IFERROR(AK263/AVERAGE(AK258:AK269),"")</f>
        <v>1.05772091736639</v>
      </c>
      <c r="AM263" s="23" t="n">
        <f aca="false">IF(ISNUMBER(Tabelle1!N270),(0.5*Tabelle1!N258+SUM(Tabelle1!N259:N269)+0.5*Tabelle1!N270)/12,"")</f>
        <v>192.170074583333</v>
      </c>
      <c r="AN263" s="24" t="n">
        <f aca="false">IFERROR(Tabelle1!N264/AM263,"")</f>
        <v>0.918304269708105</v>
      </c>
      <c r="AO263" s="24" t="n">
        <f aca="false">IFERROR(AVERAGEIFS($AN$7:$AN$294,$B$7:$B$294,$B263,$A$7:$A$294,"&gt;="&amp;EDATE($A263,-12*'Seasonal Factors'!$E$4),$A$7:$A$294,"&lt;="&amp;EDATE($A263,12*'Seasonal Factors'!$E$4)),"")</f>
        <v>0.929626150628704</v>
      </c>
      <c r="AP263" s="24" t="n">
        <f aca="false">IFERROR(AO263/AVERAGE(AO258:AO269),"")</f>
        <v>0.929400900567208</v>
      </c>
      <c r="AQ263" s="23" t="n">
        <f aca="false">IF(ISNUMBER(Tabelle1!O270),(0.5*Tabelle1!O258+SUM(Tabelle1!O259:O269)+0.5*Tabelle1!O270)/12,"")</f>
        <v>158.669276666667</v>
      </c>
      <c r="AR263" s="24" t="n">
        <f aca="false">IFERROR(Tabelle1!O264/AQ263,"")</f>
        <v>1.00347958561942</v>
      </c>
      <c r="AS263" s="24" t="n">
        <f aca="false">IFERROR(AVERAGEIFS($AR$7:$AR$294,$B$7:$B$294,$B263,$A$7:$A$294,"&gt;="&amp;EDATE($A263,-12*'Seasonal Factors'!$E$4),$A$7:$A$294,"&lt;="&amp;EDATE($A263,12*'Seasonal Factors'!$E$4)),"")</f>
        <v>1.00619100686471</v>
      </c>
      <c r="AT263" s="24" t="n">
        <f aca="false">IFERROR(AS263/AVERAGE(AS258:AS269),"")</f>
        <v>1.00515175223004</v>
      </c>
      <c r="AU263" s="23" t="n">
        <f aca="false">IF(ISNUMBER(Tabelle1!P270),(0.5*Tabelle1!P258+SUM(Tabelle1!P259:P269)+0.5*Tabelle1!P270)/12,"")</f>
        <v>161.57531375</v>
      </c>
      <c r="AV263" s="24" t="n">
        <f aca="false">IFERROR(Tabelle1!P264/AU263,"")</f>
        <v>0.99512967834172</v>
      </c>
      <c r="AW263" s="24" t="n">
        <f aca="false">IFERROR(AVERAGEIFS($AV$7:$AV$294,$B$7:$B$294,$B263,$A$7:$A$294,"&gt;="&amp;EDATE($A263,-12*'Seasonal Factors'!$E$4),$A$7:$A$294,"&lt;="&amp;EDATE($A263,12*'Seasonal Factors'!$E$4)),"")</f>
        <v>0.99307092083005</v>
      </c>
      <c r="AX263" s="24" t="n">
        <f aca="false">IFERROR(AW263/AVERAGE(AW258:AW269),"")</f>
        <v>0.99231682797695</v>
      </c>
      <c r="AY263" s="23" t="n">
        <f aca="false">IF(ISNUMBER(Tabelle1!Q270),(0.5*Tabelle1!Q258+SUM(Tabelle1!Q259:Q269)+0.5*Tabelle1!Q270)/12,"")</f>
        <v>172.28305125</v>
      </c>
      <c r="AZ263" s="24" t="n">
        <f aca="false">IFERROR(Tabelle1!Q264/AY263,"")</f>
        <v>0.998082624799112</v>
      </c>
      <c r="BA263" s="24" t="n">
        <f aca="false">IFERROR(AVERAGEIFS($AZ$7:$AZ$294,$B$7:$B$294,$B263,$A$7:$A$294,"&gt;="&amp;EDATE($A263,-12*'Seasonal Factors'!$E$4),$A$7:$A$294,"&lt;="&amp;EDATE($A263,12*'Seasonal Factors'!$E$4)),"")</f>
        <v>0.997068280283317</v>
      </c>
      <c r="BB263" s="24" t="n">
        <f aca="false">IFERROR(BA263/AVERAGE(BA258:BA269),"")</f>
        <v>0.996617908832306</v>
      </c>
      <c r="BC263" s="23" t="n">
        <f aca="false">IF(ISNUMBER(Tabelle1!R270),(0.5*Tabelle1!R258+SUM(Tabelle1!R259:R269)+0.5*Tabelle1!R270)/12,"")</f>
        <v>185.47784125</v>
      </c>
      <c r="BD263" s="24" t="n">
        <f aca="false">IFERROR(Tabelle1!R264/BC263,"")</f>
        <v>1.06153451362751</v>
      </c>
      <c r="BE263" s="24" t="n">
        <f aca="false">IFERROR(AVERAGEIFS($BD$7:$BD$294,$B$7:$B$294,$B263,$A$7:$A$294,"&gt;="&amp;EDATE($A263,-12*'Seasonal Factors'!$E$4),$A$7:$A$294,"&lt;="&amp;EDATE($A263,12*'Seasonal Factors'!$E$4)),"")</f>
        <v>1.06303662224962</v>
      </c>
      <c r="BF263" s="24" t="n">
        <f aca="false">IFERROR(BE263/AVERAGE(BE258:BE269),"")</f>
        <v>1.06216951147565</v>
      </c>
      <c r="BG263" s="23" t="n">
        <f aca="false">IF(ISNUMBER(Tabelle1!S270),(0.5*Tabelle1!S258+SUM(Tabelle1!S259:S269)+0.5*Tabelle1!S270)/12,"")</f>
        <v>128.0332525</v>
      </c>
      <c r="BH263" s="24" t="n">
        <f aca="false">IFERROR(Tabelle1!S264/BG263,"")</f>
        <v>0.923305060925481</v>
      </c>
      <c r="BI263" s="24" t="n">
        <f aca="false">IFERROR(AVERAGEIFS($BH$7:$BH$294,$B$7:$B$294,$B263,$A$7:$A$294,"&gt;="&amp;EDATE($A263,-12*'Seasonal Factors'!$E$4),$A$7:$A$294,"&lt;="&amp;EDATE($A263,12*'Seasonal Factors'!$E$4)),"")</f>
        <v>0.919267450610856</v>
      </c>
      <c r="BJ263" s="24" t="n">
        <f aca="false">IFERROR(BI263/AVERAGE(BI258:BI269),"")</f>
        <v>0.913804192984891</v>
      </c>
    </row>
    <row r="264" customFormat="false" ht="15" hidden="false" customHeight="false" outlineLevel="0" collapsed="false">
      <c r="A264" s="20" t="n">
        <v>45838</v>
      </c>
      <c r="B264" s="22" t="n">
        <f aca="false">MONTH(A264)</f>
        <v>6</v>
      </c>
      <c r="C264" s="23" t="n">
        <f aca="false">IF(ISNUMBER(Tabelle1!E271),(0.5*Tabelle1!E259+SUM(Tabelle1!E260:E270)+0.5*Tabelle1!E271)/12,"")</f>
        <v>131.196392916667</v>
      </c>
      <c r="D264" s="24" t="n">
        <f aca="false">IFERROR(Tabelle1!E265/C264,"")</f>
        <v>1.50814481710392</v>
      </c>
      <c r="E264" s="24" t="n">
        <f aca="false">IFERROR(AVERAGEIFS($D$7:$D$294,$B$7:$B$294,$B264,$A$7:$A$294,"&gt;="&amp;EDATE($A264,-12*'Seasonal Factors'!$E$4),$A$7:$A$294,"&lt;="&amp;EDATE($A264,12*'Seasonal Factors'!$E$4)),"")</f>
        <v>1.43849256308483</v>
      </c>
      <c r="F264" s="24" t="n">
        <f aca="false">IFERROR(E264/AVERAGE(E259:E270),"")</f>
        <v>1.44389677574902</v>
      </c>
      <c r="G264" s="23" t="n">
        <f aca="false">IF(ISNUMBER(Tabelle1!F271),(0.5*Tabelle1!F259+SUM(Tabelle1!F260:F270)+0.5*Tabelle1!F271)/12,"")</f>
        <v>160.443276666667</v>
      </c>
      <c r="H264" s="24" t="n">
        <f aca="false">IFERROR(Tabelle1!F265/G264,"")</f>
        <v>0.583128766401202</v>
      </c>
      <c r="I264" s="24" t="n">
        <f aca="false">IFERROR(AVERAGEIFS($H$7:$H$294,$B$7:$B$294,$B264,$A$7:$A$294,"&gt;="&amp;EDATE($A264,-12*'Seasonal Factors'!$E$4),$A$7:$A$294,"&lt;="&amp;EDATE($A264,12*'Seasonal Factors'!$E$4)),"")</f>
        <v>1.16315315305949</v>
      </c>
      <c r="J264" s="24" t="n">
        <f aca="false">IFERROR(I264/AVERAGE(I259:I270),"")</f>
        <v>1.17079820545484</v>
      </c>
      <c r="K264" s="23" t="n">
        <f aca="false">IF(ISNUMBER(Tabelle1!G271),(0.5*Tabelle1!G259+SUM(Tabelle1!G260:G270)+0.5*Tabelle1!G271)/12,"")</f>
        <v>122.350909166667</v>
      </c>
      <c r="L264" s="24" t="n">
        <f aca="false">IFERROR(Tabelle1!G265/K264,"")</f>
        <v>0.993946353388697</v>
      </c>
      <c r="M264" s="24" t="n">
        <f aca="false">IFERROR(AVERAGEIFS($L$7:$L$294,$B$7:$B$294,$B264,$A$7:$A$294,"&gt;="&amp;EDATE($A264,-12*'Seasonal Factors'!$E$4),$A$7:$A$294,"&lt;="&amp;EDATE($A264,12*'Seasonal Factors'!$E$4)),"")</f>
        <v>0.991779416771709</v>
      </c>
      <c r="N264" s="24" t="n">
        <f aca="false">IFERROR(M264/AVERAGE(M259:M270),"")</f>
        <v>0.99258406411324</v>
      </c>
      <c r="O264" s="23" t="n">
        <f aca="false">IF(ISNUMBER(Tabelle1!H271),(0.5*Tabelle1!H259+SUM(Tabelle1!H260:H270)+0.5*Tabelle1!H271)/12,"")</f>
        <v>119.087829583333</v>
      </c>
      <c r="P264" s="24" t="n">
        <f aca="false">IFERROR(Tabelle1!H265/O264,"")</f>
        <v>0.977486283924108</v>
      </c>
      <c r="Q264" s="24" t="n">
        <f aca="false">IFERROR(AVERAGEIFS($P$7:$P$294,$B$7:$B$294,$B264,$A$7:$A$294,"&gt;="&amp;EDATE($A264,-12*'Seasonal Factors'!$E$4),$A$7:$A$294,"&lt;="&amp;EDATE($A264,12*'Seasonal Factors'!$E$4)),"")</f>
        <v>1.01093457874775</v>
      </c>
      <c r="R264" s="24" t="n">
        <f aca="false">IFERROR(Q264/AVERAGE(Q259:Q270),"")</f>
        <v>1.01015020923533</v>
      </c>
      <c r="S264" s="23" t="n">
        <f aca="false">IF(ISNUMBER(Tabelle1!I271),(0.5*Tabelle1!I259+SUM(Tabelle1!I260:I270)+0.5*Tabelle1!I271)/12,"")</f>
        <v>149.201374166667</v>
      </c>
      <c r="T264" s="24" t="n">
        <f aca="false">IFERROR(Tabelle1!I265/S264,"")</f>
        <v>1.08466996972308</v>
      </c>
      <c r="U264" s="24" t="n">
        <f aca="false">IFERROR(AVERAGEIFS($T$7:$T$294,$B$7:$B$294,$B264,$A$7:$A$294,"&gt;="&amp;EDATE($A264,-12*'Seasonal Factors'!$E$4),$A$7:$A$294,"&lt;="&amp;EDATE($A264,12*'Seasonal Factors'!$E$4)),"")</f>
        <v>1.06320880229457</v>
      </c>
      <c r="V264" s="24" t="n">
        <f aca="false">IFERROR(U264/AVERAGE(U259:U270),"")</f>
        <v>1.06511383337473</v>
      </c>
      <c r="W264" s="23" t="n">
        <f aca="false">IF(ISNUMBER(Tabelle1!J271),(0.5*Tabelle1!J259+SUM(Tabelle1!J260:J270)+0.5*Tabelle1!J271)/12,"")</f>
        <v>130.449600416667</v>
      </c>
      <c r="X264" s="24" t="n">
        <f aca="false">IFERROR(Tabelle1!J265/W264,"")</f>
        <v>0.967929373464511</v>
      </c>
      <c r="Y264" s="24" t="n">
        <f aca="false">IFERROR(AVERAGEIFS($X$7:$X$294,$B$7:$B$294,$B264,$A$7:$A$294,"&gt;="&amp;EDATE($A264,-12*'Seasonal Factors'!$E$4),$A$7:$A$294,"&lt;="&amp;EDATE($A264,12*'Seasonal Factors'!$E$4)),"")</f>
        <v>0.965785284074664</v>
      </c>
      <c r="Z264" s="24" t="n">
        <f aca="false">IFERROR(Y264/AVERAGE(Y259:Y270),"")</f>
        <v>0.964696074541946</v>
      </c>
      <c r="AA264" s="23" t="n">
        <f aca="false">IF(ISNUMBER(Tabelle1!K271),(0.5*Tabelle1!K259+SUM(Tabelle1!K260:K270)+0.5*Tabelle1!K271)/12,"")</f>
        <v>153.897722916667</v>
      </c>
      <c r="AB264" s="24" t="n">
        <f aca="false">IFERROR(Tabelle1!K265/AA264,"")</f>
        <v>1.01061911152654</v>
      </c>
      <c r="AC264" s="24" t="n">
        <f aca="false">IFERROR(AVERAGEIFS($AB$7:$AB$294,$B$7:$B$294,$B264,$A$7:$A$294,"&gt;="&amp;EDATE($A264,-12*'Seasonal Factors'!$E$4),$A$7:$A$294,"&lt;="&amp;EDATE($A264,12*'Seasonal Factors'!$E$4)),"")</f>
        <v>1.0315734991681</v>
      </c>
      <c r="AD264" s="24" t="n">
        <f aca="false">IFERROR(AC264/AVERAGE(AC259:AC270),"")</f>
        <v>1.03177150761662</v>
      </c>
      <c r="AE264" s="23" t="n">
        <f aca="false">IF(ISNUMBER(Tabelle1!L271),(0.5*Tabelle1!L259+SUM(Tabelle1!L260:L270)+0.5*Tabelle1!L271)/12,"")</f>
        <v>174.780562083333</v>
      </c>
      <c r="AF264" s="24" t="n">
        <f aca="false">IFERROR(Tabelle1!L265/AE264,"")</f>
        <v>1.08861487646024</v>
      </c>
      <c r="AG264" s="24" t="n">
        <f aca="false">IFERROR(AVERAGEIFS($AF$7:$AF$294,$B$7:$B$294,$B264,$A$7:$A$294,"&gt;="&amp;EDATE($A264,-12*'Seasonal Factors'!$E$4),$A$7:$A$294,"&lt;="&amp;EDATE($A264,12*'Seasonal Factors'!$E$4)),"")</f>
        <v>1.04133006705283</v>
      </c>
      <c r="AH264" s="24" t="n">
        <f aca="false">IFERROR(AG264/AVERAGE(AG259:AG270),"")</f>
        <v>1.03422624547226</v>
      </c>
      <c r="AI264" s="23" t="n">
        <f aca="false">IF(ISNUMBER(Tabelle1!M271),(0.5*Tabelle1!M259+SUM(Tabelle1!M260:M270)+0.5*Tabelle1!M271)/12,"")</f>
        <v>186.312698333333</v>
      </c>
      <c r="AJ264" s="24" t="n">
        <f aca="false">IFERROR(Tabelle1!M265/AI264,"")</f>
        <v>1.01525624228565</v>
      </c>
      <c r="AK264" s="24" t="n">
        <f aca="false">IFERROR(AVERAGEIFS($AJ$7:$AJ$294,$B$7:$B$294,$B264,$A$7:$A$294,"&gt;="&amp;EDATE($A264,-12*'Seasonal Factors'!$E$4),$A$7:$A$294,"&lt;="&amp;EDATE($A264,12*'Seasonal Factors'!$E$4)),"")</f>
        <v>1.02767987014663</v>
      </c>
      <c r="AL264" s="24" t="n">
        <f aca="false">IFERROR(AK264/AVERAGE(AK259:AK270),"")</f>
        <v>1.02637287136351</v>
      </c>
      <c r="AM264" s="23" t="n">
        <f aca="false">IF(ISNUMBER(Tabelle1!N271),(0.5*Tabelle1!N259+SUM(Tabelle1!N260:N270)+0.5*Tabelle1!N271)/12,"")</f>
        <v>194.25046125</v>
      </c>
      <c r="AN264" s="24" t="n">
        <f aca="false">IFERROR(Tabelle1!N265/AM264,"")</f>
        <v>0.949118055182997</v>
      </c>
      <c r="AO264" s="24" t="n">
        <f aca="false">IFERROR(AVERAGEIFS($AN$7:$AN$294,$B$7:$B$294,$B264,$A$7:$A$294,"&gt;="&amp;EDATE($A264,-12*'Seasonal Factors'!$E$4),$A$7:$A$294,"&lt;="&amp;EDATE($A264,12*'Seasonal Factors'!$E$4)),"")</f>
        <v>0.966790609211663</v>
      </c>
      <c r="AP264" s="24" t="n">
        <f aca="false">IFERROR(AO264/AVERAGE(AO259:AO270),"")</f>
        <v>0.967055929723982</v>
      </c>
      <c r="AQ264" s="23" t="n">
        <f aca="false">IF(ISNUMBER(Tabelle1!O271),(0.5*Tabelle1!O259+SUM(Tabelle1!O260:O270)+0.5*Tabelle1!O271)/12,"")</f>
        <v>158.795807083333</v>
      </c>
      <c r="AR264" s="24" t="n">
        <f aca="false">IFERROR(Tabelle1!O265/AQ264,"")</f>
        <v>1.01122474799181</v>
      </c>
      <c r="AS264" s="24" t="n">
        <f aca="false">IFERROR(AVERAGEIFS($AR$7:$AR$294,$B$7:$B$294,$B264,$A$7:$A$294,"&gt;="&amp;EDATE($A264,-12*'Seasonal Factors'!$E$4),$A$7:$A$294,"&lt;="&amp;EDATE($A264,12*'Seasonal Factors'!$E$4)),"")</f>
        <v>1.00837045996566</v>
      </c>
      <c r="AT264" s="24" t="n">
        <f aca="false">IFERROR(AS264/AVERAGE(AS259:AS270),"")</f>
        <v>1.00748098309082</v>
      </c>
      <c r="AU264" s="23" t="n">
        <f aca="false">IF(ISNUMBER(Tabelle1!P271),(0.5*Tabelle1!P259+SUM(Tabelle1!P260:P270)+0.5*Tabelle1!P271)/12,"")</f>
        <v>161.397215833333</v>
      </c>
      <c r="AV264" s="24" t="n">
        <f aca="false">IFERROR(Tabelle1!P265/AU264,"")</f>
        <v>1.00294158833048</v>
      </c>
      <c r="AW264" s="24" t="n">
        <f aca="false">IFERROR(AVERAGEIFS($AV$7:$AV$294,$B$7:$B$294,$B264,$A$7:$A$294,"&gt;="&amp;EDATE($A264,-12*'Seasonal Factors'!$E$4),$A$7:$A$294,"&lt;="&amp;EDATE($A264,12*'Seasonal Factors'!$E$4)),"")</f>
        <v>0.998471994345714</v>
      </c>
      <c r="AX264" s="24" t="n">
        <f aca="false">IFERROR(AW264/AVERAGE(AW259:AW270),"")</f>
        <v>0.997559493570237</v>
      </c>
      <c r="AY264" s="23" t="n">
        <f aca="false">IF(ISNUMBER(Tabelle1!Q271),(0.5*Tabelle1!Q259+SUM(Tabelle1!Q260:Q270)+0.5*Tabelle1!Q271)/12,"")</f>
        <v>172.296685416667</v>
      </c>
      <c r="AZ264" s="24" t="n">
        <f aca="false">IFERROR(Tabelle1!Q265/AY264,"")</f>
        <v>1.00426586606443</v>
      </c>
      <c r="BA264" s="24" t="n">
        <f aca="false">IFERROR(AVERAGEIFS($AZ$7:$AZ$294,$B$7:$B$294,$B264,$A$7:$A$294,"&gt;="&amp;EDATE($A264,-12*'Seasonal Factors'!$E$4),$A$7:$A$294,"&lt;="&amp;EDATE($A264,12*'Seasonal Factors'!$E$4)),"")</f>
        <v>1.00177506922964</v>
      </c>
      <c r="BB264" s="24" t="n">
        <f aca="false">IFERROR(BA264/AVERAGE(BA259:BA270),"")</f>
        <v>1.00132833657052</v>
      </c>
      <c r="BC264" s="23" t="n">
        <f aca="false">IF(ISNUMBER(Tabelle1!R271),(0.5*Tabelle1!R259+SUM(Tabelle1!R260:R270)+0.5*Tabelle1!R271)/12,"")</f>
        <v>185.48338875</v>
      </c>
      <c r="BD264" s="24" t="n">
        <f aca="false">IFERROR(Tabelle1!R265/BC264,"")</f>
        <v>1.09696658752683</v>
      </c>
      <c r="BE264" s="24" t="n">
        <f aca="false">IFERROR(AVERAGEIFS($BD$7:$BD$294,$B$7:$B$294,$B264,$A$7:$A$294,"&gt;="&amp;EDATE($A264,-12*'Seasonal Factors'!$E$4),$A$7:$A$294,"&lt;="&amp;EDATE($A264,12*'Seasonal Factors'!$E$4)),"")</f>
        <v>1.09746025385002</v>
      </c>
      <c r="BF264" s="24" t="n">
        <f aca="false">IFERROR(BE264/AVERAGE(BE259:BE270),"")</f>
        <v>1.0969572997134</v>
      </c>
      <c r="BG264" s="23" t="n">
        <f aca="false">IF(ISNUMBER(Tabelle1!S271),(0.5*Tabelle1!S259+SUM(Tabelle1!S260:S270)+0.5*Tabelle1!S271)/12,"")</f>
        <v>128.187010416667</v>
      </c>
      <c r="BH264" s="24" t="n">
        <f aca="false">IFERROR(Tabelle1!S265/BG264,"")</f>
        <v>0.922291109026664</v>
      </c>
      <c r="BI264" s="24" t="n">
        <f aca="false">IFERROR(AVERAGEIFS($BH$7:$BH$294,$B$7:$B$294,$B264,$A$7:$A$294,"&gt;="&amp;EDATE($A264,-12*'Seasonal Factors'!$E$4),$A$7:$A$294,"&lt;="&amp;EDATE($A264,12*'Seasonal Factors'!$E$4)),"")</f>
        <v>0.940149203813534</v>
      </c>
      <c r="BJ264" s="24" t="n">
        <f aca="false">IFERROR(BI264/AVERAGE(BI259:BI270),"")</f>
        <v>0.936476062102029</v>
      </c>
    </row>
    <row r="265" customFormat="false" ht="15" hidden="false" customHeight="false" outlineLevel="0" collapsed="false">
      <c r="A265" s="20" t="n">
        <v>45869</v>
      </c>
      <c r="B265" s="22" t="n">
        <f aca="false">MONTH(A265)</f>
        <v>7</v>
      </c>
      <c r="C265" s="23" t="n">
        <f aca="false">IF(ISNUMBER(Tabelle1!E272),(0.5*Tabelle1!E260+SUM(Tabelle1!E261:E271)+0.5*Tabelle1!E272)/12,"")</f>
        <v>133.5749975</v>
      </c>
      <c r="D265" s="24" t="n">
        <f aca="false">IFERROR(Tabelle1!E266/C265,"")</f>
        <v>0.889954574021235</v>
      </c>
      <c r="E265" s="24" t="n">
        <f aca="false">IFERROR(AVERAGEIFS($D$7:$D$294,$B$7:$B$294,$B265,$A$7:$A$294,"&gt;="&amp;EDATE($A265,-12*'Seasonal Factors'!$E$4),$A$7:$A$294,"&lt;="&amp;EDATE($A265,12*'Seasonal Factors'!$E$4)),"")</f>
        <v>0.918467088618716</v>
      </c>
      <c r="F265" s="24" t="n">
        <f aca="false">IFERROR(E265/AVERAGE(E260:E271),"")</f>
        <v>0.920458264453843</v>
      </c>
      <c r="G265" s="23" t="n">
        <f aca="false">IF(ISNUMBER(Tabelle1!F272),(0.5*Tabelle1!F260+SUM(Tabelle1!F261:F271)+0.5*Tabelle1!F272)/12,"")</f>
        <v>164.38681875</v>
      </c>
      <c r="H265" s="24" t="n">
        <f aca="false">IFERROR(Tabelle1!F266/G265,"")</f>
        <v>0.472327894598909</v>
      </c>
      <c r="I265" s="24" t="n">
        <f aca="false">IFERROR(AVERAGEIFS($H$7:$H$294,$B$7:$B$294,$B265,$A$7:$A$294,"&gt;="&amp;EDATE($A265,-12*'Seasonal Factors'!$E$4),$A$7:$A$294,"&lt;="&amp;EDATE($A265,12*'Seasonal Factors'!$E$4)),"")</f>
        <v>1.51022094453011</v>
      </c>
      <c r="J265" s="24" t="n">
        <f aca="false">IFERROR(I265/AVERAGE(I260:I271),"")</f>
        <v>1.51683898006822</v>
      </c>
      <c r="K265" s="23" t="n">
        <f aca="false">IF(ISNUMBER(Tabelle1!G272),(0.5*Tabelle1!G260+SUM(Tabelle1!G261:G271)+0.5*Tabelle1!G272)/12,"")</f>
        <v>123.36874625</v>
      </c>
      <c r="L265" s="24" t="n">
        <f aca="false">IFERROR(Tabelle1!G266/K265,"")</f>
        <v>1.04200313213445</v>
      </c>
      <c r="M265" s="24" t="n">
        <f aca="false">IFERROR(AVERAGEIFS($L$7:$L$294,$B$7:$B$294,$B265,$A$7:$A$294,"&gt;="&amp;EDATE($A265,-12*'Seasonal Factors'!$E$4),$A$7:$A$294,"&lt;="&amp;EDATE($A265,12*'Seasonal Factors'!$E$4)),"")</f>
        <v>1.01347956224205</v>
      </c>
      <c r="N265" s="24" t="n">
        <f aca="false">IFERROR(M265/AVERAGE(M260:M271),"")</f>
        <v>1.01350241161717</v>
      </c>
      <c r="O265" s="23" t="n">
        <f aca="false">IF(ISNUMBER(Tabelle1!H272),(0.5*Tabelle1!H260+SUM(Tabelle1!H261:H271)+0.5*Tabelle1!H272)/12,"")</f>
        <v>118.770505833333</v>
      </c>
      <c r="P265" s="24" t="n">
        <f aca="false">IFERROR(Tabelle1!H266/O265,"")</f>
        <v>1.05121140239313</v>
      </c>
      <c r="Q265" s="24" t="n">
        <f aca="false">IFERROR(AVERAGEIFS($P$7:$P$294,$B$7:$B$294,$B265,$A$7:$A$294,"&gt;="&amp;EDATE($A265,-12*'Seasonal Factors'!$E$4),$A$7:$A$294,"&lt;="&amp;EDATE($A265,12*'Seasonal Factors'!$E$4)),"")</f>
        <v>1.04516452826684</v>
      </c>
      <c r="R265" s="24" t="n">
        <f aca="false">IFERROR(Q265/AVERAGE(Q260:Q271),"")</f>
        <v>1.04492827079466</v>
      </c>
      <c r="S265" s="23" t="n">
        <f aca="false">IF(ISNUMBER(Tabelle1!I272),(0.5*Tabelle1!I260+SUM(Tabelle1!I261:I271)+0.5*Tabelle1!I272)/12,"")</f>
        <v>149.61385125</v>
      </c>
      <c r="T265" s="24" t="n">
        <f aca="false">IFERROR(Tabelle1!I266/S265,"")</f>
        <v>1.08104643152149</v>
      </c>
      <c r="U265" s="24" t="n">
        <f aca="false">IFERROR(AVERAGEIFS($T$7:$T$294,$B$7:$B$294,$B265,$A$7:$A$294,"&gt;="&amp;EDATE($A265,-12*'Seasonal Factors'!$E$4),$A$7:$A$294,"&lt;="&amp;EDATE($A265,12*'Seasonal Factors'!$E$4)),"")</f>
        <v>1.08940419045236</v>
      </c>
      <c r="V265" s="24" t="n">
        <f aca="false">IFERROR(U265/AVERAGE(U260:U271),"")</f>
        <v>1.09052857307829</v>
      </c>
      <c r="W265" s="23" t="n">
        <f aca="false">IF(ISNUMBER(Tabelle1!J272),(0.5*Tabelle1!J260+SUM(Tabelle1!J261:J271)+0.5*Tabelle1!J272)/12,"")</f>
        <v>130.418830833333</v>
      </c>
      <c r="X265" s="24" t="n">
        <f aca="false">IFERROR(Tabelle1!J266/W265,"")</f>
        <v>1.01048651607999</v>
      </c>
      <c r="Y265" s="24" t="n">
        <f aca="false">IFERROR(AVERAGEIFS($X$7:$X$294,$B$7:$B$294,$B265,$A$7:$A$294,"&gt;="&amp;EDATE($A265,-12*'Seasonal Factors'!$E$4),$A$7:$A$294,"&lt;="&amp;EDATE($A265,12*'Seasonal Factors'!$E$4)),"")</f>
        <v>1.00838831542312</v>
      </c>
      <c r="Z265" s="24" t="n">
        <f aca="false">IFERROR(Y265/AVERAGE(Y260:Y271),"")</f>
        <v>1.00869220930636</v>
      </c>
      <c r="AA265" s="23" t="n">
        <f aca="false">IF(ISNUMBER(Tabelle1!K272),(0.5*Tabelle1!K260+SUM(Tabelle1!K261:K271)+0.5*Tabelle1!K272)/12,"")</f>
        <v>153.731122916667</v>
      </c>
      <c r="AB265" s="24" t="n">
        <f aca="false">IFERROR(Tabelle1!K266/AA265,"")</f>
        <v>1.00420589579433</v>
      </c>
      <c r="AC265" s="24" t="n">
        <f aca="false">IFERROR(AVERAGEIFS($AB$7:$AB$294,$B$7:$B$294,$B265,$A$7:$A$294,"&gt;="&amp;EDATE($A265,-12*'Seasonal Factors'!$E$4),$A$7:$A$294,"&lt;="&amp;EDATE($A265,12*'Seasonal Factors'!$E$4)),"")</f>
        <v>1.01207827865188</v>
      </c>
      <c r="AD265" s="24" t="n">
        <f aca="false">IFERROR(AC265/AVERAGE(AC260:AC271),"")</f>
        <v>1.01253000397398</v>
      </c>
      <c r="AE265" s="23" t="n">
        <f aca="false">IF(ISNUMBER(Tabelle1!L272),(0.5*Tabelle1!L260+SUM(Tabelle1!L261:L271)+0.5*Tabelle1!L272)/12,"")</f>
        <v>175.116517916667</v>
      </c>
      <c r="AF265" s="24" t="n">
        <f aca="false">IFERROR(Tabelle1!L266/AE265,"")</f>
        <v>0.948598864209086</v>
      </c>
      <c r="AG265" s="24" t="n">
        <f aca="false">IFERROR(AVERAGEIFS($AF$7:$AF$294,$B$7:$B$294,$B265,$A$7:$A$294,"&gt;="&amp;EDATE($A265,-12*'Seasonal Factors'!$E$4),$A$7:$A$294,"&lt;="&amp;EDATE($A265,12*'Seasonal Factors'!$E$4)),"")</f>
        <v>0.942853426572068</v>
      </c>
      <c r="AH265" s="24" t="n">
        <f aca="false">IFERROR(AG265/AVERAGE(AG260:AG271),"")</f>
        <v>0.937468061167939</v>
      </c>
      <c r="AI265" s="23" t="n">
        <f aca="false">IF(ISNUMBER(Tabelle1!M272),(0.5*Tabelle1!M260+SUM(Tabelle1!M261:M271)+0.5*Tabelle1!M272)/12,"")</f>
        <v>186.636749166667</v>
      </c>
      <c r="AJ265" s="24" t="n">
        <f aca="false">IFERROR(Tabelle1!M266/AI265,"")</f>
        <v>1.00944551831943</v>
      </c>
      <c r="AK265" s="24" t="n">
        <f aca="false">IFERROR(AVERAGEIFS($AJ$7:$AJ$294,$B$7:$B$294,$B265,$A$7:$A$294,"&gt;="&amp;EDATE($A265,-12*'Seasonal Factors'!$E$4),$A$7:$A$294,"&lt;="&amp;EDATE($A265,12*'Seasonal Factors'!$E$4)),"")</f>
        <v>1.0114336968141</v>
      </c>
      <c r="AL265" s="24" t="n">
        <f aca="false">IFERROR(AK265/AVERAGE(AK260:AK271),"")</f>
        <v>1.01038605535638</v>
      </c>
      <c r="AM265" s="23" t="n">
        <f aca="false">IF(ISNUMBER(Tabelle1!N272),(0.5*Tabelle1!N260+SUM(Tabelle1!N261:N271)+0.5*Tabelle1!N272)/12,"")</f>
        <v>195.839034583333</v>
      </c>
      <c r="AN265" s="24" t="n">
        <f aca="false">IFERROR(Tabelle1!N266/AM265,"")</f>
        <v>0.999983330272536</v>
      </c>
      <c r="AO265" s="24" t="n">
        <f aca="false">IFERROR(AVERAGEIFS($AN$7:$AN$294,$B$7:$B$294,$B265,$A$7:$A$294,"&gt;="&amp;EDATE($A265,-12*'Seasonal Factors'!$E$4),$A$7:$A$294,"&lt;="&amp;EDATE($A265,12*'Seasonal Factors'!$E$4)),"")</f>
        <v>1.00028208229124</v>
      </c>
      <c r="AP265" s="24" t="n">
        <f aca="false">IFERROR(AO265/AVERAGE(AO260:AO271),"")</f>
        <v>1.0001708507777</v>
      </c>
      <c r="AQ265" s="23" t="n">
        <f aca="false">IF(ISNUMBER(Tabelle1!O272),(0.5*Tabelle1!O260+SUM(Tabelle1!O261:O271)+0.5*Tabelle1!O272)/12,"")</f>
        <v>158.907085833333</v>
      </c>
      <c r="AR265" s="24" t="n">
        <f aca="false">IFERROR(Tabelle1!O266/AQ265,"")</f>
        <v>0.997606048645733</v>
      </c>
      <c r="AS265" s="24" t="n">
        <f aca="false">IFERROR(AVERAGEIFS($AR$7:$AR$294,$B$7:$B$294,$B265,$A$7:$A$294,"&gt;="&amp;EDATE($A265,-12*'Seasonal Factors'!$E$4),$A$7:$A$294,"&lt;="&amp;EDATE($A265,12*'Seasonal Factors'!$E$4)),"")</f>
        <v>0.997151808470109</v>
      </c>
      <c r="AT265" s="24" t="n">
        <f aca="false">IFERROR(AS265/AVERAGE(AS260:AS271),"")</f>
        <v>0.996594091759358</v>
      </c>
      <c r="AU265" s="23" t="n">
        <f aca="false">IF(ISNUMBER(Tabelle1!P272),(0.5*Tabelle1!P260+SUM(Tabelle1!P261:P271)+0.5*Tabelle1!P272)/12,"")</f>
        <v>161.21187375</v>
      </c>
      <c r="AV265" s="24" t="n">
        <f aca="false">IFERROR(Tabelle1!P266/AU265,"")</f>
        <v>1.00087931643435</v>
      </c>
      <c r="AW265" s="24" t="n">
        <f aca="false">IFERROR(AVERAGEIFS($AV$7:$AV$294,$B$7:$B$294,$B265,$A$7:$A$294,"&gt;="&amp;EDATE($A265,-12*'Seasonal Factors'!$E$4),$A$7:$A$294,"&lt;="&amp;EDATE($A265,12*'Seasonal Factors'!$E$4)),"")</f>
        <v>0.998603120337418</v>
      </c>
      <c r="AX265" s="24" t="n">
        <f aca="false">IFERROR(AW265/AVERAGE(AW260:AW271),"")</f>
        <v>0.997762953727597</v>
      </c>
      <c r="AY265" s="23" t="n">
        <f aca="false">IF(ISNUMBER(Tabelle1!Q272),(0.5*Tabelle1!Q260+SUM(Tabelle1!Q261:Q271)+0.5*Tabelle1!Q272)/12,"")</f>
        <v>172.277651666667</v>
      </c>
      <c r="AZ265" s="24" t="n">
        <f aca="false">IFERROR(Tabelle1!Q266/AY265,"")</f>
        <v>1.00729176606008</v>
      </c>
      <c r="BA265" s="24" t="n">
        <f aca="false">IFERROR(AVERAGEIFS($AZ$7:$AZ$294,$B$7:$B$294,$B265,$A$7:$A$294,"&gt;="&amp;EDATE($A265,-12*'Seasonal Factors'!$E$4),$A$7:$A$294,"&lt;="&amp;EDATE($A265,12*'Seasonal Factors'!$E$4)),"")</f>
        <v>1.00334947266918</v>
      </c>
      <c r="BB265" s="24" t="n">
        <f aca="false">IFERROR(BA265/AVERAGE(BA260:BA271),"")</f>
        <v>1.00296950285344</v>
      </c>
      <c r="BC265" s="23" t="n">
        <f aca="false">IF(ISNUMBER(Tabelle1!R272),(0.5*Tabelle1!R260+SUM(Tabelle1!R261:R271)+0.5*Tabelle1!R272)/12,"")</f>
        <v>185.503882083333</v>
      </c>
      <c r="BD265" s="24" t="n">
        <f aca="false">IFERROR(Tabelle1!R266/BC265,"")</f>
        <v>1.00142626619829</v>
      </c>
      <c r="BE265" s="24" t="n">
        <f aca="false">IFERROR(AVERAGEIFS($BD$7:$BD$294,$B$7:$B$294,$B265,$A$7:$A$294,"&gt;="&amp;EDATE($A265,-12*'Seasonal Factors'!$E$4),$A$7:$A$294,"&lt;="&amp;EDATE($A265,12*'Seasonal Factors'!$E$4)),"")</f>
        <v>1.00307731061706</v>
      </c>
      <c r="BF265" s="24" t="n">
        <f aca="false">IFERROR(BE265/AVERAGE(BE260:BE271),"")</f>
        <v>1.00267443318866</v>
      </c>
      <c r="BG265" s="23" t="n">
        <f aca="false">IF(ISNUMBER(Tabelle1!S272),(0.5*Tabelle1!S260+SUM(Tabelle1!S261:S271)+0.5*Tabelle1!S272)/12,"")</f>
        <v>128.306503333333</v>
      </c>
      <c r="BH265" s="24" t="n">
        <f aca="false">IFERROR(Tabelle1!S266/BG265,"")</f>
        <v>1.0378886224811</v>
      </c>
      <c r="BI265" s="24" t="n">
        <f aca="false">IFERROR(AVERAGEIFS($BH$7:$BH$294,$B$7:$B$294,$B265,$A$7:$A$294,"&gt;="&amp;EDATE($A265,-12*'Seasonal Factors'!$E$4),$A$7:$A$294,"&lt;="&amp;EDATE($A265,12*'Seasonal Factors'!$E$4)),"")</f>
        <v>1.04208984666309</v>
      </c>
      <c r="BJ265" s="24" t="n">
        <f aca="false">IFERROR(BI265/AVERAGE(BI260:BI271),"")</f>
        <v>1.04064915539087</v>
      </c>
    </row>
    <row r="266" customFormat="false" ht="15" hidden="false" customHeight="false" outlineLevel="0" collapsed="false">
      <c r="A266" s="20" t="n">
        <v>45900</v>
      </c>
      <c r="B266" s="22" t="n">
        <f aca="false">MONTH(A266)</f>
        <v>8</v>
      </c>
      <c r="C266" s="23" t="n">
        <f aca="false">IF(ISNUMBER(Tabelle1!E273),(0.5*Tabelle1!E261+SUM(Tabelle1!E262:E272)+0.5*Tabelle1!E273)/12,"")</f>
        <v>134.712950833333</v>
      </c>
      <c r="D266" s="24" t="n">
        <f aca="false">IFERROR(Tabelle1!E267/C266,"")</f>
        <v>0.581395326251143</v>
      </c>
      <c r="E266" s="24" t="n">
        <f aca="false">IFERROR(AVERAGEIFS($D$7:$D$294,$B$7:$B$294,$B266,$A$7:$A$294,"&gt;="&amp;EDATE($A266,-12*'Seasonal Factors'!$E$4),$A$7:$A$294,"&lt;="&amp;EDATE($A266,12*'Seasonal Factors'!$E$4)),"")</f>
        <v>0.64564649638395</v>
      </c>
      <c r="F266" s="24" t="n">
        <f aca="false">IFERROR(E266/AVERAGE(E261:E272),"")</f>
        <v>0.646339390886321</v>
      </c>
      <c r="G266" s="23" t="n">
        <f aca="false">IF(ISNUMBER(Tabelle1!F273),(0.5*Tabelle1!F261+SUM(Tabelle1!F262:F272)+0.5*Tabelle1!F273)/12,"")</f>
        <v>168.705844583333</v>
      </c>
      <c r="H266" s="24" t="n">
        <f aca="false">IFERROR(Tabelle1!F267/G266,"")</f>
        <v>1.73763582834972</v>
      </c>
      <c r="I266" s="24" t="n">
        <f aca="false">IFERROR(AVERAGEIFS($H$7:$H$294,$B$7:$B$294,$B266,$A$7:$A$294,"&gt;="&amp;EDATE($A266,-12*'Seasonal Factors'!$E$4),$A$7:$A$294,"&lt;="&amp;EDATE($A266,12*'Seasonal Factors'!$E$4)),"")</f>
        <v>1.62232073467018</v>
      </c>
      <c r="J266" s="24" t="n">
        <f aca="false">IFERROR(I266/AVERAGE(I261:I272),"")</f>
        <v>1.62667839447135</v>
      </c>
      <c r="K266" s="23" t="n">
        <f aca="false">IF(ISNUMBER(Tabelle1!G273),(0.5*Tabelle1!G261+SUM(Tabelle1!G262:G272)+0.5*Tabelle1!G273)/12,"")</f>
        <v>124.36723125</v>
      </c>
      <c r="L266" s="24" t="n">
        <f aca="false">IFERROR(Tabelle1!G267/K266,"")</f>
        <v>1.02350963932069</v>
      </c>
      <c r="M266" s="24" t="n">
        <f aca="false">IFERROR(AVERAGEIFS($L$7:$L$294,$B$7:$B$294,$B266,$A$7:$A$294,"&gt;="&amp;EDATE($A266,-12*'Seasonal Factors'!$E$4),$A$7:$A$294,"&lt;="&amp;EDATE($A266,12*'Seasonal Factors'!$E$4)),"")</f>
        <v>1.02243164903338</v>
      </c>
      <c r="N266" s="24" t="n">
        <f aca="false">IFERROR(M266/AVERAGE(M261:M272),"")</f>
        <v>1.02243186036369</v>
      </c>
      <c r="O266" s="23" t="n">
        <f aca="false">IF(ISNUMBER(Tabelle1!H273),(0.5*Tabelle1!H261+SUM(Tabelle1!H262:H272)+0.5*Tabelle1!H273)/12,"")</f>
        <v>118.286345416667</v>
      </c>
      <c r="P266" s="24" t="n">
        <f aca="false">IFERROR(Tabelle1!H267/O266,"")</f>
        <v>1.03752381196408</v>
      </c>
      <c r="Q266" s="24" t="n">
        <f aca="false">IFERROR(AVERAGEIFS($P$7:$P$294,$B$7:$B$294,$B266,$A$7:$A$294,"&gt;="&amp;EDATE($A266,-12*'Seasonal Factors'!$E$4),$A$7:$A$294,"&lt;="&amp;EDATE($A266,12*'Seasonal Factors'!$E$4)),"")</f>
        <v>1.05998557117766</v>
      </c>
      <c r="R266" s="24" t="n">
        <f aca="false">IFERROR(Q266/AVERAGE(Q261:Q272),"")</f>
        <v>1.05937304977747</v>
      </c>
      <c r="S266" s="23" t="n">
        <f aca="false">IF(ISNUMBER(Tabelle1!I273),(0.5*Tabelle1!I261+SUM(Tabelle1!I262:I272)+0.5*Tabelle1!I273)/12,"")</f>
        <v>149.060648333333</v>
      </c>
      <c r="T266" s="24" t="n">
        <f aca="false">IFERROR(Tabelle1!I267/S266,"")</f>
        <v>1.02323800215145</v>
      </c>
      <c r="U266" s="24" t="n">
        <f aca="false">IFERROR(AVERAGEIFS($T$7:$T$294,$B$7:$B$294,$B266,$A$7:$A$294,"&gt;="&amp;EDATE($A266,-12*'Seasonal Factors'!$E$4),$A$7:$A$294,"&lt;="&amp;EDATE($A266,12*'Seasonal Factors'!$E$4)),"")</f>
        <v>1.03308106464287</v>
      </c>
      <c r="V266" s="24" t="n">
        <f aca="false">IFERROR(U266/AVERAGE(U261:U272),"")</f>
        <v>1.03231365903109</v>
      </c>
      <c r="W266" s="23" t="n">
        <f aca="false">IF(ISNUMBER(Tabelle1!J273),(0.5*Tabelle1!J261+SUM(Tabelle1!J262:J272)+0.5*Tabelle1!J273)/12,"")</f>
        <v>130.383451666667</v>
      </c>
      <c r="X266" s="24" t="n">
        <f aca="false">IFERROR(Tabelle1!J267/W266,"")</f>
        <v>1.049812060122</v>
      </c>
      <c r="Y266" s="24" t="n">
        <f aca="false">IFERROR(AVERAGEIFS($X$7:$X$294,$B$7:$B$294,$B266,$A$7:$A$294,"&gt;="&amp;EDATE($A266,-12*'Seasonal Factors'!$E$4),$A$7:$A$294,"&lt;="&amp;EDATE($A266,12*'Seasonal Factors'!$E$4)),"")</f>
        <v>1.07599227207794</v>
      </c>
      <c r="Z266" s="24" t="n">
        <f aca="false">IFERROR(Y266/AVERAGE(Y261:Y272),"")</f>
        <v>1.0772294929672</v>
      </c>
      <c r="AA266" s="23" t="n">
        <f aca="false">IF(ISNUMBER(Tabelle1!K273),(0.5*Tabelle1!K261+SUM(Tabelle1!K262:K272)+0.5*Tabelle1!K273)/12,"")</f>
        <v>153.411668333333</v>
      </c>
      <c r="AB266" s="24" t="n">
        <f aca="false">IFERROR(Tabelle1!K267/AA266,"")</f>
        <v>0.991673590756097</v>
      </c>
      <c r="AC266" s="24" t="n">
        <f aca="false">IFERROR(AVERAGEIFS($AB$7:$AB$294,$B$7:$B$294,$B266,$A$7:$A$294,"&gt;="&amp;EDATE($A266,-12*'Seasonal Factors'!$E$4),$A$7:$A$294,"&lt;="&amp;EDATE($A266,12*'Seasonal Factors'!$E$4)),"")</f>
        <v>1.02906697159817</v>
      </c>
      <c r="AD266" s="24" t="n">
        <f aca="false">IFERROR(AC266/AVERAGE(AC261:AC272),"")</f>
        <v>1.02945082142398</v>
      </c>
      <c r="AE266" s="23" t="n">
        <f aca="false">IF(ISNUMBER(Tabelle1!L273),(0.5*Tabelle1!L261+SUM(Tabelle1!L262:L272)+0.5*Tabelle1!L273)/12,"")</f>
        <v>175.567359166667</v>
      </c>
      <c r="AF266" s="24" t="n">
        <f aca="false">IFERROR(Tabelle1!L267/AE266,"")</f>
        <v>1.03623994154456</v>
      </c>
      <c r="AG266" s="24" t="n">
        <f aca="false">IFERROR(AVERAGEIFS($AF$7:$AF$294,$B$7:$B$294,$B266,$A$7:$A$294,"&gt;="&amp;EDATE($A266,-12*'Seasonal Factors'!$E$4),$A$7:$A$294,"&lt;="&amp;EDATE($A266,12*'Seasonal Factors'!$E$4)),"")</f>
        <v>1.00747025128851</v>
      </c>
      <c r="AH266" s="24" t="n">
        <f aca="false">IFERROR(AG266/AVERAGE(AG261:AG272),"")</f>
        <v>1.00297449547166</v>
      </c>
      <c r="AI266" s="23" t="n">
        <f aca="false">IF(ISNUMBER(Tabelle1!M273),(0.5*Tabelle1!M261+SUM(Tabelle1!M262:M272)+0.5*Tabelle1!M273)/12,"")</f>
        <v>186.7677675</v>
      </c>
      <c r="AJ266" s="24" t="n">
        <f aca="false">IFERROR(Tabelle1!M267/AI266,"")</f>
        <v>0.989121476755886</v>
      </c>
      <c r="AK266" s="24" t="n">
        <f aca="false">IFERROR(AVERAGEIFS($AJ$7:$AJ$294,$B$7:$B$294,$B266,$A$7:$A$294,"&gt;="&amp;EDATE($A266,-12*'Seasonal Factors'!$E$4),$A$7:$A$294,"&lt;="&amp;EDATE($A266,12*'Seasonal Factors'!$E$4)),"")</f>
        <v>0.993975186072983</v>
      </c>
      <c r="AL266" s="24" t="n">
        <f aca="false">IFERROR(AK266/AVERAGE(AK261:AK272),"")</f>
        <v>0.992936137399915</v>
      </c>
      <c r="AM266" s="23" t="n">
        <f aca="false">IF(ISNUMBER(Tabelle1!N273),(0.5*Tabelle1!N261+SUM(Tabelle1!N262:N272)+0.5*Tabelle1!N273)/12,"")</f>
        <v>196.830976666667</v>
      </c>
      <c r="AN266" s="24" t="n">
        <f aca="false">IFERROR(Tabelle1!N267/AM266,"")</f>
        <v>1.03228253723546</v>
      </c>
      <c r="AO266" s="24" t="n">
        <f aca="false">IFERROR(AVERAGEIFS($AN$7:$AN$294,$B$7:$B$294,$B266,$A$7:$A$294,"&gt;="&amp;EDATE($A266,-12*'Seasonal Factors'!$E$4),$A$7:$A$294,"&lt;="&amp;EDATE($A266,12*'Seasonal Factors'!$E$4)),"")</f>
        <v>1.02119479397277</v>
      </c>
      <c r="AP266" s="24" t="n">
        <f aca="false">IFERROR(AO266/AVERAGE(AO261:AO272),"")</f>
        <v>1.02121907333255</v>
      </c>
      <c r="AQ266" s="23" t="n">
        <f aca="false">IF(ISNUMBER(Tabelle1!O273),(0.5*Tabelle1!O261+SUM(Tabelle1!O262:O272)+0.5*Tabelle1!O273)/12,"")</f>
        <v>158.910194583333</v>
      </c>
      <c r="AR266" s="24" t="n">
        <f aca="false">IFERROR(Tabelle1!O267/AQ266,"")</f>
        <v>1.00094660645946</v>
      </c>
      <c r="AS266" s="24" t="n">
        <f aca="false">IFERROR(AVERAGEIFS($AR$7:$AR$294,$B$7:$B$294,$B266,$A$7:$A$294,"&gt;="&amp;EDATE($A266,-12*'Seasonal Factors'!$E$4),$A$7:$A$294,"&lt;="&amp;EDATE($A266,12*'Seasonal Factors'!$E$4)),"")</f>
        <v>1.00912362401567</v>
      </c>
      <c r="AT266" s="24" t="n">
        <f aca="false">IFERROR(AS266/AVERAGE(AS261:AS272),"")</f>
        <v>1.00866724332007</v>
      </c>
      <c r="AU266" s="23" t="n">
        <f aca="false">IF(ISNUMBER(Tabelle1!P273),(0.5*Tabelle1!P261+SUM(Tabelle1!P262:P272)+0.5*Tabelle1!P273)/12,"")</f>
        <v>161.01996375</v>
      </c>
      <c r="AV266" s="24" t="n">
        <f aca="false">IFERROR(Tabelle1!P267/AU266,"")</f>
        <v>0.997998734178699</v>
      </c>
      <c r="AW266" s="24" t="n">
        <f aca="false">IFERROR(AVERAGEIFS($AV$7:$AV$294,$B$7:$B$294,$B266,$A$7:$A$294,"&gt;="&amp;EDATE($A266,-12*'Seasonal Factors'!$E$4),$A$7:$A$294,"&lt;="&amp;EDATE($A266,12*'Seasonal Factors'!$E$4)),"")</f>
        <v>0.994500198417714</v>
      </c>
      <c r="AX266" s="24" t="n">
        <f aca="false">IFERROR(AW266/AVERAGE(AW261:AW272),"")</f>
        <v>0.993724297047029</v>
      </c>
      <c r="AY266" s="23" t="n">
        <f aca="false">IF(ISNUMBER(Tabelle1!Q273),(0.5*Tabelle1!Q261+SUM(Tabelle1!Q262:Q272)+0.5*Tabelle1!Q273)/12,"")</f>
        <v>172.276002083333</v>
      </c>
      <c r="AZ266" s="24" t="n">
        <f aca="false">IFERROR(Tabelle1!Q267/AY266,"")</f>
        <v>1.00690866924164</v>
      </c>
      <c r="BA266" s="24" t="n">
        <f aca="false">IFERROR(AVERAGEIFS($AZ$7:$AZ$294,$B$7:$B$294,$B266,$A$7:$A$294,"&gt;="&amp;EDATE($A266,-12*'Seasonal Factors'!$E$4),$A$7:$A$294,"&lt;="&amp;EDATE($A266,12*'Seasonal Factors'!$E$4)),"")</f>
        <v>1.00703007172155</v>
      </c>
      <c r="BB266" s="24" t="n">
        <f aca="false">IFERROR(BA266/AVERAGE(BA261:BA272),"")</f>
        <v>1.00671989619258</v>
      </c>
      <c r="BC266" s="23" t="n">
        <f aca="false">IF(ISNUMBER(Tabelle1!R273),(0.5*Tabelle1!R261+SUM(Tabelle1!R262:R272)+0.5*Tabelle1!R273)/12,"")</f>
        <v>185.564290833333</v>
      </c>
      <c r="BD266" s="24" t="n">
        <f aca="false">IFERROR(Tabelle1!R267/BC266,"")</f>
        <v>0.99834229510456</v>
      </c>
      <c r="BE266" s="24" t="n">
        <f aca="false">IFERROR(AVERAGEIFS($BD$7:$BD$294,$B$7:$B$294,$B266,$A$7:$A$294,"&gt;="&amp;EDATE($A266,-12*'Seasonal Factors'!$E$4),$A$7:$A$294,"&lt;="&amp;EDATE($A266,12*'Seasonal Factors'!$E$4)),"")</f>
        <v>0.999695195883075</v>
      </c>
      <c r="BF266" s="24" t="n">
        <f aca="false">IFERROR(BE266/AVERAGE(BE261:BE272),"")</f>
        <v>0.999380820902521</v>
      </c>
      <c r="BG266" s="23" t="n">
        <f aca="false">IF(ISNUMBER(Tabelle1!S273),(0.5*Tabelle1!S261+SUM(Tabelle1!S262:S272)+0.5*Tabelle1!S273)/12,"")</f>
        <v>128.36671125</v>
      </c>
      <c r="BH266" s="24" t="n">
        <f aca="false">IFERROR(Tabelle1!S267/BG266,"")</f>
        <v>0.981487246756896</v>
      </c>
      <c r="BI266" s="24" t="n">
        <f aca="false">IFERROR(AVERAGEIFS($BH$7:$BH$294,$B$7:$B$294,$B266,$A$7:$A$294,"&gt;="&amp;EDATE($A266,-12*'Seasonal Factors'!$E$4),$A$7:$A$294,"&lt;="&amp;EDATE($A266,12*'Seasonal Factors'!$E$4)),"")</f>
        <v>0.986778166272165</v>
      </c>
      <c r="BJ266" s="24" t="n">
        <f aca="false">IFERROR(BI266/AVERAGE(BI261:BI272),"")</f>
        <v>0.986436332163386</v>
      </c>
    </row>
    <row r="267" customFormat="false" ht="15" hidden="false" customHeight="false" outlineLevel="0" collapsed="false">
      <c r="A267" s="20" t="n">
        <v>45930</v>
      </c>
      <c r="B267" s="22" t="n">
        <f aca="false">MONTH(A267)</f>
        <v>9</v>
      </c>
      <c r="C267" s="23" t="n">
        <f aca="false">IF(ISNUMBER(Tabelle1!E274),(0.5*Tabelle1!E262+SUM(Tabelle1!E263:E273)+0.5*Tabelle1!E274)/12,"")</f>
        <v>136.189165416667</v>
      </c>
      <c r="D267" s="24" t="n">
        <f aca="false">IFERROR(Tabelle1!E268/C267,"")</f>
        <v>0.554209211643815</v>
      </c>
      <c r="E267" s="24" t="n">
        <f aca="false">IFERROR(AVERAGEIFS($D$7:$D$294,$B$7:$B$294,$B267,$A$7:$A$294,"&gt;="&amp;EDATE($A267,-12*'Seasonal Factors'!$E$4),$A$7:$A$294,"&lt;="&amp;EDATE($A267,12*'Seasonal Factors'!$E$4)),"")</f>
        <v>0.613366788949902</v>
      </c>
      <c r="F267" s="24" t="n">
        <f aca="false">IFERROR(E267/AVERAGE(E262:E273),"")</f>
        <v>0.613693979157481</v>
      </c>
      <c r="G267" s="23" t="n">
        <f aca="false">IF(ISNUMBER(Tabelle1!F274),(0.5*Tabelle1!F262+SUM(Tabelle1!F263:F273)+0.5*Tabelle1!F274)/12,"")</f>
        <v>171.50786875</v>
      </c>
      <c r="H267" s="24" t="n">
        <f aca="false">IFERROR(Tabelle1!F268/G267,"")</f>
        <v>1.68198562609682</v>
      </c>
      <c r="I267" s="24" t="n">
        <f aca="false">IFERROR(AVERAGEIFS($H$7:$H$294,$B$7:$B$294,$B267,$A$7:$A$294,"&gt;="&amp;EDATE($A267,-12*'Seasonal Factors'!$E$4),$A$7:$A$294,"&lt;="&amp;EDATE($A267,12*'Seasonal Factors'!$E$4)),"")</f>
        <v>1.32872497883695</v>
      </c>
      <c r="J267" s="24" t="n">
        <f aca="false">IFERROR(I267/AVERAGE(I262:I273),"")</f>
        <v>1.33326791938187</v>
      </c>
      <c r="K267" s="23" t="n">
        <f aca="false">IF(ISNUMBER(Tabelle1!G274),(0.5*Tabelle1!G262+SUM(Tabelle1!G263:G273)+0.5*Tabelle1!G274)/12,"")</f>
        <v>125.631467083333</v>
      </c>
      <c r="L267" s="24" t="n">
        <f aca="false">IFERROR(Tabelle1!G268/K267,"")</f>
        <v>0.996247698970031</v>
      </c>
      <c r="M267" s="24" t="n">
        <f aca="false">IFERROR(AVERAGEIFS($L$7:$L$294,$B$7:$B$294,$B267,$A$7:$A$294,"&gt;="&amp;EDATE($A267,-12*'Seasonal Factors'!$E$4),$A$7:$A$294,"&lt;="&amp;EDATE($A267,12*'Seasonal Factors'!$E$4)),"")</f>
        <v>0.998981256678117</v>
      </c>
      <c r="N267" s="24" t="n">
        <f aca="false">IFERROR(M267/AVERAGE(M262:M273),"")</f>
        <v>0.999257343495623</v>
      </c>
      <c r="O267" s="23" t="n">
        <f aca="false">IF(ISNUMBER(Tabelle1!H274),(0.5*Tabelle1!H262+SUM(Tabelle1!H263:H273)+0.5*Tabelle1!H274)/12,"")</f>
        <v>118.160707083333</v>
      </c>
      <c r="P267" s="24" t="n">
        <f aca="false">IFERROR(Tabelle1!H268/O267,"")</f>
        <v>1.04827867958376</v>
      </c>
      <c r="Q267" s="24" t="n">
        <f aca="false">IFERROR(AVERAGEIFS($P$7:$P$294,$B$7:$B$294,$B267,$A$7:$A$294,"&gt;="&amp;EDATE($A267,-12*'Seasonal Factors'!$E$4),$A$7:$A$294,"&lt;="&amp;EDATE($A267,12*'Seasonal Factors'!$E$4)),"")</f>
        <v>1.04489680798416</v>
      </c>
      <c r="R267" s="24" t="n">
        <f aca="false">IFERROR(Q267/AVERAGE(Q262:Q273),"")</f>
        <v>1.04529847414151</v>
      </c>
      <c r="S267" s="23" t="n">
        <f aca="false">IF(ISNUMBER(Tabelle1!I274),(0.5*Tabelle1!I262+SUM(Tabelle1!I263:I273)+0.5*Tabelle1!I274)/12,"")</f>
        <v>149.030247083333</v>
      </c>
      <c r="T267" s="24" t="n">
        <f aca="false">IFERROR(Tabelle1!I268/S267,"")</f>
        <v>0.932175532946132</v>
      </c>
      <c r="U267" s="24" t="n">
        <f aca="false">IFERROR(AVERAGEIFS($T$7:$T$294,$B$7:$B$294,$B267,$A$7:$A$294,"&gt;="&amp;EDATE($A267,-12*'Seasonal Factors'!$E$4),$A$7:$A$294,"&lt;="&amp;EDATE($A267,12*'Seasonal Factors'!$E$4)),"")</f>
        <v>0.930853100272505</v>
      </c>
      <c r="V267" s="24" t="n">
        <f aca="false">IFERROR(U267/AVERAGE(U262:U273),"")</f>
        <v>0.929763065477024</v>
      </c>
      <c r="W267" s="23" t="n">
        <f aca="false">IF(ISNUMBER(Tabelle1!J274),(0.5*Tabelle1!J262+SUM(Tabelle1!J263:J273)+0.5*Tabelle1!J274)/12,"")</f>
        <v>130.825568333333</v>
      </c>
      <c r="X267" s="24" t="n">
        <f aca="false">IFERROR(Tabelle1!J268/W267,"")</f>
        <v>1.06115281415237</v>
      </c>
      <c r="Y267" s="24" t="n">
        <f aca="false">IFERROR(AVERAGEIFS($X$7:$X$294,$B$7:$B$294,$B267,$A$7:$A$294,"&gt;="&amp;EDATE($A267,-12*'Seasonal Factors'!$E$4),$A$7:$A$294,"&lt;="&amp;EDATE($A267,12*'Seasonal Factors'!$E$4)),"")</f>
        <v>1.06527304881808</v>
      </c>
      <c r="Z267" s="24" t="n">
        <f aca="false">IFERROR(Y267/AVERAGE(Y262:Y273),"")</f>
        <v>1.06800624880662</v>
      </c>
      <c r="AA267" s="23" t="n">
        <f aca="false">IF(ISNUMBER(Tabelle1!K274),(0.5*Tabelle1!K262+SUM(Tabelle1!K263:K273)+0.5*Tabelle1!K274)/12,"")</f>
        <v>153.445958333333</v>
      </c>
      <c r="AB267" s="24" t="n">
        <f aca="false">IFERROR(Tabelle1!K268/AA267,"")</f>
        <v>1.00536092104088</v>
      </c>
      <c r="AC267" s="24" t="n">
        <f aca="false">IFERROR(AVERAGEIFS($AB$7:$AB$294,$B$7:$B$294,$B267,$A$7:$A$294,"&gt;="&amp;EDATE($A267,-12*'Seasonal Factors'!$E$4),$A$7:$A$294,"&lt;="&amp;EDATE($A267,12*'Seasonal Factors'!$E$4)),"")</f>
        <v>1.02133773943116</v>
      </c>
      <c r="AD267" s="24" t="n">
        <f aca="false">IFERROR(AC267/AVERAGE(AC262:AC273),"")</f>
        <v>1.02248964346738</v>
      </c>
      <c r="AE267" s="23" t="n">
        <f aca="false">IF(ISNUMBER(Tabelle1!L274),(0.5*Tabelle1!L262+SUM(Tabelle1!L263:L273)+0.5*Tabelle1!L274)/12,"")</f>
        <v>176.01206375</v>
      </c>
      <c r="AF267" s="24" t="n">
        <f aca="false">IFERROR(Tabelle1!L268/AE267,"")</f>
        <v>0.946714483370178</v>
      </c>
      <c r="AG267" s="24" t="n">
        <f aca="false">IFERROR(AVERAGEIFS($AF$7:$AF$294,$B$7:$B$294,$B267,$A$7:$A$294,"&gt;="&amp;EDATE($A267,-12*'Seasonal Factors'!$E$4),$A$7:$A$294,"&lt;="&amp;EDATE($A267,12*'Seasonal Factors'!$E$4)),"")</f>
        <v>0.951748119100848</v>
      </c>
      <c r="AH267" s="24" t="n">
        <f aca="false">IFERROR(AG267/AVERAGE(AG262:AG273),"")</f>
        <v>0.948264760482628</v>
      </c>
      <c r="AI267" s="23" t="n">
        <f aca="false">IF(ISNUMBER(Tabelle1!M274),(0.5*Tabelle1!M262+SUM(Tabelle1!M263:M273)+0.5*Tabelle1!M274)/12,"")</f>
        <v>187.1024575</v>
      </c>
      <c r="AJ267" s="24" t="n">
        <f aca="false">IFERROR(Tabelle1!M268/AI267,"")</f>
        <v>0.993674174482716</v>
      </c>
      <c r="AK267" s="24" t="n">
        <f aca="false">IFERROR(AVERAGEIFS($AJ$7:$AJ$294,$B$7:$B$294,$B267,$A$7:$A$294,"&gt;="&amp;EDATE($A267,-12*'Seasonal Factors'!$E$4),$A$7:$A$294,"&lt;="&amp;EDATE($A267,12*'Seasonal Factors'!$E$4)),"")</f>
        <v>0.990997518325121</v>
      </c>
      <c r="AL267" s="24" t="n">
        <f aca="false">IFERROR(AK267/AVERAGE(AK262:AK273),"")</f>
        <v>0.990331459464869</v>
      </c>
      <c r="AM267" s="23" t="n">
        <f aca="false">IF(ISNUMBER(Tabelle1!N274),(0.5*Tabelle1!N262+SUM(Tabelle1!N263:N273)+0.5*Tabelle1!N274)/12,"")</f>
        <v>198.026970833333</v>
      </c>
      <c r="AN267" s="24" t="n">
        <f aca="false">IFERROR(Tabelle1!N268/AM267,"")</f>
        <v>1.13099270800087</v>
      </c>
      <c r="AO267" s="24" t="n">
        <f aca="false">IFERROR(AVERAGEIFS($AN$7:$AN$294,$B$7:$B$294,$B267,$A$7:$A$294,"&gt;="&amp;EDATE($A267,-12*'Seasonal Factors'!$E$4),$A$7:$A$294,"&lt;="&amp;EDATE($A267,12*'Seasonal Factors'!$E$4)),"")</f>
        <v>1.01801045331083</v>
      </c>
      <c r="AP267" s="24" t="n">
        <f aca="false">IFERROR(AO267/AVERAGE(AO262:AO273),"")</f>
        <v>1.01859825251605</v>
      </c>
      <c r="AQ267" s="23" t="n">
        <f aca="false">IF(ISNUMBER(Tabelle1!O274),(0.5*Tabelle1!O262+SUM(Tabelle1!O263:O273)+0.5*Tabelle1!O274)/12,"")</f>
        <v>159.065960416667</v>
      </c>
      <c r="AR267" s="24" t="n">
        <f aca="false">IFERROR(Tabelle1!O268/AQ267,"")</f>
        <v>1.01231218532364</v>
      </c>
      <c r="AS267" s="24" t="n">
        <f aca="false">IFERROR(AVERAGEIFS($AR$7:$AR$294,$B$7:$B$294,$B267,$A$7:$A$294,"&gt;="&amp;EDATE($A267,-12*'Seasonal Factors'!$E$4),$A$7:$A$294,"&lt;="&amp;EDATE($A267,12*'Seasonal Factors'!$E$4)),"")</f>
        <v>1.00357492001903</v>
      </c>
      <c r="AT267" s="24" t="n">
        <f aca="false">IFERROR(AS267/AVERAGE(AS262:AS273),"")</f>
        <v>1.00348270357283</v>
      </c>
      <c r="AU267" s="23" t="n">
        <f aca="false">IF(ISNUMBER(Tabelle1!P274),(0.5*Tabelle1!P262+SUM(Tabelle1!P263:P273)+0.5*Tabelle1!P274)/12,"")</f>
        <v>160.8367075</v>
      </c>
      <c r="AV267" s="24" t="n">
        <f aca="false">IFERROR(Tabelle1!P268/AU267,"")</f>
        <v>1.00182167680845</v>
      </c>
      <c r="AW267" s="24" t="n">
        <f aca="false">IFERROR(AVERAGEIFS($AV$7:$AV$294,$B$7:$B$294,$B267,$A$7:$A$294,"&gt;="&amp;EDATE($A267,-12*'Seasonal Factors'!$E$4),$A$7:$A$294,"&lt;="&amp;EDATE($A267,12*'Seasonal Factors'!$E$4)),"")</f>
        <v>0.998731457177255</v>
      </c>
      <c r="AX267" s="24" t="n">
        <f aca="false">IFERROR(AW267/AVERAGE(AW262:AW273),"")</f>
        <v>0.998192533937418</v>
      </c>
      <c r="AY267" s="23" t="n">
        <f aca="false">IF(ISNUMBER(Tabelle1!Q274),(0.5*Tabelle1!Q262+SUM(Tabelle1!Q263:Q273)+0.5*Tabelle1!Q274)/12,"")</f>
        <v>172.312765</v>
      </c>
      <c r="AZ267" s="24" t="n">
        <f aca="false">IFERROR(Tabelle1!Q268/AY267,"")</f>
        <v>1.01160172318052</v>
      </c>
      <c r="BA267" s="24" t="n">
        <f aca="false">IFERROR(AVERAGEIFS($AZ$7:$AZ$294,$B$7:$B$294,$B267,$A$7:$A$294,"&gt;="&amp;EDATE($A267,-12*'Seasonal Factors'!$E$4),$A$7:$A$294,"&lt;="&amp;EDATE($A267,12*'Seasonal Factors'!$E$4)),"")</f>
        <v>1.01101185176599</v>
      </c>
      <c r="BB267" s="24" t="n">
        <f aca="false">IFERROR(BA267/AVERAGE(BA262:BA273),"")</f>
        <v>1.0109255560806</v>
      </c>
      <c r="BC267" s="23" t="n">
        <f aca="false">IF(ISNUMBER(Tabelle1!R274),(0.5*Tabelle1!R262+SUM(Tabelle1!R263:R273)+0.5*Tabelle1!R274)/12,"")</f>
        <v>185.65439125</v>
      </c>
      <c r="BD267" s="24" t="n">
        <f aca="false">IFERROR(Tabelle1!R268/BC267,"")</f>
        <v>0.982774276285803</v>
      </c>
      <c r="BE267" s="24" t="n">
        <f aca="false">IFERROR(AVERAGEIFS($BD$7:$BD$294,$B$7:$B$294,$B267,$A$7:$A$294,"&gt;="&amp;EDATE($A267,-12*'Seasonal Factors'!$E$4),$A$7:$A$294,"&lt;="&amp;EDATE($A267,12*'Seasonal Factors'!$E$4)),"")</f>
        <v>0.983190595891243</v>
      </c>
      <c r="BF267" s="24" t="n">
        <f aca="false">IFERROR(BE267/AVERAGE(BE262:BE273),"")</f>
        <v>0.982927240872896</v>
      </c>
      <c r="BG267" s="23" t="n">
        <f aca="false">IF(ISNUMBER(Tabelle1!S274),(0.5*Tabelle1!S262+SUM(Tabelle1!S263:S273)+0.5*Tabelle1!S274)/12,"")</f>
        <v>128.464924583333</v>
      </c>
      <c r="BH267" s="24" t="n">
        <f aca="false">IFERROR(Tabelle1!S268/BG267,"")</f>
        <v>0.95739160240753</v>
      </c>
      <c r="BI267" s="24" t="n">
        <f aca="false">IFERROR(AVERAGEIFS($BH$7:$BH$294,$B$7:$B$294,$B267,$A$7:$A$294,"&gt;="&amp;EDATE($A267,-12*'Seasonal Factors'!$E$4),$A$7:$A$294,"&lt;="&amp;EDATE($A267,12*'Seasonal Factors'!$E$4)),"")</f>
        <v>0.951449368531242</v>
      </c>
      <c r="BJ267" s="24" t="n">
        <f aca="false">IFERROR(BI267/AVERAGE(BI262:BI273),"")</f>
        <v>0.951272086122682</v>
      </c>
    </row>
    <row r="268" customFormat="false" ht="15" hidden="false" customHeight="false" outlineLevel="0" collapsed="false">
      <c r="A268" s="20" t="n">
        <v>45961</v>
      </c>
      <c r="B268" s="22" t="n">
        <f aca="false">MONTH(A268)</f>
        <v>10</v>
      </c>
      <c r="C268" s="23" t="n">
        <f aca="false">IF(ISNUMBER(Tabelle1!E275),(0.5*Tabelle1!E263+SUM(Tabelle1!E264:E274)+0.5*Tabelle1!E275)/12,"")</f>
        <v>138.408167916667</v>
      </c>
      <c r="D268" s="24" t="n">
        <f aca="false">IFERROR(Tabelle1!E269/C268,"")</f>
        <v>0.518068196980776</v>
      </c>
      <c r="E268" s="24" t="n">
        <f aca="false">IFERROR(AVERAGEIFS($D$7:$D$294,$B$7:$B$294,$B268,$A$7:$A$294,"&gt;="&amp;EDATE($A268,-12*'Seasonal Factors'!$E$4),$A$7:$A$294,"&lt;="&amp;EDATE($A268,12*'Seasonal Factors'!$E$4)),"")</f>
        <v>0.569793185391047</v>
      </c>
      <c r="F268" s="24" t="n">
        <f aca="false">IFERROR(E268/AVERAGE(E263:E274),"")</f>
        <v>0.570889381410997</v>
      </c>
      <c r="G268" s="23" t="n">
        <f aca="false">IF(ISNUMBER(Tabelle1!F275),(0.5*Tabelle1!F263+SUM(Tabelle1!F264:F274)+0.5*Tabelle1!F275)/12,"")</f>
        <v>171.234805</v>
      </c>
      <c r="H268" s="24" t="n">
        <f aca="false">IFERROR(Tabelle1!F269/G268,"")</f>
        <v>0.691685665189387</v>
      </c>
      <c r="I268" s="24" t="n">
        <f aca="false">IFERROR(AVERAGEIFS($H$7:$H$294,$B$7:$B$294,$B268,$A$7:$A$294,"&gt;="&amp;EDATE($A268,-12*'Seasonal Factors'!$E$4),$A$7:$A$294,"&lt;="&amp;EDATE($A268,12*'Seasonal Factors'!$E$4)),"")</f>
        <v>0.581735100498835</v>
      </c>
      <c r="J268" s="24" t="n">
        <f aca="false">IFERROR(I268/AVERAGE(I263:I274),"")</f>
        <v>0.582580860443071</v>
      </c>
      <c r="K268" s="23" t="n">
        <f aca="false">IF(ISNUMBER(Tabelle1!G275),(0.5*Tabelle1!G263+SUM(Tabelle1!G264:G274)+0.5*Tabelle1!G275)/12,"")</f>
        <v>127.268115833333</v>
      </c>
      <c r="L268" s="24" t="n">
        <f aca="false">IFERROR(Tabelle1!G269/K268,"")</f>
        <v>1.00727263195975</v>
      </c>
      <c r="M268" s="24" t="n">
        <f aca="false">IFERROR(AVERAGEIFS($L$7:$L$294,$B$7:$B$294,$B268,$A$7:$A$294,"&gt;="&amp;EDATE($A268,-12*'Seasonal Factors'!$E$4),$A$7:$A$294,"&lt;="&amp;EDATE($A268,12*'Seasonal Factors'!$E$4)),"")</f>
        <v>1.01619566485113</v>
      </c>
      <c r="N268" s="24" t="n">
        <f aca="false">IFERROR(M268/AVERAGE(M263:M274),"")</f>
        <v>1.01641873342207</v>
      </c>
      <c r="O268" s="23" t="n">
        <f aca="false">IF(ISNUMBER(Tabelle1!H275),(0.5*Tabelle1!H263+SUM(Tabelle1!H264:H274)+0.5*Tabelle1!H275)/12,"")</f>
        <v>118.280796666667</v>
      </c>
      <c r="P268" s="24" t="n">
        <f aca="false">IFERROR(Tabelle1!H269/O268,"")</f>
        <v>1.10245622006999</v>
      </c>
      <c r="Q268" s="24" t="n">
        <f aca="false">IFERROR(AVERAGEIFS($P$7:$P$294,$B$7:$B$294,$B268,$A$7:$A$294,"&gt;="&amp;EDATE($A268,-12*'Seasonal Factors'!$E$4),$A$7:$A$294,"&lt;="&amp;EDATE($A268,12*'Seasonal Factors'!$E$4)),"")</f>
        <v>1.08273112865562</v>
      </c>
      <c r="R268" s="24" t="n">
        <f aca="false">IFERROR(Q268/AVERAGE(Q263:Q274),"")</f>
        <v>1.08355368198312</v>
      </c>
      <c r="S268" s="23" t="n">
        <f aca="false">IF(ISNUMBER(Tabelle1!I275),(0.5*Tabelle1!I263+SUM(Tabelle1!I264:I274)+0.5*Tabelle1!I275)/12,"")</f>
        <v>149.74885</v>
      </c>
      <c r="T268" s="24" t="n">
        <f aca="false">IFERROR(Tabelle1!I269/S268,"")</f>
        <v>0.925343533522962</v>
      </c>
      <c r="U268" s="24" t="n">
        <f aca="false">IFERROR(AVERAGEIFS($T$7:$T$294,$B$7:$B$294,$B268,$A$7:$A$294,"&gt;="&amp;EDATE($A268,-12*'Seasonal Factors'!$E$4),$A$7:$A$294,"&lt;="&amp;EDATE($A268,12*'Seasonal Factors'!$E$4)),"")</f>
        <v>0.908751047399281</v>
      </c>
      <c r="V268" s="24" t="n">
        <f aca="false">IFERROR(U268/AVERAGE(U263:U274),"")</f>
        <v>0.908067738892148</v>
      </c>
      <c r="W268" s="23" t="n">
        <f aca="false">IF(ISNUMBER(Tabelle1!J275),(0.5*Tabelle1!J263+SUM(Tabelle1!J264:J274)+0.5*Tabelle1!J275)/12,"")</f>
        <v>131.18127625</v>
      </c>
      <c r="X268" s="24" t="n">
        <f aca="false">IFERROR(Tabelle1!J269/W268,"")</f>
        <v>1.01306401186961</v>
      </c>
      <c r="Y268" s="24" t="n">
        <f aca="false">IFERROR(AVERAGEIFS($X$7:$X$294,$B$7:$B$294,$B268,$A$7:$A$294,"&gt;="&amp;EDATE($A268,-12*'Seasonal Factors'!$E$4),$A$7:$A$294,"&lt;="&amp;EDATE($A268,12*'Seasonal Factors'!$E$4)),"")</f>
        <v>1.00182329113094</v>
      </c>
      <c r="Z268" s="24" t="n">
        <f aca="false">IFERROR(Y268/AVERAGE(Y263:Y274),"")</f>
        <v>1.00440617286712</v>
      </c>
      <c r="AA268" s="23" t="n">
        <f aca="false">IF(ISNUMBER(Tabelle1!K275),(0.5*Tabelle1!K263+SUM(Tabelle1!K264:K274)+0.5*Tabelle1!K275)/12,"")</f>
        <v>153.4967</v>
      </c>
      <c r="AB268" s="24" t="n">
        <f aca="false">IFERROR(Tabelle1!K269/AA268,"")</f>
        <v>1.04178317840058</v>
      </c>
      <c r="AC268" s="24" t="n">
        <f aca="false">IFERROR(AVERAGEIFS($AB$7:$AB$294,$B$7:$B$294,$B268,$A$7:$A$294,"&gt;="&amp;EDATE($A268,-12*'Seasonal Factors'!$E$4),$A$7:$A$294,"&lt;="&amp;EDATE($A268,12*'Seasonal Factors'!$E$4)),"")</f>
        <v>1.02107955896879</v>
      </c>
      <c r="AD268" s="24" t="n">
        <f aca="false">IFERROR(AC268/AVERAGE(AC263:AC274),"")</f>
        <v>1.02259147211875</v>
      </c>
      <c r="AE268" s="23" t="n">
        <f aca="false">IF(ISNUMBER(Tabelle1!L275),(0.5*Tabelle1!L263+SUM(Tabelle1!L264:L274)+0.5*Tabelle1!L275)/12,"")</f>
        <v>176.18037375</v>
      </c>
      <c r="AF268" s="24" t="n">
        <f aca="false">IFERROR(Tabelle1!L269/AE268,"")</f>
        <v>1.06025373896109</v>
      </c>
      <c r="AG268" s="24" t="n">
        <f aca="false">IFERROR(AVERAGEIFS($AF$7:$AF$294,$B$7:$B$294,$B268,$A$7:$A$294,"&gt;="&amp;EDATE($A268,-12*'Seasonal Factors'!$E$4),$A$7:$A$294,"&lt;="&amp;EDATE($A268,12*'Seasonal Factors'!$E$4)),"")</f>
        <v>1.03610147145869</v>
      </c>
      <c r="AH268" s="24" t="n">
        <f aca="false">IFERROR(AG268/AVERAGE(AG263:AG274),"")</f>
        <v>1.0366857744366</v>
      </c>
      <c r="AI268" s="23" t="n">
        <f aca="false">IF(ISNUMBER(Tabelle1!M275),(0.5*Tabelle1!M263+SUM(Tabelle1!M264:M274)+0.5*Tabelle1!M275)/12,"")</f>
        <v>187.65389375</v>
      </c>
      <c r="AJ268" s="24" t="n">
        <f aca="false">IFERROR(Tabelle1!M269/AI268,"")</f>
        <v>0.999539451336325</v>
      </c>
      <c r="AK268" s="24" t="n">
        <f aca="false">IFERROR(AVERAGEIFS($AJ$7:$AJ$294,$B$7:$B$294,$B268,$A$7:$A$294,"&gt;="&amp;EDATE($A268,-12*'Seasonal Factors'!$E$4),$A$7:$A$294,"&lt;="&amp;EDATE($A268,12*'Seasonal Factors'!$E$4)),"")</f>
        <v>0.992100878800931</v>
      </c>
      <c r="AL268" s="24" t="n">
        <f aca="false">IFERROR(AK268/AVERAGE(AK263:AK274),"")</f>
        <v>0.991650398170317</v>
      </c>
      <c r="AM268" s="23" t="n">
        <f aca="false">IF(ISNUMBER(Tabelle1!N275),(0.5*Tabelle1!N263+SUM(Tabelle1!N264:N274)+0.5*Tabelle1!N275)/12,"")</f>
        <v>199.138093333333</v>
      </c>
      <c r="AN268" s="24" t="n">
        <f aca="false">IFERROR(Tabelle1!N269/AM268,"")</f>
        <v>1.05855598229088</v>
      </c>
      <c r="AO268" s="24" t="n">
        <f aca="false">IFERROR(AVERAGEIFS($AN$7:$AN$294,$B$7:$B$294,$B268,$A$7:$A$294,"&gt;="&amp;EDATE($A268,-12*'Seasonal Factors'!$E$4),$A$7:$A$294,"&lt;="&amp;EDATE($A268,12*'Seasonal Factors'!$E$4)),"")</f>
        <v>1.02929475905144</v>
      </c>
      <c r="AP268" s="24" t="n">
        <f aca="false">IFERROR(AO268/AVERAGE(AO263:AO274),"")</f>
        <v>1.02986811895838</v>
      </c>
      <c r="AQ268" s="23" t="n">
        <f aca="false">IF(ISNUMBER(Tabelle1!O275),(0.5*Tabelle1!O263+SUM(Tabelle1!O264:O274)+0.5*Tabelle1!O275)/12,"")</f>
        <v>159.215478333333</v>
      </c>
      <c r="AR268" s="24" t="n">
        <f aca="false">IFERROR(Tabelle1!O269/AQ268,"")</f>
        <v>1.02551624822658</v>
      </c>
      <c r="AS268" s="24" t="n">
        <f aca="false">IFERROR(AVERAGEIFS($AR$7:$AR$294,$B$7:$B$294,$B268,$A$7:$A$294,"&gt;="&amp;EDATE($A268,-12*'Seasonal Factors'!$E$4),$A$7:$A$294,"&lt;="&amp;EDATE($A268,12*'Seasonal Factors'!$E$4)),"")</f>
        <v>1.01101509348011</v>
      </c>
      <c r="AT268" s="24" t="n">
        <f aca="false">IFERROR(AS268/AVERAGE(AS263:AS274),"")</f>
        <v>1.01102160929778</v>
      </c>
      <c r="AU268" s="23" t="n">
        <f aca="false">IF(ISNUMBER(Tabelle1!P275),(0.5*Tabelle1!P263+SUM(Tabelle1!P264:P274)+0.5*Tabelle1!P275)/12,"")</f>
        <v>160.65998625</v>
      </c>
      <c r="AV268" s="24" t="n">
        <f aca="false">IFERROR(Tabelle1!P269/AU268,"")</f>
        <v>0.998074528342617</v>
      </c>
      <c r="AW268" s="24" t="n">
        <f aca="false">IFERROR(AVERAGEIFS($AV$7:$AV$294,$B$7:$B$294,$B268,$A$7:$A$294,"&gt;="&amp;EDATE($A268,-12*'Seasonal Factors'!$E$4),$A$7:$A$294,"&lt;="&amp;EDATE($A268,12*'Seasonal Factors'!$E$4)),"")</f>
        <v>1.00470994114484</v>
      </c>
      <c r="AX268" s="24" t="n">
        <f aca="false">IFERROR(AW268/AVERAGE(AW263:AW274),"")</f>
        <v>1.00406304390815</v>
      </c>
      <c r="AY268" s="23" t="n">
        <f aca="false">IF(ISNUMBER(Tabelle1!Q275),(0.5*Tabelle1!Q263+SUM(Tabelle1!Q264:Q274)+0.5*Tabelle1!Q275)/12,"")</f>
        <v>172.330607916667</v>
      </c>
      <c r="AZ268" s="24" t="n">
        <f aca="false">IFERROR(Tabelle1!Q269/AY268,"")</f>
        <v>1.00752705569263</v>
      </c>
      <c r="BA268" s="24" t="n">
        <f aca="false">IFERROR(AVERAGEIFS($AZ$7:$AZ$294,$B$7:$B$294,$B268,$A$7:$A$294,"&gt;="&amp;EDATE($A268,-12*'Seasonal Factors'!$E$4),$A$7:$A$294,"&lt;="&amp;EDATE($A268,12*'Seasonal Factors'!$E$4)),"")</f>
        <v>1.00869331561869</v>
      </c>
      <c r="BB268" s="24" t="n">
        <f aca="false">IFERROR(BA268/AVERAGE(BA263:BA274),"")</f>
        <v>1.00848582636729</v>
      </c>
      <c r="BC268" s="23" t="n">
        <f aca="false">IF(ISNUMBER(Tabelle1!R275),(0.5*Tabelle1!R263+SUM(Tabelle1!R264:R274)+0.5*Tabelle1!R275)/12,"")</f>
        <v>185.7393825</v>
      </c>
      <c r="BD268" s="24" t="n">
        <f aca="false">IFERROR(Tabelle1!R269/BC268,"")</f>
        <v>0.955235920416608</v>
      </c>
      <c r="BE268" s="24" t="n">
        <f aca="false">IFERROR(AVERAGEIFS($BD$7:$BD$294,$B$7:$B$294,$B268,$A$7:$A$294,"&gt;="&amp;EDATE($A268,-12*'Seasonal Factors'!$E$4),$A$7:$A$294,"&lt;="&amp;EDATE($A268,12*'Seasonal Factors'!$E$4)),"")</f>
        <v>0.956411157526847</v>
      </c>
      <c r="BF268" s="24" t="n">
        <f aca="false">IFERROR(BE268/AVERAGE(BE263:BE274),"")</f>
        <v>0.956109933293304</v>
      </c>
      <c r="BG268" s="23" t="n">
        <f aca="false">IF(ISNUMBER(Tabelle1!S275),(0.5*Tabelle1!S263+SUM(Tabelle1!S264:S274)+0.5*Tabelle1!S275)/12,"")</f>
        <v>128.419109166667</v>
      </c>
      <c r="BH268" s="24" t="n">
        <f aca="false">IFERROR(Tabelle1!S269/BG268,"")</f>
        <v>1.00333432334262</v>
      </c>
      <c r="BI268" s="24" t="n">
        <f aca="false">IFERROR(AVERAGEIFS($BH$7:$BH$294,$B$7:$B$294,$B268,$A$7:$A$294,"&gt;="&amp;EDATE($A268,-12*'Seasonal Factors'!$E$4),$A$7:$A$294,"&lt;="&amp;EDATE($A268,12*'Seasonal Factors'!$E$4)),"")</f>
        <v>0.999469137271225</v>
      </c>
      <c r="BJ268" s="24" t="n">
        <f aca="false">IFERROR(BI268/AVERAGE(BI263:BI274),"")</f>
        <v>0.998544650038559</v>
      </c>
    </row>
    <row r="269" customFormat="false" ht="15" hidden="false" customHeight="false" outlineLevel="0" collapsed="false">
      <c r="A269" s="20" t="n">
        <v>45991</v>
      </c>
      <c r="B269" s="22" t="n">
        <f aca="false">MONTH(A269)</f>
        <v>11</v>
      </c>
      <c r="C269" s="23" t="n">
        <f aca="false">IF(ISNUMBER(Tabelle1!E276),(0.5*Tabelle1!E264+SUM(Tabelle1!E265:E275)+0.5*Tabelle1!E276)/12,"")</f>
        <v>139.928642083333</v>
      </c>
      <c r="D269" s="24" t="n">
        <f aca="false">IFERROR(Tabelle1!E270/C269,"")</f>
        <v>0.645631863891006</v>
      </c>
      <c r="E269" s="24" t="n">
        <f aca="false">IFERROR(AVERAGEIFS($D$7:$D$294,$B$7:$B$294,$B269,$A$7:$A$294,"&gt;="&amp;EDATE($A269,-12*'Seasonal Factors'!$E$4),$A$7:$A$294,"&lt;="&amp;EDATE($A269,12*'Seasonal Factors'!$E$4)),"")</f>
        <v>0.685593467844519</v>
      </c>
      <c r="F269" s="24" t="n">
        <f aca="false">IFERROR(E269/AVERAGE(E264:E275),"")</f>
        <v>0.689180249338453</v>
      </c>
      <c r="G269" s="23" t="n">
        <f aca="false">IF(ISNUMBER(Tabelle1!F276),(0.5*Tabelle1!F264+SUM(Tabelle1!F265:F275)+0.5*Tabelle1!F276)/12,"")</f>
        <v>167.6574925</v>
      </c>
      <c r="H269" s="24" t="n">
        <f aca="false">IFERROR(Tabelle1!F270/G269,"")</f>
        <v>0.718318985952865</v>
      </c>
      <c r="I269" s="24" t="n">
        <f aca="false">IFERROR(AVERAGEIFS($H$7:$H$294,$B$7:$B$294,$B269,$A$7:$A$294,"&gt;="&amp;EDATE($A269,-12*'Seasonal Factors'!$E$4),$A$7:$A$294,"&lt;="&amp;EDATE($A269,12*'Seasonal Factors'!$E$4)),"")</f>
        <v>0.568514877898986</v>
      </c>
      <c r="J269" s="24" t="n">
        <f aca="false">IFERROR(I269/AVERAGE(I264:I275),"")</f>
        <v>0.57004383456611</v>
      </c>
      <c r="K269" s="23" t="n">
        <f aca="false">IF(ISNUMBER(Tabelle1!G276),(0.5*Tabelle1!G264+SUM(Tabelle1!G265:G275)+0.5*Tabelle1!G276)/12,"")</f>
        <v>128.921449583333</v>
      </c>
      <c r="L269" s="24" t="n">
        <f aca="false">IFERROR(Tabelle1!G270/K269,"")</f>
        <v>0.946313126281912</v>
      </c>
      <c r="M269" s="24" t="n">
        <f aca="false">IFERROR(AVERAGEIFS($L$7:$L$294,$B$7:$B$294,$B269,$A$7:$A$294,"&gt;="&amp;EDATE($A269,-12*'Seasonal Factors'!$E$4),$A$7:$A$294,"&lt;="&amp;EDATE($A269,12*'Seasonal Factors'!$E$4)),"")</f>
        <v>0.968421303450087</v>
      </c>
      <c r="N269" s="24" t="n">
        <f aca="false">IFERROR(M269/AVERAGE(M264:M275),"")</f>
        <v>0.968666486099919</v>
      </c>
      <c r="O269" s="23" t="n">
        <f aca="false">IF(ISNUMBER(Tabelle1!H276),(0.5*Tabelle1!H264+SUM(Tabelle1!H265:H275)+0.5*Tabelle1!H276)/12,"")</f>
        <v>117.864132083333</v>
      </c>
      <c r="P269" s="24" t="n">
        <f aca="false">IFERROR(Tabelle1!H270/O269,"")</f>
        <v>1.01930263156783</v>
      </c>
      <c r="Q269" s="24" t="n">
        <f aca="false">IFERROR(AVERAGEIFS($P$7:$P$294,$B$7:$B$294,$B269,$A$7:$A$294,"&gt;="&amp;EDATE($A269,-12*'Seasonal Factors'!$E$4),$A$7:$A$294,"&lt;="&amp;EDATE($A269,12*'Seasonal Factors'!$E$4)),"")</f>
        <v>1.06305894534171</v>
      </c>
      <c r="R269" s="24" t="n">
        <f aca="false">IFERROR(Q269/AVERAGE(Q264:Q275),"")</f>
        <v>1.063325396998</v>
      </c>
      <c r="S269" s="23" t="n">
        <f aca="false">IF(ISNUMBER(Tabelle1!I276),(0.5*Tabelle1!I264+SUM(Tabelle1!I265:I275)+0.5*Tabelle1!I276)/12,"")</f>
        <v>150.608636666667</v>
      </c>
      <c r="T269" s="24" t="n">
        <f aca="false">IFERROR(Tabelle1!I270/S269,"")</f>
        <v>0.918806936060838</v>
      </c>
      <c r="U269" s="24" t="n">
        <f aca="false">IFERROR(AVERAGEIFS($T$7:$T$294,$B$7:$B$294,$B269,$A$7:$A$294,"&gt;="&amp;EDATE($A269,-12*'Seasonal Factors'!$E$4),$A$7:$A$294,"&lt;="&amp;EDATE($A269,12*'Seasonal Factors'!$E$4)),"")</f>
        <v>0.940466502779565</v>
      </c>
      <c r="V269" s="24" t="n">
        <f aca="false">IFERROR(U269/AVERAGE(U264:U275),"")</f>
        <v>0.93961628762169</v>
      </c>
      <c r="W269" s="23" t="n">
        <f aca="false">IF(ISNUMBER(Tabelle1!J276),(0.5*Tabelle1!J264+SUM(Tabelle1!J265:J275)+0.5*Tabelle1!J276)/12,"")</f>
        <v>131.179537916667</v>
      </c>
      <c r="X269" s="24" t="n">
        <f aca="false">IFERROR(Tabelle1!J270/W269,"")</f>
        <v>0.949424673832277</v>
      </c>
      <c r="Y269" s="24" t="n">
        <f aca="false">IFERROR(AVERAGEIFS($X$7:$X$294,$B$7:$B$294,$B269,$A$7:$A$294,"&gt;="&amp;EDATE($A269,-12*'Seasonal Factors'!$E$4),$A$7:$A$294,"&lt;="&amp;EDATE($A269,12*'Seasonal Factors'!$E$4)),"")</f>
        <v>0.998459107242889</v>
      </c>
      <c r="Z269" s="24" t="n">
        <f aca="false">IFERROR(Y269/AVERAGE(Y264:Y275),"")</f>
        <v>0.999980240139432</v>
      </c>
      <c r="AA269" s="23" t="n">
        <f aca="false">IF(ISNUMBER(Tabelle1!K276),(0.5*Tabelle1!K264+SUM(Tabelle1!K265:K275)+0.5*Tabelle1!K276)/12,"")</f>
        <v>152.9939975</v>
      </c>
      <c r="AB269" s="24" t="n">
        <f aca="false">IFERROR(Tabelle1!K270/AA269,"")</f>
        <v>0.978877553676575</v>
      </c>
      <c r="AC269" s="24" t="n">
        <f aca="false">IFERROR(AVERAGEIFS($AB$7:$AB$294,$B$7:$B$294,$B269,$A$7:$A$294,"&gt;="&amp;EDATE($A269,-12*'Seasonal Factors'!$E$4),$A$7:$A$294,"&lt;="&amp;EDATE($A269,12*'Seasonal Factors'!$E$4)),"")</f>
        <v>1.01902116320512</v>
      </c>
      <c r="AD269" s="24" t="n">
        <f aca="false">IFERROR(AC269/AVERAGE(AC264:AC275),"")</f>
        <v>1.01990502125132</v>
      </c>
      <c r="AE269" s="23" t="n">
        <f aca="false">IF(ISNUMBER(Tabelle1!L276),(0.5*Tabelle1!L264+SUM(Tabelle1!L265:L275)+0.5*Tabelle1!L276)/12,"")</f>
        <v>176.062334166667</v>
      </c>
      <c r="AF269" s="24" t="n">
        <f aca="false">IFERROR(Tabelle1!L270/AE269,"")</f>
        <v>1.09453927730832</v>
      </c>
      <c r="AG269" s="24" t="n">
        <f aca="false">IFERROR(AVERAGEIFS($AF$7:$AF$294,$B$7:$B$294,$B269,$A$7:$A$294,"&gt;="&amp;EDATE($A269,-12*'Seasonal Factors'!$E$4),$A$7:$A$294,"&lt;="&amp;EDATE($A269,12*'Seasonal Factors'!$E$4)),"")</f>
        <v>1.05008704878986</v>
      </c>
      <c r="AH269" s="24" t="n">
        <f aca="false">IFERROR(AG269/AVERAGE(AG264:AG275),"")</f>
        <v>1.05012904185303</v>
      </c>
      <c r="AI269" s="23" t="n">
        <f aca="false">IF(ISNUMBER(Tabelle1!M276),(0.5*Tabelle1!M264+SUM(Tabelle1!M265:M275)+0.5*Tabelle1!M276)/12,"")</f>
        <v>187.865369166667</v>
      </c>
      <c r="AJ269" s="24" t="n">
        <f aca="false">IFERROR(Tabelle1!M270/AI269,"")</f>
        <v>0.987513562626939</v>
      </c>
      <c r="AK269" s="24" t="n">
        <f aca="false">IFERROR(AVERAGEIFS($AJ$7:$AJ$294,$B$7:$B$294,$B269,$A$7:$A$294,"&gt;="&amp;EDATE($A269,-12*'Seasonal Factors'!$E$4),$A$7:$A$294,"&lt;="&amp;EDATE($A269,12*'Seasonal Factors'!$E$4)),"")</f>
        <v>0.989738003748049</v>
      </c>
      <c r="AL269" s="24" t="n">
        <f aca="false">IFERROR(AK269/AVERAGE(AK264:AK275),"")</f>
        <v>0.989219197503204</v>
      </c>
      <c r="AM269" s="23" t="n">
        <f aca="false">IF(ISNUMBER(Tabelle1!N276),(0.5*Tabelle1!N264+SUM(Tabelle1!N265:N275)+0.5*Tabelle1!N276)/12,"")</f>
        <v>199.6141675</v>
      </c>
      <c r="AN269" s="24" t="n">
        <f aca="false">IFERROR(Tabelle1!N270/AM269,"")</f>
        <v>0.983279155273385</v>
      </c>
      <c r="AO269" s="24" t="n">
        <f aca="false">IFERROR(AVERAGEIFS($AN$7:$AN$294,$B$7:$B$294,$B269,$A$7:$A$294,"&gt;="&amp;EDATE($A269,-12*'Seasonal Factors'!$E$4),$A$7:$A$294,"&lt;="&amp;EDATE($A269,12*'Seasonal Factors'!$E$4)),"")</f>
        <v>1.00307381209815</v>
      </c>
      <c r="AP269" s="24" t="n">
        <f aca="false">IFERROR(AO269/AVERAGE(AO264:AO275),"")</f>
        <v>1.00375115891535</v>
      </c>
      <c r="AQ269" s="23" t="n">
        <f aca="false">IF(ISNUMBER(Tabelle1!O276),(0.5*Tabelle1!O264+SUM(Tabelle1!O265:O275)+0.5*Tabelle1!O276)/12,"")</f>
        <v>159.219070416667</v>
      </c>
      <c r="AR269" s="24" t="n">
        <f aca="false">IFERROR(Tabelle1!O270/AQ269,"")</f>
        <v>0.997184693922068</v>
      </c>
      <c r="AS269" s="24" t="n">
        <f aca="false">IFERROR(AVERAGEIFS($AR$7:$AR$294,$B$7:$B$294,$B269,$A$7:$A$294,"&gt;="&amp;EDATE($A269,-12*'Seasonal Factors'!$E$4),$A$7:$A$294,"&lt;="&amp;EDATE($A269,12*'Seasonal Factors'!$E$4)),"")</f>
        <v>1.01098005293677</v>
      </c>
      <c r="AT269" s="24" t="n">
        <f aca="false">IFERROR(AS269/AVERAGE(AS264:AS275),"")</f>
        <v>1.01069843220536</v>
      </c>
      <c r="AU269" s="23" t="n">
        <f aca="false">IF(ISNUMBER(Tabelle1!P276),(0.5*Tabelle1!P264+SUM(Tabelle1!P265:P275)+0.5*Tabelle1!P276)/12,"")</f>
        <v>160.478505416667</v>
      </c>
      <c r="AV269" s="24" t="n">
        <f aca="false">IFERROR(Tabelle1!P270/AU269,"")</f>
        <v>1.0010466484773</v>
      </c>
      <c r="AW269" s="24" t="n">
        <f aca="false">IFERROR(AVERAGEIFS($AV$7:$AV$294,$B$7:$B$294,$B269,$A$7:$A$294,"&gt;="&amp;EDATE($A269,-12*'Seasonal Factors'!$E$4),$A$7:$A$294,"&lt;="&amp;EDATE($A269,12*'Seasonal Factors'!$E$4)),"")</f>
        <v>1.00635008030991</v>
      </c>
      <c r="AX269" s="24" t="n">
        <f aca="false">IFERROR(AW269/AVERAGE(AW264:AW275),"")</f>
        <v>1.00553128051652</v>
      </c>
      <c r="AY269" s="23" t="n">
        <f aca="false">IF(ISNUMBER(Tabelle1!Q276),(0.5*Tabelle1!Q264+SUM(Tabelle1!Q265:Q275)+0.5*Tabelle1!Q276)/12,"")</f>
        <v>172.329178333333</v>
      </c>
      <c r="AZ269" s="24" t="n">
        <f aca="false">IFERROR(Tabelle1!Q270/AY269,"")</f>
        <v>1.00763835630969</v>
      </c>
      <c r="BA269" s="24" t="n">
        <f aca="false">IFERROR(AVERAGEIFS($AZ$7:$AZ$294,$B$7:$B$294,$B269,$A$7:$A$294,"&gt;="&amp;EDATE($A269,-12*'Seasonal Factors'!$E$4),$A$7:$A$294,"&lt;="&amp;EDATE($A269,12*'Seasonal Factors'!$E$4)),"")</f>
        <v>1.0090832986198</v>
      </c>
      <c r="BB269" s="24" t="n">
        <f aca="false">IFERROR(BA269/AVERAGE(BA264:BA275),"")</f>
        <v>1.0087159001765</v>
      </c>
      <c r="BC269" s="23" t="n">
        <f aca="false">IF(ISNUMBER(Tabelle1!R276),(0.5*Tabelle1!R264+SUM(Tabelle1!R265:R275)+0.5*Tabelle1!R276)/12,"")</f>
        <v>185.846522083333</v>
      </c>
      <c r="BD269" s="24" t="n">
        <f aca="false">IFERROR(Tabelle1!R270/BC269,"")</f>
        <v>0.949731574319458</v>
      </c>
      <c r="BE269" s="24" t="n">
        <f aca="false">IFERROR(AVERAGEIFS($BD$7:$BD$294,$B$7:$B$294,$B269,$A$7:$A$294,"&gt;="&amp;EDATE($A269,-12*'Seasonal Factors'!$E$4),$A$7:$A$294,"&lt;="&amp;EDATE($A269,12*'Seasonal Factors'!$E$4)),"")</f>
        <v>0.952731731608907</v>
      </c>
      <c r="BF269" s="24" t="n">
        <f aca="false">IFERROR(BE269/AVERAGE(BE264:BE275),"")</f>
        <v>0.952546460330204</v>
      </c>
      <c r="BG269" s="23" t="n">
        <f aca="false">IF(ISNUMBER(Tabelle1!S276),(0.5*Tabelle1!S264+SUM(Tabelle1!S265:S275)+0.5*Tabelle1!S276)/12,"")</f>
        <v>128.25710625</v>
      </c>
      <c r="BH269" s="24" t="n">
        <f aca="false">IFERROR(Tabelle1!S270/BG269,"")</f>
        <v>0.960982620017595</v>
      </c>
      <c r="BI269" s="24" t="n">
        <f aca="false">IFERROR(AVERAGEIFS($BH$7:$BH$294,$B$7:$B$294,$B269,$A$7:$A$294,"&gt;="&amp;EDATE($A269,-12*'Seasonal Factors'!$E$4),$A$7:$A$294,"&lt;="&amp;EDATE($A269,12*'Seasonal Factors'!$E$4)),"")</f>
        <v>0.968801396607198</v>
      </c>
      <c r="BJ269" s="24" t="n">
        <f aca="false">IFERROR(BI269/AVERAGE(BI264:BI275),"")</f>
        <v>0.967663484082623</v>
      </c>
    </row>
    <row r="270" customFormat="false" ht="15" hidden="false" customHeight="false" outlineLevel="0" collapsed="false">
      <c r="A270" s="20" t="n">
        <v>46022</v>
      </c>
      <c r="B270" s="22" t="n">
        <f aca="false">MONTH(A270)</f>
        <v>12</v>
      </c>
      <c r="C270" s="23" t="str">
        <f aca="false">IF(ISNUMBER(Tabelle1!E277),(0.5*Tabelle1!E265+SUM(Tabelle1!E266:E276)+0.5*Tabelle1!E277)/12,"")</f>
        <v/>
      </c>
      <c r="D270" s="24" t="str">
        <f aca="false">IFERROR(Tabelle1!E271/C270,"")</f>
        <v/>
      </c>
      <c r="E270" s="24" t="n">
        <f aca="false">IFERROR(AVERAGEIFS($D$7:$D$294,$B$7:$B$294,$B270,$A$7:$A$294,"&gt;="&amp;EDATE($A270,-12*'Seasonal Factors'!$E$4),$A$7:$A$294,"&lt;="&amp;EDATE($A270,12*'Seasonal Factors'!$E$4)),"")</f>
        <v>0.915520341424008</v>
      </c>
      <c r="F270" s="24" t="n">
        <f aca="false">IFERROR(E270/AVERAGE(E265:E276),"")</f>
        <v>0.921428361575416</v>
      </c>
      <c r="G270" s="23" t="str">
        <f aca="false">IF(ISNUMBER(Tabelle1!F277),(0.5*Tabelle1!F265+SUM(Tabelle1!F266:F276)+0.5*Tabelle1!F277)/12,"")</f>
        <v/>
      </c>
      <c r="H270" s="24" t="str">
        <f aca="false">IFERROR(Tabelle1!F271/G270,"")</f>
        <v/>
      </c>
      <c r="I270" s="24" t="n">
        <f aca="false">IFERROR(AVERAGEIFS($H$7:$H$294,$B$7:$B$294,$B270,$A$7:$A$294,"&gt;="&amp;EDATE($A270,-12*'Seasonal Factors'!$E$4),$A$7:$A$294,"&lt;="&amp;EDATE($A270,12*'Seasonal Factors'!$E$4)),"")</f>
        <v>0.688717129231791</v>
      </c>
      <c r="J270" s="24" t="n">
        <f aca="false">IFERROR(I270/AVERAGE(I265:I276),"")</f>
        <v>0.689970099638426</v>
      </c>
      <c r="K270" s="23" t="str">
        <f aca="false">IF(ISNUMBER(Tabelle1!G277),(0.5*Tabelle1!G265+SUM(Tabelle1!G266:G276)+0.5*Tabelle1!G277)/12,"")</f>
        <v/>
      </c>
      <c r="L270" s="24" t="str">
        <f aca="false">IFERROR(Tabelle1!G271/K270,"")</f>
        <v/>
      </c>
      <c r="M270" s="24" t="n">
        <f aca="false">IFERROR(AVERAGEIFS($L$7:$L$294,$B$7:$B$294,$B270,$A$7:$A$294,"&gt;="&amp;EDATE($A270,-12*'Seasonal Factors'!$E$4),$A$7:$A$294,"&lt;="&amp;EDATE($A270,12*'Seasonal Factors'!$E$4)),"")</f>
        <v>1.00799098172705</v>
      </c>
      <c r="N270" s="24" t="n">
        <f aca="false">IFERROR(M270/AVERAGE(M265:M276),"")</f>
        <v>1.00855400154483</v>
      </c>
      <c r="O270" s="23" t="str">
        <f aca="false">IF(ISNUMBER(Tabelle1!H277),(0.5*Tabelle1!H265+SUM(Tabelle1!H266:H276)+0.5*Tabelle1!H277)/12,"")</f>
        <v/>
      </c>
      <c r="P270" s="24" t="str">
        <f aca="false">IFERROR(Tabelle1!H271/O270,"")</f>
        <v/>
      </c>
      <c r="Q270" s="24" t="n">
        <f aca="false">IFERROR(AVERAGEIFS($P$7:$P$294,$B$7:$B$294,$B270,$A$7:$A$294,"&gt;="&amp;EDATE($A270,-12*'Seasonal Factors'!$E$4),$A$7:$A$294,"&lt;="&amp;EDATE($A270,12*'Seasonal Factors'!$E$4)),"")</f>
        <v>0.985729133850935</v>
      </c>
      <c r="R270" s="24" t="n">
        <f aca="false">IFERROR(Q270/AVERAGE(Q265:Q276),"")</f>
        <v>0.98698634540554</v>
      </c>
      <c r="S270" s="23" t="str">
        <f aca="false">IF(ISNUMBER(Tabelle1!I277),(0.5*Tabelle1!I265+SUM(Tabelle1!I266:I276)+0.5*Tabelle1!I277)/12,"")</f>
        <v/>
      </c>
      <c r="T270" s="24" t="str">
        <f aca="false">IFERROR(Tabelle1!I271/S270,"")</f>
        <v/>
      </c>
      <c r="U270" s="24" t="n">
        <f aca="false">IFERROR(AVERAGEIFS($T$7:$T$294,$B$7:$B$294,$B270,$A$7:$A$294,"&gt;="&amp;EDATE($A270,-12*'Seasonal Factors'!$E$4),$A$7:$A$294,"&lt;="&amp;EDATE($A270,12*'Seasonal Factors'!$E$4)),"")</f>
        <v>1.01185201567885</v>
      </c>
      <c r="V270" s="24" t="n">
        <f aca="false">IFERROR(U270/AVERAGE(U265:U276),"")</f>
        <v>1.01139074539096</v>
      </c>
      <c r="W270" s="23" t="str">
        <f aca="false">IF(ISNUMBER(Tabelle1!J277),(0.5*Tabelle1!J265+SUM(Tabelle1!J266:J276)+0.5*Tabelle1!J277)/12,"")</f>
        <v/>
      </c>
      <c r="X270" s="24" t="str">
        <f aca="false">IFERROR(Tabelle1!J271/W270,"")</f>
        <v/>
      </c>
      <c r="Y270" s="24" t="n">
        <f aca="false">IFERROR(AVERAGEIFS($X$7:$X$294,$B$7:$B$294,$B270,$A$7:$A$294,"&gt;="&amp;EDATE($A270,-12*'Seasonal Factors'!$E$4),$A$7:$A$294,"&lt;="&amp;EDATE($A270,12*'Seasonal Factors'!$E$4)),"")</f>
        <v>0.945587480386054</v>
      </c>
      <c r="Z270" s="24" t="n">
        <f aca="false">IFERROR(Y270/AVERAGE(Y265:Y276),"")</f>
        <v>0.946855449712786</v>
      </c>
      <c r="AA270" s="23" t="str">
        <f aca="false">IF(ISNUMBER(Tabelle1!K277),(0.5*Tabelle1!K265+SUM(Tabelle1!K266:K276)+0.5*Tabelle1!K277)/12,"")</f>
        <v/>
      </c>
      <c r="AB270" s="24" t="str">
        <f aca="false">IFERROR(Tabelle1!K271/AA270,"")</f>
        <v/>
      </c>
      <c r="AC270" s="24" t="n">
        <f aca="false">IFERROR(AVERAGEIFS($AB$7:$AB$294,$B$7:$B$294,$B270,$A$7:$A$294,"&gt;="&amp;EDATE($A270,-12*'Seasonal Factors'!$E$4),$A$7:$A$294,"&lt;="&amp;EDATE($A270,12*'Seasonal Factors'!$E$4)),"")</f>
        <v>0.958766063799145</v>
      </c>
      <c r="AD270" s="24" t="n">
        <f aca="false">IFERROR(AC270/AVERAGE(AC265:AC276),"")</f>
        <v>0.959728741659502</v>
      </c>
      <c r="AE270" s="23" t="str">
        <f aca="false">IF(ISNUMBER(Tabelle1!L277),(0.5*Tabelle1!L265+SUM(Tabelle1!L266:L276)+0.5*Tabelle1!L277)/12,"")</f>
        <v/>
      </c>
      <c r="AF270" s="24" t="str">
        <f aca="false">IFERROR(Tabelle1!L271/AE270,"")</f>
        <v/>
      </c>
      <c r="AG270" s="24" t="n">
        <f aca="false">IFERROR(AVERAGEIFS($AF$7:$AF$294,$B$7:$B$294,$B270,$A$7:$A$294,"&gt;="&amp;EDATE($A270,-12*'Seasonal Factors'!$E$4),$A$7:$A$294,"&lt;="&amp;EDATE($A270,12*'Seasonal Factors'!$E$4)),"")</f>
        <v>1.0678395031809</v>
      </c>
      <c r="AH270" s="24" t="n">
        <f aca="false">IFERROR(AG270/AVERAGE(AG265:AG276),"")</f>
        <v>1.0640658760197</v>
      </c>
      <c r="AI270" s="23" t="str">
        <f aca="false">IF(ISNUMBER(Tabelle1!M277),(0.5*Tabelle1!M265+SUM(Tabelle1!M266:M276)+0.5*Tabelle1!M277)/12,"")</f>
        <v/>
      </c>
      <c r="AJ270" s="24" t="str">
        <f aca="false">IFERROR(Tabelle1!M271/AI270,"")</f>
        <v/>
      </c>
      <c r="AK270" s="24" t="n">
        <f aca="false">IFERROR(AVERAGEIFS($AJ$7:$AJ$294,$B$7:$B$294,$B270,$A$7:$A$294,"&gt;="&amp;EDATE($A270,-12*'Seasonal Factors'!$E$4),$A$7:$A$294,"&lt;="&amp;EDATE($A270,12*'Seasonal Factors'!$E$4)),"")</f>
        <v>0.98397222547433</v>
      </c>
      <c r="AL270" s="24" t="n">
        <f aca="false">IFERROR(AK270/AVERAGE(AK265:AK276),"")</f>
        <v>0.983612728587634</v>
      </c>
      <c r="AM270" s="23" t="str">
        <f aca="false">IF(ISNUMBER(Tabelle1!N277),(0.5*Tabelle1!N265+SUM(Tabelle1!N266:N276)+0.5*Tabelle1!N277)/12,"")</f>
        <v/>
      </c>
      <c r="AN270" s="24" t="str">
        <f aca="false">IFERROR(Tabelle1!N271/AM270,"")</f>
        <v/>
      </c>
      <c r="AO270" s="24" t="n">
        <f aca="false">IFERROR(AVERAGEIFS($AN$7:$AN$294,$B$7:$B$294,$B270,$A$7:$A$294,"&gt;="&amp;EDATE($A270,-12*'Seasonal Factors'!$E$4),$A$7:$A$294,"&lt;="&amp;EDATE($A270,12*'Seasonal Factors'!$E$4)),"")</f>
        <v>1.0142128899394</v>
      </c>
      <c r="AP270" s="24" t="n">
        <f aca="false">IFERROR(AO270/AVERAGE(AO265:AO276),"")</f>
        <v>1.01512499317645</v>
      </c>
      <c r="AQ270" s="23" t="str">
        <f aca="false">IF(ISNUMBER(Tabelle1!O277),(0.5*Tabelle1!O265+SUM(Tabelle1!O266:O276)+0.5*Tabelle1!O277)/12,"")</f>
        <v/>
      </c>
      <c r="AR270" s="24" t="str">
        <f aca="false">IFERROR(Tabelle1!O271/AQ270,"")</f>
        <v/>
      </c>
      <c r="AS270" s="24" t="n">
        <f aca="false">IFERROR(AVERAGEIFS($AR$7:$AR$294,$B$7:$B$294,$B270,$A$7:$A$294,"&gt;="&amp;EDATE($A270,-12*'Seasonal Factors'!$E$4),$A$7:$A$294,"&lt;="&amp;EDATE($A270,12*'Seasonal Factors'!$E$4)),"")</f>
        <v>1.01807912301092</v>
      </c>
      <c r="AT270" s="24" t="n">
        <f aca="false">IFERROR(AS270/AVERAGE(AS265:AS276),"")</f>
        <v>1.01773252526243</v>
      </c>
      <c r="AU270" s="23" t="str">
        <f aca="false">IF(ISNUMBER(Tabelle1!P277),(0.5*Tabelle1!P265+SUM(Tabelle1!P266:P276)+0.5*Tabelle1!P277)/12,"")</f>
        <v/>
      </c>
      <c r="AV270" s="24" t="str">
        <f aca="false">IFERROR(Tabelle1!P271/AU270,"")</f>
        <v/>
      </c>
      <c r="AW270" s="24" t="n">
        <f aca="false">IFERROR(AVERAGEIFS($AV$7:$AV$294,$B$7:$B$294,$B270,$A$7:$A$294,"&gt;="&amp;EDATE($A270,-12*'Seasonal Factors'!$E$4),$A$7:$A$294,"&lt;="&amp;EDATE($A270,12*'Seasonal Factors'!$E$4)),"")</f>
        <v>1.0089432681607</v>
      </c>
      <c r="AX270" s="24" t="n">
        <f aca="false">IFERROR(AW270/AVERAGE(AW265:AW276),"")</f>
        <v>1.00776296733325</v>
      </c>
      <c r="AY270" s="23" t="str">
        <f aca="false">IF(ISNUMBER(Tabelle1!Q277),(0.5*Tabelle1!Q265+SUM(Tabelle1!Q266:Q276)+0.5*Tabelle1!Q277)/12,"")</f>
        <v/>
      </c>
      <c r="AZ270" s="24" t="str">
        <f aca="false">IFERROR(Tabelle1!Q271/AY270,"")</f>
        <v/>
      </c>
      <c r="BA270" s="24" t="n">
        <f aca="false">IFERROR(AVERAGEIFS($AZ$7:$AZ$294,$B$7:$B$294,$B270,$A$7:$A$294,"&gt;="&amp;EDATE($A270,-12*'Seasonal Factors'!$E$4),$A$7:$A$294,"&lt;="&amp;EDATE($A270,12*'Seasonal Factors'!$E$4)),"")</f>
        <v>1.01475417674992</v>
      </c>
      <c r="BB270" s="24" t="n">
        <f aca="false">IFERROR(BA270/AVERAGE(BA265:BA276),"")</f>
        <v>1.01415023190983</v>
      </c>
      <c r="BC270" s="23" t="str">
        <f aca="false">IF(ISNUMBER(Tabelle1!R277),(0.5*Tabelle1!R265+SUM(Tabelle1!R266:R276)+0.5*Tabelle1!R277)/12,"")</f>
        <v/>
      </c>
      <c r="BD270" s="24" t="str">
        <f aca="false">IFERROR(Tabelle1!R271/BC270,"")</f>
        <v/>
      </c>
      <c r="BE270" s="24" t="n">
        <f aca="false">IFERROR(AVERAGEIFS($BD$7:$BD$294,$B$7:$B$294,$B270,$A$7:$A$294,"&gt;="&amp;EDATE($A270,-12*'Seasonal Factors'!$E$4),$A$7:$A$294,"&lt;="&amp;EDATE($A270,12*'Seasonal Factors'!$E$4)),"")</f>
        <v>0.916934631676667</v>
      </c>
      <c r="BF270" s="24" t="n">
        <f aca="false">IFERROR(BE270/AVERAGE(BE265:BE276),"")</f>
        <v>0.916858096406073</v>
      </c>
      <c r="BG270" s="23" t="str">
        <f aca="false">IF(ISNUMBER(Tabelle1!S277),(0.5*Tabelle1!S265+SUM(Tabelle1!S266:S276)+0.5*Tabelle1!S277)/12,"")</f>
        <v/>
      </c>
      <c r="BH270" s="24" t="str">
        <f aca="false">IFERROR(Tabelle1!S271/BG270,"")</f>
        <v/>
      </c>
      <c r="BI270" s="24" t="n">
        <f aca="false">IFERROR(AVERAGEIFS($BH$7:$BH$294,$B$7:$B$294,$B270,$A$7:$A$294,"&gt;="&amp;EDATE($A270,-12*'Seasonal Factors'!$E$4),$A$7:$A$294,"&lt;="&amp;EDATE($A270,12*'Seasonal Factors'!$E$4)),"")</f>
        <v>0.995981858075529</v>
      </c>
      <c r="BJ270" s="24" t="n">
        <f aca="false">IFERROR(BI270/AVERAGE(BI265:BI276),"")</f>
        <v>0.995222895857329</v>
      </c>
    </row>
    <row r="271" customFormat="false" ht="15" hidden="false" customHeight="false" outlineLevel="0" collapsed="false">
      <c r="A271" s="20" t="n">
        <v>46053</v>
      </c>
      <c r="B271" s="22" t="n">
        <f aca="false">MONTH(A271)</f>
        <v>1</v>
      </c>
      <c r="C271" s="23" t="str">
        <f aca="false">IF(ISNUMBER(Tabelle1!E278),(0.5*Tabelle1!E266+SUM(Tabelle1!E267:E277)+0.5*Tabelle1!E278)/12,"")</f>
        <v/>
      </c>
      <c r="D271" s="24" t="str">
        <f aca="false">IFERROR(Tabelle1!E272/C271,"")</f>
        <v/>
      </c>
      <c r="E271" s="24" t="n">
        <f aca="false">IFERROR(AVERAGEIFS($D$7:$D$294,$B$7:$B$294,$B271,$A$7:$A$294,"&gt;="&amp;EDATE($A271,-12*'Seasonal Factors'!$E$4),$A$7:$A$294,"&lt;="&amp;EDATE($A271,12*'Seasonal Factors'!$E$4)),"")</f>
        <v>0.777957744582329</v>
      </c>
      <c r="F271" s="24" t="n">
        <f aca="false">IFERROR(E271/AVERAGE(E266:E277),"")</f>
        <v>0.782473982066283</v>
      </c>
      <c r="G271" s="23" t="str">
        <f aca="false">IF(ISNUMBER(Tabelle1!F278),(0.5*Tabelle1!F266+SUM(Tabelle1!F267:F277)+0.5*Tabelle1!F278)/12,"")</f>
        <v/>
      </c>
      <c r="H271" s="24" t="str">
        <f aca="false">IFERROR(Tabelle1!F272/G271,"")</f>
        <v/>
      </c>
      <c r="I271" s="24" t="n">
        <f aca="false">IFERROR(AVERAGEIFS($H$7:$H$294,$B$7:$B$294,$B271,$A$7:$A$294,"&gt;="&amp;EDATE($A271,-12*'Seasonal Factors'!$E$4),$A$7:$A$294,"&lt;="&amp;EDATE($A271,12*'Seasonal Factors'!$E$4)),"")</f>
        <v>0.911574974092284</v>
      </c>
      <c r="J271" s="24" t="n">
        <f aca="false">IFERROR(I271/AVERAGE(I266:I277),"")</f>
        <v>0.917398074153456</v>
      </c>
      <c r="K271" s="23" t="str">
        <f aca="false">IF(ISNUMBER(Tabelle1!G278),(0.5*Tabelle1!G266+SUM(Tabelle1!G267:G277)+0.5*Tabelle1!G278)/12,"")</f>
        <v/>
      </c>
      <c r="L271" s="24" t="str">
        <f aca="false">IFERROR(Tabelle1!G272/K271,"")</f>
        <v/>
      </c>
      <c r="M271" s="24" t="n">
        <f aca="false">IFERROR(AVERAGEIFS($L$7:$L$294,$B$7:$B$294,$B271,$A$7:$A$294,"&gt;="&amp;EDATE($A271,-12*'Seasonal Factors'!$E$4),$A$7:$A$294,"&lt;="&amp;EDATE($A271,12*'Seasonal Factors'!$E$4)),"")</f>
        <v>1.02290208413927</v>
      </c>
      <c r="N271" s="24" t="n">
        <f aca="false">IFERROR(M271/AVERAGE(M266:M277),"")</f>
        <v>1.02346966647054</v>
      </c>
      <c r="O271" s="23" t="str">
        <f aca="false">IF(ISNUMBER(Tabelle1!H278),(0.5*Tabelle1!H266+SUM(Tabelle1!H267:H277)+0.5*Tabelle1!H278)/12,"")</f>
        <v/>
      </c>
      <c r="P271" s="24" t="str">
        <f aca="false">IFERROR(Tabelle1!H272/O271,"")</f>
        <v/>
      </c>
      <c r="Q271" s="24" t="n">
        <f aca="false">IFERROR(AVERAGEIFS($P$7:$P$294,$B$7:$B$294,$B271,$A$7:$A$294,"&gt;="&amp;EDATE($A271,-12*'Seasonal Factors'!$E$4),$A$7:$A$294,"&lt;="&amp;EDATE($A271,12*'Seasonal Factors'!$E$4)),"")</f>
        <v>0.849949966413468</v>
      </c>
      <c r="R271" s="24" t="n">
        <f aca="false">IFERROR(Q271/AVERAGE(Q266:Q277),"")</f>
        <v>0.850745090129215</v>
      </c>
      <c r="S271" s="23" t="str">
        <f aca="false">IF(ISNUMBER(Tabelle1!I278),(0.5*Tabelle1!I266+SUM(Tabelle1!I267:I277)+0.5*Tabelle1!I278)/12,"")</f>
        <v/>
      </c>
      <c r="T271" s="24" t="str">
        <f aca="false">IFERROR(Tabelle1!I272/S271,"")</f>
        <v/>
      </c>
      <c r="U271" s="24" t="n">
        <f aca="false">IFERROR(AVERAGEIFS($T$7:$T$294,$B$7:$B$294,$B271,$A$7:$A$294,"&gt;="&amp;EDATE($A271,-12*'Seasonal Factors'!$E$4),$A$7:$A$294,"&lt;="&amp;EDATE($A271,12*'Seasonal Factors'!$E$4)),"")</f>
        <v>1.09579679190825</v>
      </c>
      <c r="V271" s="24" t="n">
        <f aca="false">IFERROR(U271/AVERAGE(U266:U277),"")</f>
        <v>1.09600570327057</v>
      </c>
      <c r="W271" s="23" t="str">
        <f aca="false">IF(ISNUMBER(Tabelle1!J278),(0.5*Tabelle1!J266+SUM(Tabelle1!J267:J277)+0.5*Tabelle1!J278)/12,"")</f>
        <v/>
      </c>
      <c r="X271" s="24" t="str">
        <f aca="false">IFERROR(Tabelle1!J272/W271,"")</f>
        <v/>
      </c>
      <c r="Y271" s="24" t="n">
        <f aca="false">IFERROR(AVERAGEIFS($X$7:$X$294,$B$7:$B$294,$B271,$A$7:$A$294,"&gt;="&amp;EDATE($A271,-12*'Seasonal Factors'!$E$4),$A$7:$A$294,"&lt;="&amp;EDATE($A271,12*'Seasonal Factors'!$E$4)),"")</f>
        <v>1.00041238187408</v>
      </c>
      <c r="Z271" s="24" t="n">
        <f aca="false">IFERROR(Y271/AVERAGE(Y266:Y277),"")</f>
        <v>1.00145996616059</v>
      </c>
      <c r="AA271" s="23" t="str">
        <f aca="false">IF(ISNUMBER(Tabelle1!K278),(0.5*Tabelle1!K266+SUM(Tabelle1!K267:K277)+0.5*Tabelle1!K278)/12,"")</f>
        <v/>
      </c>
      <c r="AB271" s="24" t="str">
        <f aca="false">IFERROR(Tabelle1!K272/AA271,"")</f>
        <v/>
      </c>
      <c r="AC271" s="24" t="n">
        <f aca="false">IFERROR(AVERAGEIFS($AB$7:$AB$294,$B$7:$B$294,$B271,$A$7:$A$294,"&gt;="&amp;EDATE($A271,-12*'Seasonal Factors'!$E$4),$A$7:$A$294,"&lt;="&amp;EDATE($A271,12*'Seasonal Factors'!$E$4)),"")</f>
        <v>0.916789420589893</v>
      </c>
      <c r="AD271" s="24" t="n">
        <f aca="false">IFERROR(AC271/AVERAGE(AC266:AC277),"")</f>
        <v>0.917590482882476</v>
      </c>
      <c r="AE271" s="23" t="str">
        <f aca="false">IF(ISNUMBER(Tabelle1!L278),(0.5*Tabelle1!L266+SUM(Tabelle1!L267:L277)+0.5*Tabelle1!L278)/12,"")</f>
        <v/>
      </c>
      <c r="AF271" s="24" t="str">
        <f aca="false">IFERROR(Tabelle1!L272/AE271,"")</f>
        <v/>
      </c>
      <c r="AG271" s="24" t="n">
        <f aca="false">IFERROR(AVERAGEIFS($AF$7:$AF$294,$B$7:$B$294,$B271,$A$7:$A$294,"&gt;="&amp;EDATE($A271,-12*'Seasonal Factors'!$E$4),$A$7:$A$294,"&lt;="&amp;EDATE($A271,12*'Seasonal Factors'!$E$4)),"")</f>
        <v>1.19892598054052</v>
      </c>
      <c r="AH271" s="24" t="n">
        <f aca="false">IFERROR(AG271/AVERAGE(AG266:AG277),"")</f>
        <v>1.19477847865665</v>
      </c>
      <c r="AI271" s="23" t="str">
        <f aca="false">IF(ISNUMBER(Tabelle1!M278),(0.5*Tabelle1!M266+SUM(Tabelle1!M267:M277)+0.5*Tabelle1!M278)/12,"")</f>
        <v/>
      </c>
      <c r="AJ271" s="24" t="str">
        <f aca="false">IFERROR(Tabelle1!M272/AI271,"")</f>
        <v/>
      </c>
      <c r="AK271" s="24" t="n">
        <f aca="false">IFERROR(AVERAGEIFS($AJ$7:$AJ$294,$B$7:$B$294,$B271,$A$7:$A$294,"&gt;="&amp;EDATE($A271,-12*'Seasonal Factors'!$E$4),$A$7:$A$294,"&lt;="&amp;EDATE($A271,12*'Seasonal Factors'!$E$4)),"")</f>
        <v>0.975214607587309</v>
      </c>
      <c r="AL271" s="24" t="n">
        <f aca="false">IFERROR(AK271/AVERAGE(AK266:AK277),"")</f>
        <v>0.974507182731391</v>
      </c>
      <c r="AM271" s="23" t="str">
        <f aca="false">IF(ISNUMBER(Tabelle1!N278),(0.5*Tabelle1!N266+SUM(Tabelle1!N267:N277)+0.5*Tabelle1!N278)/12,"")</f>
        <v/>
      </c>
      <c r="AN271" s="24" t="str">
        <f aca="false">IFERROR(Tabelle1!N272/AM271,"")</f>
        <v/>
      </c>
      <c r="AO271" s="24" t="n">
        <f aca="false">IFERROR(AVERAGEIFS($AN$7:$AN$294,$B$7:$B$294,$B271,$A$7:$A$294,"&gt;="&amp;EDATE($A271,-12*'Seasonal Factors'!$E$4),$A$7:$A$294,"&lt;="&amp;EDATE($A271,12*'Seasonal Factors'!$E$4)),"")</f>
        <v>1.007829519099</v>
      </c>
      <c r="AP271" s="24" t="n">
        <f aca="false">IFERROR(AO271/AVERAGE(AO266:AO277),"")</f>
        <v>1.00807639407696</v>
      </c>
      <c r="AQ271" s="23" t="str">
        <f aca="false">IF(ISNUMBER(Tabelle1!O278),(0.5*Tabelle1!O266+SUM(Tabelle1!O267:O277)+0.5*Tabelle1!O278)/12,"")</f>
        <v/>
      </c>
      <c r="AR271" s="24" t="str">
        <f aca="false">IFERROR(Tabelle1!O272/AQ271,"")</f>
        <v/>
      </c>
      <c r="AS271" s="24" t="n">
        <f aca="false">IFERROR(AVERAGEIFS($AR$7:$AR$294,$B$7:$B$294,$B271,$A$7:$A$294,"&gt;="&amp;EDATE($A271,-12*'Seasonal Factors'!$E$4),$A$7:$A$294,"&lt;="&amp;EDATE($A271,12*'Seasonal Factors'!$E$4)),"")</f>
        <v>0.973735802103525</v>
      </c>
      <c r="AT271" s="24" t="n">
        <f aca="false">IFERROR(AS271/AVERAGE(AS266:AS277),"")</f>
        <v>0.973356238456572</v>
      </c>
      <c r="AU271" s="23" t="str">
        <f aca="false">IF(ISNUMBER(Tabelle1!P278),(0.5*Tabelle1!P266+SUM(Tabelle1!P267:P277)+0.5*Tabelle1!P278)/12,"")</f>
        <v/>
      </c>
      <c r="AV271" s="24" t="str">
        <f aca="false">IFERROR(Tabelle1!P272/AU271,"")</f>
        <v/>
      </c>
      <c r="AW271" s="24" t="n">
        <f aca="false">IFERROR(AVERAGEIFS($AV$7:$AV$294,$B$7:$B$294,$B271,$A$7:$A$294,"&gt;="&amp;EDATE($A271,-12*'Seasonal Factors'!$E$4),$A$7:$A$294,"&lt;="&amp;EDATE($A271,12*'Seasonal Factors'!$E$4)),"")</f>
        <v>1.0062759009786</v>
      </c>
      <c r="AX271" s="24" t="n">
        <f aca="false">IFERROR(AW271/AVERAGE(AW266:AW277),"")</f>
        <v>1.00490407148645</v>
      </c>
      <c r="AY271" s="23" t="str">
        <f aca="false">IF(ISNUMBER(Tabelle1!Q278),(0.5*Tabelle1!Q266+SUM(Tabelle1!Q267:Q277)+0.5*Tabelle1!Q278)/12,"")</f>
        <v/>
      </c>
      <c r="AZ271" s="24" t="str">
        <f aca="false">IFERROR(Tabelle1!Q272/AY271,"")</f>
        <v/>
      </c>
      <c r="BA271" s="24" t="n">
        <f aca="false">IFERROR(AVERAGEIFS($AZ$7:$AZ$294,$B$7:$B$294,$B271,$A$7:$A$294,"&gt;="&amp;EDATE($A271,-12*'Seasonal Factors'!$E$4),$A$7:$A$294,"&lt;="&amp;EDATE($A271,12*'Seasonal Factors'!$E$4)),"")</f>
        <v>0.974999890228953</v>
      </c>
      <c r="BB271" s="24" t="n">
        <f aca="false">IFERROR(BA271/AVERAGE(BA266:BA277),"")</f>
        <v>0.974190562639675</v>
      </c>
      <c r="BC271" s="23" t="str">
        <f aca="false">IF(ISNUMBER(Tabelle1!R278),(0.5*Tabelle1!R266+SUM(Tabelle1!R267:R277)+0.5*Tabelle1!R278)/12,"")</f>
        <v/>
      </c>
      <c r="BD271" s="24" t="str">
        <f aca="false">IFERROR(Tabelle1!R272/BC271,"")</f>
        <v/>
      </c>
      <c r="BE271" s="24" t="n">
        <f aca="false">IFERROR(AVERAGEIFS($BD$7:$BD$294,$B$7:$B$294,$B271,$A$7:$A$294,"&gt;="&amp;EDATE($A271,-12*'Seasonal Factors'!$E$4),$A$7:$A$294,"&lt;="&amp;EDATE($A271,12*'Seasonal Factors'!$E$4)),"")</f>
        <v>1.00450975534436</v>
      </c>
      <c r="BF271" s="24" t="n">
        <f aca="false">IFERROR(BE271/AVERAGE(BE266:BE277),"")</f>
        <v>1.0044572768135</v>
      </c>
      <c r="BG271" s="23" t="str">
        <f aca="false">IF(ISNUMBER(Tabelle1!S278),(0.5*Tabelle1!S266+SUM(Tabelle1!S267:S277)+0.5*Tabelle1!S278)/12,"")</f>
        <v/>
      </c>
      <c r="BH271" s="24" t="str">
        <f aca="false">IFERROR(Tabelle1!S272/BG271,"")</f>
        <v/>
      </c>
      <c r="BI271" s="24" t="n">
        <f aca="false">IFERROR(AVERAGEIFS($BH$7:$BH$294,$B$7:$B$294,$B271,$A$7:$A$294,"&gt;="&amp;EDATE($A271,-12*'Seasonal Factors'!$E$4),$A$7:$A$294,"&lt;="&amp;EDATE($A271,12*'Seasonal Factors'!$E$4)),"")</f>
        <v>1.09993793305364</v>
      </c>
      <c r="BJ271" s="24" t="n">
        <f aca="false">IFERROR(BI271/AVERAGE(BI266:BI277),"")</f>
        <v>1.09876104530416</v>
      </c>
    </row>
    <row r="272" customFormat="false" ht="15" hidden="false" customHeight="false" outlineLevel="0" collapsed="false">
      <c r="A272" s="20" t="n">
        <v>46081</v>
      </c>
      <c r="B272" s="22" t="n">
        <f aca="false">MONTH(A272)</f>
        <v>2</v>
      </c>
      <c r="C272" s="23" t="str">
        <f aca="false">IF(ISNUMBER(Tabelle1!E279),(0.5*Tabelle1!E267+SUM(Tabelle1!E268:E278)+0.5*Tabelle1!E279)/12,"")</f>
        <v/>
      </c>
      <c r="D272" s="24" t="str">
        <f aca="false">IFERROR(Tabelle1!E273/C272,"")</f>
        <v/>
      </c>
      <c r="E272" s="24" t="n">
        <f aca="false">IFERROR(AVERAGEIFS($D$7:$D$294,$B$7:$B$294,$B272,$A$7:$A$294,"&gt;="&amp;EDATE($A272,-12*'Seasonal Factors'!$E$4),$A$7:$A$294,"&lt;="&amp;EDATE($A272,12*'Seasonal Factors'!$E$4)),"")</f>
        <v>0.629115767409162</v>
      </c>
      <c r="F272" s="24" t="n">
        <f aca="false">IFERROR(E272/AVERAGE(E267:E278),"")</f>
        <v>0.632148615361998</v>
      </c>
      <c r="G272" s="23" t="str">
        <f aca="false">IF(ISNUMBER(Tabelle1!F279),(0.5*Tabelle1!F267+SUM(Tabelle1!F268:F278)+0.5*Tabelle1!F279)/12,"")</f>
        <v/>
      </c>
      <c r="H272" s="24" t="str">
        <f aca="false">IFERROR(Tabelle1!F273/G272,"")</f>
        <v/>
      </c>
      <c r="I272" s="24" t="n">
        <f aca="false">IFERROR(AVERAGEIFS($H$7:$H$294,$B$7:$B$294,$B272,$A$7:$A$294,"&gt;="&amp;EDATE($A272,-12*'Seasonal Factors'!$E$4),$A$7:$A$294,"&lt;="&amp;EDATE($A272,12*'Seasonal Factors'!$E$4)),"")</f>
        <v>1.04643077791281</v>
      </c>
      <c r="J272" s="24" t="n">
        <f aca="false">IFERROR(I272/AVERAGE(I267:I278),"")</f>
        <v>1.0540056528342</v>
      </c>
      <c r="K272" s="23" t="str">
        <f aca="false">IF(ISNUMBER(Tabelle1!G279),(0.5*Tabelle1!G267+SUM(Tabelle1!G268:G278)+0.5*Tabelle1!G279)/12,"")</f>
        <v/>
      </c>
      <c r="L272" s="24" t="str">
        <f aca="false">IFERROR(Tabelle1!G273/K272,"")</f>
        <v/>
      </c>
      <c r="M272" s="24" t="n">
        <f aca="false">IFERROR(AVERAGEIFS($L$7:$L$294,$B$7:$B$294,$B272,$A$7:$A$294,"&gt;="&amp;EDATE($A272,-12*'Seasonal Factors'!$E$4),$A$7:$A$294,"&lt;="&amp;EDATE($A272,12*'Seasonal Factors'!$E$4)),"")</f>
        <v>0.922423463153849</v>
      </c>
      <c r="N272" s="24" t="n">
        <f aca="false">IFERROR(M272/AVERAGE(M267:M278),"")</f>
        <v>0.922940765982949</v>
      </c>
      <c r="O272" s="23" t="str">
        <f aca="false">IF(ISNUMBER(Tabelle1!H279),(0.5*Tabelle1!H267+SUM(Tabelle1!H268:H278)+0.5*Tabelle1!H279)/12,"")</f>
        <v/>
      </c>
      <c r="P272" s="24" t="str">
        <f aca="false">IFERROR(Tabelle1!H273/O272,"")</f>
        <v/>
      </c>
      <c r="Q272" s="24" t="n">
        <f aca="false">IFERROR(AVERAGEIFS($P$7:$P$294,$B$7:$B$294,$B272,$A$7:$A$294,"&gt;="&amp;EDATE($A272,-12*'Seasonal Factors'!$E$4),$A$7:$A$294,"&lt;="&amp;EDATE($A272,12*'Seasonal Factors'!$E$4)),"")</f>
        <v>0.871591488246459</v>
      </c>
      <c r="R272" s="24" t="n">
        <f aca="false">IFERROR(Q272/AVERAGE(Q267:Q278),"")</f>
        <v>0.871920826516648</v>
      </c>
      <c r="S272" s="23" t="str">
        <f aca="false">IF(ISNUMBER(Tabelle1!I279),(0.5*Tabelle1!I267+SUM(Tabelle1!I268:I278)+0.5*Tabelle1!I279)/12,"")</f>
        <v/>
      </c>
      <c r="T272" s="24" t="str">
        <f aca="false">IFERROR(Tabelle1!I273/S272,"")</f>
        <v/>
      </c>
      <c r="U272" s="24" t="n">
        <f aca="false">IFERROR(AVERAGEIFS($T$7:$T$294,$B$7:$B$294,$B272,$A$7:$A$294,"&gt;="&amp;EDATE($A272,-12*'Seasonal Factors'!$E$4),$A$7:$A$294,"&lt;="&amp;EDATE($A272,12*'Seasonal Factors'!$E$4)),"")</f>
        <v>0.995374673462254</v>
      </c>
      <c r="V272" s="24" t="n">
        <f aca="false">IFERROR(U272/AVERAGE(U267:U278),"")</f>
        <v>0.996430104935747</v>
      </c>
      <c r="W272" s="23" t="str">
        <f aca="false">IF(ISNUMBER(Tabelle1!J279),(0.5*Tabelle1!J267+SUM(Tabelle1!J268:J278)+0.5*Tabelle1!J279)/12,"")</f>
        <v/>
      </c>
      <c r="X272" s="24" t="str">
        <f aca="false">IFERROR(Tabelle1!J273/W272,"")</f>
        <v/>
      </c>
      <c r="Y272" s="24" t="n">
        <f aca="false">IFERROR(AVERAGEIFS($X$7:$X$294,$B$7:$B$294,$B272,$A$7:$A$294,"&gt;="&amp;EDATE($A272,-12*'Seasonal Factors'!$E$4),$A$7:$A$294,"&lt;="&amp;EDATE($A272,12*'Seasonal Factors'!$E$4)),"")</f>
        <v>0.988921268077706</v>
      </c>
      <c r="Z272" s="24" t="n">
        <f aca="false">IFERROR(Y272/AVERAGE(Y267:Y278),"")</f>
        <v>0.989542994523703</v>
      </c>
      <c r="AA272" s="23" t="str">
        <f aca="false">IF(ISNUMBER(Tabelle1!K279),(0.5*Tabelle1!K267+SUM(Tabelle1!K268:K278)+0.5*Tabelle1!K279)/12,"")</f>
        <v/>
      </c>
      <c r="AB272" s="24" t="str">
        <f aca="false">IFERROR(Tabelle1!K273/AA272,"")</f>
        <v/>
      </c>
      <c r="AC272" s="24" t="n">
        <f aca="false">IFERROR(AVERAGEIFS($AB$7:$AB$294,$B$7:$B$294,$B272,$A$7:$A$294,"&gt;="&amp;EDATE($A272,-12*'Seasonal Factors'!$E$4),$A$7:$A$294,"&lt;="&amp;EDATE($A272,12*'Seasonal Factors'!$E$4)),"")</f>
        <v>0.933951026994225</v>
      </c>
      <c r="AD272" s="24" t="n">
        <f aca="false">IFERROR(AC272/AVERAGE(AC267:AC278),"")</f>
        <v>0.934384032136371</v>
      </c>
      <c r="AE272" s="23" t="str">
        <f aca="false">IF(ISNUMBER(Tabelle1!L279),(0.5*Tabelle1!L267+SUM(Tabelle1!L268:L278)+0.5*Tabelle1!L279)/12,"")</f>
        <v/>
      </c>
      <c r="AF272" s="24" t="str">
        <f aca="false">IFERROR(Tabelle1!L273/AE272,"")</f>
        <v/>
      </c>
      <c r="AG272" s="24" t="n">
        <f aca="false">IFERROR(AVERAGEIFS($AF$7:$AF$294,$B$7:$B$294,$B272,$A$7:$A$294,"&gt;="&amp;EDATE($A272,-12*'Seasonal Factors'!$E$4),$A$7:$A$294,"&lt;="&amp;EDATE($A272,12*'Seasonal Factors'!$E$4)),"")</f>
        <v>1.14479870016105</v>
      </c>
      <c r="AH272" s="24" t="n">
        <f aca="false">IFERROR(AG272/AVERAGE(AG267:AG278),"")</f>
        <v>1.14042507924841</v>
      </c>
      <c r="AI272" s="23" t="str">
        <f aca="false">IF(ISNUMBER(Tabelle1!M279),(0.5*Tabelle1!M267+SUM(Tabelle1!M268:M278)+0.5*Tabelle1!M279)/12,"")</f>
        <v/>
      </c>
      <c r="AJ272" s="24" t="str">
        <f aca="false">IFERROR(Tabelle1!M273/AI272,"")</f>
        <v/>
      </c>
      <c r="AK272" s="24" t="n">
        <f aca="false">IFERROR(AVERAGEIFS($AJ$7:$AJ$294,$B$7:$B$294,$B272,$A$7:$A$294,"&gt;="&amp;EDATE($A272,-12*'Seasonal Factors'!$E$4),$A$7:$A$294,"&lt;="&amp;EDATE($A272,12*'Seasonal Factors'!$E$4)),"")</f>
        <v>0.952614640464657</v>
      </c>
      <c r="AL272" s="24" t="n">
        <f aca="false">IFERROR(AK272/AVERAGE(AK267:AK278),"")</f>
        <v>0.951931902251504</v>
      </c>
      <c r="AM272" s="23" t="str">
        <f aca="false">IF(ISNUMBER(Tabelle1!N279),(0.5*Tabelle1!N267+SUM(Tabelle1!N268:N278)+0.5*Tabelle1!N279)/12,"")</f>
        <v/>
      </c>
      <c r="AN272" s="24" t="str">
        <f aca="false">IFERROR(Tabelle1!N273/AM272,"")</f>
        <v/>
      </c>
      <c r="AO272" s="24" t="n">
        <f aca="false">IFERROR(AVERAGEIFS($AN$7:$AN$294,$B$7:$B$294,$B272,$A$7:$A$294,"&gt;="&amp;EDATE($A272,-12*'Seasonal Factors'!$E$4),$A$7:$A$294,"&lt;="&amp;EDATE($A272,12*'Seasonal Factors'!$E$4)),"")</f>
        <v>0.943739718433185</v>
      </c>
      <c r="AP272" s="24" t="n">
        <f aca="false">IFERROR(AO272/AVERAGE(AO267:AO278),"")</f>
        <v>0.943696750121095</v>
      </c>
      <c r="AQ272" s="23" t="str">
        <f aca="false">IF(ISNUMBER(Tabelle1!O279),(0.5*Tabelle1!O267+SUM(Tabelle1!O268:O278)+0.5*Tabelle1!O279)/12,"")</f>
        <v/>
      </c>
      <c r="AR272" s="24" t="str">
        <f aca="false">IFERROR(Tabelle1!O273/AQ272,"")</f>
        <v/>
      </c>
      <c r="AS272" s="24" t="n">
        <f aca="false">IFERROR(AVERAGEIFS($AR$7:$AR$294,$B$7:$B$294,$B272,$A$7:$A$294,"&gt;="&amp;EDATE($A272,-12*'Seasonal Factors'!$E$4),$A$7:$A$294,"&lt;="&amp;EDATE($A272,12*'Seasonal Factors'!$E$4)),"")</f>
        <v>0.971911463317459</v>
      </c>
      <c r="AT272" s="24" t="n">
        <f aca="false">IFERROR(AS272/AVERAGE(AS267:AS278),"")</f>
        <v>0.971335973735372</v>
      </c>
      <c r="AU272" s="23" t="str">
        <f aca="false">IF(ISNUMBER(Tabelle1!P279),(0.5*Tabelle1!P267+SUM(Tabelle1!P268:P278)+0.5*Tabelle1!P279)/12,"")</f>
        <v/>
      </c>
      <c r="AV272" s="24" t="str">
        <f aca="false">IFERROR(Tabelle1!P273/AU272,"")</f>
        <v/>
      </c>
      <c r="AW272" s="24" t="n">
        <f aca="false">IFERROR(AVERAGEIFS($AV$7:$AV$294,$B$7:$B$294,$B272,$A$7:$A$294,"&gt;="&amp;EDATE($A272,-12*'Seasonal Factors'!$E$4),$A$7:$A$294,"&lt;="&amp;EDATE($A272,12*'Seasonal Factors'!$E$4)),"")</f>
        <v>1.00594642778032</v>
      </c>
      <c r="AX272" s="24" t="n">
        <f aca="false">IFERROR(AW272/AVERAGE(AW267:AW278),"")</f>
        <v>1.00434324515031</v>
      </c>
      <c r="AY272" s="23" t="str">
        <f aca="false">IF(ISNUMBER(Tabelle1!Q279),(0.5*Tabelle1!Q267+SUM(Tabelle1!Q268:Q278)+0.5*Tabelle1!Q279)/12,"")</f>
        <v/>
      </c>
      <c r="AZ272" s="24" t="str">
        <f aca="false">IFERROR(Tabelle1!Q273/AY272,"")</f>
        <v/>
      </c>
      <c r="BA272" s="24" t="n">
        <f aca="false">IFERROR(AVERAGEIFS($AZ$7:$AZ$294,$B$7:$B$294,$B272,$A$7:$A$294,"&gt;="&amp;EDATE($A272,-12*'Seasonal Factors'!$E$4),$A$7:$A$294,"&lt;="&amp;EDATE($A272,12*'Seasonal Factors'!$E$4)),"")</f>
        <v>0.979801364613063</v>
      </c>
      <c r="BB272" s="24" t="n">
        <f aca="false">IFERROR(BA272/AVERAGE(BA267:BA278),"")</f>
        <v>0.978973490112848</v>
      </c>
      <c r="BC272" s="23" t="str">
        <f aca="false">IF(ISNUMBER(Tabelle1!R279),(0.5*Tabelle1!R267+SUM(Tabelle1!R268:R278)+0.5*Tabelle1!R279)/12,"")</f>
        <v/>
      </c>
      <c r="BD272" s="24" t="str">
        <f aca="false">IFERROR(Tabelle1!R273/BC272,"")</f>
        <v/>
      </c>
      <c r="BE272" s="24" t="n">
        <f aca="false">IFERROR(AVERAGEIFS($BD$7:$BD$294,$B$7:$B$294,$B272,$A$7:$A$294,"&gt;="&amp;EDATE($A272,-12*'Seasonal Factors'!$E$4),$A$7:$A$294,"&lt;="&amp;EDATE($A272,12*'Seasonal Factors'!$E$4)),"")</f>
        <v>0.951281952832504</v>
      </c>
      <c r="BF272" s="24" t="n">
        <f aca="false">IFERROR(BE272/AVERAGE(BE267:BE278),"")</f>
        <v>0.951291147175393</v>
      </c>
      <c r="BG272" s="23" t="str">
        <f aca="false">IF(ISNUMBER(Tabelle1!S279),(0.5*Tabelle1!S267+SUM(Tabelle1!S268:S278)+0.5*Tabelle1!S279)/12,"")</f>
        <v/>
      </c>
      <c r="BH272" s="24" t="str">
        <f aca="false">IFERROR(Tabelle1!S273/BG272,"")</f>
        <v/>
      </c>
      <c r="BI272" s="24" t="n">
        <f aca="false">IFERROR(AVERAGEIFS($BH$7:$BH$294,$B$7:$B$294,$B272,$A$7:$A$294,"&gt;="&amp;EDATE($A272,-12*'Seasonal Factors'!$E$4),$A$7:$A$294,"&lt;="&amp;EDATE($A272,12*'Seasonal Factors'!$E$4)),"")</f>
        <v>1.0855828875587</v>
      </c>
      <c r="BJ272" s="24" t="n">
        <f aca="false">IFERROR(BI272/AVERAGE(BI267:BI278),"")</f>
        <v>1.08445969618763</v>
      </c>
    </row>
    <row r="273" customFormat="false" ht="15" hidden="false" customHeight="false" outlineLevel="0" collapsed="false">
      <c r="A273" s="20" t="n">
        <v>46112</v>
      </c>
      <c r="B273" s="22" t="n">
        <f aca="false">MONTH(A273)</f>
        <v>3</v>
      </c>
      <c r="C273" s="23" t="str">
        <f aca="false">IF(ISNUMBER(Tabelle1!E280),(0.5*Tabelle1!E268+SUM(Tabelle1!E269:E279)+0.5*Tabelle1!E280)/12,"")</f>
        <v/>
      </c>
      <c r="D273" s="24" t="str">
        <f aca="false">IFERROR(Tabelle1!E274/C273,"")</f>
        <v/>
      </c>
      <c r="E273" s="24" t="n">
        <f aca="false">IFERROR(AVERAGEIFS($D$7:$D$294,$B$7:$B$294,$B273,$A$7:$A$294,"&gt;="&amp;EDATE($A273,-12*'Seasonal Factors'!$E$4),$A$7:$A$294,"&lt;="&amp;EDATE($A273,12*'Seasonal Factors'!$E$4)),"")</f>
        <v>1.19158130310819</v>
      </c>
      <c r="F273" s="24" t="n">
        <f aca="false">IFERROR(E273/AVERAGE(E268:E279),"")</f>
        <v>1.19608329738629</v>
      </c>
      <c r="G273" s="23" t="str">
        <f aca="false">IF(ISNUMBER(Tabelle1!F280),(0.5*Tabelle1!F268+SUM(Tabelle1!F269:F279)+0.5*Tabelle1!F280)/12,"")</f>
        <v/>
      </c>
      <c r="H273" s="24" t="str">
        <f aca="false">IFERROR(Tabelle1!F274/G273,"")</f>
        <v/>
      </c>
      <c r="I273" s="24" t="n">
        <f aca="false">IFERROR(AVERAGEIFS($H$7:$H$294,$B$7:$B$294,$B273,$A$7:$A$294,"&gt;="&amp;EDATE($A273,-12*'Seasonal Factors'!$E$4),$A$7:$A$294,"&lt;="&amp;EDATE($A273,12*'Seasonal Factors'!$E$4)),"")</f>
        <v>0.755642676324111</v>
      </c>
      <c r="J273" s="24" t="n">
        <f aca="false">IFERROR(I273/AVERAGE(I268:I279),"")</f>
        <v>0.761018741218595</v>
      </c>
      <c r="K273" s="23" t="str">
        <f aca="false">IF(ISNUMBER(Tabelle1!G280),(0.5*Tabelle1!G268+SUM(Tabelle1!G269:G279)+0.5*Tabelle1!G280)/12,"")</f>
        <v/>
      </c>
      <c r="L273" s="24" t="str">
        <f aca="false">IFERROR(Tabelle1!G274/K273,"")</f>
        <v/>
      </c>
      <c r="M273" s="24" t="n">
        <f aca="false">IFERROR(AVERAGEIFS($L$7:$L$294,$B$7:$B$294,$B273,$A$7:$A$294,"&gt;="&amp;EDATE($A273,-12*'Seasonal Factors'!$E$4),$A$7:$A$294,"&lt;="&amp;EDATE($A273,12*'Seasonal Factors'!$E$4)),"")</f>
        <v>0.993758899699693</v>
      </c>
      <c r="N273" s="24" t="n">
        <f aca="false">IFERROR(M273/AVERAGE(M268:M279),"")</f>
        <v>0.994524884787894</v>
      </c>
      <c r="O273" s="23" t="str">
        <f aca="false">IF(ISNUMBER(Tabelle1!H280),(0.5*Tabelle1!H268+SUM(Tabelle1!H269:H279)+0.5*Tabelle1!H280)/12,"")</f>
        <v/>
      </c>
      <c r="P273" s="24" t="str">
        <f aca="false">IFERROR(Tabelle1!H274/O273,"")</f>
        <v/>
      </c>
      <c r="Q273" s="24" t="n">
        <f aca="false">IFERROR(AVERAGEIFS($P$7:$P$294,$B$7:$B$294,$B273,$A$7:$A$294,"&gt;="&amp;EDATE($A273,-12*'Seasonal Factors'!$E$4),$A$7:$A$294,"&lt;="&amp;EDATE($A273,12*'Seasonal Factors'!$E$4)),"")</f>
        <v>0.996552733549932</v>
      </c>
      <c r="R273" s="24" t="n">
        <f aca="false">IFERROR(Q273/AVERAGE(Q268:Q279),"")</f>
        <v>0.996797624844569</v>
      </c>
      <c r="S273" s="23" t="str">
        <f aca="false">IF(ISNUMBER(Tabelle1!I280),(0.5*Tabelle1!I268+SUM(Tabelle1!I269:I279)+0.5*Tabelle1!I280)/12,"")</f>
        <v/>
      </c>
      <c r="T273" s="24" t="str">
        <f aca="false">IFERROR(Tabelle1!I274/S273,"")</f>
        <v/>
      </c>
      <c r="U273" s="24" t="n">
        <f aca="false">IFERROR(AVERAGEIFS($T$7:$T$294,$B$7:$B$294,$B273,$A$7:$A$294,"&gt;="&amp;EDATE($A273,-12*'Seasonal Factors'!$E$4),$A$7:$A$294,"&lt;="&amp;EDATE($A273,12*'Seasonal Factors'!$E$4)),"")</f>
        <v>1.02277907512701</v>
      </c>
      <c r="V273" s="24" t="n">
        <f aca="false">IFERROR(U273/AVERAGE(U268:U279),"")</f>
        <v>1.02419358643476</v>
      </c>
      <c r="W273" s="23" t="str">
        <f aca="false">IF(ISNUMBER(Tabelle1!J280),(0.5*Tabelle1!J268+SUM(Tabelle1!J269:J279)+0.5*Tabelle1!J280)/12,"")</f>
        <v/>
      </c>
      <c r="X273" s="24" t="str">
        <f aca="false">IFERROR(Tabelle1!J274/W273,"")</f>
        <v/>
      </c>
      <c r="Y273" s="24" t="n">
        <f aca="false">IFERROR(AVERAGEIFS($X$7:$X$294,$B$7:$B$294,$B273,$A$7:$A$294,"&gt;="&amp;EDATE($A273,-12*'Seasonal Factors'!$E$4),$A$7:$A$294,"&lt;="&amp;EDATE($A273,12*'Seasonal Factors'!$E$4)),"")</f>
        <v>1.01068114486831</v>
      </c>
      <c r="Z273" s="24" t="n">
        <f aca="false">IFERROR(Y273/AVERAGE(Y268:Y279),"")</f>
        <v>1.01089155747888</v>
      </c>
      <c r="AA273" s="23" t="str">
        <f aca="false">IF(ISNUMBER(Tabelle1!K280),(0.5*Tabelle1!K268+SUM(Tabelle1!K269:K279)+0.5*Tabelle1!K280)/12,"")</f>
        <v/>
      </c>
      <c r="AB273" s="24" t="str">
        <f aca="false">IFERROR(Tabelle1!K274/AA273,"")</f>
        <v/>
      </c>
      <c r="AC273" s="24" t="n">
        <f aca="false">IFERROR(AVERAGEIFS($AB$7:$AB$294,$B$7:$B$294,$B273,$A$7:$A$294,"&gt;="&amp;EDATE($A273,-12*'Seasonal Factors'!$E$4),$A$7:$A$294,"&lt;="&amp;EDATE($A273,12*'Seasonal Factors'!$E$4)),"")</f>
        <v>1.00993310662764</v>
      </c>
      <c r="AD273" s="24" t="n">
        <f aca="false">IFERROR(AC273/AVERAGE(AC268:AC279),"")</f>
        <v>1.0102413506049</v>
      </c>
      <c r="AE273" s="23" t="str">
        <f aca="false">IF(ISNUMBER(Tabelle1!L280),(0.5*Tabelle1!L268+SUM(Tabelle1!L269:L279)+0.5*Tabelle1!L280)/12,"")</f>
        <v/>
      </c>
      <c r="AF273" s="24" t="str">
        <f aca="false">IFERROR(Tabelle1!L274/AE273,"")</f>
        <v/>
      </c>
      <c r="AG273" s="24" t="n">
        <f aca="false">IFERROR(AVERAGEIFS($AF$7:$AF$294,$B$7:$B$294,$B273,$A$7:$A$294,"&gt;="&amp;EDATE($A273,-12*'Seasonal Factors'!$E$4),$A$7:$A$294,"&lt;="&amp;EDATE($A273,12*'Seasonal Factors'!$E$4)),"")</f>
        <v>0.908123268251129</v>
      </c>
      <c r="AH273" s="24" t="n">
        <f aca="false">IFERROR(AG273/AVERAGE(AG268:AG279),"")</f>
        <v>0.905819236379235</v>
      </c>
      <c r="AI273" s="23" t="str">
        <f aca="false">IF(ISNUMBER(Tabelle1!M280),(0.5*Tabelle1!M268+SUM(Tabelle1!M269:M279)+0.5*Tabelle1!M280)/12,"")</f>
        <v/>
      </c>
      <c r="AJ273" s="24" t="str">
        <f aca="false">IFERROR(Tabelle1!M274/AI273,"")</f>
        <v/>
      </c>
      <c r="AK273" s="24" t="n">
        <f aca="false">IFERROR(AVERAGEIFS($AJ$7:$AJ$294,$B$7:$B$294,$B273,$A$7:$A$294,"&gt;="&amp;EDATE($A273,-12*'Seasonal Factors'!$E$4),$A$7:$A$294,"&lt;="&amp;EDATE($A273,12*'Seasonal Factors'!$E$4)),"")</f>
        <v>1.00696933413252</v>
      </c>
      <c r="AL273" s="24" t="n">
        <f aca="false">IFERROR(AK273/AVERAGE(AK268:AK279),"")</f>
        <v>1.00622826427322</v>
      </c>
      <c r="AM273" s="23" t="str">
        <f aca="false">IF(ISNUMBER(Tabelle1!N280),(0.5*Tabelle1!N268+SUM(Tabelle1!N269:N279)+0.5*Tabelle1!N280)/12,"")</f>
        <v/>
      </c>
      <c r="AN273" s="24" t="str">
        <f aca="false">IFERROR(Tabelle1!N274/AM273,"")</f>
        <v/>
      </c>
      <c r="AO273" s="24" t="n">
        <f aca="false">IFERROR(AVERAGEIFS($AN$7:$AN$294,$B$7:$B$294,$B273,$A$7:$A$294,"&gt;="&amp;EDATE($A273,-12*'Seasonal Factors'!$E$4),$A$7:$A$294,"&lt;="&amp;EDATE($A273,12*'Seasonal Factors'!$E$4)),"")</f>
        <v>1.03764355422702</v>
      </c>
      <c r="AP273" s="24" t="n">
        <f aca="false">IFERROR(AO273/AVERAGE(AO268:AO279),"")</f>
        <v>1.03690505629542</v>
      </c>
      <c r="AQ273" s="23" t="str">
        <f aca="false">IF(ISNUMBER(Tabelle1!O280),(0.5*Tabelle1!O268+SUM(Tabelle1!O269:O279)+0.5*Tabelle1!O280)/12,"")</f>
        <v/>
      </c>
      <c r="AR273" s="24" t="str">
        <f aca="false">IFERROR(Tabelle1!O274/AQ273,"")</f>
        <v/>
      </c>
      <c r="AS273" s="24" t="n">
        <f aca="false">IFERROR(AVERAGEIFS($AR$7:$AR$294,$B$7:$B$294,$B273,$A$7:$A$294,"&gt;="&amp;EDATE($A273,-12*'Seasonal Factors'!$E$4),$A$7:$A$294,"&lt;="&amp;EDATE($A273,12*'Seasonal Factors'!$E$4)),"")</f>
        <v>0.98510316502887</v>
      </c>
      <c r="AT273" s="24" t="n">
        <f aca="false">IFERROR(AS273/AVERAGE(AS268:AS279),"")</f>
        <v>0.984533909450919</v>
      </c>
      <c r="AU273" s="23" t="str">
        <f aca="false">IF(ISNUMBER(Tabelle1!P280),(0.5*Tabelle1!P268+SUM(Tabelle1!P269:P279)+0.5*Tabelle1!P280)/12,"")</f>
        <v/>
      </c>
      <c r="AV273" s="24" t="str">
        <f aca="false">IFERROR(Tabelle1!P274/AU273,"")</f>
        <v/>
      </c>
      <c r="AW273" s="24" t="n">
        <f aca="false">IFERROR(AVERAGEIFS($AV$7:$AV$294,$B$7:$B$294,$B273,$A$7:$A$294,"&gt;="&amp;EDATE($A273,-12*'Seasonal Factors'!$E$4),$A$7:$A$294,"&lt;="&amp;EDATE($A273,12*'Seasonal Factors'!$E$4)),"")</f>
        <v>0.998637775650305</v>
      </c>
      <c r="AX273" s="24" t="n">
        <f aca="false">IFERROR(AW273/AVERAGE(AW268:AW279),"")</f>
        <v>0.996797243099516</v>
      </c>
      <c r="AY273" s="23" t="str">
        <f aca="false">IF(ISNUMBER(Tabelle1!Q280),(0.5*Tabelle1!Q268+SUM(Tabelle1!Q269:Q279)+0.5*Tabelle1!Q280)/12,"")</f>
        <v/>
      </c>
      <c r="AZ273" s="24" t="str">
        <f aca="false">IFERROR(Tabelle1!Q274/AY273,"")</f>
        <v/>
      </c>
      <c r="BA273" s="24" t="n">
        <f aca="false">IFERROR(AVERAGEIFS($AZ$7:$AZ$294,$B$7:$B$294,$B273,$A$7:$A$294,"&gt;="&amp;EDATE($A273,-12*'Seasonal Factors'!$E$4),$A$7:$A$294,"&lt;="&amp;EDATE($A273,12*'Seasonal Factors'!$E$4)),"")</f>
        <v>0.999656002858215</v>
      </c>
      <c r="BB273" s="24" t="n">
        <f aca="false">IFERROR(BA273/AVERAGE(BA268:BA279),"")</f>
        <v>0.998868716442555</v>
      </c>
      <c r="BC273" s="23" t="str">
        <f aca="false">IF(ISNUMBER(Tabelle1!R280),(0.5*Tabelle1!R268+SUM(Tabelle1!R269:R279)+0.5*Tabelle1!R280)/12,"")</f>
        <v/>
      </c>
      <c r="BD273" s="24" t="str">
        <f aca="false">IFERROR(Tabelle1!R274/BC273,"")</f>
        <v/>
      </c>
      <c r="BE273" s="24" t="n">
        <f aca="false">IFERROR(AVERAGEIFS($BD$7:$BD$294,$B$7:$B$294,$B273,$A$7:$A$294,"&gt;="&amp;EDATE($A273,-12*'Seasonal Factors'!$E$4),$A$7:$A$294,"&lt;="&amp;EDATE($A273,12*'Seasonal Factors'!$E$4)),"")</f>
        <v>1.02914184115858</v>
      </c>
      <c r="BF273" s="24" t="n">
        <f aca="false">IFERROR(BE273/AVERAGE(BE268:BE279),"")</f>
        <v>1.02919503098286</v>
      </c>
      <c r="BG273" s="23" t="str">
        <f aca="false">IF(ISNUMBER(Tabelle1!S280),(0.5*Tabelle1!S268+SUM(Tabelle1!S269:S279)+0.5*Tabelle1!S280)/12,"")</f>
        <v/>
      </c>
      <c r="BH273" s="24" t="str">
        <f aca="false">IFERROR(Tabelle1!S274/BG273,"")</f>
        <v/>
      </c>
      <c r="BI273" s="24" t="n">
        <f aca="false">IFERROR(AVERAGEIFS($BH$7:$BH$294,$B$7:$B$294,$B273,$A$7:$A$294,"&gt;="&amp;EDATE($A273,-12*'Seasonal Factors'!$E$4),$A$7:$A$294,"&lt;="&amp;EDATE($A273,12*'Seasonal Factors'!$E$4)),"")</f>
        <v>1.08144949241999</v>
      </c>
      <c r="BJ273" s="24" t="n">
        <f aca="false">IFERROR(BI273/AVERAGE(BI268:BI279),"")</f>
        <v>1.08035776267707</v>
      </c>
    </row>
    <row r="274" customFormat="false" ht="15" hidden="false" customHeight="false" outlineLevel="0" collapsed="false">
      <c r="A274" s="20" t="n">
        <v>46142</v>
      </c>
      <c r="B274" s="22" t="n">
        <f aca="false">MONTH(A274)</f>
        <v>4</v>
      </c>
      <c r="C274" s="23" t="str">
        <f aca="false">IF(ISNUMBER(Tabelle1!E281),(0.5*Tabelle1!E269+SUM(Tabelle1!E270:E280)+0.5*Tabelle1!E281)/12,"")</f>
        <v/>
      </c>
      <c r="D274" s="24" t="str">
        <f aca="false">IFERROR(Tabelle1!E275/C274,"")</f>
        <v/>
      </c>
      <c r="E274" s="24" t="n">
        <f aca="false">IFERROR(AVERAGEIFS($D$7:$D$294,$B$7:$B$294,$B274,$A$7:$A$294,"&gt;="&amp;EDATE($A274,-12*'Seasonal Factors'!$E$4),$A$7:$A$294,"&lt;="&amp;EDATE($A274,12*'Seasonal Factors'!$E$4)),"")</f>
        <v>1.54447713733782</v>
      </c>
      <c r="F274" s="24" t="n">
        <f aca="false">IFERROR(E274/AVERAGE(E269:E280),"")</f>
        <v>1.55047800114045</v>
      </c>
      <c r="G274" s="23" t="str">
        <f aca="false">IF(ISNUMBER(Tabelle1!F281),(0.5*Tabelle1!F269+SUM(Tabelle1!F270:F280)+0.5*Tabelle1!F281)/12,"")</f>
        <v/>
      </c>
      <c r="H274" s="24" t="str">
        <f aca="false">IFERROR(Tabelle1!F275/G274,"")</f>
        <v/>
      </c>
      <c r="I274" s="24" t="n">
        <f aca="false">IFERROR(AVERAGEIFS($H$7:$H$294,$B$7:$B$294,$B274,$A$7:$A$294,"&gt;="&amp;EDATE($A274,-12*'Seasonal Factors'!$E$4),$A$7:$A$294,"&lt;="&amp;EDATE($A274,12*'Seasonal Factors'!$E$4)),"")</f>
        <v>0.91096754956937</v>
      </c>
      <c r="J274" s="24" t="n">
        <f aca="false">IFERROR(I274/AVERAGE(I269:I280),"")</f>
        <v>0.919908125382792</v>
      </c>
      <c r="K274" s="23" t="str">
        <f aca="false">IF(ISNUMBER(Tabelle1!G281),(0.5*Tabelle1!G269+SUM(Tabelle1!G270:G280)+0.5*Tabelle1!G281)/12,"")</f>
        <v/>
      </c>
      <c r="L274" s="24" t="str">
        <f aca="false">IFERROR(Tabelle1!G275/K274,"")</f>
        <v/>
      </c>
      <c r="M274" s="24" t="n">
        <f aca="false">IFERROR(AVERAGEIFS($L$7:$L$294,$B$7:$B$294,$B274,$A$7:$A$294,"&gt;="&amp;EDATE($A274,-12*'Seasonal Factors'!$E$4),$A$7:$A$294,"&lt;="&amp;EDATE($A274,12*'Seasonal Factors'!$E$4)),"")</f>
        <v>0.982210704513333</v>
      </c>
      <c r="N274" s="24" t="n">
        <f aca="false">IFERROR(M274/AVERAGE(M269:M280),"")</f>
        <v>0.983002550082453</v>
      </c>
      <c r="O274" s="23" t="str">
        <f aca="false">IF(ISNUMBER(Tabelle1!H281),(0.5*Tabelle1!H269+SUM(Tabelle1!H270:H280)+0.5*Tabelle1!H281)/12,"")</f>
        <v/>
      </c>
      <c r="P274" s="24" t="str">
        <f aca="false">IFERROR(Tabelle1!H275/O274,"")</f>
        <v/>
      </c>
      <c r="Q274" s="24" t="n">
        <f aca="false">IFERROR(AVERAGEIFS($P$7:$P$294,$B$7:$B$294,$B274,$A$7:$A$294,"&gt;="&amp;EDATE($A274,-12*'Seasonal Factors'!$E$4),$A$7:$A$294,"&lt;="&amp;EDATE($A274,12*'Seasonal Factors'!$E$4)),"")</f>
        <v>0.974862885278901</v>
      </c>
      <c r="R274" s="24" t="n">
        <f aca="false">IFERROR(Q274/AVERAGE(Q269:Q280),"")</f>
        <v>0.97439986767765</v>
      </c>
      <c r="S274" s="23" t="str">
        <f aca="false">IF(ISNUMBER(Tabelle1!I281),(0.5*Tabelle1!I269+SUM(Tabelle1!I270:I280)+0.5*Tabelle1!I281)/12,"")</f>
        <v/>
      </c>
      <c r="T274" s="24" t="str">
        <f aca="false">IFERROR(Tabelle1!I275/S274,"")</f>
        <v/>
      </c>
      <c r="U274" s="24" t="n">
        <f aca="false">IFERROR(AVERAGEIFS($T$7:$T$294,$B$7:$B$294,$B274,$A$7:$A$294,"&gt;="&amp;EDATE($A274,-12*'Seasonal Factors'!$E$4),$A$7:$A$294,"&lt;="&amp;EDATE($A274,12*'Seasonal Factors'!$E$4)),"")</f>
        <v>0.900036510146116</v>
      </c>
      <c r="V274" s="24" t="n">
        <f aca="false">IFERROR(U274/AVERAGE(U269:U280),"")</f>
        <v>0.900637222717793</v>
      </c>
      <c r="W274" s="23" t="str">
        <f aca="false">IF(ISNUMBER(Tabelle1!J281),(0.5*Tabelle1!J269+SUM(Tabelle1!J270:J280)+0.5*Tabelle1!J281)/12,"")</f>
        <v/>
      </c>
      <c r="X274" s="24" t="str">
        <f aca="false">IFERROR(Tabelle1!J275/W274,"")</f>
        <v/>
      </c>
      <c r="Y274" s="24" t="n">
        <f aca="false">IFERROR(AVERAGEIFS($X$7:$X$294,$B$7:$B$294,$B274,$A$7:$A$294,"&gt;="&amp;EDATE($A274,-12*'Seasonal Factors'!$E$4),$A$7:$A$294,"&lt;="&amp;EDATE($A274,12*'Seasonal Factors'!$E$4)),"")</f>
        <v>0.978281044047326</v>
      </c>
      <c r="Z274" s="24" t="n">
        <f aca="false">IFERROR(Y274/AVERAGE(Y269:Y280),"")</f>
        <v>0.977998996397136</v>
      </c>
      <c r="AA274" s="23" t="str">
        <f aca="false">IF(ISNUMBER(Tabelle1!K281),(0.5*Tabelle1!K269+SUM(Tabelle1!K270:K280)+0.5*Tabelle1!K281)/12,"")</f>
        <v/>
      </c>
      <c r="AB274" s="24" t="str">
        <f aca="false">IFERROR(Tabelle1!K275/AA274,"")</f>
        <v/>
      </c>
      <c r="AC274" s="24" t="n">
        <f aca="false">IFERROR(AVERAGEIFS($AB$7:$AB$294,$B$7:$B$294,$B274,$A$7:$A$294,"&gt;="&amp;EDATE($A274,-12*'Seasonal Factors'!$E$4),$A$7:$A$294,"&lt;="&amp;EDATE($A274,12*'Seasonal Factors'!$E$4)),"")</f>
        <v>1.0014167620699</v>
      </c>
      <c r="AD274" s="24" t="n">
        <f aca="false">IFERROR(AC274/AVERAGE(AC269:AC280),"")</f>
        <v>1.00116375425176</v>
      </c>
      <c r="AE274" s="23" t="str">
        <f aca="false">IF(ISNUMBER(Tabelle1!L281),(0.5*Tabelle1!L269+SUM(Tabelle1!L270:L280)+0.5*Tabelle1!L281)/12,"")</f>
        <v/>
      </c>
      <c r="AF274" s="24" t="str">
        <f aca="false">IFERROR(Tabelle1!L275/AE274,"")</f>
        <v/>
      </c>
      <c r="AG274" s="24" t="n">
        <f aca="false">IFERROR(AVERAGEIFS($AF$7:$AF$294,$B$7:$B$294,$B274,$A$7:$A$294,"&gt;="&amp;EDATE($A274,-12*'Seasonal Factors'!$E$4),$A$7:$A$294,"&lt;="&amp;EDATE($A274,12*'Seasonal Factors'!$E$4)),"")</f>
        <v>0.734056684801865</v>
      </c>
      <c r="AH274" s="24" t="n">
        <f aca="false">IFERROR(AG274/AVERAGE(AG269:AG280),"")</f>
        <v>0.730778929163099</v>
      </c>
      <c r="AI274" s="23" t="str">
        <f aca="false">IF(ISNUMBER(Tabelle1!M281),(0.5*Tabelle1!M269+SUM(Tabelle1!M270:M280)+0.5*Tabelle1!M281)/12,"")</f>
        <v/>
      </c>
      <c r="AJ274" s="24" t="str">
        <f aca="false">IFERROR(Tabelle1!M275/AI274,"")</f>
        <v/>
      </c>
      <c r="AK274" s="24" t="n">
        <f aca="false">IFERROR(AVERAGEIFS($AJ$7:$AJ$294,$B$7:$B$294,$B274,$A$7:$A$294,"&gt;="&amp;EDATE($A274,-12*'Seasonal Factors'!$E$4),$A$7:$A$294,"&lt;="&amp;EDATE($A274,12*'Seasonal Factors'!$E$4)),"")</f>
        <v>1.02225323756343</v>
      </c>
      <c r="AL274" s="24" t="n">
        <f aca="false">IFERROR(AK274/AVERAGE(AK269:AK280),"")</f>
        <v>1.02128311789818</v>
      </c>
      <c r="AM274" s="23" t="str">
        <f aca="false">IF(ISNUMBER(Tabelle1!N281),(0.5*Tabelle1!N269+SUM(Tabelle1!N270:N280)+0.5*Tabelle1!N281)/12,"")</f>
        <v/>
      </c>
      <c r="AN274" s="24" t="str">
        <f aca="false">IFERROR(Tabelle1!N275/AM274,"")</f>
        <v/>
      </c>
      <c r="AO274" s="24" t="n">
        <f aca="false">IFERROR(AVERAGEIFS($AN$7:$AN$294,$B$7:$B$294,$B274,$A$7:$A$294,"&gt;="&amp;EDATE($A274,-12*'Seasonal Factors'!$E$4),$A$7:$A$294,"&lt;="&amp;EDATE($A274,12*'Seasonal Factors'!$E$4)),"")</f>
        <v>1.02162088108505</v>
      </c>
      <c r="AP274" s="24" t="n">
        <f aca="false">IFERROR(AO274/AVERAGE(AO269:AO280),"")</f>
        <v>1.02034831176542</v>
      </c>
      <c r="AQ274" s="23" t="str">
        <f aca="false">IF(ISNUMBER(Tabelle1!O281),(0.5*Tabelle1!O269+SUM(Tabelle1!O270:O280)+0.5*Tabelle1!O281)/12,"")</f>
        <v/>
      </c>
      <c r="AR274" s="24" t="str">
        <f aca="false">IFERROR(Tabelle1!O275/AQ274,"")</f>
        <v/>
      </c>
      <c r="AS274" s="24" t="n">
        <f aca="false">IFERROR(AVERAGEIFS($AR$7:$AR$294,$B$7:$B$294,$B274,$A$7:$A$294,"&gt;="&amp;EDATE($A274,-12*'Seasonal Factors'!$E$4),$A$7:$A$294,"&lt;="&amp;EDATE($A274,12*'Seasonal Factors'!$E$4)),"")</f>
        <v>1.00468614335809</v>
      </c>
      <c r="AT274" s="24" t="n">
        <f aca="false">IFERROR(AS274/AVERAGE(AS269:AS280),"")</f>
        <v>1.00387854008072</v>
      </c>
      <c r="AU274" s="23" t="str">
        <f aca="false">IF(ISNUMBER(Tabelle1!P281),(0.5*Tabelle1!P269+SUM(Tabelle1!P270:P280)+0.5*Tabelle1!P281)/12,"")</f>
        <v/>
      </c>
      <c r="AV274" s="24" t="str">
        <f aca="false">IFERROR(Tabelle1!P275/AU274,"")</f>
        <v/>
      </c>
      <c r="AW274" s="24" t="n">
        <f aca="false">IFERROR(AVERAGEIFS($AV$7:$AV$294,$B$7:$B$294,$B274,$A$7:$A$294,"&gt;="&amp;EDATE($A274,-12*'Seasonal Factors'!$E$4),$A$7:$A$294,"&lt;="&amp;EDATE($A274,12*'Seasonal Factors'!$E$4)),"")</f>
        <v>0.993490268876565</v>
      </c>
      <c r="AX274" s="24" t="n">
        <f aca="false">IFERROR(AW274/AVERAGE(AW269:AW280),"")</f>
        <v>0.992095855032569</v>
      </c>
      <c r="AY274" s="23" t="str">
        <f aca="false">IF(ISNUMBER(Tabelle1!Q281),(0.5*Tabelle1!Q269+SUM(Tabelle1!Q270:Q280)+0.5*Tabelle1!Q281)/12,"")</f>
        <v/>
      </c>
      <c r="AZ274" s="24" t="str">
        <f aca="false">IFERROR(Tabelle1!Q275/AY274,"")</f>
        <v/>
      </c>
      <c r="BA274" s="24" t="n">
        <f aca="false">IFERROR(AVERAGEIFS($AZ$7:$AZ$294,$B$7:$B$294,$B274,$A$7:$A$294,"&gt;="&amp;EDATE($A274,-12*'Seasonal Factors'!$E$4),$A$7:$A$294,"&lt;="&amp;EDATE($A274,12*'Seasonal Factors'!$E$4)),"")</f>
        <v>0.995246125830425</v>
      </c>
      <c r="BB274" s="24" t="n">
        <f aca="false">IFERROR(BA274/AVERAGE(BA269:BA280),"")</f>
        <v>0.994607607868478</v>
      </c>
      <c r="BC274" s="23" t="str">
        <f aca="false">IF(ISNUMBER(Tabelle1!R281),(0.5*Tabelle1!R269+SUM(Tabelle1!R270:R280)+0.5*Tabelle1!R281)/12,"")</f>
        <v/>
      </c>
      <c r="BD274" s="24" t="str">
        <f aca="false">IFERROR(Tabelle1!R275/BC274,"")</f>
        <v/>
      </c>
      <c r="BE274" s="24" t="n">
        <f aca="false">IFERROR(AVERAGEIFS($BD$7:$BD$294,$B$7:$B$294,$B274,$A$7:$A$294,"&gt;="&amp;EDATE($A274,-12*'Seasonal Factors'!$E$4),$A$7:$A$294,"&lt;="&amp;EDATE($A274,12*'Seasonal Factors'!$E$4)),"")</f>
        <v>1.04630957394086</v>
      </c>
      <c r="BF274" s="24" t="n">
        <f aca="false">IFERROR(BE274/AVERAGE(BE269:BE280),"")</f>
        <v>1.0463223254611</v>
      </c>
      <c r="BG274" s="23" t="str">
        <f aca="false">IF(ISNUMBER(Tabelle1!S281),(0.5*Tabelle1!S269+SUM(Tabelle1!S270:S280)+0.5*Tabelle1!S281)/12,"")</f>
        <v/>
      </c>
      <c r="BH274" s="24" t="str">
        <f aca="false">IFERROR(Tabelle1!S275/BG274,"")</f>
        <v/>
      </c>
      <c r="BI274" s="24" t="n">
        <f aca="false">IFERROR(AVERAGEIFS($BH$7:$BH$294,$B$7:$B$294,$B274,$A$7:$A$294,"&gt;="&amp;EDATE($A274,-12*'Seasonal Factors'!$E$4),$A$7:$A$294,"&lt;="&amp;EDATE($A274,12*'Seasonal Factors'!$E$4)),"")</f>
        <v>0.940153274875819</v>
      </c>
      <c r="BJ274" s="24" t="n">
        <f aca="false">IFERROR(BI274/AVERAGE(BI269:BI280),"")</f>
        <v>0.939028201962397</v>
      </c>
    </row>
    <row r="275" customFormat="false" ht="15" hidden="false" customHeight="false" outlineLevel="0" collapsed="false">
      <c r="A275" s="20" t="n">
        <v>46173</v>
      </c>
      <c r="B275" s="22" t="n">
        <f aca="false">MONTH(A275)</f>
        <v>5</v>
      </c>
      <c r="C275" s="23" t="str">
        <f aca="false">IF(ISNUMBER(Tabelle1!E282),(0.5*Tabelle1!E270+SUM(Tabelle1!E271:E281)+0.5*Tabelle1!E282)/12,"")</f>
        <v/>
      </c>
      <c r="D275" s="24" t="str">
        <f aca="false">IFERROR(Tabelle1!E276/C275,"")</f>
        <v/>
      </c>
      <c r="E275" s="24" t="n">
        <f aca="false">IFERROR(AVERAGEIFS($D$7:$D$294,$B$7:$B$294,$B275,$A$7:$A$294,"&gt;="&amp;EDATE($A275,-12*'Seasonal Factors'!$E$4),$A$7:$A$294,"&lt;="&amp;EDATE($A275,12*'Seasonal Factors'!$E$4)),"")</f>
        <v>2.00753511032956</v>
      </c>
      <c r="F275" s="24" t="n">
        <f aca="false">IFERROR(E275/AVERAGE(E270:E281),"")</f>
        <v>2.01622607527768</v>
      </c>
      <c r="G275" s="23" t="str">
        <f aca="false">IF(ISNUMBER(Tabelle1!F282),(0.5*Tabelle1!F270+SUM(Tabelle1!F271:F281)+0.5*Tabelle1!F282)/12,"")</f>
        <v/>
      </c>
      <c r="H275" s="24" t="str">
        <f aca="false">IFERROR(Tabelle1!F276/G275,"")</f>
        <v/>
      </c>
      <c r="I275" s="24" t="n">
        <f aca="false">IFERROR(AVERAGEIFS($H$7:$H$294,$B$7:$B$294,$B275,$A$7:$A$294,"&gt;="&amp;EDATE($A275,-12*'Seasonal Factors'!$E$4),$A$7:$A$294,"&lt;="&amp;EDATE($A275,12*'Seasonal Factors'!$E$4)),"")</f>
        <v>0.879811017160407</v>
      </c>
      <c r="J275" s="24" t="n">
        <f aca="false">IFERROR(I275/AVERAGE(I270:I281),"")</f>
        <v>0.887751914542991</v>
      </c>
      <c r="K275" s="23" t="str">
        <f aca="false">IF(ISNUMBER(Tabelle1!G282),(0.5*Tabelle1!G270+SUM(Tabelle1!G271:G281)+0.5*Tabelle1!G282)/12,"")</f>
        <v/>
      </c>
      <c r="L275" s="24" t="str">
        <f aca="false">IFERROR(Tabelle1!G276/K275,"")</f>
        <v/>
      </c>
      <c r="M275" s="24" t="n">
        <f aca="false">IFERROR(AVERAGEIFS($L$7:$L$294,$B$7:$B$294,$B275,$A$7:$A$294,"&gt;="&amp;EDATE($A275,-12*'Seasonal Factors'!$E$4),$A$7:$A$294,"&lt;="&amp;EDATE($A275,12*'Seasonal Factors'!$E$4)),"")</f>
        <v>1.05638765068483</v>
      </c>
      <c r="N275" s="24" t="n">
        <f aca="false">IFERROR(M275/AVERAGE(M270:M281),"")</f>
        <v>1.05765746253208</v>
      </c>
      <c r="O275" s="23" t="str">
        <f aca="false">IF(ISNUMBER(Tabelle1!H282),(0.5*Tabelle1!H270+SUM(Tabelle1!H271:H281)+0.5*Tabelle1!H282)/12,"")</f>
        <v/>
      </c>
      <c r="P275" s="24" t="str">
        <f aca="false">IFERROR(Tabelle1!H276/O275,"")</f>
        <v/>
      </c>
      <c r="Q275" s="24" t="n">
        <f aca="false">IFERROR(AVERAGEIFS($P$7:$P$294,$B$7:$B$294,$B275,$A$7:$A$294,"&gt;="&amp;EDATE($A275,-12*'Seasonal Factors'!$E$4),$A$7:$A$294,"&lt;="&amp;EDATE($A275,12*'Seasonal Factors'!$E$4)),"")</f>
        <v>1.01153523210409</v>
      </c>
      <c r="R275" s="24" t="n">
        <f aca="false">IFERROR(Q275/AVERAGE(Q270:Q281),"")</f>
        <v>1.01127009476337</v>
      </c>
      <c r="S275" s="23" t="str">
        <f aca="false">IF(ISNUMBER(Tabelle1!I282),(0.5*Tabelle1!I270+SUM(Tabelle1!I271:I281)+0.5*Tabelle1!I282)/12,"")</f>
        <v/>
      </c>
      <c r="T275" s="24" t="str">
        <f aca="false">IFERROR(Tabelle1!I276/S275,"")</f>
        <v/>
      </c>
      <c r="U275" s="24" t="n">
        <f aca="false">IFERROR(AVERAGEIFS($T$7:$T$294,$B$7:$B$294,$B275,$A$7:$A$294,"&gt;="&amp;EDATE($A275,-12*'Seasonal Factors'!$E$4),$A$7:$A$294,"&lt;="&amp;EDATE($A275,12*'Seasonal Factors'!$E$4)),"")</f>
        <v>1.01925446874775</v>
      </c>
      <c r="V275" s="24" t="n">
        <f aca="false">IFERROR(U275/AVERAGE(U270:U281),"")</f>
        <v>1.01993923238941</v>
      </c>
      <c r="W275" s="23" t="str">
        <f aca="false">IF(ISNUMBER(Tabelle1!J282),(0.5*Tabelle1!J270+SUM(Tabelle1!J271:J281)+0.5*Tabelle1!J282)/12,"")</f>
        <v/>
      </c>
      <c r="X275" s="24" t="str">
        <f aca="false">IFERROR(Tabelle1!J276/W275,"")</f>
        <v/>
      </c>
      <c r="Y275" s="24" t="n">
        <f aca="false">IFERROR(AVERAGEIFS($X$7:$X$294,$B$7:$B$294,$B275,$A$7:$A$294,"&gt;="&amp;EDATE($A275,-12*'Seasonal Factors'!$E$4),$A$7:$A$294,"&lt;="&amp;EDATE($A275,12*'Seasonal Factors'!$E$4)),"")</f>
        <v>0.942141406524762</v>
      </c>
      <c r="Z275" s="24" t="n">
        <f aca="false">IFERROR(Y275/AVERAGE(Y270:Y281),"")</f>
        <v>0.941820279310068</v>
      </c>
      <c r="AA275" s="23" t="str">
        <f aca="false">IF(ISNUMBER(Tabelle1!K282),(0.5*Tabelle1!K270+SUM(Tabelle1!K271:K281)+0.5*Tabelle1!K282)/12,"")</f>
        <v/>
      </c>
      <c r="AB275" s="24" t="str">
        <f aca="false">IFERROR(Tabelle1!K276/AA275,"")</f>
        <v/>
      </c>
      <c r="AC275" s="24" t="n">
        <f aca="false">IFERROR(AVERAGEIFS($AB$7:$AB$294,$B$7:$B$294,$B275,$A$7:$A$294,"&gt;="&amp;EDATE($A275,-12*'Seasonal Factors'!$E$4),$A$7:$A$294,"&lt;="&amp;EDATE($A275,12*'Seasonal Factors'!$E$4)),"")</f>
        <v>1.03458711059527</v>
      </c>
      <c r="AD275" s="24" t="n">
        <f aca="false">IFERROR(AC275/AVERAGE(AC270:AC281),"")</f>
        <v>1.03459734374582</v>
      </c>
      <c r="AE275" s="23" t="str">
        <f aca="false">IF(ISNUMBER(Tabelle1!L282),(0.5*Tabelle1!L270+SUM(Tabelle1!L271:L281)+0.5*Tabelle1!L282)/12,"")</f>
        <v/>
      </c>
      <c r="AF275" s="24" t="str">
        <f aca="false">IFERROR(Tabelle1!L276/AE275,"")</f>
        <v/>
      </c>
      <c r="AG275" s="24" t="n">
        <f aca="false">IFERROR(AVERAGEIFS($AF$7:$AF$294,$B$7:$B$294,$B275,$A$7:$A$294,"&gt;="&amp;EDATE($A275,-12*'Seasonal Factors'!$E$4),$A$7:$A$294,"&lt;="&amp;EDATE($A275,12*'Seasonal Factors'!$E$4)),"")</f>
        <v>0.916185617053365</v>
      </c>
      <c r="AH275" s="24" t="n">
        <f aca="false">IFERROR(AG275/AVERAGE(AG270:AG281),"")</f>
        <v>0.910520270663501</v>
      </c>
      <c r="AI275" s="23" t="str">
        <f aca="false">IF(ISNUMBER(Tabelle1!M282),(0.5*Tabelle1!M270+SUM(Tabelle1!M271:M281)+0.5*Tabelle1!M282)/12,"")</f>
        <v/>
      </c>
      <c r="AJ275" s="24" t="str">
        <f aca="false">IFERROR(Tabelle1!M276/AI275,"")</f>
        <v/>
      </c>
      <c r="AK275" s="24" t="n">
        <f aca="false">IFERROR(AVERAGEIFS($AJ$7:$AJ$294,$B$7:$B$294,$B275,$A$7:$A$294,"&gt;="&amp;EDATE($A275,-12*'Seasonal Factors'!$E$4),$A$7:$A$294,"&lt;="&amp;EDATE($A275,12*'Seasonal Factors'!$E$4)),"")</f>
        <v>1.05934432504928</v>
      </c>
      <c r="AL275" s="24" t="n">
        <f aca="false">IFERROR(AK275/AVERAGE(AK270:AK281),"")</f>
        <v>1.05843206359112</v>
      </c>
      <c r="AM275" s="23" t="str">
        <f aca="false">IF(ISNUMBER(Tabelle1!N282),(0.5*Tabelle1!N270+SUM(Tabelle1!N271:N281)+0.5*Tabelle1!N282)/12,"")</f>
        <v/>
      </c>
      <c r="AN275" s="24" t="str">
        <f aca="false">IFERROR(Tabelle1!N276/AM275,"")</f>
        <v/>
      </c>
      <c r="AO275" s="24" t="n">
        <f aca="false">IFERROR(AVERAGEIFS($AN$7:$AN$294,$B$7:$B$294,$B275,$A$7:$A$294,"&gt;="&amp;EDATE($A275,-12*'Seasonal Factors'!$E$4),$A$7:$A$294,"&lt;="&amp;EDATE($A275,12*'Seasonal Factors'!$E$4)),"")</f>
        <v>0.928209141554991</v>
      </c>
      <c r="AP275" s="24" t="n">
        <f aca="false">IFERROR(AO275/AVERAGE(AO270:AO281),"")</f>
        <v>0.927398484606105</v>
      </c>
      <c r="AQ275" s="23" t="str">
        <f aca="false">IF(ISNUMBER(Tabelle1!O282),(0.5*Tabelle1!O270+SUM(Tabelle1!O271:O281)+0.5*Tabelle1!O282)/12,"")</f>
        <v/>
      </c>
      <c r="AR275" s="24" t="str">
        <f aca="false">IFERROR(Tabelle1!O276/AQ275,"")</f>
        <v/>
      </c>
      <c r="AS275" s="24" t="n">
        <f aca="false">IFERROR(AVERAGEIFS($AR$7:$AR$294,$B$7:$B$294,$B275,$A$7:$A$294,"&gt;="&amp;EDATE($A275,-12*'Seasonal Factors'!$E$4),$A$7:$A$294,"&lt;="&amp;EDATE($A275,12*'Seasonal Factors'!$E$4)),"")</f>
        <v>1.00961202097244</v>
      </c>
      <c r="AT275" s="24" t="n">
        <f aca="false">IFERROR(AS275/AVERAGE(AS270:AS281),"")</f>
        <v>1.00888033462048</v>
      </c>
      <c r="AU275" s="23" t="str">
        <f aca="false">IF(ISNUMBER(Tabelle1!P282),(0.5*Tabelle1!P270+SUM(Tabelle1!P271:P281)+0.5*Tabelle1!P282)/12,"")</f>
        <v/>
      </c>
      <c r="AV275" s="24" t="str">
        <f aca="false">IFERROR(Tabelle1!P276/AU275,"")</f>
        <v/>
      </c>
      <c r="AW275" s="24" t="n">
        <f aca="false">IFERROR(AVERAGEIFS($AV$7:$AV$294,$B$7:$B$294,$B275,$A$7:$A$294,"&gt;="&amp;EDATE($A275,-12*'Seasonal Factors'!$E$4),$A$7:$A$294,"&lt;="&amp;EDATE($A275,12*'Seasonal Factors'!$E$4)),"")</f>
        <v>0.995111115166324</v>
      </c>
      <c r="AX275" s="24" t="n">
        <f aca="false">IFERROR(AW275/AVERAGE(AW270:AW281),"")</f>
        <v>0.994051634148753</v>
      </c>
      <c r="AY275" s="23" t="str">
        <f aca="false">IF(ISNUMBER(Tabelle1!Q282),(0.5*Tabelle1!Q270+SUM(Tabelle1!Q271:Q281)+0.5*Tabelle1!Q282)/12,"")</f>
        <v/>
      </c>
      <c r="AZ275" s="24" t="str">
        <f aca="false">IFERROR(Tabelle1!Q276/AY275,"")</f>
        <v/>
      </c>
      <c r="BA275" s="24" t="n">
        <f aca="false">IFERROR(AVERAGEIFS($AZ$7:$AZ$294,$B$7:$B$294,$B275,$A$7:$A$294,"&gt;="&amp;EDATE($A275,-12*'Seasonal Factors'!$E$4),$A$7:$A$294,"&lt;="&amp;EDATE($A275,12*'Seasonal Factors'!$E$4)),"")</f>
        <v>0.998970046943816</v>
      </c>
      <c r="BB275" s="24" t="n">
        <f aca="false">IFERROR(BA275/AVERAGE(BA270:BA281),"")</f>
        <v>0.998424508137761</v>
      </c>
      <c r="BC275" s="23" t="str">
        <f aca="false">IF(ISNUMBER(Tabelle1!R282),(0.5*Tabelle1!R270+SUM(Tabelle1!R271:R281)+0.5*Tabelle1!R282)/12,"")</f>
        <v/>
      </c>
      <c r="BD275" s="24" t="str">
        <f aca="false">IFERROR(Tabelle1!R276/BC275,"")</f>
        <v/>
      </c>
      <c r="BE275" s="24" t="n">
        <f aca="false">IFERROR(AVERAGEIFS($BD$7:$BD$294,$B$7:$B$294,$B275,$A$7:$A$294,"&gt;="&amp;EDATE($A275,-12*'Seasonal Factors'!$E$4),$A$7:$A$294,"&lt;="&amp;EDATE($A275,12*'Seasonal Factors'!$E$4)),"")</f>
        <v>1.06159001216903</v>
      </c>
      <c r="BF275" s="24" t="n">
        <f aca="false">IFERROR(BE275/AVERAGE(BE270:BE281),"")</f>
        <v>1.0616272648723</v>
      </c>
      <c r="BG275" s="23" t="str">
        <f aca="false">IF(ISNUMBER(Tabelle1!S282),(0.5*Tabelle1!S270+SUM(Tabelle1!S271:S281)+0.5*Tabelle1!S282)/12,"")</f>
        <v/>
      </c>
      <c r="BH275" s="24" t="str">
        <f aca="false">IFERROR(Tabelle1!S276/BG275,"")</f>
        <v/>
      </c>
      <c r="BI275" s="24" t="n">
        <f aca="false">IFERROR(AVERAGEIFS($BH$7:$BH$294,$B$7:$B$294,$B275,$A$7:$A$294,"&gt;="&amp;EDATE($A275,-12*'Seasonal Factors'!$E$4),$A$7:$A$294,"&lt;="&amp;EDATE($A275,12*'Seasonal Factors'!$E$4)),"")</f>
        <v>0.922268694112266</v>
      </c>
      <c r="BJ275" s="24" t="n">
        <f aca="false">IFERROR(BI275/AVERAGE(BI270:BI281),"")</f>
        <v>0.921379392041968</v>
      </c>
    </row>
    <row r="276" customFormat="false" ht="15" hidden="false" customHeight="false" outlineLevel="0" collapsed="false">
      <c r="A276" s="20" t="n">
        <v>46203</v>
      </c>
      <c r="B276" s="22" t="n">
        <f aca="false">MONTH(A276)</f>
        <v>6</v>
      </c>
      <c r="C276" s="23" t="str">
        <f aca="false">IF(ISNUMBER(Tabelle1!E283),(0.5*Tabelle1!E271+SUM(Tabelle1!E272:E282)+0.5*Tabelle1!E283)/12,"")</f>
        <v/>
      </c>
      <c r="D276" s="24" t="str">
        <f aca="false">IFERROR(Tabelle1!E277/C276,"")</f>
        <v/>
      </c>
      <c r="E276" s="24" t="n">
        <f aca="false">IFERROR(AVERAGEIFS($D$7:$D$294,$B$7:$B$294,$B276,$A$7:$A$294,"&gt;="&amp;EDATE($A276,-12*'Seasonal Factors'!$E$4),$A$7:$A$294,"&lt;="&amp;EDATE($A276,12*'Seasonal Factors'!$E$4)),"")</f>
        <v>1.42400389331173</v>
      </c>
      <c r="F276" s="24" t="n">
        <f aca="false">IFERROR(E276/AVERAGE(E271:E282),"")</f>
        <v>1.43325268686987</v>
      </c>
      <c r="G276" s="23" t="str">
        <f aca="false">IF(ISNUMBER(Tabelle1!F283),(0.5*Tabelle1!F271+SUM(Tabelle1!F272:F282)+0.5*Tabelle1!F283)/12,"")</f>
        <v/>
      </c>
      <c r="H276" s="24" t="str">
        <f aca="false">IFERROR(Tabelle1!F277/G276,"")</f>
        <v/>
      </c>
      <c r="I276" s="24" t="n">
        <f aca="false">IFERROR(AVERAGEIFS($H$7:$H$294,$B$7:$B$294,$B276,$A$7:$A$294,"&gt;="&amp;EDATE($A276,-12*'Seasonal Factors'!$E$4),$A$7:$A$294,"&lt;="&amp;EDATE($A276,12*'Seasonal Factors'!$E$4)),"")</f>
        <v>1.17354750527367</v>
      </c>
      <c r="J276" s="24" t="n">
        <f aca="false">IFERROR(I276/AVERAGE(I271:I282),"")</f>
        <v>1.18173392578702</v>
      </c>
      <c r="K276" s="23" t="str">
        <f aca="false">IF(ISNUMBER(Tabelle1!G283),(0.5*Tabelle1!G271+SUM(Tabelle1!G272:G282)+0.5*Tabelle1!G283)/12,"")</f>
        <v/>
      </c>
      <c r="L276" s="24" t="str">
        <f aca="false">IFERROR(Tabelle1!G277/K276,"")</f>
        <v/>
      </c>
      <c r="M276" s="24" t="n">
        <f aca="false">IFERROR(AVERAGEIFS($L$7:$L$294,$B$7:$B$294,$B276,$A$7:$A$294,"&gt;="&amp;EDATE($A276,-12*'Seasonal Factors'!$E$4),$A$7:$A$294,"&lt;="&amp;EDATE($A276,12*'Seasonal Factors'!$E$4)),"")</f>
        <v>0.98811784471511</v>
      </c>
      <c r="N276" s="24" t="n">
        <f aca="false">IFERROR(M276/AVERAGE(M271:M282),"")</f>
        <v>0.989110476657909</v>
      </c>
      <c r="O276" s="23" t="str">
        <f aca="false">IF(ISNUMBER(Tabelle1!H283),(0.5*Tabelle1!H271+SUM(Tabelle1!H272:H282)+0.5*Tabelle1!H283)/12,"")</f>
        <v/>
      </c>
      <c r="P276" s="24" t="str">
        <f aca="false">IFERROR(Tabelle1!H277/O276,"")</f>
        <v/>
      </c>
      <c r="Q276" s="24" t="n">
        <f aca="false">IFERROR(AVERAGEIFS($P$7:$P$294,$B$7:$B$294,$B276,$A$7:$A$294,"&gt;="&amp;EDATE($A276,-12*'Seasonal Factors'!$E$4),$A$7:$A$294,"&lt;="&amp;EDATE($A276,12*'Seasonal Factors'!$E$4)),"")</f>
        <v>0.998656120799942</v>
      </c>
      <c r="R276" s="24" t="n">
        <f aca="false">IFERROR(Q276/AVERAGE(Q271:Q282),"")</f>
        <v>0.999178407797333</v>
      </c>
      <c r="S276" s="23" t="str">
        <f aca="false">IF(ISNUMBER(Tabelle1!I283),(0.5*Tabelle1!I271+SUM(Tabelle1!I272:I282)+0.5*Tabelle1!I283)/12,"")</f>
        <v/>
      </c>
      <c r="T276" s="24" t="str">
        <f aca="false">IFERROR(Tabelle1!I277/S276,"")</f>
        <v/>
      </c>
      <c r="U276" s="24" t="n">
        <f aca="false">IFERROR(AVERAGEIFS($T$7:$T$294,$B$7:$B$294,$B276,$A$7:$A$294,"&gt;="&amp;EDATE($A276,-12*'Seasonal Factors'!$E$4),$A$7:$A$294,"&lt;="&amp;EDATE($A276,12*'Seasonal Factors'!$E$4)),"")</f>
        <v>1.05782346239318</v>
      </c>
      <c r="V276" s="24" t="n">
        <f aca="false">IFERROR(U276/AVERAGE(U271:U282),"")</f>
        <v>1.05933172150158</v>
      </c>
      <c r="W276" s="23" t="str">
        <f aca="false">IF(ISNUMBER(Tabelle1!J283),(0.5*Tabelle1!J271+SUM(Tabelle1!J272:J282)+0.5*Tabelle1!J283)/12,"")</f>
        <v/>
      </c>
      <c r="X276" s="24" t="str">
        <f aca="false">IFERROR(Tabelle1!J277/W276,"")</f>
        <v/>
      </c>
      <c r="Y276" s="24" t="n">
        <f aca="false">IFERROR(AVERAGEIFS($X$7:$X$294,$B$7:$B$294,$B276,$A$7:$A$294,"&gt;="&amp;EDATE($A276,-12*'Seasonal Factors'!$E$4),$A$7:$A$294,"&lt;="&amp;EDATE($A276,12*'Seasonal Factors'!$E$4)),"")</f>
        <v>0.967969593496349</v>
      </c>
      <c r="Z276" s="24" t="n">
        <f aca="false">IFERROR(Y276/AVERAGE(Y271:Y282),"")</f>
        <v>0.96814433058344</v>
      </c>
      <c r="AA276" s="23" t="str">
        <f aca="false">IF(ISNUMBER(Tabelle1!K283),(0.5*Tabelle1!K271+SUM(Tabelle1!K272:K282)+0.5*Tabelle1!K283)/12,"")</f>
        <v/>
      </c>
      <c r="AB276" s="24" t="str">
        <f aca="false">IFERROR(Tabelle1!K277/AA276,"")</f>
        <v/>
      </c>
      <c r="AC276" s="24" t="n">
        <f aca="false">IFERROR(AVERAGEIFS($AB$7:$AB$294,$B$7:$B$294,$B276,$A$7:$A$294,"&gt;="&amp;EDATE($A276,-12*'Seasonal Factors'!$E$4),$A$7:$A$294,"&lt;="&amp;EDATE($A276,12*'Seasonal Factors'!$E$4)),"")</f>
        <v>1.02993592306583</v>
      </c>
      <c r="AD276" s="24" t="n">
        <f aca="false">IFERROR(AC276/AVERAGE(AC271:AC282),"")</f>
        <v>1.03112010829758</v>
      </c>
      <c r="AE276" s="23" t="str">
        <f aca="false">IF(ISNUMBER(Tabelle1!L283),(0.5*Tabelle1!L271+SUM(Tabelle1!L272:L282)+0.5*Tabelle1!L283)/12,"")</f>
        <v/>
      </c>
      <c r="AF276" s="24" t="str">
        <f aca="false">IFERROR(Tabelle1!L277/AE276,"")</f>
        <v/>
      </c>
      <c r="AG276" s="24" t="n">
        <f aca="false">IFERROR(AVERAGEIFS($AF$7:$AF$294,$B$7:$B$294,$B276,$A$7:$A$294,"&gt;="&amp;EDATE($A276,-12*'Seasonal Factors'!$E$4),$A$7:$A$294,"&lt;="&amp;EDATE($A276,12*'Seasonal Factors'!$E$4)),"")</f>
        <v>1.0843669987674</v>
      </c>
      <c r="AH276" s="24" t="n">
        <f aca="false">IFERROR(AG276/AVERAGE(AG271:AG282),"")</f>
        <v>1.07527771785346</v>
      </c>
      <c r="AI276" s="23" t="str">
        <f aca="false">IF(ISNUMBER(Tabelle1!M283),(0.5*Tabelle1!M271+SUM(Tabelle1!M272:M282)+0.5*Tabelle1!M283)/12,"")</f>
        <v/>
      </c>
      <c r="AJ276" s="24" t="str">
        <f aca="false">IFERROR(Tabelle1!M277/AI276,"")</f>
        <v/>
      </c>
      <c r="AK276" s="24" t="n">
        <f aca="false">IFERROR(AVERAGEIFS($AJ$7:$AJ$294,$B$7:$B$294,$B276,$A$7:$A$294,"&gt;="&amp;EDATE($A276,-12*'Seasonal Factors'!$E$4),$A$7:$A$294,"&lt;="&amp;EDATE($A276,12*'Seasonal Factors'!$E$4)),"")</f>
        <v>1.02577218046798</v>
      </c>
      <c r="AL276" s="24" t="n">
        <f aca="false">IFERROR(AK276/AVERAGE(AK271:AK282),"")</f>
        <v>1.02518871910329</v>
      </c>
      <c r="AM276" s="23" t="str">
        <f aca="false">IF(ISNUMBER(Tabelle1!N283),(0.5*Tabelle1!N271+SUM(Tabelle1!N272:N282)+0.5*Tabelle1!N283)/12,"")</f>
        <v/>
      </c>
      <c r="AN276" s="24" t="str">
        <f aca="false">IFERROR(Tabelle1!N277/AM276,"")</f>
        <v/>
      </c>
      <c r="AO276" s="24" t="n">
        <f aca="false">IFERROR(AVERAGEIFS($AN$7:$AN$294,$B$7:$B$294,$B276,$A$7:$A$294,"&gt;="&amp;EDATE($A276,-12*'Seasonal Factors'!$E$4),$A$7:$A$294,"&lt;="&amp;EDATE($A276,12*'Seasonal Factors'!$E$4)),"")</f>
        <v>0.96410623617017</v>
      </c>
      <c r="AP276" s="24" t="n">
        <f aca="false">IFERROR(AO276/AVERAGE(AO271:AO282),"")</f>
        <v>0.963850597859279</v>
      </c>
      <c r="AQ276" s="23" t="str">
        <f aca="false">IF(ISNUMBER(Tabelle1!O283),(0.5*Tabelle1!O271+SUM(Tabelle1!O272:O282)+0.5*Tabelle1!O283)/12,"")</f>
        <v/>
      </c>
      <c r="AR276" s="24" t="str">
        <f aca="false">IFERROR(Tabelle1!O277/AQ276,"")</f>
        <v/>
      </c>
      <c r="AS276" s="24" t="n">
        <f aca="false">IFERROR(AVERAGEIFS($AR$7:$AR$294,$B$7:$B$294,$B276,$A$7:$A$294,"&gt;="&amp;EDATE($A276,-12*'Seasonal Factors'!$E$4),$A$7:$A$294,"&lt;="&amp;EDATE($A276,12*'Seasonal Factors'!$E$4)),"")</f>
        <v>1.00911348866249</v>
      </c>
      <c r="AT276" s="24" t="n">
        <f aca="false">IFERROR(AS276/AVERAGE(AS271:AS282),"")</f>
        <v>1.0084890221681</v>
      </c>
      <c r="AU276" s="23" t="str">
        <f aca="false">IF(ISNUMBER(Tabelle1!P283),(0.5*Tabelle1!P271+SUM(Tabelle1!P272:P282)+0.5*Tabelle1!P283)/12,"")</f>
        <v/>
      </c>
      <c r="AV276" s="24" t="str">
        <f aca="false">IFERROR(Tabelle1!P277/AU276,"")</f>
        <v/>
      </c>
      <c r="AW276" s="24" t="n">
        <f aca="false">IFERROR(AVERAGEIFS($AV$7:$AV$294,$B$7:$B$294,$B276,$A$7:$A$294,"&gt;="&amp;EDATE($A276,-12*'Seasonal Factors'!$E$4),$A$7:$A$294,"&lt;="&amp;EDATE($A276,12*'Seasonal Factors'!$E$4)),"")</f>
        <v>1.00275495126417</v>
      </c>
      <c r="AX276" s="24" t="n">
        <f aca="false">IFERROR(AW276/AVERAGE(AW271:AW282),"")</f>
        <v>1.00198705611105</v>
      </c>
      <c r="AY276" s="23" t="str">
        <f aca="false">IF(ISNUMBER(Tabelle1!Q283),(0.5*Tabelle1!Q271+SUM(Tabelle1!Q272:Q282)+0.5*Tabelle1!Q283)/12,"")</f>
        <v/>
      </c>
      <c r="AZ276" s="24" t="str">
        <f aca="false">IFERROR(Tabelle1!Q277/AY276,"")</f>
        <v/>
      </c>
      <c r="BA276" s="24" t="n">
        <f aca="false">IFERROR(AVERAGEIFS($AZ$7:$AZ$294,$B$7:$B$294,$B276,$A$7:$A$294,"&gt;="&amp;EDATE($A276,-12*'Seasonal Factors'!$E$4),$A$7:$A$294,"&lt;="&amp;EDATE($A276,12*'Seasonal Factors'!$E$4)),"")</f>
        <v>1.00455059982724</v>
      </c>
      <c r="BB276" s="24" t="n">
        <f aca="false">IFERROR(BA276/AVERAGE(BA271:BA282),"")</f>
        <v>1.00412379925436</v>
      </c>
      <c r="BC276" s="23" t="str">
        <f aca="false">IF(ISNUMBER(Tabelle1!R283),(0.5*Tabelle1!R271+SUM(Tabelle1!R272:R282)+0.5*Tabelle1!R283)/12,"")</f>
        <v/>
      </c>
      <c r="BD276" s="24" t="str">
        <f aca="false">IFERROR(Tabelle1!R277/BC276,"")</f>
        <v/>
      </c>
      <c r="BE276" s="24" t="n">
        <f aca="false">IFERROR(AVERAGEIFS($BD$7:$BD$294,$B$7:$B$294,$B276,$A$7:$A$294,"&gt;="&amp;EDATE($A276,-12*'Seasonal Factors'!$E$4),$A$7:$A$294,"&lt;="&amp;EDATE($A276,12*'Seasonal Factors'!$E$4)),"")</f>
        <v>1.09612794843153</v>
      </c>
      <c r="BF276" s="24" t="n">
        <f aca="false">IFERROR(BE276/AVERAGE(BE271:BE282),"")</f>
        <v>1.0961553619114</v>
      </c>
      <c r="BG276" s="23" t="str">
        <f aca="false">IF(ISNUMBER(Tabelle1!S283),(0.5*Tabelle1!S271+SUM(Tabelle1!S272:S282)+0.5*Tabelle1!S283)/12,"")</f>
        <v/>
      </c>
      <c r="BH276" s="24" t="str">
        <f aca="false">IFERROR(Tabelle1!S277/BG276,"")</f>
        <v/>
      </c>
      <c r="BI276" s="24" t="n">
        <f aca="false">IFERROR(AVERAGEIFS($BH$7:$BH$294,$B$7:$B$294,$B276,$A$7:$A$294,"&gt;="&amp;EDATE($A276,-12*'Seasonal Factors'!$E$4),$A$7:$A$294,"&lt;="&amp;EDATE($A276,12*'Seasonal Factors'!$E$4)),"")</f>
        <v>0.935189207714662</v>
      </c>
      <c r="BJ276" s="24" t="n">
        <f aca="false">IFERROR(BI276/AVERAGE(BI271:BI282),"")</f>
        <v>0.93468423086745</v>
      </c>
    </row>
    <row r="277" customFormat="false" ht="15" hidden="false" customHeight="false" outlineLevel="0" collapsed="false">
      <c r="A277" s="20" t="n">
        <v>46234</v>
      </c>
      <c r="B277" s="22" t="n">
        <f aca="false">MONTH(A277)</f>
        <v>7</v>
      </c>
      <c r="C277" s="23" t="str">
        <f aca="false">IF(ISNUMBER(Tabelle1!E284),(0.5*Tabelle1!E272+SUM(Tabelle1!E273:E283)+0.5*Tabelle1!E284)/12,"")</f>
        <v/>
      </c>
      <c r="D277" s="24" t="str">
        <f aca="false">IFERROR(Tabelle1!E278/C277,"")</f>
        <v/>
      </c>
      <c r="E277" s="24" t="n">
        <f aca="false">IFERROR(AVERAGEIFS($D$7:$D$294,$B$7:$B$294,$B277,$A$7:$A$294,"&gt;="&amp;EDATE($A277,-12*'Seasonal Factors'!$E$4),$A$7:$A$294,"&lt;="&amp;EDATE($A277,12*'Seasonal Factors'!$E$4)),"")</f>
        <v>0.926147867016755</v>
      </c>
      <c r="F277" s="24" t="n">
        <f aca="false">IFERROR(E277/AVERAGE(E272:E283),"")</f>
        <v>0.932528193317048</v>
      </c>
      <c r="G277" s="23" t="str">
        <f aca="false">IF(ISNUMBER(Tabelle1!F284),(0.5*Tabelle1!F272+SUM(Tabelle1!F273:F283)+0.5*Tabelle1!F284)/12,"")</f>
        <v/>
      </c>
      <c r="H277" s="24" t="str">
        <f aca="false">IFERROR(Tabelle1!F278/G277,"")</f>
        <v/>
      </c>
      <c r="I277" s="24" t="n">
        <f aca="false">IFERROR(AVERAGEIFS($H$7:$H$294,$B$7:$B$294,$B277,$A$7:$A$294,"&gt;="&amp;EDATE($A277,-12*'Seasonal Factors'!$E$4),$A$7:$A$294,"&lt;="&amp;EDATE($A277,12*'Seasonal Factors'!$E$4)),"")</f>
        <v>1.45584378009627</v>
      </c>
      <c r="J277" s="24" t="n">
        <f aca="false">IFERROR(I277/AVERAGE(I272:I283),"")</f>
        <v>1.45523622675188</v>
      </c>
      <c r="K277" s="23" t="str">
        <f aca="false">IF(ISNUMBER(Tabelle1!G284),(0.5*Tabelle1!G272+SUM(Tabelle1!G273:G283)+0.5*Tabelle1!G284)/12,"")</f>
        <v/>
      </c>
      <c r="L277" s="24" t="str">
        <f aca="false">IFERROR(Tabelle1!G278/K277,"")</f>
        <v/>
      </c>
      <c r="M277" s="24" t="n">
        <f aca="false">IFERROR(AVERAGEIFS($L$7:$L$294,$B$7:$B$294,$B277,$A$7:$A$294,"&gt;="&amp;EDATE($A277,-12*'Seasonal Factors'!$E$4),$A$7:$A$294,"&lt;="&amp;EDATE($A277,12*'Seasonal Factors'!$E$4)),"")</f>
        <v>1.01352369536206</v>
      </c>
      <c r="N277" s="24" t="n">
        <f aca="false">IFERROR(M277/AVERAGE(M272:M283),"")</f>
        <v>1.01398636465012</v>
      </c>
      <c r="O277" s="23" t="str">
        <f aca="false">IF(ISNUMBER(Tabelle1!H284),(0.5*Tabelle1!H272+SUM(Tabelle1!H273:H283)+0.5*Tabelle1!H284)/12,"")</f>
        <v/>
      </c>
      <c r="P277" s="24" t="str">
        <f aca="false">IFERROR(Tabelle1!H278/O277,"")</f>
        <v/>
      </c>
      <c r="Q277" s="24" t="n">
        <f aca="false">IFERROR(AVERAGEIFS($P$7:$P$294,$B$7:$B$294,$B277,$A$7:$A$294,"&gt;="&amp;EDATE($A277,-12*'Seasonal Factors'!$E$4),$A$7:$A$294,"&lt;="&amp;EDATE($A277,12*'Seasonal Factors'!$E$4)),"")</f>
        <v>1.04923454180684</v>
      </c>
      <c r="R277" s="24" t="n">
        <f aca="false">IFERROR(Q277/AVERAGE(Q272:Q283),"")</f>
        <v>1.04869470385897</v>
      </c>
      <c r="S277" s="23" t="str">
        <f aca="false">IF(ISNUMBER(Tabelle1!I284),(0.5*Tabelle1!I272+SUM(Tabelle1!I273:I283)+0.5*Tabelle1!I284)/12,"")</f>
        <v/>
      </c>
      <c r="T277" s="24" t="str">
        <f aca="false">IFERROR(Tabelle1!I278/S277,"")</f>
        <v/>
      </c>
      <c r="U277" s="24" t="n">
        <f aca="false">IFERROR(AVERAGEIFS($T$7:$T$294,$B$7:$B$294,$B277,$A$7:$A$294,"&gt;="&amp;EDATE($A277,-12*'Seasonal Factors'!$E$4),$A$7:$A$294,"&lt;="&amp;EDATE($A277,12*'Seasonal Factors'!$E$4)),"")</f>
        <v>1.08164394866272</v>
      </c>
      <c r="V277" s="24" t="n">
        <f aca="false">IFERROR(U277/AVERAGE(U272:U283),"")</f>
        <v>1.08328888135247</v>
      </c>
      <c r="W277" s="23" t="str">
        <f aca="false">IF(ISNUMBER(Tabelle1!J284),(0.5*Tabelle1!J272+SUM(Tabelle1!J273:J283)+0.5*Tabelle1!J284)/12,"")</f>
        <v/>
      </c>
      <c r="X277" s="24" t="str">
        <f aca="false">IFERROR(Tabelle1!J278/W277,"")</f>
        <v/>
      </c>
      <c r="Y277" s="24" t="n">
        <f aca="false">IFERROR(AVERAGEIFS($X$7:$X$294,$B$7:$B$294,$B277,$A$7:$A$294,"&gt;="&amp;EDATE($A277,-12*'Seasonal Factors'!$E$4),$A$7:$A$294,"&lt;="&amp;EDATE($A277,12*'Seasonal Factors'!$E$4)),"")</f>
        <v>1.01190527651268</v>
      </c>
      <c r="Z277" s="24" t="n">
        <f aca="false">IFERROR(Y277/AVERAGE(Y272:Y283),"")</f>
        <v>1.01178004300907</v>
      </c>
      <c r="AA277" s="23" t="str">
        <f aca="false">IF(ISNUMBER(Tabelle1!K284),(0.5*Tabelle1!K272+SUM(Tabelle1!K273:K283)+0.5*Tabelle1!K284)/12,"")</f>
        <v/>
      </c>
      <c r="AB277" s="24" t="str">
        <f aca="false">IFERROR(Tabelle1!K278/AA277,"")</f>
        <v/>
      </c>
      <c r="AC277" s="24" t="n">
        <f aca="false">IFERROR(AVERAGEIFS($AB$7:$AB$294,$B$7:$B$294,$B277,$A$7:$A$294,"&gt;="&amp;EDATE($A277,-12*'Seasonal Factors'!$E$4),$A$7:$A$294,"&lt;="&amp;EDATE($A277,12*'Seasonal Factors'!$E$4)),"")</f>
        <v>1.0136390771906</v>
      </c>
      <c r="AD277" s="24" t="n">
        <f aca="false">IFERROR(AC277/AVERAGE(AC272:AC283),"")</f>
        <v>1.01408640667703</v>
      </c>
      <c r="AE277" s="23" t="str">
        <f aca="false">IF(ISNUMBER(Tabelle1!L284),(0.5*Tabelle1!L272+SUM(Tabelle1!L273:L283)+0.5*Tabelle1!L284)/12,"")</f>
        <v/>
      </c>
      <c r="AF277" s="24" t="str">
        <f aca="false">IFERROR(Tabelle1!L278/AE277,"")</f>
        <v/>
      </c>
      <c r="AG277" s="24" t="n">
        <f aca="false">IFERROR(AVERAGEIFS($AF$7:$AF$294,$B$7:$B$294,$B277,$A$7:$A$294,"&gt;="&amp;EDATE($A277,-12*'Seasonal Factors'!$E$4),$A$7:$A$294,"&lt;="&amp;EDATE($A277,12*'Seasonal Factors'!$E$4)),"")</f>
        <v>0.941952633058398</v>
      </c>
      <c r="AH277" s="24" t="n">
        <f aca="false">IFERROR(AG277/AVERAGE(AG272:AG283),"")</f>
        <v>0.935756952148619</v>
      </c>
      <c r="AI277" s="23" t="str">
        <f aca="false">IF(ISNUMBER(Tabelle1!M284),(0.5*Tabelle1!M272+SUM(Tabelle1!M273:M283)+0.5*Tabelle1!M284)/12,"")</f>
        <v/>
      </c>
      <c r="AJ277" s="24" t="str">
        <f aca="false">IFERROR(Tabelle1!M278/AI277,"")</f>
        <v/>
      </c>
      <c r="AK277" s="24" t="n">
        <f aca="false">IFERROR(AVERAGEIFS($AJ$7:$AJ$294,$B$7:$B$294,$B277,$A$7:$A$294,"&gt;="&amp;EDATE($A277,-12*'Seasonal Factors'!$E$4),$A$7:$A$294,"&lt;="&amp;EDATE($A277,12*'Seasonal Factors'!$E$4)),"")</f>
        <v>1.01575903286346</v>
      </c>
      <c r="AL277" s="24" t="n">
        <f aca="false">IFERROR(AK277/AVERAGE(AK272:AK283),"")</f>
        <v>1.01468457231669</v>
      </c>
      <c r="AM277" s="23" t="str">
        <f aca="false">IF(ISNUMBER(Tabelle1!N284),(0.5*Tabelle1!N272+SUM(Tabelle1!N273:N283)+0.5*Tabelle1!N284)/12,"")</f>
        <v/>
      </c>
      <c r="AN277" s="24" t="str">
        <f aca="false">IFERROR(Tabelle1!N278/AM277,"")</f>
        <v/>
      </c>
      <c r="AO277" s="24" t="n">
        <f aca="false">IFERROR(AVERAGEIFS($AN$7:$AN$294,$B$7:$B$294,$B277,$A$7:$A$294,"&gt;="&amp;EDATE($A277,-12*'Seasonal Factors'!$E$4),$A$7:$A$294,"&lt;="&amp;EDATE($A277,12*'Seasonal Factors'!$E$4)),"")</f>
        <v>1.00812547594765</v>
      </c>
      <c r="AP277" s="24" t="n">
        <f aca="false">IFERROR(AO277/AVERAGE(AO272:AO283),"")</f>
        <v>1.00788813565478</v>
      </c>
      <c r="AQ277" s="23" t="str">
        <f aca="false">IF(ISNUMBER(Tabelle1!O284),(0.5*Tabelle1!O272+SUM(Tabelle1!O273:O283)+0.5*Tabelle1!O284)/12,"")</f>
        <v/>
      </c>
      <c r="AR277" s="24" t="str">
        <f aca="false">IFERROR(Tabelle1!O278/AQ277,"")</f>
        <v/>
      </c>
      <c r="AS277" s="24" t="n">
        <f aca="false">IFERROR(AVERAGEIFS($AR$7:$AR$294,$B$7:$B$294,$B277,$A$7:$A$294,"&gt;="&amp;EDATE($A277,-12*'Seasonal Factors'!$E$4),$A$7:$A$294,"&lt;="&amp;EDATE($A277,12*'Seasonal Factors'!$E$4)),"")</f>
        <v>0.997744544786663</v>
      </c>
      <c r="AT277" s="24" t="n">
        <f aca="false">IFERROR(AS277/AVERAGE(AS272:AS283),"")</f>
        <v>0.997114091855516</v>
      </c>
      <c r="AU277" s="23" t="str">
        <f aca="false">IF(ISNUMBER(Tabelle1!P284),(0.5*Tabelle1!P272+SUM(Tabelle1!P273:P283)+0.5*Tabelle1!P284)/12,"")</f>
        <v/>
      </c>
      <c r="AV277" s="24" t="str">
        <f aca="false">IFERROR(Tabelle1!P278/AU277,"")</f>
        <v/>
      </c>
      <c r="AW277" s="24" t="n">
        <f aca="false">IFERROR(AVERAGEIFS($AV$7:$AV$294,$B$7:$B$294,$B277,$A$7:$A$294,"&gt;="&amp;EDATE($A277,-12*'Seasonal Factors'!$E$4),$A$7:$A$294,"&lt;="&amp;EDATE($A277,12*'Seasonal Factors'!$E$4)),"")</f>
        <v>1.00093023235686</v>
      </c>
      <c r="AX277" s="24" t="n">
        <f aca="false">IFERROR(AW277/AVERAGE(AW272:AW283),"")</f>
        <v>1.00036599472181</v>
      </c>
      <c r="AY277" s="23" t="str">
        <f aca="false">IF(ISNUMBER(Tabelle1!Q284),(0.5*Tabelle1!Q272+SUM(Tabelle1!Q273:Q283)+0.5*Tabelle1!Q284)/12,"")</f>
        <v/>
      </c>
      <c r="AZ277" s="24" t="str">
        <f aca="false">IFERROR(Tabelle1!Q278/AY277,"")</f>
        <v/>
      </c>
      <c r="BA277" s="24" t="n">
        <f aca="false">IFERROR(AVERAGEIFS($AZ$7:$AZ$294,$B$7:$B$294,$B277,$A$7:$A$294,"&gt;="&amp;EDATE($A277,-12*'Seasonal Factors'!$E$4),$A$7:$A$294,"&lt;="&amp;EDATE($A277,12*'Seasonal Factors'!$E$4)),"")</f>
        <v>1.00617248654503</v>
      </c>
      <c r="BB277" s="24" t="n">
        <f aca="false">IFERROR(BA277/AVERAGE(BA272:BA283),"")</f>
        <v>1.00577214658613</v>
      </c>
      <c r="BC277" s="23" t="str">
        <f aca="false">IF(ISNUMBER(Tabelle1!R284),(0.5*Tabelle1!R272+SUM(Tabelle1!R273:R283)+0.5*Tabelle1!R284)/12,"")</f>
        <v/>
      </c>
      <c r="BD277" s="24" t="str">
        <f aca="false">IFERROR(Tabelle1!R278/BC277,"")</f>
        <v/>
      </c>
      <c r="BE277" s="24" t="n">
        <f aca="false">IFERROR(AVERAGEIFS($BD$7:$BD$294,$B$7:$B$294,$B277,$A$7:$A$294,"&gt;="&amp;EDATE($A277,-12*'Seasonal Factors'!$E$4),$A$7:$A$294,"&lt;="&amp;EDATE($A277,12*'Seasonal Factors'!$E$4)),"")</f>
        <v>1.00270255142635</v>
      </c>
      <c r="BF277" s="24" t="n">
        <f aca="false">IFERROR(BE277/AVERAGE(BE272:BE283),"")</f>
        <v>1.00267420951557</v>
      </c>
      <c r="BG277" s="23" t="str">
        <f aca="false">IF(ISNUMBER(Tabelle1!S284),(0.5*Tabelle1!S272+SUM(Tabelle1!S273:S283)+0.5*Tabelle1!S284)/12,"")</f>
        <v/>
      </c>
      <c r="BH277" s="24" t="str">
        <f aca="false">IFERROR(Tabelle1!S278/BG277,"")</f>
        <v/>
      </c>
      <c r="BI277" s="24" t="n">
        <f aca="false">IFERROR(AVERAGEIFS($BH$7:$BH$294,$B$7:$B$294,$B277,$A$7:$A$294,"&gt;="&amp;EDATE($A277,-12*'Seasonal Factors'!$E$4),$A$7:$A$294,"&lt;="&amp;EDATE($A277,12*'Seasonal Factors'!$E$4)),"")</f>
        <v>1.04579183586313</v>
      </c>
      <c r="BJ277" s="24" t="n">
        <f aca="false">IFERROR(BI277/AVERAGE(BI272:BI283),"")</f>
        <v>1.04491954184406</v>
      </c>
    </row>
    <row r="278" customFormat="false" ht="15" hidden="false" customHeight="false" outlineLevel="0" collapsed="false">
      <c r="A278" s="20" t="n">
        <v>46265</v>
      </c>
      <c r="B278" s="22" t="n">
        <f aca="false">MONTH(A278)</f>
        <v>8</v>
      </c>
      <c r="C278" s="23" t="str">
        <f aca="false">IF(ISNUMBER(Tabelle1!E285),(0.5*Tabelle1!E273+SUM(Tabelle1!E274:E284)+0.5*Tabelle1!E285)/12,"")</f>
        <v/>
      </c>
      <c r="D278" s="24" t="str">
        <f aca="false">IFERROR(Tabelle1!E279/C278,"")</f>
        <v/>
      </c>
      <c r="E278" s="24" t="n">
        <f aca="false">IFERROR(AVERAGEIFS($D$7:$D$294,$B$7:$B$294,$B278,$A$7:$A$294,"&gt;="&amp;EDATE($A278,-12*'Seasonal Factors'!$E$4),$A$7:$A$294,"&lt;="&amp;EDATE($A278,12*'Seasonal Factors'!$E$4)),"")</f>
        <v>0.657335210821418</v>
      </c>
      <c r="F278" s="24" t="n">
        <f aca="false">IFERROR(E278/AVERAGE(E273:E284),"")</f>
        <v>0.661465280630967</v>
      </c>
      <c r="G278" s="23" t="str">
        <f aca="false">IF(ISNUMBER(Tabelle1!F285),(0.5*Tabelle1!F273+SUM(Tabelle1!F274:F284)+0.5*Tabelle1!F285)/12,"")</f>
        <v/>
      </c>
      <c r="H278" s="24" t="str">
        <f aca="false">IFERROR(Tabelle1!F279/G278,"")</f>
        <v/>
      </c>
      <c r="I278" s="24" t="n">
        <f aca="false">IFERROR(AVERAGEIFS($H$7:$H$294,$B$7:$B$294,$B278,$A$7:$A$294,"&gt;="&amp;EDATE($A278,-12*'Seasonal Factors'!$E$4),$A$7:$A$294,"&lt;="&amp;EDATE($A278,12*'Seasonal Factors'!$E$4)),"")</f>
        <v>1.61224863542834</v>
      </c>
      <c r="J278" s="24" t="n">
        <f aca="false">IFERROR(I278/AVERAGE(I273:I284),"")</f>
        <v>1.60618529610952</v>
      </c>
      <c r="K278" s="23" t="str">
        <f aca="false">IF(ISNUMBER(Tabelle1!G285),(0.5*Tabelle1!G273+SUM(Tabelle1!G274:G284)+0.5*Tabelle1!G285)/12,"")</f>
        <v/>
      </c>
      <c r="L278" s="24" t="str">
        <f aca="false">IFERROR(Tabelle1!G279/K278,"")</f>
        <v/>
      </c>
      <c r="M278" s="24" t="n">
        <f aca="false">IFERROR(AVERAGEIFS($L$7:$L$294,$B$7:$B$294,$B278,$A$7:$A$294,"&gt;="&amp;EDATE($A278,-12*'Seasonal Factors'!$E$4),$A$7:$A$294,"&lt;="&amp;EDATE($A278,12*'Seasonal Factors'!$E$4)),"")</f>
        <v>1.02236052214899</v>
      </c>
      <c r="N278" s="24" t="n">
        <f aca="false">IFERROR(M278/AVERAGE(M273:M284),"")</f>
        <v>1.02215693955003</v>
      </c>
      <c r="O278" s="23" t="str">
        <f aca="false">IF(ISNUMBER(Tabelle1!H285),(0.5*Tabelle1!H273+SUM(Tabelle1!H274:H284)+0.5*Tabelle1!H285)/12,"")</f>
        <v/>
      </c>
      <c r="P278" s="24" t="str">
        <f aca="false">IFERROR(Tabelle1!H279/O278,"")</f>
        <v/>
      </c>
      <c r="Q278" s="24" t="n">
        <f aca="false">IFERROR(AVERAGEIFS($P$7:$P$294,$B$7:$B$294,$B278,$A$7:$A$294,"&gt;="&amp;EDATE($A278,-12*'Seasonal Factors'!$E$4),$A$7:$A$294,"&lt;="&amp;EDATE($A278,12*'Seasonal Factors'!$E$4)),"")</f>
        <v>1.06666842640008</v>
      </c>
      <c r="R278" s="24" t="n">
        <f aca="false">IFERROR(Q278/AVERAGE(Q273:Q284),"")</f>
        <v>1.06621079128379</v>
      </c>
      <c r="S278" s="23" t="str">
        <f aca="false">IF(ISNUMBER(Tabelle1!I285),(0.5*Tabelle1!I273+SUM(Tabelle1!I274:I284)+0.5*Tabelle1!I285)/12,"")</f>
        <v/>
      </c>
      <c r="T278" s="24" t="str">
        <f aca="false">IFERROR(Tabelle1!I279/S278,"")</f>
        <v/>
      </c>
      <c r="U278" s="24" t="n">
        <f aca="false">IFERROR(AVERAGEIFS($T$7:$T$294,$B$7:$B$294,$B278,$A$7:$A$294,"&gt;="&amp;EDATE($A278,-12*'Seasonal Factors'!$E$4),$A$7:$A$294,"&lt;="&amp;EDATE($A278,12*'Seasonal Factors'!$E$4)),"")</f>
        <v>1.0226578504001</v>
      </c>
      <c r="V278" s="24" t="n">
        <f aca="false">IFERROR(U278/AVERAGE(U273:U284),"")</f>
        <v>1.02199293944664</v>
      </c>
      <c r="W278" s="23" t="str">
        <f aca="false">IF(ISNUMBER(Tabelle1!J285),(0.5*Tabelle1!J273+SUM(Tabelle1!J274:J284)+0.5*Tabelle1!J285)/12,"")</f>
        <v/>
      </c>
      <c r="X278" s="24" t="str">
        <f aca="false">IFERROR(Tabelle1!J279/W278,"")</f>
        <v/>
      </c>
      <c r="Y278" s="24" t="n">
        <f aca="false">IFERROR(AVERAGEIFS($X$7:$X$294,$B$7:$B$294,$B278,$A$7:$A$294,"&gt;="&amp;EDATE($A278,-12*'Seasonal Factors'!$E$4),$A$7:$A$294,"&lt;="&amp;EDATE($A278,12*'Seasonal Factors'!$E$4)),"")</f>
        <v>1.08100539846374</v>
      </c>
      <c r="Z278" s="24" t="n">
        <f aca="false">IFERROR(Y278/AVERAGE(Y273:Y284),"")</f>
        <v>1.08163048539978</v>
      </c>
      <c r="AA278" s="23" t="str">
        <f aca="false">IF(ISNUMBER(Tabelle1!K285),(0.5*Tabelle1!K273+SUM(Tabelle1!K274:K284)+0.5*Tabelle1!K285)/12,"")</f>
        <v/>
      </c>
      <c r="AB278" s="24" t="str">
        <f aca="false">IFERROR(Tabelle1!K279/AA278,"")</f>
        <v/>
      </c>
      <c r="AC278" s="24" t="n">
        <f aca="false">IFERROR(AVERAGEIFS($AB$7:$AB$294,$B$7:$B$294,$B278,$A$7:$A$294,"&gt;="&amp;EDATE($A278,-12*'Seasonal Factors'!$E$4),$A$7:$A$294,"&lt;="&amp;EDATE($A278,12*'Seasonal Factors'!$E$4)),"")</f>
        <v>1.03398209872289</v>
      </c>
      <c r="AD278" s="24" t="n">
        <f aca="false">IFERROR(AC278/AVERAGE(AC273:AC284),"")</f>
        <v>1.03415822347956</v>
      </c>
      <c r="AE278" s="23" t="str">
        <f aca="false">IF(ISNUMBER(Tabelle1!L285),(0.5*Tabelle1!L273+SUM(Tabelle1!L274:L284)+0.5*Tabelle1!L285)/12,"")</f>
        <v/>
      </c>
      <c r="AF278" s="24" t="str">
        <f aca="false">IFERROR(Tabelle1!L279/AE278,"")</f>
        <v/>
      </c>
      <c r="AG278" s="24" t="n">
        <f aca="false">IFERROR(AVERAGEIFS($AF$7:$AF$294,$B$7:$B$294,$B278,$A$7:$A$294,"&gt;="&amp;EDATE($A278,-12*'Seasonal Factors'!$E$4),$A$7:$A$294,"&lt;="&amp;EDATE($A278,12*'Seasonal Factors'!$E$4)),"")</f>
        <v>1.01183492957174</v>
      </c>
      <c r="AH278" s="24" t="n">
        <f aca="false">IFERROR(AG278/AVERAGE(AG273:AG284),"")</f>
        <v>1.00731695414232</v>
      </c>
      <c r="AI278" s="23" t="str">
        <f aca="false">IF(ISNUMBER(Tabelle1!M285),(0.5*Tabelle1!M273+SUM(Tabelle1!M274:M284)+0.5*Tabelle1!M285)/12,"")</f>
        <v/>
      </c>
      <c r="AJ278" s="24" t="str">
        <f aca="false">IFERROR(Tabelle1!M279/AI278,"")</f>
        <v/>
      </c>
      <c r="AK278" s="24" t="n">
        <f aca="false">IFERROR(AVERAGEIFS($AJ$7:$AJ$294,$B$7:$B$294,$B278,$A$7:$A$294,"&gt;="&amp;EDATE($A278,-12*'Seasonal Factors'!$E$4),$A$7:$A$294,"&lt;="&amp;EDATE($A278,12*'Seasonal Factors'!$E$4)),"")</f>
        <v>0.993870575024157</v>
      </c>
      <c r="AL278" s="24" t="n">
        <f aca="false">IFERROR(AK278/AVERAGE(AK273:AK284),"")</f>
        <v>0.992948186126045</v>
      </c>
      <c r="AM278" s="23" t="str">
        <f aca="false">IF(ISNUMBER(Tabelle1!N285),(0.5*Tabelle1!N273+SUM(Tabelle1!N274:N284)+0.5*Tabelle1!N285)/12,"")</f>
        <v/>
      </c>
      <c r="AN278" s="24" t="str">
        <f aca="false">IFERROR(Tabelle1!N279/AM278,"")</f>
        <v/>
      </c>
      <c r="AO278" s="24" t="n">
        <f aca="false">IFERROR(AVERAGEIFS($AN$7:$AN$294,$B$7:$B$294,$B278,$A$7:$A$294,"&gt;="&amp;EDATE($A278,-12*'Seasonal Factors'!$E$4),$A$7:$A$294,"&lt;="&amp;EDATE($A278,12*'Seasonal Factors'!$E$4)),"")</f>
        <v>1.02467994195982</v>
      </c>
      <c r="AP278" s="24" t="n">
        <f aca="false">IFERROR(AO278/AVERAGE(AO273:AO284),"")</f>
        <v>1.02474457957167</v>
      </c>
      <c r="AQ278" s="23" t="str">
        <f aca="false">IF(ISNUMBER(Tabelle1!O285),(0.5*Tabelle1!O273+SUM(Tabelle1!O274:O284)+0.5*Tabelle1!O285)/12,"")</f>
        <v/>
      </c>
      <c r="AR278" s="24" t="str">
        <f aca="false">IFERROR(Tabelle1!O279/AQ278,"")</f>
        <v/>
      </c>
      <c r="AS278" s="24" t="n">
        <f aca="false">IFERROR(AVERAGEIFS($AR$7:$AR$294,$B$7:$B$294,$B278,$A$7:$A$294,"&gt;="&amp;EDATE($A278,-12*'Seasonal Factors'!$E$4),$A$7:$A$294,"&lt;="&amp;EDATE($A278,12*'Seasonal Factors'!$E$4)),"")</f>
        <v>1.01155384898046</v>
      </c>
      <c r="AT278" s="24" t="n">
        <f aca="false">IFERROR(AS278/AVERAGE(AS273:AS284),"")</f>
        <v>1.01103310449874</v>
      </c>
      <c r="AU278" s="23" t="str">
        <f aca="false">IF(ISNUMBER(Tabelle1!P285),(0.5*Tabelle1!P273+SUM(Tabelle1!P274:P284)+0.5*Tabelle1!P285)/12,"")</f>
        <v/>
      </c>
      <c r="AV278" s="24" t="str">
        <f aca="false">IFERROR(Tabelle1!P279/AU278,"")</f>
        <v/>
      </c>
      <c r="AW278" s="24" t="n">
        <f aca="false">IFERROR(AVERAGEIFS($AV$7:$AV$294,$B$7:$B$294,$B278,$A$7:$A$294,"&gt;="&amp;EDATE($A278,-12*'Seasonal Factors'!$E$4),$A$7:$A$294,"&lt;="&amp;EDATE($A278,12*'Seasonal Factors'!$E$4)),"")</f>
        <v>0.997273577847722</v>
      </c>
      <c r="AX278" s="24" t="n">
        <f aca="false">IFERROR(AW278/AVERAGE(AW273:AW284),"")</f>
        <v>0.996816655138464</v>
      </c>
      <c r="AY278" s="23" t="str">
        <f aca="false">IF(ISNUMBER(Tabelle1!Q285),(0.5*Tabelle1!Q273+SUM(Tabelle1!Q274:Q284)+0.5*Tabelle1!Q285)/12,"")</f>
        <v/>
      </c>
      <c r="AZ278" s="24" t="str">
        <f aca="false">IFERROR(Tabelle1!Q279/AY278,"")</f>
        <v/>
      </c>
      <c r="BA278" s="24" t="n">
        <f aca="false">IFERROR(AVERAGEIFS($AZ$7:$AZ$294,$B$7:$B$294,$B278,$A$7:$A$294,"&gt;="&amp;EDATE($A278,-12*'Seasonal Factors'!$E$4),$A$7:$A$294,"&lt;="&amp;EDATE($A278,12*'Seasonal Factors'!$E$4)),"")</f>
        <v>1.00720870865363</v>
      </c>
      <c r="BB278" s="24" t="n">
        <f aca="false">IFERROR(BA278/AVERAGE(BA273:BA284),"")</f>
        <v>1.00682307729587</v>
      </c>
      <c r="BC278" s="23" t="str">
        <f aca="false">IF(ISNUMBER(Tabelle1!R285),(0.5*Tabelle1!R273+SUM(Tabelle1!R274:R284)+0.5*Tabelle1!R285)/12,"")</f>
        <v/>
      </c>
      <c r="BD278" s="24" t="str">
        <f aca="false">IFERROR(Tabelle1!R279/BC278,"")</f>
        <v/>
      </c>
      <c r="BE278" s="24" t="n">
        <f aca="false">IFERROR(AVERAGEIFS($BD$7:$BD$294,$B$7:$B$294,$B278,$A$7:$A$294,"&gt;="&amp;EDATE($A278,-12*'Seasonal Factors'!$E$4),$A$7:$A$294,"&lt;="&amp;EDATE($A278,12*'Seasonal Factors'!$E$4)),"")</f>
        <v>0.998952266555692</v>
      </c>
      <c r="BF278" s="24" t="n">
        <f aca="false">IFERROR(BE278/AVERAGE(BE273:BE284),"")</f>
        <v>0.998996515342049</v>
      </c>
      <c r="BG278" s="23" t="str">
        <f aca="false">IF(ISNUMBER(Tabelle1!S285),(0.5*Tabelle1!S273+SUM(Tabelle1!S274:S284)+0.5*Tabelle1!S285)/12,"")</f>
        <v/>
      </c>
      <c r="BH278" s="24" t="str">
        <f aca="false">IFERROR(Tabelle1!S279/BG278,"")</f>
        <v/>
      </c>
      <c r="BI278" s="24" t="n">
        <f aca="false">IFERROR(AVERAGEIFS($BH$7:$BH$294,$B$7:$B$294,$B278,$A$7:$A$294,"&gt;="&amp;EDATE($A278,-12*'Seasonal Factors'!$E$4),$A$7:$A$294,"&lt;="&amp;EDATE($A278,12*'Seasonal Factors'!$E$4)),"")</f>
        <v>0.986353496094622</v>
      </c>
      <c r="BJ278" s="24" t="n">
        <f aca="false">IFERROR(BI278/AVERAGE(BI273:BI284),"")</f>
        <v>0.985480707669546</v>
      </c>
    </row>
    <row r="279" customFormat="false" ht="15" hidden="false" customHeight="false" outlineLevel="0" collapsed="false">
      <c r="A279" s="20" t="n">
        <v>46295</v>
      </c>
      <c r="B279" s="22" t="n">
        <f aca="false">MONTH(A279)</f>
        <v>9</v>
      </c>
      <c r="C279" s="23" t="str">
        <f aca="false">IF(ISNUMBER(Tabelle1!E286),(0.5*Tabelle1!E274+SUM(Tabelle1!E275:E285)+0.5*Tabelle1!E286)/12,"")</f>
        <v/>
      </c>
      <c r="D279" s="24" t="str">
        <f aca="false">IFERROR(Tabelle1!E280/C279,"")</f>
        <v/>
      </c>
      <c r="E279" s="24" t="n">
        <f aca="false">IFERROR(AVERAGEIFS($D$7:$D$294,$B$7:$B$294,$B279,$A$7:$A$294,"&gt;="&amp;EDATE($A279,-12*'Seasonal Factors'!$E$4),$A$7:$A$294,"&lt;="&amp;EDATE($A279,12*'Seasonal Factors'!$E$4)),"")</f>
        <v>0.625771606027424</v>
      </c>
      <c r="F279" s="24" t="n">
        <f aca="false">IFERROR(E279/AVERAGE(E274:E285),"")</f>
        <v>0.629182165365876</v>
      </c>
      <c r="G279" s="23" t="str">
        <f aca="false">IF(ISNUMBER(Tabelle1!F286),(0.5*Tabelle1!F274+SUM(Tabelle1!F275:F285)+0.5*Tabelle1!F286)/12,"")</f>
        <v/>
      </c>
      <c r="H279" s="24" t="str">
        <f aca="false">IFERROR(Tabelle1!F280/G279,"")</f>
        <v/>
      </c>
      <c r="I279" s="24" t="n">
        <f aca="false">IFERROR(AVERAGEIFS($H$7:$H$294,$B$7:$B$294,$B279,$A$7:$A$294,"&gt;="&amp;EDATE($A279,-12*'Seasonal Factors'!$E$4),$A$7:$A$294,"&lt;="&amp;EDATE($A279,12*'Seasonal Factors'!$E$4)),"")</f>
        <v>1.33019437334538</v>
      </c>
      <c r="J279" s="24" t="n">
        <f aca="false">IFERROR(I279/AVERAGE(I274:I285),"")</f>
        <v>1.32472973856823</v>
      </c>
      <c r="K279" s="23" t="str">
        <f aca="false">IF(ISNUMBER(Tabelle1!G286),(0.5*Tabelle1!G274+SUM(Tabelle1!G275:G285)+0.5*Tabelle1!G286)/12,"")</f>
        <v/>
      </c>
      <c r="L279" s="24" t="str">
        <f aca="false">IFERROR(Tabelle1!G280/K279,"")</f>
        <v/>
      </c>
      <c r="M279" s="24" t="n">
        <f aca="false">IFERROR(AVERAGEIFS($L$7:$L$294,$B$7:$B$294,$B279,$A$7:$A$294,"&gt;="&amp;EDATE($A279,-12*'Seasonal Factors'!$E$4),$A$7:$A$294,"&lt;="&amp;EDATE($A279,12*'Seasonal Factors'!$E$4)),"")</f>
        <v>0.996464761157772</v>
      </c>
      <c r="N279" s="24" t="n">
        <f aca="false">IFERROR(M279/AVERAGE(M274:M285),"")</f>
        <v>0.996496157916544</v>
      </c>
      <c r="O279" s="23" t="str">
        <f aca="false">IF(ISNUMBER(Tabelle1!H286),(0.5*Tabelle1!H274+SUM(Tabelle1!H275:H285)+0.5*Tabelle1!H286)/12,"")</f>
        <v/>
      </c>
      <c r="P279" s="24" t="str">
        <f aca="false">IFERROR(Tabelle1!H280/O279,"")</f>
        <v/>
      </c>
      <c r="Q279" s="24" t="n">
        <f aca="false">IFERROR(AVERAGEIFS($P$7:$P$294,$B$7:$B$294,$B279,$A$7:$A$294,"&gt;="&amp;EDATE($A279,-12*'Seasonal Factors'!$E$4),$A$7:$A$294,"&lt;="&amp;EDATE($A279,12*'Seasonal Factors'!$E$4)),"")</f>
        <v>1.04648126097706</v>
      </c>
      <c r="R279" s="24" t="n">
        <f aca="false">IFERROR(Q279/AVERAGE(Q274:Q285),"")</f>
        <v>1.04682837969128</v>
      </c>
      <c r="S279" s="23" t="str">
        <f aca="false">IF(ISNUMBER(Tabelle1!I286),(0.5*Tabelle1!I274+SUM(Tabelle1!I275:I285)+0.5*Tabelle1!I286)/12,"")</f>
        <v/>
      </c>
      <c r="T279" s="24" t="str">
        <f aca="false">IFERROR(Tabelle1!I280/S279,"")</f>
        <v/>
      </c>
      <c r="U279" s="24" t="n">
        <f aca="false">IFERROR(AVERAGEIFS($T$7:$T$294,$B$7:$B$294,$B279,$A$7:$A$294,"&gt;="&amp;EDATE($A279,-12*'Seasonal Factors'!$E$4),$A$7:$A$294,"&lt;="&amp;EDATE($A279,12*'Seasonal Factors'!$E$4)),"")</f>
        <v>0.926990482052884</v>
      </c>
      <c r="V279" s="24" t="n">
        <f aca="false">IFERROR(U279/AVERAGE(U274:U285),"")</f>
        <v>0.925425886694798</v>
      </c>
      <c r="W279" s="23" t="str">
        <f aca="false">IF(ISNUMBER(Tabelle1!J286),(0.5*Tabelle1!J274+SUM(Tabelle1!J275:J285)+0.5*Tabelle1!J286)/12,"")</f>
        <v/>
      </c>
      <c r="X279" s="24" t="str">
        <f aca="false">IFERROR(Tabelle1!J280/W279,"")</f>
        <v/>
      </c>
      <c r="Y279" s="24" t="n">
        <f aca="false">IFERROR(AVERAGEIFS($X$7:$X$294,$B$7:$B$294,$B279,$A$7:$A$294,"&gt;="&amp;EDATE($A279,-12*'Seasonal Factors'!$E$4),$A$7:$A$294,"&lt;="&amp;EDATE($A279,12*'Seasonal Factors'!$E$4)),"")</f>
        <v>1.07031486040316</v>
      </c>
      <c r="Z279" s="24" t="n">
        <f aca="false">IFERROR(Y279/AVERAGE(Y274:Y285),"")</f>
        <v>1.07195357040017</v>
      </c>
      <c r="AA279" s="23" t="str">
        <f aca="false">IF(ISNUMBER(Tabelle1!K286),(0.5*Tabelle1!K274+SUM(Tabelle1!K275:K285)+0.5*Tabelle1!K286)/12,"")</f>
        <v/>
      </c>
      <c r="AB279" s="24" t="str">
        <f aca="false">IFERROR(Tabelle1!K280/AA279,"")</f>
        <v/>
      </c>
      <c r="AC279" s="24" t="n">
        <f aca="false">IFERROR(AVERAGEIFS($AB$7:$AB$294,$B$7:$B$294,$B279,$A$7:$A$294,"&gt;="&amp;EDATE($A279,-12*'Seasonal Factors'!$E$4),$A$7:$A$294,"&lt;="&amp;EDATE($A279,12*'Seasonal Factors'!$E$4)),"")</f>
        <v>1.02323725842924</v>
      </c>
      <c r="AD279" s="24" t="n">
        <f aca="false">IFERROR(AC279/AVERAGE(AC274:AC285),"")</f>
        <v>1.02379546804677</v>
      </c>
      <c r="AE279" s="23" t="str">
        <f aca="false">IF(ISNUMBER(Tabelle1!L286),(0.5*Tabelle1!L274+SUM(Tabelle1!L275:L285)+0.5*Tabelle1!L286)/12,"")</f>
        <v/>
      </c>
      <c r="AF279" s="24" t="str">
        <f aca="false">IFERROR(Tabelle1!L280/AE279,"")</f>
        <v/>
      </c>
      <c r="AG279" s="24" t="n">
        <f aca="false">IFERROR(AVERAGEIFS($AF$7:$AF$294,$B$7:$B$294,$B279,$A$7:$A$294,"&gt;="&amp;EDATE($A279,-12*'Seasonal Factors'!$E$4),$A$7:$A$294,"&lt;="&amp;EDATE($A279,12*'Seasonal Factors'!$E$4)),"")</f>
        <v>0.936250232712873</v>
      </c>
      <c r="AH279" s="24" t="n">
        <f aca="false">IFERROR(AG279/AVERAGE(AG274:AG285),"")</f>
        <v>0.933347568577611</v>
      </c>
      <c r="AI279" s="23" t="str">
        <f aca="false">IF(ISNUMBER(Tabelle1!M286),(0.5*Tabelle1!M274+SUM(Tabelle1!M275:M285)+0.5*Tabelle1!M286)/12,"")</f>
        <v/>
      </c>
      <c r="AJ279" s="24" t="str">
        <f aca="false">IFERROR(Tabelle1!M280/AI279,"")</f>
        <v/>
      </c>
      <c r="AK279" s="24" t="n">
        <f aca="false">IFERROR(AVERAGEIFS($AJ$7:$AJ$294,$B$7:$B$294,$B279,$A$7:$A$294,"&gt;="&amp;EDATE($A279,-12*'Seasonal Factors'!$E$4),$A$7:$A$294,"&lt;="&amp;EDATE($A279,12*'Seasonal Factors'!$E$4)),"")</f>
        <v>0.991228753017687</v>
      </c>
      <c r="AL279" s="24" t="n">
        <f aca="false">IFERROR(AK279/AVERAGE(AK274:AK285),"")</f>
        <v>0.990729940218458</v>
      </c>
      <c r="AM279" s="23" t="str">
        <f aca="false">IF(ISNUMBER(Tabelle1!N286),(0.5*Tabelle1!N274+SUM(Tabelle1!N275:N285)+0.5*Tabelle1!N286)/12,"")</f>
        <v/>
      </c>
      <c r="AN279" s="24" t="str">
        <f aca="false">IFERROR(Tabelle1!N280/AM279,"")</f>
        <v/>
      </c>
      <c r="AO279" s="24" t="n">
        <f aca="false">IFERROR(AVERAGEIFS($AN$7:$AN$294,$B$7:$B$294,$B279,$A$7:$A$294,"&gt;="&amp;EDATE($A279,-12*'Seasonal Factors'!$E$4),$A$7:$A$294,"&lt;="&amp;EDATE($A279,12*'Seasonal Factors'!$E$4)),"")</f>
        <v>1.02601063419662</v>
      </c>
      <c r="AP279" s="24" t="n">
        <f aca="false">IFERROR(AO279/AVERAGE(AO274:AO285),"")</f>
        <v>1.02685413076223</v>
      </c>
      <c r="AQ279" s="23" t="str">
        <f aca="false">IF(ISNUMBER(Tabelle1!O286),(0.5*Tabelle1!O274+SUM(Tabelle1!O275:O285)+0.5*Tabelle1!O286)/12,"")</f>
        <v/>
      </c>
      <c r="AR279" s="24" t="str">
        <f aca="false">IFERROR(Tabelle1!O280/AQ279,"")</f>
        <v/>
      </c>
      <c r="AS279" s="24" t="n">
        <f aca="false">IFERROR(AVERAGEIFS($AR$7:$AR$294,$B$7:$B$294,$B279,$A$7:$A$294,"&gt;="&amp;EDATE($A279,-12*'Seasonal Factors'!$E$4),$A$7:$A$294,"&lt;="&amp;EDATE($A279,12*'Seasonal Factors'!$E$4)),"")</f>
        <v>1.00340362985675</v>
      </c>
      <c r="AT279" s="24" t="n">
        <f aca="false">IFERROR(AS279/AVERAGE(AS274:AS285),"")</f>
        <v>1.00308102359188</v>
      </c>
      <c r="AU279" s="23" t="str">
        <f aca="false">IF(ISNUMBER(Tabelle1!P286),(0.5*Tabelle1!P274+SUM(Tabelle1!P275:P285)+0.5*Tabelle1!P286)/12,"")</f>
        <v/>
      </c>
      <c r="AV279" s="24" t="str">
        <f aca="false">IFERROR(Tabelle1!P280/AU279,"")</f>
        <v/>
      </c>
      <c r="AW279" s="24" t="n">
        <f aca="false">IFERROR(AVERAGEIFS($AV$7:$AV$294,$B$7:$B$294,$B279,$A$7:$A$294,"&gt;="&amp;EDATE($A279,-12*'Seasonal Factors'!$E$4),$A$7:$A$294,"&lt;="&amp;EDATE($A279,12*'Seasonal Factors'!$E$4)),"")</f>
        <v>1.00173381569551</v>
      </c>
      <c r="AX279" s="24" t="n">
        <f aca="false">IFERROR(AW279/AVERAGE(AW274:AW285),"")</f>
        <v>1.00140468451275</v>
      </c>
      <c r="AY279" s="23" t="str">
        <f aca="false">IF(ISNUMBER(Tabelle1!Q286),(0.5*Tabelle1!Q274+SUM(Tabelle1!Q275:Q285)+0.5*Tabelle1!Q286)/12,"")</f>
        <v/>
      </c>
      <c r="AZ279" s="24" t="str">
        <f aca="false">IFERROR(Tabelle1!Q280/AY279,"")</f>
        <v/>
      </c>
      <c r="BA279" s="24" t="n">
        <f aca="false">IFERROR(AVERAGEIFS($AZ$7:$AZ$294,$B$7:$B$294,$B279,$A$7:$A$294,"&gt;="&amp;EDATE($A279,-12*'Seasonal Factors'!$E$4),$A$7:$A$294,"&lt;="&amp;EDATE($A279,12*'Seasonal Factors'!$E$4)),"")</f>
        <v>1.01032212033381</v>
      </c>
      <c r="BB279" s="24" t="n">
        <f aca="false">IFERROR(BA279/AVERAGE(BA274:BA285),"")</f>
        <v>1.00994058689679</v>
      </c>
      <c r="BC279" s="23" t="str">
        <f aca="false">IF(ISNUMBER(Tabelle1!R286),(0.5*Tabelle1!R274+SUM(Tabelle1!R275:R285)+0.5*Tabelle1!R286)/12,"")</f>
        <v/>
      </c>
      <c r="BD279" s="24" t="str">
        <f aca="false">IFERROR(Tabelle1!R280/BC279,"")</f>
        <v/>
      </c>
      <c r="BE279" s="24" t="n">
        <f aca="false">IFERROR(AVERAGEIFS($BD$7:$BD$294,$B$7:$B$294,$B279,$A$7:$A$294,"&gt;="&amp;EDATE($A279,-12*'Seasonal Factors'!$E$4),$A$7:$A$294,"&lt;="&amp;EDATE($A279,12*'Seasonal Factors'!$E$4)),"")</f>
        <v>0.982686405376702</v>
      </c>
      <c r="BF279" s="24" t="n">
        <f aca="false">IFERROR(BE279/AVERAGE(BE274:BE285),"")</f>
        <v>0.982746656578984</v>
      </c>
      <c r="BG279" s="23" t="str">
        <f aca="false">IF(ISNUMBER(Tabelle1!S286),(0.5*Tabelle1!S274+SUM(Tabelle1!S275:S285)+0.5*Tabelle1!S286)/12,"")</f>
        <v/>
      </c>
      <c r="BH279" s="24" t="str">
        <f aca="false">IFERROR(Tabelle1!S280/BG279,"")</f>
        <v/>
      </c>
      <c r="BI279" s="24" t="n">
        <f aca="false">IFERROR(AVERAGEIFS($BH$7:$BH$294,$B$7:$B$294,$B279,$A$7:$A$294,"&gt;="&amp;EDATE($A279,-12*'Seasonal Factors'!$E$4),$A$7:$A$294,"&lt;="&amp;EDATE($A279,12*'Seasonal Factors'!$E$4)),"")</f>
        <v>0.951147099846455</v>
      </c>
      <c r="BJ279" s="24" t="n">
        <f aca="false">IFERROR(BI279/AVERAGE(BI274:BI285),"")</f>
        <v>0.950545354218754</v>
      </c>
    </row>
    <row r="280" customFormat="false" ht="15" hidden="false" customHeight="false" outlineLevel="0" collapsed="false">
      <c r="A280" s="20" t="n">
        <v>46326</v>
      </c>
      <c r="B280" s="22" t="n">
        <f aca="false">MONTH(A280)</f>
        <v>10</v>
      </c>
      <c r="C280" s="23" t="str">
        <f aca="false">IF(ISNUMBER(Tabelle1!E287),(0.5*Tabelle1!E275+SUM(Tabelle1!E276:E286)+0.5*Tabelle1!E287)/12,"")</f>
        <v/>
      </c>
      <c r="D280" s="24" t="str">
        <f aca="false">IFERROR(Tabelle1!E281/C280,"")</f>
        <v/>
      </c>
      <c r="E280" s="24" t="n">
        <f aca="false">IFERROR(AVERAGEIFS($D$7:$D$294,$B$7:$B$294,$B280,$A$7:$A$294,"&gt;="&amp;EDATE($A280,-12*'Seasonal Factors'!$E$4),$A$7:$A$294,"&lt;="&amp;EDATE($A280,12*'Seasonal Factors'!$E$4)),"")</f>
        <v>0.568516573137195</v>
      </c>
      <c r="F280" s="24" t="n">
        <f aca="false">IFERROR(E280/AVERAGE(E275:E286),"")</f>
        <v>0.572084558463847</v>
      </c>
      <c r="G280" s="23" t="str">
        <f aca="false">IF(ISNUMBER(Tabelle1!F287),(0.5*Tabelle1!F275+SUM(Tabelle1!F276:F286)+0.5*Tabelle1!F287)/12,"")</f>
        <v/>
      </c>
      <c r="H280" s="24" t="str">
        <f aca="false">IFERROR(Tabelle1!F281/G280,"")</f>
        <v/>
      </c>
      <c r="I280" s="24" t="n">
        <f aca="false">IFERROR(AVERAGEIFS($H$7:$H$294,$B$7:$B$294,$B280,$A$7:$A$294,"&gt;="&amp;EDATE($A280,-12*'Seasonal Factors'!$E$4),$A$7:$A$294,"&lt;="&amp;EDATE($A280,12*'Seasonal Factors'!$E$4)),"")</f>
        <v>0.549878850513945</v>
      </c>
      <c r="J280" s="24" t="n">
        <f aca="false">IFERROR(I280/AVERAGE(I275:I286),"")</f>
        <v>0.552460132042894</v>
      </c>
      <c r="K280" s="23" t="str">
        <f aca="false">IF(ISNUMBER(Tabelle1!G287),(0.5*Tabelle1!G275+SUM(Tabelle1!G276:G286)+0.5*Tabelle1!G287)/12,"")</f>
        <v/>
      </c>
      <c r="L280" s="24" t="str">
        <f aca="false">IFERROR(Tabelle1!G281/K280,"")</f>
        <v/>
      </c>
      <c r="M280" s="24" t="n">
        <f aca="false">IFERROR(AVERAGEIFS($L$7:$L$294,$B$7:$B$294,$B280,$A$7:$A$294,"&gt;="&amp;EDATE($A280,-12*'Seasonal Factors'!$E$4),$A$7:$A$294,"&lt;="&amp;EDATE($A280,12*'Seasonal Factors'!$E$4)),"")</f>
        <v>1.01577163738713</v>
      </c>
      <c r="N280" s="24" t="n">
        <f aca="false">IFERROR(M280/AVERAGE(M275:M286),"")</f>
        <v>1.01620517963673</v>
      </c>
      <c r="O280" s="23" t="str">
        <f aca="false">IF(ISNUMBER(Tabelle1!H287),(0.5*Tabelle1!H275+SUM(Tabelle1!H276:H286)+0.5*Tabelle1!H287)/12,"")</f>
        <v/>
      </c>
      <c r="P280" s="24" t="str">
        <f aca="false">IFERROR(Tabelle1!H281/O280,"")</f>
        <v/>
      </c>
      <c r="Q280" s="24" t="n">
        <f aca="false">IFERROR(AVERAGEIFS($P$7:$P$294,$B$7:$B$294,$B280,$A$7:$A$294,"&gt;="&amp;EDATE($A280,-12*'Seasonal Factors'!$E$4),$A$7:$A$294,"&lt;="&amp;EDATE($A280,12*'Seasonal Factors'!$E$4)),"")</f>
        <v>1.09138145321245</v>
      </c>
      <c r="R280" s="24" t="n">
        <f aca="false">IFERROR(Q280/AVERAGE(Q275:Q286),"")</f>
        <v>1.09189581798989</v>
      </c>
      <c r="S280" s="23" t="str">
        <f aca="false">IF(ISNUMBER(Tabelle1!I287),(0.5*Tabelle1!I275+SUM(Tabelle1!I276:I286)+0.5*Tabelle1!I287)/12,"")</f>
        <v/>
      </c>
      <c r="T280" s="24" t="str">
        <f aca="false">IFERROR(Tabelle1!I281/S280,"")</f>
        <v/>
      </c>
      <c r="U280" s="24" t="n">
        <f aca="false">IFERROR(AVERAGEIFS($T$7:$T$294,$B$7:$B$294,$B280,$A$7:$A$294,"&gt;="&amp;EDATE($A280,-12*'Seasonal Factors'!$E$4),$A$7:$A$294,"&lt;="&amp;EDATE($A280,12*'Seasonal Factors'!$E$4)),"")</f>
        <v>0.917320384602151</v>
      </c>
      <c r="V280" s="24" t="n">
        <f aca="false">IFERROR(U280/AVERAGE(U275:U286),"")</f>
        <v>0.916659969845916</v>
      </c>
      <c r="W280" s="23" t="str">
        <f aca="false">IF(ISNUMBER(Tabelle1!J287),(0.5*Tabelle1!J275+SUM(Tabelle1!J276:J286)+0.5*Tabelle1!J287)/12,"")</f>
        <v/>
      </c>
      <c r="X280" s="24" t="str">
        <f aca="false">IFERROR(Tabelle1!J281/W280,"")</f>
        <v/>
      </c>
      <c r="Y280" s="24" t="n">
        <f aca="false">IFERROR(AVERAGEIFS($X$7:$X$294,$B$7:$B$294,$B280,$A$7:$A$294,"&gt;="&amp;EDATE($A280,-12*'Seasonal Factors'!$E$4),$A$7:$A$294,"&lt;="&amp;EDATE($A280,12*'Seasonal Factors'!$E$4)),"")</f>
        <v>1.00778174901856</v>
      </c>
      <c r="Z280" s="24" t="n">
        <f aca="false">IFERROR(Y280/AVERAGE(Y275:Y286),"")</f>
        <v>1.01011987574581</v>
      </c>
      <c r="AA280" s="23" t="str">
        <f aca="false">IF(ISNUMBER(Tabelle1!K287),(0.5*Tabelle1!K275+SUM(Tabelle1!K276:K286)+0.5*Tabelle1!K287)/12,"")</f>
        <v/>
      </c>
      <c r="AB280" s="24" t="str">
        <f aca="false">IFERROR(Tabelle1!K281/AA280,"")</f>
        <v/>
      </c>
      <c r="AC280" s="24" t="n">
        <f aca="false">IFERROR(AVERAGEIFS($AB$7:$AB$294,$B$7:$B$294,$B280,$A$7:$A$294,"&gt;="&amp;EDATE($A280,-12*'Seasonal Factors'!$E$4),$A$7:$A$294,"&lt;="&amp;EDATE($A280,12*'Seasonal Factors'!$E$4)),"")</f>
        <v>1.02777355336799</v>
      </c>
      <c r="AD280" s="24" t="n">
        <f aca="false">IFERROR(AC280/AVERAGE(AC275:AC286),"")</f>
        <v>1.02875729804129</v>
      </c>
      <c r="AE280" s="23" t="str">
        <f aca="false">IF(ISNUMBER(Tabelle1!L287),(0.5*Tabelle1!L275+SUM(Tabelle1!L276:L286)+0.5*Tabelle1!L287)/12,"")</f>
        <v/>
      </c>
      <c r="AF280" s="24" t="str">
        <f aca="false">IFERROR(Tabelle1!L281/AE280,"")</f>
        <v/>
      </c>
      <c r="AG280" s="24" t="n">
        <f aca="false">IFERROR(AVERAGEIFS($AF$7:$AF$294,$B$7:$B$294,$B280,$A$7:$A$294,"&gt;="&amp;EDATE($A280,-12*'Seasonal Factors'!$E$4),$A$7:$A$294,"&lt;="&amp;EDATE($A280,12*'Seasonal Factors'!$E$4)),"")</f>
        <v>1.05940188665092</v>
      </c>
      <c r="AH280" s="24" t="n">
        <f aca="false">IFERROR(AG280/AVERAGE(AG275:AG286),"")</f>
        <v>1.05819268215128</v>
      </c>
      <c r="AI280" s="23" t="str">
        <f aca="false">IF(ISNUMBER(Tabelle1!M287),(0.5*Tabelle1!M275+SUM(Tabelle1!M276:M286)+0.5*Tabelle1!M287)/12,"")</f>
        <v/>
      </c>
      <c r="AJ280" s="24" t="str">
        <f aca="false">IFERROR(Tabelle1!M281/AI280,"")</f>
        <v/>
      </c>
      <c r="AK280" s="24" t="n">
        <f aca="false">IFERROR(AVERAGEIFS($AJ$7:$AJ$294,$B$7:$B$294,$B280,$A$7:$A$294,"&gt;="&amp;EDATE($A280,-12*'Seasonal Factors'!$E$4),$A$7:$A$294,"&lt;="&amp;EDATE($A280,12*'Seasonal Factors'!$E$4)),"")</f>
        <v>0.994661917877753</v>
      </c>
      <c r="AL280" s="24" t="n">
        <f aca="false">IFERROR(AK280/AVERAGE(AK275:AK286),"")</f>
        <v>0.994696443920737</v>
      </c>
      <c r="AM280" s="23" t="str">
        <f aca="false">IF(ISNUMBER(Tabelle1!N287),(0.5*Tabelle1!N275+SUM(Tabelle1!N276:N286)+0.5*Tabelle1!N287)/12,"")</f>
        <v/>
      </c>
      <c r="AN280" s="24" t="str">
        <f aca="false">IFERROR(Tabelle1!N281/AM280,"")</f>
        <v/>
      </c>
      <c r="AO280" s="24" t="n">
        <f aca="false">IFERROR(AVERAGEIFS($AN$7:$AN$294,$B$7:$B$294,$B280,$A$7:$A$294,"&gt;="&amp;EDATE($A280,-12*'Seasonal Factors'!$E$4),$A$7:$A$294,"&lt;="&amp;EDATE($A280,12*'Seasonal Factors'!$E$4)),"")</f>
        <v>1.03571448832768</v>
      </c>
      <c r="AP280" s="24" t="n">
        <f aca="false">IFERROR(AO280/AVERAGE(AO275:AO286),"")</f>
        <v>1.03708209253937</v>
      </c>
      <c r="AQ280" s="23" t="str">
        <f aca="false">IF(ISNUMBER(Tabelle1!O287),(0.5*Tabelle1!O275+SUM(Tabelle1!O276:O286)+0.5*Tabelle1!O287)/12,"")</f>
        <v/>
      </c>
      <c r="AR280" s="24" t="str">
        <f aca="false">IFERROR(Tabelle1!O281/AQ280,"")</f>
        <v/>
      </c>
      <c r="AS280" s="24" t="n">
        <f aca="false">IFERROR(AVERAGEIFS($AR$7:$AR$294,$B$7:$B$294,$B280,$A$7:$A$294,"&gt;="&amp;EDATE($A280,-12*'Seasonal Factors'!$E$4),$A$7:$A$294,"&lt;="&amp;EDATE($A280,12*'Seasonal Factors'!$E$4)),"")</f>
        <v>1.0137305136766</v>
      </c>
      <c r="AT280" s="24" t="n">
        <f aca="false">IFERROR(AS280/AVERAGE(AS275:AS286),"")</f>
        <v>1.01345708891949</v>
      </c>
      <c r="AU280" s="23" t="str">
        <f aca="false">IF(ISNUMBER(Tabelle1!P287),(0.5*Tabelle1!P275+SUM(Tabelle1!P276:P286)+0.5*Tabelle1!P287)/12,"")</f>
        <v/>
      </c>
      <c r="AV280" s="24" t="str">
        <f aca="false">IFERROR(Tabelle1!P281/AU280,"")</f>
        <v/>
      </c>
      <c r="AW280" s="24" t="n">
        <f aca="false">IFERROR(AVERAGEIFS($AV$7:$AV$294,$B$7:$B$294,$B280,$A$7:$A$294,"&gt;="&amp;EDATE($A280,-12*'Seasonal Factors'!$E$4),$A$7:$A$294,"&lt;="&amp;EDATE($A280,12*'Seasonal Factors'!$E$4)),"")</f>
        <v>0.999418865560358</v>
      </c>
      <c r="AX280" s="24" t="n">
        <f aca="false">IFERROR(AW280/AVERAGE(AW275:AW286),"")</f>
        <v>0.99914835495589</v>
      </c>
      <c r="AY280" s="23" t="str">
        <f aca="false">IF(ISNUMBER(Tabelle1!Q287),(0.5*Tabelle1!Q275+SUM(Tabelle1!Q276:Q286)+0.5*Tabelle1!Q287)/12,"")</f>
        <v/>
      </c>
      <c r="AZ280" s="24" t="str">
        <f aca="false">IFERROR(Tabelle1!Q281/AY280,"")</f>
        <v/>
      </c>
      <c r="BA280" s="24" t="n">
        <f aca="false">IFERROR(AVERAGEIFS($AZ$7:$AZ$294,$B$7:$B$294,$B280,$A$7:$A$294,"&gt;="&amp;EDATE($A280,-12*'Seasonal Factors'!$E$4),$A$7:$A$294,"&lt;="&amp;EDATE($A280,12*'Seasonal Factors'!$E$4)),"")</f>
        <v>1.0069389360193</v>
      </c>
      <c r="BB280" s="24" t="n">
        <f aca="false">IFERROR(BA280/AVERAGE(BA275:BA286),"")</f>
        <v>1.00656736848166</v>
      </c>
      <c r="BC280" s="23" t="str">
        <f aca="false">IF(ISNUMBER(Tabelle1!R287),(0.5*Tabelle1!R275+SUM(Tabelle1!R276:R286)+0.5*Tabelle1!R287)/12,"")</f>
        <v/>
      </c>
      <c r="BD280" s="24" t="str">
        <f aca="false">IFERROR(Tabelle1!R281/BC280,"")</f>
        <v/>
      </c>
      <c r="BE280" s="24" t="n">
        <f aca="false">IFERROR(AVERAGEIFS($BD$7:$BD$294,$B$7:$B$294,$B280,$A$7:$A$294,"&gt;="&amp;EDATE($A280,-12*'Seasonal Factors'!$E$4),$A$7:$A$294,"&lt;="&amp;EDATE($A280,12*'Seasonal Factors'!$E$4)),"")</f>
        <v>0.956885085592855</v>
      </c>
      <c r="BF280" s="24" t="n">
        <f aca="false">IFERROR(BE280/AVERAGE(BE275:BE286),"")</f>
        <v>0.956864603929863</v>
      </c>
      <c r="BG280" s="23" t="str">
        <f aca="false">IF(ISNUMBER(Tabelle1!S287),(0.5*Tabelle1!S275+SUM(Tabelle1!S276:S286)+0.5*Tabelle1!S287)/12,"")</f>
        <v/>
      </c>
      <c r="BH280" s="24" t="str">
        <f aca="false">IFERROR(Tabelle1!S281/BG280,"")</f>
        <v/>
      </c>
      <c r="BI280" s="24" t="n">
        <f aca="false">IFERROR(AVERAGEIFS($BH$7:$BH$294,$B$7:$B$294,$B280,$A$7:$A$294,"&gt;="&amp;EDATE($A280,-12*'Seasonal Factors'!$E$4),$A$7:$A$294,"&lt;="&amp;EDATE($A280,12*'Seasonal Factors'!$E$4)),"")</f>
        <v>1.00172032056973</v>
      </c>
      <c r="BJ280" s="24" t="n">
        <f aca="false">IFERROR(BI280/AVERAGE(BI275:BI286),"")</f>
        <v>1.00120634823185</v>
      </c>
    </row>
    <row r="281" customFormat="false" ht="15" hidden="false" customHeight="false" outlineLevel="0" collapsed="false">
      <c r="A281" s="20" t="n">
        <v>46356</v>
      </c>
      <c r="B281" s="22" t="n">
        <f aca="false">MONTH(A281)</f>
        <v>11</v>
      </c>
      <c r="C281" s="23" t="str">
        <f aca="false">IF(ISNUMBER(Tabelle1!E288),(0.5*Tabelle1!E276+SUM(Tabelle1!E277:E287)+0.5*Tabelle1!E288)/12,"")</f>
        <v/>
      </c>
      <c r="D281" s="24" t="str">
        <f aca="false">IFERROR(Tabelle1!E282/C281,"")</f>
        <v/>
      </c>
      <c r="E281" s="24" t="n">
        <f aca="false">IFERROR(AVERAGEIFS($D$7:$D$294,$B$7:$B$294,$B281,$A$7:$A$294,"&gt;="&amp;EDATE($A281,-12*'Seasonal Factors'!$E$4),$A$7:$A$294,"&lt;="&amp;EDATE($A281,12*'Seasonal Factors'!$E$4)),"")</f>
        <v>0.680311311874666</v>
      </c>
      <c r="F281" s="24" t="n">
        <f aca="false">IFERROR(E281/AVERAGE(E276:E287),"")</f>
        <v>0.686919079389072</v>
      </c>
      <c r="G281" s="23" t="str">
        <f aca="false">IF(ISNUMBER(Tabelle1!F288),(0.5*Tabelle1!F276+SUM(Tabelle1!F277:F287)+0.5*Tabelle1!F288)/12,"")</f>
        <v/>
      </c>
      <c r="H281" s="24" t="str">
        <f aca="false">IFERROR(Tabelle1!F282/G281,"")</f>
        <v/>
      </c>
      <c r="I281" s="24" t="n">
        <f aca="false">IFERROR(AVERAGEIFS($H$7:$H$294,$B$7:$B$294,$B281,$A$7:$A$294,"&gt;="&amp;EDATE($A281,-12*'Seasonal Factors'!$E$4),$A$7:$A$294,"&lt;="&amp;EDATE($A281,12*'Seasonal Factors'!$E$4)),"")</f>
        <v>0.577803318959163</v>
      </c>
      <c r="J281" s="24" t="n">
        <f aca="false">IFERROR(I281/AVERAGE(I276:I287),"")</f>
        <v>0.582481584067331</v>
      </c>
      <c r="K281" s="23" t="str">
        <f aca="false">IF(ISNUMBER(Tabelle1!G288),(0.5*Tabelle1!G276+SUM(Tabelle1!G277:G287)+0.5*Tabelle1!G288)/12,"")</f>
        <v/>
      </c>
      <c r="L281" s="24" t="str">
        <f aca="false">IFERROR(Tabelle1!G282/K281,"")</f>
        <v/>
      </c>
      <c r="M281" s="24" t="n">
        <f aca="false">IFERROR(AVERAGEIFS($L$7:$L$294,$B$7:$B$294,$B281,$A$7:$A$294,"&gt;="&amp;EDATE($A281,-12*'Seasonal Factors'!$E$4),$A$7:$A$294,"&lt;="&amp;EDATE($A281,12*'Seasonal Factors'!$E$4)),"")</f>
        <v>0.963680688082869</v>
      </c>
      <c r="N281" s="24" t="n">
        <f aca="false">IFERROR(M281/AVERAGE(M276:M287),"")</f>
        <v>0.964675331302706</v>
      </c>
      <c r="O281" s="23" t="str">
        <f aca="false">IF(ISNUMBER(Tabelle1!H288),(0.5*Tabelle1!H276+SUM(Tabelle1!H277:H287)+0.5*Tabelle1!H288)/12,"")</f>
        <v/>
      </c>
      <c r="P281" s="24" t="str">
        <f aca="false">IFERROR(Tabelle1!H282/O281,"")</f>
        <v/>
      </c>
      <c r="Q281" s="24" t="n">
        <f aca="false">IFERROR(AVERAGEIFS($P$7:$P$294,$B$7:$B$294,$B281,$A$7:$A$294,"&gt;="&amp;EDATE($A281,-12*'Seasonal Factors'!$E$4),$A$7:$A$294,"&lt;="&amp;EDATE($A281,12*'Seasonal Factors'!$E$4)),"")</f>
        <v>1.0605029475865</v>
      </c>
      <c r="R281" s="24" t="n">
        <f aca="false">IFERROR(Q281/AVERAGE(Q276:Q287),"")</f>
        <v>1.06140206454688</v>
      </c>
      <c r="S281" s="23" t="str">
        <f aca="false">IF(ISNUMBER(Tabelle1!I288),(0.5*Tabelle1!I276+SUM(Tabelle1!I277:I287)+0.5*Tabelle1!I288)/12,"")</f>
        <v/>
      </c>
      <c r="T281" s="24" t="str">
        <f aca="false">IFERROR(Tabelle1!I282/S281,"")</f>
        <v/>
      </c>
      <c r="U281" s="24" t="n">
        <f aca="false">IFERROR(AVERAGEIFS($T$7:$T$294,$B$7:$B$294,$B281,$A$7:$A$294,"&gt;="&amp;EDATE($A281,-12*'Seasonal Factors'!$E$4),$A$7:$A$294,"&lt;="&amp;EDATE($A281,12*'Seasonal Factors'!$E$4)),"")</f>
        <v>0.940413813999546</v>
      </c>
      <c r="V281" s="24" t="n">
        <f aca="false">IFERROR(U281/AVERAGE(U276:U287),"")</f>
        <v>0.940478921513538</v>
      </c>
      <c r="W281" s="23" t="str">
        <f aca="false">IF(ISNUMBER(Tabelle1!J288),(0.5*Tabelle1!J276+SUM(Tabelle1!J277:J287)+0.5*Tabelle1!J288)/12,"")</f>
        <v/>
      </c>
      <c r="X281" s="24" t="str">
        <f aca="false">IFERROR(Tabelle1!J282/W281,"")</f>
        <v/>
      </c>
      <c r="Y281" s="24" t="n">
        <f aca="false">IFERROR(AVERAGEIFS($X$7:$X$294,$B$7:$B$294,$B281,$A$7:$A$294,"&gt;="&amp;EDATE($A281,-12*'Seasonal Factors'!$E$4),$A$7:$A$294,"&lt;="&amp;EDATE($A281,12*'Seasonal Factors'!$E$4)),"")</f>
        <v>0.999089969487235</v>
      </c>
      <c r="Z281" s="24" t="n">
        <f aca="false">IFERROR(Y281/AVERAGE(Y276:Y287),"")</f>
        <v>1.00208355708145</v>
      </c>
      <c r="AA281" s="23" t="str">
        <f aca="false">IF(ISNUMBER(Tabelle1!K288),(0.5*Tabelle1!K276+SUM(Tabelle1!K277:K287)+0.5*Tabelle1!K288)/12,"")</f>
        <v/>
      </c>
      <c r="AB281" s="24" t="str">
        <f aca="false">IFERROR(Tabelle1!K282/AA281,"")</f>
        <v/>
      </c>
      <c r="AC281" s="24" t="n">
        <f aca="false">IFERROR(AVERAGEIFS($AB$7:$AB$294,$B$7:$B$294,$B281,$A$7:$A$294,"&gt;="&amp;EDATE($A281,-12*'Seasonal Factors'!$E$4),$A$7:$A$294,"&lt;="&amp;EDATE($A281,12*'Seasonal Factors'!$E$4)),"")</f>
        <v>1.01586990714788</v>
      </c>
      <c r="AD281" s="24" t="n">
        <f aca="false">IFERROR(AC281/AVERAGE(AC276:AC287),"")</f>
        <v>1.01703870206263</v>
      </c>
      <c r="AE281" s="23" t="str">
        <f aca="false">IF(ISNUMBER(Tabelle1!L288),(0.5*Tabelle1!L276+SUM(Tabelle1!L277:L287)+0.5*Tabelle1!L288)/12,"")</f>
        <v/>
      </c>
      <c r="AF281" s="24" t="str">
        <f aca="false">IFERROR(Tabelle1!L282/AE281,"")</f>
        <v/>
      </c>
      <c r="AG281" s="24" t="n">
        <f aca="false">IFERROR(AVERAGEIFS($AF$7:$AF$294,$B$7:$B$294,$B281,$A$7:$A$294,"&gt;="&amp;EDATE($A281,-12*'Seasonal Factors'!$E$4),$A$7:$A$294,"&lt;="&amp;EDATE($A281,12*'Seasonal Factors'!$E$4)),"")</f>
        <v>1.07092874170862</v>
      </c>
      <c r="AH281" s="24" t="n">
        <f aca="false">IFERROR(AG281/AVERAGE(AG276:AG287),"")</f>
        <v>1.07132395440281</v>
      </c>
      <c r="AI281" s="23" t="str">
        <f aca="false">IF(ISNUMBER(Tabelle1!M288),(0.5*Tabelle1!M276+SUM(Tabelle1!M277:M287)+0.5*Tabelle1!M288)/12,"")</f>
        <v/>
      </c>
      <c r="AJ281" s="24" t="str">
        <f aca="false">IFERROR(Tabelle1!M282/AI281,"")</f>
        <v/>
      </c>
      <c r="AK281" s="24" t="n">
        <f aca="false">IFERROR(AVERAGEIFS($AJ$7:$AJ$294,$B$7:$B$294,$B281,$A$7:$A$294,"&gt;="&amp;EDATE($A281,-12*'Seasonal Factors'!$E$4),$A$7:$A$294,"&lt;="&amp;EDATE($A281,12*'Seasonal Factors'!$E$4)),"")</f>
        <v>0.988681957581514</v>
      </c>
      <c r="AL281" s="24" t="n">
        <f aca="false">IFERROR(AK281/AVERAGE(AK276:AK287),"")</f>
        <v>0.98909426196506</v>
      </c>
      <c r="AM281" s="23" t="str">
        <f aca="false">IF(ISNUMBER(Tabelle1!N288),(0.5*Tabelle1!N276+SUM(Tabelle1!N277:N287)+0.5*Tabelle1!N288)/12,"")</f>
        <v/>
      </c>
      <c r="AN281" s="24" t="str">
        <f aca="false">IFERROR(Tabelle1!N282/AM281,"")</f>
        <v/>
      </c>
      <c r="AO281" s="24" t="n">
        <f aca="false">IFERROR(AVERAGEIFS($AN$7:$AN$294,$B$7:$B$294,$B281,$A$7:$A$294,"&gt;="&amp;EDATE($A281,-12*'Seasonal Factors'!$E$4),$A$7:$A$294,"&lt;="&amp;EDATE($A281,12*'Seasonal Factors'!$E$4)),"")</f>
        <v>0.998596951108401</v>
      </c>
      <c r="AP281" s="24" t="n">
        <f aca="false">IFERROR(AO281/AVERAGE(AO276:AO287),"")</f>
        <v>1.00043012628782</v>
      </c>
      <c r="AQ281" s="23" t="str">
        <f aca="false">IF(ISNUMBER(Tabelle1!O288),(0.5*Tabelle1!O276+SUM(Tabelle1!O277:O287)+0.5*Tabelle1!O288)/12,"")</f>
        <v/>
      </c>
      <c r="AR281" s="24" t="str">
        <f aca="false">IFERROR(Tabelle1!O282/AQ281,"")</f>
        <v/>
      </c>
      <c r="AS281" s="24" t="n">
        <f aca="false">IFERROR(AVERAGEIFS($AR$7:$AR$294,$B$7:$B$294,$B281,$A$7:$A$294,"&gt;="&amp;EDATE($A281,-12*'Seasonal Factors'!$E$4),$A$7:$A$294,"&lt;="&amp;EDATE($A281,12*'Seasonal Factors'!$E$4)),"")</f>
        <v>1.01002920735124</v>
      </c>
      <c r="AT281" s="24" t="n">
        <f aca="false">IFERROR(AS281/AVERAGE(AS276:AS287),"")</f>
        <v>1.00990693947777</v>
      </c>
      <c r="AU281" s="23" t="str">
        <f aca="false">IF(ISNUMBER(Tabelle1!P288),(0.5*Tabelle1!P276+SUM(Tabelle1!P277:P287)+0.5*Tabelle1!P288)/12,"")</f>
        <v/>
      </c>
      <c r="AV281" s="24" t="str">
        <f aca="false">IFERROR(Tabelle1!P282/AU281,"")</f>
        <v/>
      </c>
      <c r="AW281" s="24" t="n">
        <f aca="false">IFERROR(AVERAGEIFS($AV$7:$AV$294,$B$7:$B$294,$B281,$A$7:$A$294,"&gt;="&amp;EDATE($A281,-12*'Seasonal Factors'!$E$4),$A$7:$A$294,"&lt;="&amp;EDATE($A281,12*'Seasonal Factors'!$E$4)),"")</f>
        <v>1.00227365158588</v>
      </c>
      <c r="AX281" s="24" t="n">
        <f aca="false">IFERROR(AW281/AVERAGE(AW276:AW287),"")</f>
        <v>1.00202123540366</v>
      </c>
      <c r="AY281" s="23" t="str">
        <f aca="false">IF(ISNUMBER(Tabelle1!Q288),(0.5*Tabelle1!Q276+SUM(Tabelle1!Q277:Q287)+0.5*Tabelle1!Q288)/12,"")</f>
        <v/>
      </c>
      <c r="AZ281" s="24" t="str">
        <f aca="false">IFERROR(Tabelle1!Q282/AY281,"")</f>
        <v/>
      </c>
      <c r="BA281" s="24" t="n">
        <f aca="false">IFERROR(AVERAGEIFS($AZ$7:$AZ$294,$B$7:$B$294,$B281,$A$7:$A$294,"&gt;="&amp;EDATE($A281,-12*'Seasonal Factors'!$E$4),$A$7:$A$294,"&lt;="&amp;EDATE($A281,12*'Seasonal Factors'!$E$4)),"")</f>
        <v>1.00793633724777</v>
      </c>
      <c r="BB281" s="24" t="n">
        <f aca="false">IFERROR(BA281/AVERAGE(BA276:BA287),"")</f>
        <v>1.00757210266733</v>
      </c>
      <c r="BC281" s="23" t="str">
        <f aca="false">IF(ISNUMBER(Tabelle1!R288),(0.5*Tabelle1!R276+SUM(Tabelle1!R277:R287)+0.5*Tabelle1!R288)/12,"")</f>
        <v/>
      </c>
      <c r="BD281" s="24" t="str">
        <f aca="false">IFERROR(Tabelle1!R282/BC281,"")</f>
        <v/>
      </c>
      <c r="BE281" s="24" t="n">
        <f aca="false">IFERROR(AVERAGEIFS($BD$7:$BD$294,$B$7:$B$294,$B281,$A$7:$A$294,"&gt;="&amp;EDATE($A281,-12*'Seasonal Factors'!$E$4),$A$7:$A$294,"&lt;="&amp;EDATE($A281,12*'Seasonal Factors'!$E$4)),"")</f>
        <v>0.952456893205467</v>
      </c>
      <c r="BF281" s="24" t="n">
        <f aca="false">IFERROR(BE281/AVERAGE(BE276:BE287),"")</f>
        <v>0.952429733373085</v>
      </c>
      <c r="BG281" s="23" t="str">
        <f aca="false">IF(ISNUMBER(Tabelle1!S288),(0.5*Tabelle1!S276+SUM(Tabelle1!S277:S287)+0.5*Tabelle1!S288)/12,"")</f>
        <v/>
      </c>
      <c r="BH281" s="24" t="str">
        <f aca="false">IFERROR(Tabelle1!S282/BG281,"")</f>
        <v/>
      </c>
      <c r="BI281" s="24" t="n">
        <f aca="false">IFERROR(AVERAGEIFS($BH$7:$BH$294,$B$7:$B$294,$B281,$A$7:$A$294,"&gt;="&amp;EDATE($A281,-12*'Seasonal Factors'!$E$4),$A$7:$A$294,"&lt;="&amp;EDATE($A281,12*'Seasonal Factors'!$E$4)),"")</f>
        <v>0.966006126350738</v>
      </c>
      <c r="BJ281" s="24" t="n">
        <f aca="false">IFERROR(BI281/AVERAGE(BI276:BI287),"")</f>
        <v>0.965642821705749</v>
      </c>
    </row>
    <row r="282" customFormat="false" ht="15" hidden="false" customHeight="false" outlineLevel="0" collapsed="false">
      <c r="A282" s="20" t="n">
        <v>46387</v>
      </c>
      <c r="B282" s="22" t="n">
        <f aca="false">MONTH(A282)</f>
        <v>12</v>
      </c>
      <c r="C282" s="23" t="str">
        <f aca="false">IF(ISNUMBER(Tabelle1!E289),(0.5*Tabelle1!E277+SUM(Tabelle1!E278:E288)+0.5*Tabelle1!E289)/12,"")</f>
        <v/>
      </c>
      <c r="D282" s="24" t="str">
        <f aca="false">IFERROR(Tabelle1!E283/C282,"")</f>
        <v/>
      </c>
      <c r="E282" s="24" t="n">
        <f aca="false">IFERROR(AVERAGEIFS($D$7:$D$294,$B$7:$B$294,$B282,$A$7:$A$294,"&gt;="&amp;EDATE($A282,-12*'Seasonal Factors'!$E$4),$A$7:$A$294,"&lt;="&amp;EDATE($A282,12*'Seasonal Factors'!$E$4)),"")</f>
        <v>0.889810358080999</v>
      </c>
      <c r="F282" s="24" t="n">
        <f aca="false">IFERROR(E282/AVERAGE(E277:E288),"")</f>
        <v>0.900856678912425</v>
      </c>
      <c r="G282" s="23" t="str">
        <f aca="false">IF(ISNUMBER(Tabelle1!F289),(0.5*Tabelle1!F277+SUM(Tabelle1!F278:F288)+0.5*Tabelle1!F289)/12,"")</f>
        <v/>
      </c>
      <c r="H282" s="24" t="str">
        <f aca="false">IFERROR(Tabelle1!F283/G282,"")</f>
        <v/>
      </c>
      <c r="I282" s="24" t="n">
        <f aca="false">IFERROR(AVERAGEIFS($H$7:$H$294,$B$7:$B$294,$B282,$A$7:$A$294,"&gt;="&amp;EDATE($A282,-12*'Seasonal Factors'!$E$4),$A$7:$A$294,"&lt;="&amp;EDATE($A282,12*'Seasonal Factors'!$E$4)),"")</f>
        <v>0.712926960276791</v>
      </c>
      <c r="J282" s="24" t="n">
        <f aca="false">IFERROR(I282/AVERAGE(I277:I288),"")</f>
        <v>0.718873088279471</v>
      </c>
      <c r="K282" s="23" t="str">
        <f aca="false">IF(ISNUMBER(Tabelle1!G289),(0.5*Tabelle1!G277+SUM(Tabelle1!G278:G288)+0.5*Tabelle1!G289)/12,"")</f>
        <v/>
      </c>
      <c r="L282" s="24" t="str">
        <f aca="false">IFERROR(Tabelle1!G283/K282,"")</f>
        <v/>
      </c>
      <c r="M282" s="24" t="n">
        <f aca="false">IFERROR(AVERAGEIFS($L$7:$L$294,$B$7:$B$294,$B282,$A$7:$A$294,"&gt;="&amp;EDATE($A282,-12*'Seasonal Factors'!$E$4),$A$7:$A$294,"&lt;="&amp;EDATE($A282,12*'Seasonal Factors'!$E$4)),"")</f>
        <v>1.0103553261302</v>
      </c>
      <c r="N282" s="24" t="n">
        <f aca="false">IFERROR(M282/AVERAGE(M277:M288),"")</f>
        <v>1.01156035303048</v>
      </c>
      <c r="O282" s="23" t="str">
        <f aca="false">IF(ISNUMBER(Tabelle1!H289),(0.5*Tabelle1!H277+SUM(Tabelle1!H278:H288)+0.5*Tabelle1!H289)/12,"")</f>
        <v/>
      </c>
      <c r="P282" s="24" t="str">
        <f aca="false">IFERROR(Tabelle1!H283/O282,"")</f>
        <v/>
      </c>
      <c r="Q282" s="24" t="n">
        <f aca="false">IFERROR(AVERAGEIFS($P$7:$P$294,$B$7:$B$294,$B282,$A$7:$A$294,"&gt;="&amp;EDATE($A282,-12*'Seasonal Factors'!$E$4),$A$7:$A$294,"&lt;="&amp;EDATE($A282,12*'Seasonal Factors'!$E$4)),"")</f>
        <v>0.976310346138402</v>
      </c>
      <c r="R282" s="24" t="n">
        <f aca="false">IFERROR(Q282/AVERAGE(Q277:Q288),"")</f>
        <v>0.979097524707472</v>
      </c>
      <c r="S282" s="23" t="str">
        <f aca="false">IF(ISNUMBER(Tabelle1!I289),(0.5*Tabelle1!I277+SUM(Tabelle1!I278:I288)+0.5*Tabelle1!I289)/12,"")</f>
        <v/>
      </c>
      <c r="T282" s="24" t="str">
        <f aca="false">IFERROR(Tabelle1!I283/S282,"")</f>
        <v/>
      </c>
      <c r="U282" s="24" t="n">
        <f aca="false">IFERROR(AVERAGEIFS($T$7:$T$294,$B$7:$B$294,$B282,$A$7:$A$294,"&gt;="&amp;EDATE($A282,-12*'Seasonal Factors'!$E$4),$A$7:$A$294,"&lt;="&amp;EDATE($A282,12*'Seasonal Factors'!$E$4)),"")</f>
        <v>1.00282313556582</v>
      </c>
      <c r="V282" s="24" t="n">
        <f aca="false">IFERROR(U282/AVERAGE(U277:U288),"")</f>
        <v>1.00450161372794</v>
      </c>
      <c r="W282" s="23" t="str">
        <f aca="false">IF(ISNUMBER(Tabelle1!J289),(0.5*Tabelle1!J277+SUM(Tabelle1!J278:J288)+0.5*Tabelle1!J289)/12,"")</f>
        <v/>
      </c>
      <c r="X282" s="24" t="str">
        <f aca="false">IFERROR(Tabelle1!J283/W282,"")</f>
        <v/>
      </c>
      <c r="Y282" s="24" t="n">
        <f aca="false">IFERROR(AVERAGEIFS($X$7:$X$294,$B$7:$B$294,$B282,$A$7:$A$294,"&gt;="&amp;EDATE($A282,-12*'Seasonal Factors'!$E$4),$A$7:$A$294,"&lt;="&amp;EDATE($A282,12*'Seasonal Factors'!$E$4)),"")</f>
        <v>0.939330067920068</v>
      </c>
      <c r="Z282" s="24" t="n">
        <f aca="false">IFERROR(Y282/AVERAGE(Y277:Y288),"")</f>
        <v>0.942816499840359</v>
      </c>
      <c r="AA282" s="23" t="str">
        <f aca="false">IF(ISNUMBER(Tabelle1!K289),(0.5*Tabelle1!K277+SUM(Tabelle1!K278:K288)+0.5*Tabelle1!K289)/12,"")</f>
        <v/>
      </c>
      <c r="AB282" s="24" t="str">
        <f aca="false">IFERROR(Tabelle1!K283/AA282,"")</f>
        <v/>
      </c>
      <c r="AC282" s="24" t="n">
        <f aca="false">IFERROR(AVERAGEIFS($AB$7:$AB$294,$B$7:$B$294,$B282,$A$7:$A$294,"&gt;="&amp;EDATE($A282,-12*'Seasonal Factors'!$E$4),$A$7:$A$294,"&lt;="&amp;EDATE($A282,12*'Seasonal Factors'!$E$4)),"")</f>
        <v>0.945103409391646</v>
      </c>
      <c r="AD282" s="24" t="n">
        <f aca="false">IFERROR(AC282/AVERAGE(AC277:AC288),"")</f>
        <v>0.947348804960644</v>
      </c>
      <c r="AE282" s="23" t="str">
        <f aca="false">IF(ISNUMBER(Tabelle1!L289),(0.5*Tabelle1!L277+SUM(Tabelle1!L278:L288)+0.5*Tabelle1!L289)/12,"")</f>
        <v/>
      </c>
      <c r="AF282" s="24" t="str">
        <f aca="false">IFERROR(Tabelle1!L283/AE282,"")</f>
        <v/>
      </c>
      <c r="AG282" s="24" t="n">
        <f aca="false">IFERROR(AVERAGEIFS($AF$7:$AF$294,$B$7:$B$294,$B282,$A$7:$A$294,"&gt;="&amp;EDATE($A282,-12*'Seasonal Factors'!$E$4),$A$7:$A$294,"&lt;="&amp;EDATE($A282,12*'Seasonal Factors'!$E$4)),"")</f>
        <v>1.09460986207853</v>
      </c>
      <c r="AH282" s="24" t="n">
        <f aca="false">IFERROR(AG282/AVERAGE(AG277:AG288),"")</f>
        <v>1.09669631700716</v>
      </c>
      <c r="AI282" s="23" t="str">
        <f aca="false">IF(ISNUMBER(Tabelle1!M289),(0.5*Tabelle1!M277+SUM(Tabelle1!M278:M288)+0.5*Tabelle1!M289)/12,"")</f>
        <v/>
      </c>
      <c r="AJ282" s="24" t="str">
        <f aca="false">IFERROR(Tabelle1!M283/AI282,"")</f>
        <v/>
      </c>
      <c r="AK282" s="24" t="n">
        <f aca="false">IFERROR(AVERAGEIFS($AJ$7:$AJ$294,$B$7:$B$294,$B282,$A$7:$A$294,"&gt;="&amp;EDATE($A282,-12*'Seasonal Factors'!$E$4),$A$7:$A$294,"&lt;="&amp;EDATE($A282,12*'Seasonal Factors'!$E$4)),"")</f>
        <v>0.980458948143239</v>
      </c>
      <c r="AL282" s="24" t="n">
        <f aca="false">IFERROR(AK282/AVERAGE(AK277:AK288),"")</f>
        <v>0.981445679772242</v>
      </c>
      <c r="AM282" s="23" t="str">
        <f aca="false">IF(ISNUMBER(Tabelle1!N289),(0.5*Tabelle1!N277+SUM(Tabelle1!N278:N288)+0.5*Tabelle1!N289)/12,"")</f>
        <v/>
      </c>
      <c r="AN282" s="24" t="str">
        <f aca="false">IFERROR(Tabelle1!N283/AM282,"")</f>
        <v/>
      </c>
      <c r="AO282" s="24" t="n">
        <f aca="false">IFERROR(AVERAGEIFS($AN$7:$AN$294,$B$7:$B$294,$B282,$A$7:$A$294,"&gt;="&amp;EDATE($A282,-12*'Seasonal Factors'!$E$4),$A$7:$A$294,"&lt;="&amp;EDATE($A282,12*'Seasonal Factors'!$E$4)),"")</f>
        <v>1.00690617078959</v>
      </c>
      <c r="AP282" s="24" t="n">
        <f aca="false">IFERROR(AO282/AVERAGE(AO277:AO288),"")</f>
        <v>1.00973623837738</v>
      </c>
      <c r="AQ282" s="23" t="str">
        <f aca="false">IF(ISNUMBER(Tabelle1!O289),(0.5*Tabelle1!O277+SUM(Tabelle1!O278:O288)+0.5*Tabelle1!O289)/12,"")</f>
        <v/>
      </c>
      <c r="AR282" s="24" t="str">
        <f aca="false">IFERROR(Tabelle1!O283/AQ282,"")</f>
        <v/>
      </c>
      <c r="AS282" s="24" t="n">
        <f aca="false">IFERROR(AVERAGEIFS($AR$7:$AR$294,$B$7:$B$294,$B282,$A$7:$A$294,"&gt;="&amp;EDATE($A282,-12*'Seasonal Factors'!$E$4),$A$7:$A$294,"&lt;="&amp;EDATE($A282,12*'Seasonal Factors'!$E$4)),"")</f>
        <v>1.01680669198835</v>
      </c>
      <c r="AT282" s="24" t="n">
        <f aca="false">IFERROR(AS282/AVERAGE(AS277:AS288),"")</f>
        <v>1.0167598478068</v>
      </c>
      <c r="AU282" s="23" t="str">
        <f aca="false">IF(ISNUMBER(Tabelle1!P289),(0.5*Tabelle1!P277+SUM(Tabelle1!P278:P288)+0.5*Tabelle1!P289)/12,"")</f>
        <v/>
      </c>
      <c r="AV282" s="24" t="str">
        <f aca="false">IFERROR(Tabelle1!P283/AU282,"")</f>
        <v/>
      </c>
      <c r="AW282" s="24" t="n">
        <f aca="false">IFERROR(AVERAGEIFS($AV$7:$AV$294,$B$7:$B$294,$B282,$A$7:$A$294,"&gt;="&amp;EDATE($A282,-12*'Seasonal Factors'!$E$4),$A$7:$A$294,"&lt;="&amp;EDATE($A282,12*'Seasonal Factors'!$E$4)),"")</f>
        <v>1.00534988517705</v>
      </c>
      <c r="AX282" s="24" t="n">
        <f aca="false">IFERROR(AW282/AVERAGE(AW277:AW288),"")</f>
        <v>1.00514813461966</v>
      </c>
      <c r="AY282" s="23" t="str">
        <f aca="false">IF(ISNUMBER(Tabelle1!Q289),(0.5*Tabelle1!Q277+SUM(Tabelle1!Q278:Q288)+0.5*Tabelle1!Q289)/12,"")</f>
        <v/>
      </c>
      <c r="AZ282" s="24" t="str">
        <f aca="false">IFERROR(Tabelle1!Q283/AY282,"")</f>
        <v/>
      </c>
      <c r="BA282" s="24" t="n">
        <f aca="false">IFERROR(AVERAGEIFS($AZ$7:$AZ$294,$B$7:$B$294,$B282,$A$7:$A$294,"&gt;="&amp;EDATE($A282,-12*'Seasonal Factors'!$E$4),$A$7:$A$294,"&lt;="&amp;EDATE($A282,12*'Seasonal Factors'!$E$4)),"")</f>
        <v>1.01329795403354</v>
      </c>
      <c r="BB282" s="24" t="n">
        <f aca="false">IFERROR(BA282/AVERAGE(BA277:BA288),"")</f>
        <v>1.01292048919457</v>
      </c>
      <c r="BC282" s="23" t="str">
        <f aca="false">IF(ISNUMBER(Tabelle1!R289),(0.5*Tabelle1!R277+SUM(Tabelle1!R278:R288)+0.5*Tabelle1!R289)/12,"")</f>
        <v/>
      </c>
      <c r="BD282" s="24" t="str">
        <f aca="false">IFERROR(Tabelle1!R283/BC282,"")</f>
        <v/>
      </c>
      <c r="BE282" s="24" t="n">
        <f aca="false">IFERROR(AVERAGEIFS($BD$7:$BD$294,$B$7:$B$294,$B282,$A$7:$A$294,"&gt;="&amp;EDATE($A282,-12*'Seasonal Factors'!$E$4),$A$7:$A$294,"&lt;="&amp;EDATE($A282,12*'Seasonal Factors'!$E$4)),"")</f>
        <v>0.917055608917126</v>
      </c>
      <c r="BF282" s="24" t="n">
        <f aca="false">IFERROR(BE282/AVERAGE(BE277:BE288),"")</f>
        <v>0.917038646395015</v>
      </c>
      <c r="BG282" s="23" t="str">
        <f aca="false">IF(ISNUMBER(Tabelle1!S289),(0.5*Tabelle1!S277+SUM(Tabelle1!S278:S288)+0.5*Tabelle1!S289)/12,"")</f>
        <v/>
      </c>
      <c r="BH282" s="24" t="str">
        <f aca="false">IFERROR(Tabelle1!S283/BG282,"")</f>
        <v/>
      </c>
      <c r="BI282" s="24" t="n">
        <f aca="false">IFERROR(AVERAGEIFS($BH$7:$BH$294,$B$7:$B$294,$B282,$A$7:$A$294,"&gt;="&amp;EDATE($A282,-12*'Seasonal Factors'!$E$4),$A$7:$A$294,"&lt;="&amp;EDATE($A282,12*'Seasonal Factors'!$E$4)),"")</f>
        <v>0.990882807319221</v>
      </c>
      <c r="BJ282" s="24" t="n">
        <f aca="false">IFERROR(BI282/AVERAGE(BI277:BI288),"")</f>
        <v>0.990785413240458</v>
      </c>
    </row>
    <row r="283" customFormat="false" ht="15" hidden="false" customHeight="false" outlineLevel="0" collapsed="false">
      <c r="A283" s="20" t="n">
        <v>46418</v>
      </c>
      <c r="B283" s="22" t="n">
        <f aca="false">MONTH(A283)</f>
        <v>1</v>
      </c>
      <c r="C283" s="23" t="str">
        <f aca="false">IF(ISNUMBER(Tabelle1!E290),(0.5*Tabelle1!E278+SUM(Tabelle1!E279:E289)+0.5*Tabelle1!E290)/12,"")</f>
        <v/>
      </c>
      <c r="D283" s="24" t="str">
        <f aca="false">IFERROR(Tabelle1!E284/C283,"")</f>
        <v/>
      </c>
      <c r="E283" s="24" t="n">
        <f aca="false">IFERROR(AVERAGEIFS($D$7:$D$294,$B$7:$B$294,$B283,$A$7:$A$294,"&gt;="&amp;EDATE($A283,-12*'Seasonal Factors'!$E$4),$A$7:$A$294,"&lt;="&amp;EDATE($A283,12*'Seasonal Factors'!$E$4)),"")</f>
        <v>0.773290268160758</v>
      </c>
      <c r="F283" s="24" t="n">
        <f aca="false">IFERROR(E283/AVERAGE(E278:E289),"")</f>
        <v>0.781900535446075</v>
      </c>
      <c r="G283" s="23" t="str">
        <f aca="false">IF(ISNUMBER(Tabelle1!F290),(0.5*Tabelle1!F278+SUM(Tabelle1!F279:F289)+0.5*Tabelle1!F290)/12,"")</f>
        <v/>
      </c>
      <c r="H283" s="24" t="str">
        <f aca="false">IFERROR(Tabelle1!F284/G283,"")</f>
        <v/>
      </c>
      <c r="I283" s="24" t="n">
        <f aca="false">IFERROR(AVERAGEIFS($H$7:$H$294,$B$7:$B$294,$B283,$A$7:$A$294,"&gt;="&amp;EDATE($A283,-12*'Seasonal Factors'!$E$4),$A$7:$A$294,"&lt;="&amp;EDATE($A283,12*'Seasonal Factors'!$E$4)),"")</f>
        <v>0.99971449098291</v>
      </c>
      <c r="J283" s="24" t="n">
        <f aca="false">IFERROR(I283/AVERAGE(I278:I289),"")</f>
        <v>1.01187590258255</v>
      </c>
      <c r="K283" s="23" t="str">
        <f aca="false">IF(ISNUMBER(Tabelle1!G290),(0.5*Tabelle1!G278+SUM(Tabelle1!G279:G289)+0.5*Tabelle1!G290)/12,"")</f>
        <v/>
      </c>
      <c r="L283" s="24" t="str">
        <f aca="false">IFERROR(Tabelle1!G284/K283,"")</f>
        <v/>
      </c>
      <c r="M283" s="24" t="n">
        <f aca="false">IFERROR(AVERAGEIFS($L$7:$L$294,$B$7:$B$294,$B283,$A$7:$A$294,"&gt;="&amp;EDATE($A283,-12*'Seasonal Factors'!$E$4),$A$7:$A$294,"&lt;="&amp;EDATE($A283,12*'Seasonal Factors'!$E$4)),"")</f>
        <v>1.02946935714524</v>
      </c>
      <c r="N283" s="24" t="n">
        <f aca="false">IFERROR(M283/AVERAGE(M278:M289),"")</f>
        <v>1.03060309133271</v>
      </c>
      <c r="O283" s="23" t="str">
        <f aca="false">IF(ISNUMBER(Tabelle1!H290),(0.5*Tabelle1!H278+SUM(Tabelle1!H279:H289)+0.5*Tabelle1!H290)/12,"")</f>
        <v/>
      </c>
      <c r="P283" s="24" t="str">
        <f aca="false">IFERROR(Tabelle1!H284/O283,"")</f>
        <v/>
      </c>
      <c r="Q283" s="24" t="n">
        <f aca="false">IFERROR(AVERAGEIFS($P$7:$P$294,$B$7:$B$294,$B283,$A$7:$A$294,"&gt;="&amp;EDATE($A283,-12*'Seasonal Factors'!$E$4),$A$7:$A$294,"&lt;="&amp;EDATE($A283,12*'Seasonal Factors'!$E$4)),"")</f>
        <v>0.862399819635087</v>
      </c>
      <c r="R283" s="24" t="n">
        <f aca="false">IFERROR(Q283/AVERAGE(Q278:Q289),"")</f>
        <v>0.864612083254562</v>
      </c>
      <c r="S283" s="23" t="str">
        <f aca="false">IF(ISNUMBER(Tabelle1!I290),(0.5*Tabelle1!I278+SUM(Tabelle1!I279:I289)+0.5*Tabelle1!I290)/12,"")</f>
        <v/>
      </c>
      <c r="T283" s="24" t="str">
        <f aca="false">IFERROR(Tabelle1!I284/S283,"")</f>
        <v/>
      </c>
      <c r="U283" s="24" t="n">
        <f aca="false">IFERROR(AVERAGEIFS($T$7:$T$294,$B$7:$B$294,$B283,$A$7:$A$294,"&gt;="&amp;EDATE($A283,-12*'Seasonal Factors'!$E$4),$A$7:$A$294,"&lt;="&amp;EDATE($A283,12*'Seasonal Factors'!$E$4)),"")</f>
        <v>1.09466065429218</v>
      </c>
      <c r="V283" s="24" t="n">
        <f aca="false">IFERROR(U283/AVERAGE(U278:U289),"")</f>
        <v>1.0960148419712</v>
      </c>
      <c r="W283" s="23" t="str">
        <f aca="false">IF(ISNUMBER(Tabelle1!J290),(0.5*Tabelle1!J278+SUM(Tabelle1!J279:J289)+0.5*Tabelle1!J290)/12,"")</f>
        <v/>
      </c>
      <c r="X283" s="24" t="str">
        <f aca="false">IFERROR(Tabelle1!J284/W283,"")</f>
        <v/>
      </c>
      <c r="Y283" s="24" t="n">
        <f aca="false">IFERROR(AVERAGEIFS($X$7:$X$294,$B$7:$B$294,$B283,$A$7:$A$294,"&gt;="&amp;EDATE($A283,-12*'Seasonal Factors'!$E$4),$A$7:$A$294,"&lt;="&amp;EDATE($A283,12*'Seasonal Factors'!$E$4)),"")</f>
        <v>1.00406352626557</v>
      </c>
      <c r="Z283" s="24" t="n">
        <f aca="false">IFERROR(Y283/AVERAGE(Y278:Y289),"")</f>
        <v>1.00745168779536</v>
      </c>
      <c r="AA283" s="23" t="str">
        <f aca="false">IF(ISNUMBER(Tabelle1!K290),(0.5*Tabelle1!K278+SUM(Tabelle1!K279:K289)+0.5*Tabelle1!K290)/12,"")</f>
        <v/>
      </c>
      <c r="AB283" s="24" t="str">
        <f aca="false">IFERROR(Tabelle1!K284/AA283,"")</f>
        <v/>
      </c>
      <c r="AC283" s="24" t="n">
        <f aca="false">IFERROR(AVERAGEIFS($AB$7:$AB$294,$B$7:$B$294,$B283,$A$7:$A$294,"&gt;="&amp;EDATE($A283,-12*'Seasonal Factors'!$E$4),$A$7:$A$294,"&lt;="&amp;EDATE($A283,12*'Seasonal Factors'!$E$4)),"")</f>
        <v>0.925277377389982</v>
      </c>
      <c r="AD283" s="24" t="n">
        <f aca="false">IFERROR(AC283/AVERAGE(AC278:AC289),"")</f>
        <v>0.927484204653845</v>
      </c>
      <c r="AE283" s="23" t="str">
        <f aca="false">IF(ISNUMBER(Tabelle1!L290),(0.5*Tabelle1!L278+SUM(Tabelle1!L279:L289)+0.5*Tabelle1!L290)/12,"")</f>
        <v/>
      </c>
      <c r="AF283" s="24" t="str">
        <f aca="false">IFERROR(Tabelle1!L284/AE283,"")</f>
        <v/>
      </c>
      <c r="AG283" s="24" t="n">
        <f aca="false">IFERROR(AVERAGEIFS($AF$7:$AF$294,$B$7:$B$294,$B283,$A$7:$A$294,"&gt;="&amp;EDATE($A283,-12*'Seasonal Factors'!$E$4),$A$7:$A$294,"&lt;="&amp;EDATE($A283,12*'Seasonal Factors'!$E$4)),"")</f>
        <v>1.17694288285677</v>
      </c>
      <c r="AH283" s="24" t="n">
        <f aca="false">IFERROR(AG283/AVERAGE(AG278:AG289),"")</f>
        <v>1.17844114451065</v>
      </c>
      <c r="AI283" s="23" t="str">
        <f aca="false">IF(ISNUMBER(Tabelle1!M290),(0.5*Tabelle1!M278+SUM(Tabelle1!M279:M289)+0.5*Tabelle1!M290)/12,"")</f>
        <v/>
      </c>
      <c r="AJ283" s="24" t="str">
        <f aca="false">IFERROR(Tabelle1!M284/AI283,"")</f>
        <v/>
      </c>
      <c r="AK283" s="24" t="n">
        <f aca="false">IFERROR(AVERAGEIFS($AJ$7:$AJ$294,$B$7:$B$294,$B283,$A$7:$A$294,"&gt;="&amp;EDATE($A283,-12*'Seasonal Factors'!$E$4),$A$7:$A$294,"&lt;="&amp;EDATE($A283,12*'Seasonal Factors'!$E$4)),"")</f>
        <v>0.981092028532484</v>
      </c>
      <c r="AL283" s="24" t="n">
        <f aca="false">IFERROR(AK283/AVERAGE(AK278:AK289),"")</f>
        <v>0.982072489517151</v>
      </c>
      <c r="AM283" s="23" t="str">
        <f aca="false">IF(ISNUMBER(Tabelle1!N290),(0.5*Tabelle1!N278+SUM(Tabelle1!N279:N289)+0.5*Tabelle1!N290)/12,"")</f>
        <v/>
      </c>
      <c r="AN283" s="24" t="str">
        <f aca="false">IFERROR(Tabelle1!N284/AM283,"")</f>
        <v/>
      </c>
      <c r="AO283" s="24" t="n">
        <f aca="false">IFERROR(AVERAGEIFS($AN$7:$AN$294,$B$7:$B$294,$B283,$A$7:$A$294,"&gt;="&amp;EDATE($A283,-12*'Seasonal Factors'!$E$4),$A$7:$A$294,"&lt;="&amp;EDATE($A283,12*'Seasonal Factors'!$E$4)),"")</f>
        <v>1.0074725994736</v>
      </c>
      <c r="AP283" s="24" t="n">
        <f aca="false">IFERROR(AO283/AVERAGE(AO278:AO289),"")</f>
        <v>1.00994349466952</v>
      </c>
      <c r="AQ283" s="23" t="str">
        <f aca="false">IF(ISNUMBER(Tabelle1!O290),(0.5*Tabelle1!O278+SUM(Tabelle1!O279:O289)+0.5*Tabelle1!O290)/12,"")</f>
        <v/>
      </c>
      <c r="AR283" s="24" t="str">
        <f aca="false">IFERROR(Tabelle1!O284/AQ283,"")</f>
        <v/>
      </c>
      <c r="AS283" s="24" t="n">
        <f aca="false">IFERROR(AVERAGEIFS($AR$7:$AR$294,$B$7:$B$294,$B283,$A$7:$A$294,"&gt;="&amp;EDATE($A283,-12*'Seasonal Factors'!$E$4),$A$7:$A$294,"&lt;="&amp;EDATE($A283,12*'Seasonal Factors'!$E$4)),"")</f>
        <v>0.973892613536175</v>
      </c>
      <c r="AT283" s="24" t="n">
        <f aca="false">IFERROR(AS283/AVERAGE(AS278:AS289),"")</f>
        <v>0.974068589803647</v>
      </c>
      <c r="AU283" s="23" t="str">
        <f aca="false">IF(ISNUMBER(Tabelle1!P290),(0.5*Tabelle1!P278+SUM(Tabelle1!P279:P289)+0.5*Tabelle1!P290)/12,"")</f>
        <v/>
      </c>
      <c r="AV283" s="24" t="str">
        <f aca="false">IFERROR(Tabelle1!P284/AU283,"")</f>
        <v/>
      </c>
      <c r="AW283" s="24" t="n">
        <f aca="false">IFERROR(AVERAGEIFS($AV$7:$AV$294,$B$7:$B$294,$B283,$A$7:$A$294,"&gt;="&amp;EDATE($A283,-12*'Seasonal Factors'!$E$4),$A$7:$A$294,"&lt;="&amp;EDATE($A283,12*'Seasonal Factors'!$E$4)),"")</f>
        <v>1.0038478074703</v>
      </c>
      <c r="AX283" s="24" t="n">
        <f aca="false">IFERROR(AW283/AVERAGE(AW278:AW289),"")</f>
        <v>1.00364285047712</v>
      </c>
      <c r="AY283" s="23" t="str">
        <f aca="false">IF(ISNUMBER(Tabelle1!Q290),(0.5*Tabelle1!Q278+SUM(Tabelle1!Q279:Q289)+0.5*Tabelle1!Q290)/12,"")</f>
        <v/>
      </c>
      <c r="AZ283" s="24" t="str">
        <f aca="false">IFERROR(Tabelle1!Q284/AY283,"")</f>
        <v/>
      </c>
      <c r="BA283" s="24" t="n">
        <f aca="false">IFERROR(AVERAGEIFS($AZ$7:$AZ$294,$B$7:$B$294,$B283,$A$7:$A$294,"&gt;="&amp;EDATE($A283,-12*'Seasonal Factors'!$E$4),$A$7:$A$294,"&lt;="&amp;EDATE($A283,12*'Seasonal Factors'!$E$4)),"")</f>
        <v>0.974675825891979</v>
      </c>
      <c r="BB283" s="24" t="n">
        <f aca="false">IFERROR(BA283/AVERAGE(BA278:BA289),"")</f>
        <v>0.974336835368334</v>
      </c>
      <c r="BC283" s="23" t="str">
        <f aca="false">IF(ISNUMBER(Tabelle1!R290),(0.5*Tabelle1!R278+SUM(Tabelle1!R279:R289)+0.5*Tabelle1!R290)/12,"")</f>
        <v/>
      </c>
      <c r="BD283" s="24" t="str">
        <f aca="false">IFERROR(Tabelle1!R284/BC283,"")</f>
        <v/>
      </c>
      <c r="BE283" s="24" t="n">
        <f aca="false">IFERROR(AVERAGEIFS($BD$7:$BD$294,$B$7:$B$294,$B283,$A$7:$A$294,"&gt;="&amp;EDATE($A283,-12*'Seasonal Factors'!$E$4),$A$7:$A$294,"&lt;="&amp;EDATE($A283,12*'Seasonal Factors'!$E$4)),"")</f>
        <v>1.00514905624191</v>
      </c>
      <c r="BF283" s="24" t="n">
        <f aca="false">IFERROR(BE283/AVERAGE(BE278:BE289),"")</f>
        <v>1.00515768095391</v>
      </c>
      <c r="BG283" s="23" t="str">
        <f aca="false">IF(ISNUMBER(Tabelle1!S290),(0.5*Tabelle1!S278+SUM(Tabelle1!S279:S289)+0.5*Tabelle1!S290)/12,"")</f>
        <v/>
      </c>
      <c r="BH283" s="24" t="str">
        <f aca="false">IFERROR(Tabelle1!S284/BG283,"")</f>
        <v/>
      </c>
      <c r="BI283" s="24" t="n">
        <f aca="false">IFERROR(AVERAGEIFS($BH$7:$BH$294,$B$7:$B$294,$B283,$A$7:$A$294,"&gt;="&amp;EDATE($A283,-12*'Seasonal Factors'!$E$4),$A$7:$A$294,"&lt;="&amp;EDATE($A283,12*'Seasonal Factors'!$E$4)),"")</f>
        <v>1.10347230198469</v>
      </c>
      <c r="BJ283" s="24" t="n">
        <f aca="false">IFERROR(BI283/AVERAGE(BI278:BI289),"")</f>
        <v>1.10342796319079</v>
      </c>
    </row>
    <row r="284" customFormat="false" ht="15" hidden="false" customHeight="false" outlineLevel="0" collapsed="false">
      <c r="A284" s="20" t="n">
        <v>46446</v>
      </c>
      <c r="B284" s="22" t="n">
        <f aca="false">MONTH(A284)</f>
        <v>2</v>
      </c>
      <c r="C284" s="23" t="str">
        <f aca="false">IF(ISNUMBER(Tabelle1!E291),(0.5*Tabelle1!E279+SUM(Tabelle1!E280:E290)+0.5*Tabelle1!E291)/12,"")</f>
        <v/>
      </c>
      <c r="D284" s="24" t="str">
        <f aca="false">IFERROR(Tabelle1!E285/C284,"")</f>
        <v/>
      </c>
      <c r="E284" s="24" t="n">
        <f aca="false">IFERROR(AVERAGEIFS($D$7:$D$294,$B$7:$B$294,$B284,$A$7:$A$294,"&gt;="&amp;EDATE($A284,-12*'Seasonal Factors'!$E$4),$A$7:$A$294,"&lt;="&amp;EDATE($A284,12*'Seasonal Factors'!$E$4)),"")</f>
        <v>0.636293526942726</v>
      </c>
      <c r="F284" s="24" t="n">
        <f aca="false">IFERROR(E284/AVERAGE(E279:E290),"")</f>
        <v>0.642860232144978</v>
      </c>
      <c r="G284" s="23" t="str">
        <f aca="false">IF(ISNUMBER(Tabelle1!F291),(0.5*Tabelle1!F279+SUM(Tabelle1!F280:F290)+0.5*Tabelle1!F291)/12,"")</f>
        <v/>
      </c>
      <c r="H284" s="24" t="str">
        <f aca="false">IFERROR(Tabelle1!F285/G284,"")</f>
        <v/>
      </c>
      <c r="I284" s="24" t="n">
        <f aca="false">IFERROR(AVERAGEIFS($H$7:$H$294,$B$7:$B$294,$B284,$A$7:$A$294,"&gt;="&amp;EDATE($A284,-12*'Seasonal Factors'!$E$4),$A$7:$A$294,"&lt;="&amp;EDATE($A284,12*'Seasonal Factors'!$E$4)),"")</f>
        <v>1.08672076605853</v>
      </c>
      <c r="J284" s="24" t="n">
        <f aca="false">IFERROR(I284/AVERAGE(I279:I290),"")</f>
        <v>1.10165787250112</v>
      </c>
      <c r="K284" s="23" t="str">
        <f aca="false">IF(ISNUMBER(Tabelle1!G291),(0.5*Tabelle1!G279+SUM(Tabelle1!G280:G290)+0.5*Tabelle1!G291)/12,"")</f>
        <v/>
      </c>
      <c r="L284" s="24" t="str">
        <f aca="false">IFERROR(Tabelle1!G285/K284,"")</f>
        <v/>
      </c>
      <c r="M284" s="24" t="n">
        <f aca="false">IFERROR(AVERAGEIFS($L$7:$L$294,$B$7:$B$294,$B284,$A$7:$A$294,"&gt;="&amp;EDATE($A284,-12*'Seasonal Factors'!$E$4),$A$7:$A$294,"&lt;="&amp;EDATE($A284,12*'Seasonal Factors'!$E$4)),"")</f>
        <v>0.930288948292192</v>
      </c>
      <c r="N284" s="24" t="n">
        <f aca="false">IFERROR(M284/AVERAGE(M279:M290),"")</f>
        <v>0.931531151181361</v>
      </c>
      <c r="O284" s="23" t="str">
        <f aca="false">IF(ISNUMBER(Tabelle1!H291),(0.5*Tabelle1!H279+SUM(Tabelle1!H280:H290)+0.5*Tabelle1!H291)/12,"")</f>
        <v/>
      </c>
      <c r="P284" s="24" t="str">
        <f aca="false">IFERROR(Tabelle1!H285/O284,"")</f>
        <v/>
      </c>
      <c r="Q284" s="24" t="n">
        <f aca="false">IFERROR(AVERAGEIFS($P$7:$P$294,$B$7:$B$294,$B284,$A$7:$A$294,"&gt;="&amp;EDATE($A284,-12*'Seasonal Factors'!$E$4),$A$7:$A$294,"&lt;="&amp;EDATE($A284,12*'Seasonal Factors'!$E$4)),"")</f>
        <v>0.870564828847203</v>
      </c>
      <c r="R284" s="24" t="n">
        <f aca="false">IFERROR(Q284/AVERAGE(Q279:Q290),"")</f>
        <v>0.872818561613412</v>
      </c>
      <c r="S284" s="23" t="str">
        <f aca="false">IF(ISNUMBER(Tabelle1!I291),(0.5*Tabelle1!I279+SUM(Tabelle1!I280:I290)+0.5*Tabelle1!I291)/12,"")</f>
        <v/>
      </c>
      <c r="T284" s="24" t="str">
        <f aca="false">IFERROR(Tabelle1!I285/S284,"")</f>
        <v/>
      </c>
      <c r="U284" s="24" t="n">
        <f aca="false">IFERROR(AVERAGEIFS($T$7:$T$294,$B$7:$B$294,$B284,$A$7:$A$294,"&gt;="&amp;EDATE($A284,-12*'Seasonal Factors'!$E$4),$A$7:$A$294,"&lt;="&amp;EDATE($A284,12*'Seasonal Factors'!$E$4)),"")</f>
        <v>1.02140344156917</v>
      </c>
      <c r="V284" s="24" t="n">
        <f aca="false">IFERROR(U284/AVERAGE(U279:U290),"")</f>
        <v>1.02209546890599</v>
      </c>
      <c r="W284" s="23" t="str">
        <f aca="false">IF(ISNUMBER(Tabelle1!J291),(0.5*Tabelle1!J279+SUM(Tabelle1!J280:J290)+0.5*Tabelle1!J291)/12,"")</f>
        <v/>
      </c>
      <c r="X284" s="24" t="str">
        <f aca="false">IFERROR(Tabelle1!J285/W284,"")</f>
        <v/>
      </c>
      <c r="Y284" s="24" t="n">
        <f aca="false">IFERROR(AVERAGEIFS($X$7:$X$294,$B$7:$B$294,$B284,$A$7:$A$294,"&gt;="&amp;EDATE($A284,-12*'Seasonal Factors'!$E$4),$A$7:$A$294,"&lt;="&amp;EDATE($A284,12*'Seasonal Factors'!$E$4)),"")</f>
        <v>0.980501022332022</v>
      </c>
      <c r="Z284" s="24" t="n">
        <f aca="false">IFERROR(Y284/AVERAGE(Y279:Y290),"")</f>
        <v>0.983485614253199</v>
      </c>
      <c r="AA284" s="23" t="str">
        <f aca="false">IF(ISNUMBER(Tabelle1!K291),(0.5*Tabelle1!K279+SUM(Tabelle1!K280:K290)+0.5*Tabelle1!K291)/12,"")</f>
        <v/>
      </c>
      <c r="AB284" s="24" t="str">
        <f aca="false">IFERROR(Tabelle1!K285/AA284,"")</f>
        <v/>
      </c>
      <c r="AC284" s="24" t="n">
        <f aca="false">IFERROR(AVERAGEIFS($AB$7:$AB$294,$B$7:$B$294,$B284,$A$7:$A$294,"&gt;="&amp;EDATE($A284,-12*'Seasonal Factors'!$E$4),$A$7:$A$294,"&lt;="&amp;EDATE($A284,12*'Seasonal Factors'!$E$4)),"")</f>
        <v>0.937200727683478</v>
      </c>
      <c r="AD284" s="24" t="n">
        <f aca="false">IFERROR(AC284/AVERAGE(AC279:AC290),"")</f>
        <v>0.939516824919231</v>
      </c>
      <c r="AE284" s="23" t="str">
        <f aca="false">IF(ISNUMBER(Tabelle1!L291),(0.5*Tabelle1!L279+SUM(Tabelle1!L280:L290)+0.5*Tabelle1!L291)/12,"")</f>
        <v/>
      </c>
      <c r="AF284" s="24" t="str">
        <f aca="false">IFERROR(Tabelle1!L285/AE284,"")</f>
        <v/>
      </c>
      <c r="AG284" s="24" t="n">
        <f aca="false">IFERROR(AVERAGEIFS($AF$7:$AF$294,$B$7:$B$294,$B284,$A$7:$A$294,"&gt;="&amp;EDATE($A284,-12*'Seasonal Factors'!$E$4),$A$7:$A$294,"&lt;="&amp;EDATE($A284,12*'Seasonal Factors'!$E$4)),"")</f>
        <v>1.11916815531968</v>
      </c>
      <c r="AH284" s="24" t="n">
        <f aca="false">IFERROR(AG284/AVERAGE(AG279:AG290),"")</f>
        <v>1.11946639769968</v>
      </c>
      <c r="AI284" s="23" t="str">
        <f aca="false">IF(ISNUMBER(Tabelle1!M291),(0.5*Tabelle1!M279+SUM(Tabelle1!M280:M290)+0.5*Tabelle1!M291)/12,"")</f>
        <v/>
      </c>
      <c r="AJ284" s="24" t="str">
        <f aca="false">IFERROR(Tabelle1!M285/AI284,"")</f>
        <v/>
      </c>
      <c r="AK284" s="24" t="n">
        <f aca="false">IFERROR(AVERAGEIFS($AJ$7:$AJ$294,$B$7:$B$294,$B284,$A$7:$A$294,"&gt;="&amp;EDATE($A284,-12*'Seasonal Factors'!$E$4),$A$7:$A$294,"&lt;="&amp;EDATE($A284,12*'Seasonal Factors'!$E$4)),"")</f>
        <v>0.95105498503438</v>
      </c>
      <c r="AL284" s="24" t="n">
        <f aca="false">IFERROR(AK284/AVERAGE(AK279:AK290),"")</f>
        <v>0.952043354124015</v>
      </c>
      <c r="AM284" s="23" t="str">
        <f aca="false">IF(ISNUMBER(Tabelle1!N291),(0.5*Tabelle1!N279+SUM(Tabelle1!N280:N290)+0.5*Tabelle1!N291)/12,"")</f>
        <v/>
      </c>
      <c r="AN284" s="24" t="str">
        <f aca="false">IFERROR(Tabelle1!N285/AM284,"")</f>
        <v/>
      </c>
      <c r="AO284" s="24" t="n">
        <f aca="false">IFERROR(AVERAGEIFS($AN$7:$AN$294,$B$7:$B$294,$B284,$A$7:$A$294,"&gt;="&amp;EDATE($A284,-12*'Seasonal Factors'!$E$4),$A$7:$A$294,"&lt;="&amp;EDATE($A284,12*'Seasonal Factors'!$E$4)),"")</f>
        <v>0.940157003524903</v>
      </c>
      <c r="AP284" s="24" t="n">
        <f aca="false">IFERROR(AO284/AVERAGE(AO279:AO290),"")</f>
        <v>0.942124735612451</v>
      </c>
      <c r="AQ284" s="23" t="str">
        <f aca="false">IF(ISNUMBER(Tabelle1!O291),(0.5*Tabelle1!O279+SUM(Tabelle1!O280:O290)+0.5*Tabelle1!O291)/12,"")</f>
        <v/>
      </c>
      <c r="AR284" s="24" t="str">
        <f aca="false">IFERROR(Tabelle1!O285/AQ284,"")</f>
        <v/>
      </c>
      <c r="AS284" s="24" t="n">
        <f aca="false">IFERROR(AVERAGEIFS($AR$7:$AR$294,$B$7:$B$294,$B284,$A$7:$A$294,"&gt;="&amp;EDATE($A284,-12*'Seasonal Factors'!$E$4),$A$7:$A$294,"&lt;="&amp;EDATE($A284,12*'Seasonal Factors'!$E$4)),"")</f>
        <v>0.97050487282092</v>
      </c>
      <c r="AT284" s="24" t="n">
        <f aca="false">IFERROR(AS284/AVERAGE(AS279:AS290),"")</f>
        <v>0.970841759330045</v>
      </c>
      <c r="AU284" s="23" t="str">
        <f aca="false">IF(ISNUMBER(Tabelle1!P291),(0.5*Tabelle1!P279+SUM(Tabelle1!P280:P290)+0.5*Tabelle1!P291)/12,"")</f>
        <v/>
      </c>
      <c r="AV284" s="24" t="str">
        <f aca="false">IFERROR(Tabelle1!P285/AU284,"")</f>
        <v/>
      </c>
      <c r="AW284" s="24" t="n">
        <f aca="false">IFERROR(AVERAGEIFS($AV$7:$AV$294,$B$7:$B$294,$B284,$A$7:$A$294,"&gt;="&amp;EDATE($A284,-12*'Seasonal Factors'!$E$4),$A$7:$A$294,"&lt;="&amp;EDATE($A284,12*'Seasonal Factors'!$E$4)),"")</f>
        <v>1.00467863611192</v>
      </c>
      <c r="AX284" s="24" t="n">
        <f aca="false">IFERROR(AW284/AVERAGE(AW279:AW290),"")</f>
        <v>1.00443076173554</v>
      </c>
      <c r="AY284" s="23" t="str">
        <f aca="false">IF(ISNUMBER(Tabelle1!Q291),(0.5*Tabelle1!Q279+SUM(Tabelle1!Q280:Q290)+0.5*Tabelle1!Q291)/12,"")</f>
        <v/>
      </c>
      <c r="AZ284" s="24" t="str">
        <f aca="false">IFERROR(Tabelle1!Q285/AY284,"")</f>
        <v/>
      </c>
      <c r="BA284" s="24" t="n">
        <f aca="false">IFERROR(AVERAGEIFS($AZ$7:$AZ$294,$B$7:$B$294,$B284,$A$7:$A$294,"&gt;="&amp;EDATE($A284,-12*'Seasonal Factors'!$E$4),$A$7:$A$294,"&lt;="&amp;EDATE($A284,12*'Seasonal Factors'!$E$4)),"")</f>
        <v>0.979621071771641</v>
      </c>
      <c r="BB284" s="24" t="n">
        <f aca="false">IFERROR(BA284/AVERAGE(BA279:BA290),"")</f>
        <v>0.979306571875779</v>
      </c>
      <c r="BC284" s="23" t="str">
        <f aca="false">IF(ISNUMBER(Tabelle1!R291),(0.5*Tabelle1!R279+SUM(Tabelle1!R280:R290)+0.5*Tabelle1!R291)/12,"")</f>
        <v/>
      </c>
      <c r="BD284" s="24" t="str">
        <f aca="false">IFERROR(Tabelle1!R285/BC284,"")</f>
        <v/>
      </c>
      <c r="BE284" s="24" t="n">
        <f aca="false">IFERROR(AVERAGEIFS($BD$7:$BD$294,$B$7:$B$294,$B284,$A$7:$A$294,"&gt;="&amp;EDATE($A284,-12*'Seasonal Factors'!$E$4),$A$7:$A$294,"&lt;="&amp;EDATE($A284,12*'Seasonal Factors'!$E$4)),"")</f>
        <v>0.950411238176641</v>
      </c>
      <c r="BF284" s="24" t="n">
        <f aca="false">IFERROR(BE284/AVERAGE(BE279:BE290),"")</f>
        <v>0.950433029084113</v>
      </c>
      <c r="BG284" s="23" t="str">
        <f aca="false">IF(ISNUMBER(Tabelle1!S291),(0.5*Tabelle1!S279+SUM(Tabelle1!S280:S290)+0.5*Tabelle1!S291)/12,"")</f>
        <v/>
      </c>
      <c r="BH284" s="24" t="str">
        <f aca="false">IFERROR(Tabelle1!S285/BG284,"")</f>
        <v/>
      </c>
      <c r="BI284" s="24" t="n">
        <f aca="false">IFERROR(AVERAGEIFS($BH$7:$BH$294,$B$7:$B$294,$B284,$A$7:$A$294,"&gt;="&amp;EDATE($A284,-12*'Seasonal Factors'!$E$4),$A$7:$A$294,"&lt;="&amp;EDATE($A284,12*'Seasonal Factors'!$E$4)),"")</f>
        <v>1.08619311163137</v>
      </c>
      <c r="BJ284" s="24" t="n">
        <f aca="false">IFERROR(BI284/AVERAGE(BI279:BI290),"")</f>
        <v>1.08627607873765</v>
      </c>
    </row>
    <row r="285" customFormat="false" ht="15" hidden="false" customHeight="false" outlineLevel="0" collapsed="false">
      <c r="A285" s="20" t="n">
        <v>46477</v>
      </c>
      <c r="B285" s="22" t="n">
        <f aca="false">MONTH(A285)</f>
        <v>3</v>
      </c>
      <c r="C285" s="23" t="str">
        <f aca="false">IF(ISNUMBER(Tabelle1!E292),(0.5*Tabelle1!E280+SUM(Tabelle1!E281:E291)+0.5*Tabelle1!E292)/12,"")</f>
        <v/>
      </c>
      <c r="D285" s="24" t="str">
        <f aca="false">IFERROR(Tabelle1!E286/C285,"")</f>
        <v/>
      </c>
      <c r="E285" s="24" t="n">
        <f aca="false">IFERROR(AVERAGEIFS($D$7:$D$294,$B$7:$B$294,$B285,$A$7:$A$294,"&gt;="&amp;EDATE($A285,-12*'Seasonal Factors'!$E$4),$A$7:$A$294,"&lt;="&amp;EDATE($A285,12*'Seasonal Factors'!$E$4)),"")</f>
        <v>1.20145966054546</v>
      </c>
      <c r="F285" s="24" t="n">
        <f aca="false">IFERROR(E285/AVERAGE(E280:E291),"")</f>
        <v>1.21310679555546</v>
      </c>
      <c r="G285" s="23" t="str">
        <f aca="false">IF(ISNUMBER(Tabelle1!F292),(0.5*Tabelle1!F280+SUM(Tabelle1!F281:F291)+0.5*Tabelle1!F292)/12,"")</f>
        <v/>
      </c>
      <c r="H285" s="24" t="str">
        <f aca="false">IFERROR(Tabelle1!F286/G285,"")</f>
        <v/>
      </c>
      <c r="I285" s="24" t="n">
        <f aca="false">IFERROR(AVERAGEIFS($H$7:$H$294,$B$7:$B$294,$B285,$A$7:$A$294,"&gt;="&amp;EDATE($A285,-12*'Seasonal Factors'!$E$4),$A$7:$A$294,"&lt;="&amp;EDATE($A285,12*'Seasonal Factors'!$E$4)),"")</f>
        <v>0.759843881068596</v>
      </c>
      <c r="J285" s="24" t="n">
        <f aca="false">IFERROR(I285/AVERAGE(I280:I291),"")</f>
        <v>0.76792727645438</v>
      </c>
      <c r="K285" s="23" t="str">
        <f aca="false">IF(ISNUMBER(Tabelle1!G292),(0.5*Tabelle1!G280+SUM(Tabelle1!G281:G291)+0.5*Tabelle1!G292)/12,"")</f>
        <v/>
      </c>
      <c r="L285" s="24" t="str">
        <f aca="false">IFERROR(Tabelle1!G286/K285,"")</f>
        <v/>
      </c>
      <c r="M285" s="24" t="n">
        <f aca="false">IFERROR(AVERAGEIFS($L$7:$L$294,$B$7:$B$294,$B285,$A$7:$A$294,"&gt;="&amp;EDATE($A285,-12*'Seasonal Factors'!$E$4),$A$7:$A$294,"&lt;="&amp;EDATE($A285,12*'Seasonal Factors'!$E$4)),"")</f>
        <v>0.990990778521874</v>
      </c>
      <c r="N285" s="24" t="n">
        <f aca="false">IFERROR(M285/AVERAGE(M280:M291),"")</f>
        <v>0.992181753829913</v>
      </c>
      <c r="O285" s="23" t="str">
        <f aca="false">IF(ISNUMBER(Tabelle1!H292),(0.5*Tabelle1!H280+SUM(Tabelle1!H281:H291)+0.5*Tabelle1!H292)/12,"")</f>
        <v/>
      </c>
      <c r="P285" s="24" t="str">
        <f aca="false">IFERROR(Tabelle1!H286/O285,"")</f>
        <v/>
      </c>
      <c r="Q285" s="24" t="n">
        <f aca="false">IFERROR(AVERAGEIFS($P$7:$P$294,$B$7:$B$294,$B285,$A$7:$A$294,"&gt;="&amp;EDATE($A285,-12*'Seasonal Factors'!$E$4),$A$7:$A$294,"&lt;="&amp;EDATE($A285,12*'Seasonal Factors'!$E$4)),"")</f>
        <v>0.987423046990599</v>
      </c>
      <c r="R285" s="24" t="n">
        <f aca="false">IFERROR(Q285/AVERAGE(Q280:Q291),"")</f>
        <v>0.989651289773067</v>
      </c>
      <c r="S285" s="23" t="str">
        <f aca="false">IF(ISNUMBER(Tabelle1!I292),(0.5*Tabelle1!I280+SUM(Tabelle1!I281:I291)+0.5*Tabelle1!I292)/12,"")</f>
        <v/>
      </c>
      <c r="T285" s="24" t="str">
        <f aca="false">IFERROR(Tabelle1!I286/S285,"")</f>
        <v/>
      </c>
      <c r="U285" s="24" t="n">
        <f aca="false">IFERROR(AVERAGEIFS($T$7:$T$294,$B$7:$B$294,$B285,$A$7:$A$294,"&gt;="&amp;EDATE($A285,-12*'Seasonal Factors'!$E$4),$A$7:$A$294,"&lt;="&amp;EDATE($A285,12*'Seasonal Factors'!$E$4)),"")</f>
        <v>1.0352599598494</v>
      </c>
      <c r="V285" s="24" t="n">
        <f aca="false">IFERROR(U285/AVERAGE(U280:U291),"")</f>
        <v>1.0347606445229</v>
      </c>
      <c r="W285" s="23" t="str">
        <f aca="false">IF(ISNUMBER(Tabelle1!J292),(0.5*Tabelle1!J280+SUM(Tabelle1!J281:J291)+0.5*Tabelle1!J292)/12,"")</f>
        <v/>
      </c>
      <c r="X285" s="24" t="str">
        <f aca="false">IFERROR(Tabelle1!J286/W285,"")</f>
        <v/>
      </c>
      <c r="Y285" s="24" t="n">
        <f aca="false">IFERROR(AVERAGEIFS($X$7:$X$294,$B$7:$B$294,$B285,$A$7:$A$294,"&gt;="&amp;EDATE($A285,-12*'Seasonal Factors'!$E$4),$A$7:$A$294,"&lt;="&amp;EDATE($A285,12*'Seasonal Factors'!$E$4)),"")</f>
        <v>0.999271522380317</v>
      </c>
      <c r="Z285" s="24" t="n">
        <f aca="false">IFERROR(Y285/AVERAGE(Y280:Y291),"")</f>
        <v>1.00186179464456</v>
      </c>
      <c r="AA285" s="23" t="str">
        <f aca="false">IF(ISNUMBER(Tabelle1!K292),(0.5*Tabelle1!K280+SUM(Tabelle1!K281:K291)+0.5*Tabelle1!K292)/12,"")</f>
        <v/>
      </c>
      <c r="AB285" s="24" t="str">
        <f aca="false">IFERROR(Tabelle1!K286/AA285,"")</f>
        <v/>
      </c>
      <c r="AC285" s="24" t="n">
        <f aca="false">IFERROR(AVERAGEIFS($AB$7:$AB$294,$B$7:$B$294,$B285,$A$7:$A$294,"&gt;="&amp;EDATE($A285,-12*'Seasonal Factors'!$E$4),$A$7:$A$294,"&lt;="&amp;EDATE($A285,12*'Seasonal Factors'!$E$4)),"")</f>
        <v>1.00543396913739</v>
      </c>
      <c r="AD285" s="24" t="n">
        <f aca="false">IFERROR(AC285/AVERAGE(AC280:AC291),"")</f>
        <v>1.00813524242668</v>
      </c>
      <c r="AE285" s="23" t="str">
        <f aca="false">IF(ISNUMBER(Tabelle1!L292),(0.5*Tabelle1!L280+SUM(Tabelle1!L281:L291)+0.5*Tabelle1!L292)/12,"")</f>
        <v/>
      </c>
      <c r="AF285" s="24" t="str">
        <f aca="false">IFERROR(Tabelle1!L286/AE285,"")</f>
        <v/>
      </c>
      <c r="AG285" s="24" t="n">
        <f aca="false">IFERROR(AVERAGEIFS($AF$7:$AF$294,$B$7:$B$294,$B285,$A$7:$A$294,"&gt;="&amp;EDATE($A285,-12*'Seasonal Factors'!$E$4),$A$7:$A$294,"&lt;="&amp;EDATE($A285,12*'Seasonal Factors'!$E$4)),"")</f>
        <v>0.891620773675968</v>
      </c>
      <c r="AH285" s="24" t="n">
        <f aca="false">IFERROR(AG285/AVERAGE(AG280:AG291),"")</f>
        <v>0.891077093194786</v>
      </c>
      <c r="AI285" s="23" t="str">
        <f aca="false">IF(ISNUMBER(Tabelle1!M292),(0.5*Tabelle1!M280+SUM(Tabelle1!M281:M291)+0.5*Tabelle1!M292)/12,"")</f>
        <v/>
      </c>
      <c r="AJ285" s="24" t="str">
        <f aca="false">IFERROR(Tabelle1!M286/AI285,"")</f>
        <v/>
      </c>
      <c r="AK285" s="24" t="n">
        <f aca="false">IFERROR(AVERAGEIFS($AJ$7:$AJ$294,$B$7:$B$294,$B285,$A$7:$A$294,"&gt;="&amp;EDATE($A285,-12*'Seasonal Factors'!$E$4),$A$7:$A$294,"&lt;="&amp;EDATE($A285,12*'Seasonal Factors'!$E$4)),"")</f>
        <v>1.00186381992176</v>
      </c>
      <c r="AL285" s="24" t="n">
        <f aca="false">IFERROR(AK285/AVERAGE(AK280:AK291),"")</f>
        <v>1.00275008539371</v>
      </c>
      <c r="AM285" s="23" t="str">
        <f aca="false">IF(ISNUMBER(Tabelle1!N292),(0.5*Tabelle1!N280+SUM(Tabelle1!N281:N291)+0.5*Tabelle1!N292)/12,"")</f>
        <v/>
      </c>
      <c r="AN285" s="24" t="str">
        <f aca="false">IFERROR(Tabelle1!N286/AM285,"")</f>
        <v/>
      </c>
      <c r="AO285" s="24" t="n">
        <f aca="false">IFERROR(AVERAGEIFS($AN$7:$AN$294,$B$7:$B$294,$B285,$A$7:$A$294,"&gt;="&amp;EDATE($A285,-12*'Seasonal Factors'!$E$4),$A$7:$A$294,"&lt;="&amp;EDATE($A285,12*'Seasonal Factors'!$E$4)),"")</f>
        <v>1.02854322497831</v>
      </c>
      <c r="AP285" s="24" t="n">
        <f aca="false">IFERROR(AO285/AVERAGE(AO280:AO291),"")</f>
        <v>1.02928643738523</v>
      </c>
      <c r="AQ285" s="23" t="str">
        <f aca="false">IF(ISNUMBER(Tabelle1!O292),(0.5*Tabelle1!O280+SUM(Tabelle1!O281:O291)+0.5*Tabelle1!O292)/12,"")</f>
        <v/>
      </c>
      <c r="AR285" s="24" t="str">
        <f aca="false">IFERROR(Tabelle1!O286/AQ285,"")</f>
        <v/>
      </c>
      <c r="AS285" s="24" t="n">
        <f aca="false">IFERROR(AVERAGEIFS($AR$7:$AR$294,$B$7:$B$294,$B285,$A$7:$A$294,"&gt;="&amp;EDATE($A285,-12*'Seasonal Factors'!$E$4),$A$7:$A$294,"&lt;="&amp;EDATE($A285,12*'Seasonal Factors'!$E$4)),"")</f>
        <v>0.982781808334151</v>
      </c>
      <c r="AT285" s="24" t="n">
        <f aca="false">IFERROR(AS285/AVERAGE(AS280:AS291),"")</f>
        <v>0.983090518692842</v>
      </c>
      <c r="AU285" s="23" t="str">
        <f aca="false">IF(ISNUMBER(Tabelle1!P292),(0.5*Tabelle1!P280+SUM(Tabelle1!P281:P291)+0.5*Tabelle1!P292)/12,"")</f>
        <v/>
      </c>
      <c r="AV285" s="24" t="str">
        <f aca="false">IFERROR(Tabelle1!P286/AU285,"")</f>
        <v/>
      </c>
      <c r="AW285" s="24" t="n">
        <f aca="false">IFERROR(AVERAGEIFS($AV$7:$AV$294,$B$7:$B$294,$B285,$A$7:$A$294,"&gt;="&amp;EDATE($A285,-12*'Seasonal Factors'!$E$4),$A$7:$A$294,"&lt;="&amp;EDATE($A285,12*'Seasonal Factors'!$E$4)),"")</f>
        <v>0.997081226956849</v>
      </c>
      <c r="AX285" s="24" t="n">
        <f aca="false">IFERROR(AW285/AVERAGE(AW280:AW291),"")</f>
        <v>0.996758983763701</v>
      </c>
      <c r="AY285" s="23" t="str">
        <f aca="false">IF(ISNUMBER(Tabelle1!Q292),(0.5*Tabelle1!Q280+SUM(Tabelle1!Q281:Q291)+0.5*Tabelle1!Q292)/12,"")</f>
        <v/>
      </c>
      <c r="AZ285" s="24" t="str">
        <f aca="false">IFERROR(Tabelle1!Q286/AY285,"")</f>
        <v/>
      </c>
      <c r="BA285" s="24" t="n">
        <f aca="false">IFERROR(AVERAGEIFS($AZ$7:$AZ$294,$B$7:$B$294,$B285,$A$7:$A$294,"&gt;="&amp;EDATE($A285,-12*'Seasonal Factors'!$E$4),$A$7:$A$294,"&lt;="&amp;EDATE($A285,12*'Seasonal Factors'!$E$4)),"")</f>
        <v>0.999593124113542</v>
      </c>
      <c r="BB285" s="24" t="n">
        <f aca="false">IFERROR(BA285/AVERAGE(BA280:BA291),"")</f>
        <v>0.999298327539498</v>
      </c>
      <c r="BC285" s="23" t="str">
        <f aca="false">IF(ISNUMBER(Tabelle1!R292),(0.5*Tabelle1!R280+SUM(Tabelle1!R281:R291)+0.5*Tabelle1!R292)/12,"")</f>
        <v/>
      </c>
      <c r="BD285" s="24" t="str">
        <f aca="false">IFERROR(Tabelle1!R286/BC285,"")</f>
        <v/>
      </c>
      <c r="BE285" s="24" t="n">
        <f aca="false">IFERROR(AVERAGEIFS($BD$7:$BD$294,$B$7:$B$294,$B285,$A$7:$A$294,"&gt;="&amp;EDATE($A285,-12*'Seasonal Factors'!$E$4),$A$7:$A$294,"&lt;="&amp;EDATE($A285,12*'Seasonal Factors'!$E$4)),"")</f>
        <v>1.02893765211831</v>
      </c>
      <c r="BF285" s="24" t="n">
        <f aca="false">IFERROR(BE285/AVERAGE(BE280:BE291),"")</f>
        <v>1.02899580283433</v>
      </c>
      <c r="BG285" s="23" t="str">
        <f aca="false">IF(ISNUMBER(Tabelle1!S292),(0.5*Tabelle1!S280+SUM(Tabelle1!S281:S291)+0.5*Tabelle1!S292)/12,"")</f>
        <v/>
      </c>
      <c r="BH285" s="24" t="str">
        <f aca="false">IFERROR(Tabelle1!S286/BG285,"")</f>
        <v/>
      </c>
      <c r="BI285" s="24" t="n">
        <f aca="false">IFERROR(AVERAGEIFS($BH$7:$BH$294,$B$7:$B$294,$B285,$A$7:$A$294,"&gt;="&amp;EDATE($A285,-12*'Seasonal Factors'!$E$4),$A$7:$A$294,"&lt;="&amp;EDATE($A285,12*'Seasonal Factors'!$E$4)),"")</f>
        <v>1.07841836013693</v>
      </c>
      <c r="BJ285" s="24" t="n">
        <f aca="false">IFERROR(BI285/AVERAGE(BI280:BI291),"")</f>
        <v>1.07837480343674</v>
      </c>
    </row>
    <row r="286" customFormat="false" ht="15" hidden="false" customHeight="false" outlineLevel="0" collapsed="false">
      <c r="A286" s="20" t="n">
        <v>46507</v>
      </c>
      <c r="B286" s="22" t="n">
        <f aca="false">MONTH(A286)</f>
        <v>4</v>
      </c>
      <c r="C286" s="23" t="str">
        <f aca="false">IF(ISNUMBER(Tabelle1!E293),(0.5*Tabelle1!E281+SUM(Tabelle1!E282:E292)+0.5*Tabelle1!E293)/12,"")</f>
        <v/>
      </c>
      <c r="D286" s="24" t="str">
        <f aca="false">IFERROR(Tabelle1!E287/C286,"")</f>
        <v/>
      </c>
      <c r="E286" s="24" t="n">
        <f aca="false">IFERROR(AVERAGEIFS($D$7:$D$294,$B$7:$B$294,$B286,$A$7:$A$294,"&gt;="&amp;EDATE($A286,-12*'Seasonal Factors'!$E$4),$A$7:$A$294,"&lt;="&amp;EDATE($A286,12*'Seasonal Factors'!$E$4)),"")</f>
        <v>1.53468283855152</v>
      </c>
      <c r="F286" s="24" t="n">
        <f aca="false">IFERROR(E286/AVERAGE(E281:E292),"")</f>
        <v>1.54909388474949</v>
      </c>
      <c r="G286" s="23" t="str">
        <f aca="false">IF(ISNUMBER(Tabelle1!F293),(0.5*Tabelle1!F281+SUM(Tabelle1!F282:F292)+0.5*Tabelle1!F293)/12,"")</f>
        <v/>
      </c>
      <c r="H286" s="24" t="str">
        <f aca="false">IFERROR(Tabelle1!F287/G286,"")</f>
        <v/>
      </c>
      <c r="I286" s="24" t="n">
        <f aca="false">IFERROR(AVERAGEIFS($H$7:$H$294,$B$7:$B$294,$B286,$A$7:$A$294,"&gt;="&amp;EDATE($A286,-12*'Seasonal Factors'!$E$4),$A$7:$A$294,"&lt;="&amp;EDATE($A286,12*'Seasonal Factors'!$E$4)),"")</f>
        <v>0.805398341800415</v>
      </c>
      <c r="J286" s="24" t="n">
        <f aca="false">IFERROR(I286/AVERAGE(I281:I292),"")</f>
        <v>0.813115581714451</v>
      </c>
      <c r="K286" s="23" t="str">
        <f aca="false">IF(ISNUMBER(Tabelle1!G293),(0.5*Tabelle1!G281+SUM(Tabelle1!G282:G292)+0.5*Tabelle1!G293)/12,"")</f>
        <v/>
      </c>
      <c r="L286" s="24" t="str">
        <f aca="false">IFERROR(Tabelle1!G287/K286,"")</f>
        <v/>
      </c>
      <c r="M286" s="24" t="n">
        <f aca="false">IFERROR(AVERAGEIFS($L$7:$L$294,$B$7:$B$294,$B286,$A$7:$A$294,"&gt;="&amp;EDATE($A286,-12*'Seasonal Factors'!$E$4),$A$7:$A$294,"&lt;="&amp;EDATE($A286,12*'Seasonal Factors'!$E$4)),"")</f>
        <v>0.977469246504505</v>
      </c>
      <c r="N286" s="24" t="n">
        <f aca="false">IFERROR(M286/AVERAGE(M281:M292),"")</f>
        <v>0.978853955036942</v>
      </c>
      <c r="O286" s="23" t="str">
        <f aca="false">IF(ISNUMBER(Tabelle1!H293),(0.5*Tabelle1!H281+SUM(Tabelle1!H282:H292)+0.5*Tabelle1!H293)/12,"")</f>
        <v/>
      </c>
      <c r="P286" s="24" t="str">
        <f aca="false">IFERROR(Tabelle1!H287/O286,"")</f>
        <v/>
      </c>
      <c r="Q286" s="24" t="n">
        <f aca="false">IFERROR(AVERAGEIFS($P$7:$P$294,$B$7:$B$294,$B286,$A$7:$A$294,"&gt;="&amp;EDATE($A286,-12*'Seasonal Factors'!$E$4),$A$7:$A$294,"&lt;="&amp;EDATE($A286,12*'Seasonal Factors'!$E$4)),"")</f>
        <v>0.973189075996558</v>
      </c>
      <c r="R286" s="24" t="n">
        <f aca="false">IFERROR(Q286/AVERAGE(Q281:Q292),"")</f>
        <v>0.97400216937332</v>
      </c>
      <c r="S286" s="23" t="str">
        <f aca="false">IF(ISNUMBER(Tabelle1!I293),(0.5*Tabelle1!I281+SUM(Tabelle1!I282:I292)+0.5*Tabelle1!I293)/12,"")</f>
        <v/>
      </c>
      <c r="T286" s="24" t="str">
        <f aca="false">IFERROR(Tabelle1!I287/S286,"")</f>
        <v/>
      </c>
      <c r="U286" s="24" t="n">
        <f aca="false">IFERROR(AVERAGEIFS($T$7:$T$294,$B$7:$B$294,$B286,$A$7:$A$294,"&gt;="&amp;EDATE($A286,-12*'Seasonal Factors'!$E$4),$A$7:$A$294,"&lt;="&amp;EDATE($A286,12*'Seasonal Factors'!$E$4)),"")</f>
        <v>0.888393890561975</v>
      </c>
      <c r="V286" s="24" t="n">
        <f aca="false">IFERROR(U286/AVERAGE(U281:U292),"")</f>
        <v>0.887625807550001</v>
      </c>
      <c r="W286" s="23" t="str">
        <f aca="false">IF(ISNUMBER(Tabelle1!J293),(0.5*Tabelle1!J281+SUM(Tabelle1!J282:J292)+0.5*Tabelle1!J293)/12,"")</f>
        <v/>
      </c>
      <c r="X286" s="24" t="str">
        <f aca="false">IFERROR(Tabelle1!J287/W286,"")</f>
        <v/>
      </c>
      <c r="Y286" s="24" t="n">
        <f aca="false">IFERROR(AVERAGEIFS($X$7:$X$294,$B$7:$B$294,$B286,$A$7:$A$294,"&gt;="&amp;EDATE($A286,-12*'Seasonal Factors'!$E$4),$A$7:$A$294,"&lt;="&amp;EDATE($A286,12*'Seasonal Factors'!$E$4)),"")</f>
        <v>0.968849180455845</v>
      </c>
      <c r="Z286" s="24" t="n">
        <f aca="false">IFERROR(Y286/AVERAGE(Y281:Y292),"")</f>
        <v>0.970141137023662</v>
      </c>
      <c r="AA286" s="23" t="str">
        <f aca="false">IF(ISNUMBER(Tabelle1!K293),(0.5*Tabelle1!K281+SUM(Tabelle1!K282:K292)+0.5*Tabelle1!K293)/12,"")</f>
        <v/>
      </c>
      <c r="AB286" s="24" t="str">
        <f aca="false">IFERROR(Tabelle1!K287/AA286,"")</f>
        <v/>
      </c>
      <c r="AC286" s="24" t="n">
        <f aca="false">IFERROR(AVERAGEIFS($AB$7:$AB$294,$B$7:$B$294,$B286,$A$7:$A$294,"&gt;="&amp;EDATE($A286,-12*'Seasonal Factors'!$E$4),$A$7:$A$294,"&lt;="&amp;EDATE($A286,12*'Seasonal Factors'!$E$4)),"")</f>
        <v>0.996484640286136</v>
      </c>
      <c r="AD286" s="24" t="n">
        <f aca="false">IFERROR(AC286/AVERAGE(AC281:AC292),"")</f>
        <v>0.998040010204016</v>
      </c>
      <c r="AE286" s="23" t="str">
        <f aca="false">IF(ISNUMBER(Tabelle1!L293),(0.5*Tabelle1!L281+SUM(Tabelle1!L282:L292)+0.5*Tabelle1!L293)/12,"")</f>
        <v/>
      </c>
      <c r="AF286" s="24" t="str">
        <f aca="false">IFERROR(Tabelle1!L287/AE286,"")</f>
        <v/>
      </c>
      <c r="AG286" s="24" t="n">
        <f aca="false">IFERROR(AVERAGEIFS($AF$7:$AF$294,$B$7:$B$294,$B286,$A$7:$A$294,"&gt;="&amp;EDATE($A286,-12*'Seasonal Factors'!$E$4),$A$7:$A$294,"&lt;="&amp;EDATE($A286,12*'Seasonal Factors'!$E$4)),"")</f>
        <v>0.710449774111007</v>
      </c>
      <c r="AH286" s="24" t="n">
        <f aca="false">IFERROR(AG286/AVERAGE(AG281:AG292),"")</f>
        <v>0.709210323520837</v>
      </c>
      <c r="AI286" s="23" t="str">
        <f aca="false">IF(ISNUMBER(Tabelle1!M293),(0.5*Tabelle1!M281+SUM(Tabelle1!M282:M292)+0.5*Tabelle1!M293)/12,"")</f>
        <v/>
      </c>
      <c r="AJ286" s="24" t="str">
        <f aca="false">IFERROR(Tabelle1!M287/AI286,"")</f>
        <v/>
      </c>
      <c r="AK286" s="24" t="n">
        <f aca="false">IFERROR(AVERAGEIFS($AJ$7:$AJ$294,$B$7:$B$294,$B286,$A$7:$A$294,"&gt;="&amp;EDATE($A286,-12*'Seasonal Factors'!$E$4),$A$7:$A$294,"&lt;="&amp;EDATE($A286,12*'Seasonal Factors'!$E$4)),"")</f>
        <v>1.01579495492504</v>
      </c>
      <c r="AL286" s="24" t="n">
        <f aca="false">IFERROR(AK286/AVERAGE(AK281:AK292),"")</f>
        <v>1.01664780326591</v>
      </c>
      <c r="AM286" s="23" t="str">
        <f aca="false">IF(ISNUMBER(Tabelle1!N293),(0.5*Tabelle1!N281+SUM(Tabelle1!N282:N292)+0.5*Tabelle1!N293)/12,"")</f>
        <v/>
      </c>
      <c r="AN286" s="24" t="str">
        <f aca="false">IFERROR(Tabelle1!N287/AM286,"")</f>
        <v/>
      </c>
      <c r="AO286" s="24" t="n">
        <f aca="false">IFERROR(AVERAGEIFS($AN$7:$AN$294,$B$7:$B$294,$B286,$A$7:$A$294,"&gt;="&amp;EDATE($A286,-12*'Seasonal Factors'!$E$4),$A$7:$A$294,"&lt;="&amp;EDATE($A286,12*'Seasonal Factors'!$E$4)),"")</f>
        <v>1.0156536850337</v>
      </c>
      <c r="AP286" s="24" t="n">
        <f aca="false">IFERROR(AO286/AVERAGE(AO281:AO292),"")</f>
        <v>1.01498888281681</v>
      </c>
      <c r="AQ286" s="23" t="str">
        <f aca="false">IF(ISNUMBER(Tabelle1!O293),(0.5*Tabelle1!O281+SUM(Tabelle1!O282:O292)+0.5*Tabelle1!O293)/12,"")</f>
        <v/>
      </c>
      <c r="AR286" s="24" t="str">
        <f aca="false">IFERROR(Tabelle1!O287/AQ286,"")</f>
        <v/>
      </c>
      <c r="AS286" s="24" t="n">
        <f aca="false">IFERROR(AVERAGEIFS($AR$7:$AR$294,$B$7:$B$294,$B286,$A$7:$A$294,"&gt;="&amp;EDATE($A286,-12*'Seasonal Factors'!$E$4),$A$7:$A$294,"&lt;="&amp;EDATE($A286,12*'Seasonal Factors'!$E$4)),"")</f>
        <v>1.00406428839856</v>
      </c>
      <c r="AT286" s="24" t="n">
        <f aca="false">IFERROR(AS286/AVERAGE(AS281:AS292),"")</f>
        <v>1.00389032823749</v>
      </c>
      <c r="AU286" s="23" t="str">
        <f aca="false">IF(ISNUMBER(Tabelle1!P293),(0.5*Tabelle1!P281+SUM(Tabelle1!P282:P292)+0.5*Tabelle1!P293)/12,"")</f>
        <v/>
      </c>
      <c r="AV286" s="24" t="str">
        <f aca="false">IFERROR(Tabelle1!P287/AU286,"")</f>
        <v/>
      </c>
      <c r="AW286" s="24" t="n">
        <f aca="false">IFERROR(AVERAGEIFS($AV$7:$AV$294,$B$7:$B$294,$B286,$A$7:$A$294,"&gt;="&amp;EDATE($A286,-12*'Seasonal Factors'!$E$4),$A$7:$A$294,"&lt;="&amp;EDATE($A286,12*'Seasonal Factors'!$E$4)),"")</f>
        <v>0.992795128965276</v>
      </c>
      <c r="AX286" s="24" t="n">
        <f aca="false">IFERROR(AW286/AVERAGE(AW281:AW292),"")</f>
        <v>0.99235941633347</v>
      </c>
      <c r="AY286" s="23" t="str">
        <f aca="false">IF(ISNUMBER(Tabelle1!Q293),(0.5*Tabelle1!Q281+SUM(Tabelle1!Q282:Q292)+0.5*Tabelle1!Q293)/12,"")</f>
        <v/>
      </c>
      <c r="AZ286" s="24" t="str">
        <f aca="false">IFERROR(Tabelle1!Q287/AY286,"")</f>
        <v/>
      </c>
      <c r="BA286" s="24" t="n">
        <f aca="false">IFERROR(AVERAGEIFS($AZ$7:$AZ$294,$B$7:$B$294,$B286,$A$7:$A$294,"&gt;="&amp;EDATE($A286,-12*'Seasonal Factors'!$E$4),$A$7:$A$294,"&lt;="&amp;EDATE($A286,12*'Seasonal Factors'!$E$4)),"")</f>
        <v>0.995142507474377</v>
      </c>
      <c r="BB286" s="24" t="n">
        <f aca="false">IFERROR(BA286/AVERAGE(BA281:BA292),"")</f>
        <v>0.994798628189776</v>
      </c>
      <c r="BC286" s="23" t="str">
        <f aca="false">IF(ISNUMBER(Tabelle1!R293),(0.5*Tabelle1!R281+SUM(Tabelle1!R282:R292)+0.5*Tabelle1!R293)/12,"")</f>
        <v/>
      </c>
      <c r="BD286" s="24" t="str">
        <f aca="false">IFERROR(Tabelle1!R287/BC286,"")</f>
        <v/>
      </c>
      <c r="BE286" s="24" t="n">
        <f aca="false">IFERROR(AVERAGEIFS($BD$7:$BD$294,$B$7:$B$294,$B286,$A$7:$A$294,"&gt;="&amp;EDATE($A286,-12*'Seasonal Factors'!$E$4),$A$7:$A$294,"&lt;="&amp;EDATE($A286,12*'Seasonal Factors'!$E$4)),"")</f>
        <v>1.04730214148923</v>
      </c>
      <c r="BF286" s="24" t="n">
        <f aca="false">IFERROR(BE286/AVERAGE(BE281:BE292),"")</f>
        <v>1.04735661233679</v>
      </c>
      <c r="BG286" s="23" t="str">
        <f aca="false">IF(ISNUMBER(Tabelle1!S293),(0.5*Tabelle1!S281+SUM(Tabelle1!S282:S292)+0.5*Tabelle1!S293)/12,"")</f>
        <v/>
      </c>
      <c r="BH286" s="24" t="str">
        <f aca="false">IFERROR(Tabelle1!S287/BG286,"")</f>
        <v/>
      </c>
      <c r="BI286" s="24" t="n">
        <f aca="false">IFERROR(AVERAGEIFS($BH$7:$BH$294,$B$7:$B$294,$B286,$A$7:$A$294,"&gt;="&amp;EDATE($A286,-12*'Seasonal Factors'!$E$4),$A$7:$A$294,"&lt;="&amp;EDATE($A286,12*'Seasonal Factors'!$E$4)),"")</f>
        <v>0.938716875040138</v>
      </c>
      <c r="BJ286" s="24" t="n">
        <f aca="false">IFERROR(BI286/AVERAGE(BI281:BI292),"")</f>
        <v>0.938791245252138</v>
      </c>
    </row>
    <row r="287" customFormat="false" ht="15" hidden="false" customHeight="false" outlineLevel="0" collapsed="false">
      <c r="A287" s="20" t="n">
        <v>46538</v>
      </c>
      <c r="B287" s="22" t="n">
        <f aca="false">MONTH(A287)</f>
        <v>5</v>
      </c>
      <c r="C287" s="23" t="str">
        <f aca="false">IF(ISNUMBER(Tabelle1!E294),(0.5*Tabelle1!E282+SUM(Tabelle1!E283:E293)+0.5*Tabelle1!E294)/12,"")</f>
        <v/>
      </c>
      <c r="D287" s="24" t="str">
        <f aca="false">IFERROR(Tabelle1!E288/C287,"")</f>
        <v/>
      </c>
      <c r="E287" s="24" t="n">
        <f aca="false">IFERROR(AVERAGEIFS($D$7:$D$294,$B$7:$B$294,$B287,$A$7:$A$294,"&gt;="&amp;EDATE($A287,-12*'Seasonal Factors'!$E$4),$A$7:$A$294,"&lt;="&amp;EDATE($A287,12*'Seasonal Factors'!$E$4)),"")</f>
        <v>1.96694376894829</v>
      </c>
      <c r="F287" s="24" t="n">
        <f aca="false">IFERROR(E287/AVERAGE(E282:E293),"")</f>
        <v>1.98683897002008</v>
      </c>
      <c r="G287" s="23" t="str">
        <f aca="false">IF(ISNUMBER(Tabelle1!F294),(0.5*Tabelle1!F282+SUM(Tabelle1!F283:F293)+0.5*Tabelle1!F294)/12,"")</f>
        <v/>
      </c>
      <c r="H287" s="24" t="str">
        <f aca="false">IFERROR(Tabelle1!F288/G287,"")</f>
        <v/>
      </c>
      <c r="I287" s="24" t="n">
        <f aca="false">IFERROR(AVERAGEIFS($H$7:$H$294,$B$7:$B$294,$B287,$A$7:$A$294,"&gt;="&amp;EDATE($A287,-12*'Seasonal Factors'!$E$4),$A$7:$A$294,"&lt;="&amp;EDATE($A287,12*'Seasonal Factors'!$E$4)),"")</f>
        <v>0.839499772224915</v>
      </c>
      <c r="J287" s="24" t="n">
        <f aca="false">IFERROR(I287/AVERAGE(I282:I293),"")</f>
        <v>0.845162609125293</v>
      </c>
      <c r="K287" s="23" t="str">
        <f aca="false">IF(ISNUMBER(Tabelle1!G294),(0.5*Tabelle1!G282+SUM(Tabelle1!G283:G293)+0.5*Tabelle1!G294)/12,"")</f>
        <v/>
      </c>
      <c r="L287" s="24" t="str">
        <f aca="false">IFERROR(Tabelle1!G288/K287,"")</f>
        <v/>
      </c>
      <c r="M287" s="24" t="n">
        <f aca="false">IFERROR(AVERAGEIFS($L$7:$L$294,$B$7:$B$294,$B287,$A$7:$A$294,"&gt;="&amp;EDATE($A287,-12*'Seasonal Factors'!$E$4),$A$7:$A$294,"&lt;="&amp;EDATE($A287,12*'Seasonal Factors'!$E$4)),"")</f>
        <v>1.04913441145009</v>
      </c>
      <c r="N287" s="24" t="n">
        <f aca="false">IFERROR(M287/AVERAGE(M282:M293),"")</f>
        <v>1.0505430363691</v>
      </c>
      <c r="O287" s="23" t="str">
        <f aca="false">IF(ISNUMBER(Tabelle1!H294),(0.5*Tabelle1!H282+SUM(Tabelle1!H283:H293)+0.5*Tabelle1!H294)/12,"")</f>
        <v/>
      </c>
      <c r="P287" s="24" t="str">
        <f aca="false">IFERROR(Tabelle1!H288/O287,"")</f>
        <v/>
      </c>
      <c r="Q287" s="24" t="n">
        <f aca="false">IFERROR(AVERAGEIFS($P$7:$P$294,$B$7:$B$294,$B287,$A$7:$A$294,"&gt;="&amp;EDATE($A287,-12*'Seasonal Factors'!$E$4),$A$7:$A$294,"&lt;="&amp;EDATE($A287,12*'Seasonal Factors'!$E$4)),"")</f>
        <v>1.0070228946223</v>
      </c>
      <c r="R287" s="24" t="n">
        <f aca="false">IFERROR(Q287/AVERAGE(Q282:Q293),"")</f>
        <v>1.00759336522851</v>
      </c>
      <c r="S287" s="23" t="str">
        <f aca="false">IF(ISNUMBER(Tabelle1!I294),(0.5*Tabelle1!I282+SUM(Tabelle1!I283:I293)+0.5*Tabelle1!I294)/12,"")</f>
        <v/>
      </c>
      <c r="T287" s="24" t="str">
        <f aca="false">IFERROR(Tabelle1!I288/S287,"")</f>
        <v/>
      </c>
      <c r="U287" s="24" t="n">
        <f aca="false">IFERROR(AVERAGEIFS($T$7:$T$294,$B$7:$B$294,$B287,$A$7:$A$294,"&gt;="&amp;EDATE($A287,-12*'Seasonal Factors'!$E$4),$A$7:$A$294,"&lt;="&amp;EDATE($A287,12*'Seasonal Factors'!$E$4)),"")</f>
        <v>1.00977823955052</v>
      </c>
      <c r="V287" s="24" t="n">
        <f aca="false">IFERROR(U287/AVERAGE(U282:U293),"")</f>
        <v>1.00955313679079</v>
      </c>
      <c r="W287" s="23" t="str">
        <f aca="false">IF(ISNUMBER(Tabelle1!J294),(0.5*Tabelle1!J282+SUM(Tabelle1!J283:J293)+0.5*Tabelle1!J294)/12,"")</f>
        <v/>
      </c>
      <c r="X287" s="24" t="str">
        <f aca="false">IFERROR(Tabelle1!J288/W287,"")</f>
        <v/>
      </c>
      <c r="Y287" s="24" t="n">
        <f aca="false">IFERROR(AVERAGEIFS($X$7:$X$294,$B$7:$B$294,$B287,$A$7:$A$294,"&gt;="&amp;EDATE($A287,-12*'Seasonal Factors'!$E$4),$A$7:$A$294,"&lt;="&amp;EDATE($A287,12*'Seasonal Factors'!$E$4)),"")</f>
        <v>0.934069474236226</v>
      </c>
      <c r="Z287" s="24" t="n">
        <f aca="false">IFERROR(Y287/AVERAGE(Y282:Y293),"")</f>
        <v>0.934918984002598</v>
      </c>
      <c r="AA287" s="23" t="str">
        <f aca="false">IF(ISNUMBER(Tabelle1!K294),(0.5*Tabelle1!K282+SUM(Tabelle1!K283:K293)+0.5*Tabelle1!K294)/12,"")</f>
        <v/>
      </c>
      <c r="AB287" s="24" t="str">
        <f aca="false">IFERROR(Tabelle1!K288/AA287,"")</f>
        <v/>
      </c>
      <c r="AC287" s="24" t="n">
        <f aca="false">IFERROR(AVERAGEIFS($AB$7:$AB$294,$B$7:$B$294,$B287,$A$7:$A$294,"&gt;="&amp;EDATE($A287,-12*'Seasonal Factors'!$E$4),$A$7:$A$294,"&lt;="&amp;EDATE($A287,12*'Seasonal Factors'!$E$4)),"")</f>
        <v>1.03227149254911</v>
      </c>
      <c r="AD287" s="24" t="n">
        <f aca="false">IFERROR(AC287/AVERAGE(AC282:AC293),"")</f>
        <v>1.03370288679258</v>
      </c>
      <c r="AE287" s="23" t="str">
        <f aca="false">IF(ISNUMBER(Tabelle1!L294),(0.5*Tabelle1!L282+SUM(Tabelle1!L283:L293)+0.5*Tabelle1!L294)/12,"")</f>
        <v/>
      </c>
      <c r="AF287" s="24" t="str">
        <f aca="false">IFERROR(Tabelle1!L288/AE287,"")</f>
        <v/>
      </c>
      <c r="AG287" s="24" t="n">
        <f aca="false">IFERROR(AVERAGEIFS($AF$7:$AF$294,$B$7:$B$294,$B287,$A$7:$A$294,"&gt;="&amp;EDATE($A287,-12*'Seasonal Factors'!$E$4),$A$7:$A$294,"&lt;="&amp;EDATE($A287,12*'Seasonal Factors'!$E$4)),"")</f>
        <v>0.898046315067784</v>
      </c>
      <c r="AH287" s="24" t="n">
        <f aca="false">IFERROR(AG287/AVERAGE(AG282:AG293),"")</f>
        <v>0.895140185013641</v>
      </c>
      <c r="AI287" s="23" t="str">
        <f aca="false">IF(ISNUMBER(Tabelle1!M294),(0.5*Tabelle1!M282+SUM(Tabelle1!M283:M293)+0.5*Tabelle1!M294)/12,"")</f>
        <v/>
      </c>
      <c r="AJ287" s="24" t="str">
        <f aca="false">IFERROR(Tabelle1!M288/AI287,"")</f>
        <v/>
      </c>
      <c r="AK287" s="24" t="n">
        <f aca="false">IFERROR(AVERAGEIFS($AJ$7:$AJ$294,$B$7:$B$294,$B287,$A$7:$A$294,"&gt;="&amp;EDATE($A287,-12*'Seasonal Factors'!$E$4),$A$7:$A$294,"&lt;="&amp;EDATE($A287,12*'Seasonal Factors'!$E$4)),"")</f>
        <v>1.05475864126693</v>
      </c>
      <c r="AL287" s="24" t="n">
        <f aca="false">IFERROR(AK287/AVERAGE(AK282:AK293),"")</f>
        <v>1.05559132344518</v>
      </c>
      <c r="AM287" s="23" t="str">
        <f aca="false">IF(ISNUMBER(Tabelle1!N294),(0.5*Tabelle1!N282+SUM(Tabelle1!N283:N293)+0.5*Tabelle1!N294)/12,"")</f>
        <v/>
      </c>
      <c r="AN287" s="24" t="str">
        <f aca="false">IFERROR(Tabelle1!N288/AM287,"")</f>
        <v/>
      </c>
      <c r="AO287" s="24" t="n">
        <f aca="false">IFERROR(AVERAGEIFS($AN$7:$AN$294,$B$7:$B$294,$B287,$A$7:$A$294,"&gt;="&amp;EDATE($A287,-12*'Seasonal Factors'!$E$4),$A$7:$A$294,"&lt;="&amp;EDATE($A287,12*'Seasonal Factors'!$E$4)),"")</f>
        <v>0.922044944230453</v>
      </c>
      <c r="AP287" s="24" t="n">
        <f aca="false">IFERROR(AO287/AVERAGE(AO282:AO293),"")</f>
        <v>0.921171846280477</v>
      </c>
      <c r="AQ287" s="23" t="str">
        <f aca="false">IF(ISNUMBER(Tabelle1!O294),(0.5*Tabelle1!O282+SUM(Tabelle1!O283:O293)+0.5*Tabelle1!O294)/12,"")</f>
        <v/>
      </c>
      <c r="AR287" s="24" t="str">
        <f aca="false">IFERROR(Tabelle1!O288/AQ287,"")</f>
        <v/>
      </c>
      <c r="AS287" s="24" t="n">
        <f aca="false">IFERROR(AVERAGEIFS($AR$7:$AR$294,$B$7:$B$294,$B287,$A$7:$A$294,"&gt;="&amp;EDATE($A287,-12*'Seasonal Factors'!$E$4),$A$7:$A$294,"&lt;="&amp;EDATE($A287,12*'Seasonal Factors'!$E$4)),"")</f>
        <v>1.00782731307502</v>
      </c>
      <c r="AT287" s="24" t="n">
        <f aca="false">IFERROR(AS287/AVERAGE(AS282:AS293),"")</f>
        <v>1.00765181212704</v>
      </c>
      <c r="AU287" s="23" t="str">
        <f aca="false">IF(ISNUMBER(Tabelle1!P294),(0.5*Tabelle1!P282+SUM(Tabelle1!P283:P293)+0.5*Tabelle1!P294)/12,"")</f>
        <v/>
      </c>
      <c r="AV287" s="24" t="str">
        <f aca="false">IFERROR(Tabelle1!P288/AU287,"")</f>
        <v/>
      </c>
      <c r="AW287" s="24" t="n">
        <f aca="false">IFERROR(AVERAGEIFS($AV$7:$AV$294,$B$7:$B$294,$B287,$A$7:$A$294,"&gt;="&amp;EDATE($A287,-12*'Seasonal Factors'!$E$4),$A$7:$A$294,"&lt;="&amp;EDATE($A287,12*'Seasonal Factors'!$E$4)),"")</f>
        <v>0.994885105234156</v>
      </c>
      <c r="AX287" s="24" t="n">
        <f aca="false">IFERROR(AW287/AVERAGE(AW282:AW293),"")</f>
        <v>0.994327972418914</v>
      </c>
      <c r="AY287" s="23" t="str">
        <f aca="false">IF(ISNUMBER(Tabelle1!Q294),(0.5*Tabelle1!Q282+SUM(Tabelle1!Q283:Q293)+0.5*Tabelle1!Q294)/12,"")</f>
        <v/>
      </c>
      <c r="AZ287" s="24" t="str">
        <f aca="false">IFERROR(Tabelle1!Q288/AY287,"")</f>
        <v/>
      </c>
      <c r="BA287" s="24" t="n">
        <f aca="false">IFERROR(AVERAGEIFS($AZ$7:$AZ$294,$B$7:$B$294,$B287,$A$7:$A$294,"&gt;="&amp;EDATE($A287,-12*'Seasonal Factors'!$E$4),$A$7:$A$294,"&lt;="&amp;EDATE($A287,12*'Seasonal Factors'!$E$4)),"")</f>
        <v>0.998878295518749</v>
      </c>
      <c r="BB287" s="24" t="n">
        <f aca="false">IFERROR(BA287/AVERAGE(BA282:BA293),"")</f>
        <v>0.998492716689539</v>
      </c>
      <c r="BC287" s="23" t="str">
        <f aca="false">IF(ISNUMBER(Tabelle1!R294),(0.5*Tabelle1!R282+SUM(Tabelle1!R283:R293)+0.5*Tabelle1!R294)/12,"")</f>
        <v/>
      </c>
      <c r="BD287" s="24" t="str">
        <f aca="false">IFERROR(Tabelle1!R288/BC287,"")</f>
        <v/>
      </c>
      <c r="BE287" s="24" t="n">
        <f aca="false">IFERROR(AVERAGEIFS($BD$7:$BD$294,$B$7:$B$294,$B287,$A$7:$A$294,"&gt;="&amp;EDATE($A287,-12*'Seasonal Factors'!$E$4),$A$7:$A$294,"&lt;="&amp;EDATE($A287,12*'Seasonal Factors'!$E$4)),"")</f>
        <v>1.0616753488289</v>
      </c>
      <c r="BF287" s="24" t="n">
        <f aca="false">IFERROR(BE287/AVERAGE(BE282:BE293),"")</f>
        <v>1.0617063694448</v>
      </c>
      <c r="BG287" s="23" t="str">
        <f aca="false">IF(ISNUMBER(Tabelle1!S294),(0.5*Tabelle1!S282+SUM(Tabelle1!S283:S293)+0.5*Tabelle1!S294)/12,"")</f>
        <v/>
      </c>
      <c r="BH287" s="24" t="str">
        <f aca="false">IFERROR(Tabelle1!S288/BG287,"")</f>
        <v/>
      </c>
      <c r="BI287" s="24" t="n">
        <f aca="false">IFERROR(AVERAGEIFS($BH$7:$BH$294,$B$7:$B$294,$B287,$A$7:$A$294,"&gt;="&amp;EDATE($A287,-12*'Seasonal Factors'!$E$4),$A$7:$A$294,"&lt;="&amp;EDATE($A287,12*'Seasonal Factors'!$E$4)),"")</f>
        <v>0.920623227963746</v>
      </c>
      <c r="BJ287" s="24" t="n">
        <f aca="false">IFERROR(BI287/AVERAGE(BI282:BI293),"")</f>
        <v>0.920817446845428</v>
      </c>
    </row>
    <row r="288" customFormat="false" ht="15" hidden="false" customHeight="false" outlineLevel="0" collapsed="false">
      <c r="A288" s="20" t="n">
        <v>46568</v>
      </c>
      <c r="B288" s="22" t="n">
        <f aca="false">MONTH(A288)</f>
        <v>6</v>
      </c>
      <c r="C288" s="23" t="str">
        <f aca="false">IF(ISNUMBER(Tabelle1!E295),(0.5*Tabelle1!E283+SUM(Tabelle1!E284:E294)+0.5*Tabelle1!E295)/12,"")</f>
        <v/>
      </c>
      <c r="D288" s="24" t="str">
        <f aca="false">IFERROR(Tabelle1!E289/C288,"")</f>
        <v/>
      </c>
      <c r="E288" s="24" t="n">
        <f aca="false">IFERROR(AVERAGEIFS($D$7:$D$294,$B$7:$B$294,$B288,$A$7:$A$294,"&gt;="&amp;EDATE($A288,-12*'Seasonal Factors'!$E$4),$A$7:$A$294,"&lt;="&amp;EDATE($A288,12*'Seasonal Factors'!$E$4)),"")</f>
        <v>1.39229279363728</v>
      </c>
      <c r="F288" s="24" t="n">
        <f aca="false">IFERROR(E288/AVERAGE(E283:E294),"")</f>
        <v>1.409471114469</v>
      </c>
      <c r="G288" s="23" t="str">
        <f aca="false">IF(ISNUMBER(Tabelle1!F295),(0.5*Tabelle1!F283+SUM(Tabelle1!F284:F294)+0.5*Tabelle1!F295)/12,"")</f>
        <v/>
      </c>
      <c r="H288" s="24" t="str">
        <f aca="false">IFERROR(Tabelle1!F289/G288,"")</f>
        <v/>
      </c>
      <c r="I288" s="24" t="n">
        <f aca="false">IFERROR(AVERAGEIFS($H$7:$H$294,$B$7:$B$294,$B288,$A$7:$A$294,"&gt;="&amp;EDATE($A288,-12*'Seasonal Factors'!$E$4),$A$7:$A$294,"&lt;="&amp;EDATE($A288,12*'Seasonal Factors'!$E$4)),"")</f>
        <v>1.17066934249846</v>
      </c>
      <c r="J288" s="24" t="n">
        <f aca="false">IFERROR(I288/AVERAGE(I283:I294),"")</f>
        <v>1.18019514700407</v>
      </c>
      <c r="K288" s="23" t="str">
        <f aca="false">IF(ISNUMBER(Tabelle1!G295),(0.5*Tabelle1!G283+SUM(Tabelle1!G284:G294)+0.5*Tabelle1!G295)/12,"")</f>
        <v/>
      </c>
      <c r="L288" s="24" t="str">
        <f aca="false">IFERROR(Tabelle1!G289/K288,"")</f>
        <v/>
      </c>
      <c r="M288" s="24" t="n">
        <f aca="false">IFERROR(AVERAGEIFS($L$7:$L$294,$B$7:$B$294,$B288,$A$7:$A$294,"&gt;="&amp;EDATE($A288,-12*'Seasonal Factors'!$E$4),$A$7:$A$294,"&lt;="&amp;EDATE($A288,12*'Seasonal Factors'!$E$4)),"")</f>
        <v>0.986195561032378</v>
      </c>
      <c r="N288" s="24" t="n">
        <f aca="false">IFERROR(M288/AVERAGE(M283:M294),"")</f>
        <v>0.98738963222405</v>
      </c>
      <c r="O288" s="23" t="str">
        <f aca="false">IF(ISNUMBER(Tabelle1!H295),(0.5*Tabelle1!H283+SUM(Tabelle1!H284:H294)+0.5*Tabelle1!H295)/12,"")</f>
        <v/>
      </c>
      <c r="P288" s="24" t="str">
        <f aca="false">IFERROR(Tabelle1!H289/O288,"")</f>
        <v/>
      </c>
      <c r="Q288" s="24" t="n">
        <f aca="false">IFERROR(AVERAGEIFS($P$7:$P$294,$B$7:$B$294,$B288,$A$7:$A$294,"&gt;="&amp;EDATE($A288,-12*'Seasonal Factors'!$E$4),$A$7:$A$294,"&lt;="&amp;EDATE($A288,12*'Seasonal Factors'!$E$4)),"")</f>
        <v>0.974661182743241</v>
      </c>
      <c r="R288" s="24" t="n">
        <f aca="false">IFERROR(Q288/AVERAGE(Q283:Q294),"")</f>
        <v>0.975152480969402</v>
      </c>
      <c r="S288" s="23" t="str">
        <f aca="false">IF(ISNUMBER(Tabelle1!I295),(0.5*Tabelle1!I283+SUM(Tabelle1!I284:I294)+0.5*Tabelle1!I295)/12,"")</f>
        <v/>
      </c>
      <c r="T288" s="24" t="str">
        <f aca="false">IFERROR(Tabelle1!I289/S288,"")</f>
        <v/>
      </c>
      <c r="U288" s="24" t="n">
        <f aca="false">IFERROR(AVERAGEIFS($T$7:$T$294,$B$7:$B$294,$B288,$A$7:$A$294,"&gt;="&amp;EDATE($A288,-12*'Seasonal Factors'!$E$4),$A$7:$A$294,"&lt;="&amp;EDATE($A288,12*'Seasonal Factors'!$E$4)),"")</f>
        <v>1.03860272493853</v>
      </c>
      <c r="V288" s="24" t="n">
        <f aca="false">IFERROR(U288/AVERAGE(U283:U294),"")</f>
        <v>1.04147220765845</v>
      </c>
      <c r="W288" s="23" t="str">
        <f aca="false">IF(ISNUMBER(Tabelle1!J295),(0.5*Tabelle1!J283+SUM(Tabelle1!J284:J294)+0.5*Tabelle1!J295)/12,"")</f>
        <v/>
      </c>
      <c r="X288" s="24" t="str">
        <f aca="false">IFERROR(Tabelle1!J289/W288,"")</f>
        <v/>
      </c>
      <c r="Y288" s="24" t="n">
        <f aca="false">IFERROR(AVERAGEIFS($X$7:$X$294,$B$7:$B$294,$B288,$A$7:$A$294,"&gt;="&amp;EDATE($A288,-12*'Seasonal Factors'!$E$4),$A$7:$A$294,"&lt;="&amp;EDATE($A288,12*'Seasonal Factors'!$E$4)),"")</f>
        <v>0.959443269804694</v>
      </c>
      <c r="Z288" s="24" t="n">
        <f aca="false">IFERROR(Y288/AVERAGE(Y283:Y294),"")</f>
        <v>0.959432002053255</v>
      </c>
      <c r="AA288" s="23" t="str">
        <f aca="false">IF(ISNUMBER(Tabelle1!K295),(0.5*Tabelle1!K283+SUM(Tabelle1!K284:K294)+0.5*Tabelle1!K295)/12,"")</f>
        <v/>
      </c>
      <c r="AB288" s="24" t="str">
        <f aca="false">IFERROR(Tabelle1!K289/AA288,"")</f>
        <v/>
      </c>
      <c r="AC288" s="24" t="n">
        <f aca="false">IFERROR(AVERAGEIFS($AB$7:$AB$294,$B$7:$B$294,$B288,$A$7:$A$294,"&gt;="&amp;EDATE($A288,-12*'Seasonal Factors'!$E$4),$A$7:$A$294,"&lt;="&amp;EDATE($A288,12*'Seasonal Factors'!$E$4)),"")</f>
        <v>1.01528422257436</v>
      </c>
      <c r="AD288" s="24" t="n">
        <f aca="false">IFERROR(AC288/AVERAGE(AC283:AC294),"")</f>
        <v>1.01682492312999</v>
      </c>
      <c r="AE288" s="23" t="str">
        <f aca="false">IF(ISNUMBER(Tabelle1!L295),(0.5*Tabelle1!L283+SUM(Tabelle1!L284:L294)+0.5*Tabelle1!L295)/12,"")</f>
        <v/>
      </c>
      <c r="AF288" s="24" t="str">
        <f aca="false">IFERROR(Tabelle1!L289/AE288,"")</f>
        <v/>
      </c>
      <c r="AG288" s="24" t="n">
        <f aca="false">IFERROR(AVERAGEIFS($AF$7:$AF$294,$B$7:$B$294,$B288,$A$7:$A$294,"&gt;="&amp;EDATE($A288,-12*'Seasonal Factors'!$E$4),$A$7:$A$294,"&lt;="&amp;EDATE($A288,12*'Seasonal Factors'!$E$4)),"")</f>
        <v>1.06596392057727</v>
      </c>
      <c r="AH288" s="24" t="n">
        <f aca="false">IFERROR(AG288/AVERAGE(AG283:AG294),"")</f>
        <v>1.06005129992736</v>
      </c>
      <c r="AI288" s="23" t="str">
        <f aca="false">IF(ISNUMBER(Tabelle1!M295),(0.5*Tabelle1!M283+SUM(Tabelle1!M284:M294)+0.5*Tabelle1!M295)/12,"")</f>
        <v/>
      </c>
      <c r="AJ288" s="24" t="str">
        <f aca="false">IFERROR(Tabelle1!M289/AI288,"")</f>
        <v/>
      </c>
      <c r="AK288" s="24" t="n">
        <f aca="false">IFERROR(AVERAGEIFS($AJ$7:$AJ$294,$B$7:$B$294,$B288,$A$7:$A$294,"&gt;="&amp;EDATE($A288,-12*'Seasonal Factors'!$E$4),$A$7:$A$294,"&lt;="&amp;EDATE($A288,12*'Seasonal Factors'!$E$4)),"")</f>
        <v>1.01870975524458</v>
      </c>
      <c r="AL288" s="24" t="n">
        <f aca="false">IFERROR(AK288/AVERAGE(AK283:AK294),"")</f>
        <v>1.01942247193319</v>
      </c>
      <c r="AM288" s="23" t="str">
        <f aca="false">IF(ISNUMBER(Tabelle1!N295),(0.5*Tabelle1!N283+SUM(Tabelle1!N284:N294)+0.5*Tabelle1!N295)/12,"")</f>
        <v/>
      </c>
      <c r="AN288" s="24" t="str">
        <f aca="false">IFERROR(Tabelle1!N289/AM288,"")</f>
        <v/>
      </c>
      <c r="AO288" s="24" t="n">
        <f aca="false">IFERROR(AVERAGEIFS($AN$7:$AN$294,$B$7:$B$294,$B288,$A$7:$A$294,"&gt;="&amp;EDATE($A288,-12*'Seasonal Factors'!$E$4),$A$7:$A$294,"&lt;="&amp;EDATE($A288,12*'Seasonal Factors'!$E$4)),"")</f>
        <v>0.952461531676661</v>
      </c>
      <c r="AP288" s="24" t="n">
        <f aca="false">IFERROR(AO288/AVERAGE(AO283:AO294),"")</f>
        <v>0.952499596737094</v>
      </c>
      <c r="AQ288" s="23" t="str">
        <f aca="false">IF(ISNUMBER(Tabelle1!O295),(0.5*Tabelle1!O283+SUM(Tabelle1!O284:O294)+0.5*Tabelle1!O295)/12,"")</f>
        <v/>
      </c>
      <c r="AR288" s="24" t="str">
        <f aca="false">IFERROR(Tabelle1!O289/AQ288,"")</f>
        <v/>
      </c>
      <c r="AS288" s="24" t="n">
        <f aca="false">IFERROR(AVERAGEIFS($AR$7:$AR$294,$B$7:$B$294,$B288,$A$7:$A$294,"&gt;="&amp;EDATE($A288,-12*'Seasonal Factors'!$E$4),$A$7:$A$294,"&lt;="&amp;EDATE($A288,12*'Seasonal Factors'!$E$4)),"")</f>
        <v>1.00821353145289</v>
      </c>
      <c r="AT288" s="24" t="n">
        <f aca="false">IFERROR(AS288/AVERAGE(AS283:AS294),"")</f>
        <v>1.00778918057089</v>
      </c>
      <c r="AU288" s="23" t="str">
        <f aca="false">IF(ISNUMBER(Tabelle1!P295),(0.5*Tabelle1!P283+SUM(Tabelle1!P284:P294)+0.5*Tabelle1!P295)/12,"")</f>
        <v/>
      </c>
      <c r="AV288" s="24" t="str">
        <f aca="false">IFERROR(Tabelle1!P289/AU288,"")</f>
        <v/>
      </c>
      <c r="AW288" s="24" t="n">
        <f aca="false">IFERROR(AVERAGEIFS($AV$7:$AV$294,$B$7:$B$294,$B288,$A$7:$A$294,"&gt;="&amp;EDATE($A288,-12*'Seasonal Factors'!$E$4),$A$7:$A$294,"&lt;="&amp;EDATE($A288,12*'Seasonal Factors'!$E$4)),"")</f>
        <v>1.00214067389436</v>
      </c>
      <c r="AX288" s="24" t="n">
        <f aca="false">IFERROR(AW288/AVERAGE(AW283:AW294),"")</f>
        <v>1.00131873696627</v>
      </c>
      <c r="AY288" s="23" t="str">
        <f aca="false">IF(ISNUMBER(Tabelle1!Q295),(0.5*Tabelle1!Q283+SUM(Tabelle1!Q284:Q294)+0.5*Tabelle1!Q295)/12,"")</f>
        <v/>
      </c>
      <c r="AZ288" s="24" t="str">
        <f aca="false">IFERROR(Tabelle1!Q289/AY288,"")</f>
        <v/>
      </c>
      <c r="BA288" s="24" t="n">
        <f aca="false">IFERROR(AVERAGEIFS($AZ$7:$AZ$294,$B$7:$B$294,$B288,$A$7:$A$294,"&gt;="&amp;EDATE($A288,-12*'Seasonal Factors'!$E$4),$A$7:$A$294,"&lt;="&amp;EDATE($A288,12*'Seasonal Factors'!$E$4)),"")</f>
        <v>1.00468443261791</v>
      </c>
      <c r="BB288" s="24" t="n">
        <f aca="false">IFERROR(BA288/AVERAGE(BA283:BA294),"")</f>
        <v>1.00419021215276</v>
      </c>
      <c r="BC288" s="23" t="str">
        <f aca="false">IF(ISNUMBER(Tabelle1!R295),(0.5*Tabelle1!R283+SUM(Tabelle1!R284:R294)+0.5*Tabelle1!R295)/12,"")</f>
        <v/>
      </c>
      <c r="BD288" s="24" t="str">
        <f aca="false">IFERROR(Tabelle1!R289/BC288,"")</f>
        <v/>
      </c>
      <c r="BE288" s="24" t="n">
        <f aca="false">IFERROR(AVERAGEIFS($BD$7:$BD$294,$B$7:$B$294,$B288,$A$7:$A$294,"&gt;="&amp;EDATE($A288,-12*'Seasonal Factors'!$E$4),$A$7:$A$294,"&lt;="&amp;EDATE($A288,12*'Seasonal Factors'!$E$4)),"")</f>
        <v>1.0960077168333</v>
      </c>
      <c r="BF288" s="24" t="n">
        <f aca="false">IFERROR(BE288/AVERAGE(BE283:BE294),"")</f>
        <v>1.09595864814627</v>
      </c>
      <c r="BG288" s="23" t="str">
        <f aca="false">IF(ISNUMBER(Tabelle1!S295),(0.5*Tabelle1!S283+SUM(Tabelle1!S284:S294)+0.5*Tabelle1!S295)/12,"")</f>
        <v/>
      </c>
      <c r="BH288" s="24" t="str">
        <f aca="false">IFERROR(Tabelle1!S289/BG288,"")</f>
        <v/>
      </c>
      <c r="BI288" s="24" t="n">
        <f aca="false">IFERROR(AVERAGEIFS($BH$7:$BH$294,$B$7:$B$294,$B288,$A$7:$A$294,"&gt;="&amp;EDATE($A288,-12*'Seasonal Factors'!$E$4),$A$7:$A$294,"&lt;="&amp;EDATE($A288,12*'Seasonal Factors'!$E$4)),"")</f>
        <v>0.931854035656716</v>
      </c>
      <c r="BJ288" s="24" t="n">
        <f aca="false">IFERROR(BI288/AVERAGE(BI283:BI294),"")</f>
        <v>0.931687621877828</v>
      </c>
    </row>
    <row r="289" customFormat="false" ht="15" hidden="false" customHeight="false" outlineLevel="0" collapsed="false">
      <c r="A289" s="20" t="n">
        <v>46599</v>
      </c>
      <c r="B289" s="22" t="n">
        <f aca="false">MONTH(A289)</f>
        <v>7</v>
      </c>
      <c r="C289" s="23"/>
      <c r="D289" s="24"/>
      <c r="E289" s="24" t="n">
        <f aca="false">IFERROR(AVERAGEIFS($D$7:$D$294,$B$7:$B$294,$B289,$A$7:$A$294,"&gt;="&amp;EDATE($A289,-12*'Seasonal Factors'!$E$4),$A$7:$A$294,"&lt;="&amp;EDATE($A289,12*'Seasonal Factors'!$E$4)),"")</f>
        <v>0.941148411871838</v>
      </c>
      <c r="F289" s="24" t="n">
        <f aca="false">IFERROR(E289/AVERAGE(E284:E294),"")</f>
        <v>0.934314631012532</v>
      </c>
      <c r="G289" s="23"/>
      <c r="H289" s="24"/>
      <c r="I289" s="24" t="n">
        <f aca="false">IFERROR(AVERAGEIFS($H$7:$H$294,$B$7:$B$294,$B289,$A$7:$A$294,"&gt;="&amp;EDATE($A289,-12*'Seasonal Factors'!$E$4),$A$7:$A$294,"&lt;="&amp;EDATE($A289,12*'Seasonal Factors'!$E$4)),"")</f>
        <v>1.41087711956996</v>
      </c>
      <c r="J289" s="24" t="n">
        <f aca="false">IFERROR(I289/AVERAGE(I284:I294),"")</f>
        <v>1.42337317941995</v>
      </c>
      <c r="K289" s="23"/>
      <c r="L289" s="24"/>
      <c r="M289" s="24" t="n">
        <f aca="false">IFERROR(AVERAGEIFS($L$7:$L$294,$B$7:$B$294,$B289,$A$7:$A$294,"&gt;="&amp;EDATE($A289,-12*'Seasonal Factors'!$E$4),$A$7:$A$294,"&lt;="&amp;EDATE($A289,12*'Seasonal Factors'!$E$4)),"")</f>
        <v>1.0146179379264</v>
      </c>
      <c r="N289" s="24" t="n">
        <f aca="false">IFERROR(M289/AVERAGE(M284:M294),"")</f>
        <v>1.01869096178109</v>
      </c>
      <c r="O289" s="23"/>
      <c r="P289" s="24"/>
      <c r="Q289" s="24" t="n">
        <f aca="false">IFERROR(AVERAGEIFS($P$7:$P$294,$B$7:$B$294,$B289,$A$7:$A$294,"&gt;="&amp;EDATE($A289,-12*'Seasonal Factors'!$E$4),$A$7:$A$294,"&lt;="&amp;EDATE($A289,12*'Seasonal Factors'!$E$4)),"")</f>
        <v>1.05269058496541</v>
      </c>
      <c r="R289" s="24" t="n">
        <f aca="false">IFERROR(Q289/AVERAGE(Q284:Q294),"")</f>
        <v>1.04024972981424</v>
      </c>
      <c r="S289" s="23"/>
      <c r="T289" s="24"/>
      <c r="U289" s="24" t="n">
        <f aca="false">IFERROR(AVERAGEIFS($T$7:$T$294,$B$7:$B$294,$B289,$A$7:$A$294,"&gt;="&amp;EDATE($A289,-12*'Seasonal Factors'!$E$4),$A$7:$A$294,"&lt;="&amp;EDATE($A289,12*'Seasonal Factors'!$E$4)),"")</f>
        <v>1.0868687510016</v>
      </c>
      <c r="V289" s="24" t="n">
        <f aca="false">IFERROR(U289/AVERAGE(U284:U294),"")</f>
        <v>1.09963686126042</v>
      </c>
      <c r="W289" s="23"/>
      <c r="X289" s="24"/>
      <c r="Y289" s="24" t="n">
        <f aca="false">IFERROR(AVERAGEIFS($X$7:$X$294,$B$7:$B$294,$B289,$A$7:$A$294,"&gt;="&amp;EDATE($A289,-12*'Seasonal Factors'!$E$4),$A$7:$A$294,"&lt;="&amp;EDATE($A289,12*'Seasonal Factors'!$E$4)),"")</f>
        <v>1.0159227501972</v>
      </c>
      <c r="Z289" s="24" t="n">
        <f aca="false">IFERROR(Y289/AVERAGE(Y284:Y294),"")</f>
        <v>1.01628515711367</v>
      </c>
      <c r="AA289" s="23"/>
      <c r="AB289" s="24"/>
      <c r="AC289" s="24" t="n">
        <f aca="false">IFERROR(AVERAGEIFS($AB$7:$AB$294,$B$7:$B$294,$B289,$A$7:$A$294,"&gt;="&amp;EDATE($A289,-12*'Seasonal Factors'!$E$4),$A$7:$A$294,"&lt;="&amp;EDATE($A289,12*'Seasonal Factors'!$E$4)),"")</f>
        <v>1.01352891403489</v>
      </c>
      <c r="AD289" s="24" t="n">
        <f aca="false">IFERROR(AC289/AVERAGE(AC284:AC294),"")</f>
        <v>1.00834600321235</v>
      </c>
      <c r="AE289" s="23"/>
      <c r="AF289" s="24"/>
      <c r="AG289" s="24" t="n">
        <f aca="false">IFERROR(AVERAGEIFS($AF$7:$AF$294,$B$7:$B$294,$B289,$A$7:$A$294,"&gt;="&amp;EDATE($A289,-12*'Seasonal Factors'!$E$4),$A$7:$A$294,"&lt;="&amp;EDATE($A289,12*'Seasonal Factors'!$E$4)),"")</f>
        <v>0.949525811381241</v>
      </c>
      <c r="AH289" s="24" t="n">
        <f aca="false">IFERROR(AG289/AVERAGE(AG284:AG294),"")</f>
        <v>0.959117931856117</v>
      </c>
      <c r="AI289" s="23"/>
      <c r="AJ289" s="24"/>
      <c r="AK289" s="24" t="n">
        <f aca="false">IFERROR(AVERAGEIFS($AJ$7:$AJ$294,$B$7:$B$294,$B289,$A$7:$A$294,"&gt;="&amp;EDATE($A289,-12*'Seasonal Factors'!$E$4),$A$7:$A$294,"&lt;="&amp;EDATE($A289,12*'Seasonal Factors'!$E$4)),"")</f>
        <v>1.01584335450053</v>
      </c>
      <c r="AL289" s="24" t="n">
        <f aca="false">IFERROR(AK289/AVERAGE(AK284:AK294),"")</f>
        <v>1.01487292203397</v>
      </c>
      <c r="AM289" s="23"/>
      <c r="AN289" s="24"/>
      <c r="AO289" s="24" t="n">
        <f aca="false">IFERROR(AVERAGEIFS($AN$7:$AN$294,$B$7:$B$294,$B289,$A$7:$A$294,"&gt;="&amp;EDATE($A289,-12*'Seasonal Factors'!$E$4),$A$7:$A$294,"&lt;="&amp;EDATE($A289,12*'Seasonal Factors'!$E$4)),"")</f>
        <v>1.0124000115513</v>
      </c>
      <c r="AP289" s="24" t="n">
        <f aca="false">IFERROR(AO289/AVERAGE(AO284:AO294),"")</f>
        <v>1.01313242888422</v>
      </c>
      <c r="AQ289" s="23"/>
      <c r="AR289" s="24"/>
      <c r="AS289" s="24" t="n">
        <f aca="false">IFERROR(AVERAGEIFS($AR$7:$AR$294,$B$7:$B$294,$B289,$A$7:$A$294,"&gt;="&amp;EDATE($A289,-12*'Seasonal Factors'!$E$4),$A$7:$A$294,"&lt;="&amp;EDATE($A289,12*'Seasonal Factors'!$E$4)),"")</f>
        <v>0.995023747765438</v>
      </c>
      <c r="AT289" s="24" t="n">
        <f aca="false">IFERROR(AS289/AVERAGE(AS284:AS294),"")</f>
        <v>0.99221305717813</v>
      </c>
      <c r="AU289" s="23"/>
      <c r="AV289" s="24"/>
      <c r="AW289" s="24" t="n">
        <f aca="false">IFERROR(AVERAGEIFS($AV$7:$AV$294,$B$7:$B$294,$B289,$A$7:$A$294,"&gt;="&amp;EDATE($A289,-12*'Seasonal Factors'!$E$4),$A$7:$A$294,"&lt;="&amp;EDATE($A289,12*'Seasonal Factors'!$E$4)),"")</f>
        <v>1.00097218240631</v>
      </c>
      <c r="AX289" s="24" t="n">
        <f aca="false">IFERROR(AW289/AVERAGE(AW284:AW294),"")</f>
        <v>1.00042627291051</v>
      </c>
      <c r="AY289" s="23"/>
      <c r="AZ289" s="24"/>
      <c r="BA289" s="24" t="n">
        <f aca="false">IFERROR(AVERAGEIFS($AZ$7:$AZ$294,$B$7:$B$294,$B289,$A$7:$A$294,"&gt;="&amp;EDATE($A289,-12*'Seasonal Factors'!$E$4),$A$7:$A$294,"&lt;="&amp;EDATE($A289,12*'Seasonal Factors'!$E$4)),"")</f>
        <v>1.00587571710988</v>
      </c>
      <c r="BB289" s="24" t="n">
        <f aca="false">IFERROR(BA289/AVERAGE(BA284:BA294),"")</f>
        <v>1.00302802273788</v>
      </c>
      <c r="BC289" s="23"/>
      <c r="BD289" s="24"/>
      <c r="BE289" s="24" t="n">
        <f aca="false">IFERROR(AVERAGEIFS($BD$7:$BD$294,$B$7:$B$294,$B289,$A$7:$A$294,"&gt;="&amp;EDATE($A289,-12*'Seasonal Factors'!$E$4),$A$7:$A$294,"&lt;="&amp;EDATE($A289,12*'Seasonal Factors'!$E$4)),"")</f>
        <v>1.00237762118296</v>
      </c>
      <c r="BF289" s="24" t="n">
        <f aca="false">IFERROR(BE289/AVERAGE(BE284:BE294),"")</f>
        <v>1.00279804768971</v>
      </c>
      <c r="BG289" s="23"/>
      <c r="BH289" s="24"/>
      <c r="BI289" s="24" t="n">
        <f aca="false">IFERROR(AVERAGEIFS($BH$7:$BH$294,$B$7:$B$294,$B289,$A$7:$A$294,"&gt;="&amp;EDATE($A289,-12*'Seasonal Factors'!$E$4),$A$7:$A$294,"&lt;="&amp;EDATE($A289,12*'Seasonal Factors'!$E$4)),"")</f>
        <v>1.04509443066575</v>
      </c>
      <c r="BJ289" s="24" t="n">
        <f aca="false">IFERROR(BI289/AVERAGE(BI284:BI294),"")</f>
        <v>1.05481105445562</v>
      </c>
    </row>
    <row r="290" customFormat="false" ht="15" hidden="false" customHeight="false" outlineLevel="0" collapsed="false">
      <c r="A290" s="20" t="n">
        <v>46630</v>
      </c>
      <c r="B290" s="22" t="n">
        <f aca="false">MONTH(A290)</f>
        <v>8</v>
      </c>
      <c r="C290" s="23"/>
      <c r="D290" s="24"/>
      <c r="E290" s="24" t="n">
        <f aca="false">IFERROR(AVERAGEIFS($D$7:$D$294,$B$7:$B$294,$B290,$A$7:$A$294,"&gt;="&amp;EDATE($A290,-12*'Seasonal Factors'!$E$4),$A$7:$A$294,"&lt;="&amp;EDATE($A290,12*'Seasonal Factors'!$E$4)),"")</f>
        <v>0.666900974168497</v>
      </c>
      <c r="F290" s="24" t="n">
        <f aca="false">IFERROR(E290/AVERAGE(E285:E294),"")</f>
        <v>0.638539423816382</v>
      </c>
      <c r="G290" s="23"/>
      <c r="H290" s="24"/>
      <c r="I290" s="24" t="n">
        <f aca="false">IFERROR(AVERAGEIFS($H$7:$H$294,$B$7:$B$294,$B290,$A$7:$A$294,"&gt;="&amp;EDATE($A290,-12*'Seasonal Factors'!$E$4),$A$7:$A$294,"&lt;="&amp;EDATE($A290,12*'Seasonal Factors'!$E$4)),"")</f>
        <v>1.59376775259561</v>
      </c>
      <c r="J290" s="24" t="n">
        <f aca="false">IFERROR(I290/AVERAGE(I285:I294),"")</f>
        <v>1.6235256509031</v>
      </c>
      <c r="K290" s="23"/>
      <c r="L290" s="24"/>
      <c r="M290" s="24" t="n">
        <f aca="false">IFERROR(AVERAGEIFS($L$7:$L$294,$B$7:$B$294,$B290,$A$7:$A$294,"&gt;="&amp;EDATE($A290,-12*'Seasonal Factors'!$E$4),$A$7:$A$294,"&lt;="&amp;EDATE($A290,12*'Seasonal Factors'!$E$4)),"")</f>
        <v>1.01955926780105</v>
      </c>
      <c r="N290" s="24" t="n">
        <f aca="false">IFERROR(M290/AVERAGE(M285:M294),"")</f>
        <v>1.01694269048427</v>
      </c>
      <c r="O290" s="23"/>
      <c r="P290" s="24"/>
      <c r="Q290" s="24" t="n">
        <f aca="false">IFERROR(AVERAGEIFS($P$7:$P$294,$B$7:$B$294,$B290,$A$7:$A$294,"&gt;="&amp;EDATE($A290,-12*'Seasonal Factors'!$E$4),$A$7:$A$294,"&lt;="&amp;EDATE($A290,12*'Seasonal Factors'!$E$4)),"")</f>
        <v>1.06638697389923</v>
      </c>
      <c r="R290" s="24" t="n">
        <f aca="false">IFERROR(Q290/AVERAGE(Q285:Q294),"")</f>
        <v>1.03926328814756</v>
      </c>
      <c r="S290" s="23"/>
      <c r="T290" s="24"/>
      <c r="U290" s="24" t="n">
        <f aca="false">IFERROR(AVERAGEIFS($T$7:$T$294,$B$7:$B$294,$B290,$A$7:$A$294,"&gt;="&amp;EDATE($A290,-12*'Seasonal Factors'!$E$4),$A$7:$A$294,"&lt;="&amp;EDATE($A290,12*'Seasonal Factors'!$E$4)),"")</f>
        <v>1.02935971538674</v>
      </c>
      <c r="V290" s="24" t="n">
        <f aca="false">IFERROR(U290/AVERAGE(U285:U294),"")</f>
        <v>1.04494260049151</v>
      </c>
      <c r="W290" s="23"/>
      <c r="X290" s="24"/>
      <c r="Y290" s="24" t="n">
        <f aca="false">IFERROR(AVERAGEIFS($X$7:$X$294,$B$7:$B$294,$B290,$A$7:$A$294,"&gt;="&amp;EDATE($A290,-12*'Seasonal Factors'!$E$4),$A$7:$A$294,"&lt;="&amp;EDATE($A290,12*'Seasonal Factors'!$E$4)),"")</f>
        <v>1.08494610833016</v>
      </c>
      <c r="Z290" s="24" t="n">
        <f aca="false">IFERROR(Y290/AVERAGE(Y285:Y294),"")</f>
        <v>1.0832587831039</v>
      </c>
      <c r="AA290" s="23"/>
      <c r="AB290" s="24"/>
      <c r="AC290" s="24" t="n">
        <f aca="false">IFERROR(AVERAGEIFS($AB$7:$AB$294,$B$7:$B$294,$B290,$A$7:$A$294,"&gt;="&amp;EDATE($A290,-12*'Seasonal Factors'!$E$4),$A$7:$A$294,"&lt;="&amp;EDATE($A290,12*'Seasonal Factors'!$E$4)),"")</f>
        <v>1.03295212342306</v>
      </c>
      <c r="AD290" s="24" t="n">
        <f aca="false">IFERROR(AC290/AVERAGE(AC285:AC294),"")</f>
        <v>1.02077031104064</v>
      </c>
      <c r="AE290" s="23"/>
      <c r="AF290" s="24"/>
      <c r="AG290" s="24" t="n">
        <f aca="false">IFERROR(AVERAGEIFS($AF$7:$AF$294,$B$7:$B$294,$B290,$A$7:$A$294,"&gt;="&amp;EDATE($A290,-12*'Seasonal Factors'!$E$4),$A$7:$A$294,"&lt;="&amp;EDATE($A290,12*'Seasonal Factors'!$E$4)),"")</f>
        <v>1.02389466665005</v>
      </c>
      <c r="AH290" s="24" t="n">
        <f aca="false">IFERROR(AG290/AVERAGE(AG285:AG294),"")</f>
        <v>1.04791057101472</v>
      </c>
      <c r="AI290" s="23"/>
      <c r="AJ290" s="24"/>
      <c r="AK290" s="24" t="n">
        <f aca="false">IFERROR(AVERAGEIFS($AJ$7:$AJ$294,$B$7:$B$294,$B290,$A$7:$A$294,"&gt;="&amp;EDATE($A290,-12*'Seasonal Factors'!$E$4),$A$7:$A$294,"&lt;="&amp;EDATE($A290,12*'Seasonal Factors'!$E$4)),"")</f>
        <v>0.99339301738295</v>
      </c>
      <c r="AL290" s="24" t="n">
        <f aca="false">IFERROR(AK290/AVERAGE(AK285:AK294),"")</f>
        <v>0.987520888941832</v>
      </c>
      <c r="AM290" s="23"/>
      <c r="AN290" s="24"/>
      <c r="AO290" s="24" t="n">
        <f aca="false">IFERROR(AVERAGEIFS($AN$7:$AN$294,$B$7:$B$294,$B290,$A$7:$A$294,"&gt;="&amp;EDATE($A290,-12*'Seasonal Factors'!$E$4),$A$7:$A$294,"&lt;="&amp;EDATE($A290,12*'Seasonal Factors'!$E$4)),"")</f>
        <v>1.02897542309126</v>
      </c>
      <c r="AP290" s="24" t="n">
        <f aca="false">IFERROR(AO290/AVERAGE(AO285:AO294),"")</f>
        <v>1.02366354726571</v>
      </c>
      <c r="AQ290" s="23"/>
      <c r="AR290" s="24"/>
      <c r="AS290" s="24" t="n">
        <f aca="false">IFERROR(AVERAGEIFS($AR$7:$AR$294,$B$7:$B$294,$B290,$A$7:$A$294,"&gt;="&amp;EDATE($A290,-12*'Seasonal Factors'!$E$4),$A$7:$A$294,"&lt;="&amp;EDATE($A290,12*'Seasonal Factors'!$E$4)),"")</f>
        <v>1.00955772712774</v>
      </c>
      <c r="AT290" s="24" t="n">
        <f aca="false">IFERROR(AS290/AVERAGE(AS285:AS294),"")</f>
        <v>1.00347113615985</v>
      </c>
      <c r="AU290" s="23"/>
      <c r="AV290" s="24"/>
      <c r="AW290" s="24" t="n">
        <f aca="false">IFERROR(AVERAGEIFS($AV$7:$AV$294,$B$7:$B$294,$B290,$A$7:$A$294,"&gt;="&amp;EDATE($A290,-12*'Seasonal Factors'!$E$4),$A$7:$A$294,"&lt;="&amp;EDATE($A290,12*'Seasonal Factors'!$E$4)),"")</f>
        <v>0.997784392327616</v>
      </c>
      <c r="AX290" s="24" t="n">
        <f aca="false">IFERROR(AW290/AVERAGE(AW285:AW294),"")</f>
        <v>0.997652322149292</v>
      </c>
      <c r="AY290" s="23"/>
      <c r="AZ290" s="24"/>
      <c r="BA290" s="24" t="n">
        <f aca="false">IFERROR(AVERAGEIFS($AZ$7:$AZ$294,$B$7:$B$294,$B290,$A$7:$A$294,"&gt;="&amp;EDATE($A290,-12*'Seasonal Factors'!$E$4),$A$7:$A$294,"&lt;="&amp;EDATE($A290,12*'Seasonal Factors'!$E$4)),"")</f>
        <v>1.00688742383297</v>
      </c>
      <c r="BB290" s="24" t="n">
        <f aca="false">IFERROR(BA290/AVERAGE(BA285:BA294),"")</f>
        <v>1.0017176590711</v>
      </c>
      <c r="BC290" s="23"/>
      <c r="BD290" s="24"/>
      <c r="BE290" s="24" t="n">
        <f aca="false">IFERROR(AVERAGEIFS($BD$7:$BD$294,$B$7:$B$294,$B290,$A$7:$A$294,"&gt;="&amp;EDATE($A290,-12*'Seasonal Factors'!$E$4),$A$7:$A$294,"&lt;="&amp;EDATE($A290,12*'Seasonal Factors'!$E$4)),"")</f>
        <v>0.998780103877487</v>
      </c>
      <c r="BF290" s="24" t="n">
        <f aca="false">IFERROR(BE290/AVERAGE(BE285:BE294),"")</f>
        <v>0.994308007313274</v>
      </c>
      <c r="BG290" s="23"/>
      <c r="BH290" s="24"/>
      <c r="BI290" s="24" t="n">
        <f aca="false">IFERROR(AVERAGEIFS($BH$7:$BH$294,$B$7:$B$294,$B290,$A$7:$A$294,"&gt;="&amp;EDATE($A290,-12*'Seasonal Factors'!$E$4),$A$7:$A$294,"&lt;="&amp;EDATE($A290,12*'Seasonal Factors'!$E$4)),"")</f>
        <v>0.984954772226054</v>
      </c>
      <c r="BJ290" s="24" t="n">
        <f aca="false">IFERROR(BI290/AVERAGE(BI285:BI294),"")</f>
        <v>1.00377781747952</v>
      </c>
    </row>
    <row r="291" customFormat="false" ht="15" hidden="false" customHeight="false" outlineLevel="0" collapsed="false">
      <c r="A291" s="20" t="n">
        <v>46660</v>
      </c>
      <c r="B291" s="22" t="n">
        <f aca="false">MONTH(A291)</f>
        <v>9</v>
      </c>
      <c r="C291" s="23"/>
      <c r="D291" s="24"/>
      <c r="E291" s="24" t="n">
        <f aca="false">IFERROR(AVERAGEIFS($D$7:$D$294,$B$7:$B$294,$B291,$A$7:$A$294,"&gt;="&amp;EDATE($A291,-12*'Seasonal Factors'!$E$4),$A$7:$A$294,"&lt;="&amp;EDATE($A291,12*'Seasonal Factors'!$E$4)),"")</f>
        <v>0.633136557866087</v>
      </c>
      <c r="F291" s="24" t="n">
        <f aca="false">IFERROR(E291/AVERAGE(E286:E294),"")</f>
        <v>0.616511088936633</v>
      </c>
      <c r="G291" s="23"/>
      <c r="H291" s="24"/>
      <c r="I291" s="24" t="n">
        <f aca="false">IFERROR(AVERAGEIFS($H$7:$H$294,$B$7:$B$294,$B291,$A$7:$A$294,"&gt;="&amp;EDATE($A291,-12*'Seasonal Factors'!$E$4),$A$7:$A$294,"&lt;="&amp;EDATE($A291,12*'Seasonal Factors'!$E$4)),"")</f>
        <v>1.36658438951179</v>
      </c>
      <c r="J291" s="24" t="n">
        <f aca="false">IFERROR(I291/AVERAGE(I286:I294),"")</f>
        <v>1.35800417334809</v>
      </c>
      <c r="K291" s="23"/>
      <c r="L291" s="24"/>
      <c r="M291" s="24" t="n">
        <f aca="false">IFERROR(AVERAGEIFS($L$7:$L$294,$B$7:$B$294,$B291,$A$7:$A$294,"&gt;="&amp;EDATE($A291,-12*'Seasonal Factors'!$E$4),$A$7:$A$294,"&lt;="&amp;EDATE($A291,12*'Seasonal Factors'!$E$4)),"")</f>
        <v>0.998062519508227</v>
      </c>
      <c r="N291" s="24" t="n">
        <f aca="false">IFERROR(M291/AVERAGE(M286:M294),"")</f>
        <v>0.994224914965286</v>
      </c>
      <c r="O291" s="23"/>
      <c r="P291" s="24"/>
      <c r="Q291" s="24" t="n">
        <f aca="false">IFERROR(AVERAGEIFS($P$7:$P$294,$B$7:$B$294,$B291,$A$7:$A$294,"&gt;="&amp;EDATE($A291,-12*'Seasonal Factors'!$E$4),$A$7:$A$294,"&lt;="&amp;EDATE($A291,12*'Seasonal Factors'!$E$4)),"")</f>
        <v>1.05044832513682</v>
      </c>
      <c r="R291" s="24" t="n">
        <f aca="false">IFERROR(Q291/AVERAGE(Q286:Q294),"")</f>
        <v>1.01946051969806</v>
      </c>
      <c r="S291" s="23"/>
      <c r="T291" s="24"/>
      <c r="U291" s="24" t="n">
        <f aca="false">IFERROR(AVERAGEIFS($T$7:$T$294,$B$7:$B$294,$B291,$A$7:$A$294,"&gt;="&amp;EDATE($A291,-12*'Seasonal Factors'!$E$4),$A$7:$A$294,"&lt;="&amp;EDATE($A291,12*'Seasonal Factors'!$E$4)),"")</f>
        <v>0.940905791007457</v>
      </c>
      <c r="V291" s="24" t="n">
        <f aca="false">IFERROR(U291/AVERAGE(U286:U294),"")</f>
        <v>0.960585701858246</v>
      </c>
      <c r="W291" s="23"/>
      <c r="X291" s="24"/>
      <c r="Y291" s="24" t="n">
        <f aca="false">IFERROR(AVERAGEIFS($X$7:$X$294,$B$7:$B$294,$B291,$A$7:$A$294,"&gt;="&amp;EDATE($A291,-12*'Seasonal Factors'!$E$4),$A$7:$A$294,"&lt;="&amp;EDATE($A291,12*'Seasonal Factors'!$E$4)),"")</f>
        <v>1.07570585551845</v>
      </c>
      <c r="Z291" s="24" t="n">
        <f aca="false">IFERROR(Y291/AVERAGE(Y286:Y294),"")</f>
        <v>1.07376057606145</v>
      </c>
      <c r="AA291" s="23"/>
      <c r="AB291" s="24"/>
      <c r="AC291" s="24" t="n">
        <f aca="false">IFERROR(AVERAGEIFS($AB$7:$AB$294,$B$7:$B$294,$B291,$A$7:$A$294,"&gt;="&amp;EDATE($A291,-12*'Seasonal Factors'!$E$4),$A$7:$A$294,"&lt;="&amp;EDATE($A291,12*'Seasonal Factors'!$E$4)),"")</f>
        <v>1.02066596169772</v>
      </c>
      <c r="AD291" s="24" t="n">
        <f aca="false">IFERROR(AC291/AVERAGE(AC286:AC294),"")</f>
        <v>1.00790969554048</v>
      </c>
      <c r="AE291" s="23"/>
      <c r="AF291" s="24"/>
      <c r="AG291" s="24" t="n">
        <f aca="false">IFERROR(AVERAGEIFS($AF$7:$AF$294,$B$7:$B$294,$B291,$A$7:$A$294,"&gt;="&amp;EDATE($A291,-12*'Seasonal Factors'!$E$4),$A$7:$A$294,"&lt;="&amp;EDATE($A291,12*'Seasonal Factors'!$E$4)),"")</f>
        <v>0.946768872462931</v>
      </c>
      <c r="AH291" s="24" t="n">
        <f aca="false">IFERROR(AG291/AVERAGE(AG286:AG294),"")</f>
        <v>0.959649471387041</v>
      </c>
      <c r="AI291" s="23"/>
      <c r="AJ291" s="24"/>
      <c r="AK291" s="24" t="n">
        <f aca="false">IFERROR(AVERAGEIFS($AJ$7:$AJ$294,$B$7:$B$294,$B291,$A$7:$A$294,"&gt;="&amp;EDATE($A291,-12*'Seasonal Factors'!$E$4),$A$7:$A$294,"&lt;="&amp;EDATE($A291,12*'Seasonal Factors'!$E$4)),"")</f>
        <v>0.993080601381241</v>
      </c>
      <c r="AL291" s="24" t="n">
        <f aca="false">IFERROR(AK291/AVERAGE(AK286:AK294),"")</f>
        <v>0.986765356381585</v>
      </c>
      <c r="AM291" s="23"/>
      <c r="AN291" s="24"/>
      <c r="AO291" s="24" t="n">
        <f aca="false">IFERROR(AVERAGEIFS($AN$7:$AN$294,$B$7:$B$294,$B291,$A$7:$A$294,"&gt;="&amp;EDATE($A291,-12*'Seasonal Factors'!$E$4),$A$7:$A$294,"&lt;="&amp;EDATE($A291,12*'Seasonal Factors'!$E$4)),"")</f>
        <v>1.04240917810548</v>
      </c>
      <c r="AP291" s="24" t="n">
        <f aca="false">IFERROR(AO291/AVERAGE(AO286:AO294),"")</f>
        <v>1.03971197900754</v>
      </c>
      <c r="AQ291" s="23"/>
      <c r="AR291" s="24"/>
      <c r="AS291" s="24" t="n">
        <f aca="false">IFERROR(AVERAGEIFS($AR$7:$AR$294,$B$7:$B$294,$B291,$A$7:$A$294,"&gt;="&amp;EDATE($A291,-12*'Seasonal Factors'!$E$4),$A$7:$A$294,"&lt;="&amp;EDATE($A291,12*'Seasonal Factors'!$E$4)),"")</f>
        <v>1.00379944112821</v>
      </c>
      <c r="AT291" s="24" t="n">
        <f aca="false">IFERROR(AS291/AVERAGE(AS286:AS294),"")</f>
        <v>0.995188455988745</v>
      </c>
      <c r="AU291" s="23"/>
      <c r="AV291" s="24"/>
      <c r="AW291" s="24" t="n">
        <f aca="false">IFERROR(AVERAGEIFS($AV$7:$AV$294,$B$7:$B$294,$B291,$A$7:$A$294,"&gt;="&amp;EDATE($A291,-12*'Seasonal Factors'!$E$4),$A$7:$A$294,"&lt;="&amp;EDATE($A291,12*'Seasonal Factors'!$E$4)),"")</f>
        <v>1.00265193612366</v>
      </c>
      <c r="AX291" s="24" t="n">
        <f aca="false">IFERROR(AW291/AVERAGE(AW286:AW294),"")</f>
        <v>1.0021795106282</v>
      </c>
      <c r="AY291" s="23"/>
      <c r="AZ291" s="24"/>
      <c r="BA291" s="24" t="n">
        <f aca="false">IFERROR(AVERAGEIFS($AZ$7:$AZ$294,$B$7:$B$294,$B291,$A$7:$A$294,"&gt;="&amp;EDATE($A291,-12*'Seasonal Factors'!$E$4),$A$7:$A$294,"&lt;="&amp;EDATE($A291,12*'Seasonal Factors'!$E$4)),"")</f>
        <v>1.01000841720742</v>
      </c>
      <c r="BB291" s="24" t="n">
        <f aca="false">IFERROR(BA291/AVERAGE(BA286:BA294),"")</f>
        <v>1.00420457482047</v>
      </c>
      <c r="BC291" s="23"/>
      <c r="BD291" s="24"/>
      <c r="BE291" s="24" t="n">
        <f aca="false">IFERROR(AVERAGEIFS($BD$7:$BD$294,$B$7:$B$294,$B291,$A$7:$A$294,"&gt;="&amp;EDATE($A291,-12*'Seasonal Factors'!$E$4),$A$7:$A$294,"&lt;="&amp;EDATE($A291,12*'Seasonal Factors'!$E$4)),"")</f>
        <v>0.982283388308828</v>
      </c>
      <c r="BF291" s="24" t="n">
        <f aca="false">IFERROR(BE291/AVERAGE(BE286:BE294),"")</f>
        <v>0.980535929238675</v>
      </c>
      <c r="BG291" s="23"/>
      <c r="BH291" s="24"/>
      <c r="BI291" s="24" t="n">
        <f aca="false">IFERROR(AVERAGEIFS($BH$7:$BH$294,$B$7:$B$294,$B291,$A$7:$A$294,"&gt;="&amp;EDATE($A291,-12*'Seasonal Factors'!$E$4),$A$7:$A$294,"&lt;="&amp;EDATE($A291,12*'Seasonal Factors'!$E$4)),"")</f>
        <v>0.95254832316166</v>
      </c>
      <c r="BJ291" s="24" t="n">
        <f aca="false">IFERROR(BI291/AVERAGE(BI286:BI294),"")</f>
        <v>0.981552140695061</v>
      </c>
    </row>
    <row r="292" customFormat="false" ht="15" hidden="false" customHeight="false" outlineLevel="0" collapsed="false">
      <c r="A292" s="20" t="n">
        <v>46691</v>
      </c>
      <c r="B292" s="22" t="n">
        <f aca="false">MONTH(A292)</f>
        <v>10</v>
      </c>
      <c r="C292" s="23"/>
      <c r="D292" s="24"/>
      <c r="E292" s="24" t="n">
        <f aca="false">IFERROR(AVERAGEIFS($D$7:$D$294,$B$7:$B$294,$B292,$A$7:$A$294,"&gt;="&amp;EDATE($A292,-12*'Seasonal Factors'!$E$4),$A$7:$A$294,"&lt;="&amp;EDATE($A292,12*'Seasonal Factors'!$E$4)),"")</f>
        <v>0.572094878877764</v>
      </c>
      <c r="F292" s="24" t="n">
        <f aca="false">IFERROR(E292/AVERAGE(E287:E294),"")</f>
        <v>0.59376581928849</v>
      </c>
      <c r="G292" s="23"/>
      <c r="H292" s="24"/>
      <c r="I292" s="24" t="n">
        <f aca="false">IFERROR(AVERAGEIFS($H$7:$H$294,$B$7:$B$294,$B292,$A$7:$A$294,"&gt;="&amp;EDATE($A292,-12*'Seasonal Factors'!$E$4),$A$7:$A$294,"&lt;="&amp;EDATE($A292,12*'Seasonal Factors'!$E$4)),"")</f>
        <v>0.562302455837661</v>
      </c>
      <c r="J292" s="24" t="n">
        <f aca="false">IFERROR(I292/AVERAGE(I287:I294),"")</f>
        <v>0.545166116421276</v>
      </c>
      <c r="K292" s="23"/>
      <c r="L292" s="24"/>
      <c r="M292" s="24" t="n">
        <f aca="false">IFERROR(AVERAGEIFS($L$7:$L$294,$B$7:$B$294,$B292,$A$7:$A$294,"&gt;="&amp;EDATE($A292,-12*'Seasonal Factors'!$E$4),$A$7:$A$294,"&lt;="&amp;EDATE($A292,12*'Seasonal Factors'!$E$4)),"")</f>
        <v>1.01320049124073</v>
      </c>
      <c r="N292" s="24" t="n">
        <f aca="false">IFERROR(M292/AVERAGE(M287:M294),"")</f>
        <v>1.00599882039631</v>
      </c>
      <c r="O292" s="23"/>
      <c r="P292" s="24"/>
      <c r="Q292" s="24" t="n">
        <f aca="false">IFERROR(AVERAGEIFS($P$7:$P$294,$B$7:$B$294,$B292,$A$7:$A$294,"&gt;="&amp;EDATE($A292,-12*'Seasonal Factors'!$E$4),$A$7:$A$294,"&lt;="&amp;EDATE($A292,12*'Seasonal Factors'!$E$4)),"")</f>
        <v>1.10838241821347</v>
      </c>
      <c r="R292" s="24" t="n">
        <f aca="false">IFERROR(Q292/AVERAGE(Q287:Q294),"")</f>
        <v>1.06827182547748</v>
      </c>
      <c r="S292" s="23"/>
      <c r="T292" s="24"/>
      <c r="U292" s="24" t="n">
        <f aca="false">IFERROR(AVERAGEIFS($T$7:$T$294,$B$7:$B$294,$B292,$A$7:$A$294,"&gt;="&amp;EDATE($A292,-12*'Seasonal Factors'!$E$4),$A$7:$A$294,"&lt;="&amp;EDATE($A292,12*'Seasonal Factors'!$E$4)),"")</f>
        <v>0.921913758078416</v>
      </c>
      <c r="V292" s="24" t="n">
        <f aca="false">IFERROR(U292/AVERAGE(U287:U294),"")</f>
        <v>0.930377936406468</v>
      </c>
      <c r="W292" s="23"/>
      <c r="X292" s="24"/>
      <c r="Y292" s="24" t="n">
        <f aca="false">IFERROR(AVERAGEIFS($X$7:$X$294,$B$7:$B$294,$B292,$A$7:$A$294,"&gt;="&amp;EDATE($A292,-12*'Seasonal Factors'!$E$4),$A$7:$A$294,"&lt;="&amp;EDATE($A292,12*'Seasonal Factors'!$E$4)),"")</f>
        <v>1.02282661043978</v>
      </c>
      <c r="Z292" s="24" t="n">
        <f aca="false">IFERROR(Y292/AVERAGE(Y287:Y294),"")</f>
        <v>1.01679502318117</v>
      </c>
      <c r="AA292" s="23"/>
      <c r="AB292" s="24"/>
      <c r="AC292" s="24" t="n">
        <f aca="false">IFERROR(AVERAGEIFS($AB$7:$AB$294,$B$7:$B$294,$B292,$A$7:$A$294,"&gt;="&amp;EDATE($A292,-12*'Seasonal Factors'!$E$4),$A$7:$A$294,"&lt;="&amp;EDATE($A292,12*'Seasonal Factors'!$E$4)),"")</f>
        <v>1.0412261617184</v>
      </c>
      <c r="AD292" s="24" t="n">
        <f aca="false">IFERROR(AC292/AVERAGE(AC287:AC294),"")</f>
        <v>1.0261645295032</v>
      </c>
      <c r="AE292" s="23"/>
      <c r="AF292" s="24"/>
      <c r="AG292" s="24" t="n">
        <f aca="false">IFERROR(AVERAGEIFS($AF$7:$AF$294,$B$7:$B$294,$B292,$A$7:$A$294,"&gt;="&amp;EDATE($A292,-12*'Seasonal Factors'!$E$4),$A$7:$A$294,"&lt;="&amp;EDATE($A292,12*'Seasonal Factors'!$E$4)),"")</f>
        <v>1.07305201003705</v>
      </c>
      <c r="AH292" s="24" t="n">
        <f aca="false">IFERROR(AG292/AVERAGE(AG287:AG294),"")</f>
        <v>1.0508848418441</v>
      </c>
      <c r="AI292" s="23"/>
      <c r="AJ292" s="24"/>
      <c r="AK292" s="24" t="n">
        <f aca="false">IFERROR(AVERAGEIFS($AJ$7:$AJ$294,$B$7:$B$294,$B292,$A$7:$A$294,"&gt;="&amp;EDATE($A292,-12*'Seasonal Factors'!$E$4),$A$7:$A$294,"&lt;="&amp;EDATE($A292,12*'Seasonal Factors'!$E$4)),"")</f>
        <v>0.995201342661826</v>
      </c>
      <c r="AL292" s="24" t="n">
        <f aca="false">IFERROR(AK292/AVERAGE(AK287:AK294),"")</f>
        <v>0.990027882768268</v>
      </c>
      <c r="AM292" s="23"/>
      <c r="AN292" s="24"/>
      <c r="AO292" s="24" t="n">
        <f aca="false">IFERROR(AVERAGEIFS($AN$7:$AN$294,$B$7:$B$294,$B292,$A$7:$A$294,"&gt;="&amp;EDATE($A292,-12*'Seasonal Factors'!$E$4),$A$7:$A$294,"&lt;="&amp;EDATE($A292,12*'Seasonal Factors'!$E$4)),"")</f>
        <v>1.05223909316707</v>
      </c>
      <c r="AP292" s="24" t="n">
        <f aca="false">IFERROR(AO292/AVERAGE(AO287:AO294),"")</f>
        <v>1.05122808415354</v>
      </c>
      <c r="AQ292" s="23"/>
      <c r="AR292" s="24"/>
      <c r="AS292" s="24" t="n">
        <f aca="false">IFERROR(AVERAGEIFS($AR$7:$AR$294,$B$7:$B$294,$B292,$A$7:$A$294,"&gt;="&amp;EDATE($A292,-12*'Seasonal Factors'!$E$4),$A$7:$A$294,"&lt;="&amp;EDATE($A292,12*'Seasonal Factors'!$E$4)),"")</f>
        <v>1.01957818928019</v>
      </c>
      <c r="AT292" s="24" t="n">
        <f aca="false">IFERROR(AS292/AVERAGE(AS287:AS294),"")</f>
        <v>1.01025739419439</v>
      </c>
      <c r="AU292" s="23"/>
      <c r="AV292" s="24"/>
      <c r="AW292" s="24" t="n">
        <f aca="false">IFERROR(AVERAGEIFS($AV$7:$AV$294,$B$7:$B$294,$B292,$A$7:$A$294,"&gt;="&amp;EDATE($A292,-12*'Seasonal Factors'!$E$4),$A$7:$A$294,"&lt;="&amp;EDATE($A292,12*'Seasonal Factors'!$E$4)),"")</f>
        <v>1.00080818209934</v>
      </c>
      <c r="AX292" s="24" t="n">
        <f aca="false">IFERROR(AW292/AVERAGE(AW287:AW294),"")</f>
        <v>0.999378140220758</v>
      </c>
      <c r="AY292" s="23"/>
      <c r="AZ292" s="24"/>
      <c r="BA292" s="24" t="n">
        <f aca="false">IFERROR(AVERAGEIFS($AZ$7:$AZ$294,$B$7:$B$294,$B292,$A$7:$A$294,"&gt;="&amp;EDATE($A292,-12*'Seasonal Factors'!$E$4),$A$7:$A$294,"&lt;="&amp;EDATE($A292,12*'Seasonal Factors'!$E$4)),"")</f>
        <v>1.00754702054818</v>
      </c>
      <c r="BB292" s="24" t="n">
        <f aca="false">IFERROR(BA292/AVERAGE(BA287:BA294),"")</f>
        <v>1.00043475860457</v>
      </c>
      <c r="BC292" s="23"/>
      <c r="BD292" s="24"/>
      <c r="BE292" s="24" t="n">
        <f aca="false">IFERROR(AVERAGEIFS($BD$7:$BD$294,$B$7:$B$294,$B292,$A$7:$A$294,"&gt;="&amp;EDATE($A292,-12*'Seasonal Factors'!$E$4),$A$7:$A$294,"&lt;="&amp;EDATE($A292,12*'Seasonal Factors'!$E$4)),"")</f>
        <v>0.956939135680668</v>
      </c>
      <c r="BF292" s="24" t="n">
        <f aca="false">IFERROR(BE292/AVERAGE(BE287:BE294),"")</f>
        <v>0.960693383644449</v>
      </c>
      <c r="BG292" s="23"/>
      <c r="BH292" s="24"/>
      <c r="BI292" s="24" t="n">
        <f aca="false">IFERROR(AVERAGEIFS($BH$7:$BH$294,$B$7:$B$294,$B292,$A$7:$A$294,"&gt;="&amp;EDATE($A292,-12*'Seasonal Factors'!$E$4),$A$7:$A$294,"&lt;="&amp;EDATE($A292,12*'Seasonal Factors'!$E$4)),"")</f>
        <v>1.0002849984781</v>
      </c>
      <c r="BJ292" s="24" t="n">
        <f aca="false">IFERROR(BI292/AVERAGE(BI287:BI294),"")</f>
        <v>1.02654626724443</v>
      </c>
    </row>
    <row r="293" customFormat="false" ht="15" hidden="false" customHeight="false" outlineLevel="0" collapsed="false">
      <c r="A293" s="20" t="n">
        <v>46721</v>
      </c>
      <c r="B293" s="22" t="n">
        <f aca="false">MONTH(A293)</f>
        <v>11</v>
      </c>
      <c r="C293" s="23"/>
      <c r="D293" s="24"/>
      <c r="E293" s="24" t="n">
        <f aca="false">IFERROR(AVERAGEIFS($D$7:$D$294,$B$7:$B$294,$B293,$A$7:$A$294,"&gt;="&amp;EDATE($A293,-12*'Seasonal Factors'!$E$4),$A$7:$A$294,"&lt;="&amp;EDATE($A293,12*'Seasonal Factors'!$E$4)),"")</f>
        <v>0.671784028511192</v>
      </c>
      <c r="F293" s="24" t="n">
        <f aca="false">IFERROR(E293/AVERAGE(E288:E294),"")</f>
        <v>0.819095184590417</v>
      </c>
      <c r="G293" s="23"/>
      <c r="H293" s="24"/>
      <c r="I293" s="24" t="n">
        <f aca="false">IFERROR(AVERAGEIFS($H$7:$H$294,$B$7:$B$294,$B293,$A$7:$A$294,"&gt;="&amp;EDATE($A293,-12*'Seasonal Factors'!$E$4),$A$7:$A$294,"&lt;="&amp;EDATE($A293,12*'Seasonal Factors'!$E$4)),"")</f>
        <v>0.611291214604399</v>
      </c>
      <c r="J293" s="24" t="n">
        <f aca="false">IFERROR(I293/AVERAGE(I288:I294),"")</f>
        <v>0.577314898590159</v>
      </c>
      <c r="K293" s="23"/>
      <c r="L293" s="24"/>
      <c r="M293" s="24" t="n">
        <f aca="false">IFERROR(AVERAGEIFS($L$7:$L$294,$B$7:$B$294,$B293,$A$7:$A$294,"&gt;="&amp;EDATE($A293,-12*'Seasonal Factors'!$E$4),$A$7:$A$294,"&lt;="&amp;EDATE($A293,12*'Seasonal Factors'!$E$4)),"")</f>
        <v>0.964565905458707</v>
      </c>
      <c r="N293" s="24" t="n">
        <f aca="false">IFERROR(M293/AVERAGE(M288:M294),"")</f>
        <v>0.963446187753094</v>
      </c>
      <c r="O293" s="23"/>
      <c r="P293" s="24"/>
      <c r="Q293" s="24" t="n">
        <f aca="false">IFERROR(AVERAGEIFS($P$7:$P$294,$B$7:$B$294,$B293,$A$7:$A$294,"&gt;="&amp;EDATE($A293,-12*'Seasonal Factors'!$E$4),$A$7:$A$294,"&lt;="&amp;EDATE($A293,12*'Seasonal Factors'!$E$4)),"")</f>
        <v>1.06372644529724</v>
      </c>
      <c r="R293" s="24" t="n">
        <f aca="false">IFERROR(Q293/AVERAGE(Q288:Q294),"")</f>
        <v>1.02094106139959</v>
      </c>
      <c r="S293" s="23"/>
      <c r="T293" s="24"/>
      <c r="U293" s="24" t="n">
        <f aca="false">IFERROR(AVERAGEIFS($T$7:$T$294,$B$7:$B$294,$B293,$A$7:$A$294,"&gt;="&amp;EDATE($A293,-12*'Seasonal Factors'!$E$4),$A$7:$A$294,"&lt;="&amp;EDATE($A293,12*'Seasonal Factors'!$E$4)),"")</f>
        <v>0.93270561025378</v>
      </c>
      <c r="V293" s="24" t="n">
        <f aca="false">IFERROR(U293/AVERAGE(U288:U294),"")</f>
        <v>0.943837335508493</v>
      </c>
      <c r="W293" s="23"/>
      <c r="X293" s="24"/>
      <c r="Y293" s="24" t="n">
        <f aca="false">IFERROR(AVERAGEIFS($X$7:$X$294,$B$7:$B$294,$B293,$A$7:$A$294,"&gt;="&amp;EDATE($A293,-12*'Seasonal Factors'!$E$4),$A$7:$A$294,"&lt;="&amp;EDATE($A293,12*'Seasonal Factors'!$E$4)),"")</f>
        <v>1.00416686819009</v>
      </c>
      <c r="Z293" s="24" t="n">
        <f aca="false">IFERROR(Y293/AVERAGE(Y288:Y294),"")</f>
        <v>0.988160613686171</v>
      </c>
      <c r="AA293" s="23"/>
      <c r="AB293" s="24"/>
      <c r="AC293" s="24" t="n">
        <f aca="false">IFERROR(AVERAGEIFS($AB$7:$AB$294,$B$7:$B$294,$B293,$A$7:$A$294,"&gt;="&amp;EDATE($A293,-12*'Seasonal Factors'!$E$4),$A$7:$A$294,"&lt;="&amp;EDATE($A293,12*'Seasonal Factors'!$E$4)),"")</f>
        <v>1.01795429995646</v>
      </c>
      <c r="AD293" s="24" t="n">
        <f aca="false">IFERROR(AC293/AVERAGE(AC288:AC294),"")</f>
        <v>1.00572052792464</v>
      </c>
      <c r="AE293" s="23"/>
      <c r="AF293" s="24"/>
      <c r="AG293" s="24" t="n">
        <f aca="false">IFERROR(AVERAGEIFS($AF$7:$AF$294,$B$7:$B$294,$B293,$A$7:$A$294,"&gt;="&amp;EDATE($A293,-12*'Seasonal Factors'!$E$4),$A$7:$A$294,"&lt;="&amp;EDATE($A293,12*'Seasonal Factors'!$E$4)),"")</f>
        <v>1.08891572585322</v>
      </c>
      <c r="AH293" s="24" t="n">
        <f aca="false">IFERROR(AG293/AVERAGE(AG288:AG294),"")</f>
        <v>1.04837301643167</v>
      </c>
      <c r="AI293" s="23"/>
      <c r="AJ293" s="24"/>
      <c r="AK293" s="24" t="n">
        <f aca="false">IFERROR(AVERAGEIFS($AJ$7:$AJ$294,$B$7:$B$294,$B293,$A$7:$A$294,"&gt;="&amp;EDATE($A293,-12*'Seasonal Factors'!$E$4),$A$7:$A$294,"&lt;="&amp;EDATE($A293,12*'Seasonal Factors'!$E$4)),"")</f>
        <v>0.989282590157181</v>
      </c>
      <c r="AL293" s="24" t="n">
        <f aca="false">IFERROR(AK293/AVERAGE(AK288:AK294),"")</f>
        <v>0.991116734099739</v>
      </c>
      <c r="AM293" s="23"/>
      <c r="AN293" s="24"/>
      <c r="AO293" s="24" t="n">
        <f aca="false">IFERROR(AVERAGEIFS($AN$7:$AN$294,$B$7:$B$294,$B293,$A$7:$A$294,"&gt;="&amp;EDATE($A293,-12*'Seasonal Factors'!$E$4),$A$7:$A$294,"&lt;="&amp;EDATE($A293,12*'Seasonal Factors'!$E$4)),"")</f>
        <v>1.00211088124371</v>
      </c>
      <c r="AP293" s="24" t="n">
        <f aca="false">IFERROR(AO293/AVERAGE(AO288:AO294),"")</f>
        <v>0.989997696159345</v>
      </c>
      <c r="AQ293" s="23"/>
      <c r="AR293" s="24"/>
      <c r="AS293" s="24" t="n">
        <f aca="false">IFERROR(AVERAGEIFS($AR$7:$AR$294,$B$7:$B$294,$B293,$A$7:$A$294,"&gt;="&amp;EDATE($A293,-12*'Seasonal Factors'!$E$4),$A$7:$A$294,"&lt;="&amp;EDATE($A293,12*'Seasonal Factors'!$E$4)),"")</f>
        <v>1.01003979403588</v>
      </c>
      <c r="AT293" s="24" t="n">
        <f aca="false">IFERROR(AS293/AVERAGE(AS288:AS294),"")</f>
        <v>1.00060806855193</v>
      </c>
      <c r="AU293" s="23"/>
      <c r="AV293" s="24"/>
      <c r="AW293" s="24" t="n">
        <f aca="false">IFERROR(AVERAGEIFS($AV$7:$AV$294,$B$7:$B$294,$B293,$A$7:$A$294,"&gt;="&amp;EDATE($A293,-12*'Seasonal Factors'!$E$4),$A$7:$A$294,"&lt;="&amp;EDATE($A293,12*'Seasonal Factors'!$E$4)),"")</f>
        <v>1.00372857420357</v>
      </c>
      <c r="AX293" s="24" t="n">
        <f aca="false">IFERROR(AW293/AVERAGE(AW288:AW294),"")</f>
        <v>1.00135930822612</v>
      </c>
      <c r="AY293" s="23"/>
      <c r="AZ293" s="24"/>
      <c r="BA293" s="24" t="n">
        <f aca="false">IFERROR(AVERAGEIFS($AZ$7:$AZ$294,$B$7:$B$294,$B293,$A$7:$A$294,"&gt;="&amp;EDATE($A293,-12*'Seasonal Factors'!$E$4),$A$7:$A$294,"&lt;="&amp;EDATE($A293,12*'Seasonal Factors'!$E$4)),"")</f>
        <v>1.00842214047658</v>
      </c>
      <c r="BB293" s="24" t="n">
        <f aca="false">IFERROR(BA293/AVERAGE(BA288:BA294),"")</f>
        <v>1.00013600314008</v>
      </c>
      <c r="BC293" s="23"/>
      <c r="BD293" s="24"/>
      <c r="BE293" s="24" t="n">
        <f aca="false">IFERROR(AVERAGEIFS($BD$7:$BD$294,$B$7:$B$294,$B293,$A$7:$A$294,"&gt;="&amp;EDATE($A293,-12*'Seasonal Factors'!$E$4),$A$7:$A$294,"&lt;="&amp;EDATE($A293,12*'Seasonal Factors'!$E$4)),"")</f>
        <v>0.952730375970578</v>
      </c>
      <c r="BF293" s="24" t="n">
        <f aca="false">IFERROR(BE293/AVERAGE(BE288:BE294),"")</f>
        <v>0.965549866815417</v>
      </c>
      <c r="BG293" s="23"/>
      <c r="BH293" s="24"/>
      <c r="BI293" s="24" t="n">
        <f aca="false">IFERROR(AVERAGEIFS($BH$7:$BH$294,$B$7:$B$294,$B293,$A$7:$A$294,"&gt;="&amp;EDATE($A293,-12*'Seasonal Factors'!$E$4),$A$7:$A$294,"&lt;="&amp;EDATE($A293,12*'Seasonal Factors'!$E$4)),"")</f>
        <v>0.964425714878216</v>
      </c>
      <c r="BJ293" s="24" t="n">
        <f aca="false">IFERROR(BI293/AVERAGE(BI288:BI294),"")</f>
        <v>0.98200079231968</v>
      </c>
    </row>
    <row r="294" customFormat="false" ht="15" hidden="false" customHeight="false" outlineLevel="0" collapsed="false">
      <c r="A294" s="20" t="n">
        <v>46752</v>
      </c>
      <c r="B294" s="22" t="n">
        <f aca="false">MONTH(A294)</f>
        <v>12</v>
      </c>
      <c r="C294" s="23"/>
      <c r="D294" s="24"/>
      <c r="E294" s="24" t="n">
        <f aca="false">IFERROR(AVERAGEIFS($D$7:$D$294,$B$7:$B$294,$B294,$A$7:$A$294,"&gt;="&amp;EDATE($A294,-12*'Seasonal Factors'!$E$4),$A$7:$A$294,"&lt;="&amp;EDATE($A294,12*'Seasonal Factors'!$E$4)),"")</f>
        <v>0.863718957696605</v>
      </c>
      <c r="F294" s="24" t="n">
        <f aca="false">IFERROR(E294/AVERAGE(E289:E294),"")</f>
        <v>1.1916696653129</v>
      </c>
      <c r="G294" s="23"/>
      <c r="H294" s="24"/>
      <c r="I294" s="24" t="n">
        <f aca="false">IFERROR(AVERAGEIFS($H$7:$H$294,$B$7:$B$294,$B294,$A$7:$A$294,"&gt;="&amp;EDATE($A294,-12*'Seasonal Factors'!$E$4),$A$7:$A$294,"&lt;="&amp;EDATE($A294,12*'Seasonal Factors'!$E$4)),"")</f>
        <v>0.696473903079057</v>
      </c>
      <c r="J294" s="24" t="n">
        <f aca="false">IFERROR(I294/AVERAGE(I289:I294),"")</f>
        <v>0.669547295829177</v>
      </c>
      <c r="K294" s="23"/>
      <c r="L294" s="24"/>
      <c r="M294" s="24" t="n">
        <f aca="false">IFERROR(AVERAGEIFS($L$7:$L$294,$B$7:$B$294,$B294,$A$7:$A$294,"&gt;="&amp;EDATE($A294,-12*'Seasonal Factors'!$E$4),$A$7:$A$294,"&lt;="&amp;EDATE($A294,12*'Seasonal Factors'!$E$4)),"")</f>
        <v>1.01193372100101</v>
      </c>
      <c r="N294" s="24" t="n">
        <f aca="false">IFERROR(M294/AVERAGE(M289:M294),"")</f>
        <v>1.00824692447371</v>
      </c>
      <c r="O294" s="23"/>
      <c r="P294" s="24"/>
      <c r="Q294" s="24" t="n">
        <f aca="false">IFERROR(AVERAGEIFS($P$7:$P$294,$B$7:$B$294,$B294,$A$7:$A$294,"&gt;="&amp;EDATE($A294,-12*'Seasonal Factors'!$E$4),$A$7:$A$294,"&lt;="&amp;EDATE($A294,12*'Seasonal Factors'!$E$4)),"")</f>
        <v>0.977058601761344</v>
      </c>
      <c r="R294" s="24" t="n">
        <f aca="false">IFERROR(Q294/AVERAGE(Q289:Q294),"")</f>
        <v>0.927779097120146</v>
      </c>
      <c r="S294" s="23"/>
      <c r="T294" s="24"/>
      <c r="U294" s="24" t="n">
        <f aca="false">IFERROR(AVERAGEIFS($T$7:$T$294,$B$7:$B$294,$B294,$A$7:$A$294,"&gt;="&amp;EDATE($A294,-12*'Seasonal Factors'!$E$4),$A$7:$A$294,"&lt;="&amp;EDATE($A294,12*'Seasonal Factors'!$E$4)),"")</f>
        <v>0.967084850426661</v>
      </c>
      <c r="V294" s="24" t="n">
        <f aca="false">IFERROR(U294/AVERAGE(U289:U294),"")</f>
        <v>0.987016249229454</v>
      </c>
      <c r="W294" s="23"/>
      <c r="X294" s="24"/>
      <c r="Y294" s="24" t="n">
        <f aca="false">IFERROR(AVERAGEIFS($X$7:$X$294,$B$7:$B$294,$B294,$A$7:$A$294,"&gt;="&amp;EDATE($A294,-12*'Seasonal Factors'!$E$4),$A$7:$A$294,"&lt;="&amp;EDATE($A294,12*'Seasonal Factors'!$E$4)),"")</f>
        <v>0.950374742126069</v>
      </c>
      <c r="Z294" s="24" t="n">
        <f aca="false">IFERROR(Y294/AVERAGE(Y289:Y294),"")</f>
        <v>0.926600801009884</v>
      </c>
      <c r="AA294" s="23"/>
      <c r="AB294" s="24"/>
      <c r="AC294" s="24" t="n">
        <f aca="false">IFERROR(AVERAGEIFS($AB$7:$AB$294,$B$7:$B$294,$B294,$A$7:$A$294,"&gt;="&amp;EDATE($A294,-12*'Seasonal Factors'!$E$4),$A$7:$A$294,"&lt;="&amp;EDATE($A294,12*'Seasonal Factors'!$E$4)),"")</f>
        <v>0.943537621839444</v>
      </c>
      <c r="AD294" s="24" t="n">
        <f aca="false">IFERROR(AC294/AVERAGE(AC289:AC294),"")</f>
        <v>0.932677358381486</v>
      </c>
      <c r="AE294" s="23"/>
      <c r="AF294" s="24"/>
      <c r="AG294" s="24" t="n">
        <f aca="false">IFERROR(AVERAGEIFS($AF$7:$AF$294,$B$7:$B$294,$B294,$A$7:$A$294,"&gt;="&amp;EDATE($A294,-12*'Seasonal Factors'!$E$4),$A$7:$A$294,"&lt;="&amp;EDATE($A294,12*'Seasonal Factors'!$E$4)),"")</f>
        <v>1.12258318086326</v>
      </c>
      <c r="AH294" s="24" t="n">
        <f aca="false">IFERROR(AG294/AVERAGE(AG289:AG294),"")</f>
        <v>1.08554085990246</v>
      </c>
      <c r="AI294" s="23"/>
      <c r="AJ294" s="24"/>
      <c r="AK294" s="24" t="n">
        <f aca="false">IFERROR(AVERAGEIFS($AJ$7:$AJ$294,$B$7:$B$294,$B294,$A$7:$A$294,"&gt;="&amp;EDATE($A294,-12*'Seasonal Factors'!$E$4),$A$7:$A$294,"&lt;="&amp;EDATE($A294,12*'Seasonal Factors'!$E$4)),"")</f>
        <v>0.981535256517508</v>
      </c>
      <c r="AL294" s="24" t="n">
        <f aca="false">IFERROR(AK294/AVERAGE(AK289:AK294),"")</f>
        <v>0.986742599387749</v>
      </c>
      <c r="AM294" s="23"/>
      <c r="AN294" s="24"/>
      <c r="AO294" s="24" t="n">
        <f aca="false">IFERROR(AVERAGEIFS($AN$7:$AN$294,$B$7:$B$294,$B294,$A$7:$A$294,"&gt;="&amp;EDATE($A294,-12*'Seasonal Factors'!$E$4),$A$7:$A$294,"&lt;="&amp;EDATE($A294,12*'Seasonal Factors'!$E$4)),"")</f>
        <v>0.995052863904048</v>
      </c>
      <c r="AP294" s="24" t="n">
        <f aca="false">IFERROR(AO294/AVERAGE(AO289:AO294),"")</f>
        <v>0.973444433430719</v>
      </c>
      <c r="AQ294" s="23"/>
      <c r="AR294" s="24"/>
      <c r="AS294" s="24" t="n">
        <f aca="false">IFERROR(AVERAGEIFS($AR$7:$AR$294,$B$7:$B$294,$B294,$A$7:$A$294,"&gt;="&amp;EDATE($A294,-12*'Seasonal Factors'!$E$4),$A$7:$A$294,"&lt;="&amp;EDATE($A294,12*'Seasonal Factors'!$E$4)),"")</f>
        <v>1.01976952604439</v>
      </c>
      <c r="AT294" s="24" t="n">
        <f aca="false">IFERROR(AS294/AVERAGE(AS289:AS294),"")</f>
        <v>1.01004474364347</v>
      </c>
      <c r="AU294" s="23"/>
      <c r="AV294" s="24"/>
      <c r="AW294" s="24" t="n">
        <f aca="false">IFERROR(AVERAGEIFS($AV$7:$AV$294,$B$7:$B$294,$B294,$A$7:$A$294,"&gt;="&amp;EDATE($A294,-12*'Seasonal Factors'!$E$4),$A$7:$A$294,"&lt;="&amp;EDATE($A294,12*'Seasonal Factors'!$E$4)),"")</f>
        <v>1.00847640745072</v>
      </c>
      <c r="AX294" s="24" t="n">
        <f aca="false">IFERROR(AW294/AVERAGE(AW289:AW294),"")</f>
        <v>1.00605823337045</v>
      </c>
      <c r="AY294" s="23"/>
      <c r="AZ294" s="24"/>
      <c r="BA294" s="24" t="n">
        <f aca="false">IFERROR(AVERAGEIFS($AZ$7:$AZ$294,$B$7:$B$294,$B294,$A$7:$A$294,"&gt;="&amp;EDATE($A294,-12*'Seasonal Factors'!$E$4),$A$7:$A$294,"&lt;="&amp;EDATE($A294,12*'Seasonal Factors'!$E$4)),"")</f>
        <v>1.01456992205044</v>
      </c>
      <c r="BB294" s="24" t="n">
        <f aca="false">IFERROR(BA294/AVERAGE(BA289:BA294),"")</f>
        <v>1.00563474982514</v>
      </c>
      <c r="BC294" s="23"/>
      <c r="BD294" s="24"/>
      <c r="BE294" s="24" t="n">
        <f aca="false">IFERROR(AVERAGEIFS($BD$7:$BD$294,$B$7:$B$294,$B294,$A$7:$A$294,"&gt;="&amp;EDATE($A294,-12*'Seasonal Factors'!$E$4),$A$7:$A$294,"&lt;="&amp;EDATE($A294,12*'Seasonal Factors'!$E$4)),"")</f>
        <v>0.917943489960384</v>
      </c>
      <c r="BF294" s="24" t="n">
        <f aca="false">IFERROR(BE294/AVERAGE(BE289:BE294),"")</f>
        <v>0.947790337309637</v>
      </c>
      <c r="BG294" s="23"/>
      <c r="BH294" s="24"/>
      <c r="BI294" s="24" t="n">
        <f aca="false">IFERROR(AVERAGEIFS($BH$7:$BH$294,$B$7:$B$294,$B294,$A$7:$A$294,"&gt;="&amp;EDATE($A294,-12*'Seasonal Factors'!$E$4),$A$7:$A$294,"&lt;="&amp;EDATE($A294,12*'Seasonal Factors'!$E$4)),"")</f>
        <v>0.995557233255243</v>
      </c>
      <c r="BJ294" s="24" t="n">
        <f aca="false">IFERROR(BI294/AVERAGE(BI289:BI294),"")</f>
        <v>1.00512849012091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2"/>
    <col collapsed="false" customWidth="true" hidden="false" outlineLevel="0" max="3" min="3" style="0" width="28"/>
    <col collapsed="false" customWidth="true" hidden="false" outlineLevel="0" max="4" min="4" style="0" width="26"/>
    <col collapsed="false" customWidth="true" hidden="false" outlineLevel="0" max="16" min="5" style="0" width="13"/>
  </cols>
  <sheetData>
    <row r="1" customFormat="false" ht="17.35" hidden="false" customHeight="false" outlineLevel="0" collapsed="false">
      <c r="A1" s="4" t="s">
        <v>432</v>
      </c>
    </row>
    <row r="2" customFormat="false" ht="15" hidden="false" customHeight="false" outlineLevel="0" collapsed="false">
      <c r="A2" s="5" t="s">
        <v>433</v>
      </c>
    </row>
    <row r="4" customFormat="false" ht="15" hidden="false" customHeight="false" outlineLevel="0" collapsed="false">
      <c r="A4" s="13" t="s">
        <v>434</v>
      </c>
      <c r="E4" s="25" t="n">
        <v>4</v>
      </c>
    </row>
    <row r="5" customFormat="false" ht="15" hidden="false" customHeight="false" outlineLevel="0" collapsed="false">
      <c r="A5" s="5" t="s">
        <v>435</v>
      </c>
    </row>
    <row r="7" customFormat="false" ht="15" hidden="false" customHeight="false" outlineLevel="0" collapsed="false">
      <c r="A7" s="6" t="s">
        <v>436</v>
      </c>
    </row>
    <row r="8" customFormat="false" ht="23.85" hidden="false" customHeight="false" outlineLevel="0" collapsed="false">
      <c r="A8" s="7" t="s">
        <v>371</v>
      </c>
      <c r="B8" s="7" t="s">
        <v>1</v>
      </c>
      <c r="C8" s="7" t="s">
        <v>2</v>
      </c>
      <c r="D8" s="7" t="s">
        <v>3</v>
      </c>
      <c r="E8" s="7" t="s">
        <v>4</v>
      </c>
      <c r="F8" s="7" t="s">
        <v>5</v>
      </c>
      <c r="G8" s="7" t="s">
        <v>6</v>
      </c>
      <c r="H8" s="7" t="s">
        <v>7</v>
      </c>
      <c r="I8" s="7" t="s">
        <v>8</v>
      </c>
      <c r="J8" s="7" t="s">
        <v>9</v>
      </c>
      <c r="K8" s="7" t="s">
        <v>10</v>
      </c>
      <c r="L8" s="7" t="s">
        <v>11</v>
      </c>
      <c r="M8" s="7" t="s">
        <v>12</v>
      </c>
      <c r="N8" s="7" t="s">
        <v>13</v>
      </c>
      <c r="O8" s="7" t="s">
        <v>14</v>
      </c>
      <c r="P8" s="7" t="s">
        <v>15</v>
      </c>
    </row>
    <row r="9" customFormat="false" ht="15" hidden="false" customHeight="false" outlineLevel="0" collapsed="false">
      <c r="A9" s="22" t="n">
        <v>1</v>
      </c>
      <c r="B9" s="26" t="n">
        <f aca="false">IFERROR(AVERAGEIFS('SF Workings'!$F$264:$F$275,'SF Workings'!$B$264:$B$275,$A9),"")</f>
        <v>0.782473982066283</v>
      </c>
      <c r="C9" s="26" t="n">
        <f aca="false">IFERROR(AVERAGEIFS('SF Workings'!$J$264:$J$275,'SF Workings'!$B$264:$B$275,$A9),"")</f>
        <v>0.917398074153456</v>
      </c>
      <c r="D9" s="26" t="n">
        <f aca="false">IFERROR(AVERAGEIFS('SF Workings'!$N$264:$N$275,'SF Workings'!$B$264:$B$275,$A9),"")</f>
        <v>1.02346966647054</v>
      </c>
      <c r="E9" s="26" t="n">
        <f aca="false">IFERROR(AVERAGEIFS('SF Workings'!$R$264:$R$275,'SF Workings'!$B$264:$B$275,$A9),"")</f>
        <v>0.850745090129215</v>
      </c>
      <c r="F9" s="26" t="n">
        <f aca="false">IFERROR(AVERAGEIFS('SF Workings'!$V$264:$V$275,'SF Workings'!$B$264:$B$275,$A9),"")</f>
        <v>1.09600570327057</v>
      </c>
      <c r="G9" s="26" t="n">
        <f aca="false">IFERROR(AVERAGEIFS('SF Workings'!$Z$264:$Z$275,'SF Workings'!$B$264:$B$275,$A9),"")</f>
        <v>1.00145996616059</v>
      </c>
      <c r="H9" s="26" t="n">
        <f aca="false">IFERROR(AVERAGEIFS('SF Workings'!$AD$264:$AD$275,'SF Workings'!$B$264:$B$275,$A9),"")</f>
        <v>0.917590482882476</v>
      </c>
      <c r="I9" s="26" t="n">
        <f aca="false">IFERROR(AVERAGEIFS('SF Workings'!$AH$264:$AH$275,'SF Workings'!$B$264:$B$275,$A9),"")</f>
        <v>1.19477847865665</v>
      </c>
      <c r="J9" s="26" t="n">
        <f aca="false">IFERROR(AVERAGEIFS('SF Workings'!$AL$264:$AL$275,'SF Workings'!$B$264:$B$275,$A9),"")</f>
        <v>0.974507182731391</v>
      </c>
      <c r="K9" s="26" t="n">
        <f aca="false">IFERROR(AVERAGEIFS('SF Workings'!$AP$264:$AP$275,'SF Workings'!$B$264:$B$275,$A9),"")</f>
        <v>1.00807639407696</v>
      </c>
      <c r="L9" s="26" t="n">
        <f aca="false">IFERROR(AVERAGEIFS('SF Workings'!$AT$264:$AT$275,'SF Workings'!$B$264:$B$275,$A9),"")</f>
        <v>0.973356238456572</v>
      </c>
      <c r="M9" s="26" t="n">
        <f aca="false">IFERROR(AVERAGEIFS('SF Workings'!$AX$264:$AX$275,'SF Workings'!$B$264:$B$275,$A9),"")</f>
        <v>1.00490407148645</v>
      </c>
      <c r="N9" s="26" t="n">
        <f aca="false">IFERROR(AVERAGEIFS('SF Workings'!$BB$264:$BB$275,'SF Workings'!$B$264:$B$275,$A9),"")</f>
        <v>0.974190562639675</v>
      </c>
      <c r="O9" s="26" t="n">
        <f aca="false">IFERROR(AVERAGEIFS('SF Workings'!$BF$264:$BF$275,'SF Workings'!$B$264:$B$275,$A9),"")</f>
        <v>1.0044572768135</v>
      </c>
      <c r="P9" s="26" t="n">
        <f aca="false">IFERROR(AVERAGEIFS('SF Workings'!$BJ$264:$BJ$275,'SF Workings'!$B$264:$B$275,$A9),"")</f>
        <v>1.09876104530416</v>
      </c>
    </row>
    <row r="10" customFormat="false" ht="15" hidden="false" customHeight="false" outlineLevel="0" collapsed="false">
      <c r="A10" s="22" t="n">
        <v>2</v>
      </c>
      <c r="B10" s="26" t="n">
        <f aca="false">IFERROR(AVERAGEIFS('SF Workings'!$F$264:$F$275,'SF Workings'!$B$264:$B$275,$A10),"")</f>
        <v>0.632148615361998</v>
      </c>
      <c r="C10" s="26" t="n">
        <f aca="false">IFERROR(AVERAGEIFS('SF Workings'!$J$264:$J$275,'SF Workings'!$B$264:$B$275,$A10),"")</f>
        <v>1.0540056528342</v>
      </c>
      <c r="D10" s="26" t="n">
        <f aca="false">IFERROR(AVERAGEIFS('SF Workings'!$N$264:$N$275,'SF Workings'!$B$264:$B$275,$A10),"")</f>
        <v>0.922940765982949</v>
      </c>
      <c r="E10" s="26" t="n">
        <f aca="false">IFERROR(AVERAGEIFS('SF Workings'!$R$264:$R$275,'SF Workings'!$B$264:$B$275,$A10),"")</f>
        <v>0.871920826516648</v>
      </c>
      <c r="F10" s="26" t="n">
        <f aca="false">IFERROR(AVERAGEIFS('SF Workings'!$V$264:$V$275,'SF Workings'!$B$264:$B$275,$A10),"")</f>
        <v>0.996430104935747</v>
      </c>
      <c r="G10" s="26" t="n">
        <f aca="false">IFERROR(AVERAGEIFS('SF Workings'!$Z$264:$Z$275,'SF Workings'!$B$264:$B$275,$A10),"")</f>
        <v>0.989542994523703</v>
      </c>
      <c r="H10" s="26" t="n">
        <f aca="false">IFERROR(AVERAGEIFS('SF Workings'!$AD$264:$AD$275,'SF Workings'!$B$264:$B$275,$A10),"")</f>
        <v>0.934384032136371</v>
      </c>
      <c r="I10" s="26" t="n">
        <f aca="false">IFERROR(AVERAGEIFS('SF Workings'!$AH$264:$AH$275,'SF Workings'!$B$264:$B$275,$A10),"")</f>
        <v>1.14042507924841</v>
      </c>
      <c r="J10" s="26" t="n">
        <f aca="false">IFERROR(AVERAGEIFS('SF Workings'!$AL$264:$AL$275,'SF Workings'!$B$264:$B$275,$A10),"")</f>
        <v>0.951931902251504</v>
      </c>
      <c r="K10" s="26" t="n">
        <f aca="false">IFERROR(AVERAGEIFS('SF Workings'!$AP$264:$AP$275,'SF Workings'!$B$264:$B$275,$A10),"")</f>
        <v>0.943696750121095</v>
      </c>
      <c r="L10" s="26" t="n">
        <f aca="false">IFERROR(AVERAGEIFS('SF Workings'!$AT$264:$AT$275,'SF Workings'!$B$264:$B$275,$A10),"")</f>
        <v>0.971335973735372</v>
      </c>
      <c r="M10" s="26" t="n">
        <f aca="false">IFERROR(AVERAGEIFS('SF Workings'!$AX$264:$AX$275,'SF Workings'!$B$264:$B$275,$A10),"")</f>
        <v>1.00434324515031</v>
      </c>
      <c r="N10" s="26" t="n">
        <f aca="false">IFERROR(AVERAGEIFS('SF Workings'!$BB$264:$BB$275,'SF Workings'!$B$264:$B$275,$A10),"")</f>
        <v>0.978973490112848</v>
      </c>
      <c r="O10" s="26" t="n">
        <f aca="false">IFERROR(AVERAGEIFS('SF Workings'!$BF$264:$BF$275,'SF Workings'!$B$264:$B$275,$A10),"")</f>
        <v>0.951291147175393</v>
      </c>
      <c r="P10" s="26" t="n">
        <f aca="false">IFERROR(AVERAGEIFS('SF Workings'!$BJ$264:$BJ$275,'SF Workings'!$B$264:$B$275,$A10),"")</f>
        <v>1.08445969618763</v>
      </c>
    </row>
    <row r="11" customFormat="false" ht="15" hidden="false" customHeight="false" outlineLevel="0" collapsed="false">
      <c r="A11" s="22" t="n">
        <v>3</v>
      </c>
      <c r="B11" s="26" t="n">
        <f aca="false">IFERROR(AVERAGEIFS('SF Workings'!$F$264:$F$275,'SF Workings'!$B$264:$B$275,$A11),"")</f>
        <v>1.19608329738629</v>
      </c>
      <c r="C11" s="26" t="n">
        <f aca="false">IFERROR(AVERAGEIFS('SF Workings'!$J$264:$J$275,'SF Workings'!$B$264:$B$275,$A11),"")</f>
        <v>0.761018741218595</v>
      </c>
      <c r="D11" s="26" t="n">
        <f aca="false">IFERROR(AVERAGEIFS('SF Workings'!$N$264:$N$275,'SF Workings'!$B$264:$B$275,$A11),"")</f>
        <v>0.994524884787894</v>
      </c>
      <c r="E11" s="26" t="n">
        <f aca="false">IFERROR(AVERAGEIFS('SF Workings'!$R$264:$R$275,'SF Workings'!$B$264:$B$275,$A11),"")</f>
        <v>0.996797624844569</v>
      </c>
      <c r="F11" s="26" t="n">
        <f aca="false">IFERROR(AVERAGEIFS('SF Workings'!$V$264:$V$275,'SF Workings'!$B$264:$B$275,$A11),"")</f>
        <v>1.02419358643476</v>
      </c>
      <c r="G11" s="26" t="n">
        <f aca="false">IFERROR(AVERAGEIFS('SF Workings'!$Z$264:$Z$275,'SF Workings'!$B$264:$B$275,$A11),"")</f>
        <v>1.01089155747888</v>
      </c>
      <c r="H11" s="26" t="n">
        <f aca="false">IFERROR(AVERAGEIFS('SF Workings'!$AD$264:$AD$275,'SF Workings'!$B$264:$B$275,$A11),"")</f>
        <v>1.0102413506049</v>
      </c>
      <c r="I11" s="26" t="n">
        <f aca="false">IFERROR(AVERAGEIFS('SF Workings'!$AH$264:$AH$275,'SF Workings'!$B$264:$B$275,$A11),"")</f>
        <v>0.905819236379235</v>
      </c>
      <c r="J11" s="26" t="n">
        <f aca="false">IFERROR(AVERAGEIFS('SF Workings'!$AL$264:$AL$275,'SF Workings'!$B$264:$B$275,$A11),"")</f>
        <v>1.00622826427322</v>
      </c>
      <c r="K11" s="26" t="n">
        <f aca="false">IFERROR(AVERAGEIFS('SF Workings'!$AP$264:$AP$275,'SF Workings'!$B$264:$B$275,$A11),"")</f>
        <v>1.03690505629542</v>
      </c>
      <c r="L11" s="26" t="n">
        <f aca="false">IFERROR(AVERAGEIFS('SF Workings'!$AT$264:$AT$275,'SF Workings'!$B$264:$B$275,$A11),"")</f>
        <v>0.984533909450919</v>
      </c>
      <c r="M11" s="26" t="n">
        <f aca="false">IFERROR(AVERAGEIFS('SF Workings'!$AX$264:$AX$275,'SF Workings'!$B$264:$B$275,$A11),"")</f>
        <v>0.996797243099516</v>
      </c>
      <c r="N11" s="26" t="n">
        <f aca="false">IFERROR(AVERAGEIFS('SF Workings'!$BB$264:$BB$275,'SF Workings'!$B$264:$B$275,$A11),"")</f>
        <v>0.998868716442555</v>
      </c>
      <c r="O11" s="26" t="n">
        <f aca="false">IFERROR(AVERAGEIFS('SF Workings'!$BF$264:$BF$275,'SF Workings'!$B$264:$B$275,$A11),"")</f>
        <v>1.02919503098286</v>
      </c>
      <c r="P11" s="26" t="n">
        <f aca="false">IFERROR(AVERAGEIFS('SF Workings'!$BJ$264:$BJ$275,'SF Workings'!$B$264:$B$275,$A11),"")</f>
        <v>1.08035776267707</v>
      </c>
    </row>
    <row r="12" customFormat="false" ht="15" hidden="false" customHeight="false" outlineLevel="0" collapsed="false">
      <c r="A12" s="22" t="n">
        <v>4</v>
      </c>
      <c r="B12" s="26" t="n">
        <f aca="false">IFERROR(AVERAGEIFS('SF Workings'!$F$264:$F$275,'SF Workings'!$B$264:$B$275,$A12),"")</f>
        <v>1.55047800114045</v>
      </c>
      <c r="C12" s="26" t="n">
        <f aca="false">IFERROR(AVERAGEIFS('SF Workings'!$J$264:$J$275,'SF Workings'!$B$264:$B$275,$A12),"")</f>
        <v>0.919908125382792</v>
      </c>
      <c r="D12" s="26" t="n">
        <f aca="false">IFERROR(AVERAGEIFS('SF Workings'!$N$264:$N$275,'SF Workings'!$B$264:$B$275,$A12),"")</f>
        <v>0.983002550082453</v>
      </c>
      <c r="E12" s="26" t="n">
        <f aca="false">IFERROR(AVERAGEIFS('SF Workings'!$R$264:$R$275,'SF Workings'!$B$264:$B$275,$A12),"")</f>
        <v>0.97439986767765</v>
      </c>
      <c r="F12" s="26" t="n">
        <f aca="false">IFERROR(AVERAGEIFS('SF Workings'!$V$264:$V$275,'SF Workings'!$B$264:$B$275,$A12),"")</f>
        <v>0.900637222717793</v>
      </c>
      <c r="G12" s="26" t="n">
        <f aca="false">IFERROR(AVERAGEIFS('SF Workings'!$Z$264:$Z$275,'SF Workings'!$B$264:$B$275,$A12),"")</f>
        <v>0.977998996397136</v>
      </c>
      <c r="H12" s="26" t="n">
        <f aca="false">IFERROR(AVERAGEIFS('SF Workings'!$AD$264:$AD$275,'SF Workings'!$B$264:$B$275,$A12),"")</f>
        <v>1.00116375425176</v>
      </c>
      <c r="I12" s="26" t="n">
        <f aca="false">IFERROR(AVERAGEIFS('SF Workings'!$AH$264:$AH$275,'SF Workings'!$B$264:$B$275,$A12),"")</f>
        <v>0.730778929163099</v>
      </c>
      <c r="J12" s="26" t="n">
        <f aca="false">IFERROR(AVERAGEIFS('SF Workings'!$AL$264:$AL$275,'SF Workings'!$B$264:$B$275,$A12),"")</f>
        <v>1.02128311789818</v>
      </c>
      <c r="K12" s="26" t="n">
        <f aca="false">IFERROR(AVERAGEIFS('SF Workings'!$AP$264:$AP$275,'SF Workings'!$B$264:$B$275,$A12),"")</f>
        <v>1.02034831176542</v>
      </c>
      <c r="L12" s="26" t="n">
        <f aca="false">IFERROR(AVERAGEIFS('SF Workings'!$AT$264:$AT$275,'SF Workings'!$B$264:$B$275,$A12),"")</f>
        <v>1.00387854008072</v>
      </c>
      <c r="M12" s="26" t="n">
        <f aca="false">IFERROR(AVERAGEIFS('SF Workings'!$AX$264:$AX$275,'SF Workings'!$B$264:$B$275,$A12),"")</f>
        <v>0.992095855032569</v>
      </c>
      <c r="N12" s="26" t="n">
        <f aca="false">IFERROR(AVERAGEIFS('SF Workings'!$BB$264:$BB$275,'SF Workings'!$B$264:$B$275,$A12),"")</f>
        <v>0.994607607868478</v>
      </c>
      <c r="O12" s="26" t="n">
        <f aca="false">IFERROR(AVERAGEIFS('SF Workings'!$BF$264:$BF$275,'SF Workings'!$B$264:$B$275,$A12),"")</f>
        <v>1.0463223254611</v>
      </c>
      <c r="P12" s="26" t="n">
        <f aca="false">IFERROR(AVERAGEIFS('SF Workings'!$BJ$264:$BJ$275,'SF Workings'!$B$264:$B$275,$A12),"")</f>
        <v>0.939028201962397</v>
      </c>
    </row>
    <row r="13" customFormat="false" ht="15" hidden="false" customHeight="false" outlineLevel="0" collapsed="false">
      <c r="A13" s="22" t="n">
        <v>5</v>
      </c>
      <c r="B13" s="26" t="n">
        <f aca="false">IFERROR(AVERAGEIFS('SF Workings'!$F$264:$F$275,'SF Workings'!$B$264:$B$275,$A13),"")</f>
        <v>2.01622607527768</v>
      </c>
      <c r="C13" s="26" t="n">
        <f aca="false">IFERROR(AVERAGEIFS('SF Workings'!$J$264:$J$275,'SF Workings'!$B$264:$B$275,$A13),"")</f>
        <v>0.887751914542991</v>
      </c>
      <c r="D13" s="26" t="n">
        <f aca="false">IFERROR(AVERAGEIFS('SF Workings'!$N$264:$N$275,'SF Workings'!$B$264:$B$275,$A13),"")</f>
        <v>1.05765746253208</v>
      </c>
      <c r="E13" s="26" t="n">
        <f aca="false">IFERROR(AVERAGEIFS('SF Workings'!$R$264:$R$275,'SF Workings'!$B$264:$B$275,$A13),"")</f>
        <v>1.01127009476337</v>
      </c>
      <c r="F13" s="26" t="n">
        <f aca="false">IFERROR(AVERAGEIFS('SF Workings'!$V$264:$V$275,'SF Workings'!$B$264:$B$275,$A13),"")</f>
        <v>1.01993923238941</v>
      </c>
      <c r="G13" s="26" t="n">
        <f aca="false">IFERROR(AVERAGEIFS('SF Workings'!$Z$264:$Z$275,'SF Workings'!$B$264:$B$275,$A13),"")</f>
        <v>0.941820279310068</v>
      </c>
      <c r="H13" s="26" t="n">
        <f aca="false">IFERROR(AVERAGEIFS('SF Workings'!$AD$264:$AD$275,'SF Workings'!$B$264:$B$275,$A13),"")</f>
        <v>1.03459734374582</v>
      </c>
      <c r="I13" s="26" t="n">
        <f aca="false">IFERROR(AVERAGEIFS('SF Workings'!$AH$264:$AH$275,'SF Workings'!$B$264:$B$275,$A13),"")</f>
        <v>0.910520270663501</v>
      </c>
      <c r="J13" s="26" t="n">
        <f aca="false">IFERROR(AVERAGEIFS('SF Workings'!$AL$264:$AL$275,'SF Workings'!$B$264:$B$275,$A13),"")</f>
        <v>1.05843206359112</v>
      </c>
      <c r="K13" s="26" t="n">
        <f aca="false">IFERROR(AVERAGEIFS('SF Workings'!$AP$264:$AP$275,'SF Workings'!$B$264:$B$275,$A13),"")</f>
        <v>0.927398484606105</v>
      </c>
      <c r="L13" s="26" t="n">
        <f aca="false">IFERROR(AVERAGEIFS('SF Workings'!$AT$264:$AT$275,'SF Workings'!$B$264:$B$275,$A13),"")</f>
        <v>1.00888033462048</v>
      </c>
      <c r="M13" s="26" t="n">
        <f aca="false">IFERROR(AVERAGEIFS('SF Workings'!$AX$264:$AX$275,'SF Workings'!$B$264:$B$275,$A13),"")</f>
        <v>0.994051634148753</v>
      </c>
      <c r="N13" s="26" t="n">
        <f aca="false">IFERROR(AVERAGEIFS('SF Workings'!$BB$264:$BB$275,'SF Workings'!$B$264:$B$275,$A13),"")</f>
        <v>0.998424508137761</v>
      </c>
      <c r="O13" s="26" t="n">
        <f aca="false">IFERROR(AVERAGEIFS('SF Workings'!$BF$264:$BF$275,'SF Workings'!$B$264:$B$275,$A13),"")</f>
        <v>1.0616272648723</v>
      </c>
      <c r="P13" s="26" t="n">
        <f aca="false">IFERROR(AVERAGEIFS('SF Workings'!$BJ$264:$BJ$275,'SF Workings'!$B$264:$B$275,$A13),"")</f>
        <v>0.921379392041968</v>
      </c>
    </row>
    <row r="14" customFormat="false" ht="15" hidden="false" customHeight="false" outlineLevel="0" collapsed="false">
      <c r="A14" s="22" t="n">
        <v>6</v>
      </c>
      <c r="B14" s="26" t="n">
        <f aca="false">IFERROR(AVERAGEIFS('SF Workings'!$F$264:$F$275,'SF Workings'!$B$264:$B$275,$A14),"")</f>
        <v>1.44389677574902</v>
      </c>
      <c r="C14" s="26" t="n">
        <f aca="false">IFERROR(AVERAGEIFS('SF Workings'!$J$264:$J$275,'SF Workings'!$B$264:$B$275,$A14),"")</f>
        <v>1.17079820545484</v>
      </c>
      <c r="D14" s="26" t="n">
        <f aca="false">IFERROR(AVERAGEIFS('SF Workings'!$N$264:$N$275,'SF Workings'!$B$264:$B$275,$A14),"")</f>
        <v>0.99258406411324</v>
      </c>
      <c r="E14" s="26" t="n">
        <f aca="false">IFERROR(AVERAGEIFS('SF Workings'!$R$264:$R$275,'SF Workings'!$B$264:$B$275,$A14),"")</f>
        <v>1.01015020923533</v>
      </c>
      <c r="F14" s="26" t="n">
        <f aca="false">IFERROR(AVERAGEIFS('SF Workings'!$V$264:$V$275,'SF Workings'!$B$264:$B$275,$A14),"")</f>
        <v>1.06511383337473</v>
      </c>
      <c r="G14" s="26" t="n">
        <f aca="false">IFERROR(AVERAGEIFS('SF Workings'!$Z$264:$Z$275,'SF Workings'!$B$264:$B$275,$A14),"")</f>
        <v>0.964696074541946</v>
      </c>
      <c r="H14" s="26" t="n">
        <f aca="false">IFERROR(AVERAGEIFS('SF Workings'!$AD$264:$AD$275,'SF Workings'!$B$264:$B$275,$A14),"")</f>
        <v>1.03177150761662</v>
      </c>
      <c r="I14" s="26" t="n">
        <f aca="false">IFERROR(AVERAGEIFS('SF Workings'!$AH$264:$AH$275,'SF Workings'!$B$264:$B$275,$A14),"")</f>
        <v>1.03422624547226</v>
      </c>
      <c r="J14" s="26" t="n">
        <f aca="false">IFERROR(AVERAGEIFS('SF Workings'!$AL$264:$AL$275,'SF Workings'!$B$264:$B$275,$A14),"")</f>
        <v>1.02637287136351</v>
      </c>
      <c r="K14" s="26" t="n">
        <f aca="false">IFERROR(AVERAGEIFS('SF Workings'!$AP$264:$AP$275,'SF Workings'!$B$264:$B$275,$A14),"")</f>
        <v>0.967055929723982</v>
      </c>
      <c r="L14" s="26" t="n">
        <f aca="false">IFERROR(AVERAGEIFS('SF Workings'!$AT$264:$AT$275,'SF Workings'!$B$264:$B$275,$A14),"")</f>
        <v>1.00748098309082</v>
      </c>
      <c r="M14" s="26" t="n">
        <f aca="false">IFERROR(AVERAGEIFS('SF Workings'!$AX$264:$AX$275,'SF Workings'!$B$264:$B$275,$A14),"")</f>
        <v>0.997559493570237</v>
      </c>
      <c r="N14" s="26" t="n">
        <f aca="false">IFERROR(AVERAGEIFS('SF Workings'!$BB$264:$BB$275,'SF Workings'!$B$264:$B$275,$A14),"")</f>
        <v>1.00132833657052</v>
      </c>
      <c r="O14" s="26" t="n">
        <f aca="false">IFERROR(AVERAGEIFS('SF Workings'!$BF$264:$BF$275,'SF Workings'!$B$264:$B$275,$A14),"")</f>
        <v>1.0969572997134</v>
      </c>
      <c r="P14" s="26" t="n">
        <f aca="false">IFERROR(AVERAGEIFS('SF Workings'!$BJ$264:$BJ$275,'SF Workings'!$B$264:$B$275,$A14),"")</f>
        <v>0.936476062102029</v>
      </c>
    </row>
    <row r="15" customFormat="false" ht="15" hidden="false" customHeight="false" outlineLevel="0" collapsed="false">
      <c r="A15" s="22" t="n">
        <v>7</v>
      </c>
      <c r="B15" s="26" t="n">
        <f aca="false">IFERROR(AVERAGEIFS('SF Workings'!$F$264:$F$275,'SF Workings'!$B$264:$B$275,$A15),"")</f>
        <v>0.920458264453843</v>
      </c>
      <c r="C15" s="26" t="n">
        <f aca="false">IFERROR(AVERAGEIFS('SF Workings'!$J$264:$J$275,'SF Workings'!$B$264:$B$275,$A15),"")</f>
        <v>1.51683898006822</v>
      </c>
      <c r="D15" s="26" t="n">
        <f aca="false">IFERROR(AVERAGEIFS('SF Workings'!$N$264:$N$275,'SF Workings'!$B$264:$B$275,$A15),"")</f>
        <v>1.01350241161717</v>
      </c>
      <c r="E15" s="26" t="n">
        <f aca="false">IFERROR(AVERAGEIFS('SF Workings'!$R$264:$R$275,'SF Workings'!$B$264:$B$275,$A15),"")</f>
        <v>1.04492827079466</v>
      </c>
      <c r="F15" s="26" t="n">
        <f aca="false">IFERROR(AVERAGEIFS('SF Workings'!$V$264:$V$275,'SF Workings'!$B$264:$B$275,$A15),"")</f>
        <v>1.09052857307829</v>
      </c>
      <c r="G15" s="26" t="n">
        <f aca="false">IFERROR(AVERAGEIFS('SF Workings'!$Z$264:$Z$275,'SF Workings'!$B$264:$B$275,$A15),"")</f>
        <v>1.00869220930636</v>
      </c>
      <c r="H15" s="26" t="n">
        <f aca="false">IFERROR(AVERAGEIFS('SF Workings'!$AD$264:$AD$275,'SF Workings'!$B$264:$B$275,$A15),"")</f>
        <v>1.01253000397398</v>
      </c>
      <c r="I15" s="26" t="n">
        <f aca="false">IFERROR(AVERAGEIFS('SF Workings'!$AH$264:$AH$275,'SF Workings'!$B$264:$B$275,$A15),"")</f>
        <v>0.937468061167939</v>
      </c>
      <c r="J15" s="26" t="n">
        <f aca="false">IFERROR(AVERAGEIFS('SF Workings'!$AL$264:$AL$275,'SF Workings'!$B$264:$B$275,$A15),"")</f>
        <v>1.01038605535638</v>
      </c>
      <c r="K15" s="26" t="n">
        <f aca="false">IFERROR(AVERAGEIFS('SF Workings'!$AP$264:$AP$275,'SF Workings'!$B$264:$B$275,$A15),"")</f>
        <v>1.0001708507777</v>
      </c>
      <c r="L15" s="26" t="n">
        <f aca="false">IFERROR(AVERAGEIFS('SF Workings'!$AT$264:$AT$275,'SF Workings'!$B$264:$B$275,$A15),"")</f>
        <v>0.996594091759358</v>
      </c>
      <c r="M15" s="26" t="n">
        <f aca="false">IFERROR(AVERAGEIFS('SF Workings'!$AX$264:$AX$275,'SF Workings'!$B$264:$B$275,$A15),"")</f>
        <v>0.997762953727597</v>
      </c>
      <c r="N15" s="26" t="n">
        <f aca="false">IFERROR(AVERAGEIFS('SF Workings'!$BB$264:$BB$275,'SF Workings'!$B$264:$B$275,$A15),"")</f>
        <v>1.00296950285344</v>
      </c>
      <c r="O15" s="26" t="n">
        <f aca="false">IFERROR(AVERAGEIFS('SF Workings'!$BF$264:$BF$275,'SF Workings'!$B$264:$B$275,$A15),"")</f>
        <v>1.00267443318866</v>
      </c>
      <c r="P15" s="26" t="n">
        <f aca="false">IFERROR(AVERAGEIFS('SF Workings'!$BJ$264:$BJ$275,'SF Workings'!$B$264:$B$275,$A15),"")</f>
        <v>1.04064915539087</v>
      </c>
    </row>
    <row r="16" customFormat="false" ht="15" hidden="false" customHeight="false" outlineLevel="0" collapsed="false">
      <c r="A16" s="22" t="n">
        <v>8</v>
      </c>
      <c r="B16" s="26" t="n">
        <f aca="false">IFERROR(AVERAGEIFS('SF Workings'!$F$264:$F$275,'SF Workings'!$B$264:$B$275,$A16),"")</f>
        <v>0.646339390886321</v>
      </c>
      <c r="C16" s="26" t="n">
        <f aca="false">IFERROR(AVERAGEIFS('SF Workings'!$J$264:$J$275,'SF Workings'!$B$264:$B$275,$A16),"")</f>
        <v>1.62667839447135</v>
      </c>
      <c r="D16" s="26" t="n">
        <f aca="false">IFERROR(AVERAGEIFS('SF Workings'!$N$264:$N$275,'SF Workings'!$B$264:$B$275,$A16),"")</f>
        <v>1.02243186036369</v>
      </c>
      <c r="E16" s="26" t="n">
        <f aca="false">IFERROR(AVERAGEIFS('SF Workings'!$R$264:$R$275,'SF Workings'!$B$264:$B$275,$A16),"")</f>
        <v>1.05937304977747</v>
      </c>
      <c r="F16" s="26" t="n">
        <f aca="false">IFERROR(AVERAGEIFS('SF Workings'!$V$264:$V$275,'SF Workings'!$B$264:$B$275,$A16),"")</f>
        <v>1.03231365903109</v>
      </c>
      <c r="G16" s="26" t="n">
        <f aca="false">IFERROR(AVERAGEIFS('SF Workings'!$Z$264:$Z$275,'SF Workings'!$B$264:$B$275,$A16),"")</f>
        <v>1.0772294929672</v>
      </c>
      <c r="H16" s="26" t="n">
        <f aca="false">IFERROR(AVERAGEIFS('SF Workings'!$AD$264:$AD$275,'SF Workings'!$B$264:$B$275,$A16),"")</f>
        <v>1.02945082142398</v>
      </c>
      <c r="I16" s="26" t="n">
        <f aca="false">IFERROR(AVERAGEIFS('SF Workings'!$AH$264:$AH$275,'SF Workings'!$B$264:$B$275,$A16),"")</f>
        <v>1.00297449547166</v>
      </c>
      <c r="J16" s="26" t="n">
        <f aca="false">IFERROR(AVERAGEIFS('SF Workings'!$AL$264:$AL$275,'SF Workings'!$B$264:$B$275,$A16),"")</f>
        <v>0.992936137399915</v>
      </c>
      <c r="K16" s="26" t="n">
        <f aca="false">IFERROR(AVERAGEIFS('SF Workings'!$AP$264:$AP$275,'SF Workings'!$B$264:$B$275,$A16),"")</f>
        <v>1.02121907333255</v>
      </c>
      <c r="L16" s="26" t="n">
        <f aca="false">IFERROR(AVERAGEIFS('SF Workings'!$AT$264:$AT$275,'SF Workings'!$B$264:$B$275,$A16),"")</f>
        <v>1.00866724332007</v>
      </c>
      <c r="M16" s="26" t="n">
        <f aca="false">IFERROR(AVERAGEIFS('SF Workings'!$AX$264:$AX$275,'SF Workings'!$B$264:$B$275,$A16),"")</f>
        <v>0.993724297047029</v>
      </c>
      <c r="N16" s="26" t="n">
        <f aca="false">IFERROR(AVERAGEIFS('SF Workings'!$BB$264:$BB$275,'SF Workings'!$B$264:$B$275,$A16),"")</f>
        <v>1.00671989619258</v>
      </c>
      <c r="O16" s="26" t="n">
        <f aca="false">IFERROR(AVERAGEIFS('SF Workings'!$BF$264:$BF$275,'SF Workings'!$B$264:$B$275,$A16),"")</f>
        <v>0.999380820902521</v>
      </c>
      <c r="P16" s="26" t="n">
        <f aca="false">IFERROR(AVERAGEIFS('SF Workings'!$BJ$264:$BJ$275,'SF Workings'!$B$264:$B$275,$A16),"")</f>
        <v>0.986436332163386</v>
      </c>
    </row>
    <row r="17" customFormat="false" ht="15" hidden="false" customHeight="false" outlineLevel="0" collapsed="false">
      <c r="A17" s="22" t="n">
        <v>9</v>
      </c>
      <c r="B17" s="26" t="n">
        <f aca="false">IFERROR(AVERAGEIFS('SF Workings'!$F$264:$F$275,'SF Workings'!$B$264:$B$275,$A17),"")</f>
        <v>0.613693979157481</v>
      </c>
      <c r="C17" s="26" t="n">
        <f aca="false">IFERROR(AVERAGEIFS('SF Workings'!$J$264:$J$275,'SF Workings'!$B$264:$B$275,$A17),"")</f>
        <v>1.33326791938187</v>
      </c>
      <c r="D17" s="26" t="n">
        <f aca="false">IFERROR(AVERAGEIFS('SF Workings'!$N$264:$N$275,'SF Workings'!$B$264:$B$275,$A17),"")</f>
        <v>0.999257343495623</v>
      </c>
      <c r="E17" s="26" t="n">
        <f aca="false">IFERROR(AVERAGEIFS('SF Workings'!$R$264:$R$275,'SF Workings'!$B$264:$B$275,$A17),"")</f>
        <v>1.04529847414151</v>
      </c>
      <c r="F17" s="26" t="n">
        <f aca="false">IFERROR(AVERAGEIFS('SF Workings'!$V$264:$V$275,'SF Workings'!$B$264:$B$275,$A17),"")</f>
        <v>0.929763065477024</v>
      </c>
      <c r="G17" s="26" t="n">
        <f aca="false">IFERROR(AVERAGEIFS('SF Workings'!$Z$264:$Z$275,'SF Workings'!$B$264:$B$275,$A17),"")</f>
        <v>1.06800624880662</v>
      </c>
      <c r="H17" s="26" t="n">
        <f aca="false">IFERROR(AVERAGEIFS('SF Workings'!$AD$264:$AD$275,'SF Workings'!$B$264:$B$275,$A17),"")</f>
        <v>1.02248964346738</v>
      </c>
      <c r="I17" s="26" t="n">
        <f aca="false">IFERROR(AVERAGEIFS('SF Workings'!$AH$264:$AH$275,'SF Workings'!$B$264:$B$275,$A17),"")</f>
        <v>0.948264760482628</v>
      </c>
      <c r="J17" s="26" t="n">
        <f aca="false">IFERROR(AVERAGEIFS('SF Workings'!$AL$264:$AL$275,'SF Workings'!$B$264:$B$275,$A17),"")</f>
        <v>0.990331459464869</v>
      </c>
      <c r="K17" s="26" t="n">
        <f aca="false">IFERROR(AVERAGEIFS('SF Workings'!$AP$264:$AP$275,'SF Workings'!$B$264:$B$275,$A17),"")</f>
        <v>1.01859825251605</v>
      </c>
      <c r="L17" s="26" t="n">
        <f aca="false">IFERROR(AVERAGEIFS('SF Workings'!$AT$264:$AT$275,'SF Workings'!$B$264:$B$275,$A17),"")</f>
        <v>1.00348270357283</v>
      </c>
      <c r="M17" s="26" t="n">
        <f aca="false">IFERROR(AVERAGEIFS('SF Workings'!$AX$264:$AX$275,'SF Workings'!$B$264:$B$275,$A17),"")</f>
        <v>0.998192533937418</v>
      </c>
      <c r="N17" s="26" t="n">
        <f aca="false">IFERROR(AVERAGEIFS('SF Workings'!$BB$264:$BB$275,'SF Workings'!$B$264:$B$275,$A17),"")</f>
        <v>1.0109255560806</v>
      </c>
      <c r="O17" s="26" t="n">
        <f aca="false">IFERROR(AVERAGEIFS('SF Workings'!$BF$264:$BF$275,'SF Workings'!$B$264:$B$275,$A17),"")</f>
        <v>0.982927240872896</v>
      </c>
      <c r="P17" s="26" t="n">
        <f aca="false">IFERROR(AVERAGEIFS('SF Workings'!$BJ$264:$BJ$275,'SF Workings'!$B$264:$B$275,$A17),"")</f>
        <v>0.951272086122682</v>
      </c>
    </row>
    <row r="18" customFormat="false" ht="15" hidden="false" customHeight="false" outlineLevel="0" collapsed="false">
      <c r="A18" s="22" t="n">
        <v>10</v>
      </c>
      <c r="B18" s="26" t="n">
        <f aca="false">IFERROR(AVERAGEIFS('SF Workings'!$F$264:$F$275,'SF Workings'!$B$264:$B$275,$A18),"")</f>
        <v>0.570889381410997</v>
      </c>
      <c r="C18" s="26" t="n">
        <f aca="false">IFERROR(AVERAGEIFS('SF Workings'!$J$264:$J$275,'SF Workings'!$B$264:$B$275,$A18),"")</f>
        <v>0.582580860443071</v>
      </c>
      <c r="D18" s="26" t="n">
        <f aca="false">IFERROR(AVERAGEIFS('SF Workings'!$N$264:$N$275,'SF Workings'!$B$264:$B$275,$A18),"")</f>
        <v>1.01641873342207</v>
      </c>
      <c r="E18" s="26" t="n">
        <f aca="false">IFERROR(AVERAGEIFS('SF Workings'!$R$264:$R$275,'SF Workings'!$B$264:$B$275,$A18),"")</f>
        <v>1.08355368198312</v>
      </c>
      <c r="F18" s="26" t="n">
        <f aca="false">IFERROR(AVERAGEIFS('SF Workings'!$V$264:$V$275,'SF Workings'!$B$264:$B$275,$A18),"")</f>
        <v>0.908067738892148</v>
      </c>
      <c r="G18" s="26" t="n">
        <f aca="false">IFERROR(AVERAGEIFS('SF Workings'!$Z$264:$Z$275,'SF Workings'!$B$264:$B$275,$A18),"")</f>
        <v>1.00440617286712</v>
      </c>
      <c r="H18" s="26" t="n">
        <f aca="false">IFERROR(AVERAGEIFS('SF Workings'!$AD$264:$AD$275,'SF Workings'!$B$264:$B$275,$A18),"")</f>
        <v>1.02259147211875</v>
      </c>
      <c r="I18" s="26" t="n">
        <f aca="false">IFERROR(AVERAGEIFS('SF Workings'!$AH$264:$AH$275,'SF Workings'!$B$264:$B$275,$A18),"")</f>
        <v>1.0366857744366</v>
      </c>
      <c r="J18" s="26" t="n">
        <f aca="false">IFERROR(AVERAGEIFS('SF Workings'!$AL$264:$AL$275,'SF Workings'!$B$264:$B$275,$A18),"")</f>
        <v>0.991650398170317</v>
      </c>
      <c r="K18" s="26" t="n">
        <f aca="false">IFERROR(AVERAGEIFS('SF Workings'!$AP$264:$AP$275,'SF Workings'!$B$264:$B$275,$A18),"")</f>
        <v>1.02986811895838</v>
      </c>
      <c r="L18" s="26" t="n">
        <f aca="false">IFERROR(AVERAGEIFS('SF Workings'!$AT$264:$AT$275,'SF Workings'!$B$264:$B$275,$A18),"")</f>
        <v>1.01102160929778</v>
      </c>
      <c r="M18" s="26" t="n">
        <f aca="false">IFERROR(AVERAGEIFS('SF Workings'!$AX$264:$AX$275,'SF Workings'!$B$264:$B$275,$A18),"")</f>
        <v>1.00406304390815</v>
      </c>
      <c r="N18" s="26" t="n">
        <f aca="false">IFERROR(AVERAGEIFS('SF Workings'!$BB$264:$BB$275,'SF Workings'!$B$264:$B$275,$A18),"")</f>
        <v>1.00848582636729</v>
      </c>
      <c r="O18" s="26" t="n">
        <f aca="false">IFERROR(AVERAGEIFS('SF Workings'!$BF$264:$BF$275,'SF Workings'!$B$264:$B$275,$A18),"")</f>
        <v>0.956109933293304</v>
      </c>
      <c r="P18" s="26" t="n">
        <f aca="false">IFERROR(AVERAGEIFS('SF Workings'!$BJ$264:$BJ$275,'SF Workings'!$B$264:$B$275,$A18),"")</f>
        <v>0.998544650038559</v>
      </c>
    </row>
    <row r="19" customFormat="false" ht="15" hidden="false" customHeight="false" outlineLevel="0" collapsed="false">
      <c r="A19" s="22" t="n">
        <v>11</v>
      </c>
      <c r="B19" s="26" t="n">
        <f aca="false">IFERROR(AVERAGEIFS('SF Workings'!$F$264:$F$275,'SF Workings'!$B$264:$B$275,$A19),"")</f>
        <v>0.689180249338453</v>
      </c>
      <c r="C19" s="26" t="n">
        <f aca="false">IFERROR(AVERAGEIFS('SF Workings'!$J$264:$J$275,'SF Workings'!$B$264:$B$275,$A19),"")</f>
        <v>0.57004383456611</v>
      </c>
      <c r="D19" s="26" t="n">
        <f aca="false">IFERROR(AVERAGEIFS('SF Workings'!$N$264:$N$275,'SF Workings'!$B$264:$B$275,$A19),"")</f>
        <v>0.968666486099919</v>
      </c>
      <c r="E19" s="26" t="n">
        <f aca="false">IFERROR(AVERAGEIFS('SF Workings'!$R$264:$R$275,'SF Workings'!$B$264:$B$275,$A19),"")</f>
        <v>1.063325396998</v>
      </c>
      <c r="F19" s="26" t="n">
        <f aca="false">IFERROR(AVERAGEIFS('SF Workings'!$V$264:$V$275,'SF Workings'!$B$264:$B$275,$A19),"")</f>
        <v>0.93961628762169</v>
      </c>
      <c r="G19" s="26" t="n">
        <f aca="false">IFERROR(AVERAGEIFS('SF Workings'!$Z$264:$Z$275,'SF Workings'!$B$264:$B$275,$A19),"")</f>
        <v>0.999980240139432</v>
      </c>
      <c r="H19" s="26" t="n">
        <f aca="false">IFERROR(AVERAGEIFS('SF Workings'!$AD$264:$AD$275,'SF Workings'!$B$264:$B$275,$A19),"")</f>
        <v>1.01990502125132</v>
      </c>
      <c r="I19" s="26" t="n">
        <f aca="false">IFERROR(AVERAGEIFS('SF Workings'!$AH$264:$AH$275,'SF Workings'!$B$264:$B$275,$A19),"")</f>
        <v>1.05012904185303</v>
      </c>
      <c r="J19" s="26" t="n">
        <f aca="false">IFERROR(AVERAGEIFS('SF Workings'!$AL$264:$AL$275,'SF Workings'!$B$264:$B$275,$A19),"")</f>
        <v>0.989219197503204</v>
      </c>
      <c r="K19" s="26" t="n">
        <f aca="false">IFERROR(AVERAGEIFS('SF Workings'!$AP$264:$AP$275,'SF Workings'!$B$264:$B$275,$A19),"")</f>
        <v>1.00375115891535</v>
      </c>
      <c r="L19" s="26" t="n">
        <f aca="false">IFERROR(AVERAGEIFS('SF Workings'!$AT$264:$AT$275,'SF Workings'!$B$264:$B$275,$A19),"")</f>
        <v>1.01069843220536</v>
      </c>
      <c r="M19" s="26" t="n">
        <f aca="false">IFERROR(AVERAGEIFS('SF Workings'!$AX$264:$AX$275,'SF Workings'!$B$264:$B$275,$A19),"")</f>
        <v>1.00553128051652</v>
      </c>
      <c r="N19" s="26" t="n">
        <f aca="false">IFERROR(AVERAGEIFS('SF Workings'!$BB$264:$BB$275,'SF Workings'!$B$264:$B$275,$A19),"")</f>
        <v>1.0087159001765</v>
      </c>
      <c r="O19" s="26" t="n">
        <f aca="false">IFERROR(AVERAGEIFS('SF Workings'!$BF$264:$BF$275,'SF Workings'!$B$264:$B$275,$A19),"")</f>
        <v>0.952546460330204</v>
      </c>
      <c r="P19" s="26" t="n">
        <f aca="false">IFERROR(AVERAGEIFS('SF Workings'!$BJ$264:$BJ$275,'SF Workings'!$B$264:$B$275,$A19),"")</f>
        <v>0.967663484082623</v>
      </c>
    </row>
    <row r="20" customFormat="false" ht="15" hidden="false" customHeight="false" outlineLevel="0" collapsed="false">
      <c r="A20" s="22" t="n">
        <v>12</v>
      </c>
      <c r="B20" s="26" t="n">
        <f aca="false">IFERROR(AVERAGEIFS('SF Workings'!$F$264:$F$275,'SF Workings'!$B$264:$B$275,$A20),"")</f>
        <v>0.921428361575416</v>
      </c>
      <c r="C20" s="26" t="n">
        <f aca="false">IFERROR(AVERAGEIFS('SF Workings'!$J$264:$J$275,'SF Workings'!$B$264:$B$275,$A20),"")</f>
        <v>0.689970099638426</v>
      </c>
      <c r="D20" s="26" t="n">
        <f aca="false">IFERROR(AVERAGEIFS('SF Workings'!$N$264:$N$275,'SF Workings'!$B$264:$B$275,$A20),"")</f>
        <v>1.00855400154483</v>
      </c>
      <c r="E20" s="26" t="n">
        <f aca="false">IFERROR(AVERAGEIFS('SF Workings'!$R$264:$R$275,'SF Workings'!$B$264:$B$275,$A20),"")</f>
        <v>0.98698634540554</v>
      </c>
      <c r="F20" s="26" t="n">
        <f aca="false">IFERROR(AVERAGEIFS('SF Workings'!$V$264:$V$275,'SF Workings'!$B$264:$B$275,$A20),"")</f>
        <v>1.01139074539096</v>
      </c>
      <c r="G20" s="26" t="n">
        <f aca="false">IFERROR(AVERAGEIFS('SF Workings'!$Z$264:$Z$275,'SF Workings'!$B$264:$B$275,$A20),"")</f>
        <v>0.946855449712786</v>
      </c>
      <c r="H20" s="26" t="n">
        <f aca="false">IFERROR(AVERAGEIFS('SF Workings'!$AD$264:$AD$275,'SF Workings'!$B$264:$B$275,$A20),"")</f>
        <v>0.959728741659502</v>
      </c>
      <c r="I20" s="26" t="n">
        <f aca="false">IFERROR(AVERAGEIFS('SF Workings'!$AH$264:$AH$275,'SF Workings'!$B$264:$B$275,$A20),"")</f>
        <v>1.0640658760197</v>
      </c>
      <c r="J20" s="26" t="n">
        <f aca="false">IFERROR(AVERAGEIFS('SF Workings'!$AL$264:$AL$275,'SF Workings'!$B$264:$B$275,$A20),"")</f>
        <v>0.983612728587634</v>
      </c>
      <c r="K20" s="26" t="n">
        <f aca="false">IFERROR(AVERAGEIFS('SF Workings'!$AP$264:$AP$275,'SF Workings'!$B$264:$B$275,$A20),"")</f>
        <v>1.01512499317645</v>
      </c>
      <c r="L20" s="26" t="n">
        <f aca="false">IFERROR(AVERAGEIFS('SF Workings'!$AT$264:$AT$275,'SF Workings'!$B$264:$B$275,$A20),"")</f>
        <v>1.01773252526243</v>
      </c>
      <c r="M20" s="26" t="n">
        <f aca="false">IFERROR(AVERAGEIFS('SF Workings'!$AX$264:$AX$275,'SF Workings'!$B$264:$B$275,$A20),"")</f>
        <v>1.00776296733325</v>
      </c>
      <c r="N20" s="26" t="n">
        <f aca="false">IFERROR(AVERAGEIFS('SF Workings'!$BB$264:$BB$275,'SF Workings'!$B$264:$B$275,$A20),"")</f>
        <v>1.01415023190983</v>
      </c>
      <c r="O20" s="26" t="n">
        <f aca="false">IFERROR(AVERAGEIFS('SF Workings'!$BF$264:$BF$275,'SF Workings'!$B$264:$B$275,$A20),"")</f>
        <v>0.916858096406073</v>
      </c>
      <c r="P20" s="26" t="n">
        <f aca="false">IFERROR(AVERAGEIFS('SF Workings'!$BJ$264:$BJ$275,'SF Workings'!$B$264:$B$275,$A20),"")</f>
        <v>0.995222895857329</v>
      </c>
    </row>
    <row r="21" customFormat="false" ht="15" hidden="false" customHeight="false" outlineLevel="0" collapsed="false">
      <c r="A21" s="13" t="s">
        <v>437</v>
      </c>
      <c r="B21" s="27" t="n">
        <f aca="false">AVERAGE(B9:B20)</f>
        <v>0.998608031150353</v>
      </c>
      <c r="C21" s="27" t="n">
        <f aca="false">AVERAGE(C9:C20)</f>
        <v>1.00252173351299</v>
      </c>
      <c r="D21" s="27" t="n">
        <f aca="false">AVERAGE(D9:D20)</f>
        <v>1.00025085254271</v>
      </c>
      <c r="E21" s="27" t="n">
        <f aca="false">AVERAGE(E9:E20)</f>
        <v>0.999895744355591</v>
      </c>
      <c r="F21" s="27" t="n">
        <f aca="false">AVERAGE(F9:F20)</f>
        <v>1.00116664605118</v>
      </c>
      <c r="G21" s="27" t="n">
        <f aca="false">AVERAGE(G9:G20)</f>
        <v>0.999298306850987</v>
      </c>
      <c r="H21" s="27" t="n">
        <f aca="false">AVERAGE(H9:H20)</f>
        <v>0.999703681261072</v>
      </c>
      <c r="I21" s="27" t="n">
        <f aca="false">AVERAGE(I9:I20)</f>
        <v>0.996344687417892</v>
      </c>
      <c r="J21" s="27" t="n">
        <f aca="false">AVERAGE(J9:J20)</f>
        <v>0.999740948215937</v>
      </c>
      <c r="K21" s="27" t="n">
        <f aca="false">AVERAGE(K9:K20)</f>
        <v>0.999351114522122</v>
      </c>
      <c r="L21" s="27" t="n">
        <f aca="false">AVERAGE(L9:L20)</f>
        <v>0.999805215404392</v>
      </c>
      <c r="M21" s="27" t="n">
        <f aca="false">AVERAGE(M9:M20)</f>
        <v>0.999732384913151</v>
      </c>
      <c r="N21" s="27" t="n">
        <f aca="false">AVERAGE(N9:N20)</f>
        <v>0.999863344612674</v>
      </c>
      <c r="O21" s="27" t="n">
        <f aca="false">AVERAGE(O9:O20)</f>
        <v>1.00002894416769</v>
      </c>
      <c r="P21" s="27" t="n">
        <f aca="false">AVERAGE(P9:P20)</f>
        <v>1.00002089699423</v>
      </c>
    </row>
    <row r="23" customFormat="false" ht="15" hidden="false" customHeight="false" outlineLevel="0" collapsed="false">
      <c r="A23" s="6" t="s">
        <v>438</v>
      </c>
    </row>
    <row r="24" customFormat="false" ht="15" hidden="false" customHeight="false" outlineLevel="0" collapsed="false">
      <c r="A24" s="5" t="s">
        <v>439</v>
      </c>
    </row>
    <row r="25" customFormat="false" ht="15" hidden="false" customHeight="false" outlineLevel="0" collapsed="false">
      <c r="A25" s="28" t="s">
        <v>331</v>
      </c>
      <c r="B25" s="28" t="s">
        <v>440</v>
      </c>
      <c r="C25" s="28" t="s">
        <v>441</v>
      </c>
      <c r="D25" s="28" t="s">
        <v>442</v>
      </c>
    </row>
    <row r="26" customFormat="false" ht="15" hidden="false" customHeight="false" outlineLevel="0" collapsed="false">
      <c r="A26" s="8" t="s">
        <v>1</v>
      </c>
      <c r="B26" s="29" t="n">
        <f aca="false">'Weights &amp; Assumptions'!C6</f>
        <v>8.2873</v>
      </c>
      <c r="C26" s="11" t="n">
        <f aca="false">SUMPRODUCT(ABS('SA Data'!C$7:C$275-'X11 Reference'!B$7:B$275)/'X11 Reference'!B$7:B$275)/269*100</f>
        <v>13.2844977661961</v>
      </c>
      <c r="D26" s="11" t="n">
        <f aca="false">SUMPRODUCT(ABS('SA Data'!C$216:C$275-'X11 Reference'!B$216:B$275)/'X11 Reference'!B$216:B$275)/60*100</f>
        <v>9.94283591993034</v>
      </c>
    </row>
    <row r="27" customFormat="false" ht="15" hidden="false" customHeight="false" outlineLevel="0" collapsed="false">
      <c r="A27" s="8" t="s">
        <v>2</v>
      </c>
      <c r="B27" s="29" t="n">
        <f aca="false">'Weights &amp; Assumptions'!C7</f>
        <v>0.1028</v>
      </c>
      <c r="C27" s="11" t="n">
        <f aca="false">SUMPRODUCT(ABS('SA Data'!D$7:D$275-'X11 Reference'!C$7:C$275)/'X11 Reference'!C$7:C$275)/269*100</f>
        <v>11.0700797665722</v>
      </c>
      <c r="D27" s="11" t="n">
        <f aca="false">SUMPRODUCT(ABS('SA Data'!D$216:D$275-'X11 Reference'!C$216:C$275)/'X11 Reference'!C$216:C$275)/60*100</f>
        <v>12.2341843868786</v>
      </c>
    </row>
    <row r="28" customFormat="false" ht="15" hidden="false" customHeight="false" outlineLevel="0" collapsed="false">
      <c r="A28" s="8" t="s">
        <v>3</v>
      </c>
      <c r="B28" s="29" t="n">
        <f aca="false">'Weights &amp; Assumptions'!C8</f>
        <v>3.175</v>
      </c>
      <c r="C28" s="11" t="n">
        <f aca="false">SUMPRODUCT(ABS('SA Data'!E$7:E$275-'X11 Reference'!D$7:D$275)/'X11 Reference'!D$7:D$275)/269*100</f>
        <v>0.575053086030657</v>
      </c>
      <c r="D28" s="11" t="n">
        <f aca="false">SUMPRODUCT(ABS('SA Data'!E$216:E$275-'X11 Reference'!D$216:D$275)/'X11 Reference'!D$216:D$275)/60*100</f>
        <v>0.671067587107437</v>
      </c>
    </row>
    <row r="29" customFormat="false" ht="15" hidden="false" customHeight="false" outlineLevel="0" collapsed="false">
      <c r="A29" s="8" t="s">
        <v>4</v>
      </c>
      <c r="B29" s="29" t="n">
        <f aca="false">'Weights &amp; Assumptions'!C9</f>
        <v>17.8771</v>
      </c>
      <c r="C29" s="11" t="n">
        <f aca="false">SUMPRODUCT(ABS('SA Data'!F$7:F$275-'X11 Reference'!E$7:E$275)/'X11 Reference'!E$7:E$275)/269*100</f>
        <v>0.89494965181619</v>
      </c>
      <c r="D29" s="11" t="n">
        <f aca="false">SUMPRODUCT(ABS('SA Data'!F$216:F$275-'X11 Reference'!E$216:E$275)/'X11 Reference'!E$216:E$275)/60*100</f>
        <v>1.33649164782145</v>
      </c>
    </row>
    <row r="30" customFormat="false" ht="15" hidden="false" customHeight="false" outlineLevel="0" collapsed="false">
      <c r="A30" s="8" t="s">
        <v>5</v>
      </c>
      <c r="B30" s="29" t="n">
        <f aca="false">'Weights &amp; Assumptions'!C10</f>
        <v>1.8434</v>
      </c>
      <c r="C30" s="11" t="n">
        <f aca="false">SUMPRODUCT(ABS('SA Data'!G$7:G$275-'X11 Reference'!F$7:F$275)/'X11 Reference'!F$7:F$275)/269*100</f>
        <v>0.827898768687231</v>
      </c>
      <c r="D30" s="11" t="n">
        <f aca="false">SUMPRODUCT(ABS('SA Data'!G$216:G$275-'X11 Reference'!F$216:F$275)/'X11 Reference'!F$216:F$275)/60*100</f>
        <v>1.00842226021192</v>
      </c>
    </row>
    <row r="31" customFormat="false" ht="15" hidden="false" customHeight="false" outlineLevel="0" collapsed="false">
      <c r="A31" s="8" t="s">
        <v>6</v>
      </c>
      <c r="B31" s="29" t="n">
        <f aca="false">'Weights &amp; Assumptions'!C11</f>
        <v>5.5397</v>
      </c>
      <c r="C31" s="11" t="n">
        <f aca="false">SUMPRODUCT(ABS('SA Data'!H$7:H$275-'X11 Reference'!G$7:G$275)/'X11 Reference'!G$7:G$275)/269*100</f>
        <v>1.10907475581996</v>
      </c>
      <c r="D31" s="11" t="n">
        <f aca="false">SUMPRODUCT(ABS('SA Data'!H$216:H$275-'X11 Reference'!G$216:G$275)/'X11 Reference'!G$216:G$275)/60*100</f>
        <v>1.71534362855598</v>
      </c>
    </row>
    <row r="32" customFormat="false" ht="15" hidden="false" customHeight="false" outlineLevel="0" collapsed="false">
      <c r="A32" s="8" t="s">
        <v>7</v>
      </c>
      <c r="B32" s="29" t="n">
        <f aca="false">'Weights &amp; Assumptions'!C12</f>
        <v>13.2283</v>
      </c>
      <c r="C32" s="11" t="n">
        <f aca="false">SUMPRODUCT(ABS('SA Data'!I$7:I$275-'X11 Reference'!H$7:H$275)/'X11 Reference'!H$7:H$275)/269*100</f>
        <v>1.07370394900291</v>
      </c>
      <c r="D32" s="11" t="n">
        <f aca="false">SUMPRODUCT(ABS('SA Data'!I$216:I$275-'X11 Reference'!H$216:H$275)/'X11 Reference'!H$216:H$275)/60*100</f>
        <v>1.11506109247123</v>
      </c>
    </row>
    <row r="33" customFormat="false" ht="15" hidden="false" customHeight="false" outlineLevel="0" collapsed="false">
      <c r="A33" s="8" t="s">
        <v>8</v>
      </c>
      <c r="B33" s="29" t="n">
        <f aca="false">'Weights &amp; Assumptions'!C13</f>
        <v>3.0404</v>
      </c>
      <c r="C33" s="11" t="n">
        <f aca="false">SUMPRODUCT(ABS('SA Data'!J$7:J$275-'X11 Reference'!I$7:I$275)/'X11 Reference'!I$7:I$275)/269*100</f>
        <v>1.99866614554886</v>
      </c>
      <c r="D33" s="11" t="n">
        <f aca="false">SUMPRODUCT(ABS('SA Data'!J$216:J$275-'X11 Reference'!I$216:I$275)/'X11 Reference'!I$216:I$275)/60*100</f>
        <v>4.04702420157072</v>
      </c>
    </row>
    <row r="34" customFormat="false" ht="15" hidden="false" customHeight="false" outlineLevel="0" collapsed="false">
      <c r="A34" s="8" t="s">
        <v>9</v>
      </c>
      <c r="B34" s="29" t="n">
        <f aca="false">'Weights &amp; Assumptions'!C14</f>
        <v>9.4699</v>
      </c>
      <c r="C34" s="11" t="n">
        <f aca="false">SUMPRODUCT(ABS('SA Data'!K$7:K$275-'X11 Reference'!J$7:J$275)/'X11 Reference'!J$7:J$275)/269*100</f>
        <v>0.424978045755542</v>
      </c>
      <c r="D34" s="11" t="n">
        <f aca="false">SUMPRODUCT(ABS('SA Data'!K$216:K$275-'X11 Reference'!J$216:J$275)/'X11 Reference'!J$216:J$275)/60*100</f>
        <v>0.599089780309731</v>
      </c>
    </row>
    <row r="35" customFormat="false" ht="15" hidden="false" customHeight="false" outlineLevel="0" collapsed="false">
      <c r="A35" s="8" t="s">
        <v>10</v>
      </c>
      <c r="B35" s="29" t="n">
        <f aca="false">'Weights &amp; Assumptions'!C15</f>
        <v>4.9519</v>
      </c>
      <c r="C35" s="11" t="n">
        <f aca="false">SUMPRODUCT(ABS('SA Data'!L$7:L$275-'X11 Reference'!K$7:K$275)/'X11 Reference'!K$7:K$275)/269*100</f>
        <v>0.631469073720979</v>
      </c>
      <c r="D35" s="11" t="n">
        <f aca="false">SUMPRODUCT(ABS('SA Data'!L$216:L$275-'X11 Reference'!K$216:K$275)/'X11 Reference'!K$216:K$275)/60*100</f>
        <v>0.995193237476227</v>
      </c>
    </row>
    <row r="36" customFormat="false" ht="15" hidden="false" customHeight="false" outlineLevel="0" collapsed="false">
      <c r="A36" s="8" t="s">
        <v>11</v>
      </c>
      <c r="B36" s="29" t="n">
        <f aca="false">'Weights &amp; Assumptions'!C16</f>
        <v>13.2728</v>
      </c>
      <c r="C36" s="11" t="n">
        <f aca="false">SUMPRODUCT(ABS('SA Data'!M$7:M$275-'X11 Reference'!L$7:L$275)/'X11 Reference'!L$7:L$275)/269*100</f>
        <v>0.394638356590241</v>
      </c>
      <c r="D36" s="11" t="n">
        <f aca="false">SUMPRODUCT(ABS('SA Data'!M$216:M$275-'X11 Reference'!L$216:L$275)/'X11 Reference'!L$216:L$275)/60*100</f>
        <v>0.478337521102754</v>
      </c>
    </row>
    <row r="37" customFormat="false" ht="15" hidden="false" customHeight="false" outlineLevel="0" collapsed="false">
      <c r="A37" s="8" t="s">
        <v>12</v>
      </c>
      <c r="B37" s="29" t="n">
        <f aca="false">'Weights &amp; Assumptions'!C17</f>
        <v>6.1054</v>
      </c>
      <c r="C37" s="11" t="n">
        <f aca="false">SUMPRODUCT(ABS('SA Data'!N$7:N$275-'X11 Reference'!M$7:M$275)/'X11 Reference'!M$7:M$275)/269*100</f>
        <v>0.245824158487641</v>
      </c>
      <c r="D37" s="11" t="n">
        <f aca="false">SUMPRODUCT(ABS('SA Data'!N$216:N$275-'X11 Reference'!M$216:M$275)/'X11 Reference'!M$216:M$275)/60*100</f>
        <v>0.398042080010752</v>
      </c>
    </row>
    <row r="38" customFormat="false" ht="15" hidden="false" customHeight="false" outlineLevel="0" collapsed="false">
      <c r="A38" s="8" t="s">
        <v>13</v>
      </c>
      <c r="B38" s="29" t="n">
        <f aca="false">'Weights &amp; Assumptions'!C18</f>
        <v>4.8085</v>
      </c>
      <c r="C38" s="11" t="n">
        <f aca="false">SUMPRODUCT(ABS('SA Data'!O$7:O$275-'X11 Reference'!N$7:N$275)/'X11 Reference'!N$7:N$275)/269*100</f>
        <v>0.222611148291315</v>
      </c>
      <c r="D38" s="11" t="n">
        <f aca="false">SUMPRODUCT(ABS('SA Data'!O$216:O$275-'X11 Reference'!N$216:N$275)/'X11 Reference'!N$216:N$275)/60*100</f>
        <v>0.259380572213797</v>
      </c>
    </row>
    <row r="39" customFormat="false" ht="15" hidden="false" customHeight="false" outlineLevel="0" collapsed="false">
      <c r="A39" s="8" t="s">
        <v>14</v>
      </c>
      <c r="B39" s="29" t="n">
        <f aca="false">'Weights &amp; Assumptions'!C19</f>
        <v>4.7366</v>
      </c>
      <c r="C39" s="11" t="n">
        <f aca="false">SUMPRODUCT(ABS('SA Data'!P$7:P$275-'X11 Reference'!O$7:O$275)/'X11 Reference'!O$7:O$275)/269*100</f>
        <v>0.542103534288856</v>
      </c>
      <c r="D39" s="11" t="n">
        <f aca="false">SUMPRODUCT(ABS('SA Data'!P$216:P$275-'X11 Reference'!O$216:O$275)/'X11 Reference'!O$216:O$275)/60*100</f>
        <v>0.801201817187537</v>
      </c>
    </row>
    <row r="40" customFormat="false" ht="15" hidden="false" customHeight="false" outlineLevel="0" collapsed="false">
      <c r="A40" s="8" t="s">
        <v>15</v>
      </c>
      <c r="B40" s="29" t="n">
        <f aca="false">'Weights &amp; Assumptions'!C20</f>
        <v>3.5611</v>
      </c>
      <c r="C40" s="11" t="n">
        <f aca="false">SUMPRODUCT(ABS('SA Data'!Q$7:Q$275-'X11 Reference'!P$7:P$275)/'X11 Reference'!P$7:P$275)/269*100</f>
        <v>1.64550634939889</v>
      </c>
      <c r="D40" s="11" t="n">
        <f aca="false">SUMPRODUCT(ABS('SA Data'!Q$216:Q$275-'X11 Reference'!P$216:P$275)/'X11 Reference'!P$216:P$275)/60*100</f>
        <v>2.5733613165152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29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6" topLeftCell="B7" activePane="bottomRight" state="frozen"/>
      <selection pane="topLeft" activeCell="A1" activeCellId="0" sqref="A1"/>
      <selection pane="topRight" activeCell="B1" activeCellId="0" sqref="B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5" min="2" style="0" width="11"/>
  </cols>
  <sheetData>
    <row r="1" customFormat="false" ht="17.35" hidden="false" customHeight="false" outlineLevel="0" collapsed="false">
      <c r="A1" s="4" t="s">
        <v>443</v>
      </c>
    </row>
    <row r="2" customFormat="false" ht="15" hidden="false" customHeight="false" outlineLevel="0" collapsed="false">
      <c r="A2" s="5" t="s">
        <v>444</v>
      </c>
    </row>
    <row r="4" customFormat="false" ht="15" hidden="false" customHeight="false" outlineLevel="0" collapsed="false">
      <c r="A4" s="5" t="s">
        <v>445</v>
      </c>
    </row>
    <row r="6" customFormat="false" ht="35.05" hidden="false" customHeight="false" outlineLevel="0" collapsed="false">
      <c r="A6" s="7" t="s">
        <v>368</v>
      </c>
      <c r="B6" s="7" t="s">
        <v>446</v>
      </c>
      <c r="C6" s="7" t="s">
        <v>447</v>
      </c>
      <c r="D6" s="7" t="s">
        <v>448</v>
      </c>
      <c r="E6" s="7" t="s">
        <v>449</v>
      </c>
      <c r="F6" s="7" t="s">
        <v>450</v>
      </c>
      <c r="G6" s="7" t="s">
        <v>451</v>
      </c>
      <c r="H6" s="7" t="s">
        <v>452</v>
      </c>
      <c r="I6" s="7" t="s">
        <v>453</v>
      </c>
      <c r="J6" s="7" t="s">
        <v>454</v>
      </c>
      <c r="K6" s="7" t="s">
        <v>455</v>
      </c>
      <c r="L6" s="7" t="s">
        <v>456</v>
      </c>
      <c r="M6" s="7" t="s">
        <v>457</v>
      </c>
      <c r="N6" s="7" t="s">
        <v>458</v>
      </c>
      <c r="O6" s="7" t="s">
        <v>459</v>
      </c>
      <c r="P6" s="7" t="s">
        <v>460</v>
      </c>
      <c r="Q6" s="7" t="s">
        <v>461</v>
      </c>
      <c r="R6" s="7" t="s">
        <v>462</v>
      </c>
      <c r="S6" s="7" t="s">
        <v>463</v>
      </c>
      <c r="T6" s="7" t="s">
        <v>464</v>
      </c>
      <c r="U6" s="7" t="s">
        <v>465</v>
      </c>
      <c r="V6" s="7" t="s">
        <v>466</v>
      </c>
      <c r="W6" s="7" t="s">
        <v>467</v>
      </c>
      <c r="X6" s="7" t="s">
        <v>468</v>
      </c>
      <c r="Y6" s="7" t="s">
        <v>469</v>
      </c>
    </row>
    <row r="7" customFormat="false" ht="15" hidden="false" customHeight="false" outlineLevel="0" collapsed="false">
      <c r="A7" s="20" t="n">
        <v>38017</v>
      </c>
      <c r="B7" s="30" t="n">
        <f aca="false">IF(ISNUMBER(Tabelle1!D8),Tabelle1!D8,"")</f>
        <v>98.33957</v>
      </c>
      <c r="C7" s="23" t="n">
        <f aca="false">IF(ISNUMBER(Tabelle1!E8),Tabelle1!E8/'SF Workings'!F7,"")</f>
        <v>152.072097039428</v>
      </c>
      <c r="D7" s="23" t="n">
        <f aca="false">IF(ISNUMBER(Tabelle1!F8),Tabelle1!F8/'SF Workings'!J7,"")</f>
        <v>156.185033760793</v>
      </c>
      <c r="E7" s="23" t="n">
        <f aca="false">IF(ISNUMBER(Tabelle1!G8),Tabelle1!G8/'SF Workings'!N7,"")</f>
        <v>99.9532255736835</v>
      </c>
      <c r="F7" s="23" t="n">
        <f aca="false">IF(ISNUMBER(Tabelle1!H8),Tabelle1!H8/'SF Workings'!R7,"")</f>
        <v>97.3710836849011</v>
      </c>
      <c r="G7" s="23" t="n">
        <f aca="false">IF(ISNUMBER(Tabelle1!I8),Tabelle1!I8/'SF Workings'!V7,"")</f>
        <v>97.1914321799765</v>
      </c>
      <c r="H7" s="23" t="n">
        <f aca="false">IF(ISNUMBER(Tabelle1!J8),Tabelle1!J8/'SF Workings'!Z7,"")</f>
        <v>95.8905954238624</v>
      </c>
      <c r="I7" s="23" t="n">
        <f aca="false">IF(ISNUMBER(Tabelle1!K8),Tabelle1!K8/'SF Workings'!AD7,"")</f>
        <v>97.8138880632715</v>
      </c>
      <c r="J7" s="23" t="n">
        <f aca="false">IF(ISNUMBER(Tabelle1!L8),Tabelle1!L8/'SF Workings'!AH7,"")</f>
        <v>97.2773505931227</v>
      </c>
      <c r="K7" s="23" t="n">
        <f aca="false">IF(ISNUMBER(Tabelle1!M8),Tabelle1!M8/'SF Workings'!AL7,"")</f>
        <v>97.3466559403647</v>
      </c>
      <c r="L7" s="23" t="n">
        <f aca="false">IF(ISNUMBER(Tabelle1!N8),Tabelle1!N8/'SF Workings'!AP7,"")</f>
        <v>100.689008298169</v>
      </c>
      <c r="M7" s="23" t="n">
        <f aca="false">IF(ISNUMBER(Tabelle1!O8),Tabelle1!O8/'SF Workings'!AT7,"")</f>
        <v>95.8793841247655</v>
      </c>
      <c r="N7" s="23" t="n">
        <f aca="false">IF(ISNUMBER(Tabelle1!P8),Tabelle1!P8/'SF Workings'!AX7,"")</f>
        <v>98.1531913854762</v>
      </c>
      <c r="O7" s="23" t="n">
        <f aca="false">IF(ISNUMBER(Tabelle1!Q8),Tabelle1!Q8/'SF Workings'!BB7,"")</f>
        <v>97.6407928244444</v>
      </c>
      <c r="P7" s="23" t="n">
        <f aca="false">IF(ISNUMBER(Tabelle1!R8),Tabelle1!R8/'SF Workings'!BF7,"")</f>
        <v>97.0721382859507</v>
      </c>
      <c r="Q7" s="23" t="n">
        <f aca="false">IF(ISNUMBER(Tabelle1!S8),Tabelle1!S8/'SF Workings'!BJ7,"")</f>
        <v>96.6383273478817</v>
      </c>
      <c r="R7" s="23" t="n">
        <f aca="false">IFERROR(C7*'Weights &amp; Assumptions'!$F$6+D7*'Weights &amp; Assumptions'!$F$7,"")</f>
        <v>152.122490943548</v>
      </c>
      <c r="S7" s="23" t="n">
        <f aca="false">IFERROR(E7*'Weights &amp; Assumptions'!$F$8+F7*'Weights &amp; Assumptions'!$F$9+H7*'Weights &amp; Assumptions'!$F$11,"")</f>
        <v>97.3709648391369</v>
      </c>
      <c r="T7" s="23" t="n">
        <f aca="false">IFERROR(G7*'Weights &amp; Assumptions'!$F$10+I7*'Weights &amp; Assumptions'!$F$12+J7*'Weights &amp; Assumptions'!$F$13+K7*'Weights &amp; Assumptions'!$F$14+L7*'Weights &amp; Assumptions'!$F$15+M7*'Weights &amp; Assumptions'!$F$16+N7*'Weights &amp; Assumptions'!$F$17+O7*'Weights &amp; Assumptions'!$F$18+P7*'Weights &amp; Assumptions'!$F$19+Q7*'Weights &amp; Assumptions'!$F$20,"")</f>
        <v>97.4278006328807</v>
      </c>
      <c r="U7" s="23" t="n">
        <f aca="false">IFERROR(R7*'Weights &amp; Assumptions'!$B$25/'Weights &amp; Assumptions'!$B$28+S7*'Weights &amp; Assumptions'!$B$26/'Weights &amp; Assumptions'!$B$28+T7*'Weights &amp; Assumptions'!$B$27/'Weights &amp; Assumptions'!$B$28,"")</f>
        <v>102.001617036402</v>
      </c>
      <c r="V7" s="30" t="n">
        <f aca="false">IF(ISNUMBER(Tabelle1!E8),Tabelle1!E8*'Weights &amp; Assumptions'!$F$6+Tabelle1!F8*'Weights &amp; Assumptions'!$F$7,"")</f>
        <v>65.7080589136006</v>
      </c>
      <c r="W7" s="30" t="n">
        <f aca="false">IF(ISNUMBER(Tabelle1!G8),Tabelle1!G8*'Weights &amp; Assumptions'!$F$8+Tabelle1!H8*'Weights &amp; Assumptions'!$F$9+Tabelle1!J8*'Weights &amp; Assumptions'!$F$11,"")</f>
        <v>93.4930321195256</v>
      </c>
      <c r="X7" s="30" t="n">
        <f aca="false">IF(ISNUMBER(Tabelle1!I8),Tabelle1!I8*'Weights &amp; Assumptions'!$F$10+Tabelle1!K8*'Weights &amp; Assumptions'!$F$12+Tabelle1!L8*'Weights &amp; Assumptions'!$F$13+Tabelle1!M8*'Weights &amp; Assumptions'!$F$14+Tabelle1!N8*'Weights &amp; Assumptions'!$F$15+Tabelle1!O8*'Weights &amp; Assumptions'!$F$16+Tabelle1!P8*'Weights &amp; Assumptions'!$F$17+Tabelle1!Q8*'Weights &amp; Assumptions'!$F$18+Tabelle1!R8*'Weights &amp; Assumptions'!$F$19+Tabelle1!S8*'Weights &amp; Assumptions'!$F$20,"")</f>
        <v>95.4995194167027</v>
      </c>
      <c r="Y7" s="23" t="n">
        <f aca="false">IFERROR(V7*'Weights &amp; Assumptions'!$B$25/'Weights &amp; Assumptions'!$B$28+W7*'Weights &amp; Assumptions'!$B$26/'Weights &amp; Assumptions'!$B$28+X7*'Weights &amp; Assumptions'!$B$27/'Weights &amp; Assumptions'!$B$28,"")</f>
        <v>92.4664310661179</v>
      </c>
    </row>
    <row r="8" customFormat="false" ht="15" hidden="false" customHeight="false" outlineLevel="0" collapsed="false">
      <c r="A8" s="20" t="n">
        <v>38046</v>
      </c>
      <c r="B8" s="30" t="n">
        <f aca="false">IF(ISNUMBER(Tabelle1!D9),Tabelle1!D9,"")</f>
        <v>98.07072</v>
      </c>
      <c r="C8" s="23" t="n">
        <f aca="false">IF(ISNUMBER(Tabelle1!E9),Tabelle1!E9/'SF Workings'!F8,"")</f>
        <v>138.126814178293</v>
      </c>
      <c r="D8" s="23" t="n">
        <f aca="false">IF(ISNUMBER(Tabelle1!F9),Tabelle1!F9/'SF Workings'!J8,"")</f>
        <v>98.8377797380136</v>
      </c>
      <c r="E8" s="23" t="n">
        <f aca="false">IF(ISNUMBER(Tabelle1!G9),Tabelle1!G9/'SF Workings'!N8,"")</f>
        <v>102.397263735824</v>
      </c>
      <c r="F8" s="23" t="n">
        <f aca="false">IF(ISNUMBER(Tabelle1!H9),Tabelle1!H9/'SF Workings'!R8,"")</f>
        <v>97.9201772497533</v>
      </c>
      <c r="G8" s="23" t="n">
        <f aca="false">IF(ISNUMBER(Tabelle1!I9),Tabelle1!I9/'SF Workings'!V8,"")</f>
        <v>96.8019902438506</v>
      </c>
      <c r="H8" s="23" t="n">
        <f aca="false">IF(ISNUMBER(Tabelle1!J9),Tabelle1!J9/'SF Workings'!Z8,"")</f>
        <v>97.4865742020289</v>
      </c>
      <c r="I8" s="23" t="n">
        <f aca="false">IF(ISNUMBER(Tabelle1!K9),Tabelle1!K9/'SF Workings'!AD8,"")</f>
        <v>98.7100238894582</v>
      </c>
      <c r="J8" s="23" t="n">
        <f aca="false">IF(ISNUMBER(Tabelle1!L9),Tabelle1!L9/'SF Workings'!AH8,"")</f>
        <v>96.9370404466108</v>
      </c>
      <c r="K8" s="23" t="n">
        <f aca="false">IF(ISNUMBER(Tabelle1!M9),Tabelle1!M9/'SF Workings'!AL8,"")</f>
        <v>97.199672694254</v>
      </c>
      <c r="L8" s="23" t="n">
        <f aca="false">IF(ISNUMBER(Tabelle1!N9),Tabelle1!N9/'SF Workings'!AP8,"")</f>
        <v>98.5727715432714</v>
      </c>
      <c r="M8" s="23" t="n">
        <f aca="false">IF(ISNUMBER(Tabelle1!O9),Tabelle1!O9/'SF Workings'!AT8,"")</f>
        <v>97.0547058317047</v>
      </c>
      <c r="N8" s="23" t="n">
        <f aca="false">IF(ISNUMBER(Tabelle1!P9),Tabelle1!P9/'SF Workings'!AX8,"")</f>
        <v>98.1372931060146</v>
      </c>
      <c r="O8" s="23" t="n">
        <f aca="false">IF(ISNUMBER(Tabelle1!Q9),Tabelle1!Q9/'SF Workings'!BB8,"")</f>
        <v>97.5748950329357</v>
      </c>
      <c r="P8" s="23" t="n">
        <f aca="false">IF(ISNUMBER(Tabelle1!R9),Tabelle1!R9/'SF Workings'!BF8,"")</f>
        <v>98.151872214472</v>
      </c>
      <c r="Q8" s="23" t="n">
        <f aca="false">IF(ISNUMBER(Tabelle1!S9),Tabelle1!S9/'SF Workings'!BJ8,"")</f>
        <v>99.3034690812232</v>
      </c>
      <c r="R8" s="23" t="n">
        <f aca="false">IFERROR(C8*'Weights &amp; Assumptions'!$F$6+D8*'Weights &amp; Assumptions'!$F$7,"")</f>
        <v>137.645423880149</v>
      </c>
      <c r="S8" s="23" t="n">
        <f aca="false">IFERROR(E8*'Weights &amp; Assumptions'!$F$8+F8*'Weights &amp; Assumptions'!$F$9+H8*'Weights &amp; Assumptions'!$F$11,"")</f>
        <v>98.3644013635702</v>
      </c>
      <c r="T8" s="23" t="n">
        <f aca="false">IFERROR(G8*'Weights &amp; Assumptions'!$F$10+I8*'Weights &amp; Assumptions'!$F$12+J8*'Weights &amp; Assumptions'!$F$13+K8*'Weights &amp; Assumptions'!$F$14+L8*'Weights &amp; Assumptions'!$F$15+M8*'Weights &amp; Assumptions'!$F$16+N8*'Weights &amp; Assumptions'!$F$17+O8*'Weights &amp; Assumptions'!$F$18+P8*'Weights &amp; Assumptions'!$F$19+Q8*'Weights &amp; Assumptions'!$F$20,"")</f>
        <v>97.8587784791874</v>
      </c>
      <c r="U8" s="23" t="n">
        <f aca="false">IFERROR(R8*'Weights &amp; Assumptions'!$B$25/'Weights &amp; Assumptions'!$B$28+S8*'Weights &amp; Assumptions'!$B$26/'Weights &amp; Assumptions'!$B$28+T8*'Weights &amp; Assumptions'!$B$27/'Weights &amp; Assumptions'!$B$28,"")</f>
        <v>101.33136509597</v>
      </c>
      <c r="V8" s="30" t="n">
        <f aca="false">IF(ISNUMBER(Tabelle1!E9),Tabelle1!E9*'Weights &amp; Assumptions'!$F$6+Tabelle1!F9*'Weights &amp; Assumptions'!$F$7,"")</f>
        <v>64.8961422791147</v>
      </c>
      <c r="W8" s="30" t="n">
        <f aca="false">IF(ISNUMBER(Tabelle1!G9),Tabelle1!G9*'Weights &amp; Assumptions'!$F$8+Tabelle1!H9*'Weights &amp; Assumptions'!$F$9+Tabelle1!J9*'Weights &amp; Assumptions'!$F$11,"")</f>
        <v>92.1041510453599</v>
      </c>
      <c r="X8" s="30" t="n">
        <f aca="false">IF(ISNUMBER(Tabelle1!I9),Tabelle1!I9*'Weights &amp; Assumptions'!$F$10+Tabelle1!K9*'Weights &amp; Assumptions'!$F$12+Tabelle1!L9*'Weights &amp; Assumptions'!$F$13+Tabelle1!M9*'Weights &amp; Assumptions'!$F$14+Tabelle1!N9*'Weights &amp; Assumptions'!$F$15+Tabelle1!O9*'Weights &amp; Assumptions'!$F$16+Tabelle1!P9*'Weights &amp; Assumptions'!$F$17+Tabelle1!Q9*'Weights &amp; Assumptions'!$F$18+Tabelle1!R9*'Weights &amp; Assumptions'!$F$19+Tabelle1!S9*'Weights &amp; Assumptions'!$F$20,"")</f>
        <v>94.0233458144707</v>
      </c>
      <c r="Y8" s="23" t="n">
        <f aca="false">IFERROR(V8*'Weights &amp; Assumptions'!$B$25/'Weights &amp; Assumptions'!$B$28+W8*'Weights &amp; Assumptions'!$B$26/'Weights &amp; Assumptions'!$B$28+X8*'Weights &amp; Assumptions'!$B$27/'Weights &amp; Assumptions'!$B$28,"")</f>
        <v>91.0692017843265</v>
      </c>
    </row>
    <row r="9" customFormat="false" ht="15" hidden="false" customHeight="false" outlineLevel="0" collapsed="false">
      <c r="A9" s="20" t="n">
        <v>38077</v>
      </c>
      <c r="B9" s="30" t="n">
        <f aca="false">IF(ISNUMBER(Tabelle1!D10),Tabelle1!D10,"")</f>
        <v>97.66795</v>
      </c>
      <c r="C9" s="23" t="n">
        <f aca="false">IF(ISNUMBER(Tabelle1!E10),Tabelle1!E10/'SF Workings'!F9,"")</f>
        <v>113.501660316433</v>
      </c>
      <c r="D9" s="23" t="n">
        <f aca="false">IF(ISNUMBER(Tabelle1!F10),Tabelle1!F10/'SF Workings'!J9,"")</f>
        <v>126.592084553792</v>
      </c>
      <c r="E9" s="23" t="n">
        <f aca="false">IF(ISNUMBER(Tabelle1!G10),Tabelle1!G10/'SF Workings'!N9,"")</f>
        <v>98.1090813585559</v>
      </c>
      <c r="F9" s="23" t="n">
        <f aca="false">IF(ISNUMBER(Tabelle1!H10),Tabelle1!H10/'SF Workings'!R9,"")</f>
        <v>99.0368489111689</v>
      </c>
      <c r="G9" s="23" t="n">
        <f aca="false">IF(ISNUMBER(Tabelle1!I10),Tabelle1!I10/'SF Workings'!V9,"")</f>
        <v>104.339525426435</v>
      </c>
      <c r="H9" s="23" t="n">
        <f aca="false">IF(ISNUMBER(Tabelle1!J10),Tabelle1!J10/'SF Workings'!Z9,"")</f>
        <v>99.8211382440057</v>
      </c>
      <c r="I9" s="23" t="n">
        <f aca="false">IF(ISNUMBER(Tabelle1!K10),Tabelle1!K10/'SF Workings'!AD9,"")</f>
        <v>101.773561203195</v>
      </c>
      <c r="J9" s="23" t="n">
        <f aca="false">IF(ISNUMBER(Tabelle1!L10),Tabelle1!L10/'SF Workings'!AH9,"")</f>
        <v>97.4598139852248</v>
      </c>
      <c r="K9" s="23" t="n">
        <f aca="false">IF(ISNUMBER(Tabelle1!M10),Tabelle1!M10/'SF Workings'!AL9,"")</f>
        <v>97.58224591346</v>
      </c>
      <c r="L9" s="23" t="n">
        <f aca="false">IF(ISNUMBER(Tabelle1!N10),Tabelle1!N10/'SF Workings'!AP9,"")</f>
        <v>98.7108061126057</v>
      </c>
      <c r="M9" s="23" t="n">
        <f aca="false">IF(ISNUMBER(Tabelle1!O10),Tabelle1!O10/'SF Workings'!AT9,"")</f>
        <v>99.7492229964826</v>
      </c>
      <c r="N9" s="23" t="n">
        <f aca="false">IF(ISNUMBER(Tabelle1!P10),Tabelle1!P10/'SF Workings'!AX9,"")</f>
        <v>98.2310950053429</v>
      </c>
      <c r="O9" s="23" t="n">
        <f aca="false">IF(ISNUMBER(Tabelle1!Q10),Tabelle1!Q10/'SF Workings'!BB9,"")</f>
        <v>97.6503732225366</v>
      </c>
      <c r="P9" s="23" t="n">
        <f aca="false">IF(ISNUMBER(Tabelle1!R10),Tabelle1!R10/'SF Workings'!BF9,"")</f>
        <v>98.8257477880318</v>
      </c>
      <c r="Q9" s="23" t="n">
        <f aca="false">IF(ISNUMBER(Tabelle1!S10),Tabelle1!S10/'SF Workings'!BJ9,"")</f>
        <v>98.6889606285304</v>
      </c>
      <c r="R9" s="23" t="n">
        <f aca="false">IFERROR(C9*'Weights &amp; Assumptions'!$F$6+D9*'Weights &amp; Assumptions'!$F$7,"")</f>
        <v>113.662051207078</v>
      </c>
      <c r="S9" s="23" t="n">
        <f aca="false">IFERROR(E9*'Weights &amp; Assumptions'!$F$8+F9*'Weights &amp; Assumptions'!$F$9+H9*'Weights &amp; Assumptions'!$F$11,"")</f>
        <v>99.089461582653</v>
      </c>
      <c r="T9" s="23" t="n">
        <f aca="false">IFERROR(G9*'Weights &amp; Assumptions'!$F$10+I9*'Weights &amp; Assumptions'!$F$12+J9*'Weights &amp; Assumptions'!$F$13+K9*'Weights &amp; Assumptions'!$F$14+L9*'Weights &amp; Assumptions'!$F$15+M9*'Weights &amp; Assumptions'!$F$16+N9*'Weights &amp; Assumptions'!$F$17+O9*'Weights &amp; Assumptions'!$F$18+P9*'Weights &amp; Assumptions'!$F$19+Q9*'Weights &amp; Assumptions'!$F$20,"")</f>
        <v>99.3663380829987</v>
      </c>
      <c r="U9" s="23" t="n">
        <f aca="false">IFERROR(R9*'Weights &amp; Assumptions'!$B$25/'Weights &amp; Assumptions'!$B$28+S9*'Weights &amp; Assumptions'!$B$26/'Weights &amp; Assumptions'!$B$28+T9*'Weights &amp; Assumptions'!$B$27/'Weights &amp; Assumptions'!$B$28,"")</f>
        <v>100.492134013011</v>
      </c>
      <c r="V9" s="30" t="n">
        <f aca="false">IF(ISNUMBER(Tabelle1!E10),Tabelle1!E10*'Weights &amp; Assumptions'!$F$6+Tabelle1!F10*'Weights &amp; Assumptions'!$F$7,"")</f>
        <v>111.44359241344</v>
      </c>
      <c r="W9" s="30" t="n">
        <f aca="false">IF(ISNUMBER(Tabelle1!G10),Tabelle1!G10*'Weights &amp; Assumptions'!$F$8+Tabelle1!H10*'Weights &amp; Assumptions'!$F$9+Tabelle1!J10*'Weights &amp; Assumptions'!$F$11,"")</f>
        <v>101.639845463414</v>
      </c>
      <c r="X9" s="30" t="n">
        <f aca="false">IF(ISNUMBER(Tabelle1!I10),Tabelle1!I10*'Weights &amp; Assumptions'!$F$10+Tabelle1!K10*'Weights &amp; Assumptions'!$F$12+Tabelle1!L10*'Weights &amp; Assumptions'!$F$13+Tabelle1!M10*'Weights &amp; Assumptions'!$F$14+Tabelle1!N10*'Weights &amp; Assumptions'!$F$15+Tabelle1!O10*'Weights &amp; Assumptions'!$F$16+Tabelle1!P10*'Weights &amp; Assumptions'!$F$17+Tabelle1!Q10*'Weights &amp; Assumptions'!$F$18+Tabelle1!R10*'Weights &amp; Assumptions'!$F$19+Tabelle1!S10*'Weights &amp; Assumptions'!$F$20,"")</f>
        <v>100.569163242564</v>
      </c>
      <c r="Y9" s="23" t="n">
        <f aca="false">IFERROR(V9*'Weights &amp; Assumptions'!$B$25/'Weights &amp; Assumptions'!$B$28+W9*'Weights &amp; Assumptions'!$B$26/'Weights &amp; Assumptions'!$B$28+X9*'Weights &amp; Assumptions'!$B$27/'Weights &amp; Assumptions'!$B$28,"")</f>
        <v>101.76625000506</v>
      </c>
    </row>
    <row r="10" customFormat="false" ht="15" hidden="false" customHeight="false" outlineLevel="0" collapsed="false">
      <c r="A10" s="20" t="n">
        <v>38107</v>
      </c>
      <c r="B10" s="30" t="n">
        <f aca="false">IF(ISNUMBER(Tabelle1!D11),Tabelle1!D11,"")</f>
        <v>95.23678</v>
      </c>
      <c r="C10" s="23" t="n">
        <f aca="false">IF(ISNUMBER(Tabelle1!E11),Tabelle1!E11/'SF Workings'!F10,"")</f>
        <v>93.094212128414</v>
      </c>
      <c r="D10" s="23" t="n">
        <f aca="false">IF(ISNUMBER(Tabelle1!F11),Tabelle1!F11/'SF Workings'!J10,"")</f>
        <v>103.904037215315</v>
      </c>
      <c r="E10" s="23" t="n">
        <f aca="false">IF(ISNUMBER(Tabelle1!G11),Tabelle1!G11/'SF Workings'!N10,"")</f>
        <v>97.1151146582615</v>
      </c>
      <c r="F10" s="23" t="n">
        <f aca="false">IF(ISNUMBER(Tabelle1!H11),Tabelle1!H11/'SF Workings'!R10,"")</f>
        <v>96.7811406624048</v>
      </c>
      <c r="G10" s="23" t="n">
        <f aca="false">IF(ISNUMBER(Tabelle1!I11),Tabelle1!I11/'SF Workings'!V10,"")</f>
        <v>101.377352641852</v>
      </c>
      <c r="H10" s="23" t="n">
        <f aca="false">IF(ISNUMBER(Tabelle1!J11),Tabelle1!J11/'SF Workings'!Z10,"")</f>
        <v>97.7123971812009</v>
      </c>
      <c r="I10" s="23" t="n">
        <f aca="false">IF(ISNUMBER(Tabelle1!K11),Tabelle1!K11/'SF Workings'!AD10,"")</f>
        <v>97.099105662242</v>
      </c>
      <c r="J10" s="23" t="n">
        <f aca="false">IF(ISNUMBER(Tabelle1!L11),Tabelle1!L11/'SF Workings'!AH10,"")</f>
        <v>96.3940980885137</v>
      </c>
      <c r="K10" s="23" t="n">
        <f aca="false">IF(ISNUMBER(Tabelle1!M11),Tabelle1!M11/'SF Workings'!AL10,"")</f>
        <v>97.6328513784718</v>
      </c>
      <c r="L10" s="23" t="n">
        <f aca="false">IF(ISNUMBER(Tabelle1!N11),Tabelle1!N11/'SF Workings'!AP10,"")</f>
        <v>96.6144895934632</v>
      </c>
      <c r="M10" s="23" t="n">
        <f aca="false">IF(ISNUMBER(Tabelle1!O11),Tabelle1!O11/'SF Workings'!AT10,"")</f>
        <v>98.0981591612313</v>
      </c>
      <c r="N10" s="23" t="n">
        <f aca="false">IF(ISNUMBER(Tabelle1!P11),Tabelle1!P11/'SF Workings'!AX10,"")</f>
        <v>99.367219579872</v>
      </c>
      <c r="O10" s="23" t="n">
        <f aca="false">IF(ISNUMBER(Tabelle1!Q11),Tabelle1!Q11/'SF Workings'!BB10,"")</f>
        <v>99.2555081368718</v>
      </c>
      <c r="P10" s="23" t="n">
        <f aca="false">IF(ISNUMBER(Tabelle1!R11),Tabelle1!R11/'SF Workings'!BF10,"")</f>
        <v>100.635910030115</v>
      </c>
      <c r="Q10" s="23" t="n">
        <f aca="false">IF(ISNUMBER(Tabelle1!S11),Tabelle1!S11/'SF Workings'!BJ10,"")</f>
        <v>99.3238309815252</v>
      </c>
      <c r="R10" s="23" t="n">
        <f aca="false">IFERROR(C10*'Weights &amp; Assumptions'!$F$6+D10*'Weights &amp; Assumptions'!$F$7,"")</f>
        <v>93.2266598964898</v>
      </c>
      <c r="S10" s="23" t="n">
        <f aca="false">IFERROR(E10*'Weights &amp; Assumptions'!$F$8+F10*'Weights &amp; Assumptions'!$F$9+H10*'Weights &amp; Assumptions'!$F$11,"")</f>
        <v>97.0150191202008</v>
      </c>
      <c r="T10" s="23" t="n">
        <f aca="false">IFERROR(G10*'Weights &amp; Assumptions'!$F$10+I10*'Weights &amp; Assumptions'!$F$12+J10*'Weights &amp; Assumptions'!$F$13+K10*'Weights &amp; Assumptions'!$F$14+L10*'Weights &amp; Assumptions'!$F$15+M10*'Weights &amp; Assumptions'!$F$16+N10*'Weights &amp; Assumptions'!$F$17+O10*'Weights &amp; Assumptions'!$F$18+P10*'Weights &amp; Assumptions'!$F$19+Q10*'Weights &amp; Assumptions'!$F$20,"")</f>
        <v>98.1841802012394</v>
      </c>
      <c r="U10" s="23" t="n">
        <f aca="false">IFERROR(R10*'Weights &amp; Assumptions'!$B$25/'Weights &amp; Assumptions'!$B$28+S10*'Weights &amp; Assumptions'!$B$26/'Weights &amp; Assumptions'!$B$28+T10*'Weights &amp; Assumptions'!$B$27/'Weights &amp; Assumptions'!$B$28,"")</f>
        <v>97.4573397674839</v>
      </c>
      <c r="V10" s="30" t="n">
        <f aca="false">IF(ISNUMBER(Tabelle1!E11),Tabelle1!E11*'Weights &amp; Assumptions'!$F$6+Tabelle1!F11*'Weights &amp; Assumptions'!$F$7,"")</f>
        <v>150.11262323548</v>
      </c>
      <c r="W10" s="30" t="n">
        <f aca="false">IF(ISNUMBER(Tabelle1!G11),Tabelle1!G11*'Weights &amp; Assumptions'!$F$8+Tabelle1!H11*'Weights &amp; Assumptions'!$F$9+Tabelle1!J11*'Weights &amp; Assumptions'!$F$11,"")</f>
        <v>97.6833996120609</v>
      </c>
      <c r="X10" s="30" t="n">
        <f aca="false">IF(ISNUMBER(Tabelle1!I11),Tabelle1!I11*'Weights &amp; Assumptions'!$F$10+Tabelle1!K11*'Weights &amp; Assumptions'!$F$12+Tabelle1!L11*'Weights &amp; Assumptions'!$F$13+Tabelle1!M11*'Weights &amp; Assumptions'!$F$14+Tabelle1!N11*'Weights &amp; Assumptions'!$F$15+Tabelle1!O11*'Weights &amp; Assumptions'!$F$16+Tabelle1!P11*'Weights &amp; Assumptions'!$F$17+Tabelle1!Q11*'Weights &amp; Assumptions'!$F$18+Tabelle1!R11*'Weights &amp; Assumptions'!$F$19+Tabelle1!S11*'Weights &amp; Assumptions'!$F$20,"")</f>
        <v>98.3275650650971</v>
      </c>
      <c r="Y10" s="23" t="n">
        <f aca="false">IFERROR(V10*'Weights &amp; Assumptions'!$B$25/'Weights &amp; Assumptions'!$B$28+W10*'Weights &amp; Assumptions'!$B$26/'Weights &amp; Assumptions'!$B$28+X10*'Weights &amp; Assumptions'!$B$27/'Weights &amp; Assumptions'!$B$28,"")</f>
        <v>102.501079694681</v>
      </c>
    </row>
    <row r="11" customFormat="false" ht="15" hidden="false" customHeight="false" outlineLevel="0" collapsed="false">
      <c r="A11" s="20" t="n">
        <v>38138</v>
      </c>
      <c r="B11" s="30" t="n">
        <f aca="false">IF(ISNUMBER(Tabelle1!D12),Tabelle1!D12,"")</f>
        <v>96.95127</v>
      </c>
      <c r="C11" s="23" t="n">
        <f aca="false">IF(ISNUMBER(Tabelle1!E12),Tabelle1!E12/'SF Workings'!F11,"")</f>
        <v>86.3882567827557</v>
      </c>
      <c r="D11" s="23" t="n">
        <f aca="false">IF(ISNUMBER(Tabelle1!F12),Tabelle1!F12/'SF Workings'!J11,"")</f>
        <v>70.0537566004315</v>
      </c>
      <c r="E11" s="23" t="n">
        <f aca="false">IF(ISNUMBER(Tabelle1!G12),Tabelle1!G12/'SF Workings'!N11,"")</f>
        <v>103.309562563993</v>
      </c>
      <c r="F11" s="23" t="n">
        <f aca="false">IF(ISNUMBER(Tabelle1!H12),Tabelle1!H12/'SF Workings'!R11,"")</f>
        <v>97.6838507348346</v>
      </c>
      <c r="G11" s="23" t="n">
        <f aca="false">IF(ISNUMBER(Tabelle1!I12),Tabelle1!I12/'SF Workings'!V11,"")</f>
        <v>100.438464547032</v>
      </c>
      <c r="H11" s="23" t="n">
        <f aca="false">IF(ISNUMBER(Tabelle1!J12),Tabelle1!J12/'SF Workings'!Z11,"")</f>
        <v>98.6916814921199</v>
      </c>
      <c r="I11" s="23" t="n">
        <f aca="false">IF(ISNUMBER(Tabelle1!K12),Tabelle1!K12/'SF Workings'!AD11,"")</f>
        <v>96.9967934150267</v>
      </c>
      <c r="J11" s="23" t="n">
        <f aca="false">IF(ISNUMBER(Tabelle1!L12),Tabelle1!L12/'SF Workings'!AH11,"")</f>
        <v>98.9059970220941</v>
      </c>
      <c r="K11" s="23" t="n">
        <f aca="false">IF(ISNUMBER(Tabelle1!M12),Tabelle1!M12/'SF Workings'!AL11,"")</f>
        <v>97.4058299903968</v>
      </c>
      <c r="L11" s="23" t="n">
        <f aca="false">IF(ISNUMBER(Tabelle1!N12),Tabelle1!N12/'SF Workings'!AP11,"")</f>
        <v>96.5338703529725</v>
      </c>
      <c r="M11" s="23" t="n">
        <f aca="false">IF(ISNUMBER(Tabelle1!O12),Tabelle1!O12/'SF Workings'!AT11,"")</f>
        <v>98.3426164055139</v>
      </c>
      <c r="N11" s="23" t="n">
        <f aca="false">IF(ISNUMBER(Tabelle1!P12),Tabelle1!P12/'SF Workings'!AX11,"")</f>
        <v>98.9809595932003</v>
      </c>
      <c r="O11" s="23" t="n">
        <f aca="false">IF(ISNUMBER(Tabelle1!Q12),Tabelle1!Q12/'SF Workings'!BB11,"")</f>
        <v>98.8004290126843</v>
      </c>
      <c r="P11" s="23" t="n">
        <f aca="false">IF(ISNUMBER(Tabelle1!R12),Tabelle1!R12/'SF Workings'!BF11,"")</f>
        <v>99.4347377479149</v>
      </c>
      <c r="Q11" s="23" t="n">
        <f aca="false">IF(ISNUMBER(Tabelle1!S12),Tabelle1!S12/'SF Workings'!BJ11,"")</f>
        <v>97.9202655309247</v>
      </c>
      <c r="R11" s="23" t="n">
        <f aca="false">IFERROR(C11*'Weights &amp; Assumptions'!$F$6+D11*'Weights &amp; Assumptions'!$F$7,"")</f>
        <v>86.1881177356952</v>
      </c>
      <c r="S11" s="23" t="n">
        <f aca="false">IFERROR(E11*'Weights &amp; Assumptions'!$F$8+F11*'Weights &amp; Assumptions'!$F$9+H11*'Weights &amp; Assumptions'!$F$11,"")</f>
        <v>98.5655027893669</v>
      </c>
      <c r="T11" s="23" t="n">
        <f aca="false">IFERROR(G11*'Weights &amp; Assumptions'!$F$10+I11*'Weights &amp; Assumptions'!$F$12+J11*'Weights &amp; Assumptions'!$F$13+K11*'Weights &amp; Assumptions'!$F$14+L11*'Weights &amp; Assumptions'!$F$15+M11*'Weights &amp; Assumptions'!$F$16+N11*'Weights &amp; Assumptions'!$F$17+O11*'Weights &amp; Assumptions'!$F$18+P11*'Weights &amp; Assumptions'!$F$19+Q11*'Weights &amp; Assumptions'!$F$20,"")</f>
        <v>98.0305977284055</v>
      </c>
      <c r="U11" s="23" t="n">
        <f aca="false">IFERROR(R11*'Weights &amp; Assumptions'!$B$25/'Weights &amp; Assumptions'!$B$28+S11*'Weights &amp; Assumptions'!$B$26/'Weights &amp; Assumptions'!$B$28+T11*'Weights &amp; Assumptions'!$B$27/'Weights &amp; Assumptions'!$B$28,"")</f>
        <v>97.1792444012445</v>
      </c>
      <c r="V11" s="30" t="n">
        <f aca="false">IF(ISNUMBER(Tabelle1!E12),Tabelle1!E12*'Weights &amp; Assumptions'!$F$6+Tabelle1!F12*'Weights &amp; Assumptions'!$F$7,"")</f>
        <v>208.444262026913</v>
      </c>
      <c r="W11" s="30" t="n">
        <f aca="false">IF(ISNUMBER(Tabelle1!G12),Tabelle1!G12*'Weights &amp; Assumptions'!$F$8+Tabelle1!H12*'Weights &amp; Assumptions'!$F$9+Tabelle1!J12*'Weights &amp; Assumptions'!$F$11,"")</f>
        <v>100.30922394396</v>
      </c>
      <c r="X11" s="30" t="n">
        <f aca="false">IF(ISNUMBER(Tabelle1!I12),Tabelle1!I12*'Weights &amp; Assumptions'!$F$10+Tabelle1!K12*'Weights &amp; Assumptions'!$F$12+Tabelle1!L12*'Weights &amp; Assumptions'!$F$13+Tabelle1!M12*'Weights &amp; Assumptions'!$F$14+Tabelle1!N12*'Weights &amp; Assumptions'!$F$15+Tabelle1!O12*'Weights &amp; Assumptions'!$F$16+Tabelle1!P12*'Weights &amp; Assumptions'!$F$17+Tabelle1!Q12*'Weights &amp; Assumptions'!$F$18+Tabelle1!R12*'Weights &amp; Assumptions'!$F$19+Tabelle1!S12*'Weights &amp; Assumptions'!$F$20,"")</f>
        <v>100.25382704474</v>
      </c>
      <c r="Y11" s="23" t="n">
        <f aca="false">IFERROR(V11*'Weights &amp; Assumptions'!$B$25/'Weights &amp; Assumptions'!$B$28+W11*'Weights &amp; Assumptions'!$B$26/'Weights &amp; Assumptions'!$B$28+X11*'Weights &amp; Assumptions'!$B$27/'Weights &amp; Assumptions'!$B$28,"")</f>
        <v>109.345825578829</v>
      </c>
    </row>
    <row r="12" customFormat="false" ht="15" hidden="false" customHeight="false" outlineLevel="0" collapsed="false">
      <c r="A12" s="20" t="n">
        <v>38168</v>
      </c>
      <c r="B12" s="30" t="n">
        <f aca="false">IF(ISNUMBER(Tabelle1!D13),Tabelle1!D13,"")</f>
        <v>98.68356</v>
      </c>
      <c r="C12" s="23" t="n">
        <f aca="false">IF(ISNUMBER(Tabelle1!E13),Tabelle1!E13/'SF Workings'!F12,"")</f>
        <v>87.7189222821186</v>
      </c>
      <c r="D12" s="23" t="n">
        <f aca="false">IF(ISNUMBER(Tabelle1!F13),Tabelle1!F13/'SF Workings'!J12,"")</f>
        <v>117.587600473917</v>
      </c>
      <c r="E12" s="23" t="n">
        <f aca="false">IF(ISNUMBER(Tabelle1!G13),Tabelle1!G13/'SF Workings'!N12,"")</f>
        <v>101.112467647109</v>
      </c>
      <c r="F12" s="23" t="n">
        <f aca="false">IF(ISNUMBER(Tabelle1!H13),Tabelle1!H13/'SF Workings'!R12,"")</f>
        <v>101.544084106504</v>
      </c>
      <c r="G12" s="23" t="n">
        <f aca="false">IF(ISNUMBER(Tabelle1!I13),Tabelle1!I13/'SF Workings'!V12,"")</f>
        <v>98.5155574912281</v>
      </c>
      <c r="H12" s="23" t="n">
        <f aca="false">IF(ISNUMBER(Tabelle1!J13),Tabelle1!J13/'SF Workings'!Z12,"")</f>
        <v>100.535965222533</v>
      </c>
      <c r="I12" s="23" t="n">
        <f aca="false">IF(ISNUMBER(Tabelle1!K13),Tabelle1!K13/'SF Workings'!AD12,"")</f>
        <v>103.252557885778</v>
      </c>
      <c r="J12" s="23" t="n">
        <f aca="false">IF(ISNUMBER(Tabelle1!L13),Tabelle1!L13/'SF Workings'!AH12,"")</f>
        <v>100.581692139314</v>
      </c>
      <c r="K12" s="23" t="n">
        <f aca="false">IF(ISNUMBER(Tabelle1!M13),Tabelle1!M13/'SF Workings'!AL12,"")</f>
        <v>99.2982410128618</v>
      </c>
      <c r="L12" s="23" t="n">
        <f aca="false">IF(ISNUMBER(Tabelle1!N13),Tabelle1!N13/'SF Workings'!AP12,"")</f>
        <v>96.6308371422184</v>
      </c>
      <c r="M12" s="23" t="n">
        <f aca="false">IF(ISNUMBER(Tabelle1!O13),Tabelle1!O13/'SF Workings'!AT12,"")</f>
        <v>99.9696466957488</v>
      </c>
      <c r="N12" s="23" t="n">
        <f aca="false">IF(ISNUMBER(Tabelle1!P13),Tabelle1!P13/'SF Workings'!AX12,"")</f>
        <v>99.2949866145661</v>
      </c>
      <c r="O12" s="23" t="n">
        <f aca="false">IF(ISNUMBER(Tabelle1!Q13),Tabelle1!Q13/'SF Workings'!BB12,"")</f>
        <v>99.7484341303688</v>
      </c>
      <c r="P12" s="23" t="n">
        <f aca="false">IF(ISNUMBER(Tabelle1!R13),Tabelle1!R13/'SF Workings'!BF12,"")</f>
        <v>97.5133976638927</v>
      </c>
      <c r="Q12" s="23" t="n">
        <f aca="false">IF(ISNUMBER(Tabelle1!S13),Tabelle1!S13/'SF Workings'!BJ12,"")</f>
        <v>99.420613832911</v>
      </c>
      <c r="R12" s="23" t="n">
        <f aca="false">IFERROR(C12*'Weights &amp; Assumptions'!$F$6+D12*'Weights &amp; Assumptions'!$F$7,"")</f>
        <v>88.0848893287709</v>
      </c>
      <c r="S12" s="23" t="n">
        <f aca="false">IFERROR(E12*'Weights &amp; Assumptions'!$F$8+F12*'Weights &amp; Assumptions'!$F$9+H12*'Weights &amp; Assumptions'!$F$11,"")</f>
        <v>101.28253511621</v>
      </c>
      <c r="T12" s="23" t="n">
        <f aca="false">IFERROR(G12*'Weights &amp; Assumptions'!$F$10+I12*'Weights &amp; Assumptions'!$F$12+J12*'Weights &amp; Assumptions'!$F$13+K12*'Weights &amp; Assumptions'!$F$14+L12*'Weights &amp; Assumptions'!$F$15+M12*'Weights &amp; Assumptions'!$F$16+N12*'Weights &amp; Assumptions'!$F$17+O12*'Weights &amp; Assumptions'!$F$18+P12*'Weights &amp; Assumptions'!$F$19+Q12*'Weights &amp; Assumptions'!$F$20,"")</f>
        <v>99.9841646536952</v>
      </c>
      <c r="U12" s="23" t="n">
        <f aca="false">IFERROR(R12*'Weights &amp; Assumptions'!$B$25/'Weights &amp; Assumptions'!$B$28+S12*'Weights &amp; Assumptions'!$B$26/'Weights &amp; Assumptions'!$B$28+T12*'Weights &amp; Assumptions'!$B$27/'Weights &amp; Assumptions'!$B$28,"")</f>
        <v>99.3310649375091</v>
      </c>
      <c r="V12" s="30" t="n">
        <f aca="false">IF(ISNUMBER(Tabelle1!E13),Tabelle1!E13*'Weights &amp; Assumptions'!$F$6+Tabelle1!F13*'Weights &amp; Assumptions'!$F$7,"")</f>
        <v>144.836513372189</v>
      </c>
      <c r="W12" s="30" t="n">
        <f aca="false">IF(ISNUMBER(Tabelle1!G13),Tabelle1!G13*'Weights &amp; Assumptions'!$F$8+Tabelle1!H13*'Weights &amp; Assumptions'!$F$9+Tabelle1!J13*'Weights &amp; Assumptions'!$F$11,"")</f>
        <v>100.353633910416</v>
      </c>
      <c r="X12" s="30" t="n">
        <f aca="false">IF(ISNUMBER(Tabelle1!I13),Tabelle1!I13*'Weights &amp; Assumptions'!$F$10+Tabelle1!K13*'Weights &amp; Assumptions'!$F$12+Tabelle1!L13*'Weights &amp; Assumptions'!$F$13+Tabelle1!M13*'Weights &amp; Assumptions'!$F$14+Tabelle1!N13*'Weights &amp; Assumptions'!$F$15+Tabelle1!O13*'Weights &amp; Assumptions'!$F$16+Tabelle1!P13*'Weights &amp; Assumptions'!$F$17+Tabelle1!Q13*'Weights &amp; Assumptions'!$F$18+Tabelle1!R13*'Weights &amp; Assumptions'!$F$19+Tabelle1!S13*'Weights &amp; Assumptions'!$F$20,"")</f>
        <v>101.388118501084</v>
      </c>
      <c r="Y12" s="23" t="n">
        <f aca="false">IFERROR(V12*'Weights &amp; Assumptions'!$B$25/'Weights &amp; Assumptions'!$B$28+W12*'Weights &amp; Assumptions'!$B$26/'Weights &amp; Assumptions'!$B$28+X12*'Weights &amp; Assumptions'!$B$27/'Weights &amp; Assumptions'!$B$28,"")</f>
        <v>104.758387465245</v>
      </c>
    </row>
    <row r="13" customFormat="false" ht="15" hidden="false" customHeight="false" outlineLevel="0" collapsed="false">
      <c r="A13" s="20" t="n">
        <v>38199</v>
      </c>
      <c r="B13" s="30" t="n">
        <f aca="false">IF(ISNUMBER(Tabelle1!D14),Tabelle1!D14,"")</f>
        <v>100.8411</v>
      </c>
      <c r="C13" s="23" t="n">
        <f aca="false">IF(ISNUMBER(Tabelle1!E14),Tabelle1!E14/'SF Workings'!F13,"")</f>
        <v>108.942920534639</v>
      </c>
      <c r="D13" s="23" t="n">
        <f aca="false">IF(ISNUMBER(Tabelle1!F14),Tabelle1!F14/'SF Workings'!J13,"")</f>
        <v>76.9492506073924</v>
      </c>
      <c r="E13" s="23" t="n">
        <f aca="false">IF(ISNUMBER(Tabelle1!G14),Tabelle1!G14/'SF Workings'!N13,"")</f>
        <v>98.7597329317503</v>
      </c>
      <c r="F13" s="23" t="n">
        <f aca="false">IF(ISNUMBER(Tabelle1!H14),Tabelle1!H14/'SF Workings'!R13,"")</f>
        <v>101.08698354356</v>
      </c>
      <c r="G13" s="23" t="n">
        <f aca="false">IF(ISNUMBER(Tabelle1!I14),Tabelle1!I14/'SF Workings'!V13,"")</f>
        <v>101.314110382708</v>
      </c>
      <c r="H13" s="23" t="n">
        <f aca="false">IF(ISNUMBER(Tabelle1!J14),Tabelle1!J14/'SF Workings'!Z13,"")</f>
        <v>98.9405500168451</v>
      </c>
      <c r="I13" s="23" t="n">
        <f aca="false">IF(ISNUMBER(Tabelle1!K14),Tabelle1!K14/'SF Workings'!AD13,"")</f>
        <v>99.9489344147527</v>
      </c>
      <c r="J13" s="23" t="n">
        <f aca="false">IF(ISNUMBER(Tabelle1!L14),Tabelle1!L14/'SF Workings'!AH13,"")</f>
        <v>99.2623351682048</v>
      </c>
      <c r="K13" s="23" t="n">
        <f aca="false">IF(ISNUMBER(Tabelle1!M14),Tabelle1!M14/'SF Workings'!AL13,"")</f>
        <v>99.2474763053077</v>
      </c>
      <c r="L13" s="23" t="n">
        <f aca="false">IF(ISNUMBER(Tabelle1!N14),Tabelle1!N14/'SF Workings'!AP13,"")</f>
        <v>99.5953035183672</v>
      </c>
      <c r="M13" s="23" t="n">
        <f aca="false">IF(ISNUMBER(Tabelle1!O14),Tabelle1!O14/'SF Workings'!AT13,"")</f>
        <v>100.202043103275</v>
      </c>
      <c r="N13" s="23" t="n">
        <f aca="false">IF(ISNUMBER(Tabelle1!P14),Tabelle1!P14/'SF Workings'!AX13,"")</f>
        <v>100.195952714863</v>
      </c>
      <c r="O13" s="23" t="n">
        <f aca="false">IF(ISNUMBER(Tabelle1!Q14),Tabelle1!Q14/'SF Workings'!BB13,"")</f>
        <v>100.028468252396</v>
      </c>
      <c r="P13" s="23" t="n">
        <f aca="false">IF(ISNUMBER(Tabelle1!R14),Tabelle1!R14/'SF Workings'!BF13,"")</f>
        <v>100.861277103722</v>
      </c>
      <c r="Q13" s="23" t="n">
        <f aca="false">IF(ISNUMBER(Tabelle1!S14),Tabelle1!S14/'SF Workings'!BJ13,"")</f>
        <v>98.8651779304035</v>
      </c>
      <c r="R13" s="23" t="n">
        <f aca="false">IFERROR(C13*'Weights &amp; Assumptions'!$F$6+D13*'Weights &amp; Assumptions'!$F$7,"")</f>
        <v>108.550916950829</v>
      </c>
      <c r="S13" s="23" t="n">
        <f aca="false">IFERROR(E13*'Weights &amp; Assumptions'!$F$8+F13*'Weights &amp; Assumptions'!$F$9+H13*'Weights &amp; Assumptions'!$F$11,"")</f>
        <v>100.3619623528</v>
      </c>
      <c r="T13" s="23" t="n">
        <f aca="false">IFERROR(G13*'Weights &amp; Assumptions'!$F$10+I13*'Weights &amp; Assumptions'!$F$12+J13*'Weights &amp; Assumptions'!$F$13+K13*'Weights &amp; Assumptions'!$F$14+L13*'Weights &amp; Assumptions'!$F$15+M13*'Weights &amp; Assumptions'!$F$16+N13*'Weights &amp; Assumptions'!$F$17+O13*'Weights &amp; Assumptions'!$F$18+P13*'Weights &amp; Assumptions'!$F$19+Q13*'Weights &amp; Assumptions'!$F$20,"")</f>
        <v>99.9142861418304</v>
      </c>
      <c r="U13" s="23" t="n">
        <f aca="false">IFERROR(R13*'Weights &amp; Assumptions'!$B$25/'Weights &amp; Assumptions'!$B$28+S13*'Weights &amp; Assumptions'!$B$26/'Weights &amp; Assumptions'!$B$28+T13*'Weights &amp; Assumptions'!$B$27/'Weights &amp; Assumptions'!$B$28,"")</f>
        <v>100.757951578674</v>
      </c>
      <c r="V13" s="30" t="n">
        <f aca="false">IF(ISNUMBER(Tabelle1!E14),Tabelle1!E14*'Weights &amp; Assumptions'!$F$6+Tabelle1!F14*'Weights &amp; Assumptions'!$F$7,"")</f>
        <v>94.6485415084445</v>
      </c>
      <c r="W13" s="30" t="n">
        <f aca="false">IF(ISNUMBER(Tabelle1!G14),Tabelle1!G14*'Weights &amp; Assumptions'!$F$8+Tabelle1!H14*'Weights &amp; Assumptions'!$F$9+Tabelle1!J14*'Weights &amp; Assumptions'!$F$11,"")</f>
        <v>101.554251098572</v>
      </c>
      <c r="X13" s="30" t="n">
        <f aca="false">IF(ISNUMBER(Tabelle1!I14),Tabelle1!I14*'Weights &amp; Assumptions'!$F$10+Tabelle1!K14*'Weights &amp; Assumptions'!$F$12+Tabelle1!L14*'Weights &amp; Assumptions'!$F$13+Tabelle1!M14*'Weights &amp; Assumptions'!$F$14+Tabelle1!N14*'Weights &amp; Assumptions'!$F$15+Tabelle1!O14*'Weights &amp; Assumptions'!$F$16+Tabelle1!P14*'Weights &amp; Assumptions'!$F$17+Tabelle1!Q14*'Weights &amp; Assumptions'!$F$18+Tabelle1!R14*'Weights &amp; Assumptions'!$F$19+Tabelle1!S14*'Weights &amp; Assumptions'!$F$20,"")</f>
        <v>101.018553535143</v>
      </c>
      <c r="Y13" s="23" t="n">
        <f aca="false">IFERROR(V13*'Weights &amp; Assumptions'!$B$25/'Weights &amp; Assumptions'!$B$28+W13*'Weights &amp; Assumptions'!$B$26/'Weights &amp; Assumptions'!$B$28+X13*'Weights &amp; Assumptions'!$B$27/'Weights &amp; Assumptions'!$B$28,"")</f>
        <v>100.626555564759</v>
      </c>
    </row>
    <row r="14" customFormat="false" ht="15" hidden="false" customHeight="false" outlineLevel="0" collapsed="false">
      <c r="A14" s="20" t="n">
        <v>38230</v>
      </c>
      <c r="B14" s="30" t="n">
        <f aca="false">IF(ISNUMBER(Tabelle1!D15),Tabelle1!D15,"")</f>
        <v>102.17769</v>
      </c>
      <c r="C14" s="23" t="n">
        <f aca="false">IF(ISNUMBER(Tabelle1!E15),Tabelle1!E15/'SF Workings'!F14,"")</f>
        <v>112.916918664339</v>
      </c>
      <c r="D14" s="23" t="n">
        <f aca="false">IF(ISNUMBER(Tabelle1!F15),Tabelle1!F15/'SF Workings'!J14,"")</f>
        <v>104.096296937248</v>
      </c>
      <c r="E14" s="23" t="n">
        <f aca="false">IF(ISNUMBER(Tabelle1!G15),Tabelle1!G15/'SF Workings'!N14,"")</f>
        <v>99.6049745332215</v>
      </c>
      <c r="F14" s="23" t="n">
        <f aca="false">IF(ISNUMBER(Tabelle1!H15),Tabelle1!H15/'SF Workings'!R14,"")</f>
        <v>99.2601465407557</v>
      </c>
      <c r="G14" s="23" t="n">
        <f aca="false">IF(ISNUMBER(Tabelle1!I15),Tabelle1!I15/'SF Workings'!V14,"")</f>
        <v>99.9257767191972</v>
      </c>
      <c r="H14" s="23" t="n">
        <f aca="false">IF(ISNUMBER(Tabelle1!J15),Tabelle1!J15/'SF Workings'!Z14,"")</f>
        <v>100.867944631856</v>
      </c>
      <c r="I14" s="23" t="n">
        <f aca="false">IF(ISNUMBER(Tabelle1!K15),Tabelle1!K15/'SF Workings'!AD14,"")</f>
        <v>98.9949301804008</v>
      </c>
      <c r="J14" s="23" t="n">
        <f aca="false">IF(ISNUMBER(Tabelle1!L15),Tabelle1!L15/'SF Workings'!AH14,"")</f>
        <v>99.0187474135398</v>
      </c>
      <c r="K14" s="23" t="n">
        <f aca="false">IF(ISNUMBER(Tabelle1!M15),Tabelle1!M15/'SF Workings'!AL14,"")</f>
        <v>99.9931562766166</v>
      </c>
      <c r="L14" s="23" t="n">
        <f aca="false">IF(ISNUMBER(Tabelle1!N15),Tabelle1!N15/'SF Workings'!AP14,"")</f>
        <v>100.412233958642</v>
      </c>
      <c r="M14" s="23" t="n">
        <f aca="false">IF(ISNUMBER(Tabelle1!O15),Tabelle1!O15/'SF Workings'!AT14,"")</f>
        <v>100.736957280023</v>
      </c>
      <c r="N14" s="23" t="n">
        <f aca="false">IF(ISNUMBER(Tabelle1!P15),Tabelle1!P15/'SF Workings'!AX14,"")</f>
        <v>100.57232285666</v>
      </c>
      <c r="O14" s="23" t="n">
        <f aca="false">IF(ISNUMBER(Tabelle1!Q15),Tabelle1!Q15/'SF Workings'!BB14,"")</f>
        <v>100.758721259868</v>
      </c>
      <c r="P14" s="23" t="n">
        <f aca="false">IF(ISNUMBER(Tabelle1!R15),Tabelle1!R15/'SF Workings'!BF14,"")</f>
        <v>100.49847853749</v>
      </c>
      <c r="Q14" s="23" t="n">
        <f aca="false">IF(ISNUMBER(Tabelle1!S15),Tabelle1!S15/'SF Workings'!BJ14,"")</f>
        <v>98.5584859598597</v>
      </c>
      <c r="R14" s="23" t="n">
        <f aca="false">IFERROR(C14*'Weights &amp; Assumptions'!$F$6+D14*'Weights &amp; Assumptions'!$F$7,"")</f>
        <v>112.808843681497</v>
      </c>
      <c r="S14" s="23" t="n">
        <f aca="false">IFERROR(E14*'Weights &amp; Assumptions'!$F$8+F14*'Weights &amp; Assumptions'!$F$9+H14*'Weights &amp; Assumptions'!$F$11,"")</f>
        <v>99.6362605293292</v>
      </c>
      <c r="T14" s="23" t="n">
        <f aca="false">IFERROR(G14*'Weights &amp; Assumptions'!$F$10+I14*'Weights &amp; Assumptions'!$F$12+J14*'Weights &amp; Assumptions'!$F$13+K14*'Weights &amp; Assumptions'!$F$14+L14*'Weights &amp; Assumptions'!$F$15+M14*'Weights &amp; Assumptions'!$F$16+N14*'Weights &amp; Assumptions'!$F$17+O14*'Weights &amp; Assumptions'!$F$18+P14*'Weights &amp; Assumptions'!$F$19+Q14*'Weights &amp; Assumptions'!$F$20,"")</f>
        <v>99.9955815337399</v>
      </c>
      <c r="U14" s="23" t="n">
        <f aca="false">IFERROR(R14*'Weights &amp; Assumptions'!$B$25/'Weights &amp; Assumptions'!$B$28+S14*'Weights &amp; Assumptions'!$B$26/'Weights &amp; Assumptions'!$B$28+T14*'Weights &amp; Assumptions'!$B$27/'Weights &amp; Assumptions'!$B$28,"")</f>
        <v>100.975075159361</v>
      </c>
      <c r="V14" s="30" t="n">
        <f aca="false">IF(ISNUMBER(Tabelle1!E15),Tabelle1!E15*'Weights &amp; Assumptions'!$F$6+Tabelle1!F15*'Weights &amp; Assumptions'!$F$7,"")</f>
        <v>65.2831093946437</v>
      </c>
      <c r="W14" s="30" t="n">
        <f aca="false">IF(ISNUMBER(Tabelle1!G15),Tabelle1!G15*'Weights &amp; Assumptions'!$F$8+Tabelle1!H15*'Weights &amp; Assumptions'!$F$9+Tabelle1!J15*'Weights &amp; Assumptions'!$F$11,"")</f>
        <v>101.374567621635</v>
      </c>
      <c r="X14" s="30" t="n">
        <f aca="false">IF(ISNUMBER(Tabelle1!I15),Tabelle1!I15*'Weights &amp; Assumptions'!$F$10+Tabelle1!K15*'Weights &amp; Assumptions'!$F$12+Tabelle1!L15*'Weights &amp; Assumptions'!$F$13+Tabelle1!M15*'Weights &amp; Assumptions'!$F$14+Tabelle1!N15*'Weights &amp; Assumptions'!$F$15+Tabelle1!O15*'Weights &amp; Assumptions'!$F$16+Tabelle1!P15*'Weights &amp; Assumptions'!$F$17+Tabelle1!Q15*'Weights &amp; Assumptions'!$F$18+Tabelle1!R15*'Weights &amp; Assumptions'!$F$19+Tabelle1!S15*'Weights &amp; Assumptions'!$F$20,"")</f>
        <v>100.753274860509</v>
      </c>
      <c r="Y14" s="23" t="n">
        <f aca="false">IFERROR(V14*'Weights &amp; Assumptions'!$B$25/'Weights &amp; Assumptions'!$B$28+W14*'Weights &amp; Assumptions'!$B$26/'Weights &amp; Assumptions'!$B$28+X14*'Weights &amp; Assumptions'!$B$27/'Weights &amp; Assumptions'!$B$28,"")</f>
        <v>97.9425110577379</v>
      </c>
    </row>
    <row r="15" customFormat="false" ht="15" hidden="false" customHeight="false" outlineLevel="0" collapsed="false">
      <c r="A15" s="20" t="n">
        <v>38260</v>
      </c>
      <c r="B15" s="30" t="n">
        <f aca="false">IF(ISNUMBER(Tabelle1!D16),Tabelle1!D16,"")</f>
        <v>102.35036</v>
      </c>
      <c r="C15" s="23" t="n">
        <f aca="false">IF(ISNUMBER(Tabelle1!E16),Tabelle1!E16/'SF Workings'!F15,"")</f>
        <v>113.387973600864</v>
      </c>
      <c r="D15" s="23" t="n">
        <f aca="false">IF(ISNUMBER(Tabelle1!F16),Tabelle1!F16/'SF Workings'!J15,"")</f>
        <v>110.278964745943</v>
      </c>
      <c r="E15" s="23" t="n">
        <f aca="false">IF(ISNUMBER(Tabelle1!G16),Tabelle1!G16/'SF Workings'!N15,"")</f>
        <v>100.279316996866</v>
      </c>
      <c r="F15" s="23" t="n">
        <f aca="false">IF(ISNUMBER(Tabelle1!H16),Tabelle1!H16/'SF Workings'!R15,"")</f>
        <v>99.5558494864307</v>
      </c>
      <c r="G15" s="23" t="n">
        <f aca="false">IF(ISNUMBER(Tabelle1!I16),Tabelle1!I16/'SF Workings'!V15,"")</f>
        <v>100.090448167894</v>
      </c>
      <c r="H15" s="23" t="n">
        <f aca="false">IF(ISNUMBER(Tabelle1!J16),Tabelle1!J16/'SF Workings'!Z15,"")</f>
        <v>103.447860028799</v>
      </c>
      <c r="I15" s="23" t="n">
        <f aca="false">IF(ISNUMBER(Tabelle1!K16),Tabelle1!K16/'SF Workings'!AD15,"")</f>
        <v>99.65828601983</v>
      </c>
      <c r="J15" s="23" t="n">
        <f aca="false">IF(ISNUMBER(Tabelle1!L16),Tabelle1!L16/'SF Workings'!AH15,"")</f>
        <v>100.429625688795</v>
      </c>
      <c r="K15" s="23" t="n">
        <f aca="false">IF(ISNUMBER(Tabelle1!M16),Tabelle1!M16/'SF Workings'!AL15,"")</f>
        <v>101.142451226145</v>
      </c>
      <c r="L15" s="23" t="n">
        <f aca="false">IF(ISNUMBER(Tabelle1!N16),Tabelle1!N16/'SF Workings'!AP15,"")</f>
        <v>102.276538949283</v>
      </c>
      <c r="M15" s="23" t="n">
        <f aca="false">IF(ISNUMBER(Tabelle1!O16),Tabelle1!O16/'SF Workings'!AT15,"")</f>
        <v>101.758893927337</v>
      </c>
      <c r="N15" s="23" t="n">
        <f aca="false">IF(ISNUMBER(Tabelle1!P16),Tabelle1!P16/'SF Workings'!AX15,"")</f>
        <v>101.1215653108</v>
      </c>
      <c r="O15" s="23" t="n">
        <f aca="false">IF(ISNUMBER(Tabelle1!Q16),Tabelle1!Q16/'SF Workings'!BB15,"")</f>
        <v>100.936465519115</v>
      </c>
      <c r="P15" s="23" t="n">
        <f aca="false">IF(ISNUMBER(Tabelle1!R16),Tabelle1!R16/'SF Workings'!BF15,"")</f>
        <v>102.791900774988</v>
      </c>
      <c r="Q15" s="23" t="n">
        <f aca="false">IF(ISNUMBER(Tabelle1!S16),Tabelle1!S16/'SF Workings'!BJ15,"")</f>
        <v>102.255547762137</v>
      </c>
      <c r="R15" s="23" t="n">
        <f aca="false">IFERROR(C15*'Weights &amp; Assumptions'!$F$6+D15*'Weights &amp; Assumptions'!$F$7,"")</f>
        <v>113.349880358795</v>
      </c>
      <c r="S15" s="23" t="n">
        <f aca="false">IFERROR(E15*'Weights &amp; Assumptions'!$F$8+F15*'Weights &amp; Assumptions'!$F$9+H15*'Weights &amp; Assumptions'!$F$11,"")</f>
        <v>100.453027569418</v>
      </c>
      <c r="T15" s="23" t="n">
        <f aca="false">IFERROR(G15*'Weights &amp; Assumptions'!$F$10+I15*'Weights &amp; Assumptions'!$F$12+J15*'Weights &amp; Assumptions'!$F$13+K15*'Weights &amp; Assumptions'!$F$14+L15*'Weights &amp; Assumptions'!$F$15+M15*'Weights &amp; Assumptions'!$F$16+N15*'Weights &amp; Assumptions'!$F$17+O15*'Weights &amp; Assumptions'!$F$18+P15*'Weights &amp; Assumptions'!$F$19+Q15*'Weights &amp; Assumptions'!$F$20,"")</f>
        <v>101.153477684052</v>
      </c>
      <c r="U15" s="23" t="n">
        <f aca="false">IFERROR(R15*'Weights &amp; Assumptions'!$B$25/'Weights &amp; Assumptions'!$B$28+S15*'Weights &amp; Assumptions'!$B$26/'Weights &amp; Assumptions'!$B$28+T15*'Weights &amp; Assumptions'!$B$27/'Weights &amp; Assumptions'!$B$28,"")</f>
        <v>101.99050409723</v>
      </c>
      <c r="V15" s="30" t="n">
        <f aca="false">IF(ISNUMBER(Tabelle1!E16),Tabelle1!E16*'Weights &amp; Assumptions'!$F$6+Tabelle1!F16*'Weights &amp; Assumptions'!$F$7,"")</f>
        <v>60.8406702153729</v>
      </c>
      <c r="W15" s="30" t="n">
        <f aca="false">IF(ISNUMBER(Tabelle1!G16),Tabelle1!G16*'Weights &amp; Assumptions'!$F$8+Tabelle1!H16*'Weights &amp; Assumptions'!$F$9+Tabelle1!J16*'Weights &amp; Assumptions'!$F$11,"")</f>
        <v>103.212352355726</v>
      </c>
      <c r="X15" s="30" t="n">
        <f aca="false">IF(ISNUMBER(Tabelle1!I16),Tabelle1!I16*'Weights &amp; Assumptions'!$F$10+Tabelle1!K16*'Weights &amp; Assumptions'!$F$12+Tabelle1!L16*'Weights &amp; Assumptions'!$F$13+Tabelle1!M16*'Weights &amp; Assumptions'!$F$14+Tabelle1!N16*'Weights &amp; Assumptions'!$F$15+Tabelle1!O16*'Weights &amp; Assumptions'!$F$16+Tabelle1!P16*'Weights &amp; Assumptions'!$F$17+Tabelle1!Q16*'Weights &amp; Assumptions'!$F$18+Tabelle1!R16*'Weights &amp; Assumptions'!$F$19+Tabelle1!S16*'Weights &amp; Assumptions'!$F$20,"")</f>
        <v>101.056217976324</v>
      </c>
      <c r="Y15" s="23" t="n">
        <f aca="false">IFERROR(V15*'Weights &amp; Assumptions'!$B$25/'Weights &amp; Assumptions'!$B$28+W15*'Weights &amp; Assumptions'!$B$26/'Weights &amp; Assumptions'!$B$28+X15*'Weights &amp; Assumptions'!$B$27/'Weights &amp; Assumptions'!$B$28,"")</f>
        <v>98.2554538470623</v>
      </c>
    </row>
    <row r="16" customFormat="false" ht="15" hidden="false" customHeight="false" outlineLevel="0" collapsed="false">
      <c r="A16" s="20" t="n">
        <v>38291</v>
      </c>
      <c r="B16" s="30" t="n">
        <f aca="false">IF(ISNUMBER(Tabelle1!D17),Tabelle1!D17,"")</f>
        <v>103.12368</v>
      </c>
      <c r="C16" s="23" t="n">
        <f aca="false">IF(ISNUMBER(Tabelle1!E17),Tabelle1!E17/'SF Workings'!F16,"")</f>
        <v>116.02375184783</v>
      </c>
      <c r="D16" s="23" t="n">
        <f aca="false">IF(ISNUMBER(Tabelle1!F17),Tabelle1!F17/'SF Workings'!J16,"")</f>
        <v>118.003934837477</v>
      </c>
      <c r="E16" s="23" t="n">
        <f aca="false">IF(ISNUMBER(Tabelle1!G17),Tabelle1!G17/'SF Workings'!N16,"")</f>
        <v>100.165880462619</v>
      </c>
      <c r="F16" s="23" t="n">
        <f aca="false">IF(ISNUMBER(Tabelle1!H17),Tabelle1!H17/'SF Workings'!R16,"")</f>
        <v>100.066985752571</v>
      </c>
      <c r="G16" s="23" t="n">
        <f aca="false">IF(ISNUMBER(Tabelle1!I17),Tabelle1!I17/'SF Workings'!V16,"")</f>
        <v>101.313734117713</v>
      </c>
      <c r="H16" s="23" t="n">
        <f aca="false">IF(ISNUMBER(Tabelle1!J17),Tabelle1!J17/'SF Workings'!Z16,"")</f>
        <v>99.8940357897397</v>
      </c>
      <c r="I16" s="23" t="n">
        <f aca="false">IF(ISNUMBER(Tabelle1!K17),Tabelle1!K17/'SF Workings'!AD16,"")</f>
        <v>100.489682897284</v>
      </c>
      <c r="J16" s="23" t="n">
        <f aca="false">IF(ISNUMBER(Tabelle1!L17),Tabelle1!L17/'SF Workings'!AH16,"")</f>
        <v>102.572505591575</v>
      </c>
      <c r="K16" s="23" t="n">
        <f aca="false">IF(ISNUMBER(Tabelle1!M17),Tabelle1!M17/'SF Workings'!AL16,"")</f>
        <v>102.701185794631</v>
      </c>
      <c r="L16" s="23" t="n">
        <f aca="false">IF(ISNUMBER(Tabelle1!N17),Tabelle1!N17/'SF Workings'!AP16,"")</f>
        <v>101.773436632646</v>
      </c>
      <c r="M16" s="23" t="n">
        <f aca="false">IF(ISNUMBER(Tabelle1!O17),Tabelle1!O17/'SF Workings'!AT16,"")</f>
        <v>99.8593903688169</v>
      </c>
      <c r="N16" s="23" t="n">
        <f aca="false">IF(ISNUMBER(Tabelle1!P17),Tabelle1!P17/'SF Workings'!AX16,"")</f>
        <v>101.585445354423</v>
      </c>
      <c r="O16" s="23" t="n">
        <f aca="false">IF(ISNUMBER(Tabelle1!Q17),Tabelle1!Q17/'SF Workings'!BB16,"")</f>
        <v>101.476505393973</v>
      </c>
      <c r="P16" s="23" t="n">
        <f aca="false">IF(ISNUMBER(Tabelle1!R17),Tabelle1!R17/'SF Workings'!BF16,"")</f>
        <v>102.761349715761</v>
      </c>
      <c r="Q16" s="23" t="n">
        <f aca="false">IF(ISNUMBER(Tabelle1!S17),Tabelle1!S17/'SF Workings'!BJ16,"")</f>
        <v>103.595248337314</v>
      </c>
      <c r="R16" s="23" t="n">
        <f aca="false">IFERROR(C16*'Weights &amp; Assumptions'!$F$6+D16*'Weights &amp; Assumptions'!$F$7,"")</f>
        <v>116.048014110656</v>
      </c>
      <c r="S16" s="23" t="n">
        <f aca="false">IFERROR(E16*'Weights &amp; Assumptions'!$F$8+F16*'Weights &amp; Assumptions'!$F$9+H16*'Weights &amp; Assumptions'!$F$11,"")</f>
        <v>100.042763992303</v>
      </c>
      <c r="T16" s="23" t="n">
        <f aca="false">IFERROR(G16*'Weights &amp; Assumptions'!$F$10+I16*'Weights &amp; Assumptions'!$F$12+J16*'Weights &amp; Assumptions'!$F$13+K16*'Weights &amp; Assumptions'!$F$14+L16*'Weights &amp; Assumptions'!$F$15+M16*'Weights &amp; Assumptions'!$F$16+N16*'Weights &amp; Assumptions'!$F$17+O16*'Weights &amp; Assumptions'!$F$18+P16*'Weights &amp; Assumptions'!$F$19+Q16*'Weights &amp; Assumptions'!$F$20,"")</f>
        <v>101.413116224507</v>
      </c>
      <c r="U16" s="23" t="n">
        <f aca="false">IFERROR(R16*'Weights &amp; Assumptions'!$B$25/'Weights &amp; Assumptions'!$B$28+S16*'Weights &amp; Assumptions'!$B$26/'Weights &amp; Assumptions'!$B$28+T16*'Weights &amp; Assumptions'!$B$27/'Weights &amp; Assumptions'!$B$28,"")</f>
        <v>102.276595740211</v>
      </c>
      <c r="V16" s="30" t="n">
        <f aca="false">IF(ISNUMBER(Tabelle1!E17),Tabelle1!E17*'Weights &amp; Assumptions'!$F$6+Tabelle1!F17*'Weights &amp; Assumptions'!$F$7,"")</f>
        <v>62.9360854309245</v>
      </c>
      <c r="W16" s="30" t="n">
        <f aca="false">IF(ISNUMBER(Tabelle1!G17),Tabelle1!G17*'Weights &amp; Assumptions'!$F$8+Tabelle1!H17*'Weights &amp; Assumptions'!$F$9+Tabelle1!J17*'Weights &amp; Assumptions'!$F$11,"")</f>
        <v>103.687018750743</v>
      </c>
      <c r="X16" s="30" t="n">
        <f aca="false">IF(ISNUMBER(Tabelle1!I17),Tabelle1!I17*'Weights &amp; Assumptions'!$F$10+Tabelle1!K17*'Weights &amp; Assumptions'!$F$12+Tabelle1!L17*'Weights &amp; Assumptions'!$F$13+Tabelle1!M17*'Weights &amp; Assumptions'!$F$14+Tabelle1!N17*'Weights &amp; Assumptions'!$F$15+Tabelle1!O17*'Weights &amp; Assumptions'!$F$16+Tabelle1!P17*'Weights &amp; Assumptions'!$F$17+Tabelle1!Q17*'Weights &amp; Assumptions'!$F$18+Tabelle1!R17*'Weights &amp; Assumptions'!$F$19+Tabelle1!S17*'Weights &amp; Assumptions'!$F$20,"")</f>
        <v>101.19644227679</v>
      </c>
      <c r="Y16" s="23" t="n">
        <f aca="false">IFERROR(V16*'Weights &amp; Assumptions'!$B$25/'Weights &amp; Assumptions'!$B$28+W16*'Weights &amp; Assumptions'!$B$26/'Weights &amp; Assumptions'!$B$28+X16*'Weights &amp; Assumptions'!$B$27/'Weights &amp; Assumptions'!$B$28,"")</f>
        <v>98.6486542874415</v>
      </c>
    </row>
    <row r="17" customFormat="false" ht="15" hidden="false" customHeight="false" outlineLevel="0" collapsed="false">
      <c r="A17" s="20" t="n">
        <v>38321</v>
      </c>
      <c r="B17" s="30" t="n">
        <f aca="false">IF(ISNUMBER(Tabelle1!D18),Tabelle1!D18,"")</f>
        <v>103.57877</v>
      </c>
      <c r="C17" s="23" t="n">
        <f aca="false">IF(ISNUMBER(Tabelle1!E18),Tabelle1!E18/'SF Workings'!F17,"")</f>
        <v>114.160274407782</v>
      </c>
      <c r="D17" s="23" t="n">
        <f aca="false">IF(ISNUMBER(Tabelle1!F18),Tabelle1!F18/'SF Workings'!J17,"")</f>
        <v>130.434436164312</v>
      </c>
      <c r="E17" s="23" t="n">
        <f aca="false">IF(ISNUMBER(Tabelle1!G18),Tabelle1!G18/'SF Workings'!N17,"")</f>
        <v>100.007349307365</v>
      </c>
      <c r="F17" s="23" t="n">
        <f aca="false">IF(ISNUMBER(Tabelle1!H18),Tabelle1!H18/'SF Workings'!R17,"")</f>
        <v>101.435596804031</v>
      </c>
      <c r="G17" s="23" t="n">
        <f aca="false">IF(ISNUMBER(Tabelle1!I18),Tabelle1!I18/'SF Workings'!V17,"")</f>
        <v>99.2206418176168</v>
      </c>
      <c r="H17" s="23" t="n">
        <f aca="false">IF(ISNUMBER(Tabelle1!J18),Tabelle1!J18/'SF Workings'!Z17,"")</f>
        <v>102.374455177022</v>
      </c>
      <c r="I17" s="23" t="n">
        <f aca="false">IF(ISNUMBER(Tabelle1!K18),Tabelle1!K18/'SF Workings'!AD17,"")</f>
        <v>101.568666495568</v>
      </c>
      <c r="J17" s="23" t="n">
        <f aca="false">IF(ISNUMBER(Tabelle1!L18),Tabelle1!L18/'SF Workings'!AH17,"")</f>
        <v>104.916893362569</v>
      </c>
      <c r="K17" s="23" t="n">
        <f aca="false">IF(ISNUMBER(Tabelle1!M18),Tabelle1!M18/'SF Workings'!AL17,"")</f>
        <v>106.075239340203</v>
      </c>
      <c r="L17" s="23" t="n">
        <f aca="false">IF(ISNUMBER(Tabelle1!N18),Tabelle1!N18/'SF Workings'!AP17,"")</f>
        <v>103.377096295854</v>
      </c>
      <c r="M17" s="23" t="n">
        <f aca="false">IF(ISNUMBER(Tabelle1!O18),Tabelle1!O18/'SF Workings'!AT17,"")</f>
        <v>101.63686851651</v>
      </c>
      <c r="N17" s="23" t="n">
        <f aca="false">IF(ISNUMBER(Tabelle1!P18),Tabelle1!P18/'SF Workings'!AX17,"")</f>
        <v>101.336034113956</v>
      </c>
      <c r="O17" s="23" t="n">
        <f aca="false">IF(ISNUMBER(Tabelle1!Q18),Tabelle1!Q18/'SF Workings'!BB17,"")</f>
        <v>101.136138067246</v>
      </c>
      <c r="P17" s="23" t="n">
        <f aca="false">IF(ISNUMBER(Tabelle1!R18),Tabelle1!R18/'SF Workings'!BF17,"")</f>
        <v>103.011890928409</v>
      </c>
      <c r="Q17" s="23" t="n">
        <f aca="false">IF(ISNUMBER(Tabelle1!S18),Tabelle1!S18/'SF Workings'!BJ17,"")</f>
        <v>104.016321774439</v>
      </c>
      <c r="R17" s="23" t="n">
        <f aca="false">IFERROR(C17*'Weights &amp; Assumptions'!$F$6+D17*'Weights &amp; Assumptions'!$F$7,"")</f>
        <v>114.359674156125</v>
      </c>
      <c r="S17" s="23" t="n">
        <f aca="false">IFERROR(E17*'Weights &amp; Assumptions'!$F$8+F17*'Weights &amp; Assumptions'!$F$9+H17*'Weights &amp; Assumptions'!$F$11,"")</f>
        <v>101.460653698523</v>
      </c>
      <c r="T17" s="23" t="n">
        <f aca="false">IFERROR(G17*'Weights &amp; Assumptions'!$F$10+I17*'Weights &amp; Assumptions'!$F$12+J17*'Weights &amp; Assumptions'!$F$13+K17*'Weights &amp; Assumptions'!$F$14+L17*'Weights &amp; Assumptions'!$F$15+M17*'Weights &amp; Assumptions'!$F$16+N17*'Weights &amp; Assumptions'!$F$17+O17*'Weights &amp; Assumptions'!$F$18+P17*'Weights &amp; Assumptions'!$F$19+Q17*'Weights &amp; Assumptions'!$F$20,"")</f>
        <v>102.652068939803</v>
      </c>
      <c r="U17" s="23" t="n">
        <f aca="false">IFERROR(R17*'Weights &amp; Assumptions'!$B$25/'Weights &amp; Assumptions'!$B$28+S17*'Weights &amp; Assumptions'!$B$26/'Weights &amp; Assumptions'!$B$28+T17*'Weights &amp; Assumptions'!$B$27/'Weights &amp; Assumptions'!$B$28,"")</f>
        <v>103.317528636007</v>
      </c>
      <c r="V17" s="30" t="n">
        <f aca="false">IF(ISNUMBER(Tabelle1!E18),Tabelle1!E18*'Weights &amp; Assumptions'!$F$6+Tabelle1!F18*'Weights &amp; Assumptions'!$F$7,"")</f>
        <v>78.3174791758143</v>
      </c>
      <c r="W17" s="30" t="n">
        <f aca="false">IF(ISNUMBER(Tabelle1!G18),Tabelle1!G18*'Weights &amp; Assumptions'!$F$8+Tabelle1!H18*'Weights &amp; Assumptions'!$F$9+Tabelle1!J18*'Weights &amp; Assumptions'!$F$11,"")</f>
        <v>102.854382078686</v>
      </c>
      <c r="X17" s="30" t="n">
        <f aca="false">IF(ISNUMBER(Tabelle1!I18),Tabelle1!I18*'Weights &amp; Assumptions'!$F$10+Tabelle1!K18*'Weights &amp; Assumptions'!$F$12+Tabelle1!L18*'Weights &amp; Assumptions'!$F$13+Tabelle1!M18*'Weights &amp; Assumptions'!$F$14+Tabelle1!N18*'Weights &amp; Assumptions'!$F$15+Tabelle1!O18*'Weights &amp; Assumptions'!$F$16+Tabelle1!P18*'Weights &amp; Assumptions'!$F$17+Tabelle1!Q18*'Weights &amp; Assumptions'!$F$18+Tabelle1!R18*'Weights &amp; Assumptions'!$F$19+Tabelle1!S18*'Weights &amp; Assumptions'!$F$20,"")</f>
        <v>102.567799836631</v>
      </c>
      <c r="Y17" s="23" t="n">
        <f aca="false">IFERROR(V17*'Weights &amp; Assumptions'!$B$25/'Weights &amp; Assumptions'!$B$28+W17*'Weights &amp; Assumptions'!$B$26/'Weights &amp; Assumptions'!$B$28+X17*'Weights &amp; Assumptions'!$B$27/'Weights &amp; Assumptions'!$B$28,"")</f>
        <v>100.60938497634</v>
      </c>
    </row>
    <row r="18" customFormat="false" ht="15" hidden="false" customHeight="false" outlineLevel="0" collapsed="false">
      <c r="A18" s="20" t="n">
        <v>38352</v>
      </c>
      <c r="B18" s="30" t="n">
        <f aca="false">IF(ISNUMBER(Tabelle1!D19),Tabelle1!D19,"")</f>
        <v>102.97856</v>
      </c>
      <c r="C18" s="23" t="n">
        <f aca="false">IF(ISNUMBER(Tabelle1!E19),Tabelle1!E19/'SF Workings'!F18,"")</f>
        <v>115.687106550892</v>
      </c>
      <c r="D18" s="23" t="n">
        <f aca="false">IF(ISNUMBER(Tabelle1!F19),Tabelle1!F19/'SF Workings'!J18,"")</f>
        <v>108.274904244951</v>
      </c>
      <c r="E18" s="23" t="n">
        <f aca="false">IF(ISNUMBER(Tabelle1!G19),Tabelle1!G19/'SF Workings'!N18,"")</f>
        <v>100.152739290607</v>
      </c>
      <c r="F18" s="23" t="n">
        <f aca="false">IF(ISNUMBER(Tabelle1!H19),Tabelle1!H19/'SF Workings'!R18,"")</f>
        <v>103.193488783873</v>
      </c>
      <c r="G18" s="23" t="n">
        <f aca="false">IF(ISNUMBER(Tabelle1!I19),Tabelle1!I19/'SF Workings'!V18,"")</f>
        <v>102.631114788907</v>
      </c>
      <c r="H18" s="23" t="n">
        <f aca="false">IF(ISNUMBER(Tabelle1!J19),Tabelle1!J19/'SF Workings'!Z18,"")</f>
        <v>105.047952273382</v>
      </c>
      <c r="I18" s="23" t="n">
        <f aca="false">IF(ISNUMBER(Tabelle1!K19),Tabelle1!K19/'SF Workings'!AD18,"")</f>
        <v>105.381303308952</v>
      </c>
      <c r="J18" s="23" t="n">
        <f aca="false">IF(ISNUMBER(Tabelle1!L19),Tabelle1!L19/'SF Workings'!AH18,"")</f>
        <v>105.48301263577</v>
      </c>
      <c r="K18" s="23" t="n">
        <f aca="false">IF(ISNUMBER(Tabelle1!M19),Tabelle1!M19/'SF Workings'!AL18,"")</f>
        <v>106.682657127646</v>
      </c>
      <c r="L18" s="23" t="n">
        <f aca="false">IF(ISNUMBER(Tabelle1!N19),Tabelle1!N19/'SF Workings'!AP18,"")</f>
        <v>103.923768821496</v>
      </c>
      <c r="M18" s="23" t="n">
        <f aca="false">IF(ISNUMBER(Tabelle1!O19),Tabelle1!O19/'SF Workings'!AT18,"")</f>
        <v>102.630569597843</v>
      </c>
      <c r="N18" s="23" t="n">
        <f aca="false">IF(ISNUMBER(Tabelle1!P19),Tabelle1!P19/'SF Workings'!AX18,"")</f>
        <v>101.478211372024</v>
      </c>
      <c r="O18" s="23" t="n">
        <f aca="false">IF(ISNUMBER(Tabelle1!Q19),Tabelle1!Q19/'SF Workings'!BB18,"")</f>
        <v>102.318757498833</v>
      </c>
      <c r="P18" s="23" t="n">
        <f aca="false">IF(ISNUMBER(Tabelle1!R19),Tabelle1!R19/'SF Workings'!BF18,"")</f>
        <v>103.633766082688</v>
      </c>
      <c r="Q18" s="23" t="n">
        <f aca="false">IF(ISNUMBER(Tabelle1!S19),Tabelle1!S19/'SF Workings'!BJ18,"")</f>
        <v>105.63937851454</v>
      </c>
      <c r="R18" s="23" t="n">
        <f aca="false">IFERROR(C18*'Weights &amp; Assumptions'!$F$6+D18*'Weights &amp; Assumptions'!$F$7,"")</f>
        <v>115.596288277326</v>
      </c>
      <c r="S18" s="23" t="n">
        <f aca="false">IFERROR(E18*'Weights &amp; Assumptions'!$F$8+F18*'Weights &amp; Assumptions'!$F$9+H18*'Weights &amp; Assumptions'!$F$11,"")</f>
        <v>103.216758805147</v>
      </c>
      <c r="T18" s="23" t="n">
        <f aca="false">IFERROR(G18*'Weights &amp; Assumptions'!$F$10+I18*'Weights &amp; Assumptions'!$F$12+J18*'Weights &amp; Assumptions'!$F$13+K18*'Weights &amp; Assumptions'!$F$14+L18*'Weights &amp; Assumptions'!$F$15+M18*'Weights &amp; Assumptions'!$F$16+N18*'Weights &amp; Assumptions'!$F$17+O18*'Weights &amp; Assumptions'!$F$18+P18*'Weights &amp; Assumptions'!$F$19+Q18*'Weights &amp; Assumptions'!$F$20,"")</f>
        <v>104.118907712125</v>
      </c>
      <c r="U18" s="23" t="n">
        <f aca="false">IFERROR(R18*'Weights &amp; Assumptions'!$B$25/'Weights &amp; Assumptions'!$B$28+S18*'Weights &amp; Assumptions'!$B$26/'Weights &amp; Assumptions'!$B$28+T18*'Weights &amp; Assumptions'!$B$27/'Weights &amp; Assumptions'!$B$28,"")</f>
        <v>104.841972339751</v>
      </c>
      <c r="V18" s="30" t="n">
        <f aca="false">IF(ISNUMBER(Tabelle1!E19),Tabelle1!E19*'Weights &amp; Assumptions'!$F$6+Tabelle1!F19*'Weights &amp; Assumptions'!$F$7,"")</f>
        <v>92.532922034064</v>
      </c>
      <c r="W18" s="30" t="n">
        <f aca="false">IF(ISNUMBER(Tabelle1!G19),Tabelle1!G19*'Weights &amp; Assumptions'!$F$8+Tabelle1!H19*'Weights &amp; Assumptions'!$F$9+Tabelle1!J19*'Weights &amp; Assumptions'!$F$11,"")</f>
        <v>101.734141999902</v>
      </c>
      <c r="X18" s="30" t="n">
        <f aca="false">IF(ISNUMBER(Tabelle1!I19),Tabelle1!I19*'Weights &amp; Assumptions'!$F$10+Tabelle1!K19*'Weights &amp; Assumptions'!$F$12+Tabelle1!L19*'Weights &amp; Assumptions'!$F$13+Tabelle1!M19*'Weights &amp; Assumptions'!$F$14+Tabelle1!N19*'Weights &amp; Assumptions'!$F$15+Tabelle1!O19*'Weights &amp; Assumptions'!$F$16+Tabelle1!P19*'Weights &amp; Assumptions'!$F$17+Tabelle1!Q19*'Weights &amp; Assumptions'!$F$18+Tabelle1!R19*'Weights &amp; Assumptions'!$F$19+Tabelle1!S19*'Weights &amp; Assumptions'!$F$20,"")</f>
        <v>103.346172299137</v>
      </c>
      <c r="Y18" s="23" t="n">
        <f aca="false">IFERROR(V18*'Weights &amp; Assumptions'!$B$25/'Weights &amp; Assumptions'!$B$28+W18*'Weights &amp; Assumptions'!$B$26/'Weights &amp; Assumptions'!$B$28+X18*'Weights &amp; Assumptions'!$B$27/'Weights &amp; Assumptions'!$B$28,"")</f>
        <v>102.010264587351</v>
      </c>
    </row>
    <row r="19" customFormat="false" ht="15" hidden="false" customHeight="false" outlineLevel="0" collapsed="false">
      <c r="A19" s="20" t="n">
        <v>38383</v>
      </c>
      <c r="B19" s="30" t="n">
        <f aca="false">IF(ISNUMBER(Tabelle1!D20),Tabelle1!D20,"")</f>
        <v>105.74978</v>
      </c>
      <c r="C19" s="23" t="n">
        <f aca="false">IF(ISNUMBER(Tabelle1!E20),Tabelle1!E20/'SF Workings'!F19,"")</f>
        <v>115.401985213818</v>
      </c>
      <c r="D19" s="23" t="n">
        <f aca="false">IF(ISNUMBER(Tabelle1!F20),Tabelle1!F20/'SF Workings'!J19,"")</f>
        <v>106.503606897595</v>
      </c>
      <c r="E19" s="23" t="n">
        <f aca="false">IF(ISNUMBER(Tabelle1!G20),Tabelle1!G20/'SF Workings'!N19,"")</f>
        <v>100.536036408072</v>
      </c>
      <c r="F19" s="23" t="n">
        <f aca="false">IF(ISNUMBER(Tabelle1!H20),Tabelle1!H20/'SF Workings'!R19,"")</f>
        <v>106.412527840597</v>
      </c>
      <c r="G19" s="23" t="n">
        <f aca="false">IF(ISNUMBER(Tabelle1!I20),Tabelle1!I20/'SF Workings'!V19,"")</f>
        <v>105.390480774428</v>
      </c>
      <c r="H19" s="23" t="n">
        <f aca="false">IF(ISNUMBER(Tabelle1!J20),Tabelle1!J20/'SF Workings'!Z19,"")</f>
        <v>105.52975261468</v>
      </c>
      <c r="I19" s="23" t="n">
        <f aca="false">IF(ISNUMBER(Tabelle1!K20),Tabelle1!K20/'SF Workings'!AD19,"")</f>
        <v>105.841103203755</v>
      </c>
      <c r="J19" s="23" t="n">
        <f aca="false">IF(ISNUMBER(Tabelle1!L20),Tabelle1!L20/'SF Workings'!AH19,"")</f>
        <v>106.947668166579</v>
      </c>
      <c r="K19" s="23" t="n">
        <f aca="false">IF(ISNUMBER(Tabelle1!M20),Tabelle1!M20/'SF Workings'!AL19,"")</f>
        <v>108.691843259361</v>
      </c>
      <c r="L19" s="23" t="n">
        <f aca="false">IF(ISNUMBER(Tabelle1!N20),Tabelle1!N20/'SF Workings'!AP19,"")</f>
        <v>102.319800921735</v>
      </c>
      <c r="M19" s="23" t="n">
        <f aca="false">IF(ISNUMBER(Tabelle1!O20),Tabelle1!O20/'SF Workings'!AT19,"")</f>
        <v>101.687124776952</v>
      </c>
      <c r="N19" s="23" t="n">
        <f aca="false">IF(ISNUMBER(Tabelle1!P20),Tabelle1!P20/'SF Workings'!AX19,"")</f>
        <v>103.769426857722</v>
      </c>
      <c r="O19" s="23" t="n">
        <f aca="false">IF(ISNUMBER(Tabelle1!Q20),Tabelle1!Q20/'SF Workings'!BB19,"")</f>
        <v>104.176684564165</v>
      </c>
      <c r="P19" s="23" t="n">
        <f aca="false">IF(ISNUMBER(Tabelle1!R20),Tabelle1!R20/'SF Workings'!BF19,"")</f>
        <v>105.773614932687</v>
      </c>
      <c r="Q19" s="23" t="n">
        <f aca="false">IF(ISNUMBER(Tabelle1!S20),Tabelle1!S20/'SF Workings'!BJ19,"")</f>
        <v>105.19992012325</v>
      </c>
      <c r="R19" s="23" t="n">
        <f aca="false">IFERROR(C19*'Weights &amp; Assumptions'!$F$6+D19*'Weights &amp; Assumptions'!$F$7,"")</f>
        <v>115.292957515589</v>
      </c>
      <c r="S19" s="23" t="n">
        <f aca="false">IFERROR(E19*'Weights &amp; Assumptions'!$F$8+F19*'Weights &amp; Assumptions'!$F$9+H19*'Weights &amp; Assumptions'!$F$11,"")</f>
        <v>105.526985296758</v>
      </c>
      <c r="T19" s="23" t="n">
        <f aca="false">IFERROR(G19*'Weights &amp; Assumptions'!$F$10+I19*'Weights &amp; Assumptions'!$F$12+J19*'Weights &amp; Assumptions'!$F$13+K19*'Weights &amp; Assumptions'!$F$14+L19*'Weights &amp; Assumptions'!$F$15+M19*'Weights &amp; Assumptions'!$F$16+N19*'Weights &amp; Assumptions'!$F$17+O19*'Weights &amp; Assumptions'!$F$18+P19*'Weights &amp; Assumptions'!$F$19+Q19*'Weights &amp; Assumptions'!$F$20,"")</f>
        <v>104.821438471541</v>
      </c>
      <c r="U19" s="23" t="n">
        <f aca="false">IFERROR(R19*'Weights &amp; Assumptions'!$B$25/'Weights &amp; Assumptions'!$B$28+S19*'Weights &amp; Assumptions'!$B$26/'Weights &amp; Assumptions'!$B$28+T19*'Weights &amp; Assumptions'!$B$27/'Weights &amp; Assumptions'!$B$28,"")</f>
        <v>105.887624859151</v>
      </c>
      <c r="V19" s="30" t="n">
        <f aca="false">IF(ISNUMBER(Tabelle1!E20),Tabelle1!E20*'Weights &amp; Assumptions'!$F$6+Tabelle1!F20*'Weights &amp; Assumptions'!$F$7,"")</f>
        <v>65.3296603762768</v>
      </c>
      <c r="W19" s="30" t="n">
        <f aca="false">IF(ISNUMBER(Tabelle1!G20),Tabelle1!G20*'Weights &amp; Assumptions'!$F$8+Tabelle1!H20*'Weights &amp; Assumptions'!$F$9+Tabelle1!J20*'Weights &amp; Assumptions'!$F$11,"")</f>
        <v>99.4343749374619</v>
      </c>
      <c r="X19" s="30" t="n">
        <f aca="false">IF(ISNUMBER(Tabelle1!I20),Tabelle1!I20*'Weights &amp; Assumptions'!$F$10+Tabelle1!K20*'Weights &amp; Assumptions'!$F$12+Tabelle1!L20*'Weights &amp; Assumptions'!$F$13+Tabelle1!M20*'Weights &amp; Assumptions'!$F$14+Tabelle1!N20*'Weights &amp; Assumptions'!$F$15+Tabelle1!O20*'Weights &amp; Assumptions'!$F$16+Tabelle1!P20*'Weights &amp; Assumptions'!$F$17+Tabelle1!Q20*'Weights &amp; Assumptions'!$F$18+Tabelle1!R20*'Weights &amp; Assumptions'!$F$19+Tabelle1!S20*'Weights &amp; Assumptions'!$F$20,"")</f>
        <v>102.633269134551</v>
      </c>
      <c r="Y19" s="23" t="n">
        <f aca="false">IFERROR(V19*'Weights &amp; Assumptions'!$B$25/'Weights &amp; Assumptions'!$B$28+W19*'Weights &amp; Assumptions'!$B$26/'Weights &amp; Assumptions'!$B$28+X19*'Weights &amp; Assumptions'!$B$27/'Weights &amp; Assumptions'!$B$28,"")</f>
        <v>98.6528234699131</v>
      </c>
    </row>
    <row r="20" customFormat="false" ht="15" hidden="false" customHeight="false" outlineLevel="0" collapsed="false">
      <c r="A20" s="20" t="n">
        <v>38411</v>
      </c>
      <c r="B20" s="30" t="n">
        <f aca="false">IF(ISNUMBER(Tabelle1!D21),Tabelle1!D21,"")</f>
        <v>106.05741</v>
      </c>
      <c r="C20" s="23" t="n">
        <f aca="false">IF(ISNUMBER(Tabelle1!E21),Tabelle1!E21/'SF Workings'!F20,"")</f>
        <v>118.752884304104</v>
      </c>
      <c r="D20" s="23" t="n">
        <f aca="false">IF(ISNUMBER(Tabelle1!F21),Tabelle1!F21/'SF Workings'!J20,"")</f>
        <v>124.925857527722</v>
      </c>
      <c r="E20" s="23" t="n">
        <f aca="false">IF(ISNUMBER(Tabelle1!G21),Tabelle1!G21/'SF Workings'!N20,"")</f>
        <v>99.4787168784285</v>
      </c>
      <c r="F20" s="23" t="n">
        <f aca="false">IF(ISNUMBER(Tabelle1!H21),Tabelle1!H21/'SF Workings'!R20,"")</f>
        <v>105.875469594073</v>
      </c>
      <c r="G20" s="23" t="n">
        <f aca="false">IF(ISNUMBER(Tabelle1!I21),Tabelle1!I21/'SF Workings'!V20,"")</f>
        <v>102.786214155149</v>
      </c>
      <c r="H20" s="23" t="n">
        <f aca="false">IF(ISNUMBER(Tabelle1!J21),Tabelle1!J21/'SF Workings'!Z20,"")</f>
        <v>107.700835235376</v>
      </c>
      <c r="I20" s="23" t="n">
        <f aca="false">IF(ISNUMBER(Tabelle1!K21),Tabelle1!K21/'SF Workings'!AD20,"")</f>
        <v>107.575385139261</v>
      </c>
      <c r="J20" s="23" t="n">
        <f aca="false">IF(ISNUMBER(Tabelle1!L21),Tabelle1!L21/'SF Workings'!AH20,"")</f>
        <v>106.152659082291</v>
      </c>
      <c r="K20" s="23" t="n">
        <f aca="false">IF(ISNUMBER(Tabelle1!M21),Tabelle1!M21/'SF Workings'!AL20,"")</f>
        <v>108.361360781591</v>
      </c>
      <c r="L20" s="23" t="n">
        <f aca="false">IF(ISNUMBER(Tabelle1!N21),Tabelle1!N21/'SF Workings'!AP20,"")</f>
        <v>104.522897816648</v>
      </c>
      <c r="M20" s="23" t="n">
        <f aca="false">IF(ISNUMBER(Tabelle1!O21),Tabelle1!O21/'SF Workings'!AT20,"")</f>
        <v>102.653426590302</v>
      </c>
      <c r="N20" s="23" t="n">
        <f aca="false">IF(ISNUMBER(Tabelle1!P21),Tabelle1!P21/'SF Workings'!AX20,"")</f>
        <v>103.487187078693</v>
      </c>
      <c r="O20" s="23" t="n">
        <f aca="false">IF(ISNUMBER(Tabelle1!Q21),Tabelle1!Q21/'SF Workings'!BB20,"")</f>
        <v>104.219151337625</v>
      </c>
      <c r="P20" s="23" t="n">
        <f aca="false">IF(ISNUMBER(Tabelle1!R21),Tabelle1!R21/'SF Workings'!BF20,"")</f>
        <v>107.438594605053</v>
      </c>
      <c r="Q20" s="23" t="n">
        <f aca="false">IF(ISNUMBER(Tabelle1!S21),Tabelle1!S21/'SF Workings'!BJ20,"")</f>
        <v>106.645838084213</v>
      </c>
      <c r="R20" s="23" t="n">
        <f aca="false">IFERROR(C20*'Weights &amp; Assumptions'!$F$6+D20*'Weights &amp; Assumptions'!$F$7,"")</f>
        <v>118.828518879066</v>
      </c>
      <c r="S20" s="23" t="n">
        <f aca="false">IFERROR(E20*'Weights &amp; Assumptions'!$F$8+F20*'Weights &amp; Assumptions'!$F$9+H20*'Weights &amp; Assumptions'!$F$11,"")</f>
        <v>105.491978749939</v>
      </c>
      <c r="T20" s="23" t="n">
        <f aca="false">IFERROR(G20*'Weights &amp; Assumptions'!$F$10+I20*'Weights &amp; Assumptions'!$F$12+J20*'Weights &amp; Assumptions'!$F$13+K20*'Weights &amp; Assumptions'!$F$14+L20*'Weights &amp; Assumptions'!$F$15+M20*'Weights &amp; Assumptions'!$F$16+N20*'Weights &amp; Assumptions'!$F$17+O20*'Weights &amp; Assumptions'!$F$18+P20*'Weights &amp; Assumptions'!$F$19+Q20*'Weights &amp; Assumptions'!$F$20,"")</f>
        <v>105.55731709537</v>
      </c>
      <c r="U20" s="23" t="n">
        <f aca="false">IFERROR(R20*'Weights &amp; Assumptions'!$B$25/'Weights &amp; Assumptions'!$B$28+S20*'Weights &amp; Assumptions'!$B$26/'Weights &amp; Assumptions'!$B$28+T20*'Weights &amp; Assumptions'!$B$27/'Weights &amp; Assumptions'!$B$28,"")</f>
        <v>106.653407361903</v>
      </c>
      <c r="V20" s="30" t="n">
        <f aca="false">IF(ISNUMBER(Tabelle1!E21),Tabelle1!E21*'Weights &amp; Assumptions'!$F$6+Tabelle1!F21*'Weights &amp; Assumptions'!$F$7,"")</f>
        <v>69.4517459123252</v>
      </c>
      <c r="W20" s="30" t="n">
        <f aca="false">IF(ISNUMBER(Tabelle1!G21),Tabelle1!G21*'Weights &amp; Assumptions'!$F$8+Tabelle1!H21*'Weights &amp; Assumptions'!$F$9+Tabelle1!J21*'Weights &amp; Assumptions'!$F$11,"")</f>
        <v>97.5110639436969</v>
      </c>
      <c r="X20" s="30" t="n">
        <f aca="false">IF(ISNUMBER(Tabelle1!I21),Tabelle1!I21*'Weights &amp; Assumptions'!$F$10+Tabelle1!K21*'Weights &amp; Assumptions'!$F$12+Tabelle1!L21*'Weights &amp; Assumptions'!$F$13+Tabelle1!M21*'Weights &amp; Assumptions'!$F$14+Tabelle1!N21*'Weights &amp; Assumptions'!$F$15+Tabelle1!O21*'Weights &amp; Assumptions'!$F$16+Tabelle1!P21*'Weights &amp; Assumptions'!$F$17+Tabelle1!Q21*'Weights &amp; Assumptions'!$F$18+Tabelle1!R21*'Weights &amp; Assumptions'!$F$19+Tabelle1!S21*'Weights &amp; Assumptions'!$F$20,"")</f>
        <v>101.393864186806</v>
      </c>
      <c r="Y20" s="23" t="n">
        <f aca="false">IFERROR(V20*'Weights &amp; Assumptions'!$B$25/'Weights &amp; Assumptions'!$B$28+W20*'Weights &amp; Assumptions'!$B$26/'Weights &amp; Assumptions'!$B$28+X20*'Weights &amp; Assumptions'!$B$27/'Weights &amp; Assumptions'!$B$28,"")</f>
        <v>97.6813894713611</v>
      </c>
    </row>
    <row r="21" customFormat="false" ht="15" hidden="false" customHeight="false" outlineLevel="0" collapsed="false">
      <c r="A21" s="20" t="n">
        <v>38442</v>
      </c>
      <c r="B21" s="30" t="n">
        <f aca="false">IF(ISNUMBER(Tabelle1!D22),Tabelle1!D22,"")</f>
        <v>106.85062</v>
      </c>
      <c r="C21" s="23" t="n">
        <f aca="false">IF(ISNUMBER(Tabelle1!E22),Tabelle1!E22/'SF Workings'!F21,"")</f>
        <v>125.682625340947</v>
      </c>
      <c r="D21" s="23" t="n">
        <f aca="false">IF(ISNUMBER(Tabelle1!F22),Tabelle1!F22/'SF Workings'!J21,"")</f>
        <v>98.6061610961737</v>
      </c>
      <c r="E21" s="23" t="n">
        <f aca="false">IF(ISNUMBER(Tabelle1!G22),Tabelle1!G22/'SF Workings'!N21,"")</f>
        <v>98.7101816066052</v>
      </c>
      <c r="F21" s="23" t="n">
        <f aca="false">IF(ISNUMBER(Tabelle1!H22),Tabelle1!H22/'SF Workings'!R21,"")</f>
        <v>106.444136381123</v>
      </c>
      <c r="G21" s="23" t="n">
        <f aca="false">IF(ISNUMBER(Tabelle1!I22),Tabelle1!I22/'SF Workings'!V21,"")</f>
        <v>107.127687184087</v>
      </c>
      <c r="H21" s="23" t="n">
        <f aca="false">IF(ISNUMBER(Tabelle1!J22),Tabelle1!J22/'SF Workings'!Z21,"")</f>
        <v>110.536517077467</v>
      </c>
      <c r="I21" s="23" t="n">
        <f aca="false">IF(ISNUMBER(Tabelle1!K22),Tabelle1!K22/'SF Workings'!AD21,"")</f>
        <v>110.063294217266</v>
      </c>
      <c r="J21" s="23" t="n">
        <f aca="false">IF(ISNUMBER(Tabelle1!L22),Tabelle1!L22/'SF Workings'!AH21,"")</f>
        <v>107.736048109083</v>
      </c>
      <c r="K21" s="23" t="n">
        <f aca="false">IF(ISNUMBER(Tabelle1!M22),Tabelle1!M22/'SF Workings'!AL21,"")</f>
        <v>111.155774017963</v>
      </c>
      <c r="L21" s="23" t="n">
        <f aca="false">IF(ISNUMBER(Tabelle1!N22),Tabelle1!N22/'SF Workings'!AP21,"")</f>
        <v>106.759802439328</v>
      </c>
      <c r="M21" s="23" t="n">
        <f aca="false">IF(ISNUMBER(Tabelle1!O22),Tabelle1!O22/'SF Workings'!AT21,"")</f>
        <v>103.77485598399</v>
      </c>
      <c r="N21" s="23" t="n">
        <f aca="false">IF(ISNUMBER(Tabelle1!P22),Tabelle1!P22/'SF Workings'!AX21,"")</f>
        <v>104.273565766241</v>
      </c>
      <c r="O21" s="23" t="n">
        <f aca="false">IF(ISNUMBER(Tabelle1!Q22),Tabelle1!Q22/'SF Workings'!BB21,"")</f>
        <v>105.807512712482</v>
      </c>
      <c r="P21" s="23" t="n">
        <f aca="false">IF(ISNUMBER(Tabelle1!R22),Tabelle1!R22/'SF Workings'!BF21,"")</f>
        <v>110.262704741624</v>
      </c>
      <c r="Q21" s="23" t="n">
        <f aca="false">IF(ISNUMBER(Tabelle1!S22),Tabelle1!S22/'SF Workings'!BJ21,"")</f>
        <v>106.86380476063</v>
      </c>
      <c r="R21" s="23" t="n">
        <f aca="false">IFERROR(C21*'Weights &amp; Assumptions'!$F$6+D21*'Weights &amp; Assumptions'!$F$7,"")</f>
        <v>125.350869995437</v>
      </c>
      <c r="S21" s="23" t="n">
        <f aca="false">IFERROR(E21*'Weights &amp; Assumptions'!$F$8+F21*'Weights &amp; Assumptions'!$F$9+H21*'Weights &amp; Assumptions'!$F$11,"")</f>
        <v>106.373259454193</v>
      </c>
      <c r="T21" s="23" t="n">
        <f aca="false">IFERROR(G21*'Weights &amp; Assumptions'!$F$10+I21*'Weights &amp; Assumptions'!$F$12+J21*'Weights &amp; Assumptions'!$F$13+K21*'Weights &amp; Assumptions'!$F$14+L21*'Weights &amp; Assumptions'!$F$15+M21*'Weights &amp; Assumptions'!$F$16+N21*'Weights &amp; Assumptions'!$F$17+O21*'Weights &amp; Assumptions'!$F$18+P21*'Weights &amp; Assumptions'!$F$19+Q21*'Weights &amp; Assumptions'!$F$20,"")</f>
        <v>107.475914448948</v>
      </c>
      <c r="U21" s="23" t="n">
        <f aca="false">IFERROR(R21*'Weights &amp; Assumptions'!$B$25/'Weights &amp; Assumptions'!$B$28+S21*'Weights &amp; Assumptions'!$B$26/'Weights &amp; Assumptions'!$B$28+T21*'Weights &amp; Assumptions'!$B$27/'Weights &amp; Assumptions'!$B$28,"")</f>
        <v>108.682422870342</v>
      </c>
      <c r="V21" s="30" t="n">
        <f aca="false">IF(ISNUMBER(Tabelle1!E22),Tabelle1!E22*'Weights &amp; Assumptions'!$F$6+Tabelle1!F22*'Weights &amp; Assumptions'!$F$7,"")</f>
        <v>138.663112248722</v>
      </c>
      <c r="W21" s="30" t="n">
        <f aca="false">IF(ISNUMBER(Tabelle1!G22),Tabelle1!G22*'Weights &amp; Assumptions'!$F$8+Tabelle1!H22*'Weights &amp; Assumptions'!$F$9+Tabelle1!J22*'Weights &amp; Assumptions'!$F$11,"")</f>
        <v>108.243634360329</v>
      </c>
      <c r="X21" s="30" t="n">
        <f aca="false">IF(ISNUMBER(Tabelle1!I22),Tabelle1!I22*'Weights &amp; Assumptions'!$F$10+Tabelle1!K22*'Weights &amp; Assumptions'!$F$12+Tabelle1!L22*'Weights &amp; Assumptions'!$F$13+Tabelle1!M22*'Weights &amp; Assumptions'!$F$14+Tabelle1!N22*'Weights &amp; Assumptions'!$F$15+Tabelle1!O22*'Weights &amp; Assumptions'!$F$16+Tabelle1!P22*'Weights &amp; Assumptions'!$F$17+Tabelle1!Q22*'Weights &amp; Assumptions'!$F$18+Tabelle1!R22*'Weights &amp; Assumptions'!$F$19+Tabelle1!S22*'Weights &amp; Assumptions'!$F$20,"")</f>
        <v>108.808862311026</v>
      </c>
      <c r="Y21" s="23" t="n">
        <f aca="false">IFERROR(V21*'Weights &amp; Assumptions'!$B$25/'Weights &amp; Assumptions'!$B$28+W21*'Weights &amp; Assumptions'!$B$26/'Weights &amp; Assumptions'!$B$28+X21*'Weights &amp; Assumptions'!$B$27/'Weights &amp; Assumptions'!$B$28,"")</f>
        <v>111.163354739871</v>
      </c>
    </row>
    <row r="22" customFormat="false" ht="15" hidden="false" customHeight="false" outlineLevel="0" collapsed="false">
      <c r="A22" s="20" t="n">
        <v>38472</v>
      </c>
      <c r="B22" s="30" t="n">
        <f aca="false">IF(ISNUMBER(Tabelle1!D23),Tabelle1!D23,"")</f>
        <v>107.96569</v>
      </c>
      <c r="C22" s="23" t="n">
        <f aca="false">IF(ISNUMBER(Tabelle1!E23),Tabelle1!E23/'SF Workings'!F22,"")</f>
        <v>126.667543515771</v>
      </c>
      <c r="D22" s="23" t="n">
        <f aca="false">IF(ISNUMBER(Tabelle1!F23),Tabelle1!F23/'SF Workings'!J22,"")</f>
        <v>78.3716499317432</v>
      </c>
      <c r="E22" s="23" t="n">
        <f aca="false">IF(ISNUMBER(Tabelle1!G23),Tabelle1!G23/'SF Workings'!N22,"")</f>
        <v>99.1939779398659</v>
      </c>
      <c r="F22" s="23" t="n">
        <f aca="false">IF(ISNUMBER(Tabelle1!H23),Tabelle1!H23/'SF Workings'!R22,"")</f>
        <v>106.016192102465</v>
      </c>
      <c r="G22" s="23" t="n">
        <f aca="false">IF(ISNUMBER(Tabelle1!I23),Tabelle1!I23/'SF Workings'!V22,"")</f>
        <v>107.629435550479</v>
      </c>
      <c r="H22" s="23" t="n">
        <f aca="false">IF(ISNUMBER(Tabelle1!J23),Tabelle1!J23/'SF Workings'!Z22,"")</f>
        <v>110.881365349628</v>
      </c>
      <c r="I22" s="23" t="n">
        <f aca="false">IF(ISNUMBER(Tabelle1!K23),Tabelle1!K23/'SF Workings'!AD22,"")</f>
        <v>109.850012275483</v>
      </c>
      <c r="J22" s="23" t="n">
        <f aca="false">IF(ISNUMBER(Tabelle1!L23),Tabelle1!L23/'SF Workings'!AH22,"")</f>
        <v>105.639414125135</v>
      </c>
      <c r="K22" s="23" t="n">
        <f aca="false">IF(ISNUMBER(Tabelle1!M23),Tabelle1!M23/'SF Workings'!AL22,"")</f>
        <v>112.470016008987</v>
      </c>
      <c r="L22" s="23" t="n">
        <f aca="false">IF(ISNUMBER(Tabelle1!N23),Tabelle1!N23/'SF Workings'!AP22,"")</f>
        <v>108.071996678091</v>
      </c>
      <c r="M22" s="23" t="n">
        <f aca="false">IF(ISNUMBER(Tabelle1!O23),Tabelle1!O23/'SF Workings'!AT22,"")</f>
        <v>105.05323380459</v>
      </c>
      <c r="N22" s="23" t="n">
        <f aca="false">IF(ISNUMBER(Tabelle1!P23),Tabelle1!P23/'SF Workings'!AX22,"")</f>
        <v>104.97365106838</v>
      </c>
      <c r="O22" s="23" t="n">
        <f aca="false">IF(ISNUMBER(Tabelle1!Q23),Tabelle1!Q23/'SF Workings'!BB22,"")</f>
        <v>105.894017998224</v>
      </c>
      <c r="P22" s="23" t="n">
        <f aca="false">IF(ISNUMBER(Tabelle1!R23),Tabelle1!R23/'SF Workings'!BF22,"")</f>
        <v>106.480080307751</v>
      </c>
      <c r="Q22" s="23" t="n">
        <f aca="false">IF(ISNUMBER(Tabelle1!S23),Tabelle1!S23/'SF Workings'!BJ22,"")</f>
        <v>106.56643330869</v>
      </c>
      <c r="R22" s="23" t="n">
        <f aca="false">IFERROR(C22*'Weights &amp; Assumptions'!$F$6+D22*'Weights &amp; Assumptions'!$F$7,"")</f>
        <v>126.075796354183</v>
      </c>
      <c r="S22" s="23" t="n">
        <f aca="false">IFERROR(E22*'Weights &amp; Assumptions'!$F$8+F22*'Weights &amp; Assumptions'!$F$9+H22*'Weights &amp; Assumptions'!$F$11,"")</f>
        <v>106.215165856444</v>
      </c>
      <c r="T22" s="23" t="n">
        <f aca="false">IFERROR(G22*'Weights &amp; Assumptions'!$F$10+I22*'Weights &amp; Assumptions'!$F$12+J22*'Weights &amp; Assumptions'!$F$13+K22*'Weights &amp; Assumptions'!$F$14+L22*'Weights &amp; Assumptions'!$F$15+M22*'Weights &amp; Assumptions'!$F$16+N22*'Weights &amp; Assumptions'!$F$17+O22*'Weights &amp; Assumptions'!$F$18+P22*'Weights &amp; Assumptions'!$F$19+Q22*'Weights &amp; Assumptions'!$F$20,"")</f>
        <v>107.681313860828</v>
      </c>
      <c r="U22" s="23" t="n">
        <f aca="false">IFERROR(R22*'Weights &amp; Assumptions'!$B$25/'Weights &amp; Assumptions'!$B$28+S22*'Weights &amp; Assumptions'!$B$26/'Weights &amp; Assumptions'!$B$28+T22*'Weights &amp; Assumptions'!$B$27/'Weights &amp; Assumptions'!$B$28,"")</f>
        <v>108.834751884598</v>
      </c>
      <c r="V22" s="30" t="n">
        <f aca="false">IF(ISNUMBER(Tabelle1!E23),Tabelle1!E23*'Weights &amp; Assumptions'!$F$6+Tabelle1!F23*'Weights &amp; Assumptions'!$F$7,"")</f>
        <v>207.841065155123</v>
      </c>
      <c r="W22" s="30" t="n">
        <f aca="false">IF(ISNUMBER(Tabelle1!G23),Tabelle1!G23*'Weights &amp; Assumptions'!$F$8+Tabelle1!H23*'Weights &amp; Assumptions'!$F$9+Tabelle1!J23*'Weights &amp; Assumptions'!$F$11,"")</f>
        <v>106.802994418279</v>
      </c>
      <c r="X22" s="30" t="n">
        <f aca="false">IF(ISNUMBER(Tabelle1!I23),Tabelle1!I23*'Weights &amp; Assumptions'!$F$10+Tabelle1!K23*'Weights &amp; Assumptions'!$F$12+Tabelle1!L23*'Weights &amp; Assumptions'!$F$13+Tabelle1!M23*'Weights &amp; Assumptions'!$F$14+Tabelle1!N23*'Weights &amp; Assumptions'!$F$15+Tabelle1!O23*'Weights &amp; Assumptions'!$F$16+Tabelle1!P23*'Weights &amp; Assumptions'!$F$17+Tabelle1!Q23*'Weights &amp; Assumptions'!$F$18+Tabelle1!R23*'Weights &amp; Assumptions'!$F$19+Tabelle1!S23*'Weights &amp; Assumptions'!$F$20,"")</f>
        <v>107.916297965973</v>
      </c>
      <c r="Y22" s="23" t="n">
        <f aca="false">IFERROR(V22*'Weights &amp; Assumptions'!$B$25/'Weights &amp; Assumptions'!$B$28+W22*'Weights &amp; Assumptions'!$B$26/'Weights &amp; Assumptions'!$B$28+X22*'Weights &amp; Assumptions'!$B$27/'Weights &amp; Assumptions'!$B$28,"")</f>
        <v>116.004022229666</v>
      </c>
    </row>
    <row r="23" customFormat="false" ht="15" hidden="false" customHeight="false" outlineLevel="0" collapsed="false">
      <c r="A23" s="20" t="n">
        <v>38503</v>
      </c>
      <c r="B23" s="30" t="n">
        <f aca="false">IF(ISNUMBER(Tabelle1!D24),Tabelle1!D24,"")</f>
        <v>109.10032</v>
      </c>
      <c r="C23" s="23" t="n">
        <f aca="false">IF(ISNUMBER(Tabelle1!E24),Tabelle1!E24/'SF Workings'!F23,"")</f>
        <v>123.211146062189</v>
      </c>
      <c r="D23" s="23" t="n">
        <f aca="false">IF(ISNUMBER(Tabelle1!F24),Tabelle1!F24/'SF Workings'!J23,"")</f>
        <v>102.951223495207</v>
      </c>
      <c r="E23" s="23" t="n">
        <f aca="false">IF(ISNUMBER(Tabelle1!G24),Tabelle1!G24/'SF Workings'!N23,"")</f>
        <v>103.266608156114</v>
      </c>
      <c r="F23" s="23" t="n">
        <f aca="false">IF(ISNUMBER(Tabelle1!H24),Tabelle1!H24/'SF Workings'!R23,"")</f>
        <v>106.592825225755</v>
      </c>
      <c r="G23" s="23" t="n">
        <f aca="false">IF(ISNUMBER(Tabelle1!I24),Tabelle1!I24/'SF Workings'!V23,"")</f>
        <v>106.208365449238</v>
      </c>
      <c r="H23" s="23" t="n">
        <f aca="false">IF(ISNUMBER(Tabelle1!J24),Tabelle1!J24/'SF Workings'!Z23,"")</f>
        <v>112.182215629485</v>
      </c>
      <c r="I23" s="23" t="n">
        <f aca="false">IF(ISNUMBER(Tabelle1!K24),Tabelle1!K24/'SF Workings'!AD23,"")</f>
        <v>111.384035077228</v>
      </c>
      <c r="J23" s="23" t="n">
        <f aca="false">IF(ISNUMBER(Tabelle1!L24),Tabelle1!L24/'SF Workings'!AH23,"")</f>
        <v>107.304334940255</v>
      </c>
      <c r="K23" s="23" t="n">
        <f aca="false">IF(ISNUMBER(Tabelle1!M24),Tabelle1!M24/'SF Workings'!AL23,"")</f>
        <v>115.241001770866</v>
      </c>
      <c r="L23" s="23" t="n">
        <f aca="false">IF(ISNUMBER(Tabelle1!N24),Tabelle1!N24/'SF Workings'!AP23,"")</f>
        <v>109.651969337347</v>
      </c>
      <c r="M23" s="23" t="n">
        <f aca="false">IF(ISNUMBER(Tabelle1!O24),Tabelle1!O24/'SF Workings'!AT23,"")</f>
        <v>104.962062937082</v>
      </c>
      <c r="N23" s="23" t="n">
        <f aca="false">IF(ISNUMBER(Tabelle1!P24),Tabelle1!P24/'SF Workings'!AX23,"")</f>
        <v>104.712898507635</v>
      </c>
      <c r="O23" s="23" t="n">
        <f aca="false">IF(ISNUMBER(Tabelle1!Q24),Tabelle1!Q24/'SF Workings'!BB23,"")</f>
        <v>105.393721636818</v>
      </c>
      <c r="P23" s="23" t="n">
        <f aca="false">IF(ISNUMBER(Tabelle1!R24),Tabelle1!R24/'SF Workings'!BF23,"")</f>
        <v>107.086248934851</v>
      </c>
      <c r="Q23" s="23" t="n">
        <f aca="false">IF(ISNUMBER(Tabelle1!S24),Tabelle1!S24/'SF Workings'!BJ23,"")</f>
        <v>107.214414960371</v>
      </c>
      <c r="R23" s="23" t="n">
        <f aca="false">IFERROR(C23*'Weights &amp; Assumptions'!$F$6+D23*'Weights &amp; Assumptions'!$F$7,"")</f>
        <v>122.962910637118</v>
      </c>
      <c r="S23" s="23" t="n">
        <f aca="false">IFERROR(E23*'Weights &amp; Assumptions'!$F$8+F23*'Weights &amp; Assumptions'!$F$9+H23*'Weights &amp; Assumptions'!$F$11,"")</f>
        <v>107.360084562221</v>
      </c>
      <c r="T23" s="23" t="n">
        <f aca="false">IFERROR(G23*'Weights &amp; Assumptions'!$F$10+I23*'Weights &amp; Assumptions'!$F$12+J23*'Weights &amp; Assumptions'!$F$13+K23*'Weights &amp; Assumptions'!$F$14+L23*'Weights &amp; Assumptions'!$F$15+M23*'Weights &amp; Assumptions'!$F$16+N23*'Weights &amp; Assumptions'!$F$17+O23*'Weights &amp; Assumptions'!$F$18+P23*'Weights &amp; Assumptions'!$F$19+Q23*'Weights &amp; Assumptions'!$F$20,"")</f>
        <v>108.554463458377</v>
      </c>
      <c r="U23" s="23" t="n">
        <f aca="false">IFERROR(R23*'Weights &amp; Assumptions'!$B$25/'Weights &amp; Assumptions'!$B$28+S23*'Weights &amp; Assumptions'!$B$26/'Weights &amp; Assumptions'!$B$28+T23*'Weights &amp; Assumptions'!$B$27/'Weights &amp; Assumptions'!$B$28,"")</f>
        <v>109.445737955263</v>
      </c>
      <c r="V23" s="30" t="n">
        <f aca="false">IF(ISNUMBER(Tabelle1!E24),Tabelle1!E24*'Weights &amp; Assumptions'!$F$6+Tabelle1!F24*'Weights &amp; Assumptions'!$F$7,"")</f>
        <v>293.619418006937</v>
      </c>
      <c r="W23" s="30" t="n">
        <f aca="false">IF(ISNUMBER(Tabelle1!G24),Tabelle1!G24*'Weights &amp; Assumptions'!$F$8+Tabelle1!H24*'Weights &amp; Assumptions'!$F$9+Tabelle1!J24*'Weights &amp; Assumptions'!$F$11,"")</f>
        <v>109.160727545334</v>
      </c>
      <c r="X23" s="30" t="n">
        <f aca="false">IF(ISNUMBER(Tabelle1!I24),Tabelle1!I24*'Weights &amp; Assumptions'!$F$10+Tabelle1!K24*'Weights &amp; Assumptions'!$F$12+Tabelle1!L24*'Weights &amp; Assumptions'!$F$13+Tabelle1!M24*'Weights &amp; Assumptions'!$F$14+Tabelle1!N24*'Weights &amp; Assumptions'!$F$15+Tabelle1!O24*'Weights &amp; Assumptions'!$F$16+Tabelle1!P24*'Weights &amp; Assumptions'!$F$17+Tabelle1!Q24*'Weights &amp; Assumptions'!$F$18+Tabelle1!R24*'Weights &amp; Assumptions'!$F$19+Tabelle1!S24*'Weights &amp; Assumptions'!$F$20,"")</f>
        <v>110.847590647341</v>
      </c>
      <c r="Y23" s="23" t="n">
        <f aca="false">IFERROR(V23*'Weights &amp; Assumptions'!$B$25/'Weights &amp; Assumptions'!$B$28+W23*'Weights &amp; Assumptions'!$B$26/'Weights &amp; Assumptions'!$B$28+X23*'Weights &amp; Assumptions'!$B$27/'Weights &amp; Assumptions'!$B$28,"")</f>
        <v>125.733732699995</v>
      </c>
    </row>
    <row r="24" customFormat="false" ht="15" hidden="false" customHeight="false" outlineLevel="0" collapsed="false">
      <c r="A24" s="20" t="n">
        <v>38533</v>
      </c>
      <c r="B24" s="30" t="n">
        <f aca="false">IF(ISNUMBER(Tabelle1!D25),Tabelle1!D25,"")</f>
        <v>108.58363</v>
      </c>
      <c r="C24" s="23" t="n">
        <f aca="false">IF(ISNUMBER(Tabelle1!E25),Tabelle1!E25/'SF Workings'!F24,"")</f>
        <v>122.43940130055</v>
      </c>
      <c r="D24" s="23" t="n">
        <f aca="false">IF(ISNUMBER(Tabelle1!F25),Tabelle1!F25/'SF Workings'!J24,"")</f>
        <v>85.070633386468</v>
      </c>
      <c r="E24" s="23" t="n">
        <f aca="false">IF(ISNUMBER(Tabelle1!G25),Tabelle1!G25/'SF Workings'!N24,"")</f>
        <v>100.054067916767</v>
      </c>
      <c r="F24" s="23" t="n">
        <f aca="false">IF(ISNUMBER(Tabelle1!H25),Tabelle1!H25/'SF Workings'!R24,"")</f>
        <v>108.569946245532</v>
      </c>
      <c r="G24" s="23" t="n">
        <f aca="false">IF(ISNUMBER(Tabelle1!I25),Tabelle1!I25/'SF Workings'!V24,"")</f>
        <v>101.7945341356</v>
      </c>
      <c r="H24" s="23" t="n">
        <f aca="false">IF(ISNUMBER(Tabelle1!J25),Tabelle1!J25/'SF Workings'!Z24,"")</f>
        <v>113.934136580959</v>
      </c>
      <c r="I24" s="23" t="n">
        <f aca="false">IF(ISNUMBER(Tabelle1!K25),Tabelle1!K25/'SF Workings'!AD24,"")</f>
        <v>111.557103408375</v>
      </c>
      <c r="J24" s="23" t="n">
        <f aca="false">IF(ISNUMBER(Tabelle1!L25),Tabelle1!L25/'SF Workings'!AH24,"")</f>
        <v>110.241132289538</v>
      </c>
      <c r="K24" s="23" t="n">
        <f aca="false">IF(ISNUMBER(Tabelle1!M25),Tabelle1!M25/'SF Workings'!AL24,"")</f>
        <v>115.454737792354</v>
      </c>
      <c r="L24" s="23" t="n">
        <f aca="false">IF(ISNUMBER(Tabelle1!N25),Tabelle1!N25/'SF Workings'!AP24,"")</f>
        <v>109.268691228214</v>
      </c>
      <c r="M24" s="23" t="n">
        <f aca="false">IF(ISNUMBER(Tabelle1!O25),Tabelle1!O25/'SF Workings'!AT24,"")</f>
        <v>105.186537715264</v>
      </c>
      <c r="N24" s="23" t="n">
        <f aca="false">IF(ISNUMBER(Tabelle1!P25),Tabelle1!P25/'SF Workings'!AX24,"")</f>
        <v>105.110813379311</v>
      </c>
      <c r="O24" s="23" t="n">
        <f aca="false">IF(ISNUMBER(Tabelle1!Q25),Tabelle1!Q25/'SF Workings'!BB24,"")</f>
        <v>105.980972323777</v>
      </c>
      <c r="P24" s="23" t="n">
        <f aca="false">IF(ISNUMBER(Tabelle1!R25),Tabelle1!R25/'SF Workings'!BF24,"")</f>
        <v>110.61171887491</v>
      </c>
      <c r="Q24" s="23" t="n">
        <f aca="false">IF(ISNUMBER(Tabelle1!S25),Tabelle1!S25/'SF Workings'!BJ24,"")</f>
        <v>110.218760477372</v>
      </c>
      <c r="R24" s="23" t="n">
        <f aca="false">IFERROR(C24*'Weights &amp; Assumptions'!$F$6+D24*'Weights &amp; Assumptions'!$F$7,"")</f>
        <v>121.981539136623</v>
      </c>
      <c r="S24" s="23" t="n">
        <f aca="false">IFERROR(E24*'Weights &amp; Assumptions'!$F$8+F24*'Weights &amp; Assumptions'!$F$9+H24*'Weights &amp; Assumptions'!$F$11,"")</f>
        <v>108.67065742369</v>
      </c>
      <c r="T24" s="23" t="n">
        <f aca="false">IFERROR(G24*'Weights &amp; Assumptions'!$F$10+I24*'Weights &amp; Assumptions'!$F$12+J24*'Weights &amp; Assumptions'!$F$13+K24*'Weights &amp; Assumptions'!$F$14+L24*'Weights &amp; Assumptions'!$F$15+M24*'Weights &amp; Assumptions'!$F$16+N24*'Weights &amp; Assumptions'!$F$17+O24*'Weights &amp; Assumptions'!$F$18+P24*'Weights &amp; Assumptions'!$F$19+Q24*'Weights &amp; Assumptions'!$F$20,"")</f>
        <v>109.15180658583</v>
      </c>
      <c r="U24" s="23" t="n">
        <f aca="false">IFERROR(R24*'Weights &amp; Assumptions'!$B$25/'Weights &amp; Assumptions'!$B$28+S24*'Weights &amp; Assumptions'!$B$26/'Weights &amp; Assumptions'!$B$28+T24*'Weights &amp; Assumptions'!$B$27/'Weights &amp; Assumptions'!$B$28,"")</f>
        <v>110.100285856717</v>
      </c>
      <c r="V24" s="30" t="n">
        <f aca="false">IF(ISNUMBER(Tabelle1!E25),Tabelle1!E25*'Weights &amp; Assumptions'!$F$6+Tabelle1!F25*'Weights &amp; Assumptions'!$F$7,"")</f>
        <v>196.492779614188</v>
      </c>
      <c r="W24" s="30" t="n">
        <f aca="false">IF(ISNUMBER(Tabelle1!G25),Tabelle1!G25*'Weights &amp; Assumptions'!$F$8+Tabelle1!H25*'Weights &amp; Assumptions'!$F$9+Tabelle1!J25*'Weights &amp; Assumptions'!$F$11,"")</f>
        <v>107.790566234516</v>
      </c>
      <c r="X24" s="30" t="n">
        <f aca="false">IF(ISNUMBER(Tabelle1!I25),Tabelle1!I25*'Weights &amp; Assumptions'!$F$10+Tabelle1!K25*'Weights &amp; Assumptions'!$F$12+Tabelle1!L25*'Weights &amp; Assumptions'!$F$13+Tabelle1!M25*'Weights &amp; Assumptions'!$F$14+Tabelle1!N25*'Weights &amp; Assumptions'!$F$15+Tabelle1!O25*'Weights &amp; Assumptions'!$F$16+Tabelle1!P25*'Weights &amp; Assumptions'!$F$17+Tabelle1!Q25*'Weights &amp; Assumptions'!$F$18+Tabelle1!R25*'Weights &amp; Assumptions'!$F$19+Tabelle1!S25*'Weights &amp; Assumptions'!$F$20,"")</f>
        <v>110.823449951583</v>
      </c>
      <c r="Y24" s="23" t="n">
        <f aca="false">IFERROR(V24*'Weights &amp; Assumptions'!$B$25/'Weights &amp; Assumptions'!$B$28+W24*'Weights &amp; Assumptions'!$B$26/'Weights &amp; Assumptions'!$B$28+X24*'Weights &amp; Assumptions'!$B$27/'Weights &amp; Assumptions'!$B$28,"")</f>
        <v>117.204681244868</v>
      </c>
    </row>
    <row r="25" customFormat="false" ht="15" hidden="false" customHeight="false" outlineLevel="0" collapsed="false">
      <c r="A25" s="20" t="n">
        <v>38564</v>
      </c>
      <c r="B25" s="30" t="n">
        <f aca="false">IF(ISNUMBER(Tabelle1!D26),Tabelle1!D26,"")</f>
        <v>109.13426</v>
      </c>
      <c r="C25" s="23" t="n">
        <f aca="false">IF(ISNUMBER(Tabelle1!E26),Tabelle1!E26/'SF Workings'!F25,"")</f>
        <v>109.675603809071</v>
      </c>
      <c r="D25" s="23" t="n">
        <f aca="false">IF(ISNUMBER(Tabelle1!F26),Tabelle1!F26/'SF Workings'!J25,"")</f>
        <v>75.7722327630022</v>
      </c>
      <c r="E25" s="23" t="n">
        <f aca="false">IF(ISNUMBER(Tabelle1!G26),Tabelle1!G26/'SF Workings'!N25,"")</f>
        <v>102.037992401908</v>
      </c>
      <c r="F25" s="23" t="n">
        <f aca="false">IF(ISNUMBER(Tabelle1!H26),Tabelle1!H26/'SF Workings'!R25,"")</f>
        <v>106.678836343409</v>
      </c>
      <c r="G25" s="23" t="n">
        <f aca="false">IF(ISNUMBER(Tabelle1!I26),Tabelle1!I26/'SF Workings'!V25,"")</f>
        <v>107.393192620443</v>
      </c>
      <c r="H25" s="23" t="n">
        <f aca="false">IF(ISNUMBER(Tabelle1!J26),Tabelle1!J26/'SF Workings'!Z25,"")</f>
        <v>107.851503086038</v>
      </c>
      <c r="I25" s="23" t="n">
        <f aca="false">IF(ISNUMBER(Tabelle1!K26),Tabelle1!K26/'SF Workings'!AD25,"")</f>
        <v>108.353535738247</v>
      </c>
      <c r="J25" s="23" t="n">
        <f aca="false">IF(ISNUMBER(Tabelle1!L26),Tabelle1!L26/'SF Workings'!AH25,"")</f>
        <v>114.736955418594</v>
      </c>
      <c r="K25" s="23" t="n">
        <f aca="false">IF(ISNUMBER(Tabelle1!M26),Tabelle1!M26/'SF Workings'!AL25,"")</f>
        <v>115.759865635153</v>
      </c>
      <c r="L25" s="23" t="n">
        <f aca="false">IF(ISNUMBER(Tabelle1!N26),Tabelle1!N26/'SF Workings'!AP25,"")</f>
        <v>113.271590646519</v>
      </c>
      <c r="M25" s="23" t="n">
        <f aca="false">IF(ISNUMBER(Tabelle1!O26),Tabelle1!O26/'SF Workings'!AT25,"")</f>
        <v>104.025059274432</v>
      </c>
      <c r="N25" s="23" t="n">
        <f aca="false">IF(ISNUMBER(Tabelle1!P26),Tabelle1!P26/'SF Workings'!AX25,"")</f>
        <v>104.798848836001</v>
      </c>
      <c r="O25" s="23" t="n">
        <f aca="false">IF(ISNUMBER(Tabelle1!Q26),Tabelle1!Q26/'SF Workings'!BB25,"")</f>
        <v>105.712317241616</v>
      </c>
      <c r="P25" s="23" t="n">
        <f aca="false">IF(ISNUMBER(Tabelle1!R26),Tabelle1!R26/'SF Workings'!BF25,"")</f>
        <v>110.588621978754</v>
      </c>
      <c r="Q25" s="23" t="n">
        <f aca="false">IF(ISNUMBER(Tabelle1!S26),Tabelle1!S26/'SF Workings'!BJ25,"")</f>
        <v>112.58981931551</v>
      </c>
      <c r="R25" s="23" t="n">
        <f aca="false">IFERROR(C25*'Weights &amp; Assumptions'!$F$6+D25*'Weights &amp; Assumptions'!$F$7,"")</f>
        <v>109.260201544076</v>
      </c>
      <c r="S25" s="23" t="n">
        <f aca="false">IFERROR(E25*'Weights &amp; Assumptions'!$F$8+F25*'Weights &amp; Assumptions'!$F$9+H25*'Weights &amp; Assumptions'!$F$11,"")</f>
        <v>106.369024387839</v>
      </c>
      <c r="T25" s="23" t="n">
        <f aca="false">IFERROR(G25*'Weights &amp; Assumptions'!$F$10+I25*'Weights &amp; Assumptions'!$F$12+J25*'Weights &amp; Assumptions'!$F$13+K25*'Weights &amp; Assumptions'!$F$14+L25*'Weights &amp; Assumptions'!$F$15+M25*'Weights &amp; Assumptions'!$F$16+N25*'Weights &amp; Assumptions'!$F$17+O25*'Weights &amp; Assumptions'!$F$18+P25*'Weights &amp; Assumptions'!$F$19+Q25*'Weights &amp; Assumptions'!$F$20,"")</f>
        <v>109.060217153396</v>
      </c>
      <c r="U25" s="23" t="n">
        <f aca="false">IFERROR(R25*'Weights &amp; Assumptions'!$B$25/'Weights &amp; Assumptions'!$B$28+S25*'Weights &amp; Assumptions'!$B$26/'Weights &amp; Assumptions'!$B$28+T25*'Weights &amp; Assumptions'!$B$27/'Weights &amp; Assumptions'!$B$28,"")</f>
        <v>108.36136084364</v>
      </c>
      <c r="V25" s="30" t="n">
        <f aca="false">IF(ISNUMBER(Tabelle1!E26),Tabelle1!E26*'Weights &amp; Assumptions'!$F$6+Tabelle1!F26*'Weights &amp; Assumptions'!$F$7,"")</f>
        <v>98.1206014253704</v>
      </c>
      <c r="W25" s="30" t="n">
        <f aca="false">IF(ISNUMBER(Tabelle1!G26),Tabelle1!G26*'Weights &amp; Assumptions'!$F$8+Tabelle1!H26*'Weights &amp; Assumptions'!$F$9+Tabelle1!J26*'Weights &amp; Assumptions'!$F$11,"")</f>
        <v>108.139297179807</v>
      </c>
      <c r="X25" s="30" t="n">
        <f aca="false">IF(ISNUMBER(Tabelle1!I26),Tabelle1!I26*'Weights &amp; Assumptions'!$F$10+Tabelle1!K26*'Weights &amp; Assumptions'!$F$12+Tabelle1!L26*'Weights &amp; Assumptions'!$F$13+Tabelle1!M26*'Weights &amp; Assumptions'!$F$14+Tabelle1!N26*'Weights &amp; Assumptions'!$F$15+Tabelle1!O26*'Weights &amp; Assumptions'!$F$16+Tabelle1!P26*'Weights &amp; Assumptions'!$F$17+Tabelle1!Q26*'Weights &amp; Assumptions'!$F$18+Tabelle1!R26*'Weights &amp; Assumptions'!$F$19+Tabelle1!S26*'Weights &amp; Assumptions'!$F$20,"")</f>
        <v>110.324025932684</v>
      </c>
      <c r="Y25" s="23" t="n">
        <f aca="false">IFERROR(V25*'Weights &amp; Assumptions'!$B$25/'Weights &amp; Assumptions'!$B$28+W25*'Weights &amp; Assumptions'!$B$26/'Weights &amp; Assumptions'!$B$28+X25*'Weights &amp; Assumptions'!$B$27/'Weights &amp; Assumptions'!$B$28,"")</f>
        <v>108.719190922258</v>
      </c>
    </row>
    <row r="26" customFormat="false" ht="15" hidden="false" customHeight="false" outlineLevel="0" collapsed="false">
      <c r="A26" s="20" t="n">
        <v>38595</v>
      </c>
      <c r="B26" s="30" t="n">
        <f aca="false">IF(ISNUMBER(Tabelle1!D27),Tabelle1!D27,"")</f>
        <v>109.37691</v>
      </c>
      <c r="C26" s="23" t="n">
        <f aca="false">IF(ISNUMBER(Tabelle1!E27),Tabelle1!E27/'SF Workings'!F26,"")</f>
        <v>105.718219681833</v>
      </c>
      <c r="D26" s="23" t="n">
        <f aca="false">IF(ISNUMBER(Tabelle1!F27),Tabelle1!F27/'SF Workings'!J26,"")</f>
        <v>55.4444263882851</v>
      </c>
      <c r="E26" s="23" t="n">
        <f aca="false">IF(ISNUMBER(Tabelle1!G27),Tabelle1!G27/'SF Workings'!N26,"")</f>
        <v>101.728190312439</v>
      </c>
      <c r="F26" s="23" t="n">
        <f aca="false">IF(ISNUMBER(Tabelle1!H27),Tabelle1!H27/'SF Workings'!R26,"")</f>
        <v>107.515246136847</v>
      </c>
      <c r="G26" s="23" t="n">
        <f aca="false">IF(ISNUMBER(Tabelle1!I27),Tabelle1!I27/'SF Workings'!V26,"")</f>
        <v>108.258682154759</v>
      </c>
      <c r="H26" s="23" t="n">
        <f aca="false">IF(ISNUMBER(Tabelle1!J27),Tabelle1!J27/'SF Workings'!Z26,"")</f>
        <v>111.745673589691</v>
      </c>
      <c r="I26" s="23" t="n">
        <f aca="false">IF(ISNUMBER(Tabelle1!K27),Tabelle1!K27/'SF Workings'!AD26,"")</f>
        <v>111.19257451627</v>
      </c>
      <c r="J26" s="23" t="n">
        <f aca="false">IF(ISNUMBER(Tabelle1!L27),Tabelle1!L27/'SF Workings'!AH26,"")</f>
        <v>116.719419412342</v>
      </c>
      <c r="K26" s="23" t="n">
        <f aca="false">IF(ISNUMBER(Tabelle1!M27),Tabelle1!M27/'SF Workings'!AL26,"")</f>
        <v>116.320439385503</v>
      </c>
      <c r="L26" s="23" t="n">
        <f aca="false">IF(ISNUMBER(Tabelle1!N27),Tabelle1!N27/'SF Workings'!AP26,"")</f>
        <v>109.585774537529</v>
      </c>
      <c r="M26" s="23" t="n">
        <f aca="false">IF(ISNUMBER(Tabelle1!O27),Tabelle1!O27/'SF Workings'!AT26,"")</f>
        <v>107.010908914168</v>
      </c>
      <c r="N26" s="23" t="n">
        <f aca="false">IF(ISNUMBER(Tabelle1!P27),Tabelle1!P27/'SF Workings'!AX26,"")</f>
        <v>105.209425335002</v>
      </c>
      <c r="O26" s="23" t="n">
        <f aca="false">IF(ISNUMBER(Tabelle1!Q27),Tabelle1!Q27/'SF Workings'!BB26,"")</f>
        <v>105.975456874952</v>
      </c>
      <c r="P26" s="23" t="n">
        <f aca="false">IF(ISNUMBER(Tabelle1!R27),Tabelle1!R27/'SF Workings'!BF26,"")</f>
        <v>111.065262269685</v>
      </c>
      <c r="Q26" s="23" t="n">
        <f aca="false">IF(ISNUMBER(Tabelle1!S27),Tabelle1!S27/'SF Workings'!BJ26,"")</f>
        <v>109.77927807201</v>
      </c>
      <c r="R26" s="23" t="n">
        <f aca="false">IFERROR(C26*'Weights &amp; Assumptions'!$F$6+D26*'Weights &amp; Assumptions'!$F$7,"")</f>
        <v>105.10223823339</v>
      </c>
      <c r="S26" s="23" t="n">
        <f aca="false">IFERROR(E26*'Weights &amp; Assumptions'!$F$8+F26*'Weights &amp; Assumptions'!$F$9+H26*'Weights &amp; Assumptions'!$F$11,"")</f>
        <v>107.705582884191</v>
      </c>
      <c r="T26" s="23" t="n">
        <f aca="false">IFERROR(G26*'Weights &amp; Assumptions'!$F$10+I26*'Weights &amp; Assumptions'!$F$12+J26*'Weights &amp; Assumptions'!$F$13+K26*'Weights &amp; Assumptions'!$F$14+L26*'Weights &amp; Assumptions'!$F$15+M26*'Weights &amp; Assumptions'!$F$16+N26*'Weights &amp; Assumptions'!$F$17+O26*'Weights &amp; Assumptions'!$F$18+P26*'Weights &amp; Assumptions'!$F$19+Q26*'Weights &amp; Assumptions'!$F$20,"")</f>
        <v>110.104339038031</v>
      </c>
      <c r="U26" s="23" t="n">
        <f aca="false">IFERROR(R26*'Weights &amp; Assumptions'!$B$25/'Weights &amp; Assumptions'!$B$28+S26*'Weights &amp; Assumptions'!$B$26/'Weights &amp; Assumptions'!$B$28+T26*'Weights &amp; Assumptions'!$B$27/'Weights &amp; Assumptions'!$B$28,"")</f>
        <v>109.046787454607</v>
      </c>
      <c r="V26" s="30" t="n">
        <f aca="false">IF(ISNUMBER(Tabelle1!E27),Tabelle1!E27*'Weights &amp; Assumptions'!$F$6+Tabelle1!F27*'Weights &amp; Assumptions'!$F$7,"")</f>
        <v>63.7618432249914</v>
      </c>
      <c r="W26" s="30" t="n">
        <f aca="false">IF(ISNUMBER(Tabelle1!G27),Tabelle1!G27*'Weights &amp; Assumptions'!$F$8+Tabelle1!H27*'Weights &amp; Assumptions'!$F$9+Tabelle1!J27*'Weights &amp; Assumptions'!$F$11,"")</f>
        <v>109.717759565618</v>
      </c>
      <c r="X26" s="30" t="n">
        <f aca="false">IF(ISNUMBER(Tabelle1!I27),Tabelle1!I27*'Weights &amp; Assumptions'!$F$10+Tabelle1!K27*'Weights &amp; Assumptions'!$F$12+Tabelle1!L27*'Weights &amp; Assumptions'!$F$13+Tabelle1!M27*'Weights &amp; Assumptions'!$F$14+Tabelle1!N27*'Weights &amp; Assumptions'!$F$15+Tabelle1!O27*'Weights &amp; Assumptions'!$F$16+Tabelle1!P27*'Weights &amp; Assumptions'!$F$17+Tabelle1!Q27*'Weights &amp; Assumptions'!$F$18+Tabelle1!R27*'Weights &amp; Assumptions'!$F$19+Tabelle1!S27*'Weights &amp; Assumptions'!$F$20,"")</f>
        <v>110.886152799612</v>
      </c>
      <c r="Y26" s="23" t="n">
        <f aca="false">IFERROR(V26*'Weights &amp; Assumptions'!$B$25/'Weights &amp; Assumptions'!$B$28+W26*'Weights &amp; Assumptions'!$B$26/'Weights &amp; Assumptions'!$B$28+X26*'Weights &amp; Assumptions'!$B$27/'Weights &amp; Assumptions'!$B$28,"")</f>
        <v>106.621687838924</v>
      </c>
    </row>
    <row r="27" customFormat="false" ht="15" hidden="false" customHeight="false" outlineLevel="0" collapsed="false">
      <c r="A27" s="20" t="n">
        <v>38625</v>
      </c>
      <c r="B27" s="30" t="n">
        <f aca="false">IF(ISNUMBER(Tabelle1!D28),Tabelle1!D28,"")</f>
        <v>109.26148</v>
      </c>
      <c r="C27" s="23" t="n">
        <f aca="false">IF(ISNUMBER(Tabelle1!E28),Tabelle1!E28/'SF Workings'!F27,"")</f>
        <v>104.619121398188</v>
      </c>
      <c r="D27" s="23" t="n">
        <f aca="false">IF(ISNUMBER(Tabelle1!F28),Tabelle1!F28/'SF Workings'!J27,"")</f>
        <v>55.4545421397871</v>
      </c>
      <c r="E27" s="23" t="n">
        <f aca="false">IF(ISNUMBER(Tabelle1!G28),Tabelle1!G28/'SF Workings'!N27,"")</f>
        <v>97.9222309538708</v>
      </c>
      <c r="F27" s="23" t="n">
        <f aca="false">IF(ISNUMBER(Tabelle1!H28),Tabelle1!H28/'SF Workings'!R27,"")</f>
        <v>105.471355627993</v>
      </c>
      <c r="G27" s="23" t="n">
        <f aca="false">IF(ISNUMBER(Tabelle1!I28),Tabelle1!I28/'SF Workings'!V27,"")</f>
        <v>108.627855051722</v>
      </c>
      <c r="H27" s="23" t="n">
        <f aca="false">IF(ISNUMBER(Tabelle1!J28),Tabelle1!J28/'SF Workings'!Z27,"")</f>
        <v>114.124056454515</v>
      </c>
      <c r="I27" s="23" t="n">
        <f aca="false">IF(ISNUMBER(Tabelle1!K28),Tabelle1!K28/'SF Workings'!AD27,"")</f>
        <v>110.291875273977</v>
      </c>
      <c r="J27" s="23" t="n">
        <f aca="false">IF(ISNUMBER(Tabelle1!L28),Tabelle1!L28/'SF Workings'!AH27,"")</f>
        <v>118.672368798479</v>
      </c>
      <c r="K27" s="23" t="n">
        <f aca="false">IF(ISNUMBER(Tabelle1!M28),Tabelle1!M28/'SF Workings'!AL27,"")</f>
        <v>116.972961177055</v>
      </c>
      <c r="L27" s="23" t="n">
        <f aca="false">IF(ISNUMBER(Tabelle1!N28),Tabelle1!N28/'SF Workings'!AP27,"")</f>
        <v>111.247246750371</v>
      </c>
      <c r="M27" s="23" t="n">
        <f aca="false">IF(ISNUMBER(Tabelle1!O28),Tabelle1!O28/'SF Workings'!AT27,"")</f>
        <v>107.969759093682</v>
      </c>
      <c r="N27" s="23" t="n">
        <f aca="false">IF(ISNUMBER(Tabelle1!P28),Tabelle1!P28/'SF Workings'!AX27,"")</f>
        <v>105.615765185228</v>
      </c>
      <c r="O27" s="23" t="n">
        <f aca="false">IF(ISNUMBER(Tabelle1!Q28),Tabelle1!Q28/'SF Workings'!BB27,"")</f>
        <v>106.548804989797</v>
      </c>
      <c r="P27" s="23" t="n">
        <f aca="false">IF(ISNUMBER(Tabelle1!R28),Tabelle1!R28/'SF Workings'!BF27,"")</f>
        <v>111.948909606453</v>
      </c>
      <c r="Q27" s="23" t="n">
        <f aca="false">IF(ISNUMBER(Tabelle1!S28),Tabelle1!S28/'SF Workings'!BJ27,"")</f>
        <v>112.603122832922</v>
      </c>
      <c r="R27" s="23" t="n">
        <f aca="false">IFERROR(C27*'Weights &amp; Assumptions'!$F$6+D27*'Weights &amp; Assumptions'!$F$7,"")</f>
        <v>104.016730634339</v>
      </c>
      <c r="S27" s="23" t="n">
        <f aca="false">IFERROR(E27*'Weights &amp; Assumptions'!$F$8+F27*'Weights &amp; Assumptions'!$F$9+H27*'Weights &amp; Assumptions'!$F$11,"")</f>
        <v>106.372569382923</v>
      </c>
      <c r="T27" s="23" t="n">
        <f aca="false">IFERROR(G27*'Weights &amp; Assumptions'!$F$10+I27*'Weights &amp; Assumptions'!$F$12+J27*'Weights &amp; Assumptions'!$F$13+K27*'Weights &amp; Assumptions'!$F$14+L27*'Weights &amp; Assumptions'!$F$15+M27*'Weights &amp; Assumptions'!$F$16+N27*'Weights &amp; Assumptions'!$F$17+O27*'Weights &amp; Assumptions'!$F$18+P27*'Weights &amp; Assumptions'!$F$19+Q27*'Weights &amp; Assumptions'!$F$20,"")</f>
        <v>110.739794550672</v>
      </c>
      <c r="U27" s="23" t="n">
        <f aca="false">IFERROR(R27*'Weights &amp; Assumptions'!$B$25/'Weights &amp; Assumptions'!$B$28+S27*'Weights &amp; Assumptions'!$B$26/'Weights &amp; Assumptions'!$B$28+T27*'Weights &amp; Assumptions'!$B$27/'Weights &amp; Assumptions'!$B$28,"")</f>
        <v>109.014402433654</v>
      </c>
      <c r="V27" s="30" t="n">
        <f aca="false">IF(ISNUMBER(Tabelle1!E28),Tabelle1!E28*'Weights &amp; Assumptions'!$F$6+Tabelle1!F28*'Weights &amp; Assumptions'!$F$7,"")</f>
        <v>59.165655912802</v>
      </c>
      <c r="W27" s="30" t="n">
        <f aca="false">IF(ISNUMBER(Tabelle1!G28),Tabelle1!G28*'Weights &amp; Assumptions'!$F$8+Tabelle1!H28*'Weights &amp; Assumptions'!$F$9+Tabelle1!J28*'Weights &amp; Assumptions'!$F$11,"")</f>
        <v>109.352600782422</v>
      </c>
      <c r="X27" s="30" t="n">
        <f aca="false">IF(ISNUMBER(Tabelle1!I28),Tabelle1!I28*'Weights &amp; Assumptions'!$F$10+Tabelle1!K28*'Weights &amp; Assumptions'!$F$12+Tabelle1!L28*'Weights &amp; Assumptions'!$F$13+Tabelle1!M28*'Weights &amp; Assumptions'!$F$14+Tabelle1!N28*'Weights &amp; Assumptions'!$F$15+Tabelle1!O28*'Weights &amp; Assumptions'!$F$16+Tabelle1!P28*'Weights &amp; Assumptions'!$F$17+Tabelle1!Q28*'Weights &amp; Assumptions'!$F$18+Tabelle1!R28*'Weights &amp; Assumptions'!$F$19+Tabelle1!S28*'Weights &amp; Assumptions'!$F$20,"")</f>
        <v>110.872485298924</v>
      </c>
      <c r="Y27" s="23" t="n">
        <f aca="false">IFERROR(V27*'Weights &amp; Assumptions'!$B$25/'Weights &amp; Assumptions'!$B$28+W27*'Weights &amp; Assumptions'!$B$26/'Weights &amp; Assumptions'!$B$28+X27*'Weights &amp; Assumptions'!$B$27/'Weights &amp; Assumptions'!$B$28,"")</f>
        <v>106.130075440559</v>
      </c>
    </row>
    <row r="28" customFormat="false" ht="15" hidden="false" customHeight="false" outlineLevel="0" collapsed="false">
      <c r="A28" s="20" t="n">
        <v>38656</v>
      </c>
      <c r="B28" s="30" t="n">
        <f aca="false">IF(ISNUMBER(Tabelle1!D29),Tabelle1!D29,"")</f>
        <v>109.94966</v>
      </c>
      <c r="C28" s="23" t="n">
        <f aca="false">IF(ISNUMBER(Tabelle1!E29),Tabelle1!E29/'SF Workings'!F28,"")</f>
        <v>108.286850229085</v>
      </c>
      <c r="D28" s="23" t="n">
        <f aca="false">IF(ISNUMBER(Tabelle1!F29),Tabelle1!F29/'SF Workings'!J28,"")</f>
        <v>77.908644951333</v>
      </c>
      <c r="E28" s="23" t="n">
        <f aca="false">IF(ISNUMBER(Tabelle1!G29),Tabelle1!G29/'SF Workings'!N28,"")</f>
        <v>94.723171359618</v>
      </c>
      <c r="F28" s="23" t="n">
        <f aca="false">IF(ISNUMBER(Tabelle1!H29),Tabelle1!H29/'SF Workings'!R28,"")</f>
        <v>107.682771763972</v>
      </c>
      <c r="G28" s="23" t="n">
        <f aca="false">IF(ISNUMBER(Tabelle1!I29),Tabelle1!I29/'SF Workings'!V28,"")</f>
        <v>103.909567371582</v>
      </c>
      <c r="H28" s="23" t="n">
        <f aca="false">IF(ISNUMBER(Tabelle1!J29),Tabelle1!J29/'SF Workings'!Z28,"")</f>
        <v>115.689613923029</v>
      </c>
      <c r="I28" s="23" t="n">
        <f aca="false">IF(ISNUMBER(Tabelle1!K29),Tabelle1!K29/'SF Workings'!AD28,"")</f>
        <v>108.117804278963</v>
      </c>
      <c r="J28" s="23" t="n">
        <f aca="false">IF(ISNUMBER(Tabelle1!L29),Tabelle1!L29/'SF Workings'!AH28,"")</f>
        <v>116.504392710747</v>
      </c>
      <c r="K28" s="23" t="n">
        <f aca="false">IF(ISNUMBER(Tabelle1!M29),Tabelle1!M29/'SF Workings'!AL28,"")</f>
        <v>117.626641843116</v>
      </c>
      <c r="L28" s="23" t="n">
        <f aca="false">IF(ISNUMBER(Tabelle1!N29),Tabelle1!N29/'SF Workings'!AP28,"")</f>
        <v>110.649419107636</v>
      </c>
      <c r="M28" s="23" t="n">
        <f aca="false">IF(ISNUMBER(Tabelle1!O29),Tabelle1!O29/'SF Workings'!AT28,"")</f>
        <v>106.686102299571</v>
      </c>
      <c r="N28" s="23" t="n">
        <f aca="false">IF(ISNUMBER(Tabelle1!P29),Tabelle1!P29/'SF Workings'!AX28,"")</f>
        <v>106.698562094711</v>
      </c>
      <c r="O28" s="23" t="n">
        <f aca="false">IF(ISNUMBER(Tabelle1!Q29),Tabelle1!Q29/'SF Workings'!BB28,"")</f>
        <v>107.193978656821</v>
      </c>
      <c r="P28" s="23" t="n">
        <f aca="false">IF(ISNUMBER(Tabelle1!R29),Tabelle1!R29/'SF Workings'!BF28,"")</f>
        <v>112.272828468372</v>
      </c>
      <c r="Q28" s="23" t="n">
        <f aca="false">IF(ISNUMBER(Tabelle1!S29),Tabelle1!S29/'SF Workings'!BJ28,"")</f>
        <v>115.018984511394</v>
      </c>
      <c r="R28" s="23" t="n">
        <f aca="false">IFERROR(C28*'Weights &amp; Assumptions'!$F$6+D28*'Weights &amp; Assumptions'!$F$7,"")</f>
        <v>107.914640183608</v>
      </c>
      <c r="S28" s="23" t="n">
        <f aca="false">IFERROR(E28*'Weights &amp; Assumptions'!$F$8+F28*'Weights &amp; Assumptions'!$F$9+H28*'Weights &amp; Assumptions'!$F$11,"")</f>
        <v>107.803439497059</v>
      </c>
      <c r="T28" s="23" t="n">
        <f aca="false">IFERROR(G28*'Weights &amp; Assumptions'!$F$10+I28*'Weights &amp; Assumptions'!$F$12+J28*'Weights &amp; Assumptions'!$F$13+K28*'Weights &amp; Assumptions'!$F$14+L28*'Weights &amp; Assumptions'!$F$15+M28*'Weights &amp; Assumptions'!$F$16+N28*'Weights &amp; Assumptions'!$F$17+O28*'Weights &amp; Assumptions'!$F$18+P28*'Weights &amp; Assumptions'!$F$19+Q28*'Weights &amp; Assumptions'!$F$20,"")</f>
        <v>110.155256713204</v>
      </c>
      <c r="U28" s="23" t="n">
        <f aca="false">IFERROR(R28*'Weights &amp; Assumptions'!$B$25/'Weights &amp; Assumptions'!$B$28+S28*'Weights &amp; Assumptions'!$B$26/'Weights &amp; Assumptions'!$B$28+T28*'Weights &amp; Assumptions'!$B$27/'Weights &amp; Assumptions'!$B$28,"")</f>
        <v>109.341877842029</v>
      </c>
      <c r="V28" s="30" t="n">
        <f aca="false">IF(ISNUMBER(Tabelle1!E29),Tabelle1!E29*'Weights &amp; Assumptions'!$F$6+Tabelle1!F29*'Weights &amp; Assumptions'!$F$7,"")</f>
        <v>60.6669541548968</v>
      </c>
      <c r="W28" s="30" t="n">
        <f aca="false">IF(ISNUMBER(Tabelle1!G29),Tabelle1!G29*'Weights &amp; Assumptions'!$F$8+Tabelle1!H29*'Weights &amp; Assumptions'!$F$9+Tabelle1!J29*'Weights &amp; Assumptions'!$F$11,"")</f>
        <v>112.074561512233</v>
      </c>
      <c r="X28" s="30" t="n">
        <f aca="false">IF(ISNUMBER(Tabelle1!I29),Tabelle1!I29*'Weights &amp; Assumptions'!$F$10+Tabelle1!K29*'Weights &amp; Assumptions'!$F$12+Tabelle1!L29*'Weights &amp; Assumptions'!$F$13+Tabelle1!M29*'Weights &amp; Assumptions'!$F$14+Tabelle1!N29*'Weights &amp; Assumptions'!$F$15+Tabelle1!O29*'Weights &amp; Assumptions'!$F$16+Tabelle1!P29*'Weights &amp; Assumptions'!$F$17+Tabelle1!Q29*'Weights &amp; Assumptions'!$F$18+Tabelle1!R29*'Weights &amp; Assumptions'!$F$19+Tabelle1!S29*'Weights &amp; Assumptions'!$F$20,"")</f>
        <v>110.078402346616</v>
      </c>
      <c r="Y28" s="23" t="n">
        <f aca="false">IFERROR(V28*'Weights &amp; Assumptions'!$B$25/'Weights &amp; Assumptions'!$B$28+W28*'Weights &amp; Assumptions'!$B$26/'Weights &amp; Assumptions'!$B$28+X28*'Weights &amp; Assumptions'!$B$27/'Weights &amp; Assumptions'!$B$28,"")</f>
        <v>106.463554314581</v>
      </c>
    </row>
    <row r="29" customFormat="false" ht="15" hidden="false" customHeight="false" outlineLevel="0" collapsed="false">
      <c r="A29" s="20" t="n">
        <v>38686</v>
      </c>
      <c r="B29" s="30" t="n">
        <f aca="false">IF(ISNUMBER(Tabelle1!D30),Tabelle1!D30,"")</f>
        <v>111.16807</v>
      </c>
      <c r="C29" s="23" t="n">
        <f aca="false">IF(ISNUMBER(Tabelle1!E30),Tabelle1!E30/'SF Workings'!F29,"")</f>
        <v>115.571431019921</v>
      </c>
      <c r="D29" s="23" t="n">
        <f aca="false">IF(ISNUMBER(Tabelle1!F30),Tabelle1!F30/'SF Workings'!J29,"")</f>
        <v>115.183576498411</v>
      </c>
      <c r="E29" s="23" t="n">
        <f aca="false">IF(ISNUMBER(Tabelle1!G30),Tabelle1!G30/'SF Workings'!N29,"")</f>
        <v>100.767887906562</v>
      </c>
      <c r="F29" s="23" t="n">
        <f aca="false">IF(ISNUMBER(Tabelle1!H30),Tabelle1!H30/'SF Workings'!R29,"")</f>
        <v>109.817082870917</v>
      </c>
      <c r="G29" s="23" t="n">
        <f aca="false">IF(ISNUMBER(Tabelle1!I30),Tabelle1!I30/'SF Workings'!V29,"")</f>
        <v>109.241798929368</v>
      </c>
      <c r="H29" s="23" t="n">
        <f aca="false">IF(ISNUMBER(Tabelle1!J30),Tabelle1!J30/'SF Workings'!Z29,"")</f>
        <v>118.575796160793</v>
      </c>
      <c r="I29" s="23" t="n">
        <f aca="false">IF(ISNUMBER(Tabelle1!K30),Tabelle1!K30/'SF Workings'!AD29,"")</f>
        <v>114.04143496825</v>
      </c>
      <c r="J29" s="23" t="n">
        <f aca="false">IF(ISNUMBER(Tabelle1!L30),Tabelle1!L30/'SF Workings'!AH29,"")</f>
        <v>117.774750359224</v>
      </c>
      <c r="K29" s="23" t="n">
        <f aca="false">IF(ISNUMBER(Tabelle1!M30),Tabelle1!M30/'SF Workings'!AL29,"")</f>
        <v>119.262340193689</v>
      </c>
      <c r="L29" s="23" t="n">
        <f aca="false">IF(ISNUMBER(Tabelle1!N30),Tabelle1!N30/'SF Workings'!AP29,"")</f>
        <v>114.49904863964</v>
      </c>
      <c r="M29" s="23" t="n">
        <f aca="false">IF(ISNUMBER(Tabelle1!O30),Tabelle1!O30/'SF Workings'!AT29,"")</f>
        <v>108.308740937498</v>
      </c>
      <c r="N29" s="23" t="n">
        <f aca="false">IF(ISNUMBER(Tabelle1!P30),Tabelle1!P30/'SF Workings'!AX29,"")</f>
        <v>107.210438087467</v>
      </c>
      <c r="O29" s="23" t="n">
        <f aca="false">IF(ISNUMBER(Tabelle1!Q30),Tabelle1!Q30/'SF Workings'!BB29,"")</f>
        <v>107.924990874033</v>
      </c>
      <c r="P29" s="23" t="n">
        <f aca="false">IF(ISNUMBER(Tabelle1!R30),Tabelle1!R30/'SF Workings'!BF29,"")</f>
        <v>112.812785495691</v>
      </c>
      <c r="Q29" s="23" t="n">
        <f aca="false">IF(ISNUMBER(Tabelle1!S30),Tabelle1!S30/'SF Workings'!BJ29,"")</f>
        <v>116.274391368449</v>
      </c>
      <c r="R29" s="23" t="n">
        <f aca="false">IFERROR(C29*'Weights &amp; Assumptions'!$F$6+D29*'Weights &amp; Assumptions'!$F$7,"")</f>
        <v>115.566678818539</v>
      </c>
      <c r="S29" s="23" t="n">
        <f aca="false">IFERROR(E29*'Weights &amp; Assumptions'!$F$8+F29*'Weights &amp; Assumptions'!$F$9+H29*'Weights &amp; Assumptions'!$F$11,"")</f>
        <v>110.56127656973</v>
      </c>
      <c r="T29" s="23" t="n">
        <f aca="false">IFERROR(G29*'Weights &amp; Assumptions'!$F$10+I29*'Weights &amp; Assumptions'!$F$12+J29*'Weights &amp; Assumptions'!$F$13+K29*'Weights &amp; Assumptions'!$F$14+L29*'Weights &amp; Assumptions'!$F$15+M29*'Weights &amp; Assumptions'!$F$16+N29*'Weights &amp; Assumptions'!$F$17+O29*'Weights &amp; Assumptions'!$F$18+P29*'Weights &amp; Assumptions'!$F$19+Q29*'Weights &amp; Assumptions'!$F$20,"")</f>
        <v>112.643936101086</v>
      </c>
      <c r="U29" s="23" t="n">
        <f aca="false">IFERROR(R29*'Weights &amp; Assumptions'!$B$25/'Weights &amp; Assumptions'!$B$28+S29*'Weights &amp; Assumptions'!$B$26/'Weights &amp; Assumptions'!$B$28+T29*'Weights &amp; Assumptions'!$B$27/'Weights &amp; Assumptions'!$B$28,"")</f>
        <v>112.335341097754</v>
      </c>
      <c r="V29" s="30" t="n">
        <f aca="false">IF(ISNUMBER(Tabelle1!E30),Tabelle1!E30*'Weights &amp; Assumptions'!$F$6+Tabelle1!F30*'Weights &amp; Assumptions'!$F$7,"")</f>
        <v>79.1819065579671</v>
      </c>
      <c r="W29" s="30" t="n">
        <f aca="false">IF(ISNUMBER(Tabelle1!G30),Tabelle1!G30*'Weights &amp; Assumptions'!$F$8+Tabelle1!H30*'Weights &amp; Assumptions'!$F$9+Tabelle1!J30*'Weights &amp; Assumptions'!$F$11,"")</f>
        <v>112.261956882949</v>
      </c>
      <c r="X29" s="30" t="n">
        <f aca="false">IF(ISNUMBER(Tabelle1!I30),Tabelle1!I30*'Weights &amp; Assumptions'!$F$10+Tabelle1!K30*'Weights &amp; Assumptions'!$F$12+Tabelle1!L30*'Weights &amp; Assumptions'!$F$13+Tabelle1!M30*'Weights &amp; Assumptions'!$F$14+Tabelle1!N30*'Weights &amp; Assumptions'!$F$15+Tabelle1!O30*'Weights &amp; Assumptions'!$F$16+Tabelle1!P30*'Weights &amp; Assumptions'!$F$17+Tabelle1!Q30*'Weights &amp; Assumptions'!$F$18+Tabelle1!R30*'Weights &amp; Assumptions'!$F$19+Tabelle1!S30*'Weights &amp; Assumptions'!$F$20,"")</f>
        <v>112.55603029201</v>
      </c>
      <c r="Y29" s="23" t="n">
        <f aca="false">IFERROR(V29*'Weights &amp; Assumptions'!$B$25/'Weights &amp; Assumptions'!$B$28+W29*'Weights &amp; Assumptions'!$B$26/'Weights &amp; Assumptions'!$B$28+X29*'Weights &amp; Assumptions'!$B$27/'Weights &amp; Assumptions'!$B$28,"")</f>
        <v>109.677714280441</v>
      </c>
    </row>
    <row r="30" customFormat="false" ht="15" hidden="false" customHeight="false" outlineLevel="0" collapsed="false">
      <c r="A30" s="20" t="n">
        <v>38717</v>
      </c>
      <c r="B30" s="30" t="n">
        <f aca="false">IF(ISNUMBER(Tabelle1!D31),Tabelle1!D31,"")</f>
        <v>113.02209</v>
      </c>
      <c r="C30" s="23" t="n">
        <f aca="false">IF(ISNUMBER(Tabelle1!E31),Tabelle1!E31/'SF Workings'!F30,"")</f>
        <v>132.414379428587</v>
      </c>
      <c r="D30" s="23" t="n">
        <f aca="false">IF(ISNUMBER(Tabelle1!F31),Tabelle1!F31/'SF Workings'!J30,"")</f>
        <v>152.033571771537</v>
      </c>
      <c r="E30" s="23" t="n">
        <f aca="false">IF(ISNUMBER(Tabelle1!G31),Tabelle1!G31/'SF Workings'!N30,"")</f>
        <v>98.2463523876613</v>
      </c>
      <c r="F30" s="23" t="n">
        <f aca="false">IF(ISNUMBER(Tabelle1!H31),Tabelle1!H31/'SF Workings'!R30,"")</f>
        <v>111.278701397238</v>
      </c>
      <c r="G30" s="23" t="n">
        <f aca="false">IF(ISNUMBER(Tabelle1!I31),Tabelle1!I31/'SF Workings'!V30,"")</f>
        <v>105.596465166119</v>
      </c>
      <c r="H30" s="23" t="n">
        <f aca="false">IF(ISNUMBER(Tabelle1!J31),Tabelle1!J31/'SF Workings'!Z30,"")</f>
        <v>121.21618835123</v>
      </c>
      <c r="I30" s="23" t="n">
        <f aca="false">IF(ISNUMBER(Tabelle1!K31),Tabelle1!K31/'SF Workings'!AD30,"")</f>
        <v>115.471434016684</v>
      </c>
      <c r="J30" s="23" t="n">
        <f aca="false">IF(ISNUMBER(Tabelle1!L31),Tabelle1!L31/'SF Workings'!AH30,"")</f>
        <v>116.953187422878</v>
      </c>
      <c r="K30" s="23" t="n">
        <f aca="false">IF(ISNUMBER(Tabelle1!M31),Tabelle1!M31/'SF Workings'!AL30,"")</f>
        <v>121.841329743972</v>
      </c>
      <c r="L30" s="23" t="n">
        <f aca="false">IF(ISNUMBER(Tabelle1!N31),Tabelle1!N31/'SF Workings'!AP30,"")</f>
        <v>117.85393884637</v>
      </c>
      <c r="M30" s="23" t="n">
        <f aca="false">IF(ISNUMBER(Tabelle1!O31),Tabelle1!O31/'SF Workings'!AT30,"")</f>
        <v>110.792166158506</v>
      </c>
      <c r="N30" s="23" t="n">
        <f aca="false">IF(ISNUMBER(Tabelle1!P31),Tabelle1!P31/'SF Workings'!AX30,"")</f>
        <v>107.951893370542</v>
      </c>
      <c r="O30" s="23" t="n">
        <f aca="false">IF(ISNUMBER(Tabelle1!Q31),Tabelle1!Q31/'SF Workings'!BB30,"")</f>
        <v>108.87521753512</v>
      </c>
      <c r="P30" s="23" t="n">
        <f aca="false">IF(ISNUMBER(Tabelle1!R31),Tabelle1!R31/'SF Workings'!BF30,"")</f>
        <v>113.295968713074</v>
      </c>
      <c r="Q30" s="23" t="n">
        <f aca="false">IF(ISNUMBER(Tabelle1!S31),Tabelle1!S31/'SF Workings'!BJ30,"")</f>
        <v>118.571167852223</v>
      </c>
      <c r="R30" s="23" t="n">
        <f aca="false">IFERROR(C30*'Weights &amp; Assumptions'!$F$6+D30*'Weights &amp; Assumptions'!$F$7,"")</f>
        <v>132.654764283697</v>
      </c>
      <c r="S30" s="23" t="n">
        <f aca="false">IFERROR(E30*'Weights &amp; Assumptions'!$F$8+F30*'Weights &amp; Assumptions'!$F$9+H30*'Weights &amp; Assumptions'!$F$11,"")</f>
        <v>111.792882023357</v>
      </c>
      <c r="T30" s="23" t="n">
        <f aca="false">IFERROR(G30*'Weights &amp; Assumptions'!$F$10+I30*'Weights &amp; Assumptions'!$F$12+J30*'Weights &amp; Assumptions'!$F$13+K30*'Weights &amp; Assumptions'!$F$14+L30*'Weights &amp; Assumptions'!$F$15+M30*'Weights &amp; Assumptions'!$F$16+N30*'Weights &amp; Assumptions'!$F$17+O30*'Weights &amp; Assumptions'!$F$18+P30*'Weights &amp; Assumptions'!$F$19+Q30*'Weights &amp; Assumptions'!$F$20,"")</f>
        <v>114.232110057969</v>
      </c>
      <c r="U30" s="23" t="n">
        <f aca="false">IFERROR(R30*'Weights &amp; Assumptions'!$B$25/'Weights &amp; Assumptions'!$B$28+S30*'Weights &amp; Assumptions'!$B$26/'Weights &amp; Assumptions'!$B$28+T30*'Weights &amp; Assumptions'!$B$27/'Weights &amp; Assumptions'!$B$28,"")</f>
        <v>115.129152735569</v>
      </c>
      <c r="V30" s="30" t="n">
        <f aca="false">IF(ISNUMBER(Tabelle1!E31),Tabelle1!E31*'Weights &amp; Assumptions'!$F$6+Tabelle1!F31*'Weights &amp; Assumptions'!$F$7,"")</f>
        <v>100.843991284967</v>
      </c>
      <c r="W30" s="30" t="n">
        <f aca="false">IF(ISNUMBER(Tabelle1!G31),Tabelle1!G31*'Weights &amp; Assumptions'!$F$8+Tabelle1!H31*'Weights &amp; Assumptions'!$F$9+Tabelle1!J31*'Weights &amp; Assumptions'!$F$11,"")</f>
        <v>110.123019589686</v>
      </c>
      <c r="X30" s="30" t="n">
        <f aca="false">IF(ISNUMBER(Tabelle1!I31),Tabelle1!I31*'Weights &amp; Assumptions'!$F$10+Tabelle1!K31*'Weights &amp; Assumptions'!$F$12+Tabelle1!L31*'Weights &amp; Assumptions'!$F$13+Tabelle1!M31*'Weights &amp; Assumptions'!$F$14+Tabelle1!N31*'Weights &amp; Assumptions'!$F$15+Tabelle1!O31*'Weights &amp; Assumptions'!$F$16+Tabelle1!P31*'Weights &amp; Assumptions'!$F$17+Tabelle1!Q31*'Weights &amp; Assumptions'!$F$18+Tabelle1!R31*'Weights &amp; Assumptions'!$F$19+Tabelle1!S31*'Weights &amp; Assumptions'!$F$20,"")</f>
        <v>113.358504712566</v>
      </c>
      <c r="Y30" s="23" t="n">
        <f aca="false">IFERROR(V30*'Weights &amp; Assumptions'!$B$25/'Weights &amp; Assumptions'!$B$28+W30*'Weights &amp; Assumptions'!$B$26/'Weights &amp; Assumptions'!$B$28+X30*'Weights &amp; Assumptions'!$B$27/'Weights &amp; Assumptions'!$B$28,"")</f>
        <v>111.448154609271</v>
      </c>
    </row>
    <row r="31" customFormat="false" ht="15" hidden="false" customHeight="false" outlineLevel="0" collapsed="false">
      <c r="A31" s="20" t="n">
        <v>38748</v>
      </c>
      <c r="B31" s="30" t="n">
        <f aca="false">IF(ISNUMBER(Tabelle1!D32),Tabelle1!D32,"")</f>
        <v>113.8318</v>
      </c>
      <c r="C31" s="23" t="n">
        <f aca="false">IF(ISNUMBER(Tabelle1!E32),Tabelle1!E32/'SF Workings'!F31,"")</f>
        <v>127.139495576142</v>
      </c>
      <c r="D31" s="23" t="n">
        <f aca="false">IF(ISNUMBER(Tabelle1!F32),Tabelle1!F32/'SF Workings'!J31,"")</f>
        <v>142.179255910415</v>
      </c>
      <c r="E31" s="23" t="n">
        <f aca="false">IF(ISNUMBER(Tabelle1!G32),Tabelle1!G32/'SF Workings'!N31,"")</f>
        <v>103.23327958241</v>
      </c>
      <c r="F31" s="23" t="n">
        <f aca="false">IF(ISNUMBER(Tabelle1!H32),Tabelle1!H32/'SF Workings'!R31,"")</f>
        <v>115.000784815674</v>
      </c>
      <c r="G31" s="23" t="n">
        <f aca="false">IF(ISNUMBER(Tabelle1!I32),Tabelle1!I32/'SF Workings'!V31,"")</f>
        <v>107.009298950376</v>
      </c>
      <c r="H31" s="23" t="n">
        <f aca="false">IF(ISNUMBER(Tabelle1!J32),Tabelle1!J32/'SF Workings'!Z31,"")</f>
        <v>122.572280001042</v>
      </c>
      <c r="I31" s="23" t="n">
        <f aca="false">IF(ISNUMBER(Tabelle1!K32),Tabelle1!K32/'SF Workings'!AD31,"")</f>
        <v>117.585878434688</v>
      </c>
      <c r="J31" s="23" t="n">
        <f aca="false">IF(ISNUMBER(Tabelle1!L32),Tabelle1!L32/'SF Workings'!AH31,"")</f>
        <v>119.831283382365</v>
      </c>
      <c r="K31" s="23" t="n">
        <f aca="false">IF(ISNUMBER(Tabelle1!M32),Tabelle1!M32/'SF Workings'!AL31,"")</f>
        <v>122.43618529713</v>
      </c>
      <c r="L31" s="23" t="n">
        <f aca="false">IF(ISNUMBER(Tabelle1!N32),Tabelle1!N32/'SF Workings'!AP31,"")</f>
        <v>118.705796265117</v>
      </c>
      <c r="M31" s="23" t="n">
        <f aca="false">IF(ISNUMBER(Tabelle1!O32),Tabelle1!O32/'SF Workings'!AT31,"")</f>
        <v>108.95700797612</v>
      </c>
      <c r="N31" s="23" t="n">
        <f aca="false">IF(ISNUMBER(Tabelle1!P32),Tabelle1!P32/'SF Workings'!AX31,"")</f>
        <v>107.378831649452</v>
      </c>
      <c r="O31" s="23" t="n">
        <f aca="false">IF(ISNUMBER(Tabelle1!Q32),Tabelle1!Q32/'SF Workings'!BB31,"")</f>
        <v>108.375700012648</v>
      </c>
      <c r="P31" s="23" t="n">
        <f aca="false">IF(ISNUMBER(Tabelle1!R32),Tabelle1!R32/'SF Workings'!BF31,"")</f>
        <v>109.463945470912</v>
      </c>
      <c r="Q31" s="23" t="n">
        <f aca="false">IF(ISNUMBER(Tabelle1!S32),Tabelle1!S32/'SF Workings'!BJ31,"")</f>
        <v>118.068624064733</v>
      </c>
      <c r="R31" s="23" t="n">
        <f aca="false">IFERROR(C31*'Weights &amp; Assumptions'!$F$6+D31*'Weights &amp; Assumptions'!$F$7,"")</f>
        <v>127.323770776958</v>
      </c>
      <c r="S31" s="23" t="n">
        <f aca="false">IFERROR(E31*'Weights &amp; Assumptions'!$F$8+F31*'Weights &amp; Assumptions'!$F$9+H31*'Weights &amp; Assumptions'!$F$11,"")</f>
        <v>115.173092924293</v>
      </c>
      <c r="T31" s="23" t="n">
        <f aca="false">IFERROR(G31*'Weights &amp; Assumptions'!$F$10+I31*'Weights &amp; Assumptions'!$F$12+J31*'Weights &amp; Assumptions'!$F$13+K31*'Weights &amp; Assumptions'!$F$14+L31*'Weights &amp; Assumptions'!$F$15+M31*'Weights &amp; Assumptions'!$F$16+N31*'Weights &amp; Assumptions'!$F$17+O31*'Weights &amp; Assumptions'!$F$18+P31*'Weights &amp; Assumptions'!$F$19+Q31*'Weights &amp; Assumptions'!$F$20,"")</f>
        <v>114.216395446393</v>
      </c>
      <c r="U31" s="23" t="n">
        <f aca="false">IFERROR(R31*'Weights &amp; Assumptions'!$B$25/'Weights &amp; Assumptions'!$B$28+S31*'Weights &amp; Assumptions'!$B$26/'Weights &amp; Assumptions'!$B$28+T31*'Weights &amp; Assumptions'!$B$27/'Weights &amp; Assumptions'!$B$28,"")</f>
        <v>115.570517715687</v>
      </c>
      <c r="V31" s="30" t="n">
        <f aca="false">IF(ISNUMBER(Tabelle1!E32),Tabelle1!E32*'Weights &amp; Assumptions'!$F$6+Tabelle1!F32*'Weights &amp; Assumptions'!$F$7,"")</f>
        <v>68.9224798150201</v>
      </c>
      <c r="W31" s="30" t="n">
        <f aca="false">IF(ISNUMBER(Tabelle1!G32),Tabelle1!G32*'Weights &amp; Assumptions'!$F$8+Tabelle1!H32*'Weights &amp; Assumptions'!$F$9+Tabelle1!J32*'Weights &amp; Assumptions'!$F$11,"")</f>
        <v>108.347155554645</v>
      </c>
      <c r="X31" s="30" t="n">
        <f aca="false">IF(ISNUMBER(Tabelle1!I32),Tabelle1!I32*'Weights &amp; Assumptions'!$F$10+Tabelle1!K32*'Weights &amp; Assumptions'!$F$12+Tabelle1!L32*'Weights &amp; Assumptions'!$F$13+Tabelle1!M32*'Weights &amp; Assumptions'!$F$14+Tabelle1!N32*'Weights &amp; Assumptions'!$F$15+Tabelle1!O32*'Weights &amp; Assumptions'!$F$16+Tabelle1!P32*'Weights &amp; Assumptions'!$F$17+Tabelle1!Q32*'Weights &amp; Assumptions'!$F$18+Tabelle1!R32*'Weights &amp; Assumptions'!$F$19+Tabelle1!S32*'Weights &amp; Assumptions'!$F$20,"")</f>
        <v>111.725568733372</v>
      </c>
      <c r="Y31" s="23" t="n">
        <f aca="false">IFERROR(V31*'Weights &amp; Assumptions'!$B$25/'Weights &amp; Assumptions'!$B$28+W31*'Weights &amp; Assumptions'!$B$26/'Weights &amp; Assumptions'!$B$28+X31*'Weights &amp; Assumptions'!$B$27/'Weights &amp; Assumptions'!$B$28,"")</f>
        <v>107.23597487356</v>
      </c>
    </row>
    <row r="32" customFormat="false" ht="15" hidden="false" customHeight="false" outlineLevel="0" collapsed="false">
      <c r="A32" s="20" t="n">
        <v>38776</v>
      </c>
      <c r="B32" s="30" t="n">
        <f aca="false">IF(ISNUMBER(Tabelle1!D33),Tabelle1!D33,"")</f>
        <v>114.74988</v>
      </c>
      <c r="C32" s="23" t="n">
        <f aca="false">IF(ISNUMBER(Tabelle1!E33),Tabelle1!E33/'SF Workings'!F32,"")</f>
        <v>117.602627685805</v>
      </c>
      <c r="D32" s="23" t="n">
        <f aca="false">IF(ISNUMBER(Tabelle1!F33),Tabelle1!F33/'SF Workings'!J32,"")</f>
        <v>226.218170099166</v>
      </c>
      <c r="E32" s="23" t="n">
        <f aca="false">IF(ISNUMBER(Tabelle1!G33),Tabelle1!G33/'SF Workings'!N32,"")</f>
        <v>100.612729004032</v>
      </c>
      <c r="F32" s="23" t="n">
        <f aca="false">IF(ISNUMBER(Tabelle1!H33),Tabelle1!H33/'SF Workings'!R32,"")</f>
        <v>115.606338702986</v>
      </c>
      <c r="G32" s="23" t="n">
        <f aca="false">IF(ISNUMBER(Tabelle1!I33),Tabelle1!I33/'SF Workings'!V32,"")</f>
        <v>109.878112355653</v>
      </c>
      <c r="H32" s="23" t="n">
        <f aca="false">IF(ISNUMBER(Tabelle1!J33),Tabelle1!J33/'SF Workings'!Z32,"")</f>
        <v>122.797027258833</v>
      </c>
      <c r="I32" s="23" t="n">
        <f aca="false">IF(ISNUMBER(Tabelle1!K33),Tabelle1!K33/'SF Workings'!AD32,"")</f>
        <v>119.554371003363</v>
      </c>
      <c r="J32" s="23" t="n">
        <f aca="false">IF(ISNUMBER(Tabelle1!L33),Tabelle1!L33/'SF Workings'!AH32,"")</f>
        <v>120.789869730685</v>
      </c>
      <c r="K32" s="23" t="n">
        <f aca="false">IF(ISNUMBER(Tabelle1!M33),Tabelle1!M33/'SF Workings'!AL32,"")</f>
        <v>123.693324429915</v>
      </c>
      <c r="L32" s="23" t="n">
        <f aca="false">IF(ISNUMBER(Tabelle1!N33),Tabelle1!N33/'SF Workings'!AP32,"")</f>
        <v>118.238804733714</v>
      </c>
      <c r="M32" s="23" t="n">
        <f aca="false">IF(ISNUMBER(Tabelle1!O33),Tabelle1!O33/'SF Workings'!AT32,"")</f>
        <v>109.747770335606</v>
      </c>
      <c r="N32" s="23" t="n">
        <f aca="false">IF(ISNUMBER(Tabelle1!P33),Tabelle1!P33/'SF Workings'!AX32,"")</f>
        <v>107.053015912405</v>
      </c>
      <c r="O32" s="23" t="n">
        <f aca="false">IF(ISNUMBER(Tabelle1!Q33),Tabelle1!Q33/'SF Workings'!BB32,"")</f>
        <v>108.099407237665</v>
      </c>
      <c r="P32" s="23" t="n">
        <f aca="false">IF(ISNUMBER(Tabelle1!R33),Tabelle1!R33/'SF Workings'!BF32,"")</f>
        <v>111.148322713268</v>
      </c>
      <c r="Q32" s="23" t="n">
        <f aca="false">IF(ISNUMBER(Tabelle1!S33),Tabelle1!S33/'SF Workings'!BJ32,"")</f>
        <v>116.062710735717</v>
      </c>
      <c r="R32" s="23" t="n">
        <f aca="false">IFERROR(C32*'Weights &amp; Assumptions'!$F$6+D32*'Weights &amp; Assumptions'!$F$7,"")</f>
        <v>118.933443499692</v>
      </c>
      <c r="S32" s="23" t="n">
        <f aca="false">IFERROR(E32*'Weights &amp; Assumptions'!$F$8+F32*'Weights &amp; Assumptions'!$F$9+H32*'Weights &amp; Assumptions'!$F$11,"")</f>
        <v>115.314126314154</v>
      </c>
      <c r="T32" s="23" t="n">
        <f aca="false">IFERROR(G32*'Weights &amp; Assumptions'!$F$10+I32*'Weights &amp; Assumptions'!$F$12+J32*'Weights &amp; Assumptions'!$F$13+K32*'Weights &amp; Assumptions'!$F$14+L32*'Weights &amp; Assumptions'!$F$15+M32*'Weights &amp; Assumptions'!$F$16+N32*'Weights &amp; Assumptions'!$F$17+O32*'Weights &amp; Assumptions'!$F$18+P32*'Weights &amp; Assumptions'!$F$19+Q32*'Weights &amp; Assumptions'!$F$20,"")</f>
        <v>115.013831830393</v>
      </c>
      <c r="U32" s="23" t="n">
        <f aca="false">IFERROR(R32*'Weights &amp; Assumptions'!$B$25/'Weights &amp; Assumptions'!$B$28+S32*'Weights &amp; Assumptions'!$B$26/'Weights &amp; Assumptions'!$B$28+T32*'Weights &amp; Assumptions'!$B$27/'Weights &amp; Assumptions'!$B$28,"")</f>
        <v>115.422544060167</v>
      </c>
      <c r="V32" s="30" t="n">
        <f aca="false">IF(ISNUMBER(Tabelle1!E33),Tabelle1!E33*'Weights &amp; Assumptions'!$F$6+Tabelle1!F33*'Weights &amp; Assumptions'!$F$7,"")</f>
        <v>67.8538686935793</v>
      </c>
      <c r="W32" s="30" t="n">
        <f aca="false">IF(ISNUMBER(Tabelle1!G33),Tabelle1!G33*'Weights &amp; Assumptions'!$F$8+Tabelle1!H33*'Weights &amp; Assumptions'!$F$9+Tabelle1!J33*'Weights &amp; Assumptions'!$F$11,"")</f>
        <v>106.187394696147</v>
      </c>
      <c r="X32" s="30" t="n">
        <f aca="false">IF(ISNUMBER(Tabelle1!I33),Tabelle1!I33*'Weights &amp; Assumptions'!$F$10+Tabelle1!K33*'Weights &amp; Assumptions'!$F$12+Tabelle1!L33*'Weights &amp; Assumptions'!$F$13+Tabelle1!M33*'Weights &amp; Assumptions'!$F$14+Tabelle1!N33*'Weights &amp; Assumptions'!$F$15+Tabelle1!O33*'Weights &amp; Assumptions'!$F$16+Tabelle1!P33*'Weights &amp; Assumptions'!$F$17+Tabelle1!Q33*'Weights &amp; Assumptions'!$F$18+Tabelle1!R33*'Weights &amp; Assumptions'!$F$19+Tabelle1!S33*'Weights &amp; Assumptions'!$F$20,"")</f>
        <v>110.285838219101</v>
      </c>
      <c r="Y32" s="23" t="n">
        <f aca="false">IFERROR(V32*'Weights &amp; Assumptions'!$B$25/'Weights &amp; Assumptions'!$B$28+W32*'Weights &amp; Assumptions'!$B$26/'Weights &amp; Assumptions'!$B$28+X32*'Weights &amp; Assumptions'!$B$27/'Weights &amp; Assumptions'!$B$28,"")</f>
        <v>105.635912939054</v>
      </c>
    </row>
    <row r="33" customFormat="false" ht="15" hidden="false" customHeight="false" outlineLevel="0" collapsed="false">
      <c r="A33" s="20" t="n">
        <v>38807</v>
      </c>
      <c r="B33" s="30" t="n">
        <f aca="false">IF(ISNUMBER(Tabelle1!D34),Tabelle1!D34,"")</f>
        <v>114.30687</v>
      </c>
      <c r="C33" s="23" t="n">
        <f aca="false">IF(ISNUMBER(Tabelle1!E34),Tabelle1!E34/'SF Workings'!F33,"")</f>
        <v>116.31870571379</v>
      </c>
      <c r="D33" s="23" t="n">
        <f aca="false">IF(ISNUMBER(Tabelle1!F34),Tabelle1!F34/'SF Workings'!J33,"")</f>
        <v>171.242405179313</v>
      </c>
      <c r="E33" s="23" t="n">
        <f aca="false">IF(ISNUMBER(Tabelle1!G34),Tabelle1!G34/'SF Workings'!N33,"")</f>
        <v>103.472807962589</v>
      </c>
      <c r="F33" s="23" t="n">
        <f aca="false">IF(ISNUMBER(Tabelle1!H34),Tabelle1!H34/'SF Workings'!R33,"")</f>
        <v>117.155653974758</v>
      </c>
      <c r="G33" s="23" t="n">
        <f aca="false">IF(ISNUMBER(Tabelle1!I34),Tabelle1!I34/'SF Workings'!V33,"")</f>
        <v>106.393786155212</v>
      </c>
      <c r="H33" s="23" t="n">
        <f aca="false">IF(ISNUMBER(Tabelle1!J34),Tabelle1!J34/'SF Workings'!Z33,"")</f>
        <v>124.651758011219</v>
      </c>
      <c r="I33" s="23" t="n">
        <f aca="false">IF(ISNUMBER(Tabelle1!K34),Tabelle1!K34/'SF Workings'!AD33,"")</f>
        <v>121.51590381732</v>
      </c>
      <c r="J33" s="23" t="n">
        <f aca="false">IF(ISNUMBER(Tabelle1!L34),Tabelle1!L34/'SF Workings'!AH33,"")</f>
        <v>123.519783927527</v>
      </c>
      <c r="K33" s="23" t="n">
        <f aca="false">IF(ISNUMBER(Tabelle1!M34),Tabelle1!M34/'SF Workings'!AL33,"")</f>
        <v>125.978018399628</v>
      </c>
      <c r="L33" s="23" t="n">
        <f aca="false">IF(ISNUMBER(Tabelle1!N34),Tabelle1!N34/'SF Workings'!AP33,"")</f>
        <v>119.217125893113</v>
      </c>
      <c r="M33" s="23" t="n">
        <f aca="false">IF(ISNUMBER(Tabelle1!O34),Tabelle1!O34/'SF Workings'!AT33,"")</f>
        <v>111.553237715535</v>
      </c>
      <c r="N33" s="23" t="n">
        <f aca="false">IF(ISNUMBER(Tabelle1!P34),Tabelle1!P34/'SF Workings'!AX33,"")</f>
        <v>107.220456212856</v>
      </c>
      <c r="O33" s="23" t="n">
        <f aca="false">IF(ISNUMBER(Tabelle1!Q34),Tabelle1!Q34/'SF Workings'!BB33,"")</f>
        <v>108.373906074171</v>
      </c>
      <c r="P33" s="23" t="n">
        <f aca="false">IF(ISNUMBER(Tabelle1!R34),Tabelle1!R34/'SF Workings'!BF33,"")</f>
        <v>110.601261855194</v>
      </c>
      <c r="Q33" s="23" t="n">
        <f aca="false">IF(ISNUMBER(Tabelle1!S34),Tabelle1!S34/'SF Workings'!BJ33,"")</f>
        <v>118.224708470204</v>
      </c>
      <c r="R33" s="23" t="n">
        <f aca="false">IFERROR(C33*'Weights &amp; Assumptions'!$F$6+D33*'Weights &amp; Assumptions'!$F$7,"")</f>
        <v>116.99166030373</v>
      </c>
      <c r="S33" s="23" t="n">
        <f aca="false">IFERROR(E33*'Weights &amp; Assumptions'!$F$8+F33*'Weights &amp; Assumptions'!$F$9+H33*'Weights &amp; Assumptions'!$F$11,"")</f>
        <v>117.083569025343</v>
      </c>
      <c r="T33" s="23" t="n">
        <f aca="false">IFERROR(G33*'Weights &amp; Assumptions'!$F$10+I33*'Weights &amp; Assumptions'!$F$12+J33*'Weights &amp; Assumptions'!$F$13+K33*'Weights &amp; Assumptions'!$F$14+L33*'Weights &amp; Assumptions'!$F$15+M33*'Weights &amp; Assumptions'!$F$16+N33*'Weights &amp; Assumptions'!$F$17+O33*'Weights &amp; Assumptions'!$F$18+P33*'Weights &amp; Assumptions'!$F$19+Q33*'Weights &amp; Assumptions'!$F$20,"")</f>
        <v>116.332212155318</v>
      </c>
      <c r="U33" s="23" t="n">
        <f aca="false">IFERROR(R33*'Weights &amp; Assumptions'!$B$25/'Weights &amp; Assumptions'!$B$28+S33*'Weights &amp; Assumptions'!$B$26/'Weights &amp; Assumptions'!$B$28+T33*'Weights &amp; Assumptions'!$B$27/'Weights &amp; Assumptions'!$B$28,"")</f>
        <v>116.587339320327</v>
      </c>
      <c r="V33" s="30" t="n">
        <f aca="false">IF(ISNUMBER(Tabelle1!E34),Tabelle1!E34*'Weights &amp; Assumptions'!$F$6+Tabelle1!F34*'Weights &amp; Assumptions'!$F$7,"")</f>
        <v>128.264992731553</v>
      </c>
      <c r="W33" s="30" t="n">
        <f aca="false">IF(ISNUMBER(Tabelle1!G34),Tabelle1!G34*'Weights &amp; Assumptions'!$F$8+Tabelle1!H34*'Weights &amp; Assumptions'!$F$9+Tabelle1!J34*'Weights &amp; Assumptions'!$F$11,"")</f>
        <v>119.024873592047</v>
      </c>
      <c r="X33" s="30" t="n">
        <f aca="false">IF(ISNUMBER(Tabelle1!I34),Tabelle1!I34*'Weights &amp; Assumptions'!$F$10+Tabelle1!K34*'Weights &amp; Assumptions'!$F$12+Tabelle1!L34*'Weights &amp; Assumptions'!$F$13+Tabelle1!M34*'Weights &amp; Assumptions'!$F$14+Tabelle1!N34*'Weights &amp; Assumptions'!$F$15+Tabelle1!O34*'Weights &amp; Assumptions'!$F$16+Tabelle1!P34*'Weights &amp; Assumptions'!$F$17+Tabelle1!Q34*'Weights &amp; Assumptions'!$F$18+Tabelle1!R34*'Weights &amp; Assumptions'!$F$19+Tabelle1!S34*'Weights &amp; Assumptions'!$F$20,"")</f>
        <v>117.846357874583</v>
      </c>
      <c r="Y33" s="23" t="n">
        <f aca="false">IFERROR(V33*'Weights &amp; Assumptions'!$B$25/'Weights &amp; Assumptions'!$B$28+W33*'Weights &amp; Assumptions'!$B$26/'Weights &amp; Assumptions'!$B$28+X33*'Weights &amp; Assumptions'!$B$27/'Weights &amp; Assumptions'!$B$28,"")</f>
        <v>119.033877925234</v>
      </c>
    </row>
    <row r="34" customFormat="false" ht="15" hidden="false" customHeight="false" outlineLevel="0" collapsed="false">
      <c r="A34" s="20" t="n">
        <v>38837</v>
      </c>
      <c r="B34" s="30" t="n">
        <f aca="false">IF(ISNUMBER(Tabelle1!D35),Tabelle1!D35,"")</f>
        <v>115.84398</v>
      </c>
      <c r="C34" s="23" t="n">
        <f aca="false">IF(ISNUMBER(Tabelle1!E35),Tabelle1!E35/'SF Workings'!F34,"")</f>
        <v>113.68747528961</v>
      </c>
      <c r="D34" s="23" t="n">
        <f aca="false">IF(ISNUMBER(Tabelle1!F35),Tabelle1!F35/'SF Workings'!J34,"")</f>
        <v>148.142344897846</v>
      </c>
      <c r="E34" s="23" t="n">
        <f aca="false">IF(ISNUMBER(Tabelle1!G35),Tabelle1!G35/'SF Workings'!N34,"")</f>
        <v>104.291286489494</v>
      </c>
      <c r="F34" s="23" t="n">
        <f aca="false">IF(ISNUMBER(Tabelle1!H35),Tabelle1!H35/'SF Workings'!R34,"")</f>
        <v>114.707673033849</v>
      </c>
      <c r="G34" s="23" t="n">
        <f aca="false">IF(ISNUMBER(Tabelle1!I35),Tabelle1!I35/'SF Workings'!V34,"")</f>
        <v>107.790178397561</v>
      </c>
      <c r="H34" s="23" t="n">
        <f aca="false">IF(ISNUMBER(Tabelle1!J35),Tabelle1!J35/'SF Workings'!Z34,"")</f>
        <v>122.729534124072</v>
      </c>
      <c r="I34" s="23" t="n">
        <f aca="false">IF(ISNUMBER(Tabelle1!K35),Tabelle1!K35/'SF Workings'!AD34,"")</f>
        <v>117.091816760982</v>
      </c>
      <c r="J34" s="23" t="n">
        <f aca="false">IF(ISNUMBER(Tabelle1!L35),Tabelle1!L35/'SF Workings'!AH34,"")</f>
        <v>123.474266183606</v>
      </c>
      <c r="K34" s="23" t="n">
        <f aca="false">IF(ISNUMBER(Tabelle1!M35),Tabelle1!M35/'SF Workings'!AL34,"")</f>
        <v>124.999756348734</v>
      </c>
      <c r="L34" s="23" t="n">
        <f aca="false">IF(ISNUMBER(Tabelle1!N35),Tabelle1!N35/'SF Workings'!AP34,"")</f>
        <v>117.96253272975</v>
      </c>
      <c r="M34" s="23" t="n">
        <f aca="false">IF(ISNUMBER(Tabelle1!O35),Tabelle1!O35/'SF Workings'!AT34,"")</f>
        <v>110.562872504976</v>
      </c>
      <c r="N34" s="23" t="n">
        <f aca="false">IF(ISNUMBER(Tabelle1!P35),Tabelle1!P35/'SF Workings'!AX34,"")</f>
        <v>107.592813606311</v>
      </c>
      <c r="O34" s="23" t="n">
        <f aca="false">IF(ISNUMBER(Tabelle1!Q35),Tabelle1!Q35/'SF Workings'!BB34,"")</f>
        <v>108.608623348462</v>
      </c>
      <c r="P34" s="23" t="n">
        <f aca="false">IF(ISNUMBER(Tabelle1!R35),Tabelle1!R35/'SF Workings'!BF34,"")</f>
        <v>110.420098820019</v>
      </c>
      <c r="Q34" s="23" t="n">
        <f aca="false">IF(ISNUMBER(Tabelle1!S35),Tabelle1!S35/'SF Workings'!BJ34,"")</f>
        <v>125.423413728242</v>
      </c>
      <c r="R34" s="23" t="n">
        <f aca="false">IFERROR(C34*'Weights &amp; Assumptions'!$F$6+D34*'Weights &amp; Assumptions'!$F$7,"")</f>
        <v>114.109634810441</v>
      </c>
      <c r="S34" s="23" t="n">
        <f aca="false">IFERROR(E34*'Weights &amp; Assumptions'!$F$8+F34*'Weights &amp; Assumptions'!$F$9+H34*'Weights &amp; Assumptions'!$F$11,"")</f>
        <v>115.135123473578</v>
      </c>
      <c r="T34" s="23" t="n">
        <f aca="false">IFERROR(G34*'Weights &amp; Assumptions'!$F$10+I34*'Weights &amp; Assumptions'!$F$12+J34*'Weights &amp; Assumptions'!$F$13+K34*'Weights &amp; Assumptions'!$F$14+L34*'Weights &amp; Assumptions'!$F$15+M34*'Weights &amp; Assumptions'!$F$16+N34*'Weights &amp; Assumptions'!$F$17+O34*'Weights &amp; Assumptions'!$F$18+P34*'Weights &amp; Assumptions'!$F$19+Q34*'Weights &amp; Assumptions'!$F$20,"")</f>
        <v>115.46276808743</v>
      </c>
      <c r="U34" s="23" t="n">
        <f aca="false">IFERROR(R34*'Weights &amp; Assumptions'!$B$25/'Weights &amp; Assumptions'!$B$28+S34*'Weights &amp; Assumptions'!$B$26/'Weights &amp; Assumptions'!$B$28+T34*'Weights &amp; Assumptions'!$B$27/'Weights &amp; Assumptions'!$B$28,"")</f>
        <v>115.262112653242</v>
      </c>
      <c r="V34" s="30" t="n">
        <f aca="false">IF(ISNUMBER(Tabelle1!E35),Tabelle1!E35*'Weights &amp; Assumptions'!$F$6+Tabelle1!F35*'Weights &amp; Assumptions'!$F$7,"")</f>
        <v>191.163583039773</v>
      </c>
      <c r="W34" s="30" t="n">
        <f aca="false">IF(ISNUMBER(Tabelle1!G35),Tabelle1!G35*'Weights &amp; Assumptions'!$F$8+Tabelle1!H35*'Weights &amp; Assumptions'!$F$9+Tabelle1!J35*'Weights &amp; Assumptions'!$F$11,"")</f>
        <v>115.815387418452</v>
      </c>
      <c r="X34" s="30" t="n">
        <f aca="false">IF(ISNUMBER(Tabelle1!I35),Tabelle1!I35*'Weights &amp; Assumptions'!$F$10+Tabelle1!K35*'Weights &amp; Assumptions'!$F$12+Tabelle1!L35*'Weights &amp; Assumptions'!$F$13+Tabelle1!M35*'Weights &amp; Assumptions'!$F$14+Tabelle1!N35*'Weights &amp; Assumptions'!$F$15+Tabelle1!O35*'Weights &amp; Assumptions'!$F$16+Tabelle1!P35*'Weights &amp; Assumptions'!$F$17+Tabelle1!Q35*'Weights &amp; Assumptions'!$F$18+Tabelle1!R35*'Weights &amp; Assumptions'!$F$19+Tabelle1!S35*'Weights &amp; Assumptions'!$F$20,"")</f>
        <v>115.774232955752</v>
      </c>
      <c r="Y34" s="23" t="n">
        <f aca="false">IFERROR(V34*'Weights &amp; Assumptions'!$B$25/'Weights &amp; Assumptions'!$B$28+W34*'Weights &amp; Assumptions'!$B$26/'Weights &amp; Assumptions'!$B$28+X34*'Weights &amp; Assumptions'!$B$27/'Weights &amp; Assumptions'!$B$28,"")</f>
        <v>122.110405857218</v>
      </c>
    </row>
    <row r="35" customFormat="false" ht="15" hidden="false" customHeight="false" outlineLevel="0" collapsed="false">
      <c r="A35" s="20" t="n">
        <v>38868</v>
      </c>
      <c r="B35" s="30" t="n">
        <f aca="false">IF(ISNUMBER(Tabelle1!D36),Tabelle1!D36,"")</f>
        <v>115.09969</v>
      </c>
      <c r="C35" s="23" t="n">
        <f aca="false">IF(ISNUMBER(Tabelle1!E36),Tabelle1!E36/'SF Workings'!F35,"")</f>
        <v>114.057038267659</v>
      </c>
      <c r="D35" s="23" t="n">
        <f aca="false">IF(ISNUMBER(Tabelle1!F36),Tabelle1!F36/'SF Workings'!J35,"")</f>
        <v>146.182852569231</v>
      </c>
      <c r="E35" s="23" t="n">
        <f aca="false">IF(ISNUMBER(Tabelle1!G36),Tabelle1!G36/'SF Workings'!N35,"")</f>
        <v>108.085422797128</v>
      </c>
      <c r="F35" s="23" t="n">
        <f aca="false">IF(ISNUMBER(Tabelle1!H36),Tabelle1!H36/'SF Workings'!R35,"")</f>
        <v>115.852133600906</v>
      </c>
      <c r="G35" s="23" t="n">
        <f aca="false">IF(ISNUMBER(Tabelle1!I36),Tabelle1!I36/'SF Workings'!V35,"")</f>
        <v>111.905133485695</v>
      </c>
      <c r="H35" s="23" t="n">
        <f aca="false">IF(ISNUMBER(Tabelle1!J36),Tabelle1!J36/'SF Workings'!Z35,"")</f>
        <v>124.584246543714</v>
      </c>
      <c r="I35" s="23" t="n">
        <f aca="false">IF(ISNUMBER(Tabelle1!K36),Tabelle1!K36/'SF Workings'!AD35,"")</f>
        <v>121.843022393965</v>
      </c>
      <c r="J35" s="23" t="n">
        <f aca="false">IF(ISNUMBER(Tabelle1!L36),Tabelle1!L36/'SF Workings'!AH35,"")</f>
        <v>122.568373877656</v>
      </c>
      <c r="K35" s="23" t="n">
        <f aca="false">IF(ISNUMBER(Tabelle1!M36),Tabelle1!M36/'SF Workings'!AL35,"")</f>
        <v>126.696347681435</v>
      </c>
      <c r="L35" s="23" t="n">
        <f aca="false">IF(ISNUMBER(Tabelle1!N36),Tabelle1!N36/'SF Workings'!AP35,"")</f>
        <v>120.39497139523</v>
      </c>
      <c r="M35" s="23" t="n">
        <f aca="false">IF(ISNUMBER(Tabelle1!O36),Tabelle1!O36/'SF Workings'!AT35,"")</f>
        <v>112.156809876486</v>
      </c>
      <c r="N35" s="23" t="n">
        <f aca="false">IF(ISNUMBER(Tabelle1!P36),Tabelle1!P36/'SF Workings'!AX35,"")</f>
        <v>108.441554425767</v>
      </c>
      <c r="O35" s="23" t="n">
        <f aca="false">IF(ISNUMBER(Tabelle1!Q36),Tabelle1!Q36/'SF Workings'!BB35,"")</f>
        <v>110.149930158291</v>
      </c>
      <c r="P35" s="23" t="n">
        <f aca="false">IF(ISNUMBER(Tabelle1!R36),Tabelle1!R36/'SF Workings'!BF35,"")</f>
        <v>110.612771348637</v>
      </c>
      <c r="Q35" s="23" t="n">
        <f aca="false">IF(ISNUMBER(Tabelle1!S36),Tabelle1!S36/'SF Workings'!BJ35,"")</f>
        <v>121.356013021954</v>
      </c>
      <c r="R35" s="23" t="n">
        <f aca="false">IFERROR(C35*'Weights &amp; Assumptions'!$F$6+D35*'Weights &amp; Assumptions'!$F$7,"")</f>
        <v>114.450660955136</v>
      </c>
      <c r="S35" s="23" t="n">
        <f aca="false">IFERROR(E35*'Weights &amp; Assumptions'!$F$8+F35*'Weights &amp; Assumptions'!$F$9+H35*'Weights &amp; Assumptions'!$F$11,"")</f>
        <v>116.743911489852</v>
      </c>
      <c r="T35" s="23" t="n">
        <f aca="false">IFERROR(G35*'Weights &amp; Assumptions'!$F$10+I35*'Weights &amp; Assumptions'!$F$12+J35*'Weights &amp; Assumptions'!$F$13+K35*'Weights &amp; Assumptions'!$F$14+L35*'Weights &amp; Assumptions'!$F$15+M35*'Weights &amp; Assumptions'!$F$16+N35*'Weights &amp; Assumptions'!$F$17+O35*'Weights &amp; Assumptions'!$F$18+P35*'Weights &amp; Assumptions'!$F$19+Q35*'Weights &amp; Assumptions'!$F$20,"")</f>
        <v>117.246432532502</v>
      </c>
      <c r="U35" s="23" t="n">
        <f aca="false">IFERROR(R35*'Weights &amp; Assumptions'!$B$25/'Weights &amp; Assumptions'!$B$28+S35*'Weights &amp; Assumptions'!$B$26/'Weights &amp; Assumptions'!$B$28+T35*'Weights &amp; Assumptions'!$B$27/'Weights &amp; Assumptions'!$B$28,"")</f>
        <v>116.878235847164</v>
      </c>
      <c r="V35" s="30" t="n">
        <f aca="false">IF(ISNUMBER(Tabelle1!E36),Tabelle1!E36*'Weights &amp; Assumptions'!$F$6+Tabelle1!F36*'Weights &amp; Assumptions'!$F$7,"")</f>
        <v>279.66275893422</v>
      </c>
      <c r="W35" s="30" t="n">
        <f aca="false">IF(ISNUMBER(Tabelle1!G36),Tabelle1!G36*'Weights &amp; Assumptions'!$F$8+Tabelle1!H36*'Weights &amp; Assumptions'!$F$9+Tabelle1!J36*'Weights &amp; Assumptions'!$F$11,"")</f>
        <v>118.698156644379</v>
      </c>
      <c r="X35" s="30" t="n">
        <f aca="false">IF(ISNUMBER(Tabelle1!I36),Tabelle1!I36*'Weights &amp; Assumptions'!$F$10+Tabelle1!K36*'Weights &amp; Assumptions'!$F$12+Tabelle1!L36*'Weights &amp; Assumptions'!$F$13+Tabelle1!M36*'Weights &amp; Assumptions'!$F$14+Tabelle1!N36*'Weights &amp; Assumptions'!$F$15+Tabelle1!O36*'Weights &amp; Assumptions'!$F$16+Tabelle1!P36*'Weights &amp; Assumptions'!$F$17+Tabelle1!Q36*'Weights &amp; Assumptions'!$F$18+Tabelle1!R36*'Weights &amp; Assumptions'!$F$19+Tabelle1!S36*'Weights &amp; Assumptions'!$F$20,"")</f>
        <v>119.66015182887</v>
      </c>
      <c r="Y35" s="23" t="n">
        <f aca="false">IFERROR(V35*'Weights &amp; Assumptions'!$B$25/'Weights &amp; Assumptions'!$B$28+W35*'Weights &amp; Assumptions'!$B$26/'Weights &amp; Assumptions'!$B$28+X35*'Weights &amp; Assumptions'!$B$27/'Weights &amp; Assumptions'!$B$28,"")</f>
        <v>132.828692395065</v>
      </c>
    </row>
    <row r="36" customFormat="false" ht="15" hidden="false" customHeight="false" outlineLevel="0" collapsed="false">
      <c r="A36" s="20" t="n">
        <v>38898</v>
      </c>
      <c r="B36" s="30" t="n">
        <f aca="false">IF(ISNUMBER(Tabelle1!D37),Tabelle1!D37,"")</f>
        <v>116.25305</v>
      </c>
      <c r="C36" s="23" t="n">
        <f aca="false">IF(ISNUMBER(Tabelle1!E37),Tabelle1!E37/'SF Workings'!F36,"")</f>
        <v>115.094418182387</v>
      </c>
      <c r="D36" s="23" t="n">
        <f aca="false">IF(ISNUMBER(Tabelle1!F37),Tabelle1!F37/'SF Workings'!J36,"")</f>
        <v>137.857409725289</v>
      </c>
      <c r="E36" s="23" t="n">
        <f aca="false">IF(ISNUMBER(Tabelle1!G37),Tabelle1!G37/'SF Workings'!N36,"")</f>
        <v>106.614645407116</v>
      </c>
      <c r="F36" s="23" t="n">
        <f aca="false">IF(ISNUMBER(Tabelle1!H37),Tabelle1!H37/'SF Workings'!R36,"")</f>
        <v>117.658916131629</v>
      </c>
      <c r="G36" s="23" t="n">
        <f aca="false">IF(ISNUMBER(Tabelle1!I37),Tabelle1!I37/'SF Workings'!V36,"")</f>
        <v>112.016856466572</v>
      </c>
      <c r="H36" s="23" t="n">
        <f aca="false">IF(ISNUMBER(Tabelle1!J37),Tabelle1!J37/'SF Workings'!Z36,"")</f>
        <v>124.877741513652</v>
      </c>
      <c r="I36" s="23" t="n">
        <f aca="false">IF(ISNUMBER(Tabelle1!K37),Tabelle1!K37/'SF Workings'!AD36,"")</f>
        <v>122.310116951846</v>
      </c>
      <c r="J36" s="23" t="n">
        <f aca="false">IF(ISNUMBER(Tabelle1!L37),Tabelle1!L37/'SF Workings'!AH36,"")</f>
        <v>124.775768102264</v>
      </c>
      <c r="K36" s="23" t="n">
        <f aca="false">IF(ISNUMBER(Tabelle1!M37),Tabelle1!M37/'SF Workings'!AL36,"")</f>
        <v>127.720167908111</v>
      </c>
      <c r="L36" s="23" t="n">
        <f aca="false">IF(ISNUMBER(Tabelle1!N37),Tabelle1!N37/'SF Workings'!AP36,"")</f>
        <v>121.998604581635</v>
      </c>
      <c r="M36" s="23" t="n">
        <f aca="false">IF(ISNUMBER(Tabelle1!O37),Tabelle1!O37/'SF Workings'!AT36,"")</f>
        <v>112.739835523988</v>
      </c>
      <c r="N36" s="23" t="n">
        <f aca="false">IF(ISNUMBER(Tabelle1!P37),Tabelle1!P37/'SF Workings'!AX36,"")</f>
        <v>108.768537078418</v>
      </c>
      <c r="O36" s="23" t="n">
        <f aca="false">IF(ISNUMBER(Tabelle1!Q37),Tabelle1!Q37/'SF Workings'!BB36,"")</f>
        <v>110.832051773404</v>
      </c>
      <c r="P36" s="23" t="n">
        <f aca="false">IF(ISNUMBER(Tabelle1!R37),Tabelle1!R37/'SF Workings'!BF36,"")</f>
        <v>111.782254181293</v>
      </c>
      <c r="Q36" s="23" t="n">
        <f aca="false">IF(ISNUMBER(Tabelle1!S37),Tabelle1!S37/'SF Workings'!BJ36,"")</f>
        <v>118.273529147626</v>
      </c>
      <c r="R36" s="23" t="n">
        <f aca="false">IFERROR(C36*'Weights &amp; Assumptions'!$F$6+D36*'Weights &amp; Assumptions'!$F$7,"")</f>
        <v>115.373322549511</v>
      </c>
      <c r="S36" s="23" t="n">
        <f aca="false">IFERROR(E36*'Weights &amp; Assumptions'!$F$8+F36*'Weights &amp; Assumptions'!$F$9+H36*'Weights &amp; Assumptions'!$F$11,"")</f>
        <v>117.844107334122</v>
      </c>
      <c r="T36" s="23" t="n">
        <f aca="false">IFERROR(G36*'Weights &amp; Assumptions'!$F$10+I36*'Weights &amp; Assumptions'!$F$12+J36*'Weights &amp; Assumptions'!$F$13+K36*'Weights &amp; Assumptions'!$F$14+L36*'Weights &amp; Assumptions'!$F$15+M36*'Weights &amp; Assumptions'!$F$16+N36*'Weights &amp; Assumptions'!$F$17+O36*'Weights &amp; Assumptions'!$F$18+P36*'Weights &amp; Assumptions'!$F$19+Q36*'Weights &amp; Assumptions'!$F$20,"")</f>
        <v>117.835647390043</v>
      </c>
      <c r="U36" s="23" t="n">
        <f aca="false">IFERROR(R36*'Weights &amp; Assumptions'!$B$25/'Weights &amp; Assumptions'!$B$28+S36*'Weights &amp; Assumptions'!$B$26/'Weights &amp; Assumptions'!$B$28+T36*'Weights &amp; Assumptions'!$B$27/'Weights &amp; Assumptions'!$B$28,"")</f>
        <v>117.63130593369</v>
      </c>
      <c r="V36" s="30" t="n">
        <f aca="false">IF(ISNUMBER(Tabelle1!E37),Tabelle1!E37*'Weights &amp; Assumptions'!$F$6+Tabelle1!F37*'Weights &amp; Assumptions'!$F$7,"")</f>
        <v>188.599361962432</v>
      </c>
      <c r="W36" s="30" t="n">
        <f aca="false">IF(ISNUMBER(Tabelle1!G37),Tabelle1!G37*'Weights &amp; Assumptions'!$F$8+Tabelle1!H37*'Weights &amp; Assumptions'!$F$9+Tabelle1!J37*'Weights &amp; Assumptions'!$F$11,"")</f>
        <v>117.173631628585</v>
      </c>
      <c r="X36" s="30" t="n">
        <f aca="false">IF(ISNUMBER(Tabelle1!I37),Tabelle1!I37*'Weights &amp; Assumptions'!$F$10+Tabelle1!K37*'Weights &amp; Assumptions'!$F$12+Tabelle1!L37*'Weights &amp; Assumptions'!$F$13+Tabelle1!M37*'Weights &amp; Assumptions'!$F$14+Tabelle1!N37*'Weights &amp; Assumptions'!$F$15+Tabelle1!O37*'Weights &amp; Assumptions'!$F$16+Tabelle1!P37*'Weights &amp; Assumptions'!$F$17+Tabelle1!Q37*'Weights &amp; Assumptions'!$F$18+Tabelle1!R37*'Weights &amp; Assumptions'!$F$19+Tabelle1!S37*'Weights &amp; Assumptions'!$F$20,"")</f>
        <v>119.744419868314</v>
      </c>
      <c r="Y36" s="23" t="n">
        <f aca="false">IFERROR(V36*'Weights &amp; Assumptions'!$B$25/'Weights &amp; Assumptions'!$B$28+W36*'Weights &amp; Assumptions'!$B$26/'Weights &amp; Assumptions'!$B$28+X36*'Weights &amp; Assumptions'!$B$27/'Weights &amp; Assumptions'!$B$28,"")</f>
        <v>124.837789311081</v>
      </c>
    </row>
    <row r="37" customFormat="false" ht="15" hidden="false" customHeight="false" outlineLevel="0" collapsed="false">
      <c r="A37" s="20" t="n">
        <v>38929</v>
      </c>
      <c r="B37" s="30" t="n">
        <f aca="false">IF(ISNUMBER(Tabelle1!D38),Tabelle1!D38,"")</f>
        <v>118.14538</v>
      </c>
      <c r="C37" s="23" t="n">
        <f aca="false">IF(ISNUMBER(Tabelle1!E38),Tabelle1!E38/'SF Workings'!F37,"")</f>
        <v>117.421760847726</v>
      </c>
      <c r="D37" s="23" t="n">
        <f aca="false">IF(ISNUMBER(Tabelle1!F38),Tabelle1!F38/'SF Workings'!J37,"")</f>
        <v>142.773707235292</v>
      </c>
      <c r="E37" s="23" t="n">
        <f aca="false">IF(ISNUMBER(Tabelle1!G38),Tabelle1!G38/'SF Workings'!N37,"")</f>
        <v>106.988494341957</v>
      </c>
      <c r="F37" s="23" t="n">
        <f aca="false">IF(ISNUMBER(Tabelle1!H38),Tabelle1!H38/'SF Workings'!R37,"")</f>
        <v>117.581178528161</v>
      </c>
      <c r="G37" s="23" t="n">
        <f aca="false">IF(ISNUMBER(Tabelle1!I38),Tabelle1!I38/'SF Workings'!V37,"")</f>
        <v>112.407337338411</v>
      </c>
      <c r="H37" s="23" t="n">
        <f aca="false">IF(ISNUMBER(Tabelle1!J38),Tabelle1!J38/'SF Workings'!Z37,"")</f>
        <v>125.260984308968</v>
      </c>
      <c r="I37" s="23" t="n">
        <f aca="false">IF(ISNUMBER(Tabelle1!K38),Tabelle1!K38/'SF Workings'!AD37,"")</f>
        <v>120.242668115804</v>
      </c>
      <c r="J37" s="23" t="n">
        <f aca="false">IF(ISNUMBER(Tabelle1!L38),Tabelle1!L38/'SF Workings'!AH37,"")</f>
        <v>127.163707782632</v>
      </c>
      <c r="K37" s="23" t="n">
        <f aca="false">IF(ISNUMBER(Tabelle1!M38),Tabelle1!M38/'SF Workings'!AL37,"")</f>
        <v>129.074666841101</v>
      </c>
      <c r="L37" s="23" t="n">
        <f aca="false">IF(ISNUMBER(Tabelle1!N38),Tabelle1!N38/'SF Workings'!AP37,"")</f>
        <v>125.023065297107</v>
      </c>
      <c r="M37" s="23" t="n">
        <f aca="false">IF(ISNUMBER(Tabelle1!O38),Tabelle1!O38/'SF Workings'!AT37,"")</f>
        <v>113.542096806787</v>
      </c>
      <c r="N37" s="23" t="n">
        <f aca="false">IF(ISNUMBER(Tabelle1!P38),Tabelle1!P38/'SF Workings'!AX37,"")</f>
        <v>108.881469403649</v>
      </c>
      <c r="O37" s="23" t="n">
        <f aca="false">IF(ISNUMBER(Tabelle1!Q38),Tabelle1!Q38/'SF Workings'!BB37,"")</f>
        <v>110.259160267061</v>
      </c>
      <c r="P37" s="23" t="n">
        <f aca="false">IF(ISNUMBER(Tabelle1!R38),Tabelle1!R38/'SF Workings'!BF37,"")</f>
        <v>111.732287308341</v>
      </c>
      <c r="Q37" s="23" t="n">
        <f aca="false">IF(ISNUMBER(Tabelle1!S38),Tabelle1!S38/'SF Workings'!BJ37,"")</f>
        <v>123.130011113628</v>
      </c>
      <c r="R37" s="23" t="n">
        <f aca="false">IFERROR(C37*'Weights &amp; Assumptions'!$F$6+D37*'Weights &amp; Assumptions'!$F$7,"")</f>
        <v>117.732386476579</v>
      </c>
      <c r="S37" s="23" t="n">
        <f aca="false">IFERROR(E37*'Weights &amp; Assumptions'!$F$8+F37*'Weights &amp; Assumptions'!$F$9+H37*'Weights &amp; Assumptions'!$F$11,"")</f>
        <v>117.916321233534</v>
      </c>
      <c r="T37" s="23" t="n">
        <f aca="false">IFERROR(G37*'Weights &amp; Assumptions'!$F$10+I37*'Weights &amp; Assumptions'!$F$12+J37*'Weights &amp; Assumptions'!$F$13+K37*'Weights &amp; Assumptions'!$F$14+L37*'Weights &amp; Assumptions'!$F$15+M37*'Weights &amp; Assumptions'!$F$16+N37*'Weights &amp; Assumptions'!$F$17+O37*'Weights &amp; Assumptions'!$F$18+P37*'Weights &amp; Assumptions'!$F$19+Q37*'Weights &amp; Assumptions'!$F$20,"")</f>
        <v>118.359743127262</v>
      </c>
      <c r="U37" s="23" t="n">
        <f aca="false">IFERROR(R37*'Weights &amp; Assumptions'!$B$25/'Weights &amp; Assumptions'!$B$28+S37*'Weights &amp; Assumptions'!$B$26/'Weights &amp; Assumptions'!$B$28+T37*'Weights &amp; Assumptions'!$B$27/'Weights &amp; Assumptions'!$B$28,"")</f>
        <v>118.189193754875</v>
      </c>
      <c r="V37" s="30" t="n">
        <f aca="false">IF(ISNUMBER(Tabelle1!E38),Tabelle1!E38*'Weights &amp; Assumptions'!$F$6+Tabelle1!F38*'Weights &amp; Assumptions'!$F$7,"")</f>
        <v>104.411987731016</v>
      </c>
      <c r="W37" s="30" t="n">
        <f aca="false">IF(ISNUMBER(Tabelle1!G38),Tabelle1!G38*'Weights &amp; Assumptions'!$F$8+Tabelle1!H38*'Weights &amp; Assumptions'!$F$9+Tabelle1!J38*'Weights &amp; Assumptions'!$F$11,"")</f>
        <v>119.954815029972</v>
      </c>
      <c r="X37" s="30" t="n">
        <f aca="false">IF(ISNUMBER(Tabelle1!I38),Tabelle1!I38*'Weights &amp; Assumptions'!$F$10+Tabelle1!K38*'Weights &amp; Assumptions'!$F$12+Tabelle1!L38*'Weights &amp; Assumptions'!$F$13+Tabelle1!M38*'Weights &amp; Assumptions'!$F$14+Tabelle1!N38*'Weights &amp; Assumptions'!$F$15+Tabelle1!O38*'Weights &amp; Assumptions'!$F$16+Tabelle1!P38*'Weights &amp; Assumptions'!$F$17+Tabelle1!Q38*'Weights &amp; Assumptions'!$F$18+Tabelle1!R38*'Weights &amp; Assumptions'!$F$19+Tabelle1!S38*'Weights &amp; Assumptions'!$F$20,"")</f>
        <v>119.714388088507</v>
      </c>
      <c r="Y37" s="23" t="n">
        <f aca="false">IFERROR(V37*'Weights &amp; Assumptions'!$B$25/'Weights &amp; Assumptions'!$B$28+W37*'Weights &amp; Assumptions'!$B$26/'Weights &amp; Assumptions'!$B$28+X37*'Weights &amp; Assumptions'!$B$27/'Weights &amp; Assumptions'!$B$28,"")</f>
        <v>118.494437687435</v>
      </c>
    </row>
    <row r="38" customFormat="false" ht="15" hidden="false" customHeight="false" outlineLevel="0" collapsed="false">
      <c r="A38" s="20" t="n">
        <v>38960</v>
      </c>
      <c r="B38" s="30" t="n">
        <f aca="false">IF(ISNUMBER(Tabelle1!D39),Tabelle1!D39,"")</f>
        <v>118.75377</v>
      </c>
      <c r="C38" s="23" t="n">
        <f aca="false">IF(ISNUMBER(Tabelle1!E39),Tabelle1!E39/'SF Workings'!F38,"")</f>
        <v>121.577331839701</v>
      </c>
      <c r="D38" s="23" t="n">
        <f aca="false">IF(ISNUMBER(Tabelle1!F39),Tabelle1!F39/'SF Workings'!J38,"")</f>
        <v>150.979039741772</v>
      </c>
      <c r="E38" s="23" t="n">
        <f aca="false">IF(ISNUMBER(Tabelle1!G39),Tabelle1!G39/'SF Workings'!N38,"")</f>
        <v>106.074294017904</v>
      </c>
      <c r="F38" s="23" t="n">
        <f aca="false">IF(ISNUMBER(Tabelle1!H39),Tabelle1!H39/'SF Workings'!R38,"")</f>
        <v>117.920642049979</v>
      </c>
      <c r="G38" s="23" t="n">
        <f aca="false">IF(ISNUMBER(Tabelle1!I39),Tabelle1!I39/'SF Workings'!V38,"")</f>
        <v>115.41095275388</v>
      </c>
      <c r="H38" s="23" t="n">
        <f aca="false">IF(ISNUMBER(Tabelle1!J39),Tabelle1!J39/'SF Workings'!Z38,"")</f>
        <v>125.805962686294</v>
      </c>
      <c r="I38" s="23" t="n">
        <f aca="false">IF(ISNUMBER(Tabelle1!K39),Tabelle1!K39/'SF Workings'!AD38,"")</f>
        <v>124.227830230528</v>
      </c>
      <c r="J38" s="23" t="n">
        <f aca="false">IF(ISNUMBER(Tabelle1!L39),Tabelle1!L39/'SF Workings'!AH38,"")</f>
        <v>128.595710066896</v>
      </c>
      <c r="K38" s="23" t="n">
        <f aca="false">IF(ISNUMBER(Tabelle1!M39),Tabelle1!M39/'SF Workings'!AL38,"")</f>
        <v>131.888798832395</v>
      </c>
      <c r="L38" s="23" t="n">
        <f aca="false">IF(ISNUMBER(Tabelle1!N39),Tabelle1!N39/'SF Workings'!AP38,"")</f>
        <v>125.915641718641</v>
      </c>
      <c r="M38" s="23" t="n">
        <f aca="false">IF(ISNUMBER(Tabelle1!O39),Tabelle1!O39/'SF Workings'!AT38,"")</f>
        <v>112.916035344078</v>
      </c>
      <c r="N38" s="23" t="n">
        <f aca="false">IF(ISNUMBER(Tabelle1!P39),Tabelle1!P39/'SF Workings'!AX38,"")</f>
        <v>109.700975638921</v>
      </c>
      <c r="O38" s="23" t="n">
        <f aca="false">IF(ISNUMBER(Tabelle1!Q39),Tabelle1!Q39/'SF Workings'!BB38,"")</f>
        <v>110.942708692191</v>
      </c>
      <c r="P38" s="23" t="n">
        <f aca="false">IF(ISNUMBER(Tabelle1!R39),Tabelle1!R39/'SF Workings'!BF38,"")</f>
        <v>114.676024744837</v>
      </c>
      <c r="Q38" s="23" t="n">
        <f aca="false">IF(ISNUMBER(Tabelle1!S39),Tabelle1!S39/'SF Workings'!BJ38,"")</f>
        <v>122.665723400384</v>
      </c>
      <c r="R38" s="23" t="n">
        <f aca="false">IFERROR(C38*'Weights &amp; Assumptions'!$F$6+D38*'Weights &amp; Assumptions'!$F$7,"")</f>
        <v>121.937577316195</v>
      </c>
      <c r="S38" s="23" t="n">
        <f aca="false">IFERROR(E38*'Weights &amp; Assumptions'!$F$8+F38*'Weights &amp; Assumptions'!$F$9+H38*'Weights &amp; Assumptions'!$F$11,"")</f>
        <v>118.148913762581</v>
      </c>
      <c r="T38" s="23" t="n">
        <f aca="false">IFERROR(G38*'Weights &amp; Assumptions'!$F$10+I38*'Weights &amp; Assumptions'!$F$12+J38*'Weights &amp; Assumptions'!$F$13+K38*'Weights &amp; Assumptions'!$F$14+L38*'Weights &amp; Assumptions'!$F$15+M38*'Weights &amp; Assumptions'!$F$16+N38*'Weights &amp; Assumptions'!$F$17+O38*'Weights &amp; Assumptions'!$F$18+P38*'Weights &amp; Assumptions'!$F$19+Q38*'Weights &amp; Assumptions'!$F$20,"")</f>
        <v>119.989249609056</v>
      </c>
      <c r="U38" s="23" t="n">
        <f aca="false">IFERROR(R38*'Weights &amp; Assumptions'!$B$25/'Weights &amp; Assumptions'!$B$28+S38*'Weights &amp; Assumptions'!$B$26/'Weights &amp; Assumptions'!$B$28+T38*'Weights &amp; Assumptions'!$B$27/'Weights &amp; Assumptions'!$B$28,"")</f>
        <v>119.663338476212</v>
      </c>
      <c r="V38" s="30" t="n">
        <f aca="false">IF(ISNUMBER(Tabelle1!E39),Tabelle1!E39*'Weights &amp; Assumptions'!$F$6+Tabelle1!F39*'Weights &amp; Assumptions'!$F$7,"")</f>
        <v>72.3717309196553</v>
      </c>
      <c r="W38" s="30" t="n">
        <f aca="false">IF(ISNUMBER(Tabelle1!G39),Tabelle1!G39*'Weights &amp; Assumptions'!$F$8+Tabelle1!H39*'Weights &amp; Assumptions'!$F$9+Tabelle1!J39*'Weights &amp; Assumptions'!$F$11,"")</f>
        <v>120.708913026158</v>
      </c>
      <c r="X38" s="30" t="n">
        <f aca="false">IF(ISNUMBER(Tabelle1!I39),Tabelle1!I39*'Weights &amp; Assumptions'!$F$10+Tabelle1!K39*'Weights &amp; Assumptions'!$F$12+Tabelle1!L39*'Weights &amp; Assumptions'!$F$13+Tabelle1!M39*'Weights &amp; Assumptions'!$F$14+Tabelle1!N39*'Weights &amp; Assumptions'!$F$15+Tabelle1!O39*'Weights &amp; Assumptions'!$F$16+Tabelle1!P39*'Weights &amp; Assumptions'!$F$17+Tabelle1!Q39*'Weights &amp; Assumptions'!$F$18+Tabelle1!R39*'Weights &amp; Assumptions'!$F$19+Tabelle1!S39*'Weights &amp; Assumptions'!$F$20,"")</f>
        <v>120.855116024535</v>
      </c>
      <c r="Y38" s="23" t="n">
        <f aca="false">IFERROR(V38*'Weights &amp; Assumptions'!$B$25/'Weights &amp; Assumptions'!$B$28+W38*'Weights &amp; Assumptions'!$B$26/'Weights &amp; Assumptions'!$B$28+X38*'Weights &amp; Assumptions'!$B$27/'Weights &amp; Assumptions'!$B$28,"")</f>
        <v>116.748441735277</v>
      </c>
    </row>
    <row r="39" customFormat="false" ht="15" hidden="false" customHeight="false" outlineLevel="0" collapsed="false">
      <c r="A39" s="20" t="n">
        <v>38990</v>
      </c>
      <c r="B39" s="30" t="n">
        <f aca="false">IF(ISNUMBER(Tabelle1!D40),Tabelle1!D40,"")</f>
        <v>119.80935</v>
      </c>
      <c r="C39" s="23" t="n">
        <f aca="false">IF(ISNUMBER(Tabelle1!E40),Tabelle1!E40/'SF Workings'!F39,"")</f>
        <v>121.575412364195</v>
      </c>
      <c r="D39" s="23" t="n">
        <f aca="false">IF(ISNUMBER(Tabelle1!F40),Tabelle1!F40/'SF Workings'!J39,"")</f>
        <v>120.100214271211</v>
      </c>
      <c r="E39" s="23" t="n">
        <f aca="false">IF(ISNUMBER(Tabelle1!G40),Tabelle1!G40/'SF Workings'!N39,"")</f>
        <v>106.90815232495</v>
      </c>
      <c r="F39" s="23" t="n">
        <f aca="false">IF(ISNUMBER(Tabelle1!H40),Tabelle1!H40/'SF Workings'!R39,"")</f>
        <v>116.119976105759</v>
      </c>
      <c r="G39" s="23" t="n">
        <f aca="false">IF(ISNUMBER(Tabelle1!I40),Tabelle1!I40/'SF Workings'!V39,"")</f>
        <v>113.036791508009</v>
      </c>
      <c r="H39" s="23" t="n">
        <f aca="false">IF(ISNUMBER(Tabelle1!J40),Tabelle1!J40/'SF Workings'!Z39,"")</f>
        <v>127.607405931193</v>
      </c>
      <c r="I39" s="23" t="n">
        <f aca="false">IF(ISNUMBER(Tabelle1!K40),Tabelle1!K40/'SF Workings'!AD39,"")</f>
        <v>121.610230592916</v>
      </c>
      <c r="J39" s="23" t="n">
        <f aca="false">IF(ISNUMBER(Tabelle1!L40),Tabelle1!L40/'SF Workings'!AH39,"")</f>
        <v>127.430064952729</v>
      </c>
      <c r="K39" s="23" t="n">
        <f aca="false">IF(ISNUMBER(Tabelle1!M40),Tabelle1!M40/'SF Workings'!AL39,"")</f>
        <v>132.924377776215</v>
      </c>
      <c r="L39" s="23" t="n">
        <f aca="false">IF(ISNUMBER(Tabelle1!N40),Tabelle1!N40/'SF Workings'!AP39,"")</f>
        <v>126.894314104452</v>
      </c>
      <c r="M39" s="23" t="n">
        <f aca="false">IF(ISNUMBER(Tabelle1!O40),Tabelle1!O40/'SF Workings'!AT39,"")</f>
        <v>113.146238082193</v>
      </c>
      <c r="N39" s="23" t="n">
        <f aca="false">IF(ISNUMBER(Tabelle1!P40),Tabelle1!P40/'SF Workings'!AX39,"")</f>
        <v>110.526485774875</v>
      </c>
      <c r="O39" s="23" t="n">
        <f aca="false">IF(ISNUMBER(Tabelle1!Q40),Tabelle1!Q40/'SF Workings'!BB39,"")</f>
        <v>112.072226063127</v>
      </c>
      <c r="P39" s="23" t="n">
        <f aca="false">IF(ISNUMBER(Tabelle1!R40),Tabelle1!R40/'SF Workings'!BF39,"")</f>
        <v>114.327620029285</v>
      </c>
      <c r="Q39" s="23" t="n">
        <f aca="false">IF(ISNUMBER(Tabelle1!S40),Tabelle1!S40/'SF Workings'!BJ39,"")</f>
        <v>121.587569182684</v>
      </c>
      <c r="R39" s="23" t="n">
        <f aca="false">IFERROR(C39*'Weights &amp; Assumptions'!$F$6+D39*'Weights &amp; Assumptions'!$F$7,"")</f>
        <v>121.557337446857</v>
      </c>
      <c r="S39" s="23" t="n">
        <f aca="false">IFERROR(E39*'Weights &amp; Assumptions'!$F$8+F39*'Weights &amp; Assumptions'!$F$9+H39*'Weights &amp; Assumptions'!$F$11,"")</f>
        <v>117.413208399168</v>
      </c>
      <c r="T39" s="23" t="n">
        <f aca="false">IFERROR(G39*'Weights &amp; Assumptions'!$F$10+I39*'Weights &amp; Assumptions'!$F$12+J39*'Weights &amp; Assumptions'!$F$13+K39*'Weights &amp; Assumptions'!$F$14+L39*'Weights &amp; Assumptions'!$F$15+M39*'Weights &amp; Assumptions'!$F$16+N39*'Weights &amp; Assumptions'!$F$17+O39*'Weights &amp; Assumptions'!$F$18+P39*'Weights &amp; Assumptions'!$F$19+Q39*'Weights &amp; Assumptions'!$F$20,"")</f>
        <v>119.683847703742</v>
      </c>
      <c r="U39" s="23" t="n">
        <f aca="false">IFERROR(R39*'Weights &amp; Assumptions'!$B$25/'Weights &amp; Assumptions'!$B$28+S39*'Weights &amp; Assumptions'!$B$26/'Weights &amp; Assumptions'!$B$28+T39*'Weights &amp; Assumptions'!$B$27/'Weights &amp; Assumptions'!$B$28,"")</f>
        <v>119.237232397316</v>
      </c>
      <c r="V39" s="30" t="n">
        <f aca="false">IF(ISNUMBER(Tabelle1!E40),Tabelle1!E40*'Weights &amp; Assumptions'!$F$6+Tabelle1!F40*'Weights &amp; Assumptions'!$F$7,"")</f>
        <v>67.3621807639957</v>
      </c>
      <c r="W39" s="30" t="n">
        <f aca="false">IF(ISNUMBER(Tabelle1!G40),Tabelle1!G40*'Weights &amp; Assumptions'!$F$8+Tabelle1!H40*'Weights &amp; Assumptions'!$F$9+Tabelle1!J40*'Weights &amp; Assumptions'!$F$11,"")</f>
        <v>120.729213665528</v>
      </c>
      <c r="X39" s="30" t="n">
        <f aca="false">IF(ISNUMBER(Tabelle1!I40),Tabelle1!I40*'Weights &amp; Assumptions'!$F$10+Tabelle1!K40*'Weights &amp; Assumptions'!$F$12+Tabelle1!L40*'Weights &amp; Assumptions'!$F$13+Tabelle1!M40*'Weights &amp; Assumptions'!$F$14+Tabelle1!N40*'Weights &amp; Assumptions'!$F$15+Tabelle1!O40*'Weights &amp; Assumptions'!$F$16+Tabelle1!P40*'Weights &amp; Assumptions'!$F$17+Tabelle1!Q40*'Weights &amp; Assumptions'!$F$18+Tabelle1!R40*'Weights &amp; Assumptions'!$F$19+Tabelle1!S40*'Weights &amp; Assumptions'!$F$20,"")</f>
        <v>119.815883196808</v>
      </c>
      <c r="Y39" s="23" t="n">
        <f aca="false">IFERROR(V39*'Weights &amp; Assumptions'!$B$25/'Weights &amp; Assumptions'!$B$28+W39*'Weights &amp; Assumptions'!$B$26/'Weights &amp; Assumptions'!$B$28+X39*'Weights &amp; Assumptions'!$B$27/'Weights &amp; Assumptions'!$B$28,"")</f>
        <v>115.657844436651</v>
      </c>
    </row>
    <row r="40" customFormat="false" ht="15" hidden="false" customHeight="false" outlineLevel="0" collapsed="false">
      <c r="A40" s="20" t="n">
        <v>39021</v>
      </c>
      <c r="B40" s="30" t="n">
        <f aca="false">IF(ISNUMBER(Tabelle1!D41),Tabelle1!D41,"")</f>
        <v>120.53007</v>
      </c>
      <c r="C40" s="23" t="n">
        <f aca="false">IF(ISNUMBER(Tabelle1!E41),Tabelle1!E41/'SF Workings'!F40,"")</f>
        <v>114.504747221481</v>
      </c>
      <c r="D40" s="23" t="n">
        <f aca="false">IF(ISNUMBER(Tabelle1!F41),Tabelle1!F41/'SF Workings'!J40,"")</f>
        <v>141.424469015436</v>
      </c>
      <c r="E40" s="23" t="n">
        <f aca="false">IF(ISNUMBER(Tabelle1!G41),Tabelle1!G41/'SF Workings'!N40,"")</f>
        <v>107.694504143633</v>
      </c>
      <c r="F40" s="23" t="n">
        <f aca="false">IF(ISNUMBER(Tabelle1!H41),Tabelle1!H41/'SF Workings'!R40,"")</f>
        <v>117.009038490334</v>
      </c>
      <c r="G40" s="23" t="n">
        <f aca="false">IF(ISNUMBER(Tabelle1!I41),Tabelle1!I41/'SF Workings'!V40,"")</f>
        <v>118.380692752251</v>
      </c>
      <c r="H40" s="23" t="n">
        <f aca="false">IF(ISNUMBER(Tabelle1!J41),Tabelle1!J41/'SF Workings'!Z40,"")</f>
        <v>130.501390009735</v>
      </c>
      <c r="I40" s="23" t="n">
        <f aca="false">IF(ISNUMBER(Tabelle1!K41),Tabelle1!K41/'SF Workings'!AD40,"")</f>
        <v>122.909159705537</v>
      </c>
      <c r="J40" s="23" t="n">
        <f aca="false">IF(ISNUMBER(Tabelle1!L41),Tabelle1!L41/'SF Workings'!AH40,"")</f>
        <v>127.29053509543</v>
      </c>
      <c r="K40" s="23" t="n">
        <f aca="false">IF(ISNUMBER(Tabelle1!M41),Tabelle1!M41/'SF Workings'!AL40,"")</f>
        <v>133.666327114667</v>
      </c>
      <c r="L40" s="23" t="n">
        <f aca="false">IF(ISNUMBER(Tabelle1!N41),Tabelle1!N41/'SF Workings'!AP40,"")</f>
        <v>130.430197590731</v>
      </c>
      <c r="M40" s="23" t="n">
        <f aca="false">IF(ISNUMBER(Tabelle1!O41),Tabelle1!O41/'SF Workings'!AT40,"")</f>
        <v>114.742563832408</v>
      </c>
      <c r="N40" s="23" t="n">
        <f aca="false">IF(ISNUMBER(Tabelle1!P41),Tabelle1!P41/'SF Workings'!AX40,"")</f>
        <v>110.458937873792</v>
      </c>
      <c r="O40" s="23" t="n">
        <f aca="false">IF(ISNUMBER(Tabelle1!Q41),Tabelle1!Q41/'SF Workings'!BB40,"")</f>
        <v>112.564581613836</v>
      </c>
      <c r="P40" s="23" t="n">
        <f aca="false">IF(ISNUMBER(Tabelle1!R41),Tabelle1!R41/'SF Workings'!BF40,"")</f>
        <v>115.067773424474</v>
      </c>
      <c r="Q40" s="23" t="n">
        <f aca="false">IF(ISNUMBER(Tabelle1!S41),Tabelle1!S41/'SF Workings'!BJ40,"")</f>
        <v>122.736300343214</v>
      </c>
      <c r="R40" s="23" t="n">
        <f aca="false">IFERROR(C40*'Weights &amp; Assumptions'!$F$6+D40*'Weights &amp; Assumptions'!$F$7,"")</f>
        <v>114.834582074512</v>
      </c>
      <c r="S40" s="23" t="n">
        <f aca="false">IFERROR(E40*'Weights &amp; Assumptions'!$F$8+F40*'Weights &amp; Assumptions'!$F$9+H40*'Weights &amp; Assumptions'!$F$11,"")</f>
        <v>118.707679919694</v>
      </c>
      <c r="T40" s="23" t="n">
        <f aca="false">IFERROR(G40*'Weights &amp; Assumptions'!$F$10+I40*'Weights &amp; Assumptions'!$F$12+J40*'Weights &amp; Assumptions'!$F$13+K40*'Weights &amp; Assumptions'!$F$14+L40*'Weights &amp; Assumptions'!$F$15+M40*'Weights &amp; Assumptions'!$F$16+N40*'Weights &amp; Assumptions'!$F$17+O40*'Weights &amp; Assumptions'!$F$18+P40*'Weights &amp; Assumptions'!$F$19+Q40*'Weights &amp; Assumptions'!$F$20,"")</f>
        <v>120.943250466765</v>
      </c>
      <c r="U40" s="23" t="n">
        <f aca="false">IFERROR(R40*'Weights &amp; Assumptions'!$B$25/'Weights &amp; Assumptions'!$B$28+S40*'Weights &amp; Assumptions'!$B$26/'Weights &amp; Assumptions'!$B$28+T40*'Weights &amp; Assumptions'!$B$27/'Weights &amp; Assumptions'!$B$28,"")</f>
        <v>119.83625084525</v>
      </c>
      <c r="V40" s="30" t="n">
        <f aca="false">IF(ISNUMBER(Tabelle1!E41),Tabelle1!E41*'Weights &amp; Assumptions'!$F$6+Tabelle1!F41*'Weights &amp; Assumptions'!$F$7,"")</f>
        <v>63.5286790214658</v>
      </c>
      <c r="W40" s="30" t="n">
        <f aca="false">IF(ISNUMBER(Tabelle1!G41),Tabelle1!G41*'Weights &amp; Assumptions'!$F$8+Tabelle1!H41*'Weights &amp; Assumptions'!$F$9+Tabelle1!J41*'Weights &amp; Assumptions'!$F$11,"")</f>
        <v>123.169720635158</v>
      </c>
      <c r="X40" s="30" t="n">
        <f aca="false">IF(ISNUMBER(Tabelle1!I41),Tabelle1!I41*'Weights &amp; Assumptions'!$F$10+Tabelle1!K41*'Weights &amp; Assumptions'!$F$12+Tabelle1!L41*'Weights &amp; Assumptions'!$F$13+Tabelle1!M41*'Weights &amp; Assumptions'!$F$14+Tabelle1!N41*'Weights &amp; Assumptions'!$F$15+Tabelle1!O41*'Weights &amp; Assumptions'!$F$16+Tabelle1!P41*'Weights &amp; Assumptions'!$F$17+Tabelle1!Q41*'Weights &amp; Assumptions'!$F$18+Tabelle1!R41*'Weights &amp; Assumptions'!$F$19+Tabelle1!S41*'Weights &amp; Assumptions'!$F$20,"")</f>
        <v>120.757681255185</v>
      </c>
      <c r="Y40" s="23" t="n">
        <f aca="false">IFERROR(V40*'Weights &amp; Assumptions'!$B$25/'Weights &amp; Assumptions'!$B$28+W40*'Weights &amp; Assumptions'!$B$26/'Weights &amp; Assumptions'!$B$28+X40*'Weights &amp; Assumptions'!$B$27/'Weights &amp; Assumptions'!$B$28,"")</f>
        <v>116.597523746933</v>
      </c>
    </row>
    <row r="41" customFormat="false" ht="15" hidden="false" customHeight="false" outlineLevel="0" collapsed="false">
      <c r="A41" s="20" t="n">
        <v>39051</v>
      </c>
      <c r="B41" s="30" t="n">
        <f aca="false">IF(ISNUMBER(Tabelle1!D42),Tabelle1!D42,"")</f>
        <v>120.65319</v>
      </c>
      <c r="C41" s="23" t="n">
        <f aca="false">IF(ISNUMBER(Tabelle1!E42),Tabelle1!E42/'SF Workings'!F41,"")</f>
        <v>117.249620722744</v>
      </c>
      <c r="D41" s="23" t="n">
        <f aca="false">IF(ISNUMBER(Tabelle1!F42),Tabelle1!F42/'SF Workings'!J41,"")</f>
        <v>107.621800947191</v>
      </c>
      <c r="E41" s="23" t="n">
        <f aca="false">IF(ISNUMBER(Tabelle1!G42),Tabelle1!G42/'SF Workings'!N41,"")</f>
        <v>100.929095847898</v>
      </c>
      <c r="F41" s="23" t="n">
        <f aca="false">IF(ISNUMBER(Tabelle1!H42),Tabelle1!H42/'SF Workings'!R41,"")</f>
        <v>119.920463262272</v>
      </c>
      <c r="G41" s="23" t="n">
        <f aca="false">IF(ISNUMBER(Tabelle1!I42),Tabelle1!I42/'SF Workings'!V41,"")</f>
        <v>115.774788778559</v>
      </c>
      <c r="H41" s="23" t="n">
        <f aca="false">IF(ISNUMBER(Tabelle1!J42),Tabelle1!J42/'SF Workings'!Z41,"")</f>
        <v>132.402378689886</v>
      </c>
      <c r="I41" s="23" t="n">
        <f aca="false">IF(ISNUMBER(Tabelle1!K42),Tabelle1!K42/'SF Workings'!AD41,"")</f>
        <v>127.522343032648</v>
      </c>
      <c r="J41" s="23" t="n">
        <f aca="false">IF(ISNUMBER(Tabelle1!L42),Tabelle1!L42/'SF Workings'!AH41,"")</f>
        <v>128.319027200214</v>
      </c>
      <c r="K41" s="23" t="n">
        <f aca="false">IF(ISNUMBER(Tabelle1!M42),Tabelle1!M42/'SF Workings'!AL41,"")</f>
        <v>136.306569971426</v>
      </c>
      <c r="L41" s="23" t="n">
        <f aca="false">IF(ISNUMBER(Tabelle1!N42),Tabelle1!N42/'SF Workings'!AP41,"")</f>
        <v>132.438083304082</v>
      </c>
      <c r="M41" s="23" t="n">
        <f aca="false">IF(ISNUMBER(Tabelle1!O42),Tabelle1!O42/'SF Workings'!AT41,"")</f>
        <v>115.186004012728</v>
      </c>
      <c r="N41" s="23" t="n">
        <f aca="false">IF(ISNUMBER(Tabelle1!P42),Tabelle1!P42/'SF Workings'!AX41,"")</f>
        <v>110.178530554206</v>
      </c>
      <c r="O41" s="23" t="n">
        <f aca="false">IF(ISNUMBER(Tabelle1!Q42),Tabelle1!Q42/'SF Workings'!BB41,"")</f>
        <v>112.43443699676</v>
      </c>
      <c r="P41" s="23" t="n">
        <f aca="false">IF(ISNUMBER(Tabelle1!R42),Tabelle1!R42/'SF Workings'!BF41,"")</f>
        <v>115.171208333387</v>
      </c>
      <c r="Q41" s="23" t="n">
        <f aca="false">IF(ISNUMBER(Tabelle1!S42),Tabelle1!S42/'SF Workings'!BJ41,"")</f>
        <v>124.719441997008</v>
      </c>
      <c r="R41" s="23" t="n">
        <f aca="false">IFERROR(C41*'Weights &amp; Assumptions'!$F$6+D41*'Weights &amp; Assumptions'!$F$7,"")</f>
        <v>117.131655516974</v>
      </c>
      <c r="S41" s="23" t="n">
        <f aca="false">IFERROR(E41*'Weights &amp; Assumptions'!$F$8+F41*'Weights &amp; Assumptions'!$F$9+H41*'Weights &amp; Assumptions'!$F$11,"")</f>
        <v>120.253215289353</v>
      </c>
      <c r="T41" s="23" t="n">
        <f aca="false">IFERROR(G41*'Weights &amp; Assumptions'!$F$10+I41*'Weights &amp; Assumptions'!$F$12+J41*'Weights &amp; Assumptions'!$F$13+K41*'Weights &amp; Assumptions'!$F$14+L41*'Weights &amp; Assumptions'!$F$15+M41*'Weights &amp; Assumptions'!$F$16+N41*'Weights &amp; Assumptions'!$F$17+O41*'Weights &amp; Assumptions'!$F$18+P41*'Weights &amp; Assumptions'!$F$19+Q41*'Weights &amp; Assumptions'!$F$20,"")</f>
        <v>122.564233347393</v>
      </c>
      <c r="U41" s="23" t="n">
        <f aca="false">IFERROR(R41*'Weights &amp; Assumptions'!$B$25/'Weights &amp; Assumptions'!$B$28+S41*'Weights &amp; Assumptions'!$B$26/'Weights &amp; Assumptions'!$B$28+T41*'Weights &amp; Assumptions'!$B$27/'Weights &amp; Assumptions'!$B$28,"")</f>
        <v>121.493895475561</v>
      </c>
      <c r="V41" s="30" t="n">
        <f aca="false">IF(ISNUMBER(Tabelle1!E42),Tabelle1!E42*'Weights &amp; Assumptions'!$F$6+Tabelle1!F42*'Weights &amp; Assumptions'!$F$7,"")</f>
        <v>79.8718562285313</v>
      </c>
      <c r="W41" s="30" t="n">
        <f aca="false">IF(ISNUMBER(Tabelle1!G42),Tabelle1!G42*'Weights &amp; Assumptions'!$F$8+Tabelle1!H42*'Weights &amp; Assumptions'!$F$9+Tabelle1!J42*'Weights &amp; Assumptions'!$F$11,"")</f>
        <v>122.273921996104</v>
      </c>
      <c r="X41" s="30" t="n">
        <f aca="false">IF(ISNUMBER(Tabelle1!I42),Tabelle1!I42*'Weights &amp; Assumptions'!$F$10+Tabelle1!K42*'Weights &amp; Assumptions'!$F$12+Tabelle1!L42*'Weights &amp; Assumptions'!$F$13+Tabelle1!M42*'Weights &amp; Assumptions'!$F$14+Tabelle1!N42*'Weights &amp; Assumptions'!$F$15+Tabelle1!O42*'Weights &amp; Assumptions'!$F$16+Tabelle1!P42*'Weights &amp; Assumptions'!$F$17+Tabelle1!Q42*'Weights &amp; Assumptions'!$F$18+Tabelle1!R42*'Weights &amp; Assumptions'!$F$19+Tabelle1!S42*'Weights &amp; Assumptions'!$F$20,"")</f>
        <v>122.671243229475</v>
      </c>
      <c r="Y41" s="23" t="n">
        <f aca="false">IFERROR(V41*'Weights &amp; Assumptions'!$B$25/'Weights &amp; Assumptions'!$B$28+W41*'Weights &amp; Assumptions'!$B$26/'Weights &amp; Assumptions'!$B$28+X41*'Weights &amp; Assumptions'!$B$27/'Weights &amp; Assumptions'!$B$28,"")</f>
        <v>118.974684386091</v>
      </c>
    </row>
    <row r="42" customFormat="false" ht="15" hidden="false" customHeight="false" outlineLevel="0" collapsed="false">
      <c r="A42" s="20" t="n">
        <v>39082</v>
      </c>
      <c r="B42" s="30" t="n">
        <f aca="false">IF(ISNUMBER(Tabelle1!D43),Tabelle1!D43,"")</f>
        <v>123.35638</v>
      </c>
      <c r="C42" s="23" t="n">
        <f aca="false">IF(ISNUMBER(Tabelle1!E43),Tabelle1!E43/'SF Workings'!F42,"")</f>
        <v>127.135621705714</v>
      </c>
      <c r="D42" s="23" t="n">
        <f aca="false">IF(ISNUMBER(Tabelle1!F43),Tabelle1!F43/'SF Workings'!J42,"")</f>
        <v>118.274606588376</v>
      </c>
      <c r="E42" s="23" t="n">
        <f aca="false">IF(ISNUMBER(Tabelle1!G43),Tabelle1!G43/'SF Workings'!N42,"")</f>
        <v>105.45336960128</v>
      </c>
      <c r="F42" s="23" t="n">
        <f aca="false">IF(ISNUMBER(Tabelle1!H43),Tabelle1!H43/'SF Workings'!R42,"")</f>
        <v>121.384197874134</v>
      </c>
      <c r="G42" s="23" t="n">
        <f aca="false">IF(ISNUMBER(Tabelle1!I43),Tabelle1!I43/'SF Workings'!V42,"")</f>
        <v>118.131643704175</v>
      </c>
      <c r="H42" s="23" t="n">
        <f aca="false">IF(ISNUMBER(Tabelle1!J43),Tabelle1!J43/'SF Workings'!Z42,"")</f>
        <v>133.757802395983</v>
      </c>
      <c r="I42" s="23" t="n">
        <f aca="false">IF(ISNUMBER(Tabelle1!K43),Tabelle1!K43/'SF Workings'!AD42,"")</f>
        <v>125.784845077798</v>
      </c>
      <c r="J42" s="23" t="n">
        <f aca="false">IF(ISNUMBER(Tabelle1!L43),Tabelle1!L43/'SF Workings'!AH42,"")</f>
        <v>130.595488881027</v>
      </c>
      <c r="K42" s="23" t="n">
        <f aca="false">IF(ISNUMBER(Tabelle1!M43),Tabelle1!M43/'SF Workings'!AL42,"")</f>
        <v>137.490096451335</v>
      </c>
      <c r="L42" s="23" t="n">
        <f aca="false">IF(ISNUMBER(Tabelle1!N43),Tabelle1!N43/'SF Workings'!AP42,"")</f>
        <v>134.316779727553</v>
      </c>
      <c r="M42" s="23" t="n">
        <f aca="false">IF(ISNUMBER(Tabelle1!O43),Tabelle1!O43/'SF Workings'!AT42,"")</f>
        <v>116.45419594349</v>
      </c>
      <c r="N42" s="23" t="n">
        <f aca="false">IF(ISNUMBER(Tabelle1!P43),Tabelle1!P43/'SF Workings'!AX42,"")</f>
        <v>110.548634899271</v>
      </c>
      <c r="O42" s="23" t="n">
        <f aca="false">IF(ISNUMBER(Tabelle1!Q43),Tabelle1!Q43/'SF Workings'!BB42,"")</f>
        <v>112.853839563728</v>
      </c>
      <c r="P42" s="23" t="n">
        <f aca="false">IF(ISNUMBER(Tabelle1!R43),Tabelle1!R43/'SF Workings'!BF42,"")</f>
        <v>116.918833177188</v>
      </c>
      <c r="Q42" s="23" t="n">
        <f aca="false">IF(ISNUMBER(Tabelle1!S43),Tabelle1!S43/'SF Workings'!BJ42,"")</f>
        <v>125.326326359387</v>
      </c>
      <c r="R42" s="23" t="n">
        <f aca="false">IFERROR(C42*'Weights &amp; Assumptions'!$F$6+D42*'Weights &amp; Assumptions'!$F$7,"")</f>
        <v>127.027051801414</v>
      </c>
      <c r="S42" s="23" t="n">
        <f aca="false">IFERROR(E42*'Weights &amp; Assumptions'!$F$8+F42*'Weights &amp; Assumptions'!$F$9+H42*'Weights &amp; Assumptions'!$F$11,"")</f>
        <v>122.059807543407</v>
      </c>
      <c r="T42" s="23" t="n">
        <f aca="false">IFERROR(G42*'Weights &amp; Assumptions'!$F$10+I42*'Weights &amp; Assumptions'!$F$12+J42*'Weights &amp; Assumptions'!$F$13+K42*'Weights &amp; Assumptions'!$F$14+L42*'Weights &amp; Assumptions'!$F$15+M42*'Weights &amp; Assumptions'!$F$16+N42*'Weights &amp; Assumptions'!$F$17+O42*'Weights &amp; Assumptions'!$F$18+P42*'Weights &amp; Assumptions'!$F$19+Q42*'Weights &amp; Assumptions'!$F$20,"")</f>
        <v>123.184683227008</v>
      </c>
      <c r="U42" s="23" t="n">
        <f aca="false">IFERROR(R42*'Weights &amp; Assumptions'!$B$25/'Weights &amp; Assumptions'!$B$28+S42*'Weights &amp; Assumptions'!$B$26/'Weights &amp; Assumptions'!$B$28+T42*'Weights &amp; Assumptions'!$B$27/'Weights &amp; Assumptions'!$B$28,"")</f>
        <v>123.20793705423</v>
      </c>
      <c r="V42" s="30" t="n">
        <f aca="false">IF(ISNUMBER(Tabelle1!E43),Tabelle1!E43*'Weights &amp; Assumptions'!$F$6+Tabelle1!F43*'Weights &amp; Assumptions'!$F$7,"")</f>
        <v>97.3812674080166</v>
      </c>
      <c r="W42" s="30" t="n">
        <f aca="false">IF(ISNUMBER(Tabelle1!G43),Tabelle1!G43*'Weights &amp; Assumptions'!$F$8+Tabelle1!H43*'Weights &amp; Assumptions'!$F$9+Tabelle1!J43*'Weights &amp; Assumptions'!$F$11,"")</f>
        <v>119.900580707549</v>
      </c>
      <c r="X42" s="30" t="n">
        <f aca="false">IF(ISNUMBER(Tabelle1!I43),Tabelle1!I43*'Weights &amp; Assumptions'!$F$10+Tabelle1!K43*'Weights &amp; Assumptions'!$F$12+Tabelle1!L43*'Weights &amp; Assumptions'!$F$13+Tabelle1!M43*'Weights &amp; Assumptions'!$F$14+Tabelle1!N43*'Weights &amp; Assumptions'!$F$15+Tabelle1!O43*'Weights &amp; Assumptions'!$F$16+Tabelle1!P43*'Weights &amp; Assumptions'!$F$17+Tabelle1!Q43*'Weights &amp; Assumptions'!$F$18+Tabelle1!R43*'Weights &amp; Assumptions'!$F$19+Tabelle1!S43*'Weights &amp; Assumptions'!$F$20,"")</f>
        <v>122.243387874629</v>
      </c>
      <c r="Y42" s="23" t="n">
        <f aca="false">IFERROR(V42*'Weights &amp; Assumptions'!$B$25/'Weights &amp; Assumptions'!$B$28+W42*'Weights &amp; Assumptions'!$B$26/'Weights &amp; Assumptions'!$B$28+X42*'Weights &amp; Assumptions'!$B$27/'Weights &amp; Assumptions'!$B$28,"")</f>
        <v>119.534441926996</v>
      </c>
    </row>
    <row r="43" customFormat="false" ht="15" hidden="false" customHeight="false" outlineLevel="0" collapsed="false">
      <c r="A43" s="20" t="n">
        <v>39113</v>
      </c>
      <c r="B43" s="30" t="n">
        <f aca="false">IF(ISNUMBER(Tabelle1!D44),Tabelle1!D44,"")</f>
        <v>122.08744</v>
      </c>
      <c r="C43" s="23" t="n">
        <f aca="false">IF(ISNUMBER(Tabelle1!E44),Tabelle1!E44/'SF Workings'!F43,"")</f>
        <v>127.60821543075</v>
      </c>
      <c r="D43" s="23" t="n">
        <f aca="false">IF(ISNUMBER(Tabelle1!F44),Tabelle1!F44/'SF Workings'!J43,"")</f>
        <v>160.174816059846</v>
      </c>
      <c r="E43" s="23" t="n">
        <f aca="false">IF(ISNUMBER(Tabelle1!G44),Tabelle1!G44/'SF Workings'!N43,"")</f>
        <v>101.191088406187</v>
      </c>
      <c r="F43" s="23" t="n">
        <f aca="false">IF(ISNUMBER(Tabelle1!H44),Tabelle1!H44/'SF Workings'!R43,"")</f>
        <v>120.858722904139</v>
      </c>
      <c r="G43" s="23" t="n">
        <f aca="false">IF(ISNUMBER(Tabelle1!I44),Tabelle1!I44/'SF Workings'!V43,"")</f>
        <v>112.127604947462</v>
      </c>
      <c r="H43" s="23" t="n">
        <f aca="false">IF(ISNUMBER(Tabelle1!J44),Tabelle1!J44/'SF Workings'!Z43,"")</f>
        <v>136.113986876716</v>
      </c>
      <c r="I43" s="23" t="n">
        <f aca="false">IF(ISNUMBER(Tabelle1!K44),Tabelle1!K44/'SF Workings'!AD43,"")</f>
        <v>130.952807390801</v>
      </c>
      <c r="J43" s="23" t="n">
        <f aca="false">IF(ISNUMBER(Tabelle1!L44),Tabelle1!L44/'SF Workings'!AH43,"")</f>
        <v>134.952789571875</v>
      </c>
      <c r="K43" s="23" t="n">
        <f aca="false">IF(ISNUMBER(Tabelle1!M44),Tabelle1!M44/'SF Workings'!AL43,"")</f>
        <v>138.715005560595</v>
      </c>
      <c r="L43" s="23" t="n">
        <f aca="false">IF(ISNUMBER(Tabelle1!N44),Tabelle1!N44/'SF Workings'!AP43,"")</f>
        <v>138.100489623428</v>
      </c>
      <c r="M43" s="23" t="n">
        <f aca="false">IF(ISNUMBER(Tabelle1!O44),Tabelle1!O44/'SF Workings'!AT43,"")</f>
        <v>115.649413773607</v>
      </c>
      <c r="N43" s="23" t="n">
        <f aca="false">IF(ISNUMBER(Tabelle1!P44),Tabelle1!P44/'SF Workings'!AX43,"")</f>
        <v>113.084675726894</v>
      </c>
      <c r="O43" s="23" t="n">
        <f aca="false">IF(ISNUMBER(Tabelle1!Q44),Tabelle1!Q44/'SF Workings'!BB43,"")</f>
        <v>114.937176969271</v>
      </c>
      <c r="P43" s="23" t="n">
        <f aca="false">IF(ISNUMBER(Tabelle1!R44),Tabelle1!R44/'SF Workings'!BF43,"")</f>
        <v>116.743546275344</v>
      </c>
      <c r="Q43" s="23" t="n">
        <f aca="false">IF(ISNUMBER(Tabelle1!S44),Tabelle1!S44/'SF Workings'!BJ43,"")</f>
        <v>128.960589357354</v>
      </c>
      <c r="R43" s="23" t="n">
        <f aca="false">IFERROR(C43*'Weights &amp; Assumptions'!$F$6+D43*'Weights &amp; Assumptions'!$F$7,"")</f>
        <v>128.007238868453</v>
      </c>
      <c r="S43" s="23" t="n">
        <f aca="false">IFERROR(E43*'Weights &amp; Assumptions'!$F$8+F43*'Weights &amp; Assumptions'!$F$9+H43*'Weights &amp; Assumptions'!$F$11,"")</f>
        <v>121.688484195134</v>
      </c>
      <c r="T43" s="23" t="n">
        <f aca="false">IFERROR(G43*'Weights &amp; Assumptions'!$F$10+I43*'Weights &amp; Assumptions'!$F$12+J43*'Weights &amp; Assumptions'!$F$13+K43*'Weights &amp; Assumptions'!$F$14+L43*'Weights &amp; Assumptions'!$F$15+M43*'Weights &amp; Assumptions'!$F$16+N43*'Weights &amp; Assumptions'!$F$17+O43*'Weights &amp; Assumptions'!$F$18+P43*'Weights &amp; Assumptions'!$F$19+Q43*'Weights &amp; Assumptions'!$F$20,"")</f>
        <v>125.150453425098</v>
      </c>
      <c r="U43" s="23" t="n">
        <f aca="false">IFERROR(R43*'Weights &amp; Assumptions'!$B$25/'Weights &amp; Assumptions'!$B$28+S43*'Weights &amp; Assumptions'!$B$26/'Weights &amp; Assumptions'!$B$28+T43*'Weights &amp; Assumptions'!$B$27/'Weights &amp; Assumptions'!$B$28,"")</f>
        <v>124.46954200871</v>
      </c>
      <c r="V43" s="30" t="n">
        <f aca="false">IF(ISNUMBER(Tabelle1!E44),Tabelle1!E44*'Weights &amp; Assumptions'!$F$6+Tabelle1!F44*'Weights &amp; Assumptions'!$F$7,"")</f>
        <v>69.6747337073456</v>
      </c>
      <c r="W43" s="30" t="n">
        <f aca="false">IF(ISNUMBER(Tabelle1!G44),Tabelle1!G44*'Weights &amp; Assumptions'!$F$8+Tabelle1!H44*'Weights &amp; Assumptions'!$F$9+Tabelle1!J44*'Weights &amp; Assumptions'!$F$11,"")</f>
        <v>114.388374984431</v>
      </c>
      <c r="X43" s="30" t="n">
        <f aca="false">IF(ISNUMBER(Tabelle1!I44),Tabelle1!I44*'Weights &amp; Assumptions'!$F$10+Tabelle1!K44*'Weights &amp; Assumptions'!$F$12+Tabelle1!L44*'Weights &amp; Assumptions'!$F$13+Tabelle1!M44*'Weights &amp; Assumptions'!$F$14+Tabelle1!N44*'Weights &amp; Assumptions'!$F$15+Tabelle1!O44*'Weights &amp; Assumptions'!$F$16+Tabelle1!P44*'Weights &amp; Assumptions'!$F$17+Tabelle1!Q44*'Weights &amp; Assumptions'!$F$18+Tabelle1!R44*'Weights &amp; Assumptions'!$F$19+Tabelle1!S44*'Weights &amp; Assumptions'!$F$20,"")</f>
        <v>122.418622152563</v>
      </c>
      <c r="Y43" s="23" t="n">
        <f aca="false">IFERROR(V43*'Weights &amp; Assumptions'!$B$25/'Weights &amp; Assumptions'!$B$28+W43*'Weights &amp; Assumptions'!$B$26/'Weights &amp; Assumptions'!$B$28+X43*'Weights &amp; Assumptions'!$B$27/'Weights &amp; Assumptions'!$B$28,"")</f>
        <v>115.857983022944</v>
      </c>
    </row>
    <row r="44" customFormat="false" ht="15" hidden="false" customHeight="false" outlineLevel="0" collapsed="false">
      <c r="A44" s="20" t="n">
        <v>39141</v>
      </c>
      <c r="B44" s="30" t="n">
        <f aca="false">IF(ISNUMBER(Tabelle1!D45),Tabelle1!D45,"")</f>
        <v>124.63366</v>
      </c>
      <c r="C44" s="23" t="n">
        <f aca="false">IF(ISNUMBER(Tabelle1!E45),Tabelle1!E45/'SF Workings'!F44,"")</f>
        <v>122.799905929094</v>
      </c>
      <c r="D44" s="23" t="n">
        <f aca="false">IF(ISNUMBER(Tabelle1!F45),Tabelle1!F45/'SF Workings'!J44,"")</f>
        <v>108.042345165995</v>
      </c>
      <c r="E44" s="23" t="n">
        <f aca="false">IF(ISNUMBER(Tabelle1!G45),Tabelle1!G45/'SF Workings'!N44,"")</f>
        <v>100.064449646895</v>
      </c>
      <c r="F44" s="23" t="n">
        <f aca="false">IF(ISNUMBER(Tabelle1!H45),Tabelle1!H45/'SF Workings'!R44,"")</f>
        <v>123.765248521833</v>
      </c>
      <c r="G44" s="23" t="n">
        <f aca="false">IF(ISNUMBER(Tabelle1!I45),Tabelle1!I45/'SF Workings'!V44,"")</f>
        <v>114.813750691866</v>
      </c>
      <c r="H44" s="23" t="n">
        <f aca="false">IF(ISNUMBER(Tabelle1!J45),Tabelle1!J45/'SF Workings'!Z44,"")</f>
        <v>137.423447323892</v>
      </c>
      <c r="I44" s="23" t="n">
        <f aca="false">IF(ISNUMBER(Tabelle1!K45),Tabelle1!K45/'SF Workings'!AD44,"")</f>
        <v>131.581978525967</v>
      </c>
      <c r="J44" s="23" t="n">
        <f aca="false">IF(ISNUMBER(Tabelle1!L45),Tabelle1!L45/'SF Workings'!AH44,"")</f>
        <v>138.044597969849</v>
      </c>
      <c r="K44" s="23" t="n">
        <f aca="false">IF(ISNUMBER(Tabelle1!M45),Tabelle1!M45/'SF Workings'!AL44,"")</f>
        <v>139.244750056839</v>
      </c>
      <c r="L44" s="23" t="n">
        <f aca="false">IF(ISNUMBER(Tabelle1!N45),Tabelle1!N45/'SF Workings'!AP44,"")</f>
        <v>137.508191037655</v>
      </c>
      <c r="M44" s="23" t="n">
        <f aca="false">IF(ISNUMBER(Tabelle1!O45),Tabelle1!O45/'SF Workings'!AT44,"")</f>
        <v>115.606548001378</v>
      </c>
      <c r="N44" s="23" t="n">
        <f aca="false">IF(ISNUMBER(Tabelle1!P45),Tabelle1!P45/'SF Workings'!AX44,"")</f>
        <v>113.007023351592</v>
      </c>
      <c r="O44" s="23" t="n">
        <f aca="false">IF(ISNUMBER(Tabelle1!Q45),Tabelle1!Q45/'SF Workings'!BB44,"")</f>
        <v>114.940420827049</v>
      </c>
      <c r="P44" s="23" t="n">
        <f aca="false">IF(ISNUMBER(Tabelle1!R45),Tabelle1!R45/'SF Workings'!BF44,"")</f>
        <v>118.18601371558</v>
      </c>
      <c r="Q44" s="23" t="n">
        <f aca="false">IF(ISNUMBER(Tabelle1!S45),Tabelle1!S45/'SF Workings'!BJ44,"")</f>
        <v>129.848458185033</v>
      </c>
      <c r="R44" s="23" t="n">
        <f aca="false">IFERROR(C44*'Weights &amp; Assumptions'!$F$6+D44*'Weights &amp; Assumptions'!$F$7,"")</f>
        <v>122.619088388606</v>
      </c>
      <c r="S44" s="23" t="n">
        <f aca="false">IFERROR(E44*'Weights &amp; Assumptions'!$F$8+F44*'Weights &amp; Assumptions'!$F$9+H44*'Weights &amp; Assumptions'!$F$11,"")</f>
        <v>123.780752830524</v>
      </c>
      <c r="T44" s="23" t="n">
        <f aca="false">IFERROR(G44*'Weights &amp; Assumptions'!$F$10+I44*'Weights &amp; Assumptions'!$F$12+J44*'Weights &amp; Assumptions'!$F$13+K44*'Weights &amp; Assumptions'!$F$14+L44*'Weights &amp; Assumptions'!$F$15+M44*'Weights &amp; Assumptions'!$F$16+N44*'Weights &amp; Assumptions'!$F$17+O44*'Weights &amp; Assumptions'!$F$18+P44*'Weights &amp; Assumptions'!$F$19+Q44*'Weights &amp; Assumptions'!$F$20,"")</f>
        <v>125.669156548678</v>
      </c>
      <c r="U44" s="23" t="n">
        <f aca="false">IFERROR(R44*'Weights &amp; Assumptions'!$B$25/'Weights &amp; Assumptions'!$B$28+S44*'Weights &amp; Assumptions'!$B$26/'Weights &amp; Assumptions'!$B$28+T44*'Weights &amp; Assumptions'!$B$27/'Weights &amp; Assumptions'!$B$28,"")</f>
        <v>124.911093756181</v>
      </c>
      <c r="V44" s="30" t="n">
        <f aca="false">IF(ISNUMBER(Tabelle1!E45),Tabelle1!E45*'Weights &amp; Assumptions'!$F$6+Tabelle1!F45*'Weights &amp; Assumptions'!$F$7,"")</f>
        <v>69.8025713825819</v>
      </c>
      <c r="W44" s="30" t="n">
        <f aca="false">IF(ISNUMBER(Tabelle1!G45),Tabelle1!G45*'Weights &amp; Assumptions'!$F$8+Tabelle1!H45*'Weights &amp; Assumptions'!$F$9+Tabelle1!J45*'Weights &amp; Assumptions'!$F$11,"")</f>
        <v>113.939511770546</v>
      </c>
      <c r="X44" s="30" t="n">
        <f aca="false">IF(ISNUMBER(Tabelle1!I45),Tabelle1!I45*'Weights &amp; Assumptions'!$F$10+Tabelle1!K45*'Weights &amp; Assumptions'!$F$12+Tabelle1!L45*'Weights &amp; Assumptions'!$F$13+Tabelle1!M45*'Weights &amp; Assumptions'!$F$14+Tabelle1!N45*'Weights &amp; Assumptions'!$F$15+Tabelle1!O45*'Weights &amp; Assumptions'!$F$16+Tabelle1!P45*'Weights &amp; Assumptions'!$F$17+Tabelle1!Q45*'Weights &amp; Assumptions'!$F$18+Tabelle1!R45*'Weights &amp; Assumptions'!$F$19+Tabelle1!S45*'Weights &amp; Assumptions'!$F$20,"")</f>
        <v>120.308151469602</v>
      </c>
      <c r="Y44" s="23" t="n">
        <f aca="false">IFERROR(V44*'Weights &amp; Assumptions'!$B$25/'Weights &amp; Assumptions'!$B$28+W44*'Weights &amp; Assumptions'!$B$26/'Weights &amp; Assumptions'!$B$28+X44*'Weights &amp; Assumptions'!$B$27/'Weights &amp; Assumptions'!$B$28,"")</f>
        <v>114.377158725213</v>
      </c>
    </row>
    <row r="45" customFormat="false" ht="15" hidden="false" customHeight="false" outlineLevel="0" collapsed="false">
      <c r="A45" s="20" t="n">
        <v>39172</v>
      </c>
      <c r="B45" s="30" t="n">
        <f aca="false">IF(ISNUMBER(Tabelle1!D46),Tabelle1!D46,"")</f>
        <v>126.43758</v>
      </c>
      <c r="C45" s="23" t="n">
        <f aca="false">IF(ISNUMBER(Tabelle1!E46),Tabelle1!E46/'SF Workings'!F45,"")</f>
        <v>123.555684615211</v>
      </c>
      <c r="D45" s="23" t="n">
        <f aca="false">IF(ISNUMBER(Tabelle1!F46),Tabelle1!F46/'SF Workings'!J45,"")</f>
        <v>182.898895851249</v>
      </c>
      <c r="E45" s="23" t="n">
        <f aca="false">IF(ISNUMBER(Tabelle1!G46),Tabelle1!G46/'SF Workings'!N45,"")</f>
        <v>101.400627407151</v>
      </c>
      <c r="F45" s="23" t="n">
        <f aca="false">IF(ISNUMBER(Tabelle1!H46),Tabelle1!H46/'SF Workings'!R45,"")</f>
        <v>125.534199997903</v>
      </c>
      <c r="G45" s="23" t="n">
        <f aca="false">IF(ISNUMBER(Tabelle1!I46),Tabelle1!I46/'SF Workings'!V45,"")</f>
        <v>112.619488211701</v>
      </c>
      <c r="H45" s="23" t="n">
        <f aca="false">IF(ISNUMBER(Tabelle1!J46),Tabelle1!J46/'SF Workings'!Z45,"")</f>
        <v>139.040083198585</v>
      </c>
      <c r="I45" s="23" t="n">
        <f aca="false">IF(ISNUMBER(Tabelle1!K46),Tabelle1!K46/'SF Workings'!AD45,"")</f>
        <v>133.985172129206</v>
      </c>
      <c r="J45" s="23" t="n">
        <f aca="false">IF(ISNUMBER(Tabelle1!L46),Tabelle1!L46/'SF Workings'!AH45,"")</f>
        <v>138.748421979052</v>
      </c>
      <c r="K45" s="23" t="n">
        <f aca="false">IF(ISNUMBER(Tabelle1!M46),Tabelle1!M46/'SF Workings'!AL45,"")</f>
        <v>142.589229625606</v>
      </c>
      <c r="L45" s="23" t="n">
        <f aca="false">IF(ISNUMBER(Tabelle1!N46),Tabelle1!N46/'SF Workings'!AP45,"")</f>
        <v>139.795484215351</v>
      </c>
      <c r="M45" s="23" t="n">
        <f aca="false">IF(ISNUMBER(Tabelle1!O46),Tabelle1!O46/'SF Workings'!AT45,"")</f>
        <v>118.49037466281</v>
      </c>
      <c r="N45" s="23" t="n">
        <f aca="false">IF(ISNUMBER(Tabelle1!P46),Tabelle1!P46/'SF Workings'!AX45,"")</f>
        <v>113.418130565027</v>
      </c>
      <c r="O45" s="23" t="n">
        <f aca="false">IF(ISNUMBER(Tabelle1!Q46),Tabelle1!Q46/'SF Workings'!BB45,"")</f>
        <v>115.359566442078</v>
      </c>
      <c r="P45" s="23" t="n">
        <f aca="false">IF(ISNUMBER(Tabelle1!R46),Tabelle1!R46/'SF Workings'!BF45,"")</f>
        <v>118.481149610687</v>
      </c>
      <c r="Q45" s="23" t="n">
        <f aca="false">IF(ISNUMBER(Tabelle1!S46),Tabelle1!S46/'SF Workings'!BJ45,"")</f>
        <v>131.86570010775</v>
      </c>
      <c r="R45" s="23" t="n">
        <f aca="false">IFERROR(C45*'Weights &amp; Assumptions'!$F$6+D45*'Weights &amp; Assumptions'!$F$7,"")</f>
        <v>124.282789431014</v>
      </c>
      <c r="S45" s="23" t="n">
        <f aca="false">IFERROR(E45*'Weights &amp; Assumptions'!$F$8+F45*'Weights &amp; Assumptions'!$F$9+H45*'Weights &amp; Assumptions'!$F$11,"")</f>
        <v>125.466301179139</v>
      </c>
      <c r="T45" s="23" t="n">
        <f aca="false">IFERROR(G45*'Weights &amp; Assumptions'!$F$10+I45*'Weights &amp; Assumptions'!$F$12+J45*'Weights &amp; Assumptions'!$F$13+K45*'Weights &amp; Assumptions'!$F$14+L45*'Weights &amp; Assumptions'!$F$15+M45*'Weights &amp; Assumptions'!$F$16+N45*'Weights &amp; Assumptions'!$F$17+O45*'Weights &amp; Assumptions'!$F$18+P45*'Weights &amp; Assumptions'!$F$19+Q45*'Weights &amp; Assumptions'!$F$20,"")</f>
        <v>127.58041744342</v>
      </c>
      <c r="U45" s="23" t="n">
        <f aca="false">IFERROR(R45*'Weights &amp; Assumptions'!$B$25/'Weights &amp; Assumptions'!$B$28+S45*'Weights &amp; Assumptions'!$B$26/'Weights &amp; Assumptions'!$B$28+T45*'Weights &amp; Assumptions'!$B$27/'Weights &amp; Assumptions'!$B$28,"")</f>
        <v>126.741563264495</v>
      </c>
      <c r="V45" s="30" t="n">
        <f aca="false">IF(ISNUMBER(Tabelle1!E46),Tabelle1!E46*'Weights &amp; Assumptions'!$F$6+Tabelle1!F46*'Weights &amp; Assumptions'!$F$7,"")</f>
        <v>136.450126531388</v>
      </c>
      <c r="W45" s="30" t="n">
        <f aca="false">IF(ISNUMBER(Tabelle1!G46),Tabelle1!G46*'Weights &amp; Assumptions'!$F$8+Tabelle1!H46*'Weights &amp; Assumptions'!$F$9+Tabelle1!J46*'Weights &amp; Assumptions'!$F$11,"")</f>
        <v>127.576729347318</v>
      </c>
      <c r="X45" s="30" t="n">
        <f aca="false">IF(ISNUMBER(Tabelle1!I46),Tabelle1!I46*'Weights &amp; Assumptions'!$F$10+Tabelle1!K46*'Weights &amp; Assumptions'!$F$12+Tabelle1!L46*'Weights &amp; Assumptions'!$F$13+Tabelle1!M46*'Weights &amp; Assumptions'!$F$14+Tabelle1!N46*'Weights &amp; Assumptions'!$F$15+Tabelle1!O46*'Weights &amp; Assumptions'!$F$16+Tabelle1!P46*'Weights &amp; Assumptions'!$F$17+Tabelle1!Q46*'Weights &amp; Assumptions'!$F$18+Tabelle1!R46*'Weights &amp; Assumptions'!$F$19+Tabelle1!S46*'Weights &amp; Assumptions'!$F$20,"")</f>
        <v>129.138377201388</v>
      </c>
      <c r="Y45" s="23" t="n">
        <f aca="false">IFERROR(V45*'Weights &amp; Assumptions'!$B$25/'Weights &amp; Assumptions'!$B$28+W45*'Weights &amp; Assumptions'!$B$26/'Weights &amp; Assumptions'!$B$28+X45*'Weights &amp; Assumptions'!$B$27/'Weights &amp; Assumptions'!$B$28,"")</f>
        <v>129.336569611481</v>
      </c>
    </row>
    <row r="46" customFormat="false" ht="15" hidden="false" customHeight="false" outlineLevel="0" collapsed="false">
      <c r="A46" s="20" t="n">
        <v>39202</v>
      </c>
      <c r="B46" s="30" t="n">
        <f aca="false">IF(ISNUMBER(Tabelle1!D47),Tabelle1!D47,"")</f>
        <v>125.43197</v>
      </c>
      <c r="C46" s="23" t="n">
        <f aca="false">IF(ISNUMBER(Tabelle1!E47),Tabelle1!E47/'SF Workings'!F46,"")</f>
        <v>131.962832857505</v>
      </c>
      <c r="D46" s="23" t="n">
        <f aca="false">IF(ISNUMBER(Tabelle1!F47),Tabelle1!F47/'SF Workings'!J46,"")</f>
        <v>184.780095567264</v>
      </c>
      <c r="E46" s="23" t="n">
        <f aca="false">IF(ISNUMBER(Tabelle1!G47),Tabelle1!G47/'SF Workings'!N46,"")</f>
        <v>104.63100124977</v>
      </c>
      <c r="F46" s="23" t="n">
        <f aca="false">IF(ISNUMBER(Tabelle1!H47),Tabelle1!H47/'SF Workings'!R46,"")</f>
        <v>123.579453188362</v>
      </c>
      <c r="G46" s="23" t="n">
        <f aca="false">IF(ISNUMBER(Tabelle1!I47),Tabelle1!I47/'SF Workings'!V46,"")</f>
        <v>116.053097988266</v>
      </c>
      <c r="H46" s="23" t="n">
        <f aca="false">IF(ISNUMBER(Tabelle1!J47),Tabelle1!J47/'SF Workings'!Z46,"")</f>
        <v>135.337897947941</v>
      </c>
      <c r="I46" s="23" t="n">
        <f aca="false">IF(ISNUMBER(Tabelle1!K47),Tabelle1!K47/'SF Workings'!AD46,"")</f>
        <v>131.46538907762</v>
      </c>
      <c r="J46" s="23" t="n">
        <f aca="false">IF(ISNUMBER(Tabelle1!L47),Tabelle1!L47/'SF Workings'!AH46,"")</f>
        <v>137.984156266062</v>
      </c>
      <c r="K46" s="23" t="n">
        <f aca="false">IF(ISNUMBER(Tabelle1!M47),Tabelle1!M47/'SF Workings'!AL46,"")</f>
        <v>141.940341405892</v>
      </c>
      <c r="L46" s="23" t="n">
        <f aca="false">IF(ISNUMBER(Tabelle1!N47),Tabelle1!N47/'SF Workings'!AP46,"")</f>
        <v>138.422954156197</v>
      </c>
      <c r="M46" s="23" t="n">
        <f aca="false">IF(ISNUMBER(Tabelle1!O47),Tabelle1!O47/'SF Workings'!AT46,"")</f>
        <v>115.755243100307</v>
      </c>
      <c r="N46" s="23" t="n">
        <f aca="false">IF(ISNUMBER(Tabelle1!P47),Tabelle1!P47/'SF Workings'!AX46,"")</f>
        <v>113.641288052997</v>
      </c>
      <c r="O46" s="23" t="n">
        <f aca="false">IF(ISNUMBER(Tabelle1!Q47),Tabelle1!Q47/'SF Workings'!BB46,"")</f>
        <v>114.968770954305</v>
      </c>
      <c r="P46" s="23" t="n">
        <f aca="false">IF(ISNUMBER(Tabelle1!R47),Tabelle1!R47/'SF Workings'!BF46,"")</f>
        <v>117.826911731172</v>
      </c>
      <c r="Q46" s="23" t="n">
        <f aca="false">IF(ISNUMBER(Tabelle1!S47),Tabelle1!S47/'SF Workings'!BJ46,"")</f>
        <v>125.31037124164</v>
      </c>
      <c r="R46" s="23" t="n">
        <f aca="false">IFERROR(C46*'Weights &amp; Assumptions'!$F$6+D46*'Weights &amp; Assumptions'!$F$7,"")</f>
        <v>132.609978255839</v>
      </c>
      <c r="S46" s="23" t="n">
        <f aca="false">IFERROR(E46*'Weights &amp; Assumptions'!$F$8+F46*'Weights &amp; Assumptions'!$F$9+H46*'Weights &amp; Assumptions'!$F$11,"")</f>
        <v>123.766613197448</v>
      </c>
      <c r="T46" s="23" t="n">
        <f aca="false">IFERROR(G46*'Weights &amp; Assumptions'!$F$10+I46*'Weights &amp; Assumptions'!$F$12+J46*'Weights &amp; Assumptions'!$F$13+K46*'Weights &amp; Assumptions'!$F$14+L46*'Weights &amp; Assumptions'!$F$15+M46*'Weights &amp; Assumptions'!$F$16+N46*'Weights &amp; Assumptions'!$F$17+O46*'Weights &amp; Assumptions'!$F$18+P46*'Weights &amp; Assumptions'!$F$19+Q46*'Weights &amp; Assumptions'!$F$20,"")</f>
        <v>125.957324947175</v>
      </c>
      <c r="U46" s="23" t="n">
        <f aca="false">IFERROR(R46*'Weights &amp; Assumptions'!$B$25/'Weights &amp; Assumptions'!$B$28+S46*'Weights &amp; Assumptions'!$B$26/'Weights &amp; Assumptions'!$B$28+T46*'Weights &amp; Assumptions'!$B$27/'Weights &amp; Assumptions'!$B$28,"")</f>
        <v>125.932939574132</v>
      </c>
      <c r="V46" s="30" t="n">
        <f aca="false">IF(ISNUMBER(Tabelle1!E47),Tabelle1!E47*'Weights &amp; Assumptions'!$F$6+Tabelle1!F47*'Weights &amp; Assumptions'!$F$7,"")</f>
        <v>222.259543023206</v>
      </c>
      <c r="W46" s="30" t="n">
        <f aca="false">IF(ISNUMBER(Tabelle1!G47),Tabelle1!G47*'Weights &amp; Assumptions'!$F$8+Tabelle1!H47*'Weights &amp; Assumptions'!$F$9+Tabelle1!J47*'Weights &amp; Assumptions'!$F$11,"")</f>
        <v>124.061256250047</v>
      </c>
      <c r="X46" s="30" t="n">
        <f aca="false">IF(ISNUMBER(Tabelle1!I47),Tabelle1!I47*'Weights &amp; Assumptions'!$F$10+Tabelle1!K47*'Weights &amp; Assumptions'!$F$12+Tabelle1!L47*'Weights &amp; Assumptions'!$F$13+Tabelle1!M47*'Weights &amp; Assumptions'!$F$14+Tabelle1!N47*'Weights &amp; Assumptions'!$F$15+Tabelle1!O47*'Weights &amp; Assumptions'!$F$16+Tabelle1!P47*'Weights &amp; Assumptions'!$F$17+Tabelle1!Q47*'Weights &amp; Assumptions'!$F$18+Tabelle1!R47*'Weights &amp; Assumptions'!$F$19+Tabelle1!S47*'Weights &amp; Assumptions'!$F$20,"")</f>
        <v>126.188762595331</v>
      </c>
      <c r="Y46" s="23" t="n">
        <f aca="false">IFERROR(V46*'Weights &amp; Assumptions'!$B$25/'Weights &amp; Assumptions'!$B$28+W46*'Weights &amp; Assumptions'!$B$26/'Weights &amp; Assumptions'!$B$28+X46*'Weights &amp; Assumptions'!$B$27/'Weights &amp; Assumptions'!$B$28,"")</f>
        <v>133.68343992233</v>
      </c>
    </row>
    <row r="47" customFormat="false" ht="15" hidden="false" customHeight="false" outlineLevel="0" collapsed="false">
      <c r="A47" s="20" t="n">
        <v>39233</v>
      </c>
      <c r="B47" s="30" t="n">
        <f aca="false">IF(ISNUMBER(Tabelle1!D48),Tabelle1!D48,"")</f>
        <v>127.21823</v>
      </c>
      <c r="C47" s="23" t="n">
        <f aca="false">IF(ISNUMBER(Tabelle1!E48),Tabelle1!E48/'SF Workings'!F47,"")</f>
        <v>134.293768248056</v>
      </c>
      <c r="D47" s="23" t="n">
        <f aca="false">IF(ISNUMBER(Tabelle1!F48),Tabelle1!F48/'SF Workings'!J47,"")</f>
        <v>150.098801866705</v>
      </c>
      <c r="E47" s="23" t="n">
        <f aca="false">IF(ISNUMBER(Tabelle1!G48),Tabelle1!G48/'SF Workings'!N47,"")</f>
        <v>105.990972952419</v>
      </c>
      <c r="F47" s="23" t="n">
        <f aca="false">IF(ISNUMBER(Tabelle1!H48),Tabelle1!H48/'SF Workings'!R47,"")</f>
        <v>124.871107926842</v>
      </c>
      <c r="G47" s="23" t="n">
        <f aca="false">IF(ISNUMBER(Tabelle1!I48),Tabelle1!I48/'SF Workings'!V47,"")</f>
        <v>118.646917501775</v>
      </c>
      <c r="H47" s="23" t="n">
        <f aca="false">IF(ISNUMBER(Tabelle1!J48),Tabelle1!J48/'SF Workings'!Z47,"")</f>
        <v>138.024992308121</v>
      </c>
      <c r="I47" s="23" t="n">
        <f aca="false">IF(ISNUMBER(Tabelle1!K48),Tabelle1!K48/'SF Workings'!AD47,"")</f>
        <v>133.391431309967</v>
      </c>
      <c r="J47" s="23" t="n">
        <f aca="false">IF(ISNUMBER(Tabelle1!L48),Tabelle1!L48/'SF Workings'!AH47,"")</f>
        <v>135.826980659327</v>
      </c>
      <c r="K47" s="23" t="n">
        <f aca="false">IF(ISNUMBER(Tabelle1!M48),Tabelle1!M48/'SF Workings'!AL47,"")</f>
        <v>144.956291346516</v>
      </c>
      <c r="L47" s="23" t="n">
        <f aca="false">IF(ISNUMBER(Tabelle1!N48),Tabelle1!N48/'SF Workings'!AP47,"")</f>
        <v>140.750447615098</v>
      </c>
      <c r="M47" s="23" t="n">
        <f aca="false">IF(ISNUMBER(Tabelle1!O48),Tabelle1!O48/'SF Workings'!AT47,"")</f>
        <v>118.98335521064</v>
      </c>
      <c r="N47" s="23" t="n">
        <f aca="false">IF(ISNUMBER(Tabelle1!P48),Tabelle1!P48/'SF Workings'!AX47,"")</f>
        <v>115.558472015921</v>
      </c>
      <c r="O47" s="23" t="n">
        <f aca="false">IF(ISNUMBER(Tabelle1!Q48),Tabelle1!Q48/'SF Workings'!BB47,"")</f>
        <v>117.514064397209</v>
      </c>
      <c r="P47" s="23" t="n">
        <f aca="false">IF(ISNUMBER(Tabelle1!R48),Tabelle1!R48/'SF Workings'!BF47,"")</f>
        <v>118.322924129667</v>
      </c>
      <c r="Q47" s="23" t="n">
        <f aca="false">IF(ISNUMBER(Tabelle1!S48),Tabelle1!S48/'SF Workings'!BJ47,"")</f>
        <v>129.938999341161</v>
      </c>
      <c r="R47" s="23" t="n">
        <f aca="false">IFERROR(C47*'Weights &amp; Assumptions'!$F$6+D47*'Weights &amp; Assumptions'!$F$7,"")</f>
        <v>134.487419987129</v>
      </c>
      <c r="S47" s="23" t="n">
        <f aca="false">IFERROR(E47*'Weights &amp; Assumptions'!$F$8+F47*'Weights &amp; Assumptions'!$F$9+H47*'Weights &amp; Assumptions'!$F$11,"")</f>
        <v>125.357127856414</v>
      </c>
      <c r="T47" s="23" t="n">
        <f aca="false">IFERROR(G47*'Weights &amp; Assumptions'!$F$10+I47*'Weights &amp; Assumptions'!$F$12+J47*'Weights &amp; Assumptions'!$F$13+K47*'Weights &amp; Assumptions'!$F$14+L47*'Weights &amp; Assumptions'!$F$15+M47*'Weights &amp; Assumptions'!$F$16+N47*'Weights &amp; Assumptions'!$F$17+O47*'Weights &amp; Assumptions'!$F$18+P47*'Weights &amp; Assumptions'!$F$19+Q47*'Weights &amp; Assumptions'!$F$20,"")</f>
        <v>128.255293651338</v>
      </c>
      <c r="U47" s="23" t="n">
        <f aca="false">IFERROR(R47*'Weights &amp; Assumptions'!$B$25/'Weights &amp; Assumptions'!$B$28+S47*'Weights &amp; Assumptions'!$B$26/'Weights &amp; Assumptions'!$B$28+T47*'Weights &amp; Assumptions'!$B$27/'Weights &amp; Assumptions'!$B$28,"")</f>
        <v>128.007501326767</v>
      </c>
      <c r="V47" s="30" t="n">
        <f aca="false">IF(ISNUMBER(Tabelle1!E48),Tabelle1!E48*'Weights &amp; Assumptions'!$F$6+Tabelle1!F48*'Weights &amp; Assumptions'!$F$7,"")</f>
        <v>328.875502996865</v>
      </c>
      <c r="W47" s="30" t="n">
        <f aca="false">IF(ISNUMBER(Tabelle1!G48),Tabelle1!G48*'Weights &amp; Assumptions'!$F$8+Tabelle1!H48*'Weights &amp; Assumptions'!$F$9+Tabelle1!J48*'Weights &amp; Assumptions'!$F$11,"")</f>
        <v>127.617697898826</v>
      </c>
      <c r="X47" s="30" t="n">
        <f aca="false">IF(ISNUMBER(Tabelle1!I48),Tabelle1!I48*'Weights &amp; Assumptions'!$F$10+Tabelle1!K48*'Weights &amp; Assumptions'!$F$12+Tabelle1!L48*'Weights &amp; Assumptions'!$F$13+Tabelle1!M48*'Weights &amp; Assumptions'!$F$14+Tabelle1!N48*'Weights &amp; Assumptions'!$F$15+Tabelle1!O48*'Weights &amp; Assumptions'!$F$16+Tabelle1!P48*'Weights &amp; Assumptions'!$F$17+Tabelle1!Q48*'Weights &amp; Assumptions'!$F$18+Tabelle1!R48*'Weights &amp; Assumptions'!$F$19+Tabelle1!S48*'Weights &amp; Assumptions'!$F$20,"")</f>
        <v>130.998135425288</v>
      </c>
      <c r="Y47" s="23" t="n">
        <f aca="false">IFERROR(V47*'Weights &amp; Assumptions'!$B$25/'Weights &amp; Assumptions'!$B$28+W47*'Weights &amp; Assumptions'!$B$26/'Weights &amp; Assumptions'!$B$28+X47*'Weights &amp; Assumptions'!$B$27/'Weights &amp; Assumptions'!$B$28,"")</f>
        <v>146.701293849432</v>
      </c>
    </row>
    <row r="48" customFormat="false" ht="15" hidden="false" customHeight="false" outlineLevel="0" collapsed="false">
      <c r="A48" s="20" t="n">
        <v>39263</v>
      </c>
      <c r="B48" s="30" t="n">
        <f aca="false">IF(ISNUMBER(Tabelle1!D49),Tabelle1!D49,"")</f>
        <v>128.4754</v>
      </c>
      <c r="C48" s="23" t="n">
        <f aca="false">IF(ISNUMBER(Tabelle1!E49),Tabelle1!E49/'SF Workings'!F48,"")</f>
        <v>133.935072423828</v>
      </c>
      <c r="D48" s="23" t="n">
        <f aca="false">IF(ISNUMBER(Tabelle1!F49),Tabelle1!F49/'SF Workings'!J48,"")</f>
        <v>131.13046506215</v>
      </c>
      <c r="E48" s="23" t="n">
        <f aca="false">IF(ISNUMBER(Tabelle1!G49),Tabelle1!G49/'SF Workings'!N48,"")</f>
        <v>103.790667871707</v>
      </c>
      <c r="F48" s="23" t="n">
        <f aca="false">IF(ISNUMBER(Tabelle1!H49),Tabelle1!H49/'SF Workings'!R48,"")</f>
        <v>123.463343190591</v>
      </c>
      <c r="G48" s="23" t="n">
        <f aca="false">IF(ISNUMBER(Tabelle1!I49),Tabelle1!I49/'SF Workings'!V48,"")</f>
        <v>114.729649057123</v>
      </c>
      <c r="H48" s="23" t="n">
        <f aca="false">IF(ISNUMBER(Tabelle1!J49),Tabelle1!J49/'SF Workings'!Z48,"")</f>
        <v>138.004160524624</v>
      </c>
      <c r="I48" s="23" t="n">
        <f aca="false">IF(ISNUMBER(Tabelle1!K49),Tabelle1!K49/'SF Workings'!AD48,"")</f>
        <v>134.636165239447</v>
      </c>
      <c r="J48" s="23" t="n">
        <f aca="false">IF(ISNUMBER(Tabelle1!L49),Tabelle1!L49/'SF Workings'!AH48,"")</f>
        <v>136.217709946931</v>
      </c>
      <c r="K48" s="23" t="n">
        <f aca="false">IF(ISNUMBER(Tabelle1!M49),Tabelle1!M49/'SF Workings'!AL48,"")</f>
        <v>145.951880978327</v>
      </c>
      <c r="L48" s="23" t="n">
        <f aca="false">IF(ISNUMBER(Tabelle1!N49),Tabelle1!N49/'SF Workings'!AP48,"")</f>
        <v>141.137873245952</v>
      </c>
      <c r="M48" s="23" t="n">
        <f aca="false">IF(ISNUMBER(Tabelle1!O49),Tabelle1!O49/'SF Workings'!AT48,"")</f>
        <v>119.133391009795</v>
      </c>
      <c r="N48" s="23" t="n">
        <f aca="false">IF(ISNUMBER(Tabelle1!P49),Tabelle1!P49/'SF Workings'!AX48,"")</f>
        <v>115.508553729122</v>
      </c>
      <c r="O48" s="23" t="n">
        <f aca="false">IF(ISNUMBER(Tabelle1!Q49),Tabelle1!Q49/'SF Workings'!BB48,"")</f>
        <v>117.438628519252</v>
      </c>
      <c r="P48" s="23" t="n">
        <f aca="false">IF(ISNUMBER(Tabelle1!R49),Tabelle1!R49/'SF Workings'!BF48,"")</f>
        <v>119.384321114465</v>
      </c>
      <c r="Q48" s="23" t="n">
        <f aca="false">IF(ISNUMBER(Tabelle1!S49),Tabelle1!S49/'SF Workings'!BJ48,"")</f>
        <v>131.283526074651</v>
      </c>
      <c r="R48" s="23" t="n">
        <f aca="false">IFERROR(C48*'Weights &amp; Assumptions'!$F$6+D48*'Weights &amp; Assumptions'!$F$7,"")</f>
        <v>133.90070887193</v>
      </c>
      <c r="S48" s="23" t="n">
        <f aca="false">IFERROR(E48*'Weights &amp; Assumptions'!$F$8+F48*'Weights &amp; Assumptions'!$F$9+H48*'Weights &amp; Assumptions'!$F$11,"")</f>
        <v>124.143666510106</v>
      </c>
      <c r="T48" s="23" t="n">
        <f aca="false">IFERROR(G48*'Weights &amp; Assumptions'!$F$10+I48*'Weights &amp; Assumptions'!$F$12+J48*'Weights &amp; Assumptions'!$F$13+K48*'Weights &amp; Assumptions'!$F$14+L48*'Weights &amp; Assumptions'!$F$15+M48*'Weights &amp; Assumptions'!$F$16+N48*'Weights &amp; Assumptions'!$F$17+O48*'Weights &amp; Assumptions'!$F$18+P48*'Weights &amp; Assumptions'!$F$19+Q48*'Weights &amp; Assumptions'!$F$20,"")</f>
        <v>128.761589870813</v>
      </c>
      <c r="U48" s="23" t="n">
        <f aca="false">IFERROR(R48*'Weights &amp; Assumptions'!$B$25/'Weights &amp; Assumptions'!$B$28+S48*'Weights &amp; Assumptions'!$B$26/'Weights &amp; Assumptions'!$B$28+T48*'Weights &amp; Assumptions'!$B$27/'Weights &amp; Assumptions'!$B$28,"")</f>
        <v>127.964779743513</v>
      </c>
      <c r="V48" s="30" t="n">
        <f aca="false">IF(ISNUMBER(Tabelle1!E49),Tabelle1!E49*'Weights &amp; Assumptions'!$F$6+Tabelle1!F49*'Weights &amp; Assumptions'!$F$7,"")</f>
        <v>219.218584183383</v>
      </c>
      <c r="W48" s="30" t="n">
        <f aca="false">IF(ISNUMBER(Tabelle1!G49),Tabelle1!G49*'Weights &amp; Assumptions'!$F$8+Tabelle1!H49*'Weights &amp; Assumptions'!$F$9+Tabelle1!J49*'Weights &amp; Assumptions'!$F$11,"")</f>
        <v>123.703291057582</v>
      </c>
      <c r="X48" s="30" t="n">
        <f aca="false">IF(ISNUMBER(Tabelle1!I49),Tabelle1!I49*'Weights &amp; Assumptions'!$F$10+Tabelle1!K49*'Weights &amp; Assumptions'!$F$12+Tabelle1!L49*'Weights &amp; Assumptions'!$F$13+Tabelle1!M49*'Weights &amp; Assumptions'!$F$14+Tabelle1!N49*'Weights &amp; Assumptions'!$F$15+Tabelle1!O49*'Weights &amp; Assumptions'!$F$16+Tabelle1!P49*'Weights &amp; Assumptions'!$F$17+Tabelle1!Q49*'Weights &amp; Assumptions'!$F$18+Tabelle1!R49*'Weights &amp; Assumptions'!$F$19+Tabelle1!S49*'Weights &amp; Assumptions'!$F$20,"")</f>
        <v>131.003813647742</v>
      </c>
      <c r="Y48" s="23" t="n">
        <f aca="false">IFERROR(V48*'Weights &amp; Assumptions'!$B$25/'Weights &amp; Assumptions'!$B$28+W48*'Weights &amp; Assumptions'!$B$26/'Weights &amp; Assumptions'!$B$28+X48*'Weights &amp; Assumptions'!$B$27/'Weights &amp; Assumptions'!$B$28,"")</f>
        <v>136.46376982441</v>
      </c>
    </row>
    <row r="49" customFormat="false" ht="15" hidden="false" customHeight="false" outlineLevel="0" collapsed="false">
      <c r="A49" s="20" t="n">
        <v>39294</v>
      </c>
      <c r="B49" s="30" t="n">
        <f aca="false">IF(ISNUMBER(Tabelle1!D50),Tabelle1!D50,"")</f>
        <v>127.73554</v>
      </c>
      <c r="C49" s="23" t="n">
        <f aca="false">IF(ISNUMBER(Tabelle1!E50),Tabelle1!E50/'SF Workings'!F49,"")</f>
        <v>125.003005090907</v>
      </c>
      <c r="D49" s="23" t="n">
        <f aca="false">IF(ISNUMBER(Tabelle1!F50),Tabelle1!F50/'SF Workings'!J49,"")</f>
        <v>144.103409545117</v>
      </c>
      <c r="E49" s="23" t="n">
        <f aca="false">IF(ISNUMBER(Tabelle1!G50),Tabelle1!G50/'SF Workings'!N49,"")</f>
        <v>99.2613964249888</v>
      </c>
      <c r="F49" s="23" t="n">
        <f aca="false">IF(ISNUMBER(Tabelle1!H50),Tabelle1!H50/'SF Workings'!R49,"")</f>
        <v>120.948788544252</v>
      </c>
      <c r="G49" s="23" t="n">
        <f aca="false">IF(ISNUMBER(Tabelle1!I50),Tabelle1!I50/'SF Workings'!V49,"")</f>
        <v>111.906195120372</v>
      </c>
      <c r="H49" s="23" t="n">
        <f aca="false">IF(ISNUMBER(Tabelle1!J50),Tabelle1!J50/'SF Workings'!Z49,"")</f>
        <v>141.13677747689</v>
      </c>
      <c r="I49" s="23" t="n">
        <f aca="false">IF(ISNUMBER(Tabelle1!K50),Tabelle1!K50/'SF Workings'!AD49,"")</f>
        <v>134.573703306053</v>
      </c>
      <c r="J49" s="23" t="n">
        <f aca="false">IF(ISNUMBER(Tabelle1!L50),Tabelle1!L50/'SF Workings'!AH49,"")</f>
        <v>139.076101219953</v>
      </c>
      <c r="K49" s="23" t="n">
        <f aca="false">IF(ISNUMBER(Tabelle1!M50),Tabelle1!M50/'SF Workings'!AL49,"")</f>
        <v>146.781041651394</v>
      </c>
      <c r="L49" s="23" t="n">
        <f aca="false">IF(ISNUMBER(Tabelle1!N50),Tabelle1!N50/'SF Workings'!AP49,"")</f>
        <v>143.855410443286</v>
      </c>
      <c r="M49" s="23" t="n">
        <f aca="false">IF(ISNUMBER(Tabelle1!O50),Tabelle1!O50/'SF Workings'!AT49,"")</f>
        <v>119.956729727105</v>
      </c>
      <c r="N49" s="23" t="n">
        <f aca="false">IF(ISNUMBER(Tabelle1!P50),Tabelle1!P50/'SF Workings'!AX49,"")</f>
        <v>114.944369181592</v>
      </c>
      <c r="O49" s="23" t="n">
        <f aca="false">IF(ISNUMBER(Tabelle1!Q50),Tabelle1!Q50/'SF Workings'!BB49,"")</f>
        <v>117.107810533929</v>
      </c>
      <c r="P49" s="23" t="n">
        <f aca="false">IF(ISNUMBER(Tabelle1!R50),Tabelle1!R50/'SF Workings'!BF49,"")</f>
        <v>118.251707798366</v>
      </c>
      <c r="Q49" s="23" t="n">
        <f aca="false">IF(ISNUMBER(Tabelle1!S50),Tabelle1!S50/'SF Workings'!BJ49,"")</f>
        <v>135.39706854193</v>
      </c>
      <c r="R49" s="23" t="n">
        <f aca="false">IFERROR(C49*'Weights &amp; Assumptions'!$F$6+D49*'Weights &amp; Assumptions'!$F$7,"")</f>
        <v>125.237033478875</v>
      </c>
      <c r="S49" s="23" t="n">
        <f aca="false">IFERROR(E49*'Weights &amp; Assumptions'!$F$8+F49*'Weights &amp; Assumptions'!$F$9+H49*'Weights &amp; Assumptions'!$F$11,"")</f>
        <v>122.564998515426</v>
      </c>
      <c r="T49" s="23" t="n">
        <f aca="false">IFERROR(G49*'Weights &amp; Assumptions'!$F$10+I49*'Weights &amp; Assumptions'!$F$12+J49*'Weights &amp; Assumptions'!$F$13+K49*'Weights &amp; Assumptions'!$F$14+L49*'Weights &amp; Assumptions'!$F$15+M49*'Weights &amp; Assumptions'!$F$16+N49*'Weights &amp; Assumptions'!$F$17+O49*'Weights &amp; Assumptions'!$F$18+P49*'Weights &amp; Assumptions'!$F$19+Q49*'Weights &amp; Assumptions'!$F$20,"")</f>
        <v>129.363656875128</v>
      </c>
      <c r="U49" s="23" t="n">
        <f aca="false">IFERROR(R49*'Weights &amp; Assumptions'!$B$25/'Weights &amp; Assumptions'!$B$28+S49*'Weights &amp; Assumptions'!$B$26/'Weights &amp; Assumptions'!$B$28+T49*'Weights &amp; Assumptions'!$B$27/'Weights &amp; Assumptions'!$B$28,"")</f>
        <v>127.209547720082</v>
      </c>
      <c r="V49" s="30" t="n">
        <f aca="false">IF(ISNUMBER(Tabelle1!E50),Tabelle1!E50*'Weights &amp; Assumptions'!$F$6+Tabelle1!F50*'Weights &amp; Assumptions'!$F$7,"")</f>
        <v>110.174425692423</v>
      </c>
      <c r="W49" s="30" t="n">
        <f aca="false">IF(ISNUMBER(Tabelle1!G50),Tabelle1!G50*'Weights &amp; Assumptions'!$F$8+Tabelle1!H50*'Weights &amp; Assumptions'!$F$9+Tabelle1!J50*'Weights &amp; Assumptions'!$F$11,"")</f>
        <v>124.666137505772</v>
      </c>
      <c r="X49" s="30" t="n">
        <f aca="false">IF(ISNUMBER(Tabelle1!I50),Tabelle1!I50*'Weights &amp; Assumptions'!$F$10+Tabelle1!K50*'Weights &amp; Assumptions'!$F$12+Tabelle1!L50*'Weights &amp; Assumptions'!$F$13+Tabelle1!M50*'Weights &amp; Assumptions'!$F$14+Tabelle1!N50*'Weights &amp; Assumptions'!$F$15+Tabelle1!O50*'Weights &amp; Assumptions'!$F$16+Tabelle1!P50*'Weights &amp; Assumptions'!$F$17+Tabelle1!Q50*'Weights &amp; Assumptions'!$F$18+Tabelle1!R50*'Weights &amp; Assumptions'!$F$19+Tabelle1!S50*'Weights &amp; Assumptions'!$F$20,"")</f>
        <v>130.711669962795</v>
      </c>
      <c r="Y49" s="23" t="n">
        <f aca="false">IFERROR(V49*'Weights &amp; Assumptions'!$B$25/'Weights &amp; Assumptions'!$B$28+W49*'Weights &amp; Assumptions'!$B$26/'Weights &amp; Assumptions'!$B$28+X49*'Weights &amp; Assumptions'!$B$27/'Weights &amp; Assumptions'!$B$28,"")</f>
        <v>127.380965392769</v>
      </c>
    </row>
    <row r="50" customFormat="false" ht="15" hidden="false" customHeight="false" outlineLevel="0" collapsed="false">
      <c r="A50" s="20" t="n">
        <v>39325</v>
      </c>
      <c r="B50" s="30" t="n">
        <f aca="false">IF(ISNUMBER(Tabelle1!D51),Tabelle1!D51,"")</f>
        <v>128.75588</v>
      </c>
      <c r="C50" s="23" t="n">
        <f aca="false">IF(ISNUMBER(Tabelle1!E51),Tabelle1!E51/'SF Workings'!F50,"")</f>
        <v>121.483823924578</v>
      </c>
      <c r="D50" s="23" t="n">
        <f aca="false">IF(ISNUMBER(Tabelle1!F51),Tabelle1!F51/'SF Workings'!J50,"")</f>
        <v>93.5079800360506</v>
      </c>
      <c r="E50" s="23" t="n">
        <f aca="false">IF(ISNUMBER(Tabelle1!G51),Tabelle1!G51/'SF Workings'!N50,"")</f>
        <v>103.467184462758</v>
      </c>
      <c r="F50" s="23" t="n">
        <f aca="false">IF(ISNUMBER(Tabelle1!H51),Tabelle1!H51/'SF Workings'!R50,"")</f>
        <v>125.222589652024</v>
      </c>
      <c r="G50" s="23" t="n">
        <f aca="false">IF(ISNUMBER(Tabelle1!I51),Tabelle1!I51/'SF Workings'!V50,"")</f>
        <v>114.096923420649</v>
      </c>
      <c r="H50" s="23" t="n">
        <f aca="false">IF(ISNUMBER(Tabelle1!J51),Tabelle1!J51/'SF Workings'!Z50,"")</f>
        <v>141.151699898125</v>
      </c>
      <c r="I50" s="23" t="n">
        <f aca="false">IF(ISNUMBER(Tabelle1!K51),Tabelle1!K51/'SF Workings'!AD50,"")</f>
        <v>138.312570594752</v>
      </c>
      <c r="J50" s="23" t="n">
        <f aca="false">IF(ISNUMBER(Tabelle1!L51),Tabelle1!L51/'SF Workings'!AH50,"")</f>
        <v>137.958579605379</v>
      </c>
      <c r="K50" s="23" t="n">
        <f aca="false">IF(ISNUMBER(Tabelle1!M51),Tabelle1!M51/'SF Workings'!AL50,"")</f>
        <v>147.740568114295</v>
      </c>
      <c r="L50" s="23" t="n">
        <f aca="false">IF(ISNUMBER(Tabelle1!N51),Tabelle1!N51/'SF Workings'!AP50,"")</f>
        <v>143.856018690758</v>
      </c>
      <c r="M50" s="23" t="n">
        <f aca="false">IF(ISNUMBER(Tabelle1!O51),Tabelle1!O51/'SF Workings'!AT50,"")</f>
        <v>121.076054592536</v>
      </c>
      <c r="N50" s="23" t="n">
        <f aca="false">IF(ISNUMBER(Tabelle1!P51),Tabelle1!P51/'SF Workings'!AX50,"")</f>
        <v>115.107207151193</v>
      </c>
      <c r="O50" s="23" t="n">
        <f aca="false">IF(ISNUMBER(Tabelle1!Q51),Tabelle1!Q51/'SF Workings'!BB50,"")</f>
        <v>117.168029993831</v>
      </c>
      <c r="P50" s="23" t="n">
        <f aca="false">IF(ISNUMBER(Tabelle1!R51),Tabelle1!R51/'SF Workings'!BF50,"")</f>
        <v>121.126739067697</v>
      </c>
      <c r="Q50" s="23" t="n">
        <f aca="false">IF(ISNUMBER(Tabelle1!S51),Tabelle1!S51/'SF Workings'!BJ50,"")</f>
        <v>135.77531097273</v>
      </c>
      <c r="R50" s="23" t="n">
        <f aca="false">IFERROR(C50*'Weights &amp; Assumptions'!$F$6+D50*'Weights &amp; Assumptions'!$F$7,"")</f>
        <v>121.141048897852</v>
      </c>
      <c r="S50" s="23" t="n">
        <f aca="false">IFERROR(E50*'Weights &amp; Assumptions'!$F$8+F50*'Weights &amp; Assumptions'!$F$9+H50*'Weights &amp; Assumptions'!$F$11,"")</f>
        <v>125.94345399947</v>
      </c>
      <c r="T50" s="23" t="n">
        <f aca="false">IFERROR(G50*'Weights &amp; Assumptions'!$F$10+I50*'Weights &amp; Assumptions'!$F$12+J50*'Weights &amp; Assumptions'!$F$13+K50*'Weights &amp; Assumptions'!$F$14+L50*'Weights &amp; Assumptions'!$F$15+M50*'Weights &amp; Assumptions'!$F$16+N50*'Weights &amp; Assumptions'!$F$17+O50*'Weights &amp; Assumptions'!$F$18+P50*'Weights &amp; Assumptions'!$F$19+Q50*'Weights &amp; Assumptions'!$F$20,"")</f>
        <v>130.752409413039</v>
      </c>
      <c r="U50" s="23" t="n">
        <f aca="false">IFERROR(R50*'Weights &amp; Assumptions'!$B$25/'Weights &amp; Assumptions'!$B$28+S50*'Weights &amp; Assumptions'!$B$26/'Weights &amp; Assumptions'!$B$28+T50*'Weights &amp; Assumptions'!$B$27/'Weights &amp; Assumptions'!$B$28,"")</f>
        <v>128.667223019161</v>
      </c>
      <c r="V50" s="30" t="n">
        <f aca="false">IF(ISNUMBER(Tabelle1!E51),Tabelle1!E51*'Weights &amp; Assumptions'!$F$6+Tabelle1!F51*'Weights &amp; Assumptions'!$F$7,"")</f>
        <v>70.8369214253704</v>
      </c>
      <c r="W50" s="30" t="n">
        <f aca="false">IF(ISNUMBER(Tabelle1!G51),Tabelle1!G51*'Weights &amp; Assumptions'!$F$8+Tabelle1!H51*'Weights &amp; Assumptions'!$F$9+Tabelle1!J51*'Weights &amp; Assumptions'!$F$11,"")</f>
        <v>128.92827276228</v>
      </c>
      <c r="X50" s="30" t="n">
        <f aca="false">IF(ISNUMBER(Tabelle1!I51),Tabelle1!I51*'Weights &amp; Assumptions'!$F$10+Tabelle1!K51*'Weights &amp; Assumptions'!$F$12+Tabelle1!L51*'Weights &amp; Assumptions'!$F$13+Tabelle1!M51*'Weights &amp; Assumptions'!$F$14+Tabelle1!N51*'Weights &amp; Assumptions'!$F$15+Tabelle1!O51*'Weights &amp; Assumptions'!$F$16+Tabelle1!P51*'Weights &amp; Assumptions'!$F$17+Tabelle1!Q51*'Weights &amp; Assumptions'!$F$18+Tabelle1!R51*'Weights &amp; Assumptions'!$F$19+Tabelle1!S51*'Weights &amp; Assumptions'!$F$20,"")</f>
        <v>131.817941715717</v>
      </c>
      <c r="Y50" s="23" t="n">
        <f aca="false">IFERROR(V50*'Weights &amp; Assumptions'!$B$25/'Weights &amp; Assumptions'!$B$28+W50*'Weights &amp; Assumptions'!$B$26/'Weights &amp; Assumptions'!$B$28+X50*'Weights &amp; Assumptions'!$B$27/'Weights &amp; Assumptions'!$B$28,"")</f>
        <v>125.93316991312</v>
      </c>
    </row>
    <row r="51" customFormat="false" ht="15" hidden="false" customHeight="false" outlineLevel="0" collapsed="false">
      <c r="A51" s="20" t="n">
        <v>39355</v>
      </c>
      <c r="B51" s="30" t="n">
        <f aca="false">IF(ISNUMBER(Tabelle1!D52),Tabelle1!D52,"")</f>
        <v>129.61435</v>
      </c>
      <c r="C51" s="23" t="n">
        <f aca="false">IF(ISNUMBER(Tabelle1!E52),Tabelle1!E52/'SF Workings'!F51,"")</f>
        <v>117.964119424313</v>
      </c>
      <c r="D51" s="23" t="n">
        <f aca="false">IF(ISNUMBER(Tabelle1!F52),Tabelle1!F52/'SF Workings'!J51,"")</f>
        <v>89.2614316018468</v>
      </c>
      <c r="E51" s="23" t="n">
        <f aca="false">IF(ISNUMBER(Tabelle1!G52),Tabelle1!G52/'SF Workings'!N51,"")</f>
        <v>102.684863493004</v>
      </c>
      <c r="F51" s="23" t="n">
        <f aca="false">IF(ISNUMBER(Tabelle1!H52),Tabelle1!H52/'SF Workings'!R51,"")</f>
        <v>126.827698433881</v>
      </c>
      <c r="G51" s="23" t="n">
        <f aca="false">IF(ISNUMBER(Tabelle1!I52),Tabelle1!I52/'SF Workings'!V51,"")</f>
        <v>116.211900434309</v>
      </c>
      <c r="H51" s="23" t="n">
        <f aca="false">IF(ISNUMBER(Tabelle1!J52),Tabelle1!J52/'SF Workings'!Z51,"")</f>
        <v>139.716858207864</v>
      </c>
      <c r="I51" s="23" t="n">
        <f aca="false">IF(ISNUMBER(Tabelle1!K52),Tabelle1!K52/'SF Workings'!AD51,"")</f>
        <v>135.308415690923</v>
      </c>
      <c r="J51" s="23" t="n">
        <f aca="false">IF(ISNUMBER(Tabelle1!L52),Tabelle1!L52/'SF Workings'!AH51,"")</f>
        <v>137.880514297578</v>
      </c>
      <c r="K51" s="23" t="n">
        <f aca="false">IF(ISNUMBER(Tabelle1!M52),Tabelle1!M52/'SF Workings'!AL51,"")</f>
        <v>146.610433884275</v>
      </c>
      <c r="L51" s="23" t="n">
        <f aca="false">IF(ISNUMBER(Tabelle1!N52),Tabelle1!N52/'SF Workings'!AP51,"")</f>
        <v>140.604713329404</v>
      </c>
      <c r="M51" s="23" t="n">
        <f aca="false">IF(ISNUMBER(Tabelle1!O52),Tabelle1!O52/'SF Workings'!AT51,"")</f>
        <v>119.594324769446</v>
      </c>
      <c r="N51" s="23" t="n">
        <f aca="false">IF(ISNUMBER(Tabelle1!P52),Tabelle1!P52/'SF Workings'!AX51,"")</f>
        <v>114.952510530808</v>
      </c>
      <c r="O51" s="23" t="n">
        <f aca="false">IF(ISNUMBER(Tabelle1!Q52),Tabelle1!Q52/'SF Workings'!BB51,"")</f>
        <v>116.8627329632</v>
      </c>
      <c r="P51" s="23" t="n">
        <f aca="false">IF(ISNUMBER(Tabelle1!R52),Tabelle1!R52/'SF Workings'!BF51,"")</f>
        <v>120.050589464026</v>
      </c>
      <c r="Q51" s="23" t="n">
        <f aca="false">IF(ISNUMBER(Tabelle1!S52),Tabelle1!S52/'SF Workings'!BJ51,"")</f>
        <v>132.366876039649</v>
      </c>
      <c r="R51" s="23" t="n">
        <f aca="false">IFERROR(C51*'Weights &amp; Assumptions'!$F$6+D51*'Weights &amp; Assumptions'!$F$7,"")</f>
        <v>117.612438716318</v>
      </c>
      <c r="S51" s="23" t="n">
        <f aca="false">IFERROR(E51*'Weights &amp; Assumptions'!$F$8+F51*'Weights &amp; Assumptions'!$F$9+H51*'Weights &amp; Assumptions'!$F$11,"")</f>
        <v>126.630215655831</v>
      </c>
      <c r="T51" s="23" t="n">
        <f aca="false">IFERROR(G51*'Weights &amp; Assumptions'!$F$10+I51*'Weights &amp; Assumptions'!$F$12+J51*'Weights &amp; Assumptions'!$F$13+K51*'Weights &amp; Assumptions'!$F$14+L51*'Weights &amp; Assumptions'!$F$15+M51*'Weights &amp; Assumptions'!$F$16+N51*'Weights &amp; Assumptions'!$F$17+O51*'Weights &amp; Assumptions'!$F$18+P51*'Weights &amp; Assumptions'!$F$19+Q51*'Weights &amp; Assumptions'!$F$20,"")</f>
        <v>129.180619046639</v>
      </c>
      <c r="U51" s="23" t="n">
        <f aca="false">IFERROR(R51*'Weights &amp; Assumptions'!$B$25/'Weights &amp; Assumptions'!$B$28+S51*'Weights &amp; Assumptions'!$B$26/'Weights &amp; Assumptions'!$B$28+T51*'Weights &amp; Assumptions'!$B$27/'Weights &amp; Assumptions'!$B$28,"")</f>
        <v>127.531842277422</v>
      </c>
      <c r="V51" s="30" t="n">
        <f aca="false">IF(ISNUMBER(Tabelle1!E52),Tabelle1!E52*'Weights &amp; Assumptions'!$F$6+Tabelle1!F52*'Weights &amp; Assumptions'!$F$7,"")</f>
        <v>64.562046535679</v>
      </c>
      <c r="W51" s="30" t="n">
        <f aca="false">IF(ISNUMBER(Tabelle1!G52),Tabelle1!G52*'Weights &amp; Assumptions'!$F$8+Tabelle1!H52*'Weights &amp; Assumptions'!$F$9+Tabelle1!J52*'Weights &amp; Assumptions'!$F$11,"")</f>
        <v>130.582894888086</v>
      </c>
      <c r="X51" s="30" t="n">
        <f aca="false">IF(ISNUMBER(Tabelle1!I52),Tabelle1!I52*'Weights &amp; Assumptions'!$F$10+Tabelle1!K52*'Weights &amp; Assumptions'!$F$12+Tabelle1!L52*'Weights &amp; Assumptions'!$F$13+Tabelle1!M52*'Weights &amp; Assumptions'!$F$14+Tabelle1!N52*'Weights &amp; Assumptions'!$F$15+Tabelle1!O52*'Weights &amp; Assumptions'!$F$16+Tabelle1!P52*'Weights &amp; Assumptions'!$F$17+Tabelle1!Q52*'Weights &amp; Assumptions'!$F$18+Tabelle1!R52*'Weights &amp; Assumptions'!$F$19+Tabelle1!S52*'Weights &amp; Assumptions'!$F$20,"")</f>
        <v>129.500300992551</v>
      </c>
      <c r="Y51" s="23" t="n">
        <f aca="false">IFERROR(V51*'Weights &amp; Assumptions'!$B$25/'Weights &amp; Assumptions'!$B$28+W51*'Weights &amp; Assumptions'!$B$26/'Weights &amp; Assumptions'!$B$28+X51*'Weights &amp; Assumptions'!$B$27/'Weights &amp; Assumptions'!$B$28,"")</f>
        <v>124.339808029864</v>
      </c>
    </row>
    <row r="52" customFormat="false" ht="15" hidden="false" customHeight="false" outlineLevel="0" collapsed="false">
      <c r="A52" s="20" t="n">
        <v>39386</v>
      </c>
      <c r="B52" s="30" t="n">
        <f aca="false">IF(ISNUMBER(Tabelle1!D53),Tabelle1!D53,"")</f>
        <v>131.23956</v>
      </c>
      <c r="C52" s="23" t="n">
        <f aca="false">IF(ISNUMBER(Tabelle1!E53),Tabelle1!E53/'SF Workings'!F52,"")</f>
        <v>121.35589639433</v>
      </c>
      <c r="D52" s="23" t="n">
        <f aca="false">IF(ISNUMBER(Tabelle1!F53),Tabelle1!F53/'SF Workings'!J52,"")</f>
        <v>80.4978850624935</v>
      </c>
      <c r="E52" s="23" t="n">
        <f aca="false">IF(ISNUMBER(Tabelle1!G53),Tabelle1!G53/'SF Workings'!N52,"")</f>
        <v>102.394477374071</v>
      </c>
      <c r="F52" s="23" t="n">
        <f aca="false">IF(ISNUMBER(Tabelle1!H53),Tabelle1!H53/'SF Workings'!R52,"")</f>
        <v>130.82714787393</v>
      </c>
      <c r="G52" s="23" t="n">
        <f aca="false">IF(ISNUMBER(Tabelle1!I53),Tabelle1!I53/'SF Workings'!V52,"")</f>
        <v>117.737502730757</v>
      </c>
      <c r="H52" s="23" t="n">
        <f aca="false">IF(ISNUMBER(Tabelle1!J53),Tabelle1!J53/'SF Workings'!Z52,"")</f>
        <v>145.654251505157</v>
      </c>
      <c r="I52" s="23" t="n">
        <f aca="false">IF(ISNUMBER(Tabelle1!K53),Tabelle1!K53/'SF Workings'!AD52,"")</f>
        <v>143.414406129453</v>
      </c>
      <c r="J52" s="23" t="n">
        <f aca="false">IF(ISNUMBER(Tabelle1!L53),Tabelle1!L53/'SF Workings'!AH52,"")</f>
        <v>139.894857377364</v>
      </c>
      <c r="K52" s="23" t="n">
        <f aca="false">IF(ISNUMBER(Tabelle1!M53),Tabelle1!M53/'SF Workings'!AL52,"")</f>
        <v>150.626678142677</v>
      </c>
      <c r="L52" s="23" t="n">
        <f aca="false">IF(ISNUMBER(Tabelle1!N53),Tabelle1!N53/'SF Workings'!AP52,"")</f>
        <v>144.143875046202</v>
      </c>
      <c r="M52" s="23" t="n">
        <f aca="false">IF(ISNUMBER(Tabelle1!O53),Tabelle1!O53/'SF Workings'!AT52,"")</f>
        <v>122.830062156877</v>
      </c>
      <c r="N52" s="23" t="n">
        <f aca="false">IF(ISNUMBER(Tabelle1!P53),Tabelle1!P53/'SF Workings'!AX52,"")</f>
        <v>115.790076644824</v>
      </c>
      <c r="O52" s="23" t="n">
        <f aca="false">IF(ISNUMBER(Tabelle1!Q53),Tabelle1!Q53/'SF Workings'!BB52,"")</f>
        <v>117.376869139001</v>
      </c>
      <c r="P52" s="23" t="n">
        <f aca="false">IF(ISNUMBER(Tabelle1!R53),Tabelle1!R53/'SF Workings'!BF52,"")</f>
        <v>122.827671572802</v>
      </c>
      <c r="Q52" s="23" t="n">
        <f aca="false">IF(ISNUMBER(Tabelle1!S53),Tabelle1!S53/'SF Workings'!BJ52,"")</f>
        <v>130.253883324742</v>
      </c>
      <c r="R52" s="23" t="n">
        <f aca="false">IFERROR(C52*'Weights &amp; Assumptions'!$F$6+D52*'Weights &amp; Assumptions'!$F$7,"")</f>
        <v>120.855282150768</v>
      </c>
      <c r="S52" s="23" t="n">
        <f aca="false">IFERROR(E52*'Weights &amp; Assumptions'!$F$8+F52*'Weights &amp; Assumptions'!$F$9+H52*'Weights &amp; Assumptions'!$F$11,"")</f>
        <v>130.521188034763</v>
      </c>
      <c r="T52" s="23" t="n">
        <f aca="false">IFERROR(G52*'Weights &amp; Assumptions'!$F$10+I52*'Weights &amp; Assumptions'!$F$12+J52*'Weights &amp; Assumptions'!$F$13+K52*'Weights &amp; Assumptions'!$F$14+L52*'Weights &amp; Assumptions'!$F$15+M52*'Weights &amp; Assumptions'!$F$16+N52*'Weights &amp; Assumptions'!$F$17+O52*'Weights &amp; Assumptions'!$F$18+P52*'Weights &amp; Assumptions'!$F$19+Q52*'Weights &amp; Assumptions'!$F$20,"")</f>
        <v>132.685581920295</v>
      </c>
      <c r="U52" s="23" t="n">
        <f aca="false">IFERROR(R52*'Weights &amp; Assumptions'!$B$25/'Weights &amp; Assumptions'!$B$28+S52*'Weights &amp; Assumptions'!$B$26/'Weights &amp; Assumptions'!$B$28+T52*'Weights &amp; Assumptions'!$B$27/'Weights &amp; Assumptions'!$B$28,"")</f>
        <v>131.117459782324</v>
      </c>
      <c r="V52" s="30" t="n">
        <f aca="false">IF(ISNUMBER(Tabelle1!E53),Tabelle1!E53*'Weights &amp; Assumptions'!$F$6+Tabelle1!F53*'Weights &amp; Assumptions'!$F$7,"")</f>
        <v>66.7334769378196</v>
      </c>
      <c r="W52" s="30" t="n">
        <f aca="false">IF(ISNUMBER(Tabelle1!G53),Tabelle1!G53*'Weights &amp; Assumptions'!$F$8+Tabelle1!H53*'Weights &amp; Assumptions'!$F$9+Tabelle1!J53*'Weights &amp; Assumptions'!$F$11,"")</f>
        <v>135.508147709519</v>
      </c>
      <c r="X52" s="30" t="n">
        <f aca="false">IF(ISNUMBER(Tabelle1!I53),Tabelle1!I53*'Weights &amp; Assumptions'!$F$10+Tabelle1!K53*'Weights &amp; Assumptions'!$F$12+Tabelle1!L53*'Weights &amp; Assumptions'!$F$13+Tabelle1!M53*'Weights &amp; Assumptions'!$F$14+Tabelle1!N53*'Weights &amp; Assumptions'!$F$15+Tabelle1!O53*'Weights &amp; Assumptions'!$F$16+Tabelle1!P53*'Weights &amp; Assumptions'!$F$17+Tabelle1!Q53*'Weights &amp; Assumptions'!$F$18+Tabelle1!R53*'Weights &amp; Assumptions'!$F$19+Tabelle1!S53*'Weights &amp; Assumptions'!$F$20,"")</f>
        <v>132.64154763099</v>
      </c>
      <c r="Y52" s="23" t="n">
        <f aca="false">IFERROR(V52*'Weights &amp; Assumptions'!$B$25/'Weights &amp; Assumptions'!$B$28+W52*'Weights &amp; Assumptions'!$B$26/'Weights &amp; Assumptions'!$B$28+X52*'Weights &amp; Assumptions'!$B$27/'Weights &amp; Assumptions'!$B$28,"")</f>
        <v>127.874084686371</v>
      </c>
    </row>
    <row r="53" customFormat="false" ht="15" hidden="false" customHeight="false" outlineLevel="0" collapsed="false">
      <c r="A53" s="20" t="n">
        <v>39416</v>
      </c>
      <c r="B53" s="30" t="n">
        <f aca="false">IF(ISNUMBER(Tabelle1!D54),Tabelle1!D54,"")</f>
        <v>132.63358</v>
      </c>
      <c r="C53" s="23" t="n">
        <f aca="false">IF(ISNUMBER(Tabelle1!E54),Tabelle1!E54/'SF Workings'!F53,"")</f>
        <v>121.59024990293</v>
      </c>
      <c r="D53" s="23" t="n">
        <f aca="false">IF(ISNUMBER(Tabelle1!F54),Tabelle1!F54/'SF Workings'!J53,"")</f>
        <v>88.8029644533701</v>
      </c>
      <c r="E53" s="23" t="n">
        <f aca="false">IF(ISNUMBER(Tabelle1!G54),Tabelle1!G54/'SF Workings'!N53,"")</f>
        <v>99.469801884638</v>
      </c>
      <c r="F53" s="23" t="n">
        <f aca="false">IF(ISNUMBER(Tabelle1!H54),Tabelle1!H54/'SF Workings'!R53,"")</f>
        <v>132.348727430266</v>
      </c>
      <c r="G53" s="23" t="n">
        <f aca="false">IF(ISNUMBER(Tabelle1!I54),Tabelle1!I54/'SF Workings'!V53,"")</f>
        <v>115.497402621198</v>
      </c>
      <c r="H53" s="23" t="n">
        <f aca="false">IF(ISNUMBER(Tabelle1!J54),Tabelle1!J54/'SF Workings'!Z53,"")</f>
        <v>144.612343827428</v>
      </c>
      <c r="I53" s="23" t="n">
        <f aca="false">IF(ISNUMBER(Tabelle1!K54),Tabelle1!K54/'SF Workings'!AD53,"")</f>
        <v>143.866269859947</v>
      </c>
      <c r="J53" s="23" t="n">
        <f aca="false">IF(ISNUMBER(Tabelle1!L54),Tabelle1!L54/'SF Workings'!AH53,"")</f>
        <v>142.232691773951</v>
      </c>
      <c r="K53" s="23" t="n">
        <f aca="false">IF(ISNUMBER(Tabelle1!M54),Tabelle1!M54/'SF Workings'!AL53,"")</f>
        <v>151.278541471438</v>
      </c>
      <c r="L53" s="23" t="n">
        <f aca="false">IF(ISNUMBER(Tabelle1!N54),Tabelle1!N54/'SF Workings'!AP53,"")</f>
        <v>144.781698730711</v>
      </c>
      <c r="M53" s="23" t="n">
        <f aca="false">IF(ISNUMBER(Tabelle1!O54),Tabelle1!O54/'SF Workings'!AT53,"")</f>
        <v>122.040988646747</v>
      </c>
      <c r="N53" s="23" t="n">
        <f aca="false">IF(ISNUMBER(Tabelle1!P54),Tabelle1!P54/'SF Workings'!AX53,"")</f>
        <v>117.719913949326</v>
      </c>
      <c r="O53" s="23" t="n">
        <f aca="false">IF(ISNUMBER(Tabelle1!Q54),Tabelle1!Q54/'SF Workings'!BB53,"")</f>
        <v>119.754164824829</v>
      </c>
      <c r="P53" s="23" t="n">
        <f aca="false">IF(ISNUMBER(Tabelle1!R54),Tabelle1!R54/'SF Workings'!BF53,"")</f>
        <v>123.561391875247</v>
      </c>
      <c r="Q53" s="23" t="n">
        <f aca="false">IF(ISNUMBER(Tabelle1!S54),Tabelle1!S54/'SF Workings'!BJ53,"")</f>
        <v>131.610589841512</v>
      </c>
      <c r="R53" s="23" t="n">
        <f aca="false">IFERROR(C53*'Weights &amp; Assumptions'!$F$6+D53*'Weights &amp; Assumptions'!$F$7,"")</f>
        <v>121.18852251658</v>
      </c>
      <c r="S53" s="23" t="n">
        <f aca="false">IFERROR(E53*'Weights &amp; Assumptions'!$F$8+F53*'Weights &amp; Assumptions'!$F$9+H53*'Weights &amp; Assumptions'!$F$11,"")</f>
        <v>130.977859987971</v>
      </c>
      <c r="T53" s="23" t="n">
        <f aca="false">IFERROR(G53*'Weights &amp; Assumptions'!$F$10+I53*'Weights &amp; Assumptions'!$F$12+J53*'Weights &amp; Assumptions'!$F$13+K53*'Weights &amp; Assumptions'!$F$14+L53*'Weights &amp; Assumptions'!$F$15+M53*'Weights &amp; Assumptions'!$F$16+N53*'Weights &amp; Assumptions'!$F$17+O53*'Weights &amp; Assumptions'!$F$18+P53*'Weights &amp; Assumptions'!$F$19+Q53*'Weights &amp; Assumptions'!$F$20,"")</f>
        <v>133.290559396548</v>
      </c>
      <c r="U53" s="23" t="n">
        <f aca="false">IFERROR(R53*'Weights &amp; Assumptions'!$B$25/'Weights &amp; Assumptions'!$B$28+S53*'Weights &amp; Assumptions'!$B$26/'Weights &amp; Assumptions'!$B$28+T53*'Weights &amp; Assumptions'!$B$27/'Weights &amp; Assumptions'!$B$28,"")</f>
        <v>131.660201259669</v>
      </c>
      <c r="V53" s="30" t="n">
        <f aca="false">IF(ISNUMBER(Tabelle1!E54),Tabelle1!E54*'Weights &amp; Assumptions'!$F$6+Tabelle1!F54*'Weights &amp; Assumptions'!$F$7,"")</f>
        <v>83.5874250852791</v>
      </c>
      <c r="W53" s="30" t="n">
        <f aca="false">IF(ISNUMBER(Tabelle1!G54),Tabelle1!G54*'Weights &amp; Assumptions'!$F$8+Tabelle1!H54*'Weights &amp; Assumptions'!$F$9+Tabelle1!J54*'Weights &amp; Assumptions'!$F$11,"")</f>
        <v>133.29996561722</v>
      </c>
      <c r="X53" s="30" t="n">
        <f aca="false">IF(ISNUMBER(Tabelle1!I54),Tabelle1!I54*'Weights &amp; Assumptions'!$F$10+Tabelle1!K54*'Weights &amp; Assumptions'!$F$12+Tabelle1!L54*'Weights &amp; Assumptions'!$F$13+Tabelle1!M54*'Weights &amp; Assumptions'!$F$14+Tabelle1!N54*'Weights &amp; Assumptions'!$F$15+Tabelle1!O54*'Weights &amp; Assumptions'!$F$16+Tabelle1!P54*'Weights &amp; Assumptions'!$F$17+Tabelle1!Q54*'Weights &amp; Assumptions'!$F$18+Tabelle1!R54*'Weights &amp; Assumptions'!$F$19+Tabelle1!S54*'Weights &amp; Assumptions'!$F$20,"")</f>
        <v>133.5500638262</v>
      </c>
      <c r="Y53" s="23" t="n">
        <f aca="false">IFERROR(V53*'Weights &amp; Assumptions'!$B$25/'Weights &amp; Assumptions'!$B$28+W53*'Weights &amp; Assumptions'!$B$26/'Weights &amp; Assumptions'!$B$28+X53*'Weights &amp; Assumptions'!$B$27/'Weights &amp; Assumptions'!$B$28,"")</f>
        <v>129.291651374487</v>
      </c>
    </row>
    <row r="54" customFormat="false" ht="15" hidden="false" customHeight="false" outlineLevel="0" collapsed="false">
      <c r="A54" s="20" t="n">
        <v>39447</v>
      </c>
      <c r="B54" s="30" t="n">
        <f aca="false">IF(ISNUMBER(Tabelle1!D55),Tabelle1!D55,"")</f>
        <v>134.19822</v>
      </c>
      <c r="C54" s="23" t="n">
        <f aca="false">IF(ISNUMBER(Tabelle1!E55),Tabelle1!E55/'SF Workings'!F54,"")</f>
        <v>122.571433568261</v>
      </c>
      <c r="D54" s="23" t="n">
        <f aca="false">IF(ISNUMBER(Tabelle1!F55),Tabelle1!F55/'SF Workings'!J54,"")</f>
        <v>99.7481029253975</v>
      </c>
      <c r="E54" s="23" t="n">
        <f aca="false">IF(ISNUMBER(Tabelle1!G55),Tabelle1!G55/'SF Workings'!N54,"")</f>
        <v>104.82623643967</v>
      </c>
      <c r="F54" s="23" t="n">
        <f aca="false">IF(ISNUMBER(Tabelle1!H55),Tabelle1!H55/'SF Workings'!R54,"")</f>
        <v>132.55423147571</v>
      </c>
      <c r="G54" s="23" t="n">
        <f aca="false">IF(ISNUMBER(Tabelle1!I55),Tabelle1!I55/'SF Workings'!V54,"")</f>
        <v>118.750730040389</v>
      </c>
      <c r="H54" s="23" t="n">
        <f aca="false">IF(ISNUMBER(Tabelle1!J55),Tabelle1!J55/'SF Workings'!Z54,"")</f>
        <v>143.645488762456</v>
      </c>
      <c r="I54" s="23" t="n">
        <f aca="false">IF(ISNUMBER(Tabelle1!K55),Tabelle1!K55/'SF Workings'!AD54,"")</f>
        <v>140.576211115014</v>
      </c>
      <c r="J54" s="23" t="n">
        <f aca="false">IF(ISNUMBER(Tabelle1!L55),Tabelle1!L55/'SF Workings'!AH54,"")</f>
        <v>144.445843576161</v>
      </c>
      <c r="K54" s="23" t="n">
        <f aca="false">IF(ISNUMBER(Tabelle1!M55),Tabelle1!M55/'SF Workings'!AL54,"")</f>
        <v>152.586066188381</v>
      </c>
      <c r="L54" s="23" t="n">
        <f aca="false">IF(ISNUMBER(Tabelle1!N55),Tabelle1!N55/'SF Workings'!AP54,"")</f>
        <v>145.878568542772</v>
      </c>
      <c r="M54" s="23" t="n">
        <f aca="false">IF(ISNUMBER(Tabelle1!O55),Tabelle1!O55/'SF Workings'!AT54,"")</f>
        <v>118.54301235134</v>
      </c>
      <c r="N54" s="23" t="n">
        <f aca="false">IF(ISNUMBER(Tabelle1!P55),Tabelle1!P55/'SF Workings'!AX54,"")</f>
        <v>117.455983385026</v>
      </c>
      <c r="O54" s="23" t="n">
        <f aca="false">IF(ISNUMBER(Tabelle1!Q55),Tabelle1!Q55/'SF Workings'!BB54,"")</f>
        <v>118.44515632281</v>
      </c>
      <c r="P54" s="23" t="n">
        <f aca="false">IF(ISNUMBER(Tabelle1!R55),Tabelle1!R55/'SF Workings'!BF54,"")</f>
        <v>124.786793692264</v>
      </c>
      <c r="Q54" s="23" t="n">
        <f aca="false">IF(ISNUMBER(Tabelle1!S55),Tabelle1!S55/'SF Workings'!BJ54,"")</f>
        <v>131.23563389046</v>
      </c>
      <c r="R54" s="23" t="n">
        <f aca="false">IFERROR(C54*'Weights &amp; Assumptions'!$F$6+D54*'Weights &amp; Assumptions'!$F$7,"")</f>
        <v>122.291789894159</v>
      </c>
      <c r="S54" s="23" t="n">
        <f aca="false">IFERROR(E54*'Weights &amp; Assumptions'!$F$8+F54*'Weights &amp; Assumptions'!$F$9+H54*'Weights &amp; Assumptions'!$F$11,"")</f>
        <v>131.554143243697</v>
      </c>
      <c r="T54" s="23" t="n">
        <f aca="false">IFERROR(G54*'Weights &amp; Assumptions'!$F$10+I54*'Weights &amp; Assumptions'!$F$12+J54*'Weights &amp; Assumptions'!$F$13+K54*'Weights &amp; Assumptions'!$F$14+L54*'Weights &amp; Assumptions'!$F$15+M54*'Weights &amp; Assumptions'!$F$16+N54*'Weights &amp; Assumptions'!$F$17+O54*'Weights &amp; Assumptions'!$F$18+P54*'Weights &amp; Assumptions'!$F$19+Q54*'Weights &amp; Assumptions'!$F$20,"")</f>
        <v>132.323957042042</v>
      </c>
      <c r="U54" s="23" t="n">
        <f aca="false">IFERROR(R54*'Weights &amp; Assumptions'!$B$25/'Weights &amp; Assumptions'!$B$28+S54*'Weights &amp; Assumptions'!$B$26/'Weights &amp; Assumptions'!$B$28+T54*'Weights &amp; Assumptions'!$B$27/'Weights &amp; Assumptions'!$B$28,"")</f>
        <v>131.277542933367</v>
      </c>
      <c r="V54" s="30" t="n">
        <f aca="false">IF(ISNUMBER(Tabelle1!E55),Tabelle1!E55*'Weights &amp; Assumptions'!$F$6+Tabelle1!F55*'Weights &amp; Assumptions'!$F$7,"")</f>
        <v>95.5506782517491</v>
      </c>
      <c r="W54" s="30" t="n">
        <f aca="false">IF(ISNUMBER(Tabelle1!G55),Tabelle1!G55*'Weights &amp; Assumptions'!$F$8+Tabelle1!H55*'Weights &amp; Assumptions'!$F$9+Tabelle1!J55*'Weights &amp; Assumptions'!$F$11,"")</f>
        <v>129.264472487308</v>
      </c>
      <c r="X54" s="30" t="n">
        <f aca="false">IF(ISNUMBER(Tabelle1!I55),Tabelle1!I55*'Weights &amp; Assumptions'!$F$10+Tabelle1!K55*'Weights &amp; Assumptions'!$F$12+Tabelle1!L55*'Weights &amp; Assumptions'!$F$13+Tabelle1!M55*'Weights &amp; Assumptions'!$F$14+Tabelle1!N55*'Weights &amp; Assumptions'!$F$15+Tabelle1!O55*'Weights &amp; Assumptions'!$F$16+Tabelle1!P55*'Weights &amp; Assumptions'!$F$17+Tabelle1!Q55*'Weights &amp; Assumptions'!$F$18+Tabelle1!R55*'Weights &amp; Assumptions'!$F$19+Tabelle1!S55*'Weights &amp; Assumptions'!$F$20,"")</f>
        <v>131.306326067999</v>
      </c>
      <c r="Y54" s="23" t="n">
        <f aca="false">IFERROR(V54*'Weights &amp; Assumptions'!$B$25/'Weights &amp; Assumptions'!$B$28+W54*'Weights &amp; Assumptions'!$B$26/'Weights &amp; Assumptions'!$B$28+X54*'Weights &amp; Assumptions'!$B$27/'Weights &amp; Assumptions'!$B$28,"")</f>
        <v>127.763432925884</v>
      </c>
    </row>
    <row r="55" customFormat="false" ht="15" hidden="false" customHeight="false" outlineLevel="0" collapsed="false">
      <c r="A55" s="20" t="n">
        <v>39478</v>
      </c>
      <c r="B55" s="30" t="n">
        <f aca="false">IF(ISNUMBER(Tabelle1!D56),Tabelle1!D56,"")</f>
        <v>135.1947</v>
      </c>
      <c r="C55" s="23" t="n">
        <f aca="false">IF(ISNUMBER(Tabelle1!E56),Tabelle1!E56/'SF Workings'!F55,"")</f>
        <v>118.452909999087</v>
      </c>
      <c r="D55" s="23" t="n">
        <f aca="false">IF(ISNUMBER(Tabelle1!F56),Tabelle1!F56/'SF Workings'!J55,"")</f>
        <v>106.129790760057</v>
      </c>
      <c r="E55" s="23" t="n">
        <f aca="false">IF(ISNUMBER(Tabelle1!G56),Tabelle1!G56/'SF Workings'!N55,"")</f>
        <v>101.126852289732</v>
      </c>
      <c r="F55" s="23" t="n">
        <f aca="false">IF(ISNUMBER(Tabelle1!H56),Tabelle1!H56/'SF Workings'!R55,"")</f>
        <v>134.529381455382</v>
      </c>
      <c r="G55" s="23" t="n">
        <f aca="false">IF(ISNUMBER(Tabelle1!I56),Tabelle1!I56/'SF Workings'!V55,"")</f>
        <v>120.265957804274</v>
      </c>
      <c r="H55" s="23" t="n">
        <f aca="false">IF(ISNUMBER(Tabelle1!J56),Tabelle1!J56/'SF Workings'!Z55,"")</f>
        <v>148.349454541687</v>
      </c>
      <c r="I55" s="23" t="n">
        <f aca="false">IF(ISNUMBER(Tabelle1!K56),Tabelle1!K56/'SF Workings'!AD55,"")</f>
        <v>147.569969179202</v>
      </c>
      <c r="J55" s="23" t="n">
        <f aca="false">IF(ISNUMBER(Tabelle1!L56),Tabelle1!L56/'SF Workings'!AH55,"")</f>
        <v>142.626338603192</v>
      </c>
      <c r="K55" s="23" t="n">
        <f aca="false">IF(ISNUMBER(Tabelle1!M56),Tabelle1!M56/'SF Workings'!AL55,"")</f>
        <v>154.676854342267</v>
      </c>
      <c r="L55" s="23" t="n">
        <f aca="false">IF(ISNUMBER(Tabelle1!N56),Tabelle1!N56/'SF Workings'!AP55,"")</f>
        <v>150.317274879384</v>
      </c>
      <c r="M55" s="23" t="n">
        <f aca="false">IF(ISNUMBER(Tabelle1!O56),Tabelle1!O56/'SF Workings'!AT55,"")</f>
        <v>124.716397813615</v>
      </c>
      <c r="N55" s="23" t="n">
        <f aca="false">IF(ISNUMBER(Tabelle1!P56),Tabelle1!P56/'SF Workings'!AX55,"")</f>
        <v>114.927321309295</v>
      </c>
      <c r="O55" s="23" t="n">
        <f aca="false">IF(ISNUMBER(Tabelle1!Q56),Tabelle1!Q56/'SF Workings'!BB55,"")</f>
        <v>115.527561353382</v>
      </c>
      <c r="P55" s="23" t="n">
        <f aca="false">IF(ISNUMBER(Tabelle1!R56),Tabelle1!R56/'SF Workings'!BF55,"")</f>
        <v>124.747362700006</v>
      </c>
      <c r="Q55" s="23" t="n">
        <f aca="false">IF(ISNUMBER(Tabelle1!S56),Tabelle1!S56/'SF Workings'!BJ55,"")</f>
        <v>133.931965647454</v>
      </c>
      <c r="R55" s="23" t="n">
        <f aca="false">IFERROR(C55*'Weights &amp; Assumptions'!$F$6+D55*'Weights &amp; Assumptions'!$F$7,"")</f>
        <v>118.301920540347</v>
      </c>
      <c r="S55" s="23" t="n">
        <f aca="false">IFERROR(E55*'Weights &amp; Assumptions'!$F$8+F55*'Weights &amp; Assumptions'!$F$9+H55*'Weights &amp; Assumptions'!$F$11,"")</f>
        <v>133.42024363001</v>
      </c>
      <c r="T55" s="23" t="n">
        <f aca="false">IFERROR(G55*'Weights &amp; Assumptions'!$F$10+I55*'Weights &amp; Assumptions'!$F$12+J55*'Weights &amp; Assumptions'!$F$13+K55*'Weights &amp; Assumptions'!$F$14+L55*'Weights &amp; Assumptions'!$F$15+M55*'Weights &amp; Assumptions'!$F$16+N55*'Weights &amp; Assumptions'!$F$17+O55*'Weights &amp; Assumptions'!$F$18+P55*'Weights &amp; Assumptions'!$F$19+Q55*'Weights &amp; Assumptions'!$F$20,"")</f>
        <v>135.299146523854</v>
      </c>
      <c r="U55" s="23" t="n">
        <f aca="false">IFERROR(R55*'Weights &amp; Assumptions'!$B$25/'Weights &amp; Assumptions'!$B$28+S55*'Weights &amp; Assumptions'!$B$26/'Weights &amp; Assumptions'!$B$28+T55*'Weights &amp; Assumptions'!$B$27/'Weights &amp; Assumptions'!$B$28,"")</f>
        <v>133.373432018316</v>
      </c>
      <c r="V55" s="30" t="n">
        <f aca="false">IF(ISNUMBER(Tabelle1!E56),Tabelle1!E56*'Weights &amp; Assumptions'!$F$6+Tabelle1!F56*'Weights &amp; Assumptions'!$F$7,"")</f>
        <v>66.0819871689253</v>
      </c>
      <c r="W55" s="30" t="n">
        <f aca="false">IF(ISNUMBER(Tabelle1!G56),Tabelle1!G56*'Weights &amp; Assumptions'!$F$8+Tabelle1!H56*'Weights &amp; Assumptions'!$F$9+Tabelle1!J56*'Weights &amp; Assumptions'!$F$11,"")</f>
        <v>124.84804484499</v>
      </c>
      <c r="X55" s="30" t="n">
        <f aca="false">IF(ISNUMBER(Tabelle1!I56),Tabelle1!I56*'Weights &amp; Assumptions'!$F$10+Tabelle1!K56*'Weights &amp; Assumptions'!$F$12+Tabelle1!L56*'Weights &amp; Assumptions'!$F$13+Tabelle1!M56*'Weights &amp; Assumptions'!$F$14+Tabelle1!N56*'Weights &amp; Assumptions'!$F$15+Tabelle1!O56*'Weights &amp; Assumptions'!$F$16+Tabelle1!P56*'Weights &amp; Assumptions'!$F$17+Tabelle1!Q56*'Weights &amp; Assumptions'!$F$18+Tabelle1!R56*'Weights &amp; Assumptions'!$F$19+Tabelle1!S56*'Weights &amp; Assumptions'!$F$20,"")</f>
        <v>132.175846999076</v>
      </c>
      <c r="Y55" s="23" t="n">
        <f aca="false">IFERROR(V55*'Weights &amp; Assumptions'!$B$25/'Weights &amp; Assumptions'!$B$28+W55*'Weights &amp; Assumptions'!$B$26/'Weights &amp; Assumptions'!$B$28+X55*'Weights &amp; Assumptions'!$B$27/'Weights &amp; Assumptions'!$B$28,"")</f>
        <v>124.681926560097</v>
      </c>
    </row>
    <row r="56" customFormat="false" ht="15" hidden="false" customHeight="false" outlineLevel="0" collapsed="false">
      <c r="A56" s="20" t="n">
        <v>39507</v>
      </c>
      <c r="B56" s="30" t="n">
        <f aca="false">IF(ISNUMBER(Tabelle1!D57),Tabelle1!D57,"")</f>
        <v>133.42689</v>
      </c>
      <c r="C56" s="23" t="n">
        <f aca="false">IF(ISNUMBER(Tabelle1!E57),Tabelle1!E57/'SF Workings'!F56,"")</f>
        <v>119.207122758663</v>
      </c>
      <c r="D56" s="23" t="n">
        <f aca="false">IF(ISNUMBER(Tabelle1!F57),Tabelle1!F57/'SF Workings'!J56,"")</f>
        <v>87.8181591115001</v>
      </c>
      <c r="E56" s="23" t="n">
        <f aca="false">IF(ISNUMBER(Tabelle1!G57),Tabelle1!G57/'SF Workings'!N56,"")</f>
        <v>103.576254554257</v>
      </c>
      <c r="F56" s="23" t="n">
        <f aca="false">IF(ISNUMBER(Tabelle1!H57),Tabelle1!H57/'SF Workings'!R56,"")</f>
        <v>134.543106959631</v>
      </c>
      <c r="G56" s="23" t="n">
        <f aca="false">IF(ISNUMBER(Tabelle1!I57),Tabelle1!I57/'SF Workings'!V56,"")</f>
        <v>123.231405285036</v>
      </c>
      <c r="H56" s="23" t="n">
        <f aca="false">IF(ISNUMBER(Tabelle1!J57),Tabelle1!J57/'SF Workings'!Z56,"")</f>
        <v>149.328221943088</v>
      </c>
      <c r="I56" s="23" t="n">
        <f aca="false">IF(ISNUMBER(Tabelle1!K57),Tabelle1!K57/'SF Workings'!AD56,"")</f>
        <v>148.029585282133</v>
      </c>
      <c r="J56" s="23" t="n">
        <f aca="false">IF(ISNUMBER(Tabelle1!L57),Tabelle1!L57/'SF Workings'!AH56,"")</f>
        <v>144.265984675467</v>
      </c>
      <c r="K56" s="23" t="n">
        <f aca="false">IF(ISNUMBER(Tabelle1!M57),Tabelle1!M57/'SF Workings'!AL56,"")</f>
        <v>155.672762594497</v>
      </c>
      <c r="L56" s="23" t="n">
        <f aca="false">IF(ISNUMBER(Tabelle1!N57),Tabelle1!N57/'SF Workings'!AP56,"")</f>
        <v>150.531579635802</v>
      </c>
      <c r="M56" s="23" t="n">
        <f aca="false">IF(ISNUMBER(Tabelle1!O57),Tabelle1!O57/'SF Workings'!AT56,"")</f>
        <v>126.491569538252</v>
      </c>
      <c r="N56" s="23" t="n">
        <f aca="false">IF(ISNUMBER(Tabelle1!P57),Tabelle1!P57/'SF Workings'!AX56,"")</f>
        <v>117.489653594366</v>
      </c>
      <c r="O56" s="23" t="n">
        <f aca="false">IF(ISNUMBER(Tabelle1!Q57),Tabelle1!Q57/'SF Workings'!BB56,"")</f>
        <v>118.894033243614</v>
      </c>
      <c r="P56" s="23" t="n">
        <f aca="false">IF(ISNUMBER(Tabelle1!R57),Tabelle1!R57/'SF Workings'!BF56,"")</f>
        <v>124.183347981069</v>
      </c>
      <c r="Q56" s="23" t="n">
        <f aca="false">IF(ISNUMBER(Tabelle1!S57),Tabelle1!S57/'SF Workings'!BJ56,"")</f>
        <v>135.617284130139</v>
      </c>
      <c r="R56" s="23" t="n">
        <f aca="false">IFERROR(C56*'Weights &amp; Assumptions'!$F$6+D56*'Weights &amp; Assumptions'!$F$7,"")</f>
        <v>118.822528360154</v>
      </c>
      <c r="S56" s="23" t="n">
        <f aca="false">IFERROR(E56*'Weights &amp; Assumptions'!$F$8+F56*'Weights &amp; Assumptions'!$F$9+H56*'Weights &amp; Assumptions'!$F$11,"")</f>
        <v>133.925824379542</v>
      </c>
      <c r="T56" s="23" t="n">
        <f aca="false">IFERROR(G56*'Weights &amp; Assumptions'!$F$10+I56*'Weights &amp; Assumptions'!$F$12+J56*'Weights &amp; Assumptions'!$F$13+K56*'Weights &amp; Assumptions'!$F$14+L56*'Weights &amp; Assumptions'!$F$15+M56*'Weights &amp; Assumptions'!$F$16+N56*'Weights &amp; Assumptions'!$F$17+O56*'Weights &amp; Assumptions'!$F$18+P56*'Weights &amp; Assumptions'!$F$19+Q56*'Weights &amp; Assumptions'!$F$20,"")</f>
        <v>136.617964628832</v>
      </c>
      <c r="U56" s="23" t="n">
        <f aca="false">IFERROR(R56*'Weights &amp; Assumptions'!$B$25/'Weights &amp; Assumptions'!$B$28+S56*'Weights &amp; Assumptions'!$B$26/'Weights &amp; Assumptions'!$B$28+T56*'Weights &amp; Assumptions'!$B$27/'Weights &amp; Assumptions'!$B$28,"")</f>
        <v>134.409025597521</v>
      </c>
      <c r="V56" s="30" t="n">
        <f aca="false">IF(ISNUMBER(Tabelle1!E57),Tabelle1!E57*'Weights &amp; Assumptions'!$F$6+Tabelle1!F57*'Weights &amp; Assumptions'!$F$7,"")</f>
        <v>68.5655096218162</v>
      </c>
      <c r="W56" s="30" t="n">
        <f aca="false">IF(ISNUMBER(Tabelle1!G57),Tabelle1!G57*'Weights &amp; Assumptions'!$F$8+Tabelle1!H57*'Weights &amp; Assumptions'!$F$9+Tabelle1!J57*'Weights &amp; Assumptions'!$F$11,"")</f>
        <v>123.080451494408</v>
      </c>
      <c r="X56" s="30" t="n">
        <f aca="false">IF(ISNUMBER(Tabelle1!I57),Tabelle1!I57*'Weights &amp; Assumptions'!$F$10+Tabelle1!K57*'Weights &amp; Assumptions'!$F$12+Tabelle1!L57*'Weights &amp; Assumptions'!$F$13+Tabelle1!M57*'Weights &amp; Assumptions'!$F$14+Tabelle1!N57*'Weights &amp; Assumptions'!$F$15+Tabelle1!O57*'Weights &amp; Assumptions'!$F$16+Tabelle1!P57*'Weights &amp; Assumptions'!$F$17+Tabelle1!Q57*'Weights &amp; Assumptions'!$F$18+Tabelle1!R57*'Weights &amp; Assumptions'!$F$19+Tabelle1!S57*'Weights &amp; Assumptions'!$F$20,"")</f>
        <v>130.527692299676</v>
      </c>
      <c r="Y56" s="23" t="n">
        <f aca="false">IFERROR(V56*'Weights &amp; Assumptions'!$B$25/'Weights &amp; Assumptions'!$B$28+W56*'Weights &amp; Assumptions'!$B$26/'Weights &amp; Assumptions'!$B$28+X56*'Weights &amp; Assumptions'!$B$27/'Weights &amp; Assumptions'!$B$28,"")</f>
        <v>123.348662188426</v>
      </c>
    </row>
    <row r="57" customFormat="false" ht="15" hidden="false" customHeight="false" outlineLevel="0" collapsed="false">
      <c r="A57" s="20" t="n">
        <v>39538</v>
      </c>
      <c r="B57" s="30" t="n">
        <f aca="false">IF(ISNUMBER(Tabelle1!D58),Tabelle1!D58,"")</f>
        <v>133.38365</v>
      </c>
      <c r="C57" s="23" t="n">
        <f aca="false">IF(ISNUMBER(Tabelle1!E58),Tabelle1!E58/'SF Workings'!F57,"")</f>
        <v>122.872043701711</v>
      </c>
      <c r="D57" s="23" t="n">
        <f aca="false">IF(ISNUMBER(Tabelle1!F58),Tabelle1!F58/'SF Workings'!J57,"")</f>
        <v>116.673746754972</v>
      </c>
      <c r="E57" s="23" t="n">
        <f aca="false">IF(ISNUMBER(Tabelle1!G58),Tabelle1!G58/'SF Workings'!N57,"")</f>
        <v>101.465421476983</v>
      </c>
      <c r="F57" s="23" t="n">
        <f aca="false">IF(ISNUMBER(Tabelle1!H58),Tabelle1!H58/'SF Workings'!R57,"")</f>
        <v>127.826117787625</v>
      </c>
      <c r="G57" s="23" t="n">
        <f aca="false">IF(ISNUMBER(Tabelle1!I58),Tabelle1!I58/'SF Workings'!V57,"")</f>
        <v>118.421768659453</v>
      </c>
      <c r="H57" s="23" t="n">
        <f aca="false">IF(ISNUMBER(Tabelle1!J58),Tabelle1!J58/'SF Workings'!Z57,"")</f>
        <v>147.125677073357</v>
      </c>
      <c r="I57" s="23" t="n">
        <f aca="false">IF(ISNUMBER(Tabelle1!K58),Tabelle1!K58/'SF Workings'!AD57,"")</f>
        <v>138.374632201653</v>
      </c>
      <c r="J57" s="23" t="n">
        <f aca="false">IF(ISNUMBER(Tabelle1!L58),Tabelle1!L58/'SF Workings'!AH57,"")</f>
        <v>143.829798213679</v>
      </c>
      <c r="K57" s="23" t="n">
        <f aca="false">IF(ISNUMBER(Tabelle1!M58),Tabelle1!M58/'SF Workings'!AL57,"")</f>
        <v>150.324482505477</v>
      </c>
      <c r="L57" s="23" t="n">
        <f aca="false">IF(ISNUMBER(Tabelle1!N58),Tabelle1!N58/'SF Workings'!AP57,"")</f>
        <v>144.8571395168</v>
      </c>
      <c r="M57" s="23" t="n">
        <f aca="false">IF(ISNUMBER(Tabelle1!O58),Tabelle1!O58/'SF Workings'!AT57,"")</f>
        <v>122.412126874155</v>
      </c>
      <c r="N57" s="23" t="n">
        <f aca="false">IF(ISNUMBER(Tabelle1!P58),Tabelle1!P58/'SF Workings'!AX57,"")</f>
        <v>117.877836187245</v>
      </c>
      <c r="O57" s="23" t="n">
        <f aca="false">IF(ISNUMBER(Tabelle1!Q58),Tabelle1!Q58/'SF Workings'!BB57,"")</f>
        <v>118.845419799026</v>
      </c>
      <c r="P57" s="23" t="n">
        <f aca="false">IF(ISNUMBER(Tabelle1!R58),Tabelle1!R58/'SF Workings'!BF57,"")</f>
        <v>124.212992480822</v>
      </c>
      <c r="Q57" s="23" t="n">
        <f aca="false">IF(ISNUMBER(Tabelle1!S58),Tabelle1!S58/'SF Workings'!BJ57,"")</f>
        <v>137.689151639584</v>
      </c>
      <c r="R57" s="23" t="n">
        <f aca="false">IFERROR(C57*'Weights &amp; Assumptions'!$F$6+D57*'Weights &amp; Assumptions'!$F$7,"")</f>
        <v>122.796098846927</v>
      </c>
      <c r="S57" s="23" t="n">
        <f aca="false">IFERROR(E57*'Weights &amp; Assumptions'!$F$8+F57*'Weights &amp; Assumptions'!$F$9+H57*'Weights &amp; Assumptions'!$F$11,"")</f>
        <v>128.699265065691</v>
      </c>
      <c r="T57" s="23" t="n">
        <f aca="false">IFERROR(G57*'Weights &amp; Assumptions'!$F$10+I57*'Weights &amp; Assumptions'!$F$12+J57*'Weights &amp; Assumptions'!$F$13+K57*'Weights &amp; Assumptions'!$F$14+L57*'Weights &amp; Assumptions'!$F$15+M57*'Weights &amp; Assumptions'!$F$16+N57*'Weights &amp; Assumptions'!$F$17+O57*'Weights &amp; Assumptions'!$F$18+P57*'Weights &amp; Assumptions'!$F$19+Q57*'Weights &amp; Assumptions'!$F$20,"")</f>
        <v>132.60142387398</v>
      </c>
      <c r="U57" s="23" t="n">
        <f aca="false">IFERROR(R57*'Weights &amp; Assumptions'!$B$25/'Weights &amp; Assumptions'!$B$28+S57*'Weights &amp; Assumptions'!$B$26/'Weights &amp; Assumptions'!$B$28+T57*'Weights &amp; Assumptions'!$B$27/'Weights &amp; Assumptions'!$B$28,"")</f>
        <v>130.741096753557</v>
      </c>
      <c r="V57" s="30" t="n">
        <f aca="false">IF(ISNUMBER(Tabelle1!E58),Tabelle1!E58*'Weights &amp; Assumptions'!$F$6+Tabelle1!F58*'Weights &amp; Assumptions'!$F$7,"")</f>
        <v>135.264370448028</v>
      </c>
      <c r="W57" s="30" t="n">
        <f aca="false">IF(ISNUMBER(Tabelle1!G58),Tabelle1!G58*'Weights &amp; Assumptions'!$F$8+Tabelle1!H58*'Weights &amp; Assumptions'!$F$9+Tabelle1!J58*'Weights &amp; Assumptions'!$F$11,"")</f>
        <v>131.154136325108</v>
      </c>
      <c r="X57" s="30" t="n">
        <f aca="false">IF(ISNUMBER(Tabelle1!I58),Tabelle1!I58*'Weights &amp; Assumptions'!$F$10+Tabelle1!K58*'Weights &amp; Assumptions'!$F$12+Tabelle1!L58*'Weights &amp; Assumptions'!$F$13+Tabelle1!M58*'Weights &amp; Assumptions'!$F$14+Tabelle1!N58*'Weights &amp; Assumptions'!$F$15+Tabelle1!O58*'Weights &amp; Assumptions'!$F$16+Tabelle1!P58*'Weights &amp; Assumptions'!$F$17+Tabelle1!Q58*'Weights &amp; Assumptions'!$F$18+Tabelle1!R58*'Weights &amp; Assumptions'!$F$19+Tabelle1!S58*'Weights &amp; Assumptions'!$F$20,"")</f>
        <v>134.199238516079</v>
      </c>
      <c r="Y57" s="23" t="n">
        <f aca="false">IFERROR(V57*'Weights &amp; Assumptions'!$B$25/'Weights &amp; Assumptions'!$B$28+W57*'Weights &amp; Assumptions'!$B$26/'Weights &amp; Assumptions'!$B$28+X57*'Weights &amp; Assumptions'!$B$27/'Weights &amp; Assumptions'!$B$28,"")</f>
        <v>133.478858106644</v>
      </c>
    </row>
    <row r="58" customFormat="false" ht="15" hidden="false" customHeight="false" outlineLevel="0" collapsed="false">
      <c r="A58" s="20" t="n">
        <v>39568</v>
      </c>
      <c r="B58" s="30" t="n">
        <f aca="false">IF(ISNUMBER(Tabelle1!D59),Tabelle1!D59,"")</f>
        <v>135.74808</v>
      </c>
      <c r="C58" s="23" t="n">
        <f aca="false">IF(ISNUMBER(Tabelle1!E59),Tabelle1!E59/'SF Workings'!F58,"")</f>
        <v>132.730783668457</v>
      </c>
      <c r="D58" s="23" t="n">
        <f aca="false">IF(ISNUMBER(Tabelle1!F59),Tabelle1!F59/'SF Workings'!J58,"")</f>
        <v>179.527631283698</v>
      </c>
      <c r="E58" s="23" t="n">
        <f aca="false">IF(ISNUMBER(Tabelle1!G59),Tabelle1!G59/'SF Workings'!N58,"")</f>
        <v>102.132296405895</v>
      </c>
      <c r="F58" s="23" t="n">
        <f aca="false">IF(ISNUMBER(Tabelle1!H59),Tabelle1!H59/'SF Workings'!R58,"")</f>
        <v>136.287558508534</v>
      </c>
      <c r="G58" s="23" t="n">
        <f aca="false">IF(ISNUMBER(Tabelle1!I59),Tabelle1!I59/'SF Workings'!V58,"")</f>
        <v>120.409231128375</v>
      </c>
      <c r="H58" s="23" t="n">
        <f aca="false">IF(ISNUMBER(Tabelle1!J59),Tabelle1!J59/'SF Workings'!Z58,"")</f>
        <v>150.686262195093</v>
      </c>
      <c r="I58" s="23" t="n">
        <f aca="false">IF(ISNUMBER(Tabelle1!K59),Tabelle1!K59/'SF Workings'!AD58,"")</f>
        <v>155.396803775398</v>
      </c>
      <c r="J58" s="23" t="n">
        <f aca="false">IF(ISNUMBER(Tabelle1!L59),Tabelle1!L59/'SF Workings'!AH58,"")</f>
        <v>139.782059603006</v>
      </c>
      <c r="K58" s="23" t="n">
        <f aca="false">IF(ISNUMBER(Tabelle1!M59),Tabelle1!M59/'SF Workings'!AL58,"")</f>
        <v>155.13019920141</v>
      </c>
      <c r="L58" s="23" t="n">
        <f aca="false">IF(ISNUMBER(Tabelle1!N59),Tabelle1!N59/'SF Workings'!AP58,"")</f>
        <v>151.845914257141</v>
      </c>
      <c r="M58" s="23" t="n">
        <f aca="false">IF(ISNUMBER(Tabelle1!O59),Tabelle1!O59/'SF Workings'!AT58,"")</f>
        <v>127.374270019841</v>
      </c>
      <c r="N58" s="23" t="n">
        <f aca="false">IF(ISNUMBER(Tabelle1!P59),Tabelle1!P59/'SF Workings'!AX58,"")</f>
        <v>119.505273263951</v>
      </c>
      <c r="O58" s="23" t="n">
        <f aca="false">IF(ISNUMBER(Tabelle1!Q59),Tabelle1!Q59/'SF Workings'!BB58,"")</f>
        <v>121.457245578047</v>
      </c>
      <c r="P58" s="23" t="n">
        <f aca="false">IF(ISNUMBER(Tabelle1!R59),Tabelle1!R59/'SF Workings'!BF58,"")</f>
        <v>126.598297763369</v>
      </c>
      <c r="Q58" s="23" t="n">
        <f aca="false">IF(ISNUMBER(Tabelle1!S59),Tabelle1!S59/'SF Workings'!BJ58,"")</f>
        <v>137.053940823561</v>
      </c>
      <c r="R58" s="23" t="n">
        <f aca="false">IFERROR(C58*'Weights &amp; Assumptions'!$F$6+D58*'Weights &amp; Assumptions'!$F$7,"")</f>
        <v>133.304163715756</v>
      </c>
      <c r="S58" s="23" t="n">
        <f aca="false">IFERROR(E58*'Weights &amp; Assumptions'!$F$8+F58*'Weights &amp; Assumptions'!$F$9+H58*'Weights &amp; Assumptions'!$F$11,"")</f>
        <v>135.209088515399</v>
      </c>
      <c r="T58" s="23" t="n">
        <f aca="false">IFERROR(G58*'Weights &amp; Assumptions'!$F$10+I58*'Weights &amp; Assumptions'!$F$12+J58*'Weights &amp; Assumptions'!$F$13+K58*'Weights &amp; Assumptions'!$F$14+L58*'Weights &amp; Assumptions'!$F$15+M58*'Weights &amp; Assumptions'!$F$16+N58*'Weights &amp; Assumptions'!$F$17+O58*'Weights &amp; Assumptions'!$F$18+P58*'Weights &amp; Assumptions'!$F$19+Q58*'Weights &amp; Assumptions'!$F$20,"")</f>
        <v>138.661895251158</v>
      </c>
      <c r="U58" s="23" t="n">
        <f aca="false">IFERROR(R58*'Weights &amp; Assumptions'!$B$25/'Weights &amp; Assumptions'!$B$28+S58*'Weights &amp; Assumptions'!$B$26/'Weights &amp; Assumptions'!$B$28+T58*'Weights &amp; Assumptions'!$B$27/'Weights &amp; Assumptions'!$B$28,"")</f>
        <v>137.294215491406</v>
      </c>
      <c r="V58" s="30" t="n">
        <f aca="false">IF(ISNUMBER(Tabelle1!E59),Tabelle1!E59*'Weights &amp; Assumptions'!$F$6+Tabelle1!F59*'Weights &amp; Assumptions'!$F$7,"")</f>
        <v>220.479685209711</v>
      </c>
      <c r="W58" s="30" t="n">
        <f aca="false">IF(ISNUMBER(Tabelle1!G59),Tabelle1!G59*'Weights &amp; Assumptions'!$F$8+Tabelle1!H59*'Weights &amp; Assumptions'!$F$9+Tabelle1!J59*'Weights &amp; Assumptions'!$F$11,"")</f>
        <v>135.297194225325</v>
      </c>
      <c r="X58" s="30" t="n">
        <f aca="false">IF(ISNUMBER(Tabelle1!I59),Tabelle1!I59*'Weights &amp; Assumptions'!$F$10+Tabelle1!K59*'Weights &amp; Assumptions'!$F$12+Tabelle1!L59*'Weights &amp; Assumptions'!$F$13+Tabelle1!M59*'Weights &amp; Assumptions'!$F$14+Tabelle1!N59*'Weights &amp; Assumptions'!$F$15+Tabelle1!O59*'Weights &amp; Assumptions'!$F$16+Tabelle1!P59*'Weights &amp; Assumptions'!$F$17+Tabelle1!Q59*'Weights &amp; Assumptions'!$F$18+Tabelle1!R59*'Weights &amp; Assumptions'!$F$19+Tabelle1!S59*'Weights &amp; Assumptions'!$F$20,"")</f>
        <v>138.611213436971</v>
      </c>
      <c r="Y58" s="23" t="n">
        <f aca="false">IFERROR(V58*'Weights &amp; Assumptions'!$B$25/'Weights &amp; Assumptions'!$B$28+W58*'Weights &amp; Assumptions'!$B$26/'Weights &amp; Assumptions'!$B$28+X58*'Weights &amp; Assumptions'!$B$27/'Weights &amp; Assumptions'!$B$28,"")</f>
        <v>144.598790751299</v>
      </c>
    </row>
    <row r="59" customFormat="false" ht="15" hidden="false" customHeight="false" outlineLevel="0" collapsed="false">
      <c r="A59" s="20" t="n">
        <v>39599</v>
      </c>
      <c r="B59" s="30" t="n">
        <f aca="false">IF(ISNUMBER(Tabelle1!D60),Tabelle1!D60,"")</f>
        <v>134.857</v>
      </c>
      <c r="C59" s="23" t="n">
        <f aca="false">IF(ISNUMBER(Tabelle1!E60),Tabelle1!E60/'SF Workings'!F59,"")</f>
        <v>132.941008218977</v>
      </c>
      <c r="D59" s="23" t="n">
        <f aca="false">IF(ISNUMBER(Tabelle1!F60),Tabelle1!F60/'SF Workings'!J59,"")</f>
        <v>171.338653043869</v>
      </c>
      <c r="E59" s="23" t="n">
        <f aca="false">IF(ISNUMBER(Tabelle1!G60),Tabelle1!G60/'SF Workings'!N59,"")</f>
        <v>90.3176615662724</v>
      </c>
      <c r="F59" s="23" t="n">
        <f aca="false">IF(ISNUMBER(Tabelle1!H60),Tabelle1!H60/'SF Workings'!R59,"")</f>
        <v>133.886178347502</v>
      </c>
      <c r="G59" s="23" t="n">
        <f aca="false">IF(ISNUMBER(Tabelle1!I60),Tabelle1!I60/'SF Workings'!V59,"")</f>
        <v>117.036287777505</v>
      </c>
      <c r="H59" s="23" t="n">
        <f aca="false">IF(ISNUMBER(Tabelle1!J60),Tabelle1!J60/'SF Workings'!Z59,"")</f>
        <v>150.095545282192</v>
      </c>
      <c r="I59" s="23" t="n">
        <f aca="false">IF(ISNUMBER(Tabelle1!K60),Tabelle1!K60/'SF Workings'!AD59,"")</f>
        <v>149.457661867903</v>
      </c>
      <c r="J59" s="23" t="n">
        <f aca="false">IF(ISNUMBER(Tabelle1!L60),Tabelle1!L60/'SF Workings'!AH59,"")</f>
        <v>140.595507641939</v>
      </c>
      <c r="K59" s="23" t="n">
        <f aca="false">IF(ISNUMBER(Tabelle1!M60),Tabelle1!M60/'SF Workings'!AL59,"")</f>
        <v>153.618169672658</v>
      </c>
      <c r="L59" s="23" t="n">
        <f aca="false">IF(ISNUMBER(Tabelle1!N60),Tabelle1!N60/'SF Workings'!AP59,"")</f>
        <v>151.090340341249</v>
      </c>
      <c r="M59" s="23" t="n">
        <f aca="false">IF(ISNUMBER(Tabelle1!O60),Tabelle1!O60/'SF Workings'!AT59,"")</f>
        <v>126.696910353942</v>
      </c>
      <c r="N59" s="23" t="n">
        <f aca="false">IF(ISNUMBER(Tabelle1!P60),Tabelle1!P60/'SF Workings'!AX59,"")</f>
        <v>119.550920026161</v>
      </c>
      <c r="O59" s="23" t="n">
        <f aca="false">IF(ISNUMBER(Tabelle1!Q60),Tabelle1!Q60/'SF Workings'!BB59,"")</f>
        <v>121.381837314816</v>
      </c>
      <c r="P59" s="23" t="n">
        <f aca="false">IF(ISNUMBER(Tabelle1!R60),Tabelle1!R60/'SF Workings'!BF59,"")</f>
        <v>127.281522229033</v>
      </c>
      <c r="Q59" s="23" t="n">
        <f aca="false">IF(ISNUMBER(Tabelle1!S60),Tabelle1!S60/'SF Workings'!BJ59,"")</f>
        <v>138.902575294552</v>
      </c>
      <c r="R59" s="23" t="n">
        <f aca="false">IFERROR(C59*'Weights &amp; Assumptions'!$F$6+D59*'Weights &amp; Assumptions'!$F$7,"")</f>
        <v>133.411476734012</v>
      </c>
      <c r="S59" s="23" t="n">
        <f aca="false">IFERROR(E59*'Weights &amp; Assumptions'!$F$8+F59*'Weights &amp; Assumptions'!$F$9+H59*'Weights &amp; Assumptions'!$F$11,"")</f>
        <v>132.06099123071</v>
      </c>
      <c r="T59" s="23" t="n">
        <f aca="false">IFERROR(G59*'Weights &amp; Assumptions'!$F$10+I59*'Weights &amp; Assumptions'!$F$12+J59*'Weights &amp; Assumptions'!$F$13+K59*'Weights &amp; Assumptions'!$F$14+L59*'Weights &amp; Assumptions'!$F$15+M59*'Weights &amp; Assumptions'!$F$16+N59*'Weights &amp; Assumptions'!$F$17+O59*'Weights &amp; Assumptions'!$F$18+P59*'Weights &amp; Assumptions'!$F$19+Q59*'Weights &amp; Assumptions'!$F$20,"")</f>
        <v>137.129641144155</v>
      </c>
      <c r="U59" s="23" t="n">
        <f aca="false">IFERROR(R59*'Weights &amp; Assumptions'!$B$25/'Weights &amp; Assumptions'!$B$28+S59*'Weights &amp; Assumptions'!$B$26/'Weights &amp; Assumptions'!$B$28+T59*'Weights &amp; Assumptions'!$B$27/'Weights &amp; Assumptions'!$B$28,"")</f>
        <v>135.469841503895</v>
      </c>
      <c r="V59" s="30" t="n">
        <f aca="false">IF(ISNUMBER(Tabelle1!E60),Tabelle1!E60*'Weights &amp; Assumptions'!$F$6+Tabelle1!F60*'Weights &amp; Assumptions'!$F$7,"")</f>
        <v>321.167066789073</v>
      </c>
      <c r="W59" s="30" t="n">
        <f aca="false">IF(ISNUMBER(Tabelle1!G60),Tabelle1!G60*'Weights &amp; Assumptions'!$F$8+Tabelle1!H60*'Weights &amp; Assumptions'!$F$9+Tabelle1!J60*'Weights &amp; Assumptions'!$F$11,"")</f>
        <v>134.349796635617</v>
      </c>
      <c r="X59" s="30" t="n">
        <f aca="false">IF(ISNUMBER(Tabelle1!I60),Tabelle1!I60*'Weights &amp; Assumptions'!$F$10+Tabelle1!K60*'Weights &amp; Assumptions'!$F$12+Tabelle1!L60*'Weights &amp; Assumptions'!$F$13+Tabelle1!M60*'Weights &amp; Assumptions'!$F$14+Tabelle1!N60*'Weights &amp; Assumptions'!$F$15+Tabelle1!O60*'Weights &amp; Assumptions'!$F$16+Tabelle1!P60*'Weights &amp; Assumptions'!$F$17+Tabelle1!Q60*'Weights &amp; Assumptions'!$F$18+Tabelle1!R60*'Weights &amp; Assumptions'!$F$19+Tabelle1!S60*'Weights &amp; Assumptions'!$F$20,"")</f>
        <v>139.976659459291</v>
      </c>
      <c r="Y59" s="23" t="n">
        <f aca="false">IFERROR(V59*'Weights &amp; Assumptions'!$B$25/'Weights &amp; Assumptions'!$B$28+W59*'Weights &amp; Assumptions'!$B$26/'Weights &amp; Assumptions'!$B$28+X59*'Weights &amp; Assumptions'!$B$27/'Weights &amp; Assumptions'!$B$28,"")</f>
        <v>153.682404304831</v>
      </c>
    </row>
    <row r="60" customFormat="false" ht="15" hidden="false" customHeight="false" outlineLevel="0" collapsed="false">
      <c r="A60" s="20" t="n">
        <v>39629</v>
      </c>
      <c r="B60" s="30" t="n">
        <f aca="false">IF(ISNUMBER(Tabelle1!D61),Tabelle1!D61,"")</f>
        <v>133.38336</v>
      </c>
      <c r="C60" s="23" t="n">
        <f aca="false">IF(ISNUMBER(Tabelle1!E61),Tabelle1!E61/'SF Workings'!F60,"")</f>
        <v>130.542608421741</v>
      </c>
      <c r="D60" s="23" t="n">
        <f aca="false">IF(ISNUMBER(Tabelle1!F61),Tabelle1!F61/'SF Workings'!J60,"")</f>
        <v>171.408161836816</v>
      </c>
      <c r="E60" s="23" t="n">
        <f aca="false">IF(ISNUMBER(Tabelle1!G61),Tabelle1!G61/'SF Workings'!N60,"")</f>
        <v>99.1858756767759</v>
      </c>
      <c r="F60" s="23" t="n">
        <f aca="false">IF(ISNUMBER(Tabelle1!H61),Tabelle1!H61/'SF Workings'!R60,"")</f>
        <v>128.421662580936</v>
      </c>
      <c r="G60" s="23" t="n">
        <f aca="false">IF(ISNUMBER(Tabelle1!I61),Tabelle1!I61/'SF Workings'!V60,"")</f>
        <v>124.408385581449</v>
      </c>
      <c r="H60" s="23" t="n">
        <f aca="false">IF(ISNUMBER(Tabelle1!J61),Tabelle1!J61/'SF Workings'!Z60,"")</f>
        <v>149.231185678831</v>
      </c>
      <c r="I60" s="23" t="n">
        <f aca="false">IF(ISNUMBER(Tabelle1!K61),Tabelle1!K61/'SF Workings'!AD60,"")</f>
        <v>140.573788964747</v>
      </c>
      <c r="J60" s="23" t="n">
        <f aca="false">IF(ISNUMBER(Tabelle1!L61),Tabelle1!L61/'SF Workings'!AH60,"")</f>
        <v>136.619913686167</v>
      </c>
      <c r="K60" s="23" t="n">
        <f aca="false">IF(ISNUMBER(Tabelle1!M61),Tabelle1!M61/'SF Workings'!AL60,"")</f>
        <v>150.145458989768</v>
      </c>
      <c r="L60" s="23" t="n">
        <f aca="false">IF(ISNUMBER(Tabelle1!N61),Tabelle1!N61/'SF Workings'!AP60,"")</f>
        <v>148.044336112321</v>
      </c>
      <c r="M60" s="23" t="n">
        <f aca="false">IF(ISNUMBER(Tabelle1!O61),Tabelle1!O61/'SF Workings'!AT60,"")</f>
        <v>125.197810458122</v>
      </c>
      <c r="N60" s="23" t="n">
        <f aca="false">IF(ISNUMBER(Tabelle1!P61),Tabelle1!P61/'SF Workings'!AX60,"")</f>
        <v>120.43494778849</v>
      </c>
      <c r="O60" s="23" t="n">
        <f aca="false">IF(ISNUMBER(Tabelle1!Q61),Tabelle1!Q61/'SF Workings'!BB60,"")</f>
        <v>122.314493196587</v>
      </c>
      <c r="P60" s="23" t="n">
        <f aca="false">IF(ISNUMBER(Tabelle1!R61),Tabelle1!R61/'SF Workings'!BF60,"")</f>
        <v>126.110591329174</v>
      </c>
      <c r="Q60" s="23" t="n">
        <f aca="false">IF(ISNUMBER(Tabelle1!S61),Tabelle1!S61/'SF Workings'!BJ60,"")</f>
        <v>141.138953683669</v>
      </c>
      <c r="R60" s="23" t="n">
        <f aca="false">IFERROR(C60*'Weights &amp; Assumptions'!$F$6+D60*'Weights &amp; Assumptions'!$F$7,"")</f>
        <v>131.043315074948</v>
      </c>
      <c r="S60" s="23" t="n">
        <f aca="false">IFERROR(E60*'Weights &amp; Assumptions'!$F$8+F60*'Weights &amp; Assumptions'!$F$9+H60*'Weights &amp; Assumptions'!$F$11,"")</f>
        <v>129.266091754016</v>
      </c>
      <c r="T60" s="23" t="n">
        <f aca="false">IFERROR(G60*'Weights &amp; Assumptions'!$F$10+I60*'Weights &amp; Assumptions'!$F$12+J60*'Weights &amp; Assumptions'!$F$13+K60*'Weights &amp; Assumptions'!$F$14+L60*'Weights &amp; Assumptions'!$F$15+M60*'Weights &amp; Assumptions'!$F$16+N60*'Weights &amp; Assumptions'!$F$17+O60*'Weights &amp; Assumptions'!$F$18+P60*'Weights &amp; Assumptions'!$F$19+Q60*'Weights &amp; Assumptions'!$F$20,"")</f>
        <v>134.490638950285</v>
      </c>
      <c r="U60" s="23" t="n">
        <f aca="false">IFERROR(R60*'Weights &amp; Assumptions'!$B$25/'Weights &amp; Assumptions'!$B$28+S60*'Weights &amp; Assumptions'!$B$26/'Weights &amp; Assumptions'!$B$28+T60*'Weights &amp; Assumptions'!$B$27/'Weights &amp; Assumptions'!$B$28,"")</f>
        <v>132.812107245546</v>
      </c>
      <c r="V60" s="30" t="n">
        <f aca="false">IF(ISNUMBER(Tabelle1!E61),Tabelle1!E61*'Weights &amp; Assumptions'!$F$6+Tabelle1!F61*'Weights &amp; Assumptions'!$F$7,"")</f>
        <v>212.028115513403</v>
      </c>
      <c r="W60" s="30" t="n">
        <f aca="false">IF(ISNUMBER(Tabelle1!G61),Tabelle1!G61*'Weights &amp; Assumptions'!$F$8+Tabelle1!H61*'Weights &amp; Assumptions'!$F$9+Tabelle1!J61*'Weights &amp; Assumptions'!$F$11,"")</f>
        <v>128.622367514083</v>
      </c>
      <c r="X60" s="30" t="n">
        <f aca="false">IF(ISNUMBER(Tabelle1!I61),Tabelle1!I61*'Weights &amp; Assumptions'!$F$10+Tabelle1!K61*'Weights &amp; Assumptions'!$F$12+Tabelle1!L61*'Weights &amp; Assumptions'!$F$13+Tabelle1!M61*'Weights &amp; Assumptions'!$F$14+Tabelle1!N61*'Weights &amp; Assumptions'!$F$15+Tabelle1!O61*'Weights &amp; Assumptions'!$F$16+Tabelle1!P61*'Weights &amp; Assumptions'!$F$17+Tabelle1!Q61*'Weights &amp; Assumptions'!$F$18+Tabelle1!R61*'Weights &amp; Assumptions'!$F$19+Tabelle1!S61*'Weights &amp; Assumptions'!$F$20,"")</f>
        <v>136.788411364631</v>
      </c>
      <c r="Y60" s="23" t="n">
        <f aca="false">IFERROR(V60*'Weights &amp; Assumptions'!$B$25/'Weights &amp; Assumptions'!$B$28+W60*'Weights &amp; Assumptions'!$B$26/'Weights &amp; Assumptions'!$B$28+X60*'Weights &amp; Assumptions'!$B$27/'Weights &amp; Assumptions'!$B$28,"")</f>
        <v>140.929591451407</v>
      </c>
    </row>
    <row r="61" customFormat="false" ht="15" hidden="false" customHeight="false" outlineLevel="0" collapsed="false">
      <c r="A61" s="20" t="n">
        <v>39660</v>
      </c>
      <c r="B61" s="30" t="n">
        <f aca="false">IF(ISNUMBER(Tabelle1!D62),Tabelle1!D62,"")</f>
        <v>135.2707</v>
      </c>
      <c r="C61" s="23" t="n">
        <f aca="false">IF(ISNUMBER(Tabelle1!E62),Tabelle1!E62/'SF Workings'!F61,"")</f>
        <v>125.302947919383</v>
      </c>
      <c r="D61" s="23" t="n">
        <f aca="false">IF(ISNUMBER(Tabelle1!F62),Tabelle1!F62/'SF Workings'!J61,"")</f>
        <v>154.313781448004</v>
      </c>
      <c r="E61" s="23" t="n">
        <f aca="false">IF(ISNUMBER(Tabelle1!G62),Tabelle1!G62/'SF Workings'!N61,"")</f>
        <v>101.562108756129</v>
      </c>
      <c r="F61" s="23" t="n">
        <f aca="false">IF(ISNUMBER(Tabelle1!H62),Tabelle1!H62/'SF Workings'!R61,"")</f>
        <v>134.115265555974</v>
      </c>
      <c r="G61" s="23" t="n">
        <f aca="false">IF(ISNUMBER(Tabelle1!I62),Tabelle1!I62/'SF Workings'!V61,"")</f>
        <v>117.504743226341</v>
      </c>
      <c r="H61" s="23" t="n">
        <f aca="false">IF(ISNUMBER(Tabelle1!J62),Tabelle1!J62/'SF Workings'!Z61,"")</f>
        <v>150.248454774575</v>
      </c>
      <c r="I61" s="23" t="n">
        <f aca="false">IF(ISNUMBER(Tabelle1!K62),Tabelle1!K62/'SF Workings'!AD61,"")</f>
        <v>150.276083057893</v>
      </c>
      <c r="J61" s="23" t="n">
        <f aca="false">IF(ISNUMBER(Tabelle1!L62),Tabelle1!L62/'SF Workings'!AH61,"")</f>
        <v>138.93506195892</v>
      </c>
      <c r="K61" s="23" t="n">
        <f aca="false">IF(ISNUMBER(Tabelle1!M62),Tabelle1!M62/'SF Workings'!AL61,"")</f>
        <v>155.782268439373</v>
      </c>
      <c r="L61" s="23" t="n">
        <f aca="false">IF(ISNUMBER(Tabelle1!N62),Tabelle1!N62/'SF Workings'!AP61,"")</f>
        <v>148.603574007447</v>
      </c>
      <c r="M61" s="23" t="n">
        <f aca="false">IF(ISNUMBER(Tabelle1!O62),Tabelle1!O62/'SF Workings'!AT61,"")</f>
        <v>128.582057342223</v>
      </c>
      <c r="N61" s="23" t="n">
        <f aca="false">IF(ISNUMBER(Tabelle1!P62),Tabelle1!P62/'SF Workings'!AX61,"")</f>
        <v>120.626850814421</v>
      </c>
      <c r="O61" s="23" t="n">
        <f aca="false">IF(ISNUMBER(Tabelle1!Q62),Tabelle1!Q62/'SF Workings'!BB61,"")</f>
        <v>122.879985686793</v>
      </c>
      <c r="P61" s="23" t="n">
        <f aca="false">IF(ISNUMBER(Tabelle1!R62),Tabelle1!R62/'SF Workings'!BF61,"")</f>
        <v>128.276857371408</v>
      </c>
      <c r="Q61" s="23" t="n">
        <f aca="false">IF(ISNUMBER(Tabelle1!S62),Tabelle1!S62/'SF Workings'!BJ61,"")</f>
        <v>137.907483720313</v>
      </c>
      <c r="R61" s="23" t="n">
        <f aca="false">IFERROR(C61*'Weights &amp; Assumptions'!$F$6+D61*'Weights &amp; Assumptions'!$F$7,"")</f>
        <v>125.658404193652</v>
      </c>
      <c r="S61" s="23" t="n">
        <f aca="false">IFERROR(E61*'Weights &amp; Assumptions'!$F$8+F61*'Weights &amp; Assumptions'!$F$9+H61*'Weights &amp; Assumptions'!$F$11,"")</f>
        <v>133.589417568052</v>
      </c>
      <c r="T61" s="23" t="n">
        <f aca="false">IFERROR(G61*'Weights &amp; Assumptions'!$F$10+I61*'Weights &amp; Assumptions'!$F$12+J61*'Weights &amp; Assumptions'!$F$13+K61*'Weights &amp; Assumptions'!$F$14+L61*'Weights &amp; Assumptions'!$F$15+M61*'Weights &amp; Assumptions'!$F$16+N61*'Weights &amp; Assumptions'!$F$17+O61*'Weights &amp; Assumptions'!$F$18+P61*'Weights &amp; Assumptions'!$F$19+Q61*'Weights &amp; Assumptions'!$F$20,"")</f>
        <v>137.972264382651</v>
      </c>
      <c r="U61" s="23" t="n">
        <f aca="false">IFERROR(R61*'Weights &amp; Assumptions'!$B$25/'Weights &amp; Assumptions'!$B$28+S61*'Weights &amp; Assumptions'!$B$26/'Weights &amp; Assumptions'!$B$28+T61*'Weights &amp; Assumptions'!$B$27/'Weights &amp; Assumptions'!$B$28,"")</f>
        <v>135.773645736927</v>
      </c>
      <c r="V61" s="30" t="n">
        <f aca="false">IF(ISNUMBER(Tabelle1!E62),Tabelle1!E62*'Weights &amp; Assumptions'!$F$6+Tabelle1!F62*'Weights &amp; Assumptions'!$F$7,"")</f>
        <v>111.73124309162</v>
      </c>
      <c r="W61" s="30" t="n">
        <f aca="false">IF(ISNUMBER(Tabelle1!G62),Tabelle1!G62*'Weights &amp; Assumptions'!$F$8+Tabelle1!H62*'Weights &amp; Assumptions'!$F$9+Tabelle1!J62*'Weights &amp; Assumptions'!$F$11,"")</f>
        <v>136.009783992547</v>
      </c>
      <c r="X61" s="30" t="n">
        <f aca="false">IF(ISNUMBER(Tabelle1!I62),Tabelle1!I62*'Weights &amp; Assumptions'!$F$10+Tabelle1!K62*'Weights &amp; Assumptions'!$F$12+Tabelle1!L62*'Weights &amp; Assumptions'!$F$13+Tabelle1!M62*'Weights &amp; Assumptions'!$F$14+Tabelle1!N62*'Weights &amp; Assumptions'!$F$15+Tabelle1!O62*'Weights &amp; Assumptions'!$F$16+Tabelle1!P62*'Weights &amp; Assumptions'!$F$17+Tabelle1!Q62*'Weights &amp; Assumptions'!$F$18+Tabelle1!R62*'Weights &amp; Assumptions'!$F$19+Tabelle1!S62*'Weights &amp; Assumptions'!$F$20,"")</f>
        <v>139.537190444352</v>
      </c>
      <c r="Y61" s="23" t="n">
        <f aca="false">IFERROR(V61*'Weights &amp; Assumptions'!$B$25/'Weights &amp; Assumptions'!$B$28+W61*'Weights &amp; Assumptions'!$B$26/'Weights &amp; Assumptions'!$B$28+X61*'Weights &amp; Assumptions'!$B$27/'Weights &amp; Assumptions'!$B$28,"")</f>
        <v>136.266249328541</v>
      </c>
    </row>
    <row r="62" customFormat="false" ht="15" hidden="false" customHeight="false" outlineLevel="0" collapsed="false">
      <c r="A62" s="20" t="n">
        <v>39691</v>
      </c>
      <c r="B62" s="30" t="n">
        <f aca="false">IF(ISNUMBER(Tabelle1!D63),Tabelle1!D63,"")</f>
        <v>135.69375</v>
      </c>
      <c r="C62" s="23" t="n">
        <f aca="false">IF(ISNUMBER(Tabelle1!E63),Tabelle1!E63/'SF Workings'!F62,"")</f>
        <v>119.649441614495</v>
      </c>
      <c r="D62" s="23" t="n">
        <f aca="false">IF(ISNUMBER(Tabelle1!F63),Tabelle1!F63/'SF Workings'!J62,"")</f>
        <v>151.84145231351</v>
      </c>
      <c r="E62" s="23" t="n">
        <f aca="false">IF(ISNUMBER(Tabelle1!G63),Tabelle1!G63/'SF Workings'!N62,"")</f>
        <v>102.716499938386</v>
      </c>
      <c r="F62" s="23" t="n">
        <f aca="false">IF(ISNUMBER(Tabelle1!H63),Tabelle1!H63/'SF Workings'!R62,"")</f>
        <v>130.639044982696</v>
      </c>
      <c r="G62" s="23" t="n">
        <f aca="false">IF(ISNUMBER(Tabelle1!I63),Tabelle1!I63/'SF Workings'!V62,"")</f>
        <v>122.110729547444</v>
      </c>
      <c r="H62" s="23" t="n">
        <f aca="false">IF(ISNUMBER(Tabelle1!J63),Tabelle1!J63/'SF Workings'!Z62,"")</f>
        <v>146.710887122189</v>
      </c>
      <c r="I62" s="23" t="n">
        <f aca="false">IF(ISNUMBER(Tabelle1!K63),Tabelle1!K63/'SF Workings'!AD62,"")</f>
        <v>140.217313638689</v>
      </c>
      <c r="J62" s="23" t="n">
        <f aca="false">IF(ISNUMBER(Tabelle1!L63),Tabelle1!L63/'SF Workings'!AH62,"")</f>
        <v>141.295846716391</v>
      </c>
      <c r="K62" s="23" t="n">
        <f aca="false">IF(ISNUMBER(Tabelle1!M63),Tabelle1!M63/'SF Workings'!AL62,"")</f>
        <v>154.712432499165</v>
      </c>
      <c r="L62" s="23" t="n">
        <f aca="false">IF(ISNUMBER(Tabelle1!N63),Tabelle1!N63/'SF Workings'!AP62,"")</f>
        <v>153.54140604383</v>
      </c>
      <c r="M62" s="23" t="n">
        <f aca="false">IF(ISNUMBER(Tabelle1!O63),Tabelle1!O63/'SF Workings'!AT62,"")</f>
        <v>124.852745261437</v>
      </c>
      <c r="N62" s="23" t="n">
        <f aca="false">IF(ISNUMBER(Tabelle1!P63),Tabelle1!P63/'SF Workings'!AX62,"")</f>
        <v>121.093378803031</v>
      </c>
      <c r="O62" s="23" t="n">
        <f aca="false">IF(ISNUMBER(Tabelle1!Q63),Tabelle1!Q63/'SF Workings'!BB62,"")</f>
        <v>123.428501537042</v>
      </c>
      <c r="P62" s="23" t="n">
        <f aca="false">IF(ISNUMBER(Tabelle1!R63),Tabelle1!R63/'SF Workings'!BF62,"")</f>
        <v>129.171876515627</v>
      </c>
      <c r="Q62" s="23" t="n">
        <f aca="false">IF(ISNUMBER(Tabelle1!S63),Tabelle1!S63/'SF Workings'!BJ62,"")</f>
        <v>141.68817907717</v>
      </c>
      <c r="R62" s="23" t="n">
        <f aca="false">IFERROR(C62*'Weights &amp; Assumptions'!$F$6+D62*'Weights &amp; Assumptions'!$F$7,"")</f>
        <v>120.043875375697</v>
      </c>
      <c r="S62" s="23" t="n">
        <f aca="false">IFERROR(E62*'Weights &amp; Assumptions'!$F$8+F62*'Weights &amp; Assumptions'!$F$9+H62*'Weights &amp; Assumptions'!$F$11,"")</f>
        <v>130.653301384461</v>
      </c>
      <c r="T62" s="23" t="n">
        <f aca="false">IFERROR(G62*'Weights &amp; Assumptions'!$F$10+I62*'Weights &amp; Assumptions'!$F$12+J62*'Weights &amp; Assumptions'!$F$13+K62*'Weights &amp; Assumptions'!$F$14+L62*'Weights &amp; Assumptions'!$F$15+M62*'Weights &amp; Assumptions'!$F$16+N62*'Weights &amp; Assumptions'!$F$17+O62*'Weights &amp; Assumptions'!$F$18+P62*'Weights &amp; Assumptions'!$F$19+Q62*'Weights &amp; Assumptions'!$F$20,"")</f>
        <v>135.982342217956</v>
      </c>
      <c r="U62" s="23" t="n">
        <f aca="false">IFERROR(R62*'Weights &amp; Assumptions'!$B$25/'Weights &amp; Assumptions'!$B$28+S62*'Weights &amp; Assumptions'!$B$26/'Weights &amp; Assumptions'!$B$28+T62*'Weights &amp; Assumptions'!$B$27/'Weights &amp; Assumptions'!$B$28,"")</f>
        <v>133.228006539734</v>
      </c>
      <c r="V62" s="30" t="n">
        <f aca="false">IF(ISNUMBER(Tabelle1!E63),Tabelle1!E63*'Weights &amp; Assumptions'!$F$6+Tabelle1!F63*'Weights &amp; Assumptions'!$F$7,"")</f>
        <v>72.1077633515691</v>
      </c>
      <c r="W62" s="30" t="n">
        <f aca="false">IF(ISNUMBER(Tabelle1!G63),Tabelle1!G63*'Weights &amp; Assumptions'!$F$8+Tabelle1!H63*'Weights &amp; Assumptions'!$F$9+Tabelle1!J63*'Weights &amp; Assumptions'!$F$11,"")</f>
        <v>133.827183686888</v>
      </c>
      <c r="X62" s="30" t="n">
        <f aca="false">IF(ISNUMBER(Tabelle1!I63),Tabelle1!I63*'Weights &amp; Assumptions'!$F$10+Tabelle1!K63*'Weights &amp; Assumptions'!$F$12+Tabelle1!L63*'Weights &amp; Assumptions'!$F$13+Tabelle1!M63*'Weights &amp; Assumptions'!$F$14+Tabelle1!N63*'Weights &amp; Assumptions'!$F$15+Tabelle1!O63*'Weights &amp; Assumptions'!$F$16+Tabelle1!P63*'Weights &amp; Assumptions'!$F$17+Tabelle1!Q63*'Weights &amp; Assumptions'!$F$18+Tabelle1!R63*'Weights &amp; Assumptions'!$F$19+Tabelle1!S63*'Weights &amp; Assumptions'!$F$20,"")</f>
        <v>137.290749098377</v>
      </c>
      <c r="Y62" s="23" t="n">
        <f aca="false">IFERROR(V62*'Weights &amp; Assumptions'!$B$25/'Weights &amp; Assumptions'!$B$28+W62*'Weights &amp; Assumptions'!$B$26/'Weights &amp; Assumptions'!$B$28+X62*'Weights &amp; Assumptions'!$B$27/'Weights &amp; Assumptions'!$B$28,"")</f>
        <v>130.900819804</v>
      </c>
    </row>
    <row r="63" customFormat="false" ht="15" hidden="false" customHeight="false" outlineLevel="0" collapsed="false">
      <c r="A63" s="20" t="n">
        <v>39721</v>
      </c>
      <c r="B63" s="30" t="n">
        <f aca="false">IF(ISNUMBER(Tabelle1!D64),Tabelle1!D64,"")</f>
        <v>135.91022</v>
      </c>
      <c r="C63" s="23" t="n">
        <f aca="false">IF(ISNUMBER(Tabelle1!E64),Tabelle1!E64/'SF Workings'!F63,"")</f>
        <v>120.261378432647</v>
      </c>
      <c r="D63" s="23" t="n">
        <f aca="false">IF(ISNUMBER(Tabelle1!F64),Tabelle1!F64/'SF Workings'!J63,"")</f>
        <v>89.317528900144</v>
      </c>
      <c r="E63" s="23" t="n">
        <f aca="false">IF(ISNUMBER(Tabelle1!G64),Tabelle1!G64/'SF Workings'!N63,"")</f>
        <v>101.722666794975</v>
      </c>
      <c r="F63" s="23" t="n">
        <f aca="false">IF(ISNUMBER(Tabelle1!H64),Tabelle1!H64/'SF Workings'!R63,"")</f>
        <v>136.205255218751</v>
      </c>
      <c r="G63" s="23" t="n">
        <f aca="false">IF(ISNUMBER(Tabelle1!I64),Tabelle1!I64/'SF Workings'!V63,"")</f>
        <v>124.771807388161</v>
      </c>
      <c r="H63" s="23" t="n">
        <f aca="false">IF(ISNUMBER(Tabelle1!J64),Tabelle1!J64/'SF Workings'!Z63,"")</f>
        <v>145.305346498097</v>
      </c>
      <c r="I63" s="23" t="n">
        <f aca="false">IF(ISNUMBER(Tabelle1!K64),Tabelle1!K64/'SF Workings'!AD63,"")</f>
        <v>145.652226393635</v>
      </c>
      <c r="J63" s="23" t="n">
        <f aca="false">IF(ISNUMBER(Tabelle1!L64),Tabelle1!L64/'SF Workings'!AH63,"")</f>
        <v>138.835608405374</v>
      </c>
      <c r="K63" s="23" t="n">
        <f aca="false">IF(ISNUMBER(Tabelle1!M64),Tabelle1!M64/'SF Workings'!AL63,"")</f>
        <v>156.572129592293</v>
      </c>
      <c r="L63" s="23" t="n">
        <f aca="false">IF(ISNUMBER(Tabelle1!N64),Tabelle1!N64/'SF Workings'!AP63,"")</f>
        <v>151.446655574059</v>
      </c>
      <c r="M63" s="23" t="n">
        <f aca="false">IF(ISNUMBER(Tabelle1!O64),Tabelle1!O64/'SF Workings'!AT63,"")</f>
        <v>126.082659817656</v>
      </c>
      <c r="N63" s="23" t="n">
        <f aca="false">IF(ISNUMBER(Tabelle1!P64),Tabelle1!P64/'SF Workings'!AX63,"")</f>
        <v>121.300032163674</v>
      </c>
      <c r="O63" s="23" t="n">
        <f aca="false">IF(ISNUMBER(Tabelle1!Q64),Tabelle1!Q64/'SF Workings'!BB63,"")</f>
        <v>123.675728313447</v>
      </c>
      <c r="P63" s="23" t="n">
        <f aca="false">IF(ISNUMBER(Tabelle1!R64),Tabelle1!R64/'SF Workings'!BF63,"")</f>
        <v>129.921711042622</v>
      </c>
      <c r="Q63" s="23" t="n">
        <f aca="false">IF(ISNUMBER(Tabelle1!S64),Tabelle1!S64/'SF Workings'!BJ63,"")</f>
        <v>138.97978785531</v>
      </c>
      <c r="R63" s="23" t="n">
        <f aca="false">IFERROR(C63*'Weights &amp; Assumptions'!$F$6+D63*'Weights &amp; Assumptions'!$F$7,"")</f>
        <v>119.88223781073</v>
      </c>
      <c r="S63" s="23" t="n">
        <f aca="false">IFERROR(E63*'Weights &amp; Assumptions'!$F$8+F63*'Weights &amp; Assumptions'!$F$9+H63*'Weights &amp; Assumptions'!$F$11,"")</f>
        <v>133.983877102742</v>
      </c>
      <c r="T63" s="23" t="n">
        <f aca="false">IFERROR(G63*'Weights &amp; Assumptions'!$F$10+I63*'Weights &amp; Assumptions'!$F$12+J63*'Weights &amp; Assumptions'!$F$13+K63*'Weights &amp; Assumptions'!$F$14+L63*'Weights &amp; Assumptions'!$F$15+M63*'Weights &amp; Assumptions'!$F$16+N63*'Weights &amp; Assumptions'!$F$17+O63*'Weights &amp; Assumptions'!$F$18+P63*'Weights &amp; Assumptions'!$F$19+Q63*'Weights &amp; Assumptions'!$F$20,"")</f>
        <v>137.354876487886</v>
      </c>
      <c r="U63" s="23" t="n">
        <f aca="false">IFERROR(R63*'Weights &amp; Assumptions'!$B$25/'Weights &amp; Assumptions'!$B$28+S63*'Weights &amp; Assumptions'!$B$26/'Weights &amp; Assumptions'!$B$28+T63*'Weights &amp; Assumptions'!$B$27/'Weights &amp; Assumptions'!$B$28,"")</f>
        <v>134.992499940488</v>
      </c>
      <c r="V63" s="30" t="n">
        <f aca="false">IF(ISNUMBER(Tabelle1!E64),Tabelle1!E64*'Weights &amp; Assumptions'!$F$6+Tabelle1!F64*'Weights &amp; Assumptions'!$F$7,"")</f>
        <v>67.4028982608074</v>
      </c>
      <c r="W63" s="30" t="n">
        <f aca="false">IF(ISNUMBER(Tabelle1!G64),Tabelle1!G64*'Weights &amp; Assumptions'!$F$8+Tabelle1!H64*'Weights &amp; Assumptions'!$F$9+Tabelle1!J64*'Weights &amp; Assumptions'!$F$11,"")</f>
        <v>138.123791264111</v>
      </c>
      <c r="X63" s="30" t="n">
        <f aca="false">IF(ISNUMBER(Tabelle1!I64),Tabelle1!I64*'Weights &amp; Assumptions'!$F$10+Tabelle1!K64*'Weights &amp; Assumptions'!$F$12+Tabelle1!L64*'Weights &amp; Assumptions'!$F$13+Tabelle1!M64*'Weights &amp; Assumptions'!$F$14+Tabelle1!N64*'Weights &amp; Assumptions'!$F$15+Tabelle1!O64*'Weights &amp; Assumptions'!$F$16+Tabelle1!P64*'Weights &amp; Assumptions'!$F$17+Tabelle1!Q64*'Weights &amp; Assumptions'!$F$18+Tabelle1!R64*'Weights &amp; Assumptions'!$F$19+Tabelle1!S64*'Weights &amp; Assumptions'!$F$20,"")</f>
        <v>137.576711548503</v>
      </c>
      <c r="Y63" s="23" t="n">
        <f aca="false">IFERROR(V63*'Weights &amp; Assumptions'!$B$25/'Weights &amp; Assumptions'!$B$28+W63*'Weights &amp; Assumptions'!$B$26/'Weights &amp; Assumptions'!$B$28+X63*'Weights &amp; Assumptions'!$B$27/'Weights &amp; Assumptions'!$B$28,"")</f>
        <v>131.834548267993</v>
      </c>
    </row>
    <row r="64" customFormat="false" ht="15" hidden="false" customHeight="false" outlineLevel="0" collapsed="false">
      <c r="A64" s="20" t="n">
        <v>39752</v>
      </c>
      <c r="B64" s="30" t="n">
        <f aca="false">IF(ISNUMBER(Tabelle1!D65),Tabelle1!D65,"")</f>
        <v>132.51585</v>
      </c>
      <c r="C64" s="23" t="n">
        <f aca="false">IF(ISNUMBER(Tabelle1!E65),Tabelle1!E65/'SF Workings'!F64,"")</f>
        <v>118.535355220486</v>
      </c>
      <c r="D64" s="23" t="n">
        <f aca="false">IF(ISNUMBER(Tabelle1!F65),Tabelle1!F65/'SF Workings'!J64,"")</f>
        <v>122.444168781388</v>
      </c>
      <c r="E64" s="23" t="n">
        <f aca="false">IF(ISNUMBER(Tabelle1!G65),Tabelle1!G65/'SF Workings'!N64,"")</f>
        <v>102.666279621934</v>
      </c>
      <c r="F64" s="23" t="n">
        <f aca="false">IF(ISNUMBER(Tabelle1!H65),Tabelle1!H65/'SF Workings'!R64,"")</f>
        <v>128.937388588573</v>
      </c>
      <c r="G64" s="23" t="n">
        <f aca="false">IF(ISNUMBER(Tabelle1!I65),Tabelle1!I65/'SF Workings'!V64,"")</f>
        <v>118.637509389105</v>
      </c>
      <c r="H64" s="23" t="n">
        <f aca="false">IF(ISNUMBER(Tabelle1!J65),Tabelle1!J65/'SF Workings'!Z64,"")</f>
        <v>140.852935605574</v>
      </c>
      <c r="I64" s="23" t="n">
        <f aca="false">IF(ISNUMBER(Tabelle1!K65),Tabelle1!K65/'SF Workings'!AD64,"")</f>
        <v>141.91220792831</v>
      </c>
      <c r="J64" s="23" t="n">
        <f aca="false">IF(ISNUMBER(Tabelle1!L65),Tabelle1!L65/'SF Workings'!AH64,"")</f>
        <v>136.266241151094</v>
      </c>
      <c r="K64" s="23" t="n">
        <f aca="false">IF(ISNUMBER(Tabelle1!M65),Tabelle1!M65/'SF Workings'!AL64,"")</f>
        <v>155.098294230401</v>
      </c>
      <c r="L64" s="23" t="n">
        <f aca="false">IF(ISNUMBER(Tabelle1!N65),Tabelle1!N65/'SF Workings'!AP64,"")</f>
        <v>156.968555672173</v>
      </c>
      <c r="M64" s="23" t="n">
        <f aca="false">IF(ISNUMBER(Tabelle1!O65),Tabelle1!O65/'SF Workings'!AT64,"")</f>
        <v>126.872095612154</v>
      </c>
      <c r="N64" s="23" t="n">
        <f aca="false">IF(ISNUMBER(Tabelle1!P65),Tabelle1!P65/'SF Workings'!AX64,"")</f>
        <v>120.944852133643</v>
      </c>
      <c r="O64" s="23" t="n">
        <f aca="false">IF(ISNUMBER(Tabelle1!Q65),Tabelle1!Q65/'SF Workings'!BB64,"")</f>
        <v>123.832615778597</v>
      </c>
      <c r="P64" s="23" t="n">
        <f aca="false">IF(ISNUMBER(Tabelle1!R65),Tabelle1!R65/'SF Workings'!BF64,"")</f>
        <v>129.819232455525</v>
      </c>
      <c r="Q64" s="23" t="n">
        <f aca="false">IF(ISNUMBER(Tabelle1!S65),Tabelle1!S65/'SF Workings'!BJ64,"")</f>
        <v>138.860166058686</v>
      </c>
      <c r="R64" s="23" t="n">
        <f aca="false">IFERROR(C64*'Weights &amp; Assumptions'!$F$6+D64*'Weights &amp; Assumptions'!$F$7,"")</f>
        <v>118.58324809829</v>
      </c>
      <c r="S64" s="23" t="n">
        <f aca="false">IFERROR(E64*'Weights &amp; Assumptions'!$F$8+F64*'Weights &amp; Assumptions'!$F$9+H64*'Weights &amp; Assumptions'!$F$11,"")</f>
        <v>128.282968234968</v>
      </c>
      <c r="T64" s="23" t="n">
        <f aca="false">IFERROR(G64*'Weights &amp; Assumptions'!$F$10+I64*'Weights &amp; Assumptions'!$F$12+J64*'Weights &amp; Assumptions'!$F$13+K64*'Weights &amp; Assumptions'!$F$14+L64*'Weights &amp; Assumptions'!$F$15+M64*'Weights &amp; Assumptions'!$F$16+N64*'Weights &amp; Assumptions'!$F$17+O64*'Weights &amp; Assumptions'!$F$18+P64*'Weights &amp; Assumptions'!$F$19+Q64*'Weights &amp; Assumptions'!$F$20,"")</f>
        <v>136.631163065426</v>
      </c>
      <c r="U64" s="23" t="n">
        <f aca="false">IFERROR(R64*'Weights &amp; Assumptions'!$B$25/'Weights &amp; Assumptions'!$B$28+S64*'Weights &amp; Assumptions'!$B$26/'Weights &amp; Assumptions'!$B$28+T64*'Weights &amp; Assumptions'!$B$27/'Weights &amp; Assumptions'!$B$28,"")</f>
        <v>132.896997147174</v>
      </c>
      <c r="V64" s="30" t="n">
        <f aca="false">IF(ISNUMBER(Tabelle1!E65),Tabelle1!E65*'Weights &amp; Assumptions'!$F$6+Tabelle1!F65*'Weights &amp; Assumptions'!$F$7,"")</f>
        <v>66.9961431011549</v>
      </c>
      <c r="W64" s="30" t="n">
        <f aca="false">IF(ISNUMBER(Tabelle1!G65),Tabelle1!G65*'Weights &amp; Assumptions'!$F$8+Tabelle1!H65*'Weights &amp; Assumptions'!$F$9+Tabelle1!J65*'Weights &amp; Assumptions'!$F$11,"")</f>
        <v>133.555438317301</v>
      </c>
      <c r="X64" s="30" t="n">
        <f aca="false">IF(ISNUMBER(Tabelle1!I65),Tabelle1!I65*'Weights &amp; Assumptions'!$F$10+Tabelle1!K65*'Weights &amp; Assumptions'!$F$12+Tabelle1!L65*'Weights &amp; Assumptions'!$F$13+Tabelle1!M65*'Weights &amp; Assumptions'!$F$14+Tabelle1!N65*'Weights &amp; Assumptions'!$F$15+Tabelle1!O65*'Weights &amp; Assumptions'!$F$16+Tabelle1!P65*'Weights &amp; Assumptions'!$F$17+Tabelle1!Q65*'Weights &amp; Assumptions'!$F$18+Tabelle1!R65*'Weights &amp; Assumptions'!$F$19+Tabelle1!S65*'Weights &amp; Assumptions'!$F$20,"")</f>
        <v>136.817415515386</v>
      </c>
      <c r="Y64" s="23" t="n">
        <f aca="false">IFERROR(V64*'Weights &amp; Assumptions'!$B$25/'Weights &amp; Assumptions'!$B$28+W64*'Weights &amp; Assumptions'!$B$26/'Weights &amp; Assumptions'!$B$28+X64*'Weights &amp; Assumptions'!$B$27/'Weights &amp; Assumptions'!$B$28,"")</f>
        <v>130.091935936958</v>
      </c>
    </row>
    <row r="65" customFormat="false" ht="15" hidden="false" customHeight="false" outlineLevel="0" collapsed="false">
      <c r="A65" s="20" t="n">
        <v>39782</v>
      </c>
      <c r="B65" s="30" t="n">
        <f aca="false">IF(ISNUMBER(Tabelle1!D66),Tabelle1!D66,"")</f>
        <v>130.32737</v>
      </c>
      <c r="C65" s="23" t="n">
        <f aca="false">IF(ISNUMBER(Tabelle1!E66),Tabelle1!E66/'SF Workings'!F65,"")</f>
        <v>115.562457196321</v>
      </c>
      <c r="D65" s="23" t="n">
        <f aca="false">IF(ISNUMBER(Tabelle1!F66),Tabelle1!F66/'SF Workings'!J65,"")</f>
        <v>98.5850867316127</v>
      </c>
      <c r="E65" s="23" t="n">
        <f aca="false">IF(ISNUMBER(Tabelle1!G66),Tabelle1!G66/'SF Workings'!N65,"")</f>
        <v>104.972037845246</v>
      </c>
      <c r="F65" s="23" t="n">
        <f aca="false">IF(ISNUMBER(Tabelle1!H66),Tabelle1!H66/'SF Workings'!R65,"")</f>
        <v>121.955039878966</v>
      </c>
      <c r="G65" s="23" t="n">
        <f aca="false">IF(ISNUMBER(Tabelle1!I66),Tabelle1!I66/'SF Workings'!V65,"")</f>
        <v>122.839484326152</v>
      </c>
      <c r="H65" s="23" t="n">
        <f aca="false">IF(ISNUMBER(Tabelle1!J66),Tabelle1!J66/'SF Workings'!Z65,"")</f>
        <v>137.436134421354</v>
      </c>
      <c r="I65" s="23" t="n">
        <f aca="false">IF(ISNUMBER(Tabelle1!K66),Tabelle1!K66/'SF Workings'!AD65,"")</f>
        <v>130.185146183666</v>
      </c>
      <c r="J65" s="23" t="n">
        <f aca="false">IF(ISNUMBER(Tabelle1!L66),Tabelle1!L66/'SF Workings'!AH65,"")</f>
        <v>134.028596274986</v>
      </c>
      <c r="K65" s="23" t="n">
        <f aca="false">IF(ISNUMBER(Tabelle1!M66),Tabelle1!M66/'SF Workings'!AL65,"")</f>
        <v>150.984493174281</v>
      </c>
      <c r="L65" s="23" t="n">
        <f aca="false">IF(ISNUMBER(Tabelle1!N66),Tabelle1!N66/'SF Workings'!AP65,"")</f>
        <v>149.506774750873</v>
      </c>
      <c r="M65" s="23" t="n">
        <f aca="false">IF(ISNUMBER(Tabelle1!O66),Tabelle1!O66/'SF Workings'!AT65,"")</f>
        <v>124.091281144284</v>
      </c>
      <c r="N65" s="23" t="n">
        <f aca="false">IF(ISNUMBER(Tabelle1!P66),Tabelle1!P66/'SF Workings'!AX65,"")</f>
        <v>121.251734018691</v>
      </c>
      <c r="O65" s="23" t="n">
        <f aca="false">IF(ISNUMBER(Tabelle1!Q66),Tabelle1!Q66/'SF Workings'!BB65,"")</f>
        <v>123.825518876331</v>
      </c>
      <c r="P65" s="23" t="n">
        <f aca="false">IF(ISNUMBER(Tabelle1!R66),Tabelle1!R66/'SF Workings'!BF65,"")</f>
        <v>131.041642080592</v>
      </c>
      <c r="Q65" s="23" t="n">
        <f aca="false">IF(ISNUMBER(Tabelle1!S66),Tabelle1!S66/'SF Workings'!BJ65,"")</f>
        <v>134.69179228277</v>
      </c>
      <c r="R65" s="23" t="n">
        <f aca="false">IFERROR(C65*'Weights &amp; Assumptions'!$F$6+D65*'Weights &amp; Assumptions'!$F$7,"")</f>
        <v>115.354441358158</v>
      </c>
      <c r="S65" s="23" t="n">
        <f aca="false">IFERROR(E65*'Weights &amp; Assumptions'!$F$8+F65*'Weights &amp; Assumptions'!$F$9+H65*'Weights &amp; Assumptions'!$F$11,"")</f>
        <v>123.152385977365</v>
      </c>
      <c r="T65" s="23" t="n">
        <f aca="false">IFERROR(G65*'Weights &amp; Assumptions'!$F$10+I65*'Weights &amp; Assumptions'!$F$12+J65*'Weights &amp; Assumptions'!$F$13+K65*'Weights &amp; Assumptions'!$F$14+L65*'Weights &amp; Assumptions'!$F$15+M65*'Weights &amp; Assumptions'!$F$16+N65*'Weights &amp; Assumptions'!$F$17+O65*'Weights &amp; Assumptions'!$F$18+P65*'Weights &amp; Assumptions'!$F$19+Q65*'Weights &amp; Assumptions'!$F$20,"")</f>
        <v>132.413621283949</v>
      </c>
      <c r="U65" s="23" t="n">
        <f aca="false">IFERROR(R65*'Weights &amp; Assumptions'!$B$25/'Weights &amp; Assumptions'!$B$28+S65*'Weights &amp; Assumptions'!$B$26/'Weights &amp; Assumptions'!$B$28+T65*'Weights &amp; Assumptions'!$B$27/'Weights &amp; Assumptions'!$B$28,"")</f>
        <v>128.519617646746</v>
      </c>
      <c r="V65" s="30" t="n">
        <f aca="false">IF(ISNUMBER(Tabelle1!E66),Tabelle1!E66*'Weights &amp; Assumptions'!$F$6+Tabelle1!F66*'Weights &amp; Assumptions'!$F$7,"")</f>
        <v>80.0045051012503</v>
      </c>
      <c r="W65" s="30" t="n">
        <f aca="false">IF(ISNUMBER(Tabelle1!G66),Tabelle1!G66*'Weights &amp; Assumptions'!$F$8+Tabelle1!H66*'Weights &amp; Assumptions'!$F$9+Tabelle1!J66*'Weights &amp; Assumptions'!$F$11,"")</f>
        <v>125.412908048534</v>
      </c>
      <c r="X65" s="30" t="n">
        <f aca="false">IF(ISNUMBER(Tabelle1!I66),Tabelle1!I66*'Weights &amp; Assumptions'!$F$10+Tabelle1!K66*'Weights &amp; Assumptions'!$F$12+Tabelle1!L66*'Weights &amp; Assumptions'!$F$13+Tabelle1!M66*'Weights &amp; Assumptions'!$F$14+Tabelle1!N66*'Weights &amp; Assumptions'!$F$15+Tabelle1!O66*'Weights &amp; Assumptions'!$F$16+Tabelle1!P66*'Weights &amp; Assumptions'!$F$17+Tabelle1!Q66*'Weights &amp; Assumptions'!$F$18+Tabelle1!R66*'Weights &amp; Assumptions'!$F$19+Tabelle1!S66*'Weights &amp; Assumptions'!$F$20,"")</f>
        <v>132.702093708418</v>
      </c>
      <c r="Y65" s="23" t="n">
        <f aca="false">IFERROR(V65*'Weights &amp; Assumptions'!$B$25/'Weights &amp; Assumptions'!$B$28+W65*'Weights &amp; Assumptions'!$B$26/'Weights &amp; Assumptions'!$B$28+X65*'Weights &amp; Assumptions'!$B$27/'Weights &amp; Assumptions'!$B$28,"")</f>
        <v>126.342400373769</v>
      </c>
    </row>
    <row r="66" customFormat="false" ht="15" hidden="false" customHeight="false" outlineLevel="0" collapsed="false">
      <c r="A66" s="20" t="n">
        <v>39813</v>
      </c>
      <c r="B66" s="30" t="n">
        <f aca="false">IF(ISNUMBER(Tabelle1!D67),Tabelle1!D67,"")</f>
        <v>125.16881</v>
      </c>
      <c r="C66" s="23" t="n">
        <f aca="false">IF(ISNUMBER(Tabelle1!E67),Tabelle1!E67/'SF Workings'!F66,"")</f>
        <v>103.369367840048</v>
      </c>
      <c r="D66" s="23" t="n">
        <f aca="false">IF(ISNUMBER(Tabelle1!F67),Tabelle1!F67/'SF Workings'!J66,"")</f>
        <v>119.028066837168</v>
      </c>
      <c r="E66" s="23" t="n">
        <f aca="false">IF(ISNUMBER(Tabelle1!G67),Tabelle1!G67/'SF Workings'!N66,"")</f>
        <v>104.412909075442</v>
      </c>
      <c r="F66" s="23" t="n">
        <f aca="false">IF(ISNUMBER(Tabelle1!H67),Tabelle1!H67/'SF Workings'!R66,"")</f>
        <v>119.835020287543</v>
      </c>
      <c r="G66" s="23" t="n">
        <f aca="false">IF(ISNUMBER(Tabelle1!I67),Tabelle1!I67/'SF Workings'!V66,"")</f>
        <v>119.440964831691</v>
      </c>
      <c r="H66" s="23" t="n">
        <f aca="false">IF(ISNUMBER(Tabelle1!J67),Tabelle1!J67/'SF Workings'!Z66,"")</f>
        <v>134.537029709461</v>
      </c>
      <c r="I66" s="23" t="n">
        <f aca="false">IF(ISNUMBER(Tabelle1!K67),Tabelle1!K67/'SF Workings'!AD66,"")</f>
        <v>132.767152669621</v>
      </c>
      <c r="J66" s="23" t="n">
        <f aca="false">IF(ISNUMBER(Tabelle1!L67),Tabelle1!L67/'SF Workings'!AH66,"")</f>
        <v>133.954070756667</v>
      </c>
      <c r="K66" s="23" t="n">
        <f aca="false">IF(ISNUMBER(Tabelle1!M67),Tabelle1!M67/'SF Workings'!AL66,"")</f>
        <v>151.744781379317</v>
      </c>
      <c r="L66" s="23" t="n">
        <f aca="false">IF(ISNUMBER(Tabelle1!N67),Tabelle1!N67/'SF Workings'!AP66,"")</f>
        <v>147.779830374293</v>
      </c>
      <c r="M66" s="23" t="n">
        <f aca="false">IF(ISNUMBER(Tabelle1!O67),Tabelle1!O67/'SF Workings'!AT66,"")</f>
        <v>123.67303987108</v>
      </c>
      <c r="N66" s="23" t="n">
        <f aca="false">IF(ISNUMBER(Tabelle1!P67),Tabelle1!P67/'SF Workings'!AX66,"")</f>
        <v>122.018073116749</v>
      </c>
      <c r="O66" s="23" t="n">
        <f aca="false">IF(ISNUMBER(Tabelle1!Q67),Tabelle1!Q67/'SF Workings'!BB66,"")</f>
        <v>124.315004588122</v>
      </c>
      <c r="P66" s="23" t="n">
        <f aca="false">IF(ISNUMBER(Tabelle1!R67),Tabelle1!R67/'SF Workings'!BF66,"")</f>
        <v>131.191685823312</v>
      </c>
      <c r="Q66" s="23" t="n">
        <f aca="false">IF(ISNUMBER(Tabelle1!S67),Tabelle1!S67/'SF Workings'!BJ66,"")</f>
        <v>136.286173608907</v>
      </c>
      <c r="R66" s="23" t="n">
        <f aca="false">IFERROR(C66*'Weights &amp; Assumptions'!$F$6+D66*'Weights &amp; Assumptions'!$F$7,"")</f>
        <v>103.561226608943</v>
      </c>
      <c r="S66" s="23" t="n">
        <f aca="false">IFERROR(E66*'Weights &amp; Assumptions'!$F$8+F66*'Weights &amp; Assumptions'!$F$9+H66*'Weights &amp; Assumptions'!$F$11,"")</f>
        <v>121.056431342687</v>
      </c>
      <c r="T66" s="23" t="n">
        <f aca="false">IFERROR(G66*'Weights &amp; Assumptions'!$F$10+I66*'Weights &amp; Assumptions'!$F$12+J66*'Weights &amp; Assumptions'!$F$13+K66*'Weights &amp; Assumptions'!$F$14+L66*'Weights &amp; Assumptions'!$F$15+M66*'Weights &amp; Assumptions'!$F$16+N66*'Weights &amp; Assumptions'!$F$17+O66*'Weights &amp; Assumptions'!$F$18+P66*'Weights &amp; Assumptions'!$F$19+Q66*'Weights &amp; Assumptions'!$F$20,"")</f>
        <v>132.939350965075</v>
      </c>
      <c r="U66" s="23" t="n">
        <f aca="false">IFERROR(R66*'Weights &amp; Assumptions'!$B$25/'Weights &amp; Assumptions'!$B$28+S66*'Weights &amp; Assumptions'!$B$26/'Weights &amp; Assumptions'!$B$28+T66*'Weights &amp; Assumptions'!$B$27/'Weights &amp; Assumptions'!$B$28,"")</f>
        <v>127.314625982775</v>
      </c>
      <c r="V66" s="30" t="n">
        <f aca="false">IF(ISNUMBER(Tabelle1!E67),Tabelle1!E67*'Weights &amp; Assumptions'!$F$6+Tabelle1!F67*'Weights &amp; Assumptions'!$F$7,"")</f>
        <v>79.3982543838572</v>
      </c>
      <c r="W66" s="30" t="n">
        <f aca="false">IF(ISNUMBER(Tabelle1!G67),Tabelle1!G67*'Weights &amp; Assumptions'!$F$8+Tabelle1!H67*'Weights &amp; Assumptions'!$F$9+Tabelle1!J67*'Weights &amp; Assumptions'!$F$11,"")</f>
        <v>119.100248480584</v>
      </c>
      <c r="X66" s="30" t="n">
        <f aca="false">IF(ISNUMBER(Tabelle1!I67),Tabelle1!I67*'Weights &amp; Assumptions'!$F$10+Tabelle1!K67*'Weights &amp; Assumptions'!$F$12+Tabelle1!L67*'Weights &amp; Assumptions'!$F$13+Tabelle1!M67*'Weights &amp; Assumptions'!$F$14+Tabelle1!N67*'Weights &amp; Assumptions'!$F$15+Tabelle1!O67*'Weights &amp; Assumptions'!$F$16+Tabelle1!P67*'Weights &amp; Assumptions'!$F$17+Tabelle1!Q67*'Weights &amp; Assumptions'!$F$18+Tabelle1!R67*'Weights &amp; Assumptions'!$F$19+Tabelle1!S67*'Weights &amp; Assumptions'!$F$20,"")</f>
        <v>132.059163902271</v>
      </c>
      <c r="Y66" s="23" t="n">
        <f aca="false">IFERROR(V66*'Weights &amp; Assumptions'!$B$25/'Weights &amp; Assumptions'!$B$28+W66*'Weights &amp; Assumptions'!$B$26/'Weights &amp; Assumptions'!$B$28+X66*'Weights &amp; Assumptions'!$B$27/'Weights &amp; Assumptions'!$B$28,"")</f>
        <v>124.194867790254</v>
      </c>
    </row>
    <row r="67" customFormat="false" ht="15" hidden="false" customHeight="false" outlineLevel="0" collapsed="false">
      <c r="A67" s="20" t="n">
        <v>39844</v>
      </c>
      <c r="B67" s="30" t="n">
        <f aca="false">IF(ISNUMBER(Tabelle1!D68),Tabelle1!D68,"")</f>
        <v>124.2895</v>
      </c>
      <c r="C67" s="23" t="n">
        <f aca="false">IF(ISNUMBER(Tabelle1!E68),Tabelle1!E68/'SF Workings'!F67,"")</f>
        <v>105.272110538214</v>
      </c>
      <c r="D67" s="23" t="n">
        <f aca="false">IF(ISNUMBER(Tabelle1!F68),Tabelle1!F68/'SF Workings'!J67,"")</f>
        <v>108.98782031356</v>
      </c>
      <c r="E67" s="23" t="n">
        <f aca="false">IF(ISNUMBER(Tabelle1!G68),Tabelle1!G68/'SF Workings'!N67,"")</f>
        <v>104.748802761482</v>
      </c>
      <c r="F67" s="23" t="n">
        <f aca="false">IF(ISNUMBER(Tabelle1!H68),Tabelle1!H68/'SF Workings'!R67,"")</f>
        <v>116.481371691938</v>
      </c>
      <c r="G67" s="23" t="n">
        <f aca="false">IF(ISNUMBER(Tabelle1!I68),Tabelle1!I68/'SF Workings'!V67,"")</f>
        <v>118.696280784017</v>
      </c>
      <c r="H67" s="23" t="n">
        <f aca="false">IF(ISNUMBER(Tabelle1!J68),Tabelle1!J68/'SF Workings'!Z67,"")</f>
        <v>126.43840168989</v>
      </c>
      <c r="I67" s="23" t="n">
        <f aca="false">IF(ISNUMBER(Tabelle1!K68),Tabelle1!K68/'SF Workings'!AD67,"")</f>
        <v>129.679266548103</v>
      </c>
      <c r="J67" s="23" t="n">
        <f aca="false">IF(ISNUMBER(Tabelle1!L68),Tabelle1!L68/'SF Workings'!AH67,"")</f>
        <v>133.974256454591</v>
      </c>
      <c r="K67" s="23" t="n">
        <f aca="false">IF(ISNUMBER(Tabelle1!M68),Tabelle1!M68/'SF Workings'!AL67,"")</f>
        <v>149.516459478622</v>
      </c>
      <c r="L67" s="23" t="n">
        <f aca="false">IF(ISNUMBER(Tabelle1!N68),Tabelle1!N68/'SF Workings'!AP67,"")</f>
        <v>149.905872382973</v>
      </c>
      <c r="M67" s="23" t="n">
        <f aca="false">IF(ISNUMBER(Tabelle1!O68),Tabelle1!O68/'SF Workings'!AT67,"")</f>
        <v>122.665077765166</v>
      </c>
      <c r="N67" s="23" t="n">
        <f aca="false">IF(ISNUMBER(Tabelle1!P68),Tabelle1!P68/'SF Workings'!AX67,"")</f>
        <v>120.095544197333</v>
      </c>
      <c r="O67" s="23" t="n">
        <f aca="false">IF(ISNUMBER(Tabelle1!Q68),Tabelle1!Q68/'SF Workings'!BB67,"")</f>
        <v>124.057982874392</v>
      </c>
      <c r="P67" s="23" t="n">
        <f aca="false">IF(ISNUMBER(Tabelle1!R68),Tabelle1!R68/'SF Workings'!BF67,"")</f>
        <v>133.787203547506</v>
      </c>
      <c r="Q67" s="23" t="n">
        <f aca="false">IF(ISNUMBER(Tabelle1!S68),Tabelle1!S68/'SF Workings'!BJ67,"")</f>
        <v>135.107807495599</v>
      </c>
      <c r="R67" s="23" t="n">
        <f aca="false">IFERROR(C67*'Weights &amp; Assumptions'!$F$6+D67*'Weights &amp; Assumptions'!$F$7,"")</f>
        <v>105.317637404987</v>
      </c>
      <c r="S67" s="23" t="n">
        <f aca="false">IFERROR(E67*'Weights &amp; Assumptions'!$F$8+F67*'Weights &amp; Assumptions'!$F$9+H67*'Weights &amp; Assumptions'!$F$11,"")</f>
        <v>117.154814359432</v>
      </c>
      <c r="T67" s="23" t="n">
        <f aca="false">IFERROR(G67*'Weights &amp; Assumptions'!$F$10+I67*'Weights &amp; Assumptions'!$F$12+J67*'Weights &amp; Assumptions'!$F$13+K67*'Weights &amp; Assumptions'!$F$14+L67*'Weights &amp; Assumptions'!$F$15+M67*'Weights &amp; Assumptions'!$F$16+N67*'Weights &amp; Assumptions'!$F$17+O67*'Weights &amp; Assumptions'!$F$18+P67*'Weights &amp; Assumptions'!$F$19+Q67*'Weights &amp; Assumptions'!$F$20,"")</f>
        <v>131.847544091756</v>
      </c>
      <c r="U67" s="23" t="n">
        <f aca="false">IFERROR(R67*'Weights &amp; Assumptions'!$B$25/'Weights &amp; Assumptions'!$B$28+S67*'Weights &amp; Assumptions'!$B$26/'Weights &amp; Assumptions'!$B$28+T67*'Weights &amp; Assumptions'!$B$27/'Weights &amp; Assumptions'!$B$28,"")</f>
        <v>125.714609351739</v>
      </c>
      <c r="V67" s="30" t="n">
        <f aca="false">IF(ISNUMBER(Tabelle1!E68),Tabelle1!E68*'Weights &amp; Assumptions'!$F$6+Tabelle1!F68*'Weights &amp; Assumptions'!$F$7,"")</f>
        <v>58.2596669487849</v>
      </c>
      <c r="W67" s="30" t="n">
        <f aca="false">IF(ISNUMBER(Tabelle1!G68),Tabelle1!G68*'Weights &amp; Assumptions'!$F$8+Tabelle1!H68*'Weights &amp; Assumptions'!$F$9+Tabelle1!J68*'Weights &amp; Assumptions'!$F$11,"")</f>
        <v>109.492290779488</v>
      </c>
      <c r="X67" s="30" t="n">
        <f aca="false">IF(ISNUMBER(Tabelle1!I68),Tabelle1!I68*'Weights &amp; Assumptions'!$F$10+Tabelle1!K68*'Weights &amp; Assumptions'!$F$12+Tabelle1!L68*'Weights &amp; Assumptions'!$F$13+Tabelle1!M68*'Weights &amp; Assumptions'!$F$14+Tabelle1!N68*'Weights &amp; Assumptions'!$F$15+Tabelle1!O68*'Weights &amp; Assumptions'!$F$16+Tabelle1!P68*'Weights &amp; Assumptions'!$F$17+Tabelle1!Q68*'Weights &amp; Assumptions'!$F$18+Tabelle1!R68*'Weights &amp; Assumptions'!$F$19+Tabelle1!S68*'Weights &amp; Assumptions'!$F$20,"")</f>
        <v>128.765047091834</v>
      </c>
      <c r="Y67" s="23" t="n">
        <f aca="false">IFERROR(V67*'Weights &amp; Assumptions'!$B$25/'Weights &amp; Assumptions'!$B$28+W67*'Weights &amp; Assumptions'!$B$26/'Weights &amp; Assumptions'!$B$28+X67*'Weights &amp; Assumptions'!$B$27/'Weights &amp; Assumptions'!$B$28,"")</f>
        <v>117.724624460231</v>
      </c>
    </row>
    <row r="68" customFormat="false" ht="15" hidden="false" customHeight="false" outlineLevel="0" collapsed="false">
      <c r="A68" s="20" t="n">
        <v>39872</v>
      </c>
      <c r="B68" s="30" t="n">
        <f aca="false">IF(ISNUMBER(Tabelle1!D69),Tabelle1!D69,"")</f>
        <v>126.22969</v>
      </c>
      <c r="C68" s="23" t="n">
        <f aca="false">IF(ISNUMBER(Tabelle1!E69),Tabelle1!E69/'SF Workings'!F68,"")</f>
        <v>108.442276236995</v>
      </c>
      <c r="D68" s="23" t="n">
        <f aca="false">IF(ISNUMBER(Tabelle1!F69),Tabelle1!F69/'SF Workings'!J68,"")</f>
        <v>78.046480518658</v>
      </c>
      <c r="E68" s="23" t="n">
        <f aca="false">IF(ISNUMBER(Tabelle1!G69),Tabelle1!G69/'SF Workings'!N68,"")</f>
        <v>103.910130906522</v>
      </c>
      <c r="F68" s="23" t="n">
        <f aca="false">IF(ISNUMBER(Tabelle1!H69),Tabelle1!H69/'SF Workings'!R68,"")</f>
        <v>117.3012327259</v>
      </c>
      <c r="G68" s="23" t="n">
        <f aca="false">IF(ISNUMBER(Tabelle1!I69),Tabelle1!I69/'SF Workings'!V68,"")</f>
        <v>117.574204199661</v>
      </c>
      <c r="H68" s="23" t="n">
        <f aca="false">IF(ISNUMBER(Tabelle1!J69),Tabelle1!J69/'SF Workings'!Z68,"")</f>
        <v>125.681095101485</v>
      </c>
      <c r="I68" s="23" t="n">
        <f aca="false">IF(ISNUMBER(Tabelle1!K69),Tabelle1!K69/'SF Workings'!AD68,"")</f>
        <v>129.672152068341</v>
      </c>
      <c r="J68" s="23" t="n">
        <f aca="false">IF(ISNUMBER(Tabelle1!L69),Tabelle1!L69/'SF Workings'!AH68,"")</f>
        <v>134.724348012547</v>
      </c>
      <c r="K68" s="23" t="n">
        <f aca="false">IF(ISNUMBER(Tabelle1!M69),Tabelle1!M69/'SF Workings'!AL68,"")</f>
        <v>152.154807322093</v>
      </c>
      <c r="L68" s="23" t="n">
        <f aca="false">IF(ISNUMBER(Tabelle1!N69),Tabelle1!N69/'SF Workings'!AP68,"")</f>
        <v>149.938891792437</v>
      </c>
      <c r="M68" s="23" t="n">
        <f aca="false">IF(ISNUMBER(Tabelle1!O69),Tabelle1!O69/'SF Workings'!AT68,"")</f>
        <v>122.471391130094</v>
      </c>
      <c r="N68" s="23" t="n">
        <f aca="false">IF(ISNUMBER(Tabelle1!P69),Tabelle1!P69/'SF Workings'!AX68,"")</f>
        <v>121.128730283355</v>
      </c>
      <c r="O68" s="23" t="n">
        <f aca="false">IF(ISNUMBER(Tabelle1!Q69),Tabelle1!Q69/'SF Workings'!BB68,"")</f>
        <v>123.512073027166</v>
      </c>
      <c r="P68" s="23" t="n">
        <f aca="false">IF(ISNUMBER(Tabelle1!R69),Tabelle1!R69/'SF Workings'!BF68,"")</f>
        <v>132.309226790259</v>
      </c>
      <c r="Q68" s="23" t="n">
        <f aca="false">IF(ISNUMBER(Tabelle1!S69),Tabelle1!S69/'SF Workings'!BJ68,"")</f>
        <v>136.001947067392</v>
      </c>
      <c r="R68" s="23" t="n">
        <f aca="false">IFERROR(C68*'Weights &amp; Assumptions'!$F$6+D68*'Weights &amp; Assumptions'!$F$7,"")</f>
        <v>108.069850664017</v>
      </c>
      <c r="S68" s="23" t="n">
        <f aca="false">IFERROR(E68*'Weights &amp; Assumptions'!$F$8+F68*'Weights &amp; Assumptions'!$F$9+H68*'Weights &amp; Assumptions'!$F$11,"")</f>
        <v>117.448089099876</v>
      </c>
      <c r="T68" s="23" t="n">
        <f aca="false">IFERROR(G68*'Weights &amp; Assumptions'!$F$10+I68*'Weights &amp; Assumptions'!$F$12+J68*'Weights &amp; Assumptions'!$F$13+K68*'Weights &amp; Assumptions'!$F$14+L68*'Weights &amp; Assumptions'!$F$15+M68*'Weights &amp; Assumptions'!$F$16+N68*'Weights &amp; Assumptions'!$F$17+O68*'Weights &amp; Assumptions'!$F$18+P68*'Weights &amp; Assumptions'!$F$19+Q68*'Weights &amp; Assumptions'!$F$20,"")</f>
        <v>132.194557279753</v>
      </c>
      <c r="U68" s="23" t="n">
        <f aca="false">IFERROR(R68*'Weights &amp; Assumptions'!$B$25/'Weights &amp; Assumptions'!$B$28+S68*'Weights &amp; Assumptions'!$B$26/'Weights &amp; Assumptions'!$B$28+T68*'Weights &amp; Assumptions'!$B$27/'Weights &amp; Assumptions'!$B$28,"")</f>
        <v>126.249130835382</v>
      </c>
      <c r="V68" s="30" t="n">
        <f aca="false">IF(ISNUMBER(Tabelle1!E69),Tabelle1!E69*'Weights &amp; Assumptions'!$F$6+Tabelle1!F69*'Weights &amp; Assumptions'!$F$7,"")</f>
        <v>62.5903226084314</v>
      </c>
      <c r="W68" s="30" t="n">
        <f aca="false">IF(ISNUMBER(Tabelle1!G69),Tabelle1!G69*'Weights &amp; Assumptions'!$F$8+Tabelle1!H69*'Weights &amp; Assumptions'!$F$9+Tabelle1!J69*'Weights &amp; Assumptions'!$F$11,"")</f>
        <v>107.442964511729</v>
      </c>
      <c r="X68" s="30" t="n">
        <f aca="false">IF(ISNUMBER(Tabelle1!I69),Tabelle1!I69*'Weights &amp; Assumptions'!$F$10+Tabelle1!K69*'Weights &amp; Assumptions'!$F$12+Tabelle1!L69*'Weights &amp; Assumptions'!$F$13+Tabelle1!M69*'Weights &amp; Assumptions'!$F$14+Tabelle1!N69*'Weights &amp; Assumptions'!$F$15+Tabelle1!O69*'Weights &amp; Assumptions'!$F$16+Tabelle1!P69*'Weights &amp; Assumptions'!$F$17+Tabelle1!Q69*'Weights &amp; Assumptions'!$F$18+Tabelle1!R69*'Weights &amp; Assumptions'!$F$19+Tabelle1!S69*'Weights &amp; Assumptions'!$F$20,"")</f>
        <v>126.197942040318</v>
      </c>
      <c r="Y68" s="23" t="n">
        <f aca="false">IFERROR(V68*'Weights &amp; Assumptions'!$B$25/'Weights &amp; Assumptions'!$B$28+W68*'Weights &amp; Assumptions'!$B$26/'Weights &amp; Assumptions'!$B$28+X68*'Weights &amp; Assumptions'!$B$27/'Weights &amp; Assumptions'!$B$28,"")</f>
        <v>115.873933695933</v>
      </c>
    </row>
    <row r="69" customFormat="false" ht="15" hidden="false" customHeight="false" outlineLevel="0" collapsed="false">
      <c r="A69" s="20" t="n">
        <v>39903</v>
      </c>
      <c r="B69" s="30" t="n">
        <f aca="false">IF(ISNUMBER(Tabelle1!D70),Tabelle1!D70,"")</f>
        <v>123.45784</v>
      </c>
      <c r="C69" s="23" t="n">
        <f aca="false">IF(ISNUMBER(Tabelle1!E70),Tabelle1!E70/'SF Workings'!F69,"")</f>
        <v>96.8985600517675</v>
      </c>
      <c r="D69" s="23" t="n">
        <f aca="false">IF(ISNUMBER(Tabelle1!F70),Tabelle1!F70/'SF Workings'!J69,"")</f>
        <v>102.394422697474</v>
      </c>
      <c r="E69" s="23" t="n">
        <f aca="false">IF(ISNUMBER(Tabelle1!G70),Tabelle1!G70/'SF Workings'!N69,"")</f>
        <v>104.322328241963</v>
      </c>
      <c r="F69" s="23" t="n">
        <f aca="false">IF(ISNUMBER(Tabelle1!H70),Tabelle1!H70/'SF Workings'!R69,"")</f>
        <v>115.865793868946</v>
      </c>
      <c r="G69" s="23" t="n">
        <f aca="false">IF(ISNUMBER(Tabelle1!I70),Tabelle1!I70/'SF Workings'!V69,"")</f>
        <v>122.286217036557</v>
      </c>
      <c r="H69" s="23" t="n">
        <f aca="false">IF(ISNUMBER(Tabelle1!J70),Tabelle1!J70/'SF Workings'!Z69,"")</f>
        <v>124.230767209202</v>
      </c>
      <c r="I69" s="23" t="n">
        <f aca="false">IF(ISNUMBER(Tabelle1!K70),Tabelle1!K70/'SF Workings'!AD69,"")</f>
        <v>128.80471110685</v>
      </c>
      <c r="J69" s="23" t="n">
        <f aca="false">IF(ISNUMBER(Tabelle1!L70),Tabelle1!L70/'SF Workings'!AH69,"")</f>
        <v>131.572922342561</v>
      </c>
      <c r="K69" s="23" t="n">
        <f aca="false">IF(ISNUMBER(Tabelle1!M70),Tabelle1!M70/'SF Workings'!AL69,"")</f>
        <v>151.012481485142</v>
      </c>
      <c r="L69" s="23" t="n">
        <f aca="false">IF(ISNUMBER(Tabelle1!N70),Tabelle1!N70/'SF Workings'!AP69,"")</f>
        <v>150.339402635593</v>
      </c>
      <c r="M69" s="23" t="n">
        <f aca="false">IF(ISNUMBER(Tabelle1!O70),Tabelle1!O70/'SF Workings'!AT69,"")</f>
        <v>122.240816195197</v>
      </c>
      <c r="N69" s="23" t="n">
        <f aca="false">IF(ISNUMBER(Tabelle1!P70),Tabelle1!P70/'SF Workings'!AX69,"")</f>
        <v>121.889380643261</v>
      </c>
      <c r="O69" s="23" t="n">
        <f aca="false">IF(ISNUMBER(Tabelle1!Q70),Tabelle1!Q70/'SF Workings'!BB69,"")</f>
        <v>123.583620023559</v>
      </c>
      <c r="P69" s="23" t="n">
        <f aca="false">IF(ISNUMBER(Tabelle1!R70),Tabelle1!R70/'SF Workings'!BF69,"")</f>
        <v>132.355878486659</v>
      </c>
      <c r="Q69" s="23" t="n">
        <f aca="false">IF(ISNUMBER(Tabelle1!S70),Tabelle1!S70/'SF Workings'!BJ69,"")</f>
        <v>134.606238554742</v>
      </c>
      <c r="R69" s="23" t="n">
        <f aca="false">IFERROR(C69*'Weights &amp; Assumptions'!$F$6+D69*'Weights &amp; Assumptions'!$F$7,"")</f>
        <v>96.9658983051827</v>
      </c>
      <c r="S69" s="23" t="n">
        <f aca="false">IFERROR(E69*'Weights &amp; Assumptions'!$F$8+F69*'Weights &amp; Assumptions'!$F$9+H69*'Weights &amp; Assumptions'!$F$11,"")</f>
        <v>116.230152033769</v>
      </c>
      <c r="T69" s="23" t="n">
        <f aca="false">IFERROR(G69*'Weights &amp; Assumptions'!$F$10+I69*'Weights &amp; Assumptions'!$F$12+J69*'Weights &amp; Assumptions'!$F$13+K69*'Weights &amp; Assumptions'!$F$14+L69*'Weights &amp; Assumptions'!$F$15+M69*'Weights &amp; Assumptions'!$F$16+N69*'Weights &amp; Assumptions'!$F$17+O69*'Weights &amp; Assumptions'!$F$18+P69*'Weights &amp; Assumptions'!$F$19+Q69*'Weights &amp; Assumptions'!$F$20,"")</f>
        <v>131.825027240839</v>
      </c>
      <c r="U69" s="23" t="n">
        <f aca="false">IFERROR(R69*'Weights &amp; Assumptions'!$B$25/'Weights &amp; Assumptions'!$B$28+S69*'Weights &amp; Assumptions'!$B$26/'Weights &amp; Assumptions'!$B$28+T69*'Weights &amp; Assumptions'!$B$27/'Weights &amp; Assumptions'!$B$28,"")</f>
        <v>124.753367582014</v>
      </c>
      <c r="V69" s="30" t="n">
        <f aca="false">IF(ISNUMBER(Tabelle1!E70),Tabelle1!E70*'Weights &amp; Assumptions'!$F$6+Tabelle1!F70*'Weights &amp; Assumptions'!$F$7,"")</f>
        <v>107.374729256028</v>
      </c>
      <c r="W69" s="30" t="n">
        <f aca="false">IF(ISNUMBER(Tabelle1!G70),Tabelle1!G70*'Weights &amp; Assumptions'!$F$8+Tabelle1!H70*'Weights &amp; Assumptions'!$F$9+Tabelle1!J70*'Weights &amp; Assumptions'!$F$11,"")</f>
        <v>118.161054472807</v>
      </c>
      <c r="X69" s="30" t="n">
        <f aca="false">IF(ISNUMBER(Tabelle1!I70),Tabelle1!I70*'Weights &amp; Assumptions'!$F$10+Tabelle1!K70*'Weights &amp; Assumptions'!$F$12+Tabelle1!L70*'Weights &amp; Assumptions'!$F$13+Tabelle1!M70*'Weights &amp; Assumptions'!$F$14+Tabelle1!N70*'Weights &amp; Assumptions'!$F$15+Tabelle1!O70*'Weights &amp; Assumptions'!$F$16+Tabelle1!P70*'Weights &amp; Assumptions'!$F$17+Tabelle1!Q70*'Weights &amp; Assumptions'!$F$18+Tabelle1!R70*'Weights &amp; Assumptions'!$F$19+Tabelle1!S70*'Weights &amp; Assumptions'!$F$20,"")</f>
        <v>133.089455241663</v>
      </c>
      <c r="Y69" s="23" t="n">
        <f aca="false">IFERROR(V69*'Weights &amp; Assumptions'!$B$25/'Weights &amp; Assumptions'!$B$28+W69*'Weights &amp; Assumptions'!$B$26/'Weights &amp; Assumptions'!$B$28+X69*'Weights &amp; Assumptions'!$B$27/'Weights &amp; Assumptions'!$B$28,"")</f>
        <v>126.962245795508</v>
      </c>
    </row>
    <row r="70" customFormat="false" ht="15" hidden="false" customHeight="false" outlineLevel="0" collapsed="false">
      <c r="A70" s="20" t="n">
        <v>39933</v>
      </c>
      <c r="B70" s="30" t="n">
        <f aca="false">IF(ISNUMBER(Tabelle1!D71),Tabelle1!D71,"")</f>
        <v>121.77051</v>
      </c>
      <c r="C70" s="23" t="n">
        <f aca="false">IF(ISNUMBER(Tabelle1!E71),Tabelle1!E71/'SF Workings'!F70,"")</f>
        <v>78.845074545586</v>
      </c>
      <c r="D70" s="23" t="n">
        <f aca="false">IF(ISNUMBER(Tabelle1!F71),Tabelle1!F71/'SF Workings'!J70,"")</f>
        <v>118.35012089566</v>
      </c>
      <c r="E70" s="23" t="n">
        <f aca="false">IF(ISNUMBER(Tabelle1!G71),Tabelle1!G71/'SF Workings'!N70,"")</f>
        <v>103.698162632051</v>
      </c>
      <c r="F70" s="23" t="n">
        <f aca="false">IF(ISNUMBER(Tabelle1!H71),Tabelle1!H71/'SF Workings'!R70,"")</f>
        <v>118.458872196171</v>
      </c>
      <c r="G70" s="23" t="n">
        <f aca="false">IF(ISNUMBER(Tabelle1!I71),Tabelle1!I71/'SF Workings'!V70,"")</f>
        <v>120.959681587414</v>
      </c>
      <c r="H70" s="23" t="n">
        <f aca="false">IF(ISNUMBER(Tabelle1!J71),Tabelle1!J71/'SF Workings'!Z70,"")</f>
        <v>123.48204838269</v>
      </c>
      <c r="I70" s="23" t="n">
        <f aca="false">IF(ISNUMBER(Tabelle1!K71),Tabelle1!K71/'SF Workings'!AD70,"")</f>
        <v>128.26451273401</v>
      </c>
      <c r="J70" s="23" t="n">
        <f aca="false">IF(ISNUMBER(Tabelle1!L71),Tabelle1!L71/'SF Workings'!AH70,"")</f>
        <v>136.895367521737</v>
      </c>
      <c r="K70" s="23" t="n">
        <f aca="false">IF(ISNUMBER(Tabelle1!M71),Tabelle1!M71/'SF Workings'!AL70,"")</f>
        <v>151.310398957542</v>
      </c>
      <c r="L70" s="23" t="n">
        <f aca="false">IF(ISNUMBER(Tabelle1!N71),Tabelle1!N71/'SF Workings'!AP70,"")</f>
        <v>151.574984421063</v>
      </c>
      <c r="M70" s="23" t="n">
        <f aca="false">IF(ISNUMBER(Tabelle1!O71),Tabelle1!O71/'SF Workings'!AT70,"")</f>
        <v>121.897699731038</v>
      </c>
      <c r="N70" s="23" t="n">
        <f aca="false">IF(ISNUMBER(Tabelle1!P71),Tabelle1!P71/'SF Workings'!AX70,"")</f>
        <v>120.56582206045</v>
      </c>
      <c r="O70" s="23" t="n">
        <f aca="false">IF(ISNUMBER(Tabelle1!Q71),Tabelle1!Q71/'SF Workings'!BB70,"")</f>
        <v>123.01251102282</v>
      </c>
      <c r="P70" s="23" t="n">
        <f aca="false">IF(ISNUMBER(Tabelle1!R71),Tabelle1!R71/'SF Workings'!BF70,"")</f>
        <v>135.763511340661</v>
      </c>
      <c r="Q70" s="23" t="n">
        <f aca="false">IF(ISNUMBER(Tabelle1!S71),Tabelle1!S71/'SF Workings'!BJ70,"")</f>
        <v>137.656625941744</v>
      </c>
      <c r="R70" s="23" t="n">
        <f aca="false">IFERROR(C70*'Weights &amp; Assumptions'!$F$6+D70*'Weights &amp; Assumptions'!$F$7,"")</f>
        <v>79.3291115373725</v>
      </c>
      <c r="S70" s="23" t="n">
        <f aca="false">IFERROR(E70*'Weights &amp; Assumptions'!$F$8+F70*'Weights &amp; Assumptions'!$F$9+H70*'Weights &amp; Assumptions'!$F$11,"")</f>
        <v>117.742923529829</v>
      </c>
      <c r="T70" s="23" t="n">
        <f aca="false">IFERROR(G70*'Weights &amp; Assumptions'!$F$10+I70*'Weights &amp; Assumptions'!$F$12+J70*'Weights &amp; Assumptions'!$F$13+K70*'Weights &amp; Assumptions'!$F$14+L70*'Weights &amp; Assumptions'!$F$15+M70*'Weights &amp; Assumptions'!$F$16+N70*'Weights &amp; Assumptions'!$F$17+O70*'Weights &amp; Assumptions'!$F$18+P70*'Weights &amp; Assumptions'!$F$19+Q70*'Weights &amp; Assumptions'!$F$20,"")</f>
        <v>132.24264853744</v>
      </c>
      <c r="U70" s="23" t="n">
        <f aca="false">IFERROR(R70*'Weights &amp; Assumptions'!$B$25/'Weights &amp; Assumptions'!$B$28+S70*'Weights &amp; Assumptions'!$B$26/'Weights &amp; Assumptions'!$B$28+T70*'Weights &amp; Assumptions'!$B$27/'Weights &amp; Assumptions'!$B$28,"")</f>
        <v>123.947428585464</v>
      </c>
      <c r="V70" s="30" t="n">
        <f aca="false">IF(ISNUMBER(Tabelle1!E71),Tabelle1!E71*'Weights &amp; Assumptions'!$F$6+Tabelle1!F71*'Weights &amp; Assumptions'!$F$7,"")</f>
        <v>131.355039052693</v>
      </c>
      <c r="W70" s="30" t="n">
        <f aca="false">IF(ISNUMBER(Tabelle1!G71),Tabelle1!G71*'Weights &amp; Assumptions'!$F$8+Tabelle1!H71*'Weights &amp; Assumptions'!$F$9+Tabelle1!J71*'Weights &amp; Assumptions'!$F$11,"")</f>
        <v>117.859116908859</v>
      </c>
      <c r="X70" s="30" t="n">
        <f aca="false">IF(ISNUMBER(Tabelle1!I71),Tabelle1!I71*'Weights &amp; Assumptions'!$F$10+Tabelle1!K71*'Weights &amp; Assumptions'!$F$12+Tabelle1!L71*'Weights &amp; Assumptions'!$F$13+Tabelle1!M71*'Weights &amp; Assumptions'!$F$14+Tabelle1!N71*'Weights &amp; Assumptions'!$F$15+Tabelle1!O71*'Weights &amp; Assumptions'!$F$16+Tabelle1!P71*'Weights &amp; Assumptions'!$F$17+Tabelle1!Q71*'Weights &amp; Assumptions'!$F$18+Tabelle1!R71*'Weights &amp; Assumptions'!$F$19+Tabelle1!S71*'Weights &amp; Assumptions'!$F$20,"")</f>
        <v>132.206178953449</v>
      </c>
      <c r="Y70" s="23" t="n">
        <f aca="false">IFERROR(V70*'Weights &amp; Assumptions'!$B$25/'Weights &amp; Assumptions'!$B$28+W70*'Weights &amp; Assumptions'!$B$26/'Weights &amp; Assumptions'!$B$28+X70*'Weights &amp; Assumptions'!$B$27/'Weights &amp; Assumptions'!$B$28,"")</f>
        <v>128.319633192954</v>
      </c>
    </row>
    <row r="71" customFormat="false" ht="15" hidden="false" customHeight="false" outlineLevel="0" collapsed="false">
      <c r="A71" s="20" t="n">
        <v>39964</v>
      </c>
      <c r="B71" s="30" t="n">
        <f aca="false">IF(ISNUMBER(Tabelle1!D72),Tabelle1!D72,"")</f>
        <v>121.10578</v>
      </c>
      <c r="C71" s="23" t="n">
        <f aca="false">IF(ISNUMBER(Tabelle1!E72),Tabelle1!E72/'SF Workings'!F71,"")</f>
        <v>76.9865844587352</v>
      </c>
      <c r="D71" s="23" t="n">
        <f aca="false">IF(ISNUMBER(Tabelle1!F72),Tabelle1!F72/'SF Workings'!J71,"")</f>
        <v>117.714984687464</v>
      </c>
      <c r="E71" s="23" t="n">
        <f aca="false">IF(ISNUMBER(Tabelle1!G72),Tabelle1!G72/'SF Workings'!N71,"")</f>
        <v>103.086425803232</v>
      </c>
      <c r="F71" s="23" t="n">
        <f aca="false">IF(ISNUMBER(Tabelle1!H72),Tabelle1!H72/'SF Workings'!R71,"")</f>
        <v>117.504768658129</v>
      </c>
      <c r="G71" s="23" t="n">
        <f aca="false">IF(ISNUMBER(Tabelle1!I72),Tabelle1!I72/'SF Workings'!V71,"")</f>
        <v>120.819959139969</v>
      </c>
      <c r="H71" s="23" t="n">
        <f aca="false">IF(ISNUMBER(Tabelle1!J72),Tabelle1!J72/'SF Workings'!Z71,"")</f>
        <v>122.283328266751</v>
      </c>
      <c r="I71" s="23" t="n">
        <f aca="false">IF(ISNUMBER(Tabelle1!K72),Tabelle1!K72/'SF Workings'!AD71,"")</f>
        <v>125.407280882904</v>
      </c>
      <c r="J71" s="23" t="n">
        <f aca="false">IF(ISNUMBER(Tabelle1!L72),Tabelle1!L72/'SF Workings'!AH71,"")</f>
        <v>138.127039843879</v>
      </c>
      <c r="K71" s="23" t="n">
        <f aca="false">IF(ISNUMBER(Tabelle1!M72),Tabelle1!M72/'SF Workings'!AL71,"")</f>
        <v>147.827618960264</v>
      </c>
      <c r="L71" s="23" t="n">
        <f aca="false">IF(ISNUMBER(Tabelle1!N72),Tabelle1!N72/'SF Workings'!AP71,"")</f>
        <v>149.225544467737</v>
      </c>
      <c r="M71" s="23" t="n">
        <f aca="false">IF(ISNUMBER(Tabelle1!O72),Tabelle1!O72/'SF Workings'!AT71,"")</f>
        <v>120.126690750258</v>
      </c>
      <c r="N71" s="23" t="n">
        <f aca="false">IF(ISNUMBER(Tabelle1!P72),Tabelle1!P72/'SF Workings'!AX71,"")</f>
        <v>121.455820965178</v>
      </c>
      <c r="O71" s="23" t="n">
        <f aca="false">IF(ISNUMBER(Tabelle1!Q72),Tabelle1!Q72/'SF Workings'!BB71,"")</f>
        <v>123.635331168537</v>
      </c>
      <c r="P71" s="23" t="n">
        <f aca="false">IF(ISNUMBER(Tabelle1!R72),Tabelle1!R72/'SF Workings'!BF71,"")</f>
        <v>136.57440123982</v>
      </c>
      <c r="Q71" s="23" t="n">
        <f aca="false">IF(ISNUMBER(Tabelle1!S72),Tabelle1!S72/'SF Workings'!BJ71,"")</f>
        <v>137.123392100747</v>
      </c>
      <c r="R71" s="23" t="n">
        <f aca="false">IFERROR(C71*'Weights &amp; Assumptions'!$F$6+D71*'Weights &amp; Assumptions'!$F$7,"")</f>
        <v>77.4856106376262</v>
      </c>
      <c r="S71" s="23" t="n">
        <f aca="false">IFERROR(E71*'Weights &amp; Assumptions'!$F$8+F71*'Weights &amp; Assumptions'!$F$9+H71*'Weights &amp; Assumptions'!$F$11,"")</f>
        <v>116.778738381863</v>
      </c>
      <c r="T71" s="23" t="n">
        <f aca="false">IFERROR(G71*'Weights &amp; Assumptions'!$F$10+I71*'Weights &amp; Assumptions'!$F$12+J71*'Weights &amp; Assumptions'!$F$13+K71*'Weights &amp; Assumptions'!$F$14+L71*'Weights &amp; Assumptions'!$F$15+M71*'Weights &amp; Assumptions'!$F$16+N71*'Weights &amp; Assumptions'!$F$17+O71*'Weights &amp; Assumptions'!$F$18+P71*'Weights &amp; Assumptions'!$F$19+Q71*'Weights &amp; Assumptions'!$F$20,"")</f>
        <v>130.826731266768</v>
      </c>
      <c r="U71" s="23" t="n">
        <f aca="false">IFERROR(R71*'Weights &amp; Assumptions'!$B$25/'Weights &amp; Assumptions'!$B$28+S71*'Weights &amp; Assumptions'!$B$26/'Weights &amp; Assumptions'!$B$28+T71*'Weights &amp; Assumptions'!$B$27/'Weights &amp; Assumptions'!$B$28,"")</f>
        <v>122.615760154836</v>
      </c>
      <c r="V71" s="30" t="n">
        <f aca="false">IF(ISNUMBER(Tabelle1!E72),Tabelle1!E72*'Weights &amp; Assumptions'!$F$6+Tabelle1!F72*'Weights &amp; Assumptions'!$F$7,"")</f>
        <v>186.920498334108</v>
      </c>
      <c r="W71" s="30" t="n">
        <f aca="false">IF(ISNUMBER(Tabelle1!G72),Tabelle1!G72*'Weights &amp; Assumptions'!$F$8+Tabelle1!H72*'Weights &amp; Assumptions'!$F$9+Tabelle1!J72*'Weights &amp; Assumptions'!$F$11,"")</f>
        <v>118.931435022751</v>
      </c>
      <c r="X71" s="30" t="n">
        <f aca="false">IF(ISNUMBER(Tabelle1!I72),Tabelle1!I72*'Weights &amp; Assumptions'!$F$10+Tabelle1!K72*'Weights &amp; Assumptions'!$F$12+Tabelle1!L72*'Weights &amp; Assumptions'!$F$13+Tabelle1!M72*'Weights &amp; Assumptions'!$F$14+Tabelle1!N72*'Weights &amp; Assumptions'!$F$15+Tabelle1!O72*'Weights &amp; Assumptions'!$F$16+Tabelle1!P72*'Weights &amp; Assumptions'!$F$17+Tabelle1!Q72*'Weights &amp; Assumptions'!$F$18+Tabelle1!R72*'Weights &amp; Assumptions'!$F$19+Tabelle1!S72*'Weights &amp; Assumptions'!$F$20,"")</f>
        <v>133.490708461049</v>
      </c>
      <c r="Y71" s="23" t="n">
        <f aca="false">IFERROR(V71*'Weights &amp; Assumptions'!$B$25/'Weights &amp; Assumptions'!$B$28+W71*'Weights &amp; Assumptions'!$B$26/'Weights &amp; Assumptions'!$B$28+X71*'Weights &amp; Assumptions'!$B$27/'Weights &amp; Assumptions'!$B$28,"")</f>
        <v>134.101947164546</v>
      </c>
    </row>
    <row r="72" customFormat="false" ht="15" hidden="false" customHeight="false" outlineLevel="0" collapsed="false">
      <c r="A72" s="20" t="n">
        <v>39994</v>
      </c>
      <c r="B72" s="30" t="n">
        <f aca="false">IF(ISNUMBER(Tabelle1!D73),Tabelle1!D73,"")</f>
        <v>122.54345</v>
      </c>
      <c r="C72" s="23" t="n">
        <f aca="false">IF(ISNUMBER(Tabelle1!E73),Tabelle1!E73/'SF Workings'!F72,"")</f>
        <v>79.5296217836072</v>
      </c>
      <c r="D72" s="23" t="n">
        <f aca="false">IF(ISNUMBER(Tabelle1!F73),Tabelle1!F73/'SF Workings'!J72,"")</f>
        <v>94.2025652814464</v>
      </c>
      <c r="E72" s="23" t="n">
        <f aca="false">IF(ISNUMBER(Tabelle1!G73),Tabelle1!G73/'SF Workings'!N72,"")</f>
        <v>101.420675428811</v>
      </c>
      <c r="F72" s="23" t="n">
        <f aca="false">IF(ISNUMBER(Tabelle1!H73),Tabelle1!H73/'SF Workings'!R72,"")</f>
        <v>120.290233573991</v>
      </c>
      <c r="G72" s="23" t="n">
        <f aca="false">IF(ISNUMBER(Tabelle1!I73),Tabelle1!I73/'SF Workings'!V72,"")</f>
        <v>126.30169169262</v>
      </c>
      <c r="H72" s="23" t="n">
        <f aca="false">IF(ISNUMBER(Tabelle1!J73),Tabelle1!J73/'SF Workings'!Z72,"")</f>
        <v>123.498012796336</v>
      </c>
      <c r="I72" s="23" t="n">
        <f aca="false">IF(ISNUMBER(Tabelle1!K73),Tabelle1!K73/'SF Workings'!AD72,"")</f>
        <v>131.348046761127</v>
      </c>
      <c r="J72" s="23" t="n">
        <f aca="false">IF(ISNUMBER(Tabelle1!L73),Tabelle1!L73/'SF Workings'!AH72,"")</f>
        <v>137.955701607644</v>
      </c>
      <c r="K72" s="23" t="n">
        <f aca="false">IF(ISNUMBER(Tabelle1!M73),Tabelle1!M73/'SF Workings'!AL72,"")</f>
        <v>152.172136514098</v>
      </c>
      <c r="L72" s="23" t="n">
        <f aca="false">IF(ISNUMBER(Tabelle1!N73),Tabelle1!N73/'SF Workings'!AP72,"")</f>
        <v>151.36725188187</v>
      </c>
      <c r="M72" s="23" t="n">
        <f aca="false">IF(ISNUMBER(Tabelle1!O73),Tabelle1!O73/'SF Workings'!AT72,"")</f>
        <v>121.829818097193</v>
      </c>
      <c r="N72" s="23" t="n">
        <f aca="false">IF(ISNUMBER(Tabelle1!P73),Tabelle1!P73/'SF Workings'!AX72,"")</f>
        <v>121.763552341795</v>
      </c>
      <c r="O72" s="23" t="n">
        <f aca="false">IF(ISNUMBER(Tabelle1!Q73),Tabelle1!Q73/'SF Workings'!BB72,"")</f>
        <v>124.027597526257</v>
      </c>
      <c r="P72" s="23" t="n">
        <f aca="false">IF(ISNUMBER(Tabelle1!R73),Tabelle1!R73/'SF Workings'!BF72,"")</f>
        <v>133.750966931049</v>
      </c>
      <c r="Q72" s="23" t="n">
        <f aca="false">IF(ISNUMBER(Tabelle1!S73),Tabelle1!S73/'SF Workings'!BJ72,"")</f>
        <v>136.690434030768</v>
      </c>
      <c r="R72" s="23" t="n">
        <f aca="false">IFERROR(C72*'Weights &amp; Assumptions'!$F$6+D72*'Weights &amp; Assumptions'!$F$7,"")</f>
        <v>79.7094025480293</v>
      </c>
      <c r="S72" s="23" t="n">
        <f aca="false">IFERROR(E72*'Weights &amp; Assumptions'!$F$8+F72*'Weights &amp; Assumptions'!$F$9+H72*'Weights &amp; Assumptions'!$F$11,"")</f>
        <v>118.705507735465</v>
      </c>
      <c r="T72" s="23" t="n">
        <f aca="false">IFERROR(G72*'Weights &amp; Assumptions'!$F$10+I72*'Weights &amp; Assumptions'!$F$12+J72*'Weights &amp; Assumptions'!$F$13+K72*'Weights &amp; Assumptions'!$F$14+L72*'Weights &amp; Assumptions'!$F$15+M72*'Weights &amp; Assumptions'!$F$16+N72*'Weights &amp; Assumptions'!$F$17+O72*'Weights &amp; Assumptions'!$F$18+P72*'Weights &amp; Assumptions'!$F$19+Q72*'Weights &amp; Assumptions'!$F$20,"")</f>
        <v>133.154891317961</v>
      </c>
      <c r="U72" s="23" t="n">
        <f aca="false">IFERROR(R72*'Weights &amp; Assumptions'!$B$25/'Weights &amp; Assumptions'!$B$28+S72*'Weights &amp; Assumptions'!$B$26/'Weights &amp; Assumptions'!$B$28+T72*'Weights &amp; Assumptions'!$B$27/'Weights &amp; Assumptions'!$B$28,"")</f>
        <v>124.828426834113</v>
      </c>
      <c r="V72" s="30" t="n">
        <f aca="false">IF(ISNUMBER(Tabelle1!E73),Tabelle1!E73*'Weights &amp; Assumptions'!$F$6+Tabelle1!F73*'Weights &amp; Assumptions'!$F$7,"")</f>
        <v>129.381400074731</v>
      </c>
      <c r="W72" s="30" t="n">
        <f aca="false">IF(ISNUMBER(Tabelle1!G73),Tabelle1!G73*'Weights &amp; Assumptions'!$F$8+Tabelle1!H73*'Weights &amp; Assumptions'!$F$9+Tabelle1!J73*'Weights &amp; Assumptions'!$F$11,"")</f>
        <v>118.042681827443</v>
      </c>
      <c r="X72" s="30" t="n">
        <f aca="false">IF(ISNUMBER(Tabelle1!I73),Tabelle1!I73*'Weights &amp; Assumptions'!$F$10+Tabelle1!K73*'Weights &amp; Assumptions'!$F$12+Tabelle1!L73*'Weights &amp; Assumptions'!$F$13+Tabelle1!M73*'Weights &amp; Assumptions'!$F$14+Tabelle1!N73*'Weights &amp; Assumptions'!$F$15+Tabelle1!O73*'Weights &amp; Assumptions'!$F$16+Tabelle1!P73*'Weights &amp; Assumptions'!$F$17+Tabelle1!Q73*'Weights &amp; Assumptions'!$F$18+Tabelle1!R73*'Weights &amp; Assumptions'!$F$19+Tabelle1!S73*'Weights &amp; Assumptions'!$F$20,"")</f>
        <v>135.405342267269</v>
      </c>
      <c r="Y72" s="23" t="n">
        <f aca="false">IFERROR(V72*'Weights &amp; Assumptions'!$B$25/'Weights &amp; Assumptions'!$B$28+W72*'Weights &amp; Assumptions'!$B$26/'Weights &amp; Assumptions'!$B$28+X72*'Weights &amp; Assumptions'!$B$27/'Weights &amp; Assumptions'!$B$28,"")</f>
        <v>130.282893799432</v>
      </c>
    </row>
    <row r="73" customFormat="false" ht="15" hidden="false" customHeight="false" outlineLevel="0" collapsed="false">
      <c r="A73" s="20" t="n">
        <v>40025</v>
      </c>
      <c r="B73" s="30" t="n">
        <f aca="false">IF(ISNUMBER(Tabelle1!D74),Tabelle1!D74,"")</f>
        <v>124.75464</v>
      </c>
      <c r="C73" s="23" t="n">
        <f aca="false">IF(ISNUMBER(Tabelle1!E74),Tabelle1!E74/'SF Workings'!F73,"")</f>
        <v>101.441660650707</v>
      </c>
      <c r="D73" s="23" t="n">
        <f aca="false">IF(ISNUMBER(Tabelle1!F74),Tabelle1!F74/'SF Workings'!J73,"")</f>
        <v>80.8684465821249</v>
      </c>
      <c r="E73" s="23" t="n">
        <f aca="false">IF(ISNUMBER(Tabelle1!G74),Tabelle1!G74/'SF Workings'!N73,"")</f>
        <v>100.836031039081</v>
      </c>
      <c r="F73" s="23" t="n">
        <f aca="false">IF(ISNUMBER(Tabelle1!H74),Tabelle1!H74/'SF Workings'!R73,"")</f>
        <v>122.775259838324</v>
      </c>
      <c r="G73" s="23" t="n">
        <f aca="false">IF(ISNUMBER(Tabelle1!I74),Tabelle1!I74/'SF Workings'!V73,"")</f>
        <v>124.28911472492</v>
      </c>
      <c r="H73" s="23" t="n">
        <f aca="false">IF(ISNUMBER(Tabelle1!J74),Tabelle1!J74/'SF Workings'!Z73,"")</f>
        <v>131.110777871302</v>
      </c>
      <c r="I73" s="23" t="n">
        <f aca="false">IF(ISNUMBER(Tabelle1!K74),Tabelle1!K74/'SF Workings'!AD73,"")</f>
        <v>133.633815849875</v>
      </c>
      <c r="J73" s="23" t="n">
        <f aca="false">IF(ISNUMBER(Tabelle1!L74),Tabelle1!L74/'SF Workings'!AH73,"")</f>
        <v>127.447844420067</v>
      </c>
      <c r="K73" s="23" t="n">
        <f aca="false">IF(ISNUMBER(Tabelle1!M74),Tabelle1!M74/'SF Workings'!AL73,"")</f>
        <v>151.196720275269</v>
      </c>
      <c r="L73" s="23" t="n">
        <f aca="false">IF(ISNUMBER(Tabelle1!N74),Tabelle1!N74/'SF Workings'!AP73,"")</f>
        <v>150.026911276187</v>
      </c>
      <c r="M73" s="23" t="n">
        <f aca="false">IF(ISNUMBER(Tabelle1!O74),Tabelle1!O74/'SF Workings'!AT73,"")</f>
        <v>121.28631302201</v>
      </c>
      <c r="N73" s="23" t="n">
        <f aca="false">IF(ISNUMBER(Tabelle1!P74),Tabelle1!P74/'SF Workings'!AX73,"")</f>
        <v>125.167921409462</v>
      </c>
      <c r="O73" s="23" t="n">
        <f aca="false">IF(ISNUMBER(Tabelle1!Q74),Tabelle1!Q74/'SF Workings'!BB73,"")</f>
        <v>127.291374139701</v>
      </c>
      <c r="P73" s="23" t="n">
        <f aca="false">IF(ISNUMBER(Tabelle1!R74),Tabelle1!R74/'SF Workings'!BF73,"")</f>
        <v>137.862912307667</v>
      </c>
      <c r="Q73" s="23" t="n">
        <f aca="false">IF(ISNUMBER(Tabelle1!S74),Tabelle1!S74/'SF Workings'!BJ73,"")</f>
        <v>130.441431771198</v>
      </c>
      <c r="R73" s="23" t="n">
        <f aca="false">IFERROR(C73*'Weights &amp; Assumptions'!$F$6+D73*'Weights &amp; Assumptions'!$F$7,"")</f>
        <v>101.18958661032</v>
      </c>
      <c r="S73" s="23" t="n">
        <f aca="false">IFERROR(E73*'Weights &amp; Assumptions'!$F$8+F73*'Weights &amp; Assumptions'!$F$9+H73*'Weights &amp; Assumptions'!$F$11,"")</f>
        <v>121.892251460166</v>
      </c>
      <c r="T73" s="23" t="n">
        <f aca="false">IFERROR(G73*'Weights &amp; Assumptions'!$F$10+I73*'Weights &amp; Assumptions'!$F$12+J73*'Weights &amp; Assumptions'!$F$13+K73*'Weights &amp; Assumptions'!$F$14+L73*'Weights &amp; Assumptions'!$F$15+M73*'Weights &amp; Assumptions'!$F$16+N73*'Weights &amp; Assumptions'!$F$17+O73*'Weights &amp; Assumptions'!$F$18+P73*'Weights &amp; Assumptions'!$F$19+Q73*'Weights &amp; Assumptions'!$F$20,"")</f>
        <v>133.2347584952</v>
      </c>
      <c r="U73" s="23" t="n">
        <f aca="false">IFERROR(R73*'Weights &amp; Assumptions'!$B$25/'Weights &amp; Assumptions'!$B$28+S73*'Weights &amp; Assumptions'!$B$26/'Weights &amp; Assumptions'!$B$28+T73*'Weights &amp; Assumptions'!$B$27/'Weights &amp; Assumptions'!$B$28,"")</f>
        <v>127.529971152719</v>
      </c>
      <c r="V73" s="30" t="n">
        <f aca="false">IF(ISNUMBER(Tabelle1!E74),Tabelle1!E74*'Weights &amp; Assumptions'!$F$6+Tabelle1!F74*'Weights &amp; Assumptions'!$F$7,"")</f>
        <v>89.3649110040405</v>
      </c>
      <c r="W73" s="30" t="n">
        <f aca="false">IF(ISNUMBER(Tabelle1!G74),Tabelle1!G74*'Weights &amp; Assumptions'!$F$8+Tabelle1!H74*'Weights &amp; Assumptions'!$F$9+Tabelle1!J74*'Weights &amp; Assumptions'!$F$11,"")</f>
        <v>124.035988767628</v>
      </c>
      <c r="X73" s="30" t="n">
        <f aca="false">IF(ISNUMBER(Tabelle1!I74),Tabelle1!I74*'Weights &amp; Assumptions'!$F$10+Tabelle1!K74*'Weights &amp; Assumptions'!$F$12+Tabelle1!L74*'Weights &amp; Assumptions'!$F$13+Tabelle1!M74*'Weights &amp; Assumptions'!$F$14+Tabelle1!N74*'Weights &amp; Assumptions'!$F$15+Tabelle1!O74*'Weights &amp; Assumptions'!$F$16+Tabelle1!P74*'Weights &amp; Assumptions'!$F$17+Tabelle1!Q74*'Weights &amp; Assumptions'!$F$18+Tabelle1!R74*'Weights &amp; Assumptions'!$F$19+Tabelle1!S74*'Weights &amp; Assumptions'!$F$20,"")</f>
        <v>134.860296574872</v>
      </c>
      <c r="Y73" s="23" t="n">
        <f aca="false">IFERROR(V73*'Weights &amp; Assumptions'!$B$25/'Weights &amp; Assumptions'!$B$28+W73*'Weights &amp; Assumptions'!$B$26/'Weights &amp; Assumptions'!$B$28+X73*'Weights &amp; Assumptions'!$B$27/'Weights &amp; Assumptions'!$B$28,"")</f>
        <v>128.164823337553</v>
      </c>
    </row>
    <row r="74" customFormat="false" ht="15" hidden="false" customHeight="false" outlineLevel="0" collapsed="false">
      <c r="A74" s="20" t="n">
        <v>40056</v>
      </c>
      <c r="B74" s="30" t="n">
        <f aca="false">IF(ISNUMBER(Tabelle1!D75),Tabelle1!D75,"")</f>
        <v>126.7923</v>
      </c>
      <c r="C74" s="23" t="n">
        <f aca="false">IF(ISNUMBER(Tabelle1!E75),Tabelle1!E75/'SF Workings'!F74,"")</f>
        <v>110.592470759396</v>
      </c>
      <c r="D74" s="23" t="n">
        <f aca="false">IF(ISNUMBER(Tabelle1!F75),Tabelle1!F75/'SF Workings'!J74,"")</f>
        <v>124.865589199198</v>
      </c>
      <c r="E74" s="23" t="n">
        <f aca="false">IF(ISNUMBER(Tabelle1!G75),Tabelle1!G75/'SF Workings'!N74,"")</f>
        <v>92.0692978773058</v>
      </c>
      <c r="F74" s="23" t="n">
        <f aca="false">IF(ISNUMBER(Tabelle1!H75),Tabelle1!H75/'SF Workings'!R74,"")</f>
        <v>121.704006069171</v>
      </c>
      <c r="G74" s="23" t="n">
        <f aca="false">IF(ISNUMBER(Tabelle1!I75),Tabelle1!I75/'SF Workings'!V74,"")</f>
        <v>116.526399637537</v>
      </c>
      <c r="H74" s="23" t="n">
        <f aca="false">IF(ISNUMBER(Tabelle1!J75),Tabelle1!J75/'SF Workings'!Z74,"")</f>
        <v>130.214586220131</v>
      </c>
      <c r="I74" s="23" t="n">
        <f aca="false">IF(ISNUMBER(Tabelle1!K75),Tabelle1!K75/'SF Workings'!AD74,"")</f>
        <v>129.256407861081</v>
      </c>
      <c r="J74" s="23" t="n">
        <f aca="false">IF(ISNUMBER(Tabelle1!L75),Tabelle1!L75/'SF Workings'!AH74,"")</f>
        <v>130.808466039047</v>
      </c>
      <c r="K74" s="23" t="n">
        <f aca="false">IF(ISNUMBER(Tabelle1!M75),Tabelle1!M75/'SF Workings'!AL74,"")</f>
        <v>151.395044998905</v>
      </c>
      <c r="L74" s="23" t="n">
        <f aca="false">IF(ISNUMBER(Tabelle1!N75),Tabelle1!N75/'SF Workings'!AP74,"")</f>
        <v>148.648062503378</v>
      </c>
      <c r="M74" s="23" t="n">
        <f aca="false">IF(ISNUMBER(Tabelle1!O75),Tabelle1!O75/'SF Workings'!AT74,"")</f>
        <v>121.713076696251</v>
      </c>
      <c r="N74" s="23" t="n">
        <f aca="false">IF(ISNUMBER(Tabelle1!P75),Tabelle1!P75/'SF Workings'!AX74,"")</f>
        <v>125.317883055853</v>
      </c>
      <c r="O74" s="23" t="n">
        <f aca="false">IF(ISNUMBER(Tabelle1!Q75),Tabelle1!Q75/'SF Workings'!BB74,"")</f>
        <v>127.649825222695</v>
      </c>
      <c r="P74" s="23" t="n">
        <f aca="false">IF(ISNUMBER(Tabelle1!R75),Tabelle1!R75/'SF Workings'!BF74,"")</f>
        <v>139.07601246062</v>
      </c>
      <c r="Q74" s="23" t="n">
        <f aca="false">IF(ISNUMBER(Tabelle1!S75),Tabelle1!S75/'SF Workings'!BJ74,"")</f>
        <v>140.18103088911</v>
      </c>
      <c r="R74" s="23" t="n">
        <f aca="false">IFERROR(C74*'Weights &amp; Assumptions'!$F$6+D74*'Weights &amp; Assumptions'!$F$7,"")</f>
        <v>110.76735265301</v>
      </c>
      <c r="S74" s="23" t="n">
        <f aca="false">IFERROR(E74*'Weights &amp; Assumptions'!$F$8+F74*'Weights &amp; Assumptions'!$F$9+H74*'Weights &amp; Assumptions'!$F$11,"")</f>
        <v>119.938644655243</v>
      </c>
      <c r="T74" s="23" t="n">
        <f aca="false">IFERROR(G74*'Weights &amp; Assumptions'!$F$10+I74*'Weights &amp; Assumptions'!$F$12+J74*'Weights &amp; Assumptions'!$F$13+K74*'Weights &amp; Assumptions'!$F$14+L74*'Weights &amp; Assumptions'!$F$15+M74*'Weights &amp; Assumptions'!$F$16+N74*'Weights &amp; Assumptions'!$F$17+O74*'Weights &amp; Assumptions'!$F$18+P74*'Weights &amp; Assumptions'!$F$19+Q74*'Weights &amp; Assumptions'!$F$20,"")</f>
        <v>132.954615309505</v>
      </c>
      <c r="U74" s="23" t="n">
        <f aca="false">IFERROR(R74*'Weights &amp; Assumptions'!$B$25/'Weights &amp; Assumptions'!$B$28+S74*'Weights &amp; Assumptions'!$B$26/'Weights &amp; Assumptions'!$B$28+T74*'Weights &amp; Assumptions'!$B$27/'Weights &amp; Assumptions'!$B$28,"")</f>
        <v>127.63191154633</v>
      </c>
      <c r="V74" s="30" t="n">
        <f aca="false">IF(ISNUMBER(Tabelle1!E75),Tabelle1!E75*'Weights &amp; Assumptions'!$F$6+Tabelle1!F75*'Weights &amp; Assumptions'!$F$7,"")</f>
        <v>65.7372340810002</v>
      </c>
      <c r="W74" s="30" t="n">
        <f aca="false">IF(ISNUMBER(Tabelle1!G75),Tabelle1!G75*'Weights &amp; Assumptions'!$F$8+Tabelle1!H75*'Weights &amp; Assumptions'!$F$9+Tabelle1!J75*'Weights &amp; Assumptions'!$F$11,"")</f>
        <v>123.198017909017</v>
      </c>
      <c r="X74" s="30" t="n">
        <f aca="false">IF(ISNUMBER(Tabelle1!I75),Tabelle1!I75*'Weights &amp; Assumptions'!$F$10+Tabelle1!K75*'Weights &amp; Assumptions'!$F$12+Tabelle1!L75*'Weights &amp; Assumptions'!$F$13+Tabelle1!M75*'Weights &amp; Assumptions'!$F$14+Tabelle1!N75*'Weights &amp; Assumptions'!$F$15+Tabelle1!O75*'Weights &amp; Assumptions'!$F$16+Tabelle1!P75*'Weights &amp; Assumptions'!$F$17+Tabelle1!Q75*'Weights &amp; Assumptions'!$F$18+Tabelle1!R75*'Weights &amp; Assumptions'!$F$19+Tabelle1!S75*'Weights &amp; Assumptions'!$F$20,"")</f>
        <v>134.400003986124</v>
      </c>
      <c r="Y74" s="23" t="n">
        <f aca="false">IFERROR(V74*'Weights &amp; Assumptions'!$B$25/'Weights &amp; Assumptions'!$B$28+W74*'Weights &amp; Assumptions'!$B$26/'Weights &amp; Assumptions'!$B$28+X74*'Weights &amp; Assumptions'!$B$27/'Weights &amp; Assumptions'!$B$28,"")</f>
        <v>125.660336673997</v>
      </c>
    </row>
    <row r="75" customFormat="false" ht="15" hidden="false" customHeight="false" outlineLevel="0" collapsed="false">
      <c r="A75" s="20" t="n">
        <v>40086</v>
      </c>
      <c r="B75" s="30" t="n">
        <f aca="false">IF(ISNUMBER(Tabelle1!D76),Tabelle1!D76,"")</f>
        <v>128.17867</v>
      </c>
      <c r="C75" s="23" t="n">
        <f aca="false">IF(ISNUMBER(Tabelle1!E76),Tabelle1!E76/'SF Workings'!F75,"")</f>
        <v>113.453297592266</v>
      </c>
      <c r="D75" s="23" t="n">
        <f aca="false">IF(ISNUMBER(Tabelle1!F76),Tabelle1!F76/'SF Workings'!J75,"")</f>
        <v>143.581342707885</v>
      </c>
      <c r="E75" s="23" t="n">
        <f aca="false">IF(ISNUMBER(Tabelle1!G76),Tabelle1!G76/'SF Workings'!N75,"")</f>
        <v>99.6985159322256</v>
      </c>
      <c r="F75" s="23" t="n">
        <f aca="false">IF(ISNUMBER(Tabelle1!H76),Tabelle1!H76/'SF Workings'!R75,"")</f>
        <v>121.982286485755</v>
      </c>
      <c r="G75" s="23" t="n">
        <f aca="false">IF(ISNUMBER(Tabelle1!I76),Tabelle1!I76/'SF Workings'!V75,"")</f>
        <v>120.763996034236</v>
      </c>
      <c r="H75" s="23" t="n">
        <f aca="false">IF(ISNUMBER(Tabelle1!J76),Tabelle1!J76/'SF Workings'!Z75,"")</f>
        <v>129.483440689142</v>
      </c>
      <c r="I75" s="23" t="n">
        <f aca="false">IF(ISNUMBER(Tabelle1!K76),Tabelle1!K76/'SF Workings'!AD75,"")</f>
        <v>135.167407195623</v>
      </c>
      <c r="J75" s="23" t="n">
        <f aca="false">IF(ISNUMBER(Tabelle1!L76),Tabelle1!L76/'SF Workings'!AH75,"")</f>
        <v>133.655664606215</v>
      </c>
      <c r="K75" s="23" t="n">
        <f aca="false">IF(ISNUMBER(Tabelle1!M76),Tabelle1!M76/'SF Workings'!AL75,"")</f>
        <v>154.330600653012</v>
      </c>
      <c r="L75" s="23" t="n">
        <f aca="false">IF(ISNUMBER(Tabelle1!N76),Tabelle1!N76/'SF Workings'!AP75,"")</f>
        <v>153.83630458162</v>
      </c>
      <c r="M75" s="23" t="n">
        <f aca="false">IF(ISNUMBER(Tabelle1!O76),Tabelle1!O76/'SF Workings'!AT75,"")</f>
        <v>122.781022135088</v>
      </c>
      <c r="N75" s="23" t="n">
        <f aca="false">IF(ISNUMBER(Tabelle1!P76),Tabelle1!P76/'SF Workings'!AX75,"")</f>
        <v>126.516391985916</v>
      </c>
      <c r="O75" s="23" t="n">
        <f aca="false">IF(ISNUMBER(Tabelle1!Q76),Tabelle1!Q76/'SF Workings'!BB75,"")</f>
        <v>129.208009213341</v>
      </c>
      <c r="P75" s="23" t="n">
        <f aca="false">IF(ISNUMBER(Tabelle1!R76),Tabelle1!R76/'SF Workings'!BF75,"")</f>
        <v>139.904096552781</v>
      </c>
      <c r="Q75" s="23" t="n">
        <f aca="false">IF(ISNUMBER(Tabelle1!S76),Tabelle1!S76/'SF Workings'!BJ75,"")</f>
        <v>144.282341149262</v>
      </c>
      <c r="R75" s="23" t="n">
        <f aca="false">IFERROR(C75*'Weights &amp; Assumptions'!$F$6+D75*'Weights &amp; Assumptions'!$F$7,"")</f>
        <v>113.822442541418</v>
      </c>
      <c r="S75" s="23" t="n">
        <f aca="false">IFERROR(E75*'Weights &amp; Assumptions'!$F$8+F75*'Weights &amp; Assumptions'!$F$9+H75*'Weights &amp; Assumptions'!$F$11,"")</f>
        <v>120.884322919281</v>
      </c>
      <c r="T75" s="23" t="n">
        <f aca="false">IFERROR(G75*'Weights &amp; Assumptions'!$F$10+I75*'Weights &amp; Assumptions'!$F$12+J75*'Weights &amp; Assumptions'!$F$13+K75*'Weights &amp; Assumptions'!$F$14+L75*'Weights &amp; Assumptions'!$F$15+M75*'Weights &amp; Assumptions'!$F$16+N75*'Weights &amp; Assumptions'!$F$17+O75*'Weights &amp; Assumptions'!$F$18+P75*'Weights &amp; Assumptions'!$F$19+Q75*'Weights &amp; Assumptions'!$F$20,"")</f>
        <v>135.963979812946</v>
      </c>
      <c r="U75" s="23" t="n">
        <f aca="false">IFERROR(R75*'Weights &amp; Assumptions'!$B$25/'Weights &amp; Assumptions'!$B$28+S75*'Weights &amp; Assumptions'!$B$26/'Weights &amp; Assumptions'!$B$28+T75*'Weights &amp; Assumptions'!$B$27/'Weights &amp; Assumptions'!$B$28,"")</f>
        <v>130.096342227753</v>
      </c>
      <c r="V75" s="30" t="n">
        <f aca="false">IF(ISNUMBER(Tabelle1!E76),Tabelle1!E76*'Weights &amp; Assumptions'!$F$6+Tabelle1!F76*'Weights &amp; Assumptions'!$F$7,"")</f>
        <v>64.1045213399125</v>
      </c>
      <c r="W75" s="30" t="n">
        <f aca="false">IF(ISNUMBER(Tabelle1!G76),Tabelle1!G76*'Weights &amp; Assumptions'!$F$8+Tabelle1!H76*'Weights &amp; Assumptions'!$F$9+Tabelle1!J76*'Weights &amp; Assumptions'!$F$11,"")</f>
        <v>124.849443678916</v>
      </c>
      <c r="X75" s="30" t="n">
        <f aca="false">IF(ISNUMBER(Tabelle1!I76),Tabelle1!I76*'Weights &amp; Assumptions'!$F$10+Tabelle1!K76*'Weights &amp; Assumptions'!$F$12+Tabelle1!L76*'Weights &amp; Assumptions'!$F$13+Tabelle1!M76*'Weights &amp; Assumptions'!$F$14+Tabelle1!N76*'Weights &amp; Assumptions'!$F$15+Tabelle1!O76*'Weights &amp; Assumptions'!$F$16+Tabelle1!P76*'Weights &amp; Assumptions'!$F$17+Tabelle1!Q76*'Weights &amp; Assumptions'!$F$18+Tabelle1!R76*'Weights &amp; Assumptions'!$F$19+Tabelle1!S76*'Weights &amp; Assumptions'!$F$20,"")</f>
        <v>136.287476914884</v>
      </c>
      <c r="Y75" s="23" t="n">
        <f aca="false">IFERROR(V75*'Weights &amp; Assumptions'!$B$25/'Weights &amp; Assumptions'!$B$28+W75*'Weights &amp; Assumptions'!$B$26/'Weights &amp; Assumptions'!$B$28+X75*'Weights &amp; Assumptions'!$B$27/'Weights &amp; Assumptions'!$B$28,"")</f>
        <v>127.189694032712</v>
      </c>
    </row>
    <row r="76" customFormat="false" ht="15" hidden="false" customHeight="false" outlineLevel="0" collapsed="false">
      <c r="A76" s="20" t="n">
        <v>40117</v>
      </c>
      <c r="B76" s="30" t="n">
        <f aca="false">IF(ISNUMBER(Tabelle1!D77),Tabelle1!D77,"")</f>
        <v>129.20725</v>
      </c>
      <c r="C76" s="23" t="n">
        <f aca="false">IF(ISNUMBER(Tabelle1!E77),Tabelle1!E77/'SF Workings'!F76,"")</f>
        <v>110.772677125638</v>
      </c>
      <c r="D76" s="23" t="n">
        <f aca="false">IF(ISNUMBER(Tabelle1!F77),Tabelle1!F77/'SF Workings'!J76,"")</f>
        <v>125.620264576609</v>
      </c>
      <c r="E76" s="23" t="n">
        <f aca="false">IF(ISNUMBER(Tabelle1!G77),Tabelle1!G77/'SF Workings'!N76,"")</f>
        <v>102.608090217107</v>
      </c>
      <c r="F76" s="23" t="n">
        <f aca="false">IF(ISNUMBER(Tabelle1!H77),Tabelle1!H77/'SF Workings'!R76,"")</f>
        <v>125.068447004657</v>
      </c>
      <c r="G76" s="23" t="n">
        <f aca="false">IF(ISNUMBER(Tabelle1!I77),Tabelle1!I77/'SF Workings'!V76,"")</f>
        <v>120.979180207339</v>
      </c>
      <c r="H76" s="23" t="n">
        <f aca="false">IF(ISNUMBER(Tabelle1!J77),Tabelle1!J77/'SF Workings'!Z76,"")</f>
        <v>133.308703721635</v>
      </c>
      <c r="I76" s="23" t="n">
        <f aca="false">IF(ISNUMBER(Tabelle1!K77),Tabelle1!K77/'SF Workings'!AD76,"")</f>
        <v>135.380445043328</v>
      </c>
      <c r="J76" s="23" t="n">
        <f aca="false">IF(ISNUMBER(Tabelle1!L77),Tabelle1!L77/'SF Workings'!AH76,"")</f>
        <v>140.583708176354</v>
      </c>
      <c r="K76" s="23" t="n">
        <f aca="false">IF(ISNUMBER(Tabelle1!M77),Tabelle1!M77/'SF Workings'!AL76,"")</f>
        <v>156.068609887436</v>
      </c>
      <c r="L76" s="23" t="n">
        <f aca="false">IF(ISNUMBER(Tabelle1!N77),Tabelle1!N77/'SF Workings'!AP76,"")</f>
        <v>149.21849110513</v>
      </c>
      <c r="M76" s="23" t="n">
        <f aca="false">IF(ISNUMBER(Tabelle1!O77),Tabelle1!O77/'SF Workings'!AT76,"")</f>
        <v>122.066264010583</v>
      </c>
      <c r="N76" s="23" t="n">
        <f aca="false">IF(ISNUMBER(Tabelle1!P77),Tabelle1!P77/'SF Workings'!AX76,"")</f>
        <v>126.237960495964</v>
      </c>
      <c r="O76" s="23" t="n">
        <f aca="false">IF(ISNUMBER(Tabelle1!Q77),Tabelle1!Q77/'SF Workings'!BB76,"")</f>
        <v>129.186819071164</v>
      </c>
      <c r="P76" s="23" t="n">
        <f aca="false">IF(ISNUMBER(Tabelle1!R77),Tabelle1!R77/'SF Workings'!BF76,"")</f>
        <v>138.965498787075</v>
      </c>
      <c r="Q76" s="23" t="n">
        <f aca="false">IF(ISNUMBER(Tabelle1!S77),Tabelle1!S77/'SF Workings'!BJ76,"")</f>
        <v>140.961949472118</v>
      </c>
      <c r="R76" s="23" t="n">
        <f aca="false">IFERROR(C76*'Weights &amp; Assumptions'!$F$6+D76*'Weights &amp; Assumptions'!$F$7,"")</f>
        <v>110.954597721335</v>
      </c>
      <c r="S76" s="23" t="n">
        <f aca="false">IFERROR(E76*'Weights &amp; Assumptions'!$F$8+F76*'Weights &amp; Assumptions'!$F$9+H76*'Weights &amp; Assumptions'!$F$11,"")</f>
        <v>124.103371956506</v>
      </c>
      <c r="T76" s="23" t="n">
        <f aca="false">IFERROR(G76*'Weights &amp; Assumptions'!$F$10+I76*'Weights &amp; Assumptions'!$F$12+J76*'Weights &amp; Assumptions'!$F$13+K76*'Weights &amp; Assumptions'!$F$14+L76*'Weights &amp; Assumptions'!$F$15+M76*'Weights &amp; Assumptions'!$F$16+N76*'Weights &amp; Assumptions'!$F$17+O76*'Weights &amp; Assumptions'!$F$18+P76*'Weights &amp; Assumptions'!$F$19+Q76*'Weights &amp; Assumptions'!$F$20,"")</f>
        <v>135.814975098891</v>
      </c>
      <c r="U76" s="23" t="n">
        <f aca="false">IFERROR(R76*'Weights &amp; Assumptions'!$B$25/'Weights &amp; Assumptions'!$B$28+S76*'Weights &amp; Assumptions'!$B$26/'Weights &amp; Assumptions'!$B$28+T76*'Weights &amp; Assumptions'!$B$27/'Weights &amp; Assumptions'!$B$28,"")</f>
        <v>130.614848892372</v>
      </c>
      <c r="V76" s="30" t="n">
        <f aca="false">IF(ISNUMBER(Tabelle1!E77),Tabelle1!E77*'Weights &amp; Assumptions'!$F$6+Tabelle1!F77*'Weights &amp; Assumptions'!$F$7,"")</f>
        <v>62.917852151345</v>
      </c>
      <c r="W76" s="30" t="n">
        <f aca="false">IF(ISNUMBER(Tabelle1!G77),Tabelle1!G77*'Weights &amp; Assumptions'!$F$8+Tabelle1!H77*'Weights &amp; Assumptions'!$F$9+Tabelle1!J77*'Weights &amp; Assumptions'!$F$11,"")</f>
        <v>129.822573079897</v>
      </c>
      <c r="X76" s="30" t="n">
        <f aca="false">IF(ISNUMBER(Tabelle1!I77),Tabelle1!I77*'Weights &amp; Assumptions'!$F$10+Tabelle1!K77*'Weights &amp; Assumptions'!$F$12+Tabelle1!L77*'Weights &amp; Assumptions'!$F$13+Tabelle1!M77*'Weights &amp; Assumptions'!$F$14+Tabelle1!N77*'Weights &amp; Assumptions'!$F$15+Tabelle1!O77*'Weights &amp; Assumptions'!$F$16+Tabelle1!P77*'Weights &amp; Assumptions'!$F$17+Tabelle1!Q77*'Weights &amp; Assumptions'!$F$18+Tabelle1!R77*'Weights &amp; Assumptions'!$F$19+Tabelle1!S77*'Weights &amp; Assumptions'!$F$20,"")</f>
        <v>136.292867140067</v>
      </c>
      <c r="Y76" s="23" t="n">
        <f aca="false">IFERROR(V76*'Weights &amp; Assumptions'!$B$25/'Weights &amp; Assumptions'!$B$28+W76*'Weights &amp; Assumptions'!$B$26/'Weights &amp; Assumptions'!$B$28+X76*'Weights &amp; Assumptions'!$B$27/'Weights &amp; Assumptions'!$B$28,"")</f>
        <v>128.416078105184</v>
      </c>
    </row>
    <row r="77" customFormat="false" ht="15" hidden="false" customHeight="false" outlineLevel="0" collapsed="false">
      <c r="A77" s="20" t="n">
        <v>40147</v>
      </c>
      <c r="B77" s="30" t="n">
        <f aca="false">IF(ISNUMBER(Tabelle1!D78),Tabelle1!D78,"")</f>
        <v>129.72978</v>
      </c>
      <c r="C77" s="23" t="n">
        <f aca="false">IF(ISNUMBER(Tabelle1!E78),Tabelle1!E78/'SF Workings'!F77,"")</f>
        <v>109.777020243044</v>
      </c>
      <c r="D77" s="23" t="n">
        <f aca="false">IF(ISNUMBER(Tabelle1!F78),Tabelle1!F78/'SF Workings'!J77,"")</f>
        <v>123.271472686545</v>
      </c>
      <c r="E77" s="23" t="n">
        <f aca="false">IF(ISNUMBER(Tabelle1!G78),Tabelle1!G78/'SF Workings'!N77,"")</f>
        <v>100.9837475949</v>
      </c>
      <c r="F77" s="23" t="n">
        <f aca="false">IF(ISNUMBER(Tabelle1!H78),Tabelle1!H78/'SF Workings'!R77,"")</f>
        <v>125.907936758168</v>
      </c>
      <c r="G77" s="23" t="n">
        <f aca="false">IF(ISNUMBER(Tabelle1!I78),Tabelle1!I78/'SF Workings'!V77,"")</f>
        <v>118.752207946775</v>
      </c>
      <c r="H77" s="23" t="n">
        <f aca="false">IF(ISNUMBER(Tabelle1!J78),Tabelle1!J78/'SF Workings'!Z77,"")</f>
        <v>132.626955367633</v>
      </c>
      <c r="I77" s="23" t="n">
        <f aca="false">IF(ISNUMBER(Tabelle1!K78),Tabelle1!K78/'SF Workings'!AD77,"")</f>
        <v>134.837757223328</v>
      </c>
      <c r="J77" s="23" t="n">
        <f aca="false">IF(ISNUMBER(Tabelle1!L78),Tabelle1!L78/'SF Workings'!AH77,"")</f>
        <v>139.955211317782</v>
      </c>
      <c r="K77" s="23" t="n">
        <f aca="false">IF(ISNUMBER(Tabelle1!M78),Tabelle1!M78/'SF Workings'!AL77,"")</f>
        <v>156.840144847198</v>
      </c>
      <c r="L77" s="23" t="n">
        <f aca="false">IF(ISNUMBER(Tabelle1!N78),Tabelle1!N78/'SF Workings'!AP77,"")</f>
        <v>150.17764949743</v>
      </c>
      <c r="M77" s="23" t="n">
        <f aca="false">IF(ISNUMBER(Tabelle1!O78),Tabelle1!O78/'SF Workings'!AT77,"")</f>
        <v>122.153530450572</v>
      </c>
      <c r="N77" s="23" t="n">
        <f aca="false">IF(ISNUMBER(Tabelle1!P78),Tabelle1!P78/'SF Workings'!AX77,"")</f>
        <v>126.614334105892</v>
      </c>
      <c r="O77" s="23" t="n">
        <f aca="false">IF(ISNUMBER(Tabelle1!Q78),Tabelle1!Q78/'SF Workings'!BB77,"")</f>
        <v>129.474076397941</v>
      </c>
      <c r="P77" s="23" t="n">
        <f aca="false">IF(ISNUMBER(Tabelle1!R78),Tabelle1!R78/'SF Workings'!BF77,"")</f>
        <v>139.97769862446</v>
      </c>
      <c r="Q77" s="23" t="n">
        <f aca="false">IF(ISNUMBER(Tabelle1!S78),Tabelle1!S78/'SF Workings'!BJ77,"")</f>
        <v>141.890750343807</v>
      </c>
      <c r="R77" s="23" t="n">
        <f aca="false">IFERROR(C77*'Weights &amp; Assumptions'!$F$6+D77*'Weights &amp; Assumptions'!$F$7,"")</f>
        <v>109.942361503719</v>
      </c>
      <c r="S77" s="23" t="n">
        <f aca="false">IFERROR(E77*'Weights &amp; Assumptions'!$F$8+F77*'Weights &amp; Assumptions'!$F$9+H77*'Weights &amp; Assumptions'!$F$11,"")</f>
        <v>124.331775941581</v>
      </c>
      <c r="T77" s="23" t="n">
        <f aca="false">IFERROR(G77*'Weights &amp; Assumptions'!$F$10+I77*'Weights &amp; Assumptions'!$F$12+J77*'Weights &amp; Assumptions'!$F$13+K77*'Weights &amp; Assumptions'!$F$14+L77*'Weights &amp; Assumptions'!$F$15+M77*'Weights &amp; Assumptions'!$F$16+N77*'Weights &amp; Assumptions'!$F$17+O77*'Weights &amp; Assumptions'!$F$18+P77*'Weights &amp; Assumptions'!$F$19+Q77*'Weights &amp; Assumptions'!$F$20,"")</f>
        <v>135.996470037816</v>
      </c>
      <c r="U77" s="23" t="n">
        <f aca="false">IFERROR(R77*'Weights &amp; Assumptions'!$B$25/'Weights &amp; Assumptions'!$B$28+S77*'Weights &amp; Assumptions'!$B$26/'Weights &amp; Assumptions'!$B$28+T77*'Weights &amp; Assumptions'!$B$27/'Weights &amp; Assumptions'!$B$28,"")</f>
        <v>130.708662728629</v>
      </c>
      <c r="V77" s="30" t="n">
        <f aca="false">IF(ISNUMBER(Tabelle1!E78),Tabelle1!E78*'Weights &amp; Assumptions'!$F$6+Tabelle1!F78*'Weights &amp; Assumptions'!$F$7,"")</f>
        <v>76.3572263607108</v>
      </c>
      <c r="W77" s="30" t="n">
        <f aca="false">IF(ISNUMBER(Tabelle1!G78),Tabelle1!G78*'Weights &amp; Assumptions'!$F$8+Tabelle1!H78*'Weights &amp; Assumptions'!$F$9+Tabelle1!J78*'Weights &amp; Assumptions'!$F$11,"")</f>
        <v>127.013146965155</v>
      </c>
      <c r="X77" s="30" t="n">
        <f aca="false">IF(ISNUMBER(Tabelle1!I78),Tabelle1!I78*'Weights &amp; Assumptions'!$F$10+Tabelle1!K78*'Weights &amp; Assumptions'!$F$12+Tabelle1!L78*'Weights &amp; Assumptions'!$F$13+Tabelle1!M78*'Weights &amp; Assumptions'!$F$14+Tabelle1!N78*'Weights &amp; Assumptions'!$F$15+Tabelle1!O78*'Weights &amp; Assumptions'!$F$16+Tabelle1!P78*'Weights &amp; Assumptions'!$F$17+Tabelle1!Q78*'Weights &amp; Assumptions'!$F$18+Tabelle1!R78*'Weights &amp; Assumptions'!$F$19+Tabelle1!S78*'Weights &amp; Assumptions'!$F$20,"")</f>
        <v>136.398243219186</v>
      </c>
      <c r="Y77" s="23" t="n">
        <f aca="false">IFERROR(V77*'Weights &amp; Assumptions'!$B$25/'Weights &amp; Assumptions'!$B$28+W77*'Weights &amp; Assumptions'!$B$26/'Weights &amp; Assumptions'!$B$28+X77*'Weights &amp; Assumptions'!$B$27/'Weights &amp; Assumptions'!$B$28,"")</f>
        <v>128.865090904368</v>
      </c>
    </row>
    <row r="78" customFormat="false" ht="15" hidden="false" customHeight="false" outlineLevel="0" collapsed="false">
      <c r="A78" s="20" t="n">
        <v>40178</v>
      </c>
      <c r="B78" s="30" t="n">
        <f aca="false">IF(ISNUMBER(Tabelle1!D79),Tabelle1!D79,"")</f>
        <v>128.07244</v>
      </c>
      <c r="C78" s="23" t="n">
        <f aca="false">IF(ISNUMBER(Tabelle1!E79),Tabelle1!E79/'SF Workings'!F78,"")</f>
        <v>95.5067076743054</v>
      </c>
      <c r="D78" s="23" t="n">
        <f aca="false">IF(ISNUMBER(Tabelle1!F79),Tabelle1!F79/'SF Workings'!J78,"")</f>
        <v>118.973961418124</v>
      </c>
      <c r="E78" s="23" t="n">
        <f aca="false">IF(ISNUMBER(Tabelle1!G79),Tabelle1!G79/'SF Workings'!N78,"")</f>
        <v>101.994565614493</v>
      </c>
      <c r="F78" s="23" t="n">
        <f aca="false">IF(ISNUMBER(Tabelle1!H79),Tabelle1!H79/'SF Workings'!R78,"")</f>
        <v>127.327547345118</v>
      </c>
      <c r="G78" s="23" t="n">
        <f aca="false">IF(ISNUMBER(Tabelle1!I79),Tabelle1!I79/'SF Workings'!V78,"")</f>
        <v>112.718689635192</v>
      </c>
      <c r="H78" s="23" t="n">
        <f aca="false">IF(ISNUMBER(Tabelle1!J79),Tabelle1!J79/'SF Workings'!Z78,"")</f>
        <v>132.679950326064</v>
      </c>
      <c r="I78" s="23" t="n">
        <f aca="false">IF(ISNUMBER(Tabelle1!K79),Tabelle1!K79/'SF Workings'!AD78,"")</f>
        <v>138.455851367962</v>
      </c>
      <c r="J78" s="23" t="n">
        <f aca="false">IF(ISNUMBER(Tabelle1!L79),Tabelle1!L79/'SF Workings'!AH78,"")</f>
        <v>141.627515898219</v>
      </c>
      <c r="K78" s="23" t="n">
        <f aca="false">IF(ISNUMBER(Tabelle1!M79),Tabelle1!M79/'SF Workings'!AL78,"")</f>
        <v>158.571617976184</v>
      </c>
      <c r="L78" s="23" t="n">
        <f aca="false">IF(ISNUMBER(Tabelle1!N79),Tabelle1!N79/'SF Workings'!AP78,"")</f>
        <v>148.454231762309</v>
      </c>
      <c r="M78" s="23" t="n">
        <f aca="false">IF(ISNUMBER(Tabelle1!O79),Tabelle1!O79/'SF Workings'!AT78,"")</f>
        <v>123.750323444725</v>
      </c>
      <c r="N78" s="23" t="n">
        <f aca="false">IF(ISNUMBER(Tabelle1!P79),Tabelle1!P79/'SF Workings'!AX78,"")</f>
        <v>126.855890569787</v>
      </c>
      <c r="O78" s="23" t="n">
        <f aca="false">IF(ISNUMBER(Tabelle1!Q79),Tabelle1!Q79/'SF Workings'!BB78,"")</f>
        <v>129.799312159459</v>
      </c>
      <c r="P78" s="23" t="n">
        <f aca="false">IF(ISNUMBER(Tabelle1!R79),Tabelle1!R79/'SF Workings'!BF78,"")</f>
        <v>139.913199986385</v>
      </c>
      <c r="Q78" s="23" t="n">
        <f aca="false">IF(ISNUMBER(Tabelle1!S79),Tabelle1!S79/'SF Workings'!BJ78,"")</f>
        <v>143.495348048118</v>
      </c>
      <c r="R78" s="23" t="n">
        <f aca="false">IFERROR(C78*'Weights &amp; Assumptions'!$F$6+D78*'Weights &amp; Assumptions'!$F$7,"")</f>
        <v>95.7942410392075</v>
      </c>
      <c r="S78" s="23" t="n">
        <f aca="false">IFERROR(E78*'Weights &amp; Assumptions'!$F$8+F78*'Weights &amp; Assumptions'!$F$9+H78*'Weights &amp; Assumptions'!$F$11,"")</f>
        <v>125.417879319592</v>
      </c>
      <c r="T78" s="23" t="n">
        <f aca="false">IFERROR(G78*'Weights &amp; Assumptions'!$F$10+I78*'Weights &amp; Assumptions'!$F$12+J78*'Weights &amp; Assumptions'!$F$13+K78*'Weights &amp; Assumptions'!$F$14+L78*'Weights &amp; Assumptions'!$F$15+M78*'Weights &amp; Assumptions'!$F$16+N78*'Weights &amp; Assumptions'!$F$17+O78*'Weights &amp; Assumptions'!$F$18+P78*'Weights &amp; Assumptions'!$F$19+Q78*'Weights &amp; Assumptions'!$F$20,"")</f>
        <v>137.216548765625</v>
      </c>
      <c r="U78" s="23" t="n">
        <f aca="false">IFERROR(R78*'Weights &amp; Assumptions'!$B$25/'Weights &amp; Assumptions'!$B$28+S78*'Weights &amp; Assumptions'!$B$26/'Weights &amp; Assumptions'!$B$28+T78*'Weights &amp; Assumptions'!$B$27/'Weights &amp; Assumptions'!$B$28,"")</f>
        <v>130.603710368998</v>
      </c>
      <c r="V78" s="30" t="n">
        <f aca="false">IF(ISNUMBER(Tabelle1!E79),Tabelle1!E79*'Weights &amp; Assumptions'!$F$6+Tabelle1!F79*'Weights &amp; Assumptions'!$F$7,"")</f>
        <v>72.5234961542771</v>
      </c>
      <c r="W78" s="30" t="n">
        <f aca="false">IF(ISNUMBER(Tabelle1!G79),Tabelle1!G79*'Weights &amp; Assumptions'!$F$8+Tabelle1!H79*'Weights &amp; Assumptions'!$F$9+Tabelle1!J79*'Weights &amp; Assumptions'!$F$11,"")</f>
        <v>123.538433869501</v>
      </c>
      <c r="X78" s="30" t="n">
        <f aca="false">IF(ISNUMBER(Tabelle1!I79),Tabelle1!I79*'Weights &amp; Assumptions'!$F$10+Tabelle1!K79*'Weights &amp; Assumptions'!$F$12+Tabelle1!L79*'Weights &amp; Assumptions'!$F$13+Tabelle1!M79*'Weights &amp; Assumptions'!$F$14+Tabelle1!N79*'Weights &amp; Assumptions'!$F$15+Tabelle1!O79*'Weights &amp; Assumptions'!$F$16+Tabelle1!P79*'Weights &amp; Assumptions'!$F$17+Tabelle1!Q79*'Weights &amp; Assumptions'!$F$18+Tabelle1!R79*'Weights &amp; Assumptions'!$F$19+Tabelle1!S79*'Weights &amp; Assumptions'!$F$20,"")</f>
        <v>136.228702507156</v>
      </c>
      <c r="Y78" s="23" t="n">
        <f aca="false">IFERROR(V78*'Weights &amp; Assumptions'!$B$25/'Weights &amp; Assumptions'!$B$28+W78*'Weights &amp; Assumptions'!$B$26/'Weights &amp; Assumptions'!$B$28+X78*'Weights &amp; Assumptions'!$B$27/'Weights &amp; Assumptions'!$B$28,"")</f>
        <v>127.509218572323</v>
      </c>
    </row>
    <row r="79" customFormat="false" ht="15" hidden="false" customHeight="false" outlineLevel="0" collapsed="false">
      <c r="A79" s="20" t="n">
        <v>40209</v>
      </c>
      <c r="B79" s="30" t="n">
        <f aca="false">IF(ISNUMBER(Tabelle1!D80),Tabelle1!D80,"")</f>
        <v>131.72001</v>
      </c>
      <c r="C79" s="23" t="n">
        <f aca="false">IF(ISNUMBER(Tabelle1!E80),Tabelle1!E80/'SF Workings'!F79,"")</f>
        <v>101.122631134183</v>
      </c>
      <c r="D79" s="23" t="n">
        <f aca="false">IF(ISNUMBER(Tabelle1!F80),Tabelle1!F80/'SF Workings'!J79,"")</f>
        <v>69.1388524459871</v>
      </c>
      <c r="E79" s="23" t="n">
        <f aca="false">IF(ISNUMBER(Tabelle1!G80),Tabelle1!G80/'SF Workings'!N79,"")</f>
        <v>103.495789474724</v>
      </c>
      <c r="F79" s="23" t="n">
        <f aca="false">IF(ISNUMBER(Tabelle1!H80),Tabelle1!H80/'SF Workings'!R79,"")</f>
        <v>128.313929762018</v>
      </c>
      <c r="G79" s="23" t="n">
        <f aca="false">IF(ISNUMBER(Tabelle1!I80),Tabelle1!I80/'SF Workings'!V79,"")</f>
        <v>118.098139005772</v>
      </c>
      <c r="H79" s="23" t="n">
        <f aca="false">IF(ISNUMBER(Tabelle1!J80),Tabelle1!J80/'SF Workings'!Z79,"")</f>
        <v>133.473843722606</v>
      </c>
      <c r="I79" s="23" t="n">
        <f aca="false">IF(ISNUMBER(Tabelle1!K80),Tabelle1!K80/'SF Workings'!AD79,"")</f>
        <v>136.430005811782</v>
      </c>
      <c r="J79" s="23" t="n">
        <f aca="false">IF(ISNUMBER(Tabelle1!L80),Tabelle1!L80/'SF Workings'!AH79,"")</f>
        <v>144.274930528897</v>
      </c>
      <c r="K79" s="23" t="n">
        <f aca="false">IF(ISNUMBER(Tabelle1!M80),Tabelle1!M80/'SF Workings'!AL79,"")</f>
        <v>159.470029560664</v>
      </c>
      <c r="L79" s="23" t="n">
        <f aca="false">IF(ISNUMBER(Tabelle1!N80),Tabelle1!N80/'SF Workings'!AP79,"")</f>
        <v>145.424458308429</v>
      </c>
      <c r="M79" s="23" t="n">
        <f aca="false">IF(ISNUMBER(Tabelle1!O80),Tabelle1!O80/'SF Workings'!AT79,"")</f>
        <v>126.641369796893</v>
      </c>
      <c r="N79" s="23" t="n">
        <f aca="false">IF(ISNUMBER(Tabelle1!P80),Tabelle1!P80/'SF Workings'!AX79,"")</f>
        <v>127.725017943003</v>
      </c>
      <c r="O79" s="23" t="n">
        <f aca="false">IF(ISNUMBER(Tabelle1!Q80),Tabelle1!Q80/'SF Workings'!BB79,"")</f>
        <v>130.617269489634</v>
      </c>
      <c r="P79" s="23" t="n">
        <f aca="false">IF(ISNUMBER(Tabelle1!R80),Tabelle1!R80/'SF Workings'!BF79,"")</f>
        <v>138.285599958384</v>
      </c>
      <c r="Q79" s="23" t="n">
        <f aca="false">IF(ISNUMBER(Tabelle1!S80),Tabelle1!S80/'SF Workings'!BJ79,"")</f>
        <v>144.398377084113</v>
      </c>
      <c r="R79" s="23" t="n">
        <f aca="false">IFERROR(C79*'Weights &amp; Assumptions'!$F$6+D79*'Weights &amp; Assumptions'!$F$7,"")</f>
        <v>100.730748743133</v>
      </c>
      <c r="S79" s="23" t="n">
        <f aca="false">IFERROR(E79*'Weights &amp; Assumptions'!$F$8+F79*'Weights &amp; Assumptions'!$F$9+H79*'Weights &amp; Assumptions'!$F$11,"")</f>
        <v>126.425632616105</v>
      </c>
      <c r="T79" s="23" t="n">
        <f aca="false">IFERROR(G79*'Weights &amp; Assumptions'!$F$10+I79*'Weights &amp; Assumptions'!$F$12+J79*'Weights &amp; Assumptions'!$F$13+K79*'Weights &amp; Assumptions'!$F$14+L79*'Weights &amp; Assumptions'!$F$15+M79*'Weights &amp; Assumptions'!$F$16+N79*'Weights &amp; Assumptions'!$F$17+O79*'Weights &amp; Assumptions'!$F$18+P79*'Weights &amp; Assumptions'!$F$19+Q79*'Weights &amp; Assumptions'!$F$20,"")</f>
        <v>137.643969981755</v>
      </c>
      <c r="U79" s="23" t="n">
        <f aca="false">IFERROR(R79*'Weights &amp; Assumptions'!$B$25/'Weights &amp; Assumptions'!$B$28+S79*'Weights &amp; Assumptions'!$B$26/'Weights &amp; Assumptions'!$B$28+T79*'Weights &amp; Assumptions'!$B$27/'Weights &amp; Assumptions'!$B$28,"")</f>
        <v>131.563768131418</v>
      </c>
      <c r="V79" s="30" t="n">
        <f aca="false">IF(ISNUMBER(Tabelle1!E80),Tabelle1!E80*'Weights &amp; Assumptions'!$F$6+Tabelle1!F80*'Weights &amp; Assumptions'!$F$7,"")</f>
        <v>55.60049314299</v>
      </c>
      <c r="W79" s="30" t="n">
        <f aca="false">IF(ISNUMBER(Tabelle1!G80),Tabelle1!G80*'Weights &amp; Assumptions'!$F$8+Tabelle1!H80*'Weights &amp; Assumptions'!$F$9+Tabelle1!J80*'Weights &amp; Assumptions'!$F$11,"")</f>
        <v>117.543368766236</v>
      </c>
      <c r="X79" s="30" t="n">
        <f aca="false">IF(ISNUMBER(Tabelle1!I80),Tabelle1!I80*'Weights &amp; Assumptions'!$F$10+Tabelle1!K80*'Weights &amp; Assumptions'!$F$12+Tabelle1!L80*'Weights &amp; Assumptions'!$F$13+Tabelle1!M80*'Weights &amp; Assumptions'!$F$14+Tabelle1!N80*'Weights &amp; Assumptions'!$F$15+Tabelle1!O80*'Weights &amp; Assumptions'!$F$16+Tabelle1!P80*'Weights &amp; Assumptions'!$F$17+Tabelle1!Q80*'Weights &amp; Assumptions'!$F$18+Tabelle1!R80*'Weights &amp; Assumptions'!$F$19+Tabelle1!S80*'Weights &amp; Assumptions'!$F$20,"")</f>
        <v>134.378074011209</v>
      </c>
      <c r="Y79" s="23" t="n">
        <f aca="false">IFERROR(V79*'Weights &amp; Assumptions'!$B$25/'Weights &amp; Assumptions'!$B$28+W79*'Weights &amp; Assumptions'!$B$26/'Weights &amp; Assumptions'!$B$28+X79*'Weights &amp; Assumptions'!$B$27/'Weights &amp; Assumptions'!$B$28,"")</f>
        <v>123.291927221746</v>
      </c>
    </row>
    <row r="80" customFormat="false" ht="15" hidden="false" customHeight="false" outlineLevel="0" collapsed="false">
      <c r="A80" s="20" t="n">
        <v>40237</v>
      </c>
      <c r="B80" s="30" t="n">
        <f aca="false">IF(ISNUMBER(Tabelle1!D81),Tabelle1!D81,"")</f>
        <v>133.12326</v>
      </c>
      <c r="C80" s="23" t="n">
        <f aca="false">IF(ISNUMBER(Tabelle1!E81),Tabelle1!E81/'SF Workings'!F80,"")</f>
        <v>112.325144997976</v>
      </c>
      <c r="D80" s="23" t="n">
        <f aca="false">IF(ISNUMBER(Tabelle1!F81),Tabelle1!F81/'SF Workings'!J80,"")</f>
        <v>89.0657389508837</v>
      </c>
      <c r="E80" s="23" t="n">
        <f aca="false">IF(ISNUMBER(Tabelle1!G81),Tabelle1!G81/'SF Workings'!N80,"")</f>
        <v>104.757545025155</v>
      </c>
      <c r="F80" s="23" t="n">
        <f aca="false">IF(ISNUMBER(Tabelle1!H81),Tabelle1!H81/'SF Workings'!R80,"")</f>
        <v>127.334997745543</v>
      </c>
      <c r="G80" s="23" t="n">
        <f aca="false">IF(ISNUMBER(Tabelle1!I81),Tabelle1!I81/'SF Workings'!V80,"")</f>
        <v>119.605622165434</v>
      </c>
      <c r="H80" s="23" t="n">
        <f aca="false">IF(ISNUMBER(Tabelle1!J81),Tabelle1!J81/'SF Workings'!Z80,"")</f>
        <v>134.748258145858</v>
      </c>
      <c r="I80" s="23" t="n">
        <f aca="false">IF(ISNUMBER(Tabelle1!K81),Tabelle1!K81/'SF Workings'!AD80,"")</f>
        <v>138.85474615502</v>
      </c>
      <c r="J80" s="23" t="n">
        <f aca="false">IF(ISNUMBER(Tabelle1!L81),Tabelle1!L81/'SF Workings'!AH80,"")</f>
        <v>145.16011031538</v>
      </c>
      <c r="K80" s="23" t="n">
        <f aca="false">IF(ISNUMBER(Tabelle1!M81),Tabelle1!M81/'SF Workings'!AL80,"")</f>
        <v>160.424032557762</v>
      </c>
      <c r="L80" s="23" t="n">
        <f aca="false">IF(ISNUMBER(Tabelle1!N81),Tabelle1!N81/'SF Workings'!AP80,"")</f>
        <v>147.657501895071</v>
      </c>
      <c r="M80" s="23" t="n">
        <f aca="false">IF(ISNUMBER(Tabelle1!O81),Tabelle1!O81/'SF Workings'!AT80,"")</f>
        <v>127.568971455769</v>
      </c>
      <c r="N80" s="23" t="n">
        <f aca="false">IF(ISNUMBER(Tabelle1!P81),Tabelle1!P81/'SF Workings'!AX80,"")</f>
        <v>127.550834640504</v>
      </c>
      <c r="O80" s="23" t="n">
        <f aca="false">IF(ISNUMBER(Tabelle1!Q81),Tabelle1!Q81/'SF Workings'!BB80,"")</f>
        <v>130.623920673989</v>
      </c>
      <c r="P80" s="23" t="n">
        <f aca="false">IF(ISNUMBER(Tabelle1!R81),Tabelle1!R81/'SF Workings'!BF80,"")</f>
        <v>138.97132333259</v>
      </c>
      <c r="Q80" s="23" t="n">
        <f aca="false">IF(ISNUMBER(Tabelle1!S81),Tabelle1!S81/'SF Workings'!BJ80,"")</f>
        <v>145.120738577118</v>
      </c>
      <c r="R80" s="23" t="n">
        <f aca="false">IFERROR(C80*'Weights &amp; Assumptions'!$F$6+D80*'Weights &amp; Assumptions'!$F$7,"")</f>
        <v>112.040158294404</v>
      </c>
      <c r="S80" s="23" t="n">
        <f aca="false">IFERROR(E80*'Weights &amp; Assumptions'!$F$8+F80*'Weights &amp; Assumptions'!$F$9+H80*'Weights &amp; Assumptions'!$F$11,"")</f>
        <v>126.183658846047</v>
      </c>
      <c r="T80" s="23" t="n">
        <f aca="false">IFERROR(G80*'Weights &amp; Assumptions'!$F$10+I80*'Weights &amp; Assumptions'!$F$12+J80*'Weights &amp; Assumptions'!$F$13+K80*'Weights &amp; Assumptions'!$F$14+L80*'Weights &amp; Assumptions'!$F$15+M80*'Weights &amp; Assumptions'!$F$16+N80*'Weights &amp; Assumptions'!$F$17+O80*'Weights &amp; Assumptions'!$F$18+P80*'Weights &amp; Assumptions'!$F$19+Q80*'Weights &amp; Assumptions'!$F$20,"")</f>
        <v>138.79346639908</v>
      </c>
      <c r="U80" s="23" t="n">
        <f aca="false">IFERROR(R80*'Weights &amp; Assumptions'!$B$25/'Weights &amp; Assumptions'!$B$28+S80*'Weights &amp; Assumptions'!$B$26/'Weights &amp; Assumptions'!$B$28+T80*'Weights &amp; Assumptions'!$B$27/'Weights &amp; Assumptions'!$B$28,"")</f>
        <v>133.195673486488</v>
      </c>
      <c r="V80" s="30" t="n">
        <f aca="false">IF(ISNUMBER(Tabelle1!E81),Tabelle1!E81*'Weights &amp; Assumptions'!$F$6+Tabelle1!F81*'Weights &amp; Assumptions'!$F$7,"")</f>
        <v>64.5823413169092</v>
      </c>
      <c r="W80" s="30" t="n">
        <f aca="false">IF(ISNUMBER(Tabelle1!G81),Tabelle1!G81*'Weights &amp; Assumptions'!$F$8+Tabelle1!H81*'Weights &amp; Assumptions'!$F$9+Tabelle1!J81*'Weights &amp; Assumptions'!$F$11,"")</f>
        <v>114.915307266037</v>
      </c>
      <c r="X80" s="30" t="n">
        <f aca="false">IF(ISNUMBER(Tabelle1!I81),Tabelle1!I81*'Weights &amp; Assumptions'!$F$10+Tabelle1!K81*'Weights &amp; Assumptions'!$F$12+Tabelle1!L81*'Weights &amp; Assumptions'!$F$13+Tabelle1!M81*'Weights &amp; Assumptions'!$F$14+Tabelle1!N81*'Weights &amp; Assumptions'!$F$15+Tabelle1!O81*'Weights &amp; Assumptions'!$F$16+Tabelle1!P81*'Weights &amp; Assumptions'!$F$17+Tabelle1!Q81*'Weights &amp; Assumptions'!$F$18+Tabelle1!R81*'Weights &amp; Assumptions'!$F$19+Tabelle1!S81*'Weights &amp; Assumptions'!$F$20,"")</f>
        <v>132.361586358779</v>
      </c>
      <c r="Y80" s="23" t="n">
        <f aca="false">IFERROR(V80*'Weights &amp; Assumptions'!$B$25/'Weights &amp; Assumptions'!$B$28+W80*'Weights &amp; Assumptions'!$B$26/'Weights &amp; Assumptions'!$B$28+X80*'Weights &amp; Assumptions'!$B$27/'Weights &amp; Assumptions'!$B$28,"")</f>
        <v>122.035580928748</v>
      </c>
    </row>
    <row r="81" customFormat="false" ht="15" hidden="false" customHeight="false" outlineLevel="0" collapsed="false">
      <c r="A81" s="20" t="n">
        <v>40268</v>
      </c>
      <c r="B81" s="30" t="n">
        <f aca="false">IF(ISNUMBER(Tabelle1!D82),Tabelle1!D82,"")</f>
        <v>133.97039</v>
      </c>
      <c r="C81" s="23" t="n">
        <f aca="false">IF(ISNUMBER(Tabelle1!E82),Tabelle1!E82/'SF Workings'!F81,"")</f>
        <v>121.369554581794</v>
      </c>
      <c r="D81" s="23" t="n">
        <f aca="false">IF(ISNUMBER(Tabelle1!F82),Tabelle1!F82/'SF Workings'!J81,"")</f>
        <v>88.5805715971724</v>
      </c>
      <c r="E81" s="23" t="n">
        <f aca="false">IF(ISNUMBER(Tabelle1!G82),Tabelle1!G82/'SF Workings'!N81,"")</f>
        <v>103.760091725843</v>
      </c>
      <c r="F81" s="23" t="n">
        <f aca="false">IF(ISNUMBER(Tabelle1!H82),Tabelle1!H82/'SF Workings'!R81,"")</f>
        <v>131.394779721742</v>
      </c>
      <c r="G81" s="23" t="n">
        <f aca="false">IF(ISNUMBER(Tabelle1!I82),Tabelle1!I82/'SF Workings'!V81,"")</f>
        <v>124.699406182116</v>
      </c>
      <c r="H81" s="23" t="n">
        <f aca="false">IF(ISNUMBER(Tabelle1!J82),Tabelle1!J82/'SF Workings'!Z81,"")</f>
        <v>135.640847166752</v>
      </c>
      <c r="I81" s="23" t="n">
        <f aca="false">IF(ISNUMBER(Tabelle1!K82),Tabelle1!K82/'SF Workings'!AD81,"")</f>
        <v>144.536730650211</v>
      </c>
      <c r="J81" s="23" t="n">
        <f aca="false">IF(ISNUMBER(Tabelle1!L82),Tabelle1!L82/'SF Workings'!AH81,"")</f>
        <v>143.952105231933</v>
      </c>
      <c r="K81" s="23" t="n">
        <f aca="false">IF(ISNUMBER(Tabelle1!M82),Tabelle1!M82/'SF Workings'!AL81,"")</f>
        <v>162.871962792244</v>
      </c>
      <c r="L81" s="23" t="n">
        <f aca="false">IF(ISNUMBER(Tabelle1!N82),Tabelle1!N82/'SF Workings'!AP81,"")</f>
        <v>151.842998252758</v>
      </c>
      <c r="M81" s="23" t="n">
        <f aca="false">IF(ISNUMBER(Tabelle1!O82),Tabelle1!O82/'SF Workings'!AT81,"")</f>
        <v>128.423400195884</v>
      </c>
      <c r="N81" s="23" t="n">
        <f aca="false">IF(ISNUMBER(Tabelle1!P82),Tabelle1!P82/'SF Workings'!AX81,"")</f>
        <v>127.695659678744</v>
      </c>
      <c r="O81" s="23" t="n">
        <f aca="false">IF(ISNUMBER(Tabelle1!Q82),Tabelle1!Q82/'SF Workings'!BB81,"")</f>
        <v>131.053016459948</v>
      </c>
      <c r="P81" s="23" t="n">
        <f aca="false">IF(ISNUMBER(Tabelle1!R82),Tabelle1!R82/'SF Workings'!BF81,"")</f>
        <v>138.896346464061</v>
      </c>
      <c r="Q81" s="23" t="n">
        <f aca="false">IF(ISNUMBER(Tabelle1!S82),Tabelle1!S82/'SF Workings'!BJ81,"")</f>
        <v>143.954091033951</v>
      </c>
      <c r="R81" s="23" t="n">
        <f aca="false">IFERROR(C81*'Weights &amp; Assumptions'!$F$6+D81*'Weights &amp; Assumptions'!$F$7,"")</f>
        <v>120.967806396335</v>
      </c>
      <c r="S81" s="23" t="n">
        <f aca="false">IFERROR(E81*'Weights &amp; Assumptions'!$F$8+F81*'Weights &amp; Assumptions'!$F$9+H81*'Weights &amp; Assumptions'!$F$11,"")</f>
        <v>128.979817419008</v>
      </c>
      <c r="T81" s="23" t="n">
        <f aca="false">IFERROR(G81*'Weights &amp; Assumptions'!$F$10+I81*'Weights &amp; Assumptions'!$F$12+J81*'Weights &amp; Assumptions'!$F$13+K81*'Weights &amp; Assumptions'!$F$14+L81*'Weights &amp; Assumptions'!$F$15+M81*'Weights &amp; Assumptions'!$F$16+N81*'Weights &amp; Assumptions'!$F$17+O81*'Weights &amp; Assumptions'!$F$18+P81*'Weights &amp; Assumptions'!$F$19+Q81*'Weights &amp; Assumptions'!$F$20,"")</f>
        <v>140.863135582912</v>
      </c>
      <c r="U81" s="23" t="n">
        <f aca="false">IFERROR(R81*'Weights &amp; Assumptions'!$B$25/'Weights &amp; Assumptions'!$B$28+S81*'Weights &amp; Assumptions'!$B$26/'Weights &amp; Assumptions'!$B$28+T81*'Weights &amp; Assumptions'!$B$27/'Weights &amp; Assumptions'!$B$28,"")</f>
        <v>136.033919027753</v>
      </c>
      <c r="V81" s="30" t="n">
        <f aca="false">IF(ISNUMBER(Tabelle1!E82),Tabelle1!E82*'Weights &amp; Assumptions'!$F$6+Tabelle1!F82*'Weights &amp; Assumptions'!$F$7,"")</f>
        <v>132.376211087115</v>
      </c>
      <c r="W81" s="30" t="n">
        <f aca="false">IF(ISNUMBER(Tabelle1!G82),Tabelle1!G82*'Weights &amp; Assumptions'!$F$8+Tabelle1!H82*'Weights &amp; Assumptions'!$F$9+Tabelle1!J82*'Weights &amp; Assumptions'!$F$11,"")</f>
        <v>130.567877406907</v>
      </c>
      <c r="X81" s="30" t="n">
        <f aca="false">IF(ISNUMBER(Tabelle1!I82),Tabelle1!I82*'Weights &amp; Assumptions'!$F$10+Tabelle1!K82*'Weights &amp; Assumptions'!$F$12+Tabelle1!L82*'Weights &amp; Assumptions'!$F$13+Tabelle1!M82*'Weights &amp; Assumptions'!$F$14+Tabelle1!N82*'Weights &amp; Assumptions'!$F$15+Tabelle1!O82*'Weights &amp; Assumptions'!$F$16+Tabelle1!P82*'Weights &amp; Assumptions'!$F$17+Tabelle1!Q82*'Weights &amp; Assumptions'!$F$18+Tabelle1!R82*'Weights &amp; Assumptions'!$F$19+Tabelle1!S82*'Weights &amp; Assumptions'!$F$20,"")</f>
        <v>141.778108898618</v>
      </c>
      <c r="Y81" s="23" t="n">
        <f aca="false">IFERROR(V81*'Weights &amp; Assumptions'!$B$25/'Weights &amp; Assumptions'!$B$28+W81*'Weights &amp; Assumptions'!$B$26/'Weights &amp; Assumptions'!$B$28+X81*'Weights &amp; Assumptions'!$B$27/'Weights &amp; Assumptions'!$B$28,"")</f>
        <v>138.008285472169</v>
      </c>
    </row>
    <row r="82" customFormat="false" ht="15" hidden="false" customHeight="false" outlineLevel="0" collapsed="false">
      <c r="A82" s="20" t="n">
        <v>40298</v>
      </c>
      <c r="B82" s="30" t="n">
        <f aca="false">IF(ISNUMBER(Tabelle1!D83),Tabelle1!D83,"")</f>
        <v>136.86532</v>
      </c>
      <c r="C82" s="23" t="n">
        <f aca="false">IF(ISNUMBER(Tabelle1!E83),Tabelle1!E83/'SF Workings'!F82,"")</f>
        <v>140.222864537669</v>
      </c>
      <c r="D82" s="23" t="n">
        <f aca="false">IF(ISNUMBER(Tabelle1!F83),Tabelle1!F83/'SF Workings'!J82,"")</f>
        <v>73.8296961953557</v>
      </c>
      <c r="E82" s="23" t="n">
        <f aca="false">IF(ISNUMBER(Tabelle1!G83),Tabelle1!G83/'SF Workings'!N82,"")</f>
        <v>105.725780524849</v>
      </c>
      <c r="F82" s="23" t="n">
        <f aca="false">IF(ISNUMBER(Tabelle1!H83),Tabelle1!H83/'SF Workings'!R82,"")</f>
        <v>132.36481128769</v>
      </c>
      <c r="G82" s="23" t="n">
        <f aca="false">IF(ISNUMBER(Tabelle1!I83),Tabelle1!I83/'SF Workings'!V82,"")</f>
        <v>120.73962576214</v>
      </c>
      <c r="H82" s="23" t="n">
        <f aca="false">IF(ISNUMBER(Tabelle1!J83),Tabelle1!J83/'SF Workings'!Z82,"")</f>
        <v>141.451693928714</v>
      </c>
      <c r="I82" s="23" t="n">
        <f aca="false">IF(ISNUMBER(Tabelle1!K83),Tabelle1!K83/'SF Workings'!AD82,"")</f>
        <v>144.542203983263</v>
      </c>
      <c r="J82" s="23" t="n">
        <f aca="false">IF(ISNUMBER(Tabelle1!L83),Tabelle1!L83/'SF Workings'!AH82,"")</f>
        <v>145.705925366865</v>
      </c>
      <c r="K82" s="23" t="n">
        <f aca="false">IF(ISNUMBER(Tabelle1!M83),Tabelle1!M83/'SF Workings'!AL82,"")</f>
        <v>165.901550264095</v>
      </c>
      <c r="L82" s="23" t="n">
        <f aca="false">IF(ISNUMBER(Tabelle1!N83),Tabelle1!N83/'SF Workings'!AP82,"")</f>
        <v>151.907270284272</v>
      </c>
      <c r="M82" s="23" t="n">
        <f aca="false">IF(ISNUMBER(Tabelle1!O83),Tabelle1!O83/'SF Workings'!AT82,"")</f>
        <v>128.256294099138</v>
      </c>
      <c r="N82" s="23" t="n">
        <f aca="false">IF(ISNUMBER(Tabelle1!P83),Tabelle1!P83/'SF Workings'!AX82,"")</f>
        <v>128.192150803808</v>
      </c>
      <c r="O82" s="23" t="n">
        <f aca="false">IF(ISNUMBER(Tabelle1!Q83),Tabelle1!Q83/'SF Workings'!BB82,"")</f>
        <v>131.648043746321</v>
      </c>
      <c r="P82" s="23" t="n">
        <f aca="false">IF(ISNUMBER(Tabelle1!R83),Tabelle1!R83/'SF Workings'!BF82,"")</f>
        <v>141.034983801463</v>
      </c>
      <c r="Q82" s="23" t="n">
        <f aca="false">IF(ISNUMBER(Tabelle1!S83),Tabelle1!S83/'SF Workings'!BJ82,"")</f>
        <v>142.64170402538</v>
      </c>
      <c r="R82" s="23" t="n">
        <f aca="false">IFERROR(C82*'Weights &amp; Assumptions'!$F$6+D82*'Weights &amp; Assumptions'!$F$7,"")</f>
        <v>139.40937987055</v>
      </c>
      <c r="S82" s="23" t="n">
        <f aca="false">IFERROR(E82*'Weights &amp; Assumptions'!$F$8+F82*'Weights &amp; Assumptions'!$F$9+H82*'Weights &amp; Assumptions'!$F$11,"")</f>
        <v>131.077184316009</v>
      </c>
      <c r="T82" s="23" t="n">
        <f aca="false">IFERROR(G82*'Weights &amp; Assumptions'!$F$10+I82*'Weights &amp; Assumptions'!$F$12+J82*'Weights &amp; Assumptions'!$F$13+K82*'Weights &amp; Assumptions'!$F$14+L82*'Weights &amp; Assumptions'!$F$15+M82*'Weights &amp; Assumptions'!$F$16+N82*'Weights &amp; Assumptions'!$F$17+O82*'Weights &amp; Assumptions'!$F$18+P82*'Weights &amp; Assumptions'!$F$19+Q82*'Weights &amp; Assumptions'!$F$20,"")</f>
        <v>141.420582417617</v>
      </c>
      <c r="U82" s="23" t="n">
        <f aca="false">IFERROR(R82*'Weights &amp; Assumptions'!$B$25/'Weights &amp; Assumptions'!$B$28+S82*'Weights &amp; Assumptions'!$B$26/'Weights &amp; Assumptions'!$B$28+T82*'Weights &amp; Assumptions'!$B$27/'Weights &amp; Assumptions'!$B$28,"")</f>
        <v>138.501350614796</v>
      </c>
      <c r="V82" s="30" t="n">
        <f aca="false">IF(ISNUMBER(Tabelle1!E83),Tabelle1!E83*'Weights &amp; Assumptions'!$F$6+Tabelle1!F83*'Weights &amp; Assumptions'!$F$7,"")</f>
        <v>230.728476952361</v>
      </c>
      <c r="W82" s="30" t="n">
        <f aca="false">IF(ISNUMBER(Tabelle1!G83),Tabelle1!G83*'Weights &amp; Assumptions'!$F$8+Tabelle1!H83*'Weights &amp; Assumptions'!$F$9+Tabelle1!J83*'Weights &amp; Assumptions'!$F$11,"")</f>
        <v>130.906110340857</v>
      </c>
      <c r="X82" s="30" t="n">
        <f aca="false">IF(ISNUMBER(Tabelle1!I83),Tabelle1!I83*'Weights &amp; Assumptions'!$F$10+Tabelle1!K83*'Weights &amp; Assumptions'!$F$12+Tabelle1!L83*'Weights &amp; Assumptions'!$F$13+Tabelle1!M83*'Weights &amp; Assumptions'!$F$14+Tabelle1!N83*'Weights &amp; Assumptions'!$F$15+Tabelle1!O83*'Weights &amp; Assumptions'!$F$16+Tabelle1!P83*'Weights &amp; Assumptions'!$F$17+Tabelle1!Q83*'Weights &amp; Assumptions'!$F$18+Tabelle1!R83*'Weights &amp; Assumptions'!$F$19+Tabelle1!S83*'Weights &amp; Assumptions'!$F$20,"")</f>
        <v>141.23638361549</v>
      </c>
      <c r="Y82" s="23" t="n">
        <f aca="false">IFERROR(V82*'Weights &amp; Assumptions'!$B$25/'Weights &amp; Assumptions'!$B$28+W82*'Weights &amp; Assumptions'!$B$26/'Weights &amp; Assumptions'!$B$28+X82*'Weights &amp; Assumptions'!$B$27/'Weights &amp; Assumptions'!$B$28,"")</f>
        <v>145.997844606981</v>
      </c>
    </row>
    <row r="83" customFormat="false" ht="15" hidden="false" customHeight="false" outlineLevel="0" collapsed="false">
      <c r="A83" s="20" t="n">
        <v>40329</v>
      </c>
      <c r="B83" s="30" t="n">
        <f aca="false">IF(ISNUMBER(Tabelle1!D84),Tabelle1!D84,"")</f>
        <v>139.19129</v>
      </c>
      <c r="C83" s="23" t="n">
        <f aca="false">IF(ISNUMBER(Tabelle1!E84),Tabelle1!E84/'SF Workings'!F83,"")</f>
        <v>143.708221752493</v>
      </c>
      <c r="D83" s="23" t="n">
        <f aca="false">IF(ISNUMBER(Tabelle1!F84),Tabelle1!F84/'SF Workings'!J83,"")</f>
        <v>117.517225613236</v>
      </c>
      <c r="E83" s="23" t="n">
        <f aca="false">IF(ISNUMBER(Tabelle1!G84),Tabelle1!G84/'SF Workings'!N83,"")</f>
        <v>105.003094875006</v>
      </c>
      <c r="F83" s="23" t="n">
        <f aca="false">IF(ISNUMBER(Tabelle1!H84),Tabelle1!H84/'SF Workings'!R83,"")</f>
        <v>132.13266879983</v>
      </c>
      <c r="G83" s="23" t="n">
        <f aca="false">IF(ISNUMBER(Tabelle1!I84),Tabelle1!I84/'SF Workings'!V83,"")</f>
        <v>121.230224252545</v>
      </c>
      <c r="H83" s="23" t="n">
        <f aca="false">IF(ISNUMBER(Tabelle1!J84),Tabelle1!J84/'SF Workings'!Z83,"")</f>
        <v>139.833337326683</v>
      </c>
      <c r="I83" s="23" t="n">
        <f aca="false">IF(ISNUMBER(Tabelle1!K84),Tabelle1!K84/'SF Workings'!AD83,"")</f>
        <v>143.992245016816</v>
      </c>
      <c r="J83" s="23" t="n">
        <f aca="false">IF(ISNUMBER(Tabelle1!L84),Tabelle1!L84/'SF Workings'!AH83,"")</f>
        <v>147.211942525909</v>
      </c>
      <c r="K83" s="23" t="n">
        <f aca="false">IF(ISNUMBER(Tabelle1!M84),Tabelle1!M84/'SF Workings'!AL83,"")</f>
        <v>167.989764803836</v>
      </c>
      <c r="L83" s="23" t="n">
        <f aca="false">IF(ISNUMBER(Tabelle1!N84),Tabelle1!N84/'SF Workings'!AP83,"")</f>
        <v>151.90968613814</v>
      </c>
      <c r="M83" s="23" t="n">
        <f aca="false">IF(ISNUMBER(Tabelle1!O84),Tabelle1!O84/'SF Workings'!AT83,"")</f>
        <v>125.931140360692</v>
      </c>
      <c r="N83" s="23" t="n">
        <f aca="false">IF(ISNUMBER(Tabelle1!P84),Tabelle1!P84/'SF Workings'!AX83,"")</f>
        <v>127.97140118036</v>
      </c>
      <c r="O83" s="23" t="n">
        <f aca="false">IF(ISNUMBER(Tabelle1!Q84),Tabelle1!Q84/'SF Workings'!BB83,"")</f>
        <v>131.208204612135</v>
      </c>
      <c r="P83" s="23" t="n">
        <f aca="false">IF(ISNUMBER(Tabelle1!R84),Tabelle1!R84/'SF Workings'!BF83,"")</f>
        <v>141.302215049774</v>
      </c>
      <c r="Q83" s="23" t="n">
        <f aca="false">IF(ISNUMBER(Tabelle1!S84),Tabelle1!S84/'SF Workings'!BJ83,"")</f>
        <v>144.212248962953</v>
      </c>
      <c r="R83" s="23" t="n">
        <f aca="false">IFERROR(C83*'Weights &amp; Assumptions'!$F$6+D83*'Weights &amp; Assumptions'!$F$7,"")</f>
        <v>143.387315636581</v>
      </c>
      <c r="S83" s="23" t="n">
        <f aca="false">IFERROR(E83*'Weights &amp; Assumptions'!$F$8+F83*'Weights &amp; Assumptions'!$F$9+H83*'Weights &amp; Assumptions'!$F$11,"")</f>
        <v>130.497690958048</v>
      </c>
      <c r="T83" s="23" t="n">
        <f aca="false">IFERROR(G83*'Weights &amp; Assumptions'!$F$10+I83*'Weights &amp; Assumptions'!$F$12+J83*'Weights &amp; Assumptions'!$F$13+K83*'Weights &amp; Assumptions'!$F$14+L83*'Weights &amp; Assumptions'!$F$15+M83*'Weights &amp; Assumptions'!$F$16+N83*'Weights &amp; Assumptions'!$F$17+O83*'Weights &amp; Assumptions'!$F$18+P83*'Weights &amp; Assumptions'!$F$19+Q83*'Weights &amp; Assumptions'!$F$20,"")</f>
        <v>141.274930976545</v>
      </c>
      <c r="U83" s="23" t="n">
        <f aca="false">IFERROR(R83*'Weights &amp; Assumptions'!$B$25/'Weights &amp; Assumptions'!$B$28+S83*'Weights &amp; Assumptions'!$B$26/'Weights &amp; Assumptions'!$B$28+T83*'Weights &amp; Assumptions'!$B$27/'Weights &amp; Assumptions'!$B$28,"")</f>
        <v>138.586305427919</v>
      </c>
      <c r="V83" s="30" t="n">
        <f aca="false">IF(ISNUMBER(Tabelle1!E84),Tabelle1!E84*'Weights &amp; Assumptions'!$F$6+Tabelle1!F84*'Weights &amp; Assumptions'!$F$7,"")</f>
        <v>348.742113260867</v>
      </c>
      <c r="W83" s="30" t="n">
        <f aca="false">IF(ISNUMBER(Tabelle1!G84),Tabelle1!G84*'Weights &amp; Assumptions'!$F$8+Tabelle1!H84*'Weights &amp; Assumptions'!$F$9+Tabelle1!J84*'Weights &amp; Assumptions'!$F$11,"")</f>
        <v>132.970699667567</v>
      </c>
      <c r="X83" s="30" t="n">
        <f aca="false">IF(ISNUMBER(Tabelle1!I84),Tabelle1!I84*'Weights &amp; Assumptions'!$F$10+Tabelle1!K84*'Weights &amp; Assumptions'!$F$12+Tabelle1!L84*'Weights &amp; Assumptions'!$F$13+Tabelle1!M84*'Weights &amp; Assumptions'!$F$14+Tabelle1!N84*'Weights &amp; Assumptions'!$F$15+Tabelle1!O84*'Weights &amp; Assumptions'!$F$16+Tabelle1!P84*'Weights &amp; Assumptions'!$F$17+Tabelle1!Q84*'Weights &amp; Assumptions'!$F$18+Tabelle1!R84*'Weights &amp; Assumptions'!$F$19+Tabelle1!S84*'Weights &amp; Assumptions'!$F$20,"")</f>
        <v>144.120947161338</v>
      </c>
      <c r="Y83" s="23" t="n">
        <f aca="false">IFERROR(V83*'Weights &amp; Assumptions'!$B$25/'Weights &amp; Assumptions'!$B$28+W83*'Weights &amp; Assumptions'!$B$26/'Weights &amp; Assumptions'!$B$28+X83*'Weights &amp; Assumptions'!$B$27/'Weights &amp; Assumptions'!$B$28,"")</f>
        <v>158.323787699525</v>
      </c>
    </row>
    <row r="84" customFormat="false" ht="15" hidden="false" customHeight="false" outlineLevel="0" collapsed="false">
      <c r="A84" s="20" t="n">
        <v>40359</v>
      </c>
      <c r="B84" s="30" t="n">
        <f aca="false">IF(ISNUMBER(Tabelle1!D85),Tabelle1!D85,"")</f>
        <v>140.56871</v>
      </c>
      <c r="C84" s="23" t="n">
        <f aca="false">IF(ISNUMBER(Tabelle1!E85),Tabelle1!E85/'SF Workings'!F84,"")</f>
        <v>141.347303747413</v>
      </c>
      <c r="D84" s="23" t="n">
        <f aca="false">IF(ISNUMBER(Tabelle1!F85),Tabelle1!F85/'SF Workings'!J84,"")</f>
        <v>122.393151343872</v>
      </c>
      <c r="E84" s="23" t="n">
        <f aca="false">IF(ISNUMBER(Tabelle1!G85),Tabelle1!G85/'SF Workings'!N84,"")</f>
        <v>106.565266656196</v>
      </c>
      <c r="F84" s="23" t="n">
        <f aca="false">IF(ISNUMBER(Tabelle1!H85),Tabelle1!H85/'SF Workings'!R84,"")</f>
        <v>135.182042693928</v>
      </c>
      <c r="G84" s="23" t="n">
        <f aca="false">IF(ISNUMBER(Tabelle1!I85),Tabelle1!I85/'SF Workings'!V84,"")</f>
        <v>119.308831570402</v>
      </c>
      <c r="H84" s="23" t="n">
        <f aca="false">IF(ISNUMBER(Tabelle1!J85),Tabelle1!J85/'SF Workings'!Z84,"")</f>
        <v>141.036565676596</v>
      </c>
      <c r="I84" s="23" t="n">
        <f aca="false">IF(ISNUMBER(Tabelle1!K85),Tabelle1!K85/'SF Workings'!AD84,"")</f>
        <v>149.699415194055</v>
      </c>
      <c r="J84" s="23" t="n">
        <f aca="false">IF(ISNUMBER(Tabelle1!L85),Tabelle1!L85/'SF Workings'!AH84,"")</f>
        <v>147.78018761784</v>
      </c>
      <c r="K84" s="23" t="n">
        <f aca="false">IF(ISNUMBER(Tabelle1!M85),Tabelle1!M85/'SF Workings'!AL84,"")</f>
        <v>168.827455935633</v>
      </c>
      <c r="L84" s="23" t="n">
        <f aca="false">IF(ISNUMBER(Tabelle1!N85),Tabelle1!N85/'SF Workings'!AP84,"")</f>
        <v>155.122922538438</v>
      </c>
      <c r="M84" s="23" t="n">
        <f aca="false">IF(ISNUMBER(Tabelle1!O85),Tabelle1!O85/'SF Workings'!AT84,"")</f>
        <v>127.281801043692</v>
      </c>
      <c r="N84" s="23" t="n">
        <f aca="false">IF(ISNUMBER(Tabelle1!P85),Tabelle1!P85/'SF Workings'!AX84,"")</f>
        <v>128.24166677013</v>
      </c>
      <c r="O84" s="23" t="n">
        <f aca="false">IF(ISNUMBER(Tabelle1!Q85),Tabelle1!Q85/'SF Workings'!BB84,"")</f>
        <v>131.397337072054</v>
      </c>
      <c r="P84" s="23" t="n">
        <f aca="false">IF(ISNUMBER(Tabelle1!R85),Tabelle1!R85/'SF Workings'!BF84,"")</f>
        <v>142.209293770369</v>
      </c>
      <c r="Q84" s="23" t="n">
        <f aca="false">IF(ISNUMBER(Tabelle1!S85),Tabelle1!S85/'SF Workings'!BJ84,"")</f>
        <v>144.08834803529</v>
      </c>
      <c r="R84" s="23" t="n">
        <f aca="false">IFERROR(C84*'Weights &amp; Assumptions'!$F$6+D84*'Weights &amp; Assumptions'!$F$7,"")</f>
        <v>141.11506731792</v>
      </c>
      <c r="S84" s="23" t="n">
        <f aca="false">IFERROR(E84*'Weights &amp; Assumptions'!$F$8+F84*'Weights &amp; Assumptions'!$F$9+H84*'Weights &amp; Assumptions'!$F$11,"")</f>
        <v>132.984900606792</v>
      </c>
      <c r="T84" s="23" t="n">
        <f aca="false">IFERROR(G84*'Weights &amp; Assumptions'!$F$10+I84*'Weights &amp; Assumptions'!$F$12+J84*'Weights &amp; Assumptions'!$F$13+K84*'Weights &amp; Assumptions'!$F$14+L84*'Weights &amp; Assumptions'!$F$15+M84*'Weights &amp; Assumptions'!$F$16+N84*'Weights &amp; Assumptions'!$F$17+O84*'Weights &amp; Assumptions'!$F$18+P84*'Weights &amp; Assumptions'!$F$19+Q84*'Weights &amp; Assumptions'!$F$20,"")</f>
        <v>143.149299431204</v>
      </c>
      <c r="U84" s="23" t="n">
        <f aca="false">IFERROR(R84*'Weights &amp; Assumptions'!$B$25/'Weights &amp; Assumptions'!$B$28+S84*'Weights &amp; Assumptions'!$B$26/'Weights &amp; Assumptions'!$B$28+T84*'Weights &amp; Assumptions'!$B$27/'Weights &amp; Assumptions'!$B$28,"")</f>
        <v>140.275734463207</v>
      </c>
      <c r="V84" s="30" t="n">
        <f aca="false">IF(ISNUMBER(Tabelle1!E85),Tabelle1!E85*'Weights &amp; Assumptions'!$F$6+Tabelle1!F85*'Weights &amp; Assumptions'!$F$7,"")</f>
        <v>230.500313961931</v>
      </c>
      <c r="W84" s="30" t="n">
        <f aca="false">IF(ISNUMBER(Tabelle1!G85),Tabelle1!G85*'Weights &amp; Assumptions'!$F$8+Tabelle1!H85*'Weights &amp; Assumptions'!$F$9+Tabelle1!J85*'Weights &amp; Assumptions'!$F$11,"")</f>
        <v>132.285815861845</v>
      </c>
      <c r="X84" s="30" t="n">
        <f aca="false">IF(ISNUMBER(Tabelle1!I85),Tabelle1!I85*'Weights &amp; Assumptions'!$F$10+Tabelle1!K85*'Weights &amp; Assumptions'!$F$12+Tabelle1!L85*'Weights &amp; Assumptions'!$F$13+Tabelle1!M85*'Weights &amp; Assumptions'!$F$14+Tabelle1!N85*'Weights &amp; Assumptions'!$F$15+Tabelle1!O85*'Weights &amp; Assumptions'!$F$16+Tabelle1!P85*'Weights &amp; Assumptions'!$F$17+Tabelle1!Q85*'Weights &amp; Assumptions'!$F$18+Tabelle1!R85*'Weights &amp; Assumptions'!$F$19+Tabelle1!S85*'Weights &amp; Assumptions'!$F$20,"")</f>
        <v>145.592923273355</v>
      </c>
      <c r="Y84" s="23" t="n">
        <f aca="false">IFERROR(V84*'Weights &amp; Assumptions'!$B$25/'Weights &amp; Assumptions'!$B$28+W84*'Weights &amp; Assumptions'!$B$26/'Weights &amp; Assumptions'!$B$28+X84*'Weights &amp; Assumptions'!$B$27/'Weights &amp; Assumptions'!$B$28,"")</f>
        <v>149.178131700447</v>
      </c>
    </row>
    <row r="85" customFormat="false" ht="15" hidden="false" customHeight="false" outlineLevel="0" collapsed="false">
      <c r="A85" s="20" t="n">
        <v>40390</v>
      </c>
      <c r="B85" s="30" t="n">
        <f aca="false">IF(ISNUMBER(Tabelle1!D86),Tabelle1!D86,"")</f>
        <v>139.39691</v>
      </c>
      <c r="C85" s="23" t="n">
        <f aca="false">IF(ISNUMBER(Tabelle1!E86),Tabelle1!E86/'SF Workings'!F85,"")</f>
        <v>122.380989066074</v>
      </c>
      <c r="D85" s="23" t="n">
        <f aca="false">IF(ISNUMBER(Tabelle1!F86),Tabelle1!F86/'SF Workings'!J85,"")</f>
        <v>148.605286976392</v>
      </c>
      <c r="E85" s="23" t="n">
        <f aca="false">IF(ISNUMBER(Tabelle1!G86),Tabelle1!G86/'SF Workings'!N85,"")</f>
        <v>105.036249432585</v>
      </c>
      <c r="F85" s="23" t="n">
        <f aca="false">IF(ISNUMBER(Tabelle1!H86),Tabelle1!H86/'SF Workings'!R85,"")</f>
        <v>134.987628626556</v>
      </c>
      <c r="G85" s="23" t="n">
        <f aca="false">IF(ISNUMBER(Tabelle1!I86),Tabelle1!I86/'SF Workings'!V85,"")</f>
        <v>123.875115144706</v>
      </c>
      <c r="H85" s="23" t="n">
        <f aca="false">IF(ISNUMBER(Tabelle1!J86),Tabelle1!J86/'SF Workings'!Z85,"")</f>
        <v>140.788543157813</v>
      </c>
      <c r="I85" s="23" t="n">
        <f aca="false">IF(ISNUMBER(Tabelle1!K86),Tabelle1!K86/'SF Workings'!AD85,"")</f>
        <v>148.240864938457</v>
      </c>
      <c r="J85" s="23" t="n">
        <f aca="false">IF(ISNUMBER(Tabelle1!L86),Tabelle1!L86/'SF Workings'!AH85,"")</f>
        <v>150.204557888432</v>
      </c>
      <c r="K85" s="23" t="n">
        <f aca="false">IF(ISNUMBER(Tabelle1!M86),Tabelle1!M86/'SF Workings'!AL85,"")</f>
        <v>166.740805257873</v>
      </c>
      <c r="L85" s="23" t="n">
        <f aca="false">IF(ISNUMBER(Tabelle1!N86),Tabelle1!N86/'SF Workings'!AP85,"")</f>
        <v>148.21443362587</v>
      </c>
      <c r="M85" s="23" t="n">
        <f aca="false">IF(ISNUMBER(Tabelle1!O86),Tabelle1!O86/'SF Workings'!AT85,"")</f>
        <v>127.443989871993</v>
      </c>
      <c r="N85" s="23" t="n">
        <f aca="false">IF(ISNUMBER(Tabelle1!P86),Tabelle1!P86/'SF Workings'!AX85,"")</f>
        <v>127.150733771738</v>
      </c>
      <c r="O85" s="23" t="n">
        <f aca="false">IF(ISNUMBER(Tabelle1!Q86),Tabelle1!Q86/'SF Workings'!BB85,"")</f>
        <v>130.561958288548</v>
      </c>
      <c r="P85" s="23" t="n">
        <f aca="false">IF(ISNUMBER(Tabelle1!R86),Tabelle1!R86/'SF Workings'!BF85,"")</f>
        <v>146.057746824851</v>
      </c>
      <c r="Q85" s="23" t="n">
        <f aca="false">IF(ISNUMBER(Tabelle1!S86),Tabelle1!S86/'SF Workings'!BJ85,"")</f>
        <v>148.028718297392</v>
      </c>
      <c r="R85" s="23" t="n">
        <f aca="false">IFERROR(C85*'Weights &amp; Assumptions'!$F$6+D85*'Weights &amp; Assumptions'!$F$7,"")</f>
        <v>122.702303213126</v>
      </c>
      <c r="S85" s="23" t="n">
        <f aca="false">IFERROR(E85*'Weights &amp; Assumptions'!$F$8+F85*'Weights &amp; Assumptions'!$F$9+H85*'Weights &amp; Assumptions'!$F$11,"")</f>
        <v>132.619970073466</v>
      </c>
      <c r="T85" s="23" t="n">
        <f aca="false">IFERROR(G85*'Weights &amp; Assumptions'!$F$10+I85*'Weights &amp; Assumptions'!$F$12+J85*'Weights &amp; Assumptions'!$F$13+K85*'Weights &amp; Assumptions'!$F$14+L85*'Weights &amp; Assumptions'!$F$15+M85*'Weights &amp; Assumptions'!$F$16+N85*'Weights &amp; Assumptions'!$F$17+O85*'Weights &amp; Assumptions'!$F$18+P85*'Weights &amp; Assumptions'!$F$19+Q85*'Weights &amp; Assumptions'!$F$20,"")</f>
        <v>142.63036424858</v>
      </c>
      <c r="U85" s="23" t="n">
        <f aca="false">IFERROR(R85*'Weights &amp; Assumptions'!$B$25/'Weights &amp; Assumptions'!$B$28+S85*'Weights &amp; Assumptions'!$B$26/'Weights &amp; Assumptions'!$B$28+T85*'Weights &amp; Assumptions'!$B$27/'Weights &amp; Assumptions'!$B$28,"")</f>
        <v>138.296444669226</v>
      </c>
      <c r="V85" s="30" t="n">
        <f aca="false">IF(ISNUMBER(Tabelle1!E86),Tabelle1!E86*'Weights &amp; Assumptions'!$F$6+Tabelle1!F86*'Weights &amp; Assumptions'!$F$7,"")</f>
        <v>109.69864369352</v>
      </c>
      <c r="W85" s="30" t="n">
        <f aca="false">IF(ISNUMBER(Tabelle1!G86),Tabelle1!G86*'Weights &amp; Assumptions'!$F$8+Tabelle1!H86*'Weights &amp; Assumptions'!$F$9+Tabelle1!J86*'Weights &amp; Assumptions'!$F$11,"")</f>
        <v>135.205031794914</v>
      </c>
      <c r="X85" s="30" t="n">
        <f aca="false">IF(ISNUMBER(Tabelle1!I86),Tabelle1!I86*'Weights &amp; Assumptions'!$F$10+Tabelle1!K86*'Weights &amp; Assumptions'!$F$12+Tabelle1!L86*'Weights &amp; Assumptions'!$F$13+Tabelle1!M86*'Weights &amp; Assumptions'!$F$14+Tabelle1!N86*'Weights &amp; Assumptions'!$F$15+Tabelle1!O86*'Weights &amp; Assumptions'!$F$16+Tabelle1!P86*'Weights &amp; Assumptions'!$F$17+Tabelle1!Q86*'Weights &amp; Assumptions'!$F$18+Tabelle1!R86*'Weights &amp; Assumptions'!$F$19+Tabelle1!S86*'Weights &amp; Assumptions'!$F$20,"")</f>
        <v>144.641425134401</v>
      </c>
      <c r="Y85" s="23" t="n">
        <f aca="false">IFERROR(V85*'Weights &amp; Assumptions'!$B$25/'Weights &amp; Assumptions'!$B$28+W85*'Weights &amp; Assumptions'!$B$26/'Weights &amp; Assumptions'!$B$28+X85*'Weights &amp; Assumptions'!$B$27/'Weights &amp; Assumptions'!$B$28,"")</f>
        <v>139.20039486674</v>
      </c>
    </row>
    <row r="86" customFormat="false" ht="15" hidden="false" customHeight="false" outlineLevel="0" collapsed="false">
      <c r="A86" s="20" t="n">
        <v>40421</v>
      </c>
      <c r="B86" s="30" t="n">
        <f aca="false">IF(ISNUMBER(Tabelle1!D87),Tabelle1!D87,"")</f>
        <v>140.00233</v>
      </c>
      <c r="C86" s="23" t="n">
        <f aca="false">IF(ISNUMBER(Tabelle1!E87),Tabelle1!E87/'SF Workings'!F86,"")</f>
        <v>111.942508187627</v>
      </c>
      <c r="D86" s="23" t="n">
        <f aca="false">IF(ISNUMBER(Tabelle1!F87),Tabelle1!F87/'SF Workings'!J86,"")</f>
        <v>132.351850661679</v>
      </c>
      <c r="E86" s="23" t="n">
        <f aca="false">IF(ISNUMBER(Tabelle1!G87),Tabelle1!G87/'SF Workings'!N86,"")</f>
        <v>105.254506920094</v>
      </c>
      <c r="F86" s="23" t="n">
        <f aca="false">IF(ISNUMBER(Tabelle1!H87),Tabelle1!H87/'SF Workings'!R86,"")</f>
        <v>137.661086184133</v>
      </c>
      <c r="G86" s="23" t="n">
        <f aca="false">IF(ISNUMBER(Tabelle1!I87),Tabelle1!I87/'SF Workings'!V86,"")</f>
        <v>124.157642761021</v>
      </c>
      <c r="H86" s="23" t="n">
        <f aca="false">IF(ISNUMBER(Tabelle1!J87),Tabelle1!J87/'SF Workings'!Z86,"")</f>
        <v>143.119883800807</v>
      </c>
      <c r="I86" s="23" t="n">
        <f aca="false">IF(ISNUMBER(Tabelle1!K87),Tabelle1!K87/'SF Workings'!AD86,"")</f>
        <v>152.191854030827</v>
      </c>
      <c r="J86" s="23" t="n">
        <f aca="false">IF(ISNUMBER(Tabelle1!L87),Tabelle1!L87/'SF Workings'!AH86,"")</f>
        <v>149.471388566882</v>
      </c>
      <c r="K86" s="23" t="n">
        <f aca="false">IF(ISNUMBER(Tabelle1!M87),Tabelle1!M87/'SF Workings'!AL86,"")</f>
        <v>167.69929992645</v>
      </c>
      <c r="L86" s="23" t="n">
        <f aca="false">IF(ISNUMBER(Tabelle1!N87),Tabelle1!N87/'SF Workings'!AP86,"")</f>
        <v>149.169793277412</v>
      </c>
      <c r="M86" s="23" t="n">
        <f aca="false">IF(ISNUMBER(Tabelle1!O87),Tabelle1!O87/'SF Workings'!AT86,"")</f>
        <v>128.680983020292</v>
      </c>
      <c r="N86" s="23" t="n">
        <f aca="false">IF(ISNUMBER(Tabelle1!P87),Tabelle1!P87/'SF Workings'!AX86,"")</f>
        <v>127.201336299967</v>
      </c>
      <c r="O86" s="23" t="n">
        <f aca="false">IF(ISNUMBER(Tabelle1!Q87),Tabelle1!Q87/'SF Workings'!BB86,"")</f>
        <v>130.578617634253</v>
      </c>
      <c r="P86" s="23" t="n">
        <f aca="false">IF(ISNUMBER(Tabelle1!R87),Tabelle1!R87/'SF Workings'!BF86,"")</f>
        <v>143.324910110071</v>
      </c>
      <c r="Q86" s="23" t="n">
        <f aca="false">IF(ISNUMBER(Tabelle1!S87),Tabelle1!S87/'SF Workings'!BJ86,"")</f>
        <v>145.42059010368</v>
      </c>
      <c r="R86" s="23" t="n">
        <f aca="false">IFERROR(C86*'Weights &amp; Assumptions'!$F$6+D86*'Weights &amp; Assumptions'!$F$7,"")</f>
        <v>112.192574385447</v>
      </c>
      <c r="S86" s="23" t="n">
        <f aca="false">IFERROR(E86*'Weights &amp; Assumptions'!$F$8+F86*'Weights &amp; Assumptions'!$F$9+H86*'Weights &amp; Assumptions'!$F$11,"")</f>
        <v>134.929011333757</v>
      </c>
      <c r="T86" s="23" t="n">
        <f aca="false">IFERROR(G86*'Weights &amp; Assumptions'!$F$10+I86*'Weights &amp; Assumptions'!$F$12+J86*'Weights &amp; Assumptions'!$F$13+K86*'Weights &amp; Assumptions'!$F$14+L86*'Weights &amp; Assumptions'!$F$15+M86*'Weights &amp; Assumptions'!$F$16+N86*'Weights &amp; Assumptions'!$F$17+O86*'Weights &amp; Assumptions'!$F$18+P86*'Weights &amp; Assumptions'!$F$19+Q86*'Weights &amp; Assumptions'!$F$20,"")</f>
        <v>143.536870641985</v>
      </c>
      <c r="U86" s="23" t="n">
        <f aca="false">IFERROR(R86*'Weights &amp; Assumptions'!$B$25/'Weights &amp; Assumptions'!$B$28+S86*'Weights &amp; Assumptions'!$B$26/'Weights &amp; Assumptions'!$B$28+T86*'Weights &amp; Assumptions'!$B$27/'Weights &amp; Assumptions'!$B$28,"")</f>
        <v>138.618077947825</v>
      </c>
      <c r="V86" s="30" t="n">
        <f aca="false">IF(ISNUMBER(Tabelle1!E87),Tabelle1!E87*'Weights &amp; Assumptions'!$F$6+Tabelle1!F87*'Weights &amp; Assumptions'!$F$7,"")</f>
        <v>67.0917779186184</v>
      </c>
      <c r="W86" s="30" t="n">
        <f aca="false">IF(ISNUMBER(Tabelle1!G87),Tabelle1!G87*'Weights &amp; Assumptions'!$F$8+Tabelle1!H87*'Weights &amp; Assumptions'!$F$9+Tabelle1!J87*'Weights &amp; Assumptions'!$F$11,"")</f>
        <v>138.726783900902</v>
      </c>
      <c r="X86" s="30" t="n">
        <f aca="false">IF(ISNUMBER(Tabelle1!I87),Tabelle1!I87*'Weights &amp; Assumptions'!$F$10+Tabelle1!K87*'Weights &amp; Assumptions'!$F$12+Tabelle1!L87*'Weights &amp; Assumptions'!$F$13+Tabelle1!M87*'Weights &amp; Assumptions'!$F$14+Tabelle1!N87*'Weights &amp; Assumptions'!$F$15+Tabelle1!O87*'Weights &amp; Assumptions'!$F$16+Tabelle1!P87*'Weights &amp; Assumptions'!$F$17+Tabelle1!Q87*'Weights &amp; Assumptions'!$F$18+Tabelle1!R87*'Weights &amp; Assumptions'!$F$19+Tabelle1!S87*'Weights &amp; Assumptions'!$F$20,"")</f>
        <v>145.142129267329</v>
      </c>
      <c r="Y86" s="23" t="n">
        <f aca="false">IFERROR(V86*'Weights &amp; Assumptions'!$B$25/'Weights &amp; Assumptions'!$B$28+W86*'Weights &amp; Assumptions'!$B$26/'Weights &amp; Assumptions'!$B$28+X86*'Weights &amp; Assumptions'!$B$27/'Weights &amp; Assumptions'!$B$28,"")</f>
        <v>136.887687438555</v>
      </c>
    </row>
    <row r="87" customFormat="false" ht="15" hidden="false" customHeight="false" outlineLevel="0" collapsed="false">
      <c r="A87" s="20" t="n">
        <v>40451</v>
      </c>
      <c r="B87" s="30" t="n">
        <f aca="false">IF(ISNUMBER(Tabelle1!D88),Tabelle1!D88,"")</f>
        <v>139.38548</v>
      </c>
      <c r="C87" s="23" t="n">
        <f aca="false">IF(ISNUMBER(Tabelle1!E88),Tabelle1!E88/'SF Workings'!F87,"")</f>
        <v>110.993600126812</v>
      </c>
      <c r="D87" s="23" t="n">
        <f aca="false">IF(ISNUMBER(Tabelle1!F88),Tabelle1!F88/'SF Workings'!J87,"")</f>
        <v>160.126390778796</v>
      </c>
      <c r="E87" s="23" t="n">
        <f aca="false">IF(ISNUMBER(Tabelle1!G88),Tabelle1!G88/'SF Workings'!N87,"")</f>
        <v>102.559037171943</v>
      </c>
      <c r="F87" s="23" t="n">
        <f aca="false">IF(ISNUMBER(Tabelle1!H88),Tabelle1!H88/'SF Workings'!R87,"")</f>
        <v>135.770022121329</v>
      </c>
      <c r="G87" s="23" t="n">
        <f aca="false">IF(ISNUMBER(Tabelle1!I88),Tabelle1!I88/'SF Workings'!V87,"")</f>
        <v>123.447194151243</v>
      </c>
      <c r="H87" s="23" t="n">
        <f aca="false">IF(ISNUMBER(Tabelle1!J88),Tabelle1!J88/'SF Workings'!Z87,"")</f>
        <v>144.323017089108</v>
      </c>
      <c r="I87" s="23" t="n">
        <f aca="false">IF(ISNUMBER(Tabelle1!K88),Tabelle1!K88/'SF Workings'!AD87,"")</f>
        <v>152.113685970315</v>
      </c>
      <c r="J87" s="23" t="n">
        <f aca="false">IF(ISNUMBER(Tabelle1!L88),Tabelle1!L88/'SF Workings'!AH87,"")</f>
        <v>150.541341775268</v>
      </c>
      <c r="K87" s="23" t="n">
        <f aca="false">IF(ISNUMBER(Tabelle1!M88),Tabelle1!M88/'SF Workings'!AL87,"")</f>
        <v>168.219283923161</v>
      </c>
      <c r="L87" s="23" t="n">
        <f aca="false">IF(ISNUMBER(Tabelle1!N88),Tabelle1!N88/'SF Workings'!AP87,"")</f>
        <v>150.78810568667</v>
      </c>
      <c r="M87" s="23" t="n">
        <f aca="false">IF(ISNUMBER(Tabelle1!O88),Tabelle1!O88/'SF Workings'!AT87,"")</f>
        <v>130.113795643665</v>
      </c>
      <c r="N87" s="23" t="n">
        <f aca="false">IF(ISNUMBER(Tabelle1!P88),Tabelle1!P88/'SF Workings'!AX87,"")</f>
        <v>127.447807869153</v>
      </c>
      <c r="O87" s="23" t="n">
        <f aca="false">IF(ISNUMBER(Tabelle1!Q88),Tabelle1!Q88/'SF Workings'!BB87,"")</f>
        <v>130.422405704359</v>
      </c>
      <c r="P87" s="23" t="n">
        <f aca="false">IF(ISNUMBER(Tabelle1!R88),Tabelle1!R88/'SF Workings'!BF87,"")</f>
        <v>144.482997398714</v>
      </c>
      <c r="Q87" s="23" t="n">
        <f aca="false">IF(ISNUMBER(Tabelle1!S88),Tabelle1!S88/'SF Workings'!BJ87,"")</f>
        <v>146.573367515414</v>
      </c>
      <c r="R87" s="23" t="n">
        <f aca="false">IFERROR(C87*'Weights &amp; Assumptions'!$F$6+D87*'Weights &amp; Assumptions'!$F$7,"")</f>
        <v>111.595601399625</v>
      </c>
      <c r="S87" s="23" t="n">
        <f aca="false">IFERROR(E87*'Weights &amp; Assumptions'!$F$8+F87*'Weights &amp; Assumptions'!$F$9+H87*'Weights &amp; Assumptions'!$F$11,"")</f>
        <v>133.586497463679</v>
      </c>
      <c r="T87" s="23" t="n">
        <f aca="false">IFERROR(G87*'Weights &amp; Assumptions'!$F$10+I87*'Weights &amp; Assumptions'!$F$12+J87*'Weights &amp; Assumptions'!$F$13+K87*'Weights &amp; Assumptions'!$F$14+L87*'Weights &amp; Assumptions'!$F$15+M87*'Weights &amp; Assumptions'!$F$16+N87*'Weights &amp; Assumptions'!$F$17+O87*'Weights &amp; Assumptions'!$F$18+P87*'Weights &amp; Assumptions'!$F$19+Q87*'Weights &amp; Assumptions'!$F$20,"")</f>
        <v>144.201437104287</v>
      </c>
      <c r="U87" s="23" t="n">
        <f aca="false">IFERROR(R87*'Weights &amp; Assumptions'!$B$25/'Weights &amp; Assumptions'!$B$28+S87*'Weights &amp; Assumptions'!$B$26/'Weights &amp; Assumptions'!$B$28+T87*'Weights &amp; Assumptions'!$B$27/'Weights &amp; Assumptions'!$B$28,"")</f>
        <v>138.643082480188</v>
      </c>
      <c r="V87" s="30" t="n">
        <f aca="false">IF(ISNUMBER(Tabelle1!E88),Tabelle1!E88*'Weights &amp; Assumptions'!$F$6+Tabelle1!F88*'Weights &amp; Assumptions'!$F$7,"")</f>
        <v>63.7037365614236</v>
      </c>
      <c r="W87" s="30" t="n">
        <f aca="false">IF(ISNUMBER(Tabelle1!G88),Tabelle1!G88*'Weights &amp; Assumptions'!$F$8+Tabelle1!H88*'Weights &amp; Assumptions'!$F$9+Tabelle1!J88*'Weights &amp; Assumptions'!$F$11,"")</f>
        <v>138.528496737679</v>
      </c>
      <c r="X87" s="30" t="n">
        <f aca="false">IF(ISNUMBER(Tabelle1!I88),Tabelle1!I88*'Weights &amp; Assumptions'!$F$10+Tabelle1!K88*'Weights &amp; Assumptions'!$F$12+Tabelle1!L88*'Weights &amp; Assumptions'!$F$13+Tabelle1!M88*'Weights &amp; Assumptions'!$F$14+Tabelle1!N88*'Weights &amp; Assumptions'!$F$15+Tabelle1!O88*'Weights &amp; Assumptions'!$F$16+Tabelle1!P88*'Weights &amp; Assumptions'!$F$17+Tabelle1!Q88*'Weights &amp; Assumptions'!$F$18+Tabelle1!R88*'Weights &amp; Assumptions'!$F$19+Tabelle1!S88*'Weights &amp; Assumptions'!$F$20,"")</f>
        <v>144.795292321869</v>
      </c>
      <c r="Y87" s="23" t="n">
        <f aca="false">IFERROR(V87*'Weights &amp; Assumptions'!$B$25/'Weights &amp; Assumptions'!$B$28+W87*'Weights &amp; Assumptions'!$B$26/'Weights &amp; Assumptions'!$B$28+X87*'Weights &amp; Assumptions'!$B$27/'Weights &amp; Assumptions'!$B$28,"")</f>
        <v>136.325192894054</v>
      </c>
    </row>
    <row r="88" customFormat="false" ht="15" hidden="false" customHeight="false" outlineLevel="0" collapsed="false">
      <c r="A88" s="20" t="n">
        <v>40482</v>
      </c>
      <c r="B88" s="30" t="n">
        <f aca="false">IF(ISNUMBER(Tabelle1!D89),Tabelle1!D89,"")</f>
        <v>140.18864</v>
      </c>
      <c r="C88" s="23" t="n">
        <f aca="false">IF(ISNUMBER(Tabelle1!E89),Tabelle1!E89/'SF Workings'!F88,"")</f>
        <v>117.129875196962</v>
      </c>
      <c r="D88" s="23" t="n">
        <f aca="false">IF(ISNUMBER(Tabelle1!F89),Tabelle1!F89/'SF Workings'!J88,"")</f>
        <v>91.3201901933065</v>
      </c>
      <c r="E88" s="23" t="n">
        <f aca="false">IF(ISNUMBER(Tabelle1!G89),Tabelle1!G89/'SF Workings'!N88,"")</f>
        <v>100.342848158125</v>
      </c>
      <c r="F88" s="23" t="n">
        <f aca="false">IF(ISNUMBER(Tabelle1!H89),Tabelle1!H89/'SF Workings'!R88,"")</f>
        <v>135.547571088001</v>
      </c>
      <c r="G88" s="23" t="n">
        <f aca="false">IF(ISNUMBER(Tabelle1!I89),Tabelle1!I89/'SF Workings'!V88,"")</f>
        <v>123.478792912281</v>
      </c>
      <c r="H88" s="23" t="n">
        <f aca="false">IF(ISNUMBER(Tabelle1!J89),Tabelle1!J89/'SF Workings'!Z88,"")</f>
        <v>140.71973078729</v>
      </c>
      <c r="I88" s="23" t="n">
        <f aca="false">IF(ISNUMBER(Tabelle1!K89),Tabelle1!K89/'SF Workings'!AD88,"")</f>
        <v>149.241834814337</v>
      </c>
      <c r="J88" s="23" t="n">
        <f aca="false">IF(ISNUMBER(Tabelle1!L89),Tabelle1!L89/'SF Workings'!AH88,"")</f>
        <v>151.56238511294</v>
      </c>
      <c r="K88" s="23" t="n">
        <f aca="false">IF(ISNUMBER(Tabelle1!M89),Tabelle1!M89/'SF Workings'!AL88,"")</f>
        <v>167.74200005053</v>
      </c>
      <c r="L88" s="23" t="n">
        <f aca="false">IF(ISNUMBER(Tabelle1!N89),Tabelle1!N89/'SF Workings'!AP88,"")</f>
        <v>148.303987020375</v>
      </c>
      <c r="M88" s="23" t="n">
        <f aca="false">IF(ISNUMBER(Tabelle1!O89),Tabelle1!O89/'SF Workings'!AT88,"")</f>
        <v>128.050002386974</v>
      </c>
      <c r="N88" s="23" t="n">
        <f aca="false">IF(ISNUMBER(Tabelle1!P89),Tabelle1!P89/'SF Workings'!AX88,"")</f>
        <v>128.255646119431</v>
      </c>
      <c r="O88" s="23" t="n">
        <f aca="false">IF(ISNUMBER(Tabelle1!Q89),Tabelle1!Q89/'SF Workings'!BB88,"")</f>
        <v>130.425721935747</v>
      </c>
      <c r="P88" s="23" t="n">
        <f aca="false">IF(ISNUMBER(Tabelle1!R89),Tabelle1!R89/'SF Workings'!BF88,"")</f>
        <v>144.633697024779</v>
      </c>
      <c r="Q88" s="23" t="n">
        <f aca="false">IF(ISNUMBER(Tabelle1!S89),Tabelle1!S89/'SF Workings'!BJ88,"")</f>
        <v>144.897856765717</v>
      </c>
      <c r="R88" s="23" t="n">
        <f aca="false">IFERROR(C88*'Weights &amp; Assumptions'!$F$6+D88*'Weights &amp; Assumptions'!$F$7,"")</f>
        <v>116.813641109362</v>
      </c>
      <c r="S88" s="23" t="n">
        <f aca="false">IFERROR(E88*'Weights &amp; Assumptions'!$F$8+F88*'Weights &amp; Assumptions'!$F$9+H88*'Weights &amp; Assumptions'!$F$11,"")</f>
        <v>132.421690846114</v>
      </c>
      <c r="T88" s="23" t="n">
        <f aca="false">IFERROR(G88*'Weights &amp; Assumptions'!$F$10+I88*'Weights &amp; Assumptions'!$F$12+J88*'Weights &amp; Assumptions'!$F$13+K88*'Weights &amp; Assumptions'!$F$14+L88*'Weights &amp; Assumptions'!$F$15+M88*'Weights &amp; Assumptions'!$F$16+N88*'Weights &amp; Assumptions'!$F$17+O88*'Weights &amp; Assumptions'!$F$18+P88*'Weights &amp; Assumptions'!$F$19+Q88*'Weights &amp; Assumptions'!$F$20,"")</f>
        <v>142.981087326406</v>
      </c>
      <c r="U88" s="23" t="n">
        <f aca="false">IFERROR(R88*'Weights &amp; Assumptions'!$B$25/'Weights &amp; Assumptions'!$B$28+S88*'Weights &amp; Assumptions'!$B$26/'Weights &amp; Assumptions'!$B$28+T88*'Weights &amp; Assumptions'!$B$27/'Weights &amp; Assumptions'!$B$28,"")</f>
        <v>137.977688834901</v>
      </c>
      <c r="V88" s="30" t="n">
        <f aca="false">IF(ISNUMBER(Tabelle1!E89),Tabelle1!E89*'Weights &amp; Assumptions'!$F$6+Tabelle1!F89*'Weights &amp; Assumptions'!$F$7,"")</f>
        <v>66.5487172822732</v>
      </c>
      <c r="W88" s="30" t="n">
        <f aca="false">IF(ISNUMBER(Tabelle1!G89),Tabelle1!G89*'Weights &amp; Assumptions'!$F$8+Tabelle1!H89*'Weights &amp; Assumptions'!$F$9+Tabelle1!J89*'Weights &amp; Assumptions'!$F$11,"")</f>
        <v>139.093455150986</v>
      </c>
      <c r="X88" s="30" t="n">
        <f aca="false">IF(ISNUMBER(Tabelle1!I89),Tabelle1!I89*'Weights &amp; Assumptions'!$F$10+Tabelle1!K89*'Weights &amp; Assumptions'!$F$12+Tabelle1!L89*'Weights &amp; Assumptions'!$F$13+Tabelle1!M89*'Weights &amp; Assumptions'!$F$14+Tabelle1!N89*'Weights &amp; Assumptions'!$F$15+Tabelle1!O89*'Weights &amp; Assumptions'!$F$16+Tabelle1!P89*'Weights &amp; Assumptions'!$F$17+Tabelle1!Q89*'Weights &amp; Assumptions'!$F$18+Tabelle1!R89*'Weights &amp; Assumptions'!$F$19+Tabelle1!S89*'Weights &amp; Assumptions'!$F$20,"")</f>
        <v>144.037112278758</v>
      </c>
      <c r="Y88" s="23" t="n">
        <f aca="false">IFERROR(V88*'Weights &amp; Assumptions'!$B$25/'Weights &amp; Assumptions'!$B$28+W88*'Weights &amp; Assumptions'!$B$26/'Weights &amp; Assumptions'!$B$28+X88*'Weights &amp; Assumptions'!$B$27/'Weights &amp; Assumptions'!$B$28,"")</f>
        <v>136.221166665947</v>
      </c>
    </row>
    <row r="89" customFormat="false" ht="15" hidden="false" customHeight="false" outlineLevel="0" collapsed="false">
      <c r="A89" s="20" t="n">
        <v>40512</v>
      </c>
      <c r="B89" s="30" t="n">
        <f aca="false">IF(ISNUMBER(Tabelle1!D90),Tabelle1!D90,"")</f>
        <v>142.24157</v>
      </c>
      <c r="C89" s="23" t="n">
        <f aca="false">IF(ISNUMBER(Tabelle1!E90),Tabelle1!E90/'SF Workings'!F89,"")</f>
        <v>124.472922461496</v>
      </c>
      <c r="D89" s="23" t="n">
        <f aca="false">IF(ISNUMBER(Tabelle1!F90),Tabelle1!F90/'SF Workings'!J89,"")</f>
        <v>104.834715517211</v>
      </c>
      <c r="E89" s="23" t="n">
        <f aca="false">IF(ISNUMBER(Tabelle1!G90),Tabelle1!G90/'SF Workings'!N89,"")</f>
        <v>103.381761016747</v>
      </c>
      <c r="F89" s="23" t="n">
        <f aca="false">IF(ISNUMBER(Tabelle1!H90),Tabelle1!H90/'SF Workings'!R89,"")</f>
        <v>139.584289927706</v>
      </c>
      <c r="G89" s="23" t="n">
        <f aca="false">IF(ISNUMBER(Tabelle1!I90),Tabelle1!I90/'SF Workings'!V89,"")</f>
        <v>121.896768978703</v>
      </c>
      <c r="H89" s="23" t="n">
        <f aca="false">IF(ISNUMBER(Tabelle1!J90),Tabelle1!J90/'SF Workings'!Z89,"")</f>
        <v>143.742137706988</v>
      </c>
      <c r="I89" s="23" t="n">
        <f aca="false">IF(ISNUMBER(Tabelle1!K90),Tabelle1!K90/'SF Workings'!AD89,"")</f>
        <v>160.544760203277</v>
      </c>
      <c r="J89" s="23" t="n">
        <f aca="false">IF(ISNUMBER(Tabelle1!L90),Tabelle1!L90/'SF Workings'!AH89,"")</f>
        <v>152.554583801572</v>
      </c>
      <c r="K89" s="23" t="n">
        <f aca="false">IF(ISNUMBER(Tabelle1!M90),Tabelle1!M90/'SF Workings'!AL89,"")</f>
        <v>169.252521439126</v>
      </c>
      <c r="L89" s="23" t="n">
        <f aca="false">IF(ISNUMBER(Tabelle1!N90),Tabelle1!N90/'SF Workings'!AP89,"")</f>
        <v>155.571678525684</v>
      </c>
      <c r="M89" s="23" t="n">
        <f aca="false">IF(ISNUMBER(Tabelle1!O90),Tabelle1!O90/'SF Workings'!AT89,"")</f>
        <v>131.076036217363</v>
      </c>
      <c r="N89" s="23" t="n">
        <f aca="false">IF(ISNUMBER(Tabelle1!P90),Tabelle1!P90/'SF Workings'!AX89,"")</f>
        <v>128.747234989829</v>
      </c>
      <c r="O89" s="23" t="n">
        <f aca="false">IF(ISNUMBER(Tabelle1!Q90),Tabelle1!Q90/'SF Workings'!BB89,"")</f>
        <v>130.909476716823</v>
      </c>
      <c r="P89" s="23" t="n">
        <f aca="false">IF(ISNUMBER(Tabelle1!R90),Tabelle1!R90/'SF Workings'!BF89,"")</f>
        <v>145.758060608334</v>
      </c>
      <c r="Q89" s="23" t="n">
        <f aca="false">IF(ISNUMBER(Tabelle1!S90),Tabelle1!S90/'SF Workings'!BJ89,"")</f>
        <v>148.410240352415</v>
      </c>
      <c r="R89" s="23" t="n">
        <f aca="false">IFERROR(C89*'Weights &amp; Assumptions'!$F$6+D89*'Weights &amp; Assumptions'!$F$7,"")</f>
        <v>124.232304629304</v>
      </c>
      <c r="S89" s="23" t="n">
        <f aca="false">IFERROR(E89*'Weights &amp; Assumptions'!$F$8+F89*'Weights &amp; Assumptions'!$F$9+H89*'Weights &amp; Assumptions'!$F$11,"")</f>
        <v>136.12796880806</v>
      </c>
      <c r="T89" s="23" t="n">
        <f aca="false">IFERROR(G89*'Weights &amp; Assumptions'!$F$10+I89*'Weights &amp; Assumptions'!$F$12+J89*'Weights &amp; Assumptions'!$F$13+K89*'Weights &amp; Assumptions'!$F$14+L89*'Weights &amp; Assumptions'!$F$15+M89*'Weights &amp; Assumptions'!$F$16+N89*'Weights &amp; Assumptions'!$F$17+O89*'Weights &amp; Assumptions'!$F$18+P89*'Weights &amp; Assumptions'!$F$19+Q89*'Weights &amp; Assumptions'!$F$20,"")</f>
        <v>147.029751580591</v>
      </c>
      <c r="U89" s="23" t="n">
        <f aca="false">IFERROR(R89*'Weights &amp; Assumptions'!$B$25/'Weights &amp; Assumptions'!$B$28+S89*'Weights &amp; Assumptions'!$B$26/'Weights &amp; Assumptions'!$B$28+T89*'Weights &amp; Assumptions'!$B$27/'Weights &amp; Assumptions'!$B$28,"")</f>
        <v>142.218052336024</v>
      </c>
      <c r="V89" s="30" t="n">
        <f aca="false">IF(ISNUMBER(Tabelle1!E90),Tabelle1!E90*'Weights &amp; Assumptions'!$F$6+Tabelle1!F90*'Weights &amp; Assumptions'!$F$7,"")</f>
        <v>85.6807089820145</v>
      </c>
      <c r="W89" s="30" t="n">
        <f aca="false">IF(ISNUMBER(Tabelle1!G90),Tabelle1!G90*'Weights &amp; Assumptions'!$F$8+Tabelle1!H90*'Weights &amp; Assumptions'!$F$9+Tabelle1!J90*'Weights &amp; Assumptions'!$F$11,"")</f>
        <v>139.254012037809</v>
      </c>
      <c r="X89" s="30" t="n">
        <f aca="false">IF(ISNUMBER(Tabelle1!I90),Tabelle1!I90*'Weights &amp; Assumptions'!$F$10+Tabelle1!K90*'Weights &amp; Assumptions'!$F$12+Tabelle1!L90*'Weights &amp; Assumptions'!$F$13+Tabelle1!M90*'Weights &amp; Assumptions'!$F$14+Tabelle1!N90*'Weights &amp; Assumptions'!$F$15+Tabelle1!O90*'Weights &amp; Assumptions'!$F$16+Tabelle1!P90*'Weights &amp; Assumptions'!$F$17+Tabelle1!Q90*'Weights &amp; Assumptions'!$F$18+Tabelle1!R90*'Weights &amp; Assumptions'!$F$19+Tabelle1!S90*'Weights &amp; Assumptions'!$F$20,"")</f>
        <v>147.529460704279</v>
      </c>
      <c r="Y89" s="23" t="n">
        <f aca="false">IFERROR(V89*'Weights &amp; Assumptions'!$B$25/'Weights &amp; Assumptions'!$B$28+W89*'Weights &amp; Assumptions'!$B$26/'Weights &amp; Assumptions'!$B$28+X89*'Weights &amp; Assumptions'!$B$27/'Weights &amp; Assumptions'!$B$28,"")</f>
        <v>140.139712607035</v>
      </c>
    </row>
    <row r="90" customFormat="false" ht="15" hidden="false" customHeight="false" outlineLevel="0" collapsed="false">
      <c r="A90" s="20" t="n">
        <v>40543</v>
      </c>
      <c r="B90" s="30" t="n">
        <f aca="false">IF(ISNUMBER(Tabelle1!D91),Tabelle1!D91,"")</f>
        <v>141.97979</v>
      </c>
      <c r="C90" s="23" t="n">
        <f aca="false">IF(ISNUMBER(Tabelle1!E91),Tabelle1!E91/'SF Workings'!F90,"")</f>
        <v>138.204602211113</v>
      </c>
      <c r="D90" s="23" t="n">
        <f aca="false">IF(ISNUMBER(Tabelle1!F91),Tabelle1!F91/'SF Workings'!J90,"")</f>
        <v>128.584509546709</v>
      </c>
      <c r="E90" s="23" t="n">
        <f aca="false">IF(ISNUMBER(Tabelle1!G91),Tabelle1!G91/'SF Workings'!N90,"")</f>
        <v>92.1085029054447</v>
      </c>
      <c r="F90" s="23" t="n">
        <f aca="false">IF(ISNUMBER(Tabelle1!H91),Tabelle1!H91/'SF Workings'!R90,"")</f>
        <v>138.475409929691</v>
      </c>
      <c r="G90" s="23" t="n">
        <f aca="false">IF(ISNUMBER(Tabelle1!I91),Tabelle1!I91/'SF Workings'!V90,"")</f>
        <v>126.65640257565</v>
      </c>
      <c r="H90" s="23" t="n">
        <f aca="false">IF(ISNUMBER(Tabelle1!J91),Tabelle1!J91/'SF Workings'!Z90,"")</f>
        <v>146.505438168954</v>
      </c>
      <c r="I90" s="23" t="n">
        <f aca="false">IF(ISNUMBER(Tabelle1!K91),Tabelle1!K91/'SF Workings'!AD90,"")</f>
        <v>158.410188840026</v>
      </c>
      <c r="J90" s="23" t="n">
        <f aca="false">IF(ISNUMBER(Tabelle1!L91),Tabelle1!L91/'SF Workings'!AH90,"")</f>
        <v>151.976060072001</v>
      </c>
      <c r="K90" s="23" t="n">
        <f aca="false">IF(ISNUMBER(Tabelle1!M91),Tabelle1!M91/'SF Workings'!AL90,"")</f>
        <v>169.107508910491</v>
      </c>
      <c r="L90" s="23" t="n">
        <f aca="false">IF(ISNUMBER(Tabelle1!N91),Tabelle1!N91/'SF Workings'!AP90,"")</f>
        <v>155.27385261755</v>
      </c>
      <c r="M90" s="23" t="n">
        <f aca="false">IF(ISNUMBER(Tabelle1!O91),Tabelle1!O91/'SF Workings'!AT90,"")</f>
        <v>132.028161434233</v>
      </c>
      <c r="N90" s="23" t="n">
        <f aca="false">IF(ISNUMBER(Tabelle1!P91),Tabelle1!P91/'SF Workings'!AX90,"")</f>
        <v>129.169469105866</v>
      </c>
      <c r="O90" s="23" t="n">
        <f aca="false">IF(ISNUMBER(Tabelle1!Q91),Tabelle1!Q91/'SF Workings'!BB90,"")</f>
        <v>131.715706242867</v>
      </c>
      <c r="P90" s="23" t="n">
        <f aca="false">IF(ISNUMBER(Tabelle1!R91),Tabelle1!R91/'SF Workings'!BF90,"")</f>
        <v>146.412729367332</v>
      </c>
      <c r="Q90" s="23" t="n">
        <f aca="false">IF(ISNUMBER(Tabelle1!S91),Tabelle1!S91/'SF Workings'!BJ90,"")</f>
        <v>148.414084909738</v>
      </c>
      <c r="R90" s="23" t="n">
        <f aca="false">IFERROR(C90*'Weights &amp; Assumptions'!$F$6+D90*'Weights &amp; Assumptions'!$F$7,"")</f>
        <v>138.086731682048</v>
      </c>
      <c r="S90" s="23" t="n">
        <f aca="false">IFERROR(E90*'Weights &amp; Assumptions'!$F$8+F90*'Weights &amp; Assumptions'!$F$9+H90*'Weights &amp; Assumptions'!$F$11,"")</f>
        <v>134.612151994352</v>
      </c>
      <c r="T90" s="23" t="n">
        <f aca="false">IFERROR(G90*'Weights &amp; Assumptions'!$F$10+I90*'Weights &amp; Assumptions'!$F$12+J90*'Weights &amp; Assumptions'!$F$13+K90*'Weights &amp; Assumptions'!$F$14+L90*'Weights &amp; Assumptions'!$F$15+M90*'Weights &amp; Assumptions'!$F$16+N90*'Weights &amp; Assumptions'!$F$17+O90*'Weights &amp; Assumptions'!$F$18+P90*'Weights &amp; Assumptions'!$F$19+Q90*'Weights &amp; Assumptions'!$F$20,"")</f>
        <v>147.001094752049</v>
      </c>
      <c r="U90" s="23" t="n">
        <f aca="false">IFERROR(R90*'Weights &amp; Assumptions'!$B$25/'Weights &amp; Assumptions'!$B$28+S90*'Weights &amp; Assumptions'!$B$26/'Weights &amp; Assumptions'!$B$28+T90*'Weights &amp; Assumptions'!$B$27/'Weights &amp; Assumptions'!$B$28,"")</f>
        <v>142.958735980589</v>
      </c>
      <c r="V90" s="30" t="n">
        <f aca="false">IF(ISNUMBER(Tabelle1!E91),Tabelle1!E91*'Weights &amp; Assumptions'!$F$6+Tabelle1!F91*'Weights &amp; Assumptions'!$F$7,"")</f>
        <v>101.061081512378</v>
      </c>
      <c r="W90" s="30" t="n">
        <f aca="false">IF(ISNUMBER(Tabelle1!G91),Tabelle1!G91*'Weights &amp; Assumptions'!$F$8+Tabelle1!H91*'Weights &amp; Assumptions'!$F$9+Tabelle1!J91*'Weights &amp; Assumptions'!$F$11,"")</f>
        <v>132.522986530735</v>
      </c>
      <c r="X90" s="30" t="n">
        <f aca="false">IF(ISNUMBER(Tabelle1!I91),Tabelle1!I91*'Weights &amp; Assumptions'!$F$10+Tabelle1!K91*'Weights &amp; Assumptions'!$F$12+Tabelle1!L91*'Weights &amp; Assumptions'!$F$13+Tabelle1!M91*'Weights &amp; Assumptions'!$F$14+Tabelle1!N91*'Weights &amp; Assumptions'!$F$15+Tabelle1!O91*'Weights &amp; Assumptions'!$F$16+Tabelle1!P91*'Weights &amp; Assumptions'!$F$17+Tabelle1!Q91*'Weights &amp; Assumptions'!$F$18+Tabelle1!R91*'Weights &amp; Assumptions'!$F$19+Tabelle1!S91*'Weights &amp; Assumptions'!$F$20,"")</f>
        <v>145.69470173928</v>
      </c>
      <c r="Y90" s="23" t="n">
        <f aca="false">IFERROR(V90*'Weights &amp; Assumptions'!$B$25/'Weights &amp; Assumptions'!$B$28+W90*'Weights &amp; Assumptions'!$B$26/'Weights &amp; Assumptions'!$B$28+X90*'Weights &amp; Assumptions'!$B$27/'Weights &amp; Assumptions'!$B$28,"")</f>
        <v>138.447314698571</v>
      </c>
    </row>
    <row r="91" customFormat="false" ht="15" hidden="false" customHeight="false" outlineLevel="0" collapsed="false">
      <c r="A91" s="20" t="n">
        <v>40574</v>
      </c>
      <c r="B91" s="30" t="n">
        <f aca="false">IF(ISNUMBER(Tabelle1!D92),Tabelle1!D92,"")</f>
        <v>145.85115</v>
      </c>
      <c r="C91" s="23" t="n">
        <f aca="false">IF(ISNUMBER(Tabelle1!E92),Tabelle1!E92/'SF Workings'!F91,"")</f>
        <v>132.177213650452</v>
      </c>
      <c r="D91" s="23" t="n">
        <f aca="false">IF(ISNUMBER(Tabelle1!F92),Tabelle1!F92/'SF Workings'!J91,"")</f>
        <v>128.310742815369</v>
      </c>
      <c r="E91" s="23" t="n">
        <f aca="false">IF(ISNUMBER(Tabelle1!G92),Tabelle1!G92/'SF Workings'!N91,"")</f>
        <v>99.5317397064531</v>
      </c>
      <c r="F91" s="23" t="n">
        <f aca="false">IF(ISNUMBER(Tabelle1!H92),Tabelle1!H92/'SF Workings'!R91,"")</f>
        <v>142.719501504146</v>
      </c>
      <c r="G91" s="23" t="n">
        <f aca="false">IF(ISNUMBER(Tabelle1!I92),Tabelle1!I92/'SF Workings'!V91,"")</f>
        <v>125.69789425658</v>
      </c>
      <c r="H91" s="23" t="n">
        <f aca="false">IF(ISNUMBER(Tabelle1!J92),Tabelle1!J92/'SF Workings'!Z91,"")</f>
        <v>150.051971811073</v>
      </c>
      <c r="I91" s="23" t="n">
        <f aca="false">IF(ISNUMBER(Tabelle1!K92),Tabelle1!K92/'SF Workings'!AD91,"")</f>
        <v>159.263198170541</v>
      </c>
      <c r="J91" s="23" t="n">
        <f aca="false">IF(ISNUMBER(Tabelle1!L92),Tabelle1!L92/'SF Workings'!AH91,"")</f>
        <v>152.23190433572</v>
      </c>
      <c r="K91" s="23" t="n">
        <f aca="false">IF(ISNUMBER(Tabelle1!M92),Tabelle1!M92/'SF Workings'!AL91,"")</f>
        <v>173.162090967304</v>
      </c>
      <c r="L91" s="23" t="n">
        <f aca="false">IF(ISNUMBER(Tabelle1!N92),Tabelle1!N92/'SF Workings'!AP91,"")</f>
        <v>156.410308868614</v>
      </c>
      <c r="M91" s="23" t="n">
        <f aca="false">IF(ISNUMBER(Tabelle1!O92),Tabelle1!O92/'SF Workings'!AT91,"")</f>
        <v>130.518640331832</v>
      </c>
      <c r="N91" s="23" t="n">
        <f aca="false">IF(ISNUMBER(Tabelle1!P92),Tabelle1!P92/'SF Workings'!AX91,"")</f>
        <v>130.400683097228</v>
      </c>
      <c r="O91" s="23" t="n">
        <f aca="false">IF(ISNUMBER(Tabelle1!Q92),Tabelle1!Q92/'SF Workings'!BB91,"")</f>
        <v>133.207240520932</v>
      </c>
      <c r="P91" s="23" t="n">
        <f aca="false">IF(ISNUMBER(Tabelle1!R92),Tabelle1!R92/'SF Workings'!BF91,"")</f>
        <v>146.806960665857</v>
      </c>
      <c r="Q91" s="23" t="n">
        <f aca="false">IF(ISNUMBER(Tabelle1!S92),Tabelle1!S92/'SF Workings'!BJ91,"")</f>
        <v>151.936512701004</v>
      </c>
      <c r="R91" s="23" t="n">
        <f aca="false">IFERROR(C91*'Weights &amp; Assumptions'!$F$6+D91*'Weights &amp; Assumptions'!$F$7,"")</f>
        <v>132.129839578409</v>
      </c>
      <c r="S91" s="23" t="n">
        <f aca="false">IFERROR(E91*'Weights &amp; Assumptions'!$F$8+F91*'Weights &amp; Assumptions'!$F$9+H91*'Weights &amp; Assumptions'!$F$11,"")</f>
        <v>139.090508433034</v>
      </c>
      <c r="T91" s="23" t="n">
        <f aca="false">IFERROR(G91*'Weights &amp; Assumptions'!$F$10+I91*'Weights &amp; Assumptions'!$F$12+J91*'Weights &amp; Assumptions'!$F$13+K91*'Weights &amp; Assumptions'!$F$14+L91*'Weights &amp; Assumptions'!$F$15+M91*'Weights &amp; Assumptions'!$F$16+N91*'Weights &amp; Assumptions'!$F$17+O91*'Weights &amp; Assumptions'!$F$18+P91*'Weights &amp; Assumptions'!$F$19+Q91*'Weights &amp; Assumptions'!$F$20,"")</f>
        <v>147.975950764701</v>
      </c>
      <c r="U91" s="23" t="n">
        <f aca="false">IFERROR(R91*'Weights &amp; Assumptions'!$B$25/'Weights &amp; Assumptions'!$B$28+S91*'Weights &amp; Assumptions'!$B$26/'Weights &amp; Assumptions'!$B$28+T91*'Weights &amp; Assumptions'!$B$27/'Weights &amp; Assumptions'!$B$28,"")</f>
        <v>144.2836545207</v>
      </c>
      <c r="V91" s="30" t="n">
        <f aca="false">IF(ISNUMBER(Tabelle1!E92),Tabelle1!E92*'Weights &amp; Assumptions'!$F$6+Tabelle1!F92*'Weights &amp; Assumptions'!$F$7,"")</f>
        <v>70.554749283322</v>
      </c>
      <c r="W91" s="30" t="n">
        <f aca="false">IF(ISNUMBER(Tabelle1!G92),Tabelle1!G92*'Weights &amp; Assumptions'!$F$8+Tabelle1!H92*'Weights &amp; Assumptions'!$F$9+Tabelle1!J92*'Weights &amp; Assumptions'!$F$11,"")</f>
        <v>128.435998401048</v>
      </c>
      <c r="X91" s="30" t="n">
        <f aca="false">IF(ISNUMBER(Tabelle1!I92),Tabelle1!I92*'Weights &amp; Assumptions'!$F$10+Tabelle1!K92*'Weights &amp; Assumptions'!$F$12+Tabelle1!L92*'Weights &amp; Assumptions'!$F$13+Tabelle1!M92*'Weights &amp; Assumptions'!$F$14+Tabelle1!N92*'Weights &amp; Assumptions'!$F$15+Tabelle1!O92*'Weights &amp; Assumptions'!$F$16+Tabelle1!P92*'Weights &amp; Assumptions'!$F$17+Tabelle1!Q92*'Weights &amp; Assumptions'!$F$18+Tabelle1!R92*'Weights &amp; Assumptions'!$F$19+Tabelle1!S92*'Weights &amp; Assumptions'!$F$20,"")</f>
        <v>143.958154225718</v>
      </c>
      <c r="Y91" s="23" t="n">
        <f aca="false">IFERROR(V91*'Weights &amp; Assumptions'!$B$25/'Weights &amp; Assumptions'!$B$28+W91*'Weights &amp; Assumptions'!$B$26/'Weights &amp; Assumptions'!$B$28+X91*'Weights &amp; Assumptions'!$B$27/'Weights &amp; Assumptions'!$B$28,"")</f>
        <v>133.6719350875</v>
      </c>
    </row>
    <row r="92" customFormat="false" ht="15" hidden="false" customHeight="false" outlineLevel="0" collapsed="false">
      <c r="A92" s="20" t="n">
        <v>40602</v>
      </c>
      <c r="B92" s="30" t="n">
        <f aca="false">IF(ISNUMBER(Tabelle1!D93),Tabelle1!D93,"")</f>
        <v>143.85332</v>
      </c>
      <c r="C92" s="23" t="n">
        <f aca="false">IF(ISNUMBER(Tabelle1!E93),Tabelle1!E93/'SF Workings'!F92,"")</f>
        <v>125.492249534163</v>
      </c>
      <c r="D92" s="23" t="n">
        <f aca="false">IF(ISNUMBER(Tabelle1!F93),Tabelle1!F93/'SF Workings'!J92,"")</f>
        <v>123.097212249268</v>
      </c>
      <c r="E92" s="23" t="n">
        <f aca="false">IF(ISNUMBER(Tabelle1!G93),Tabelle1!G93/'SF Workings'!N92,"")</f>
        <v>99.7656763212914</v>
      </c>
      <c r="F92" s="23" t="n">
        <f aca="false">IF(ISNUMBER(Tabelle1!H93),Tabelle1!H93/'SF Workings'!R92,"")</f>
        <v>142.811268261055</v>
      </c>
      <c r="G92" s="23" t="n">
        <f aca="false">IF(ISNUMBER(Tabelle1!I93),Tabelle1!I93/'SF Workings'!V92,"")</f>
        <v>125.820343360575</v>
      </c>
      <c r="H92" s="23" t="n">
        <f aca="false">IF(ISNUMBER(Tabelle1!J93),Tabelle1!J93/'SF Workings'!Z92,"")</f>
        <v>151.515092330966</v>
      </c>
      <c r="I92" s="23" t="n">
        <f aca="false">IF(ISNUMBER(Tabelle1!K93),Tabelle1!K93/'SF Workings'!AD92,"")</f>
        <v>156.79696114992</v>
      </c>
      <c r="J92" s="23" t="n">
        <f aca="false">IF(ISNUMBER(Tabelle1!L93),Tabelle1!L93/'SF Workings'!AH92,"")</f>
        <v>150.173084808071</v>
      </c>
      <c r="K92" s="23" t="n">
        <f aca="false">IF(ISNUMBER(Tabelle1!M93),Tabelle1!M93/'SF Workings'!AL92,"")</f>
        <v>172.616205696376</v>
      </c>
      <c r="L92" s="23" t="n">
        <f aca="false">IF(ISNUMBER(Tabelle1!N93),Tabelle1!N93/'SF Workings'!AP92,"")</f>
        <v>160.141704581671</v>
      </c>
      <c r="M92" s="23" t="n">
        <f aca="false">IF(ISNUMBER(Tabelle1!O93),Tabelle1!O93/'SF Workings'!AT92,"")</f>
        <v>130.965822920864</v>
      </c>
      <c r="N92" s="23" t="n">
        <f aca="false">IF(ISNUMBER(Tabelle1!P93),Tabelle1!P93/'SF Workings'!AX92,"")</f>
        <v>130.190766154314</v>
      </c>
      <c r="O92" s="23" t="n">
        <f aca="false">IF(ISNUMBER(Tabelle1!Q93),Tabelle1!Q93/'SF Workings'!BB92,"")</f>
        <v>133.450429513058</v>
      </c>
      <c r="P92" s="23" t="n">
        <f aca="false">IF(ISNUMBER(Tabelle1!R93),Tabelle1!R93/'SF Workings'!BF92,"")</f>
        <v>147.694047712219</v>
      </c>
      <c r="Q92" s="23" t="n">
        <f aca="false">IF(ISNUMBER(Tabelle1!S93),Tabelle1!S93/'SF Workings'!BJ92,"")</f>
        <v>150.370679521525</v>
      </c>
      <c r="R92" s="23" t="n">
        <f aca="false">IFERROR(C92*'Weights &amp; Assumptions'!$F$6+D92*'Weights &amp; Assumptions'!$F$7,"")</f>
        <v>125.462904254263</v>
      </c>
      <c r="S92" s="23" t="n">
        <f aca="false">IFERROR(E92*'Weights &amp; Assumptions'!$F$8+F92*'Weights &amp; Assumptions'!$F$9+H92*'Weights &amp; Assumptions'!$F$11,"")</f>
        <v>139.484935323508</v>
      </c>
      <c r="T92" s="23" t="n">
        <f aca="false">IFERROR(G92*'Weights &amp; Assumptions'!$F$10+I92*'Weights &amp; Assumptions'!$F$12+J92*'Weights &amp; Assumptions'!$F$13+K92*'Weights &amp; Assumptions'!$F$14+L92*'Weights &amp; Assumptions'!$F$15+M92*'Weights &amp; Assumptions'!$F$16+N92*'Weights &amp; Assumptions'!$F$17+O92*'Weights &amp; Assumptions'!$F$18+P92*'Weights &amp; Assumptions'!$F$19+Q92*'Weights &amp; Assumptions'!$F$20,"")</f>
        <v>147.654484108579</v>
      </c>
      <c r="U92" s="23" t="n">
        <f aca="false">IFERROR(R92*'Weights &amp; Assumptions'!$B$25/'Weights &amp; Assumptions'!$B$28+S92*'Weights &amp; Assumptions'!$B$26/'Weights &amp; Assumptions'!$B$28+T92*'Weights &amp; Assumptions'!$B$27/'Weights &amp; Assumptions'!$B$28,"")</f>
        <v>143.620166362029</v>
      </c>
      <c r="V92" s="30" t="n">
        <f aca="false">IF(ISNUMBER(Tabelle1!E93),Tabelle1!E93*'Weights &amp; Assumptions'!$F$6+Tabelle1!F93*'Weights &amp; Assumptions'!$F$7,"")</f>
        <v>71.395347669992</v>
      </c>
      <c r="W92" s="30" t="n">
        <f aca="false">IF(ISNUMBER(Tabelle1!G93),Tabelle1!G93*'Weights &amp; Assumptions'!$F$8+Tabelle1!H93*'Weights &amp; Assumptions'!$F$9+Tabelle1!J93*'Weights &amp; Assumptions'!$F$11,"")</f>
        <v>126.320780134064</v>
      </c>
      <c r="X92" s="30" t="n">
        <f aca="false">IF(ISNUMBER(Tabelle1!I93),Tabelle1!I93*'Weights &amp; Assumptions'!$F$10+Tabelle1!K93*'Weights &amp; Assumptions'!$F$12+Tabelle1!L93*'Weights &amp; Assumptions'!$F$13+Tabelle1!M93*'Weights &amp; Assumptions'!$F$14+Tabelle1!N93*'Weights &amp; Assumptions'!$F$15+Tabelle1!O93*'Weights &amp; Assumptions'!$F$16+Tabelle1!P93*'Weights &amp; Assumptions'!$F$17+Tabelle1!Q93*'Weights &amp; Assumptions'!$F$18+Tabelle1!R93*'Weights &amp; Assumptions'!$F$19+Tabelle1!S93*'Weights &amp; Assumptions'!$F$20,"")</f>
        <v>140.520848636246</v>
      </c>
      <c r="Y92" s="23" t="n">
        <f aca="false">IFERROR(V92*'Weights &amp; Assumptions'!$B$25/'Weights &amp; Assumptions'!$B$28+W92*'Weights &amp; Assumptions'!$B$26/'Weights &amp; Assumptions'!$B$28+X92*'Weights &amp; Assumptions'!$B$27/'Weights &amp; Assumptions'!$B$28,"")</f>
        <v>130.945115315179</v>
      </c>
    </row>
    <row r="93" customFormat="false" ht="15" hidden="false" customHeight="false" outlineLevel="0" collapsed="false">
      <c r="A93" s="20" t="n">
        <v>40633</v>
      </c>
      <c r="B93" s="30" t="n">
        <f aca="false">IF(ISNUMBER(Tabelle1!D94),Tabelle1!D94,"")</f>
        <v>144.86151</v>
      </c>
      <c r="C93" s="23" t="n">
        <f aca="false">IF(ISNUMBER(Tabelle1!E94),Tabelle1!E94/'SF Workings'!F93,"")</f>
        <v>128.096422351063</v>
      </c>
      <c r="D93" s="23" t="n">
        <f aca="false">IF(ISNUMBER(Tabelle1!F94),Tabelle1!F94/'SF Workings'!J93,"")</f>
        <v>110.520085996044</v>
      </c>
      <c r="E93" s="23" t="n">
        <f aca="false">IF(ISNUMBER(Tabelle1!G94),Tabelle1!G94/'SF Workings'!N93,"")</f>
        <v>98.88182820855</v>
      </c>
      <c r="F93" s="23" t="n">
        <f aca="false">IF(ISNUMBER(Tabelle1!H94),Tabelle1!H94/'SF Workings'!R93,"")</f>
        <v>144.983472235369</v>
      </c>
      <c r="G93" s="23" t="n">
        <f aca="false">IF(ISNUMBER(Tabelle1!I94),Tabelle1!I94/'SF Workings'!V93,"")</f>
        <v>128.429320157738</v>
      </c>
      <c r="H93" s="23" t="n">
        <f aca="false">IF(ISNUMBER(Tabelle1!J94),Tabelle1!J94/'SF Workings'!Z93,"")</f>
        <v>152.06515107317</v>
      </c>
      <c r="I93" s="23" t="n">
        <f aca="false">IF(ISNUMBER(Tabelle1!K94),Tabelle1!K94/'SF Workings'!AD93,"")</f>
        <v>162.554973488831</v>
      </c>
      <c r="J93" s="23" t="n">
        <f aca="false">IF(ISNUMBER(Tabelle1!L94),Tabelle1!L94/'SF Workings'!AH93,"")</f>
        <v>154.331190407671</v>
      </c>
      <c r="K93" s="23" t="n">
        <f aca="false">IF(ISNUMBER(Tabelle1!M94),Tabelle1!M94/'SF Workings'!AL93,"")</f>
        <v>175.349788808868</v>
      </c>
      <c r="L93" s="23" t="n">
        <f aca="false">IF(ISNUMBER(Tabelle1!N94),Tabelle1!N94/'SF Workings'!AP93,"")</f>
        <v>160.934499632593</v>
      </c>
      <c r="M93" s="23" t="n">
        <f aca="false">IF(ISNUMBER(Tabelle1!O94),Tabelle1!O94/'SF Workings'!AT93,"")</f>
        <v>130.827924727265</v>
      </c>
      <c r="N93" s="23" t="n">
        <f aca="false">IF(ISNUMBER(Tabelle1!P94),Tabelle1!P94/'SF Workings'!AX93,"")</f>
        <v>130.363793348893</v>
      </c>
      <c r="O93" s="23" t="n">
        <f aca="false">IF(ISNUMBER(Tabelle1!Q94),Tabelle1!Q94/'SF Workings'!BB93,"")</f>
        <v>133.73101941634</v>
      </c>
      <c r="P93" s="23" t="n">
        <f aca="false">IF(ISNUMBER(Tabelle1!R94),Tabelle1!R94/'SF Workings'!BF93,"")</f>
        <v>148.100406486014</v>
      </c>
      <c r="Q93" s="23" t="n">
        <f aca="false">IF(ISNUMBER(Tabelle1!S94),Tabelle1!S94/'SF Workings'!BJ93,"")</f>
        <v>151.749712166013</v>
      </c>
      <c r="R93" s="23" t="n">
        <f aca="false">IFERROR(C93*'Weights &amp; Assumptions'!$F$6+D93*'Weights &amp; Assumptions'!$F$7,"")</f>
        <v>127.88106766193</v>
      </c>
      <c r="S93" s="23" t="n">
        <f aca="false">IFERROR(E93*'Weights &amp; Assumptions'!$F$8+F93*'Weights &amp; Assumptions'!$F$9+H93*'Weights &amp; Assumptions'!$F$11,"")</f>
        <v>140.954322515253</v>
      </c>
      <c r="T93" s="23" t="n">
        <f aca="false">IFERROR(G93*'Weights &amp; Assumptions'!$F$10+I93*'Weights &amp; Assumptions'!$F$12+J93*'Weights &amp; Assumptions'!$F$13+K93*'Weights &amp; Assumptions'!$F$14+L93*'Weights &amp; Assumptions'!$F$15+M93*'Weights &amp; Assumptions'!$F$16+N93*'Weights &amp; Assumptions'!$F$17+O93*'Weights &amp; Assumptions'!$F$18+P93*'Weights &amp; Assumptions'!$F$19+Q93*'Weights &amp; Assumptions'!$F$20,"")</f>
        <v>149.666901551105</v>
      </c>
      <c r="U93" s="23" t="n">
        <f aca="false">IFERROR(R93*'Weights &amp; Assumptions'!$B$25/'Weights &amp; Assumptions'!$B$28+S93*'Weights &amp; Assumptions'!$B$26/'Weights &amp; Assumptions'!$B$28+T93*'Weights &amp; Assumptions'!$B$27/'Weights &amp; Assumptions'!$B$28,"")</f>
        <v>145.522224999266</v>
      </c>
      <c r="V93" s="30" t="n">
        <f aca="false">IF(ISNUMBER(Tabelle1!E94),Tabelle1!E94*'Weights &amp; Assumptions'!$F$6+Tabelle1!F94*'Weights &amp; Assumptions'!$F$7,"")</f>
        <v>139.597202130368</v>
      </c>
      <c r="W93" s="30" t="n">
        <f aca="false">IF(ISNUMBER(Tabelle1!G94),Tabelle1!G94*'Weights &amp; Assumptions'!$F$8+Tabelle1!H94*'Weights &amp; Assumptions'!$F$9+Tabelle1!J94*'Weights &amp; Assumptions'!$F$11,"")</f>
        <v>141.989189364541</v>
      </c>
      <c r="X93" s="30" t="n">
        <f aca="false">IF(ISNUMBER(Tabelle1!I94),Tabelle1!I94*'Weights &amp; Assumptions'!$F$10+Tabelle1!K94*'Weights &amp; Assumptions'!$F$12+Tabelle1!L94*'Weights &amp; Assumptions'!$F$13+Tabelle1!M94*'Weights &amp; Assumptions'!$F$14+Tabelle1!N94*'Weights &amp; Assumptions'!$F$15+Tabelle1!O94*'Weights &amp; Assumptions'!$F$16+Tabelle1!P94*'Weights &amp; Assumptions'!$F$17+Tabelle1!Q94*'Weights &amp; Assumptions'!$F$18+Tabelle1!R94*'Weights &amp; Assumptions'!$F$19+Tabelle1!S94*'Weights &amp; Assumptions'!$F$20,"")</f>
        <v>150.532361063378</v>
      </c>
      <c r="Y93" s="23" t="n">
        <f aca="false">IFERROR(V93*'Weights &amp; Assumptions'!$B$25/'Weights &amp; Assumptions'!$B$28+W93*'Weights &amp; Assumptions'!$B$26/'Weights &amp; Assumptions'!$B$28+X93*'Weights &amp; Assumptions'!$B$27/'Weights &amp; Assumptions'!$B$28,"")</f>
        <v>147.343113540423</v>
      </c>
    </row>
    <row r="94" customFormat="false" ht="15" hidden="false" customHeight="false" outlineLevel="0" collapsed="false">
      <c r="A94" s="20" t="n">
        <v>40663</v>
      </c>
      <c r="B94" s="30" t="n">
        <f aca="false">IF(ISNUMBER(Tabelle1!D95),Tabelle1!D95,"")</f>
        <v>144.92865</v>
      </c>
      <c r="C94" s="23" t="n">
        <f aca="false">IF(ISNUMBER(Tabelle1!E95),Tabelle1!E95/'SF Workings'!F94,"")</f>
        <v>128.479365761825</v>
      </c>
      <c r="D94" s="23" t="n">
        <f aca="false">IF(ISNUMBER(Tabelle1!F95),Tabelle1!F95/'SF Workings'!J94,"")</f>
        <v>101.292237888381</v>
      </c>
      <c r="E94" s="23" t="n">
        <f aca="false">IF(ISNUMBER(Tabelle1!G95),Tabelle1!G95/'SF Workings'!N94,"")</f>
        <v>89.6687405721786</v>
      </c>
      <c r="F94" s="23" t="n">
        <f aca="false">IF(ISNUMBER(Tabelle1!H95),Tabelle1!H95/'SF Workings'!R94,"")</f>
        <v>142.684392753946</v>
      </c>
      <c r="G94" s="23" t="n">
        <f aca="false">IF(ISNUMBER(Tabelle1!I95),Tabelle1!I95/'SF Workings'!V94,"")</f>
        <v>124.375633041362</v>
      </c>
      <c r="H94" s="23" t="n">
        <f aca="false">IF(ISNUMBER(Tabelle1!J95),Tabelle1!J95/'SF Workings'!Z94,"")</f>
        <v>151.557881811058</v>
      </c>
      <c r="I94" s="23" t="n">
        <f aca="false">IF(ISNUMBER(Tabelle1!K95),Tabelle1!K95/'SF Workings'!AD94,"")</f>
        <v>160.709943473032</v>
      </c>
      <c r="J94" s="23" t="n">
        <f aca="false">IF(ISNUMBER(Tabelle1!L95),Tabelle1!L95/'SF Workings'!AH94,"")</f>
        <v>156.55204335084</v>
      </c>
      <c r="K94" s="23" t="n">
        <f aca="false">IF(ISNUMBER(Tabelle1!M95),Tabelle1!M95/'SF Workings'!AL94,"")</f>
        <v>174.401227911131</v>
      </c>
      <c r="L94" s="23" t="n">
        <f aca="false">IF(ISNUMBER(Tabelle1!N95),Tabelle1!N95/'SF Workings'!AP94,"")</f>
        <v>161.270469326436</v>
      </c>
      <c r="M94" s="23" t="n">
        <f aca="false">IF(ISNUMBER(Tabelle1!O95),Tabelle1!O95/'SF Workings'!AT94,"")</f>
        <v>132.774445273638</v>
      </c>
      <c r="N94" s="23" t="n">
        <f aca="false">IF(ISNUMBER(Tabelle1!P95),Tabelle1!P95/'SF Workings'!AX94,"")</f>
        <v>131.034974323247</v>
      </c>
      <c r="O94" s="23" t="n">
        <f aca="false">IF(ISNUMBER(Tabelle1!Q95),Tabelle1!Q95/'SF Workings'!BB94,"")</f>
        <v>133.79675442849</v>
      </c>
      <c r="P94" s="23" t="n">
        <f aca="false">IF(ISNUMBER(Tabelle1!R95),Tabelle1!R95/'SF Workings'!BF94,"")</f>
        <v>150.300896681882</v>
      </c>
      <c r="Q94" s="23" t="n">
        <f aca="false">IF(ISNUMBER(Tabelle1!S95),Tabelle1!S95/'SF Workings'!BJ94,"")</f>
        <v>154.059428801496</v>
      </c>
      <c r="R94" s="23" t="n">
        <f aca="false">IFERROR(C94*'Weights &amp; Assumptions'!$F$6+D94*'Weights &amp; Assumptions'!$F$7,"")</f>
        <v>128.146254506252</v>
      </c>
      <c r="S94" s="23" t="n">
        <f aca="false">IFERROR(E94*'Weights &amp; Assumptions'!$F$8+F94*'Weights &amp; Assumptions'!$F$9+H94*'Weights &amp; Assumptions'!$F$11,"")</f>
        <v>138.203002688308</v>
      </c>
      <c r="T94" s="23" t="n">
        <f aca="false">IFERROR(G94*'Weights &amp; Assumptions'!$F$10+I94*'Weights &amp; Assumptions'!$F$12+J94*'Weights &amp; Assumptions'!$F$13+K94*'Weights &amp; Assumptions'!$F$14+L94*'Weights &amp; Assumptions'!$F$15+M94*'Weights &amp; Assumptions'!$F$16+N94*'Weights &amp; Assumptions'!$F$17+O94*'Weights &amp; Assumptions'!$F$18+P94*'Weights &amp; Assumptions'!$F$19+Q94*'Weights &amp; Assumptions'!$F$20,"")</f>
        <v>149.919933115888</v>
      </c>
      <c r="U94" s="23" t="n">
        <f aca="false">IFERROR(R94*'Weights &amp; Assumptions'!$B$25/'Weights &amp; Assumptions'!$B$28+S94*'Weights &amp; Assumptions'!$B$26/'Weights &amp; Assumptions'!$B$28+T94*'Weights &amp; Assumptions'!$B$27/'Weights &amp; Assumptions'!$B$28,"")</f>
        <v>144.977366886552</v>
      </c>
      <c r="V94" s="30" t="n">
        <f aca="false">IF(ISNUMBER(Tabelle1!E95),Tabelle1!E95*'Weights &amp; Assumptions'!$F$6+Tabelle1!F95*'Weights &amp; Assumptions'!$F$7,"")</f>
        <v>214.09838166029</v>
      </c>
      <c r="W94" s="30" t="n">
        <f aca="false">IF(ISNUMBER(Tabelle1!G95),Tabelle1!G95*'Weights &amp; Assumptions'!$F$8+Tabelle1!H95*'Weights &amp; Assumptions'!$F$9+Tabelle1!J95*'Weights &amp; Assumptions'!$F$11,"")</f>
        <v>138.092133677525</v>
      </c>
      <c r="X94" s="30" t="n">
        <f aca="false">IF(ISNUMBER(Tabelle1!I95),Tabelle1!I95*'Weights &amp; Assumptions'!$F$10+Tabelle1!K95*'Weights &amp; Assumptions'!$F$12+Tabelle1!L95*'Weights &amp; Assumptions'!$F$13+Tabelle1!M95*'Weights &amp; Assumptions'!$F$14+Tabelle1!N95*'Weights &amp; Assumptions'!$F$15+Tabelle1!O95*'Weights &amp; Assumptions'!$F$16+Tabelle1!P95*'Weights &amp; Assumptions'!$F$17+Tabelle1!Q95*'Weights &amp; Assumptions'!$F$18+Tabelle1!R95*'Weights &amp; Assumptions'!$F$19+Tabelle1!S95*'Weights &amp; Assumptions'!$F$20,"")</f>
        <v>149.743890539802</v>
      </c>
      <c r="Y94" s="23" t="n">
        <f aca="false">IFERROR(V94*'Weights &amp; Assumptions'!$B$25/'Weights &amp; Assumptions'!$B$28+W94*'Weights &amp; Assumptions'!$B$26/'Weights &amp; Assumptions'!$B$28+X94*'Weights &amp; Assumptions'!$B$27/'Weights &amp; Assumptions'!$B$28,"")</f>
        <v>152.04488021602</v>
      </c>
    </row>
    <row r="95" customFormat="false" ht="15" hidden="false" customHeight="false" outlineLevel="0" collapsed="false">
      <c r="A95" s="20" t="n">
        <v>40694</v>
      </c>
      <c r="B95" s="30" t="n">
        <f aca="false">IF(ISNUMBER(Tabelle1!D96),Tabelle1!D96,"")</f>
        <v>147.18633</v>
      </c>
      <c r="C95" s="23" t="n">
        <f aca="false">IF(ISNUMBER(Tabelle1!E96),Tabelle1!E96/'SF Workings'!F95,"")</f>
        <v>127.440638789398</v>
      </c>
      <c r="D95" s="23" t="n">
        <f aca="false">IF(ISNUMBER(Tabelle1!F96),Tabelle1!F96/'SF Workings'!J95,"")</f>
        <v>84.5840641664901</v>
      </c>
      <c r="E95" s="23" t="n">
        <f aca="false">IF(ISNUMBER(Tabelle1!G96),Tabelle1!G96/'SF Workings'!N95,"")</f>
        <v>92.53160415154</v>
      </c>
      <c r="F95" s="23" t="n">
        <f aca="false">IF(ISNUMBER(Tabelle1!H96),Tabelle1!H96/'SF Workings'!R95,"")</f>
        <v>147.460646930051</v>
      </c>
      <c r="G95" s="23" t="n">
        <f aca="false">IF(ISNUMBER(Tabelle1!I96),Tabelle1!I96/'SF Workings'!V95,"")</f>
        <v>126.753121532701</v>
      </c>
      <c r="H95" s="23" t="n">
        <f aca="false">IF(ISNUMBER(Tabelle1!J96),Tabelle1!J96/'SF Workings'!Z95,"")</f>
        <v>153.436763350089</v>
      </c>
      <c r="I95" s="23" t="n">
        <f aca="false">IF(ISNUMBER(Tabelle1!K96),Tabelle1!K96/'SF Workings'!AD95,"")</f>
        <v>166.856952375804</v>
      </c>
      <c r="J95" s="23" t="n">
        <f aca="false">IF(ISNUMBER(Tabelle1!L96),Tabelle1!L96/'SF Workings'!AH95,"")</f>
        <v>158.338430432971</v>
      </c>
      <c r="K95" s="23" t="n">
        <f aca="false">IF(ISNUMBER(Tabelle1!M96),Tabelle1!M96/'SF Workings'!AL95,"")</f>
        <v>175.44697937749</v>
      </c>
      <c r="L95" s="23" t="n">
        <f aca="false">IF(ISNUMBER(Tabelle1!N96),Tabelle1!N96/'SF Workings'!AP95,"")</f>
        <v>165.228479432491</v>
      </c>
      <c r="M95" s="23" t="n">
        <f aca="false">IF(ISNUMBER(Tabelle1!O96),Tabelle1!O96/'SF Workings'!AT95,"")</f>
        <v>133.59666793272</v>
      </c>
      <c r="N95" s="23" t="n">
        <f aca="false">IF(ISNUMBER(Tabelle1!P96),Tabelle1!P96/'SF Workings'!AX95,"")</f>
        <v>130.781645485893</v>
      </c>
      <c r="O95" s="23" t="n">
        <f aca="false">IF(ISNUMBER(Tabelle1!Q96),Tabelle1!Q96/'SF Workings'!BB95,"")</f>
        <v>133.372593342222</v>
      </c>
      <c r="P95" s="23" t="n">
        <f aca="false">IF(ISNUMBER(Tabelle1!R96),Tabelle1!R96/'SF Workings'!BF95,"")</f>
        <v>151.146669454869</v>
      </c>
      <c r="Q95" s="23" t="n">
        <f aca="false">IF(ISNUMBER(Tabelle1!S96),Tabelle1!S96/'SF Workings'!BJ95,"")</f>
        <v>156.226747272178</v>
      </c>
      <c r="R95" s="23" t="n">
        <f aca="false">IFERROR(C95*'Weights &amp; Assumptions'!$F$6+D95*'Weights &amp; Assumptions'!$F$7,"")</f>
        <v>126.91553707771</v>
      </c>
      <c r="S95" s="23" t="n">
        <f aca="false">IFERROR(E95*'Weights &amp; Assumptions'!$F$8+F95*'Weights &amp; Assumptions'!$F$9+H95*'Weights &amp; Assumptions'!$F$11,"")</f>
        <v>142.14721125854</v>
      </c>
      <c r="T95" s="23" t="n">
        <f aca="false">IFERROR(G95*'Weights &amp; Assumptions'!$F$10+I95*'Weights &amp; Assumptions'!$F$12+J95*'Weights &amp; Assumptions'!$F$13+K95*'Weights &amp; Assumptions'!$F$14+L95*'Weights &amp; Assumptions'!$F$15+M95*'Weights &amp; Assumptions'!$F$16+N95*'Weights &amp; Assumptions'!$F$17+O95*'Weights &amp; Assumptions'!$F$18+P95*'Weights &amp; Assumptions'!$F$19+Q95*'Weights &amp; Assumptions'!$F$20,"")</f>
        <v>152.068287856914</v>
      </c>
      <c r="U95" s="23" t="n">
        <f aca="false">IFERROR(R95*'Weights &amp; Assumptions'!$B$25/'Weights &amp; Assumptions'!$B$28+S95*'Weights &amp; Assumptions'!$B$26/'Weights &amp; Assumptions'!$B$28+T95*'Weights &amp; Assumptions'!$B$27/'Weights &amp; Assumptions'!$B$28,"")</f>
        <v>147.31976356395</v>
      </c>
      <c r="V95" s="30" t="n">
        <f aca="false">IF(ISNUMBER(Tabelle1!E96),Tabelle1!E96*'Weights &amp; Assumptions'!$F$6+Tabelle1!F96*'Weights &amp; Assumptions'!$F$7,"")</f>
        <v>313.29239312392</v>
      </c>
      <c r="W95" s="30" t="n">
        <f aca="false">IF(ISNUMBER(Tabelle1!G96),Tabelle1!G96*'Weights &amp; Assumptions'!$F$8+Tabelle1!H96*'Weights &amp; Assumptions'!$F$9+Tabelle1!J96*'Weights &amp; Assumptions'!$F$11,"")</f>
        <v>144.876567266864</v>
      </c>
      <c r="X95" s="30" t="n">
        <f aca="false">IF(ISNUMBER(Tabelle1!I96),Tabelle1!I96*'Weights &amp; Assumptions'!$F$10+Tabelle1!K96*'Weights &amp; Assumptions'!$F$12+Tabelle1!L96*'Weights &amp; Assumptions'!$F$13+Tabelle1!M96*'Weights &amp; Assumptions'!$F$14+Tabelle1!N96*'Weights &amp; Assumptions'!$F$15+Tabelle1!O96*'Weights &amp; Assumptions'!$F$16+Tabelle1!P96*'Weights &amp; Assumptions'!$F$17+Tabelle1!Q96*'Weights &amp; Assumptions'!$F$18+Tabelle1!R96*'Weights &amp; Assumptions'!$F$19+Tabelle1!S96*'Weights &amp; Assumptions'!$F$20,"")</f>
        <v>154.803288082555</v>
      </c>
      <c r="Y95" s="23" t="n">
        <f aca="false">IFERROR(V95*'Weights &amp; Assumptions'!$B$25/'Weights &amp; Assumptions'!$B$28+W95*'Weights &amp; Assumptions'!$B$26/'Weights &amp; Assumptions'!$B$28+X95*'Weights &amp; Assumptions'!$B$27/'Weights &amp; Assumptions'!$B$28,"")</f>
        <v>165.460967423405</v>
      </c>
    </row>
    <row r="96" customFormat="false" ht="15" hidden="false" customHeight="false" outlineLevel="0" collapsed="false">
      <c r="A96" s="20" t="n">
        <v>40724</v>
      </c>
      <c r="B96" s="30" t="n">
        <f aca="false">IF(ISNUMBER(Tabelle1!D97),Tabelle1!D97,"")</f>
        <v>146.80269</v>
      </c>
      <c r="C96" s="23" t="n">
        <f aca="false">IF(ISNUMBER(Tabelle1!E97),Tabelle1!E97/'SF Workings'!F96,"")</f>
        <v>127.535629224888</v>
      </c>
      <c r="D96" s="23" t="n">
        <f aca="false">IF(ISNUMBER(Tabelle1!F97),Tabelle1!F97/'SF Workings'!J96,"")</f>
        <v>145.254891996518</v>
      </c>
      <c r="E96" s="23" t="n">
        <f aca="false">IF(ISNUMBER(Tabelle1!G97),Tabelle1!G97/'SF Workings'!N96,"")</f>
        <v>93.2252480241777</v>
      </c>
      <c r="F96" s="23" t="n">
        <f aca="false">IF(ISNUMBER(Tabelle1!H97),Tabelle1!H97/'SF Workings'!R96,"")</f>
        <v>148.925371559157</v>
      </c>
      <c r="G96" s="23" t="n">
        <f aca="false">IF(ISNUMBER(Tabelle1!I97),Tabelle1!I97/'SF Workings'!V96,"")</f>
        <v>126.55134658234</v>
      </c>
      <c r="H96" s="23" t="n">
        <f aca="false">IF(ISNUMBER(Tabelle1!J97),Tabelle1!J97/'SF Workings'!Z96,"")</f>
        <v>153.822882599626</v>
      </c>
      <c r="I96" s="23" t="n">
        <f aca="false">IF(ISNUMBER(Tabelle1!K97),Tabelle1!K97/'SF Workings'!AD96,"")</f>
        <v>168.184967200876</v>
      </c>
      <c r="J96" s="23" t="n">
        <f aca="false">IF(ISNUMBER(Tabelle1!L97),Tabelle1!L97/'SF Workings'!AH96,"")</f>
        <v>158.470490921585</v>
      </c>
      <c r="K96" s="23" t="n">
        <f aca="false">IF(ISNUMBER(Tabelle1!M97),Tabelle1!M97/'SF Workings'!AL96,"")</f>
        <v>175.185064300373</v>
      </c>
      <c r="L96" s="23" t="n">
        <f aca="false">IF(ISNUMBER(Tabelle1!N97),Tabelle1!N97/'SF Workings'!AP96,"")</f>
        <v>166.085865438394</v>
      </c>
      <c r="M96" s="23" t="n">
        <f aca="false">IF(ISNUMBER(Tabelle1!O97),Tabelle1!O97/'SF Workings'!AT96,"")</f>
        <v>135.261708241529</v>
      </c>
      <c r="N96" s="23" t="n">
        <f aca="false">IF(ISNUMBER(Tabelle1!P97),Tabelle1!P97/'SF Workings'!AX96,"")</f>
        <v>131.46949368741</v>
      </c>
      <c r="O96" s="23" t="n">
        <f aca="false">IF(ISNUMBER(Tabelle1!Q97),Tabelle1!Q97/'SF Workings'!BB96,"")</f>
        <v>134.125528036264</v>
      </c>
      <c r="P96" s="23" t="n">
        <f aca="false">IF(ISNUMBER(Tabelle1!R97),Tabelle1!R97/'SF Workings'!BF96,"")</f>
        <v>151.770926758681</v>
      </c>
      <c r="Q96" s="23" t="n">
        <f aca="false">IF(ISNUMBER(Tabelle1!S97),Tabelle1!S97/'SF Workings'!BJ96,"")</f>
        <v>151.909066783423</v>
      </c>
      <c r="R96" s="23" t="n">
        <f aca="false">IFERROR(C96*'Weights &amp; Assumptions'!$F$6+D96*'Weights &amp; Assumptions'!$F$7,"")</f>
        <v>127.752735125047</v>
      </c>
      <c r="S96" s="23" t="n">
        <f aca="false">IFERROR(E96*'Weights &amp; Assumptions'!$F$8+F96*'Weights &amp; Assumptions'!$F$9+H96*'Weights &amp; Assumptions'!$F$11,"")</f>
        <v>143.295171636148</v>
      </c>
      <c r="T96" s="23" t="n">
        <f aca="false">IFERROR(G96*'Weights &amp; Assumptions'!$F$10+I96*'Weights &amp; Assumptions'!$F$12+J96*'Weights &amp; Assumptions'!$F$13+K96*'Weights &amp; Assumptions'!$F$14+L96*'Weights &amp; Assumptions'!$F$15+M96*'Weights &amp; Assumptions'!$F$16+N96*'Weights &amp; Assumptions'!$F$17+O96*'Weights &amp; Assumptions'!$F$18+P96*'Weights &amp; Assumptions'!$F$19+Q96*'Weights &amp; Assumptions'!$F$20,"")</f>
        <v>152.635256087455</v>
      </c>
      <c r="U96" s="23" t="n">
        <f aca="false">IFERROR(R96*'Weights &amp; Assumptions'!$B$25/'Weights &amp; Assumptions'!$B$28+S96*'Weights &amp; Assumptions'!$B$26/'Weights &amp; Assumptions'!$B$28+T96*'Weights &amp; Assumptions'!$B$27/'Weights &amp; Assumptions'!$B$28,"")</f>
        <v>148.063900261777</v>
      </c>
      <c r="V96" s="30" t="n">
        <f aca="false">IF(ISNUMBER(Tabelle1!E97),Tabelle1!E97*'Weights &amp; Assumptions'!$F$6+Tabelle1!F97*'Weights &amp; Assumptions'!$F$7,"")</f>
        <v>210.994890235754</v>
      </c>
      <c r="W96" s="30" t="n">
        <f aca="false">IF(ISNUMBER(Tabelle1!G97),Tabelle1!G97*'Weights &amp; Assumptions'!$F$8+Tabelle1!H97*'Weights &amp; Assumptions'!$F$9+Tabelle1!J97*'Weights &amp; Assumptions'!$F$11,"")</f>
        <v>143.172947552215</v>
      </c>
      <c r="X96" s="30" t="n">
        <f aca="false">IF(ISNUMBER(Tabelle1!I97),Tabelle1!I97*'Weights &amp; Assumptions'!$F$10+Tabelle1!K97*'Weights &amp; Assumptions'!$F$12+Tabelle1!L97*'Weights &amp; Assumptions'!$F$13+Tabelle1!M97*'Weights &amp; Assumptions'!$F$14+Tabelle1!N97*'Weights &amp; Assumptions'!$F$15+Tabelle1!O97*'Weights &amp; Assumptions'!$F$16+Tabelle1!P97*'Weights &amp; Assumptions'!$F$17+Tabelle1!Q97*'Weights &amp; Assumptions'!$F$18+Tabelle1!R97*'Weights &amp; Assumptions'!$F$19+Tabelle1!S97*'Weights &amp; Assumptions'!$F$20,"")</f>
        <v>155.558839050406</v>
      </c>
      <c r="Y96" s="23" t="n">
        <f aca="false">IFERROR(V96*'Weights &amp; Assumptions'!$B$25/'Weights &amp; Assumptions'!$B$28+W96*'Weights &amp; Assumptions'!$B$26/'Weights &amp; Assumptions'!$B$28+X96*'Weights &amp; Assumptions'!$B$27/'Weights &amp; Assumptions'!$B$28,"")</f>
        <v>156.91634497048</v>
      </c>
    </row>
    <row r="97" customFormat="false" ht="15" hidden="false" customHeight="false" outlineLevel="0" collapsed="false">
      <c r="A97" s="20" t="n">
        <v>40755</v>
      </c>
      <c r="B97" s="30" t="n">
        <f aca="false">IF(ISNUMBER(Tabelle1!D98),Tabelle1!D98,"")</f>
        <v>147.15673</v>
      </c>
      <c r="C97" s="23" t="n">
        <f aca="false">IF(ISNUMBER(Tabelle1!E98),Tabelle1!E98/'SF Workings'!F97,"")</f>
        <v>120.448530380032</v>
      </c>
      <c r="D97" s="23" t="n">
        <f aca="false">IF(ISNUMBER(Tabelle1!F98),Tabelle1!F98/'SF Workings'!J97,"")</f>
        <v>122.887291912928</v>
      </c>
      <c r="E97" s="23" t="n">
        <f aca="false">IF(ISNUMBER(Tabelle1!G98),Tabelle1!G98/'SF Workings'!N97,"")</f>
        <v>95.6932717835659</v>
      </c>
      <c r="F97" s="23" t="n">
        <f aca="false">IF(ISNUMBER(Tabelle1!H98),Tabelle1!H98/'SF Workings'!R97,"")</f>
        <v>144.81407023827</v>
      </c>
      <c r="G97" s="23" t="n">
        <f aca="false">IF(ISNUMBER(Tabelle1!I98),Tabelle1!I98/'SF Workings'!V97,"")</f>
        <v>128.406337267816</v>
      </c>
      <c r="H97" s="23" t="n">
        <f aca="false">IF(ISNUMBER(Tabelle1!J98),Tabelle1!J98/'SF Workings'!Z97,"")</f>
        <v>154.660755843015</v>
      </c>
      <c r="I97" s="23" t="n">
        <f aca="false">IF(ISNUMBER(Tabelle1!K98),Tabelle1!K98/'SF Workings'!AD97,"")</f>
        <v>160.524575084519</v>
      </c>
      <c r="J97" s="23" t="n">
        <f aca="false">IF(ISNUMBER(Tabelle1!L98),Tabelle1!L98/'SF Workings'!AH97,"")</f>
        <v>157.175433960733</v>
      </c>
      <c r="K97" s="23" t="n">
        <f aca="false">IF(ISNUMBER(Tabelle1!M98),Tabelle1!M98/'SF Workings'!AL97,"")</f>
        <v>173.095870488797</v>
      </c>
      <c r="L97" s="23" t="n">
        <f aca="false">IF(ISNUMBER(Tabelle1!N98),Tabelle1!N98/'SF Workings'!AP97,"")</f>
        <v>164.705705715352</v>
      </c>
      <c r="M97" s="23" t="n">
        <f aca="false">IF(ISNUMBER(Tabelle1!O98),Tabelle1!O98/'SF Workings'!AT97,"")</f>
        <v>133.931957905272</v>
      </c>
      <c r="N97" s="23" t="n">
        <f aca="false">IF(ISNUMBER(Tabelle1!P98),Tabelle1!P98/'SF Workings'!AX97,"")</f>
        <v>132.492199120388</v>
      </c>
      <c r="O97" s="23" t="n">
        <f aca="false">IF(ISNUMBER(Tabelle1!Q98),Tabelle1!Q98/'SF Workings'!BB97,"")</f>
        <v>135.093021169482</v>
      </c>
      <c r="P97" s="23" t="n">
        <f aca="false">IF(ISNUMBER(Tabelle1!R98),Tabelle1!R98/'SF Workings'!BF97,"")</f>
        <v>150.753548738095</v>
      </c>
      <c r="Q97" s="23" t="n">
        <f aca="false">IF(ISNUMBER(Tabelle1!S98),Tabelle1!S98/'SF Workings'!BJ97,"")</f>
        <v>149.098575154548</v>
      </c>
      <c r="R97" s="23" t="n">
        <f aca="false">IFERROR(C97*'Weights &amp; Assumptions'!$F$6+D97*'Weights &amp; Assumptions'!$F$7,"")</f>
        <v>120.478411392842</v>
      </c>
      <c r="S97" s="23" t="n">
        <f aca="false">IFERROR(E97*'Weights &amp; Assumptions'!$F$8+F97*'Weights &amp; Assumptions'!$F$9+H97*'Weights &amp; Assumptions'!$F$11,"")</f>
        <v>141.000456611171</v>
      </c>
      <c r="T97" s="23" t="n">
        <f aca="false">IFERROR(G97*'Weights &amp; Assumptions'!$F$10+I97*'Weights &amp; Assumptions'!$F$12+J97*'Weights &amp; Assumptions'!$F$13+K97*'Weights &amp; Assumptions'!$F$14+L97*'Weights &amp; Assumptions'!$F$15+M97*'Weights &amp; Assumptions'!$F$16+N97*'Weights &amp; Assumptions'!$F$17+O97*'Weights &amp; Assumptions'!$F$18+P97*'Weights &amp; Assumptions'!$F$19+Q97*'Weights &amp; Assumptions'!$F$20,"")</f>
        <v>150.327421461679</v>
      </c>
      <c r="U97" s="23" t="n">
        <f aca="false">IFERROR(R97*'Weights &amp; Assumptions'!$B$25/'Weights &amp; Assumptions'!$B$28+S97*'Weights &amp; Assumptions'!$B$26/'Weights &amp; Assumptions'!$B$28+T97*'Weights &amp; Assumptions'!$B$27/'Weights &amp; Assumptions'!$B$28,"")</f>
        <v>145.342861797895</v>
      </c>
      <c r="V97" s="30" t="n">
        <f aca="false">IF(ISNUMBER(Tabelle1!E98),Tabelle1!E98*'Weights &amp; Assumptions'!$F$6+Tabelle1!F98*'Weights &amp; Assumptions'!$F$7,"")</f>
        <v>106.968859708704</v>
      </c>
      <c r="W97" s="30" t="n">
        <f aca="false">IF(ISNUMBER(Tabelle1!G98),Tabelle1!G98*'Weights &amp; Assumptions'!$F$8+Tabelle1!H98*'Weights &amp; Assumptions'!$F$9+Tabelle1!J98*'Weights &amp; Assumptions'!$F$11,"")</f>
        <v>144.061485277153</v>
      </c>
      <c r="X97" s="30" t="n">
        <f aca="false">IF(ISNUMBER(Tabelle1!I98),Tabelle1!I98*'Weights &amp; Assumptions'!$F$10+Tabelle1!K98*'Weights &amp; Assumptions'!$F$12+Tabelle1!L98*'Weights &amp; Assumptions'!$F$13+Tabelle1!M98*'Weights &amp; Assumptions'!$F$14+Tabelle1!N98*'Weights &amp; Assumptions'!$F$15+Tabelle1!O98*'Weights &amp; Assumptions'!$F$16+Tabelle1!P98*'Weights &amp; Assumptions'!$F$17+Tabelle1!Q98*'Weights &amp; Assumptions'!$F$18+Tabelle1!R98*'Weights &amp; Assumptions'!$F$19+Tabelle1!S98*'Weights &amp; Assumptions'!$F$20,"")</f>
        <v>152.779111850971</v>
      </c>
      <c r="Y97" s="23" t="n">
        <f aca="false">IFERROR(V97*'Weights &amp; Assumptions'!$B$25/'Weights &amp; Assumptions'!$B$28+W97*'Weights &amp; Assumptions'!$B$26/'Weights &amp; Assumptions'!$B$28+X97*'Weights &amp; Assumptions'!$B$27/'Weights &amp; Assumptions'!$B$28,"")</f>
        <v>146.617424386101</v>
      </c>
    </row>
    <row r="98" customFormat="false" ht="15" hidden="false" customHeight="false" outlineLevel="0" collapsed="false">
      <c r="A98" s="20" t="n">
        <v>40786</v>
      </c>
      <c r="B98" s="30" t="n">
        <f aca="false">IF(ISNUMBER(Tabelle1!D99),Tabelle1!D99,"")</f>
        <v>146.95911</v>
      </c>
      <c r="C98" s="23" t="n">
        <f aca="false">IF(ISNUMBER(Tabelle1!E99),Tabelle1!E99/'SF Workings'!F98,"")</f>
        <v>120.230439537822</v>
      </c>
      <c r="D98" s="23" t="n">
        <f aca="false">IF(ISNUMBER(Tabelle1!F99),Tabelle1!F99/'SF Workings'!J98,"")</f>
        <v>140.857154871122</v>
      </c>
      <c r="E98" s="23" t="n">
        <f aca="false">IF(ISNUMBER(Tabelle1!G99),Tabelle1!G99/'SF Workings'!N98,"")</f>
        <v>99.8499176467224</v>
      </c>
      <c r="F98" s="23" t="n">
        <f aca="false">IF(ISNUMBER(Tabelle1!H99),Tabelle1!H99/'SF Workings'!R98,"")</f>
        <v>145.524660871315</v>
      </c>
      <c r="G98" s="23" t="n">
        <f aca="false">IF(ISNUMBER(Tabelle1!I99),Tabelle1!I99/'SF Workings'!V98,"")</f>
        <v>130.43425403941</v>
      </c>
      <c r="H98" s="23" t="n">
        <f aca="false">IF(ISNUMBER(Tabelle1!J99),Tabelle1!J99/'SF Workings'!Z98,"")</f>
        <v>156.317398968348</v>
      </c>
      <c r="I98" s="23" t="n">
        <f aca="false">IF(ISNUMBER(Tabelle1!K99),Tabelle1!K99/'SF Workings'!AD98,"")</f>
        <v>169.343566967597</v>
      </c>
      <c r="J98" s="23" t="n">
        <f aca="false">IF(ISNUMBER(Tabelle1!L99),Tabelle1!L99/'SF Workings'!AH98,"")</f>
        <v>156.012397223573</v>
      </c>
      <c r="K98" s="23" t="n">
        <f aca="false">IF(ISNUMBER(Tabelle1!M99),Tabelle1!M99/'SF Workings'!AL98,"")</f>
        <v>176.641088076551</v>
      </c>
      <c r="L98" s="23" t="n">
        <f aca="false">IF(ISNUMBER(Tabelle1!N99),Tabelle1!N99/'SF Workings'!AP98,"")</f>
        <v>169.801936213789</v>
      </c>
      <c r="M98" s="23" t="n">
        <f aca="false">IF(ISNUMBER(Tabelle1!O99),Tabelle1!O99/'SF Workings'!AT98,"")</f>
        <v>135.517782494752</v>
      </c>
      <c r="N98" s="23" t="n">
        <f aca="false">IF(ISNUMBER(Tabelle1!P99),Tabelle1!P99/'SF Workings'!AX98,"")</f>
        <v>133.080528880861</v>
      </c>
      <c r="O98" s="23" t="n">
        <f aca="false">IF(ISNUMBER(Tabelle1!Q99),Tabelle1!Q99/'SF Workings'!BB98,"")</f>
        <v>135.780971200458</v>
      </c>
      <c r="P98" s="23" t="n">
        <f aca="false">IF(ISNUMBER(Tabelle1!R99),Tabelle1!R99/'SF Workings'!BF98,"")</f>
        <v>149.895812683002</v>
      </c>
      <c r="Q98" s="23" t="n">
        <f aca="false">IF(ISNUMBER(Tabelle1!S99),Tabelle1!S99/'SF Workings'!BJ98,"")</f>
        <v>147.154374623812</v>
      </c>
      <c r="R98" s="23" t="n">
        <f aca="false">IFERROR(C98*'Weights &amp; Assumptions'!$F$6+D98*'Weights &amp; Assumptions'!$F$7,"")</f>
        <v>120.483169104367</v>
      </c>
      <c r="S98" s="23" t="n">
        <f aca="false">IFERROR(E98*'Weights &amp; Assumptions'!$F$8+F98*'Weights &amp; Assumptions'!$F$9+H98*'Weights &amp; Assumptions'!$F$11,"")</f>
        <v>142.319583422555</v>
      </c>
      <c r="T98" s="23" t="n">
        <f aca="false">IFERROR(G98*'Weights &amp; Assumptions'!$F$10+I98*'Weights &amp; Assumptions'!$F$12+J98*'Weights &amp; Assumptions'!$F$13+K98*'Weights &amp; Assumptions'!$F$14+L98*'Weights &amp; Assumptions'!$F$15+M98*'Weights &amp; Assumptions'!$F$16+N98*'Weights &amp; Assumptions'!$F$17+O98*'Weights &amp; Assumptions'!$F$18+P98*'Weights &amp; Assumptions'!$F$19+Q98*'Weights &amp; Assumptions'!$F$20,"")</f>
        <v>153.29017808241</v>
      </c>
      <c r="U98" s="23" t="n">
        <f aca="false">IFERROR(R98*'Weights &amp; Assumptions'!$B$25/'Weights &amp; Assumptions'!$B$28+S98*'Weights &amp; Assumptions'!$B$26/'Weights &amp; Assumptions'!$B$28+T98*'Weights &amp; Assumptions'!$B$27/'Weights &amp; Assumptions'!$B$28,"")</f>
        <v>147.620369971</v>
      </c>
      <c r="V98" s="30" t="n">
        <f aca="false">IF(ISNUMBER(Tabelle1!E99),Tabelle1!E99*'Weights &amp; Assumptions'!$F$6+Tabelle1!F99*'Weights &amp; Assumptions'!$F$7,"")</f>
        <v>70.5485975297076</v>
      </c>
      <c r="W98" s="30" t="n">
        <f aca="false">IF(ISNUMBER(Tabelle1!G99),Tabelle1!G99*'Weights &amp; Assumptions'!$F$8+Tabelle1!H99*'Weights &amp; Assumptions'!$F$9+Tabelle1!J99*'Weights &amp; Assumptions'!$F$11,"")</f>
        <v>146.720257477493</v>
      </c>
      <c r="X98" s="30" t="n">
        <f aca="false">IF(ISNUMBER(Tabelle1!I99),Tabelle1!I99*'Weights &amp; Assumptions'!$F$10+Tabelle1!K99*'Weights &amp; Assumptions'!$F$12+Tabelle1!L99*'Weights &amp; Assumptions'!$F$13+Tabelle1!M99*'Weights &amp; Assumptions'!$F$14+Tabelle1!N99*'Weights &amp; Assumptions'!$F$15+Tabelle1!O99*'Weights &amp; Assumptions'!$F$16+Tabelle1!P99*'Weights &amp; Assumptions'!$F$17+Tabelle1!Q99*'Weights &amp; Assumptions'!$F$18+Tabelle1!R99*'Weights &amp; Assumptions'!$F$19+Tabelle1!S99*'Weights &amp; Assumptions'!$F$20,"")</f>
        <v>155.061910332922</v>
      </c>
      <c r="Y98" s="23" t="n">
        <f aca="false">IFERROR(V98*'Weights &amp; Assumptions'!$B$25/'Weights &amp; Assumptions'!$B$28+W98*'Weights &amp; Assumptions'!$B$26/'Weights &amp; Assumptions'!$B$28+X98*'Weights &amp; Assumptions'!$B$27/'Weights &amp; Assumptions'!$B$28,"")</f>
        <v>145.752981849266</v>
      </c>
    </row>
    <row r="99" customFormat="false" ht="15" hidden="false" customHeight="false" outlineLevel="0" collapsed="false">
      <c r="A99" s="20" t="n">
        <v>40816</v>
      </c>
      <c r="B99" s="30" t="n">
        <f aca="false">IF(ISNUMBER(Tabelle1!D100),Tabelle1!D100,"")</f>
        <v>148.26517</v>
      </c>
      <c r="C99" s="23" t="n">
        <f aca="false">IF(ISNUMBER(Tabelle1!E100),Tabelle1!E100/'SF Workings'!F99,"")</f>
        <v>120.251073386727</v>
      </c>
      <c r="D99" s="23" t="n">
        <f aca="false">IF(ISNUMBER(Tabelle1!F100),Tabelle1!F100/'SF Workings'!J99,"")</f>
        <v>126.760841171942</v>
      </c>
      <c r="E99" s="23" t="n">
        <f aca="false">IF(ISNUMBER(Tabelle1!G100),Tabelle1!G100/'SF Workings'!N99,"")</f>
        <v>98.7358733820858</v>
      </c>
      <c r="F99" s="23" t="n">
        <f aca="false">IF(ISNUMBER(Tabelle1!H100),Tabelle1!H100/'SF Workings'!R99,"")</f>
        <v>146.335469209788</v>
      </c>
      <c r="G99" s="23" t="n">
        <f aca="false">IF(ISNUMBER(Tabelle1!I100),Tabelle1!I100/'SF Workings'!V99,"")</f>
        <v>125.331262459238</v>
      </c>
      <c r="H99" s="23" t="n">
        <f aca="false">IF(ISNUMBER(Tabelle1!J100),Tabelle1!J100/'SF Workings'!Z99,"")</f>
        <v>157.492731457208</v>
      </c>
      <c r="I99" s="23" t="n">
        <f aca="false">IF(ISNUMBER(Tabelle1!K100),Tabelle1!K100/'SF Workings'!AD99,"")</f>
        <v>170.934752770443</v>
      </c>
      <c r="J99" s="23" t="n">
        <f aca="false">IF(ISNUMBER(Tabelle1!L100),Tabelle1!L100/'SF Workings'!AH99,"")</f>
        <v>158.881158676154</v>
      </c>
      <c r="K99" s="23" t="n">
        <f aca="false">IF(ISNUMBER(Tabelle1!M100),Tabelle1!M100/'SF Workings'!AL99,"")</f>
        <v>178.176845449693</v>
      </c>
      <c r="L99" s="23" t="n">
        <f aca="false">IF(ISNUMBER(Tabelle1!N100),Tabelle1!N100/'SF Workings'!AP99,"")</f>
        <v>172.139635926868</v>
      </c>
      <c r="M99" s="23" t="n">
        <f aca="false">IF(ISNUMBER(Tabelle1!O100),Tabelle1!O100/'SF Workings'!AT99,"")</f>
        <v>135.723379964136</v>
      </c>
      <c r="N99" s="23" t="n">
        <f aca="false">IF(ISNUMBER(Tabelle1!P100),Tabelle1!P100/'SF Workings'!AX99,"")</f>
        <v>133.578645195171</v>
      </c>
      <c r="O99" s="23" t="n">
        <f aca="false">IF(ISNUMBER(Tabelle1!Q100),Tabelle1!Q100/'SF Workings'!BB99,"")</f>
        <v>136.122079459551</v>
      </c>
      <c r="P99" s="23" t="n">
        <f aca="false">IF(ISNUMBER(Tabelle1!R100),Tabelle1!R100/'SF Workings'!BF99,"")</f>
        <v>150.817859735093</v>
      </c>
      <c r="Q99" s="23" t="n">
        <f aca="false">IF(ISNUMBER(Tabelle1!S100),Tabelle1!S100/'SF Workings'!BJ99,"")</f>
        <v>146.382593267052</v>
      </c>
      <c r="R99" s="23" t="n">
        <f aca="false">IFERROR(C99*'Weights &amp; Assumptions'!$F$6+D99*'Weights &amp; Assumptions'!$F$7,"")</f>
        <v>120.330834549087</v>
      </c>
      <c r="S99" s="23" t="n">
        <f aca="false">IFERROR(E99*'Weights &amp; Assumptions'!$F$8+F99*'Weights &amp; Assumptions'!$F$9+H99*'Weights &amp; Assumptions'!$F$11,"")</f>
        <v>142.976507759983</v>
      </c>
      <c r="T99" s="23" t="n">
        <f aca="false">IFERROR(G99*'Weights &amp; Assumptions'!$F$10+I99*'Weights &amp; Assumptions'!$F$12+J99*'Weights &amp; Assumptions'!$F$13+K99*'Weights &amp; Assumptions'!$F$14+L99*'Weights &amp; Assumptions'!$F$15+M99*'Weights &amp; Assumptions'!$F$16+N99*'Weights &amp; Assumptions'!$F$17+O99*'Weights &amp; Assumptions'!$F$18+P99*'Weights &amp; Assumptions'!$F$19+Q99*'Weights &amp; Assumptions'!$F$20,"")</f>
        <v>154.143980546219</v>
      </c>
      <c r="U99" s="23" t="n">
        <f aca="false">IFERROR(R99*'Weights &amp; Assumptions'!$B$25/'Weights &amp; Assumptions'!$B$28+S99*'Weights &amp; Assumptions'!$B$26/'Weights &amp; Assumptions'!$B$28+T99*'Weights &amp; Assumptions'!$B$27/'Weights &amp; Assumptions'!$B$28,"")</f>
        <v>148.337403368698</v>
      </c>
      <c r="V99" s="30" t="n">
        <f aca="false">IF(ISNUMBER(Tabelle1!E100),Tabelle1!E100*'Weights &amp; Assumptions'!$F$6+Tabelle1!F100*'Weights &amp; Assumptions'!$F$7,"")</f>
        <v>67.0550094246791</v>
      </c>
      <c r="W99" s="30" t="n">
        <f aca="false">IF(ISNUMBER(Tabelle1!G100),Tabelle1!G100*'Weights &amp; Assumptions'!$F$8+Tabelle1!H100*'Weights &amp; Assumptions'!$F$9+Tabelle1!J100*'Weights &amp; Assumptions'!$F$11,"")</f>
        <v>148.55414500628</v>
      </c>
      <c r="X99" s="30" t="n">
        <f aca="false">IF(ISNUMBER(Tabelle1!I100),Tabelle1!I100*'Weights &amp; Assumptions'!$F$10+Tabelle1!K100*'Weights &amp; Assumptions'!$F$12+Tabelle1!L100*'Weights &amp; Assumptions'!$F$13+Tabelle1!M100*'Weights &amp; Assumptions'!$F$14+Tabelle1!N100*'Weights &amp; Assumptions'!$F$15+Tabelle1!O100*'Weights &amp; Assumptions'!$F$16+Tabelle1!P100*'Weights &amp; Assumptions'!$F$17+Tabelle1!Q100*'Weights &amp; Assumptions'!$F$18+Tabelle1!R100*'Weights &amp; Assumptions'!$F$19+Tabelle1!S100*'Weights &amp; Assumptions'!$F$20,"")</f>
        <v>155.027186600419</v>
      </c>
      <c r="Y99" s="23" t="n">
        <f aca="false">IFERROR(V99*'Weights &amp; Assumptions'!$B$25/'Weights &amp; Assumptions'!$B$28+W99*'Weights &amp; Assumptions'!$B$26/'Weights &amp; Assumptions'!$B$28+X99*'Weights &amp; Assumptions'!$B$27/'Weights &amp; Assumptions'!$B$28,"")</f>
        <v>145.924952893034</v>
      </c>
    </row>
    <row r="100" customFormat="false" ht="15" hidden="false" customHeight="false" outlineLevel="0" collapsed="false">
      <c r="A100" s="20" t="n">
        <v>40847</v>
      </c>
      <c r="B100" s="30" t="n">
        <f aca="false">IF(ISNUMBER(Tabelle1!D101),Tabelle1!D101,"")</f>
        <v>147.29114</v>
      </c>
      <c r="C100" s="23" t="n">
        <f aca="false">IF(ISNUMBER(Tabelle1!E101),Tabelle1!E101/'SF Workings'!F100,"")</f>
        <v>121.121157995537</v>
      </c>
      <c r="D100" s="23" t="n">
        <f aca="false">IF(ISNUMBER(Tabelle1!F101),Tabelle1!F101/'SF Workings'!J100,"")</f>
        <v>136.894911275782</v>
      </c>
      <c r="E100" s="23" t="n">
        <f aca="false">IF(ISNUMBER(Tabelle1!G101),Tabelle1!G101/'SF Workings'!N100,"")</f>
        <v>99.0766334541229</v>
      </c>
      <c r="F100" s="23" t="n">
        <f aca="false">IF(ISNUMBER(Tabelle1!H101),Tabelle1!H101/'SF Workings'!R100,"")</f>
        <v>142.750172952569</v>
      </c>
      <c r="G100" s="23" t="n">
        <f aca="false">IF(ISNUMBER(Tabelle1!I101),Tabelle1!I101/'SF Workings'!V100,"")</f>
        <v>128.539865105886</v>
      </c>
      <c r="H100" s="23" t="n">
        <f aca="false">IF(ISNUMBER(Tabelle1!J101),Tabelle1!J101/'SF Workings'!Z100,"")</f>
        <v>153.317150128291</v>
      </c>
      <c r="I100" s="23" t="n">
        <f aca="false">IF(ISNUMBER(Tabelle1!K101),Tabelle1!K101/'SF Workings'!AD100,"")</f>
        <v>163.923589155861</v>
      </c>
      <c r="J100" s="23" t="n">
        <f aca="false">IF(ISNUMBER(Tabelle1!L101),Tabelle1!L101/'SF Workings'!AH100,"")</f>
        <v>156.023239432149</v>
      </c>
      <c r="K100" s="23" t="n">
        <f aca="false">IF(ISNUMBER(Tabelle1!M101),Tabelle1!M101/'SF Workings'!AL100,"")</f>
        <v>175.697365471859</v>
      </c>
      <c r="L100" s="23" t="n">
        <f aca="false">IF(ISNUMBER(Tabelle1!N101),Tabelle1!N101/'SF Workings'!AP100,"")</f>
        <v>169.236606713525</v>
      </c>
      <c r="M100" s="23" t="n">
        <f aca="false">IF(ISNUMBER(Tabelle1!O101),Tabelle1!O101/'SF Workings'!AT100,"")</f>
        <v>135.727837770216</v>
      </c>
      <c r="N100" s="23" t="n">
        <f aca="false">IF(ISNUMBER(Tabelle1!P101),Tabelle1!P101/'SF Workings'!AX100,"")</f>
        <v>133.314473403288</v>
      </c>
      <c r="O100" s="23" t="n">
        <f aca="false">IF(ISNUMBER(Tabelle1!Q101),Tabelle1!Q101/'SF Workings'!BB100,"")</f>
        <v>136.229418210227</v>
      </c>
      <c r="P100" s="23" t="n">
        <f aca="false">IF(ISNUMBER(Tabelle1!R101),Tabelle1!R101/'SF Workings'!BF100,"")</f>
        <v>150.412322560911</v>
      </c>
      <c r="Q100" s="23" t="n">
        <f aca="false">IF(ISNUMBER(Tabelle1!S101),Tabelle1!S101/'SF Workings'!BJ100,"")</f>
        <v>152.400919055765</v>
      </c>
      <c r="R100" s="23" t="n">
        <f aca="false">IFERROR(C100*'Weights &amp; Assumptions'!$F$6+D100*'Weights &amp; Assumptions'!$F$7,"")</f>
        <v>121.314426471147</v>
      </c>
      <c r="S100" s="23" t="n">
        <f aca="false">IFERROR(E100*'Weights &amp; Assumptions'!$F$8+F100*'Weights &amp; Assumptions'!$F$9+H100*'Weights &amp; Assumptions'!$F$11,"")</f>
        <v>139.737003312033</v>
      </c>
      <c r="T100" s="23" t="n">
        <f aca="false">IFERROR(G100*'Weights &amp; Assumptions'!$F$10+I100*'Weights &amp; Assumptions'!$F$12+J100*'Weights &amp; Assumptions'!$F$13+K100*'Weights &amp; Assumptions'!$F$14+L100*'Weights &amp; Assumptions'!$F$15+M100*'Weights &amp; Assumptions'!$F$16+N100*'Weights &amp; Assumptions'!$F$17+O100*'Weights &amp; Assumptions'!$F$18+P100*'Weights &amp; Assumptions'!$F$19+Q100*'Weights &amp; Assumptions'!$F$20,"")</f>
        <v>152.37674318509</v>
      </c>
      <c r="U100" s="23" t="n">
        <f aca="false">IFERROR(R100*'Weights &amp; Assumptions'!$B$25/'Weights &amp; Assumptions'!$B$28+S100*'Weights &amp; Assumptions'!$B$26/'Weights &amp; Assumptions'!$B$28+T100*'Weights &amp; Assumptions'!$B$27/'Weights &amp; Assumptions'!$B$28,"")</f>
        <v>146.409461337474</v>
      </c>
      <c r="V100" s="30" t="n">
        <f aca="false">IF(ISNUMBER(Tabelle1!E101),Tabelle1!E101*'Weights &amp; Assumptions'!$F$6+Tabelle1!F101*'Weights &amp; Assumptions'!$F$7,"")</f>
        <v>69.2816054272297</v>
      </c>
      <c r="W100" s="30" t="n">
        <f aca="false">IF(ISNUMBER(Tabelle1!G101),Tabelle1!G101*'Weights &amp; Assumptions'!$F$8+Tabelle1!H101*'Weights &amp; Assumptions'!$F$9+Tabelle1!J101*'Weights &amp; Assumptions'!$F$11,"")</f>
        <v>147.121347462488</v>
      </c>
      <c r="X100" s="30" t="n">
        <f aca="false">IF(ISNUMBER(Tabelle1!I101),Tabelle1!I101*'Weights &amp; Assumptions'!$F$10+Tabelle1!K101*'Weights &amp; Assumptions'!$F$12+Tabelle1!L101*'Weights &amp; Assumptions'!$F$13+Tabelle1!M101*'Weights &amp; Assumptions'!$F$14+Tabelle1!N101*'Weights &amp; Assumptions'!$F$15+Tabelle1!O101*'Weights &amp; Assumptions'!$F$16+Tabelle1!P101*'Weights &amp; Assumptions'!$F$17+Tabelle1!Q101*'Weights &amp; Assumptions'!$F$18+Tabelle1!R101*'Weights &amp; Assumptions'!$F$19+Tabelle1!S101*'Weights &amp; Assumptions'!$F$20,"")</f>
        <v>153.827299779001</v>
      </c>
      <c r="Y100" s="23" t="n">
        <f aca="false">IFERROR(V100*'Weights &amp; Assumptions'!$B$25/'Weights &amp; Assumptions'!$B$28+W100*'Weights &amp; Assumptions'!$B$26/'Weights &amp; Assumptions'!$B$28+X100*'Weights &amp; Assumptions'!$B$27/'Weights &amp; Assumptions'!$B$28,"")</f>
        <v>144.950615802458</v>
      </c>
    </row>
    <row r="101" customFormat="false" ht="15" hidden="false" customHeight="false" outlineLevel="0" collapsed="false">
      <c r="A101" s="20" t="n">
        <v>40877</v>
      </c>
      <c r="B101" s="30" t="n">
        <f aca="false">IF(ISNUMBER(Tabelle1!D102),Tabelle1!D102,"")</f>
        <v>147.21589</v>
      </c>
      <c r="C101" s="23" t="n">
        <f aca="false">IF(ISNUMBER(Tabelle1!E102),Tabelle1!E102/'SF Workings'!F101,"")</f>
        <v>124.439882029865</v>
      </c>
      <c r="D101" s="23" t="n">
        <f aca="false">IF(ISNUMBER(Tabelle1!F102),Tabelle1!F102/'SF Workings'!J101,"")</f>
        <v>106.071282639773</v>
      </c>
      <c r="E101" s="23" t="n">
        <f aca="false">IF(ISNUMBER(Tabelle1!G102),Tabelle1!G102/'SF Workings'!N101,"")</f>
        <v>100.330026369941</v>
      </c>
      <c r="F101" s="23" t="n">
        <f aca="false">IF(ISNUMBER(Tabelle1!H102),Tabelle1!H102/'SF Workings'!R101,"")</f>
        <v>142.571208761366</v>
      </c>
      <c r="G101" s="23" t="n">
        <f aca="false">IF(ISNUMBER(Tabelle1!I102),Tabelle1!I102/'SF Workings'!V101,"")</f>
        <v>133.976191256831</v>
      </c>
      <c r="H101" s="23" t="n">
        <f aca="false">IF(ISNUMBER(Tabelle1!J102),Tabelle1!J102/'SF Workings'!Z101,"")</f>
        <v>155.282564463617</v>
      </c>
      <c r="I101" s="23" t="n">
        <f aca="false">IF(ISNUMBER(Tabelle1!K102),Tabelle1!K102/'SF Workings'!AD101,"")</f>
        <v>164.90436246839</v>
      </c>
      <c r="J101" s="23" t="n">
        <f aca="false">IF(ISNUMBER(Tabelle1!L102),Tabelle1!L102/'SF Workings'!AH101,"")</f>
        <v>156.549965179146</v>
      </c>
      <c r="K101" s="23" t="n">
        <f aca="false">IF(ISNUMBER(Tabelle1!M102),Tabelle1!M102/'SF Workings'!AL101,"")</f>
        <v>176.113860666635</v>
      </c>
      <c r="L101" s="23" t="n">
        <f aca="false">IF(ISNUMBER(Tabelle1!N102),Tabelle1!N102/'SF Workings'!AP101,"")</f>
        <v>171.076452350296</v>
      </c>
      <c r="M101" s="23" t="n">
        <f aca="false">IF(ISNUMBER(Tabelle1!O102),Tabelle1!O102/'SF Workings'!AT101,"")</f>
        <v>137.925882843994</v>
      </c>
      <c r="N101" s="23" t="n">
        <f aca="false">IF(ISNUMBER(Tabelle1!P102),Tabelle1!P102/'SF Workings'!AX101,"")</f>
        <v>133.165357663331</v>
      </c>
      <c r="O101" s="23" t="n">
        <f aca="false">IF(ISNUMBER(Tabelle1!Q102),Tabelle1!Q102/'SF Workings'!BB101,"")</f>
        <v>136.159070583415</v>
      </c>
      <c r="P101" s="23" t="n">
        <f aca="false">IF(ISNUMBER(Tabelle1!R102),Tabelle1!R102/'SF Workings'!BF101,"")</f>
        <v>150.869480253382</v>
      </c>
      <c r="Q101" s="23" t="n">
        <f aca="false">IF(ISNUMBER(Tabelle1!S102),Tabelle1!S102/'SF Workings'!BJ101,"")</f>
        <v>151.685595077851</v>
      </c>
      <c r="R101" s="23" t="n">
        <f aca="false">IFERROR(C101*'Weights &amp; Assumptions'!$F$6+D101*'Weights &amp; Assumptions'!$F$7,"")</f>
        <v>124.21482010959</v>
      </c>
      <c r="S101" s="23" t="n">
        <f aca="false">IFERROR(E101*'Weights &amp; Assumptions'!$F$8+F101*'Weights &amp; Assumptions'!$F$9+H101*'Weights &amp; Assumptions'!$F$11,"")</f>
        <v>140.175783972182</v>
      </c>
      <c r="T101" s="23" t="n">
        <f aca="false">IFERROR(G101*'Weights &amp; Assumptions'!$F$10+I101*'Weights &amp; Assumptions'!$F$12+J101*'Weights &amp; Assumptions'!$F$13+K101*'Weights &amp; Assumptions'!$F$14+L101*'Weights &amp; Assumptions'!$F$15+M101*'Weights &amp; Assumptions'!$F$16+N101*'Weights &amp; Assumptions'!$F$17+O101*'Weights &amp; Assumptions'!$F$18+P101*'Weights &amp; Assumptions'!$F$19+Q101*'Weights &amp; Assumptions'!$F$20,"")</f>
        <v>153.379464133086</v>
      </c>
      <c r="U101" s="23" t="n">
        <f aca="false">IFERROR(R101*'Weights &amp; Assumptions'!$B$25/'Weights &amp; Assumptions'!$B$28+S101*'Weights &amp; Assumptions'!$B$26/'Weights &amp; Assumptions'!$B$28+T101*'Weights &amp; Assumptions'!$B$27/'Weights &amp; Assumptions'!$B$28,"")</f>
        <v>147.421437029898</v>
      </c>
      <c r="V101" s="30" t="n">
        <f aca="false">IF(ISNUMBER(Tabelle1!E102),Tabelle1!E102*'Weights &amp; Assumptions'!$F$6+Tabelle1!F102*'Weights &amp; Assumptions'!$F$7,"")</f>
        <v>85.956516950096</v>
      </c>
      <c r="W101" s="30" t="n">
        <f aca="false">IF(ISNUMBER(Tabelle1!G102),Tabelle1!G102*'Weights &amp; Assumptions'!$F$8+Tabelle1!H102*'Weights &amp; Assumptions'!$F$9+Tabelle1!J102*'Weights &amp; Assumptions'!$F$11,"")</f>
        <v>143.615478473251</v>
      </c>
      <c r="X101" s="30" t="n">
        <f aca="false">IF(ISNUMBER(Tabelle1!I102),Tabelle1!I102*'Weights &amp; Assumptions'!$F$10+Tabelle1!K102*'Weights &amp; Assumptions'!$F$12+Tabelle1!L102*'Weights &amp; Assumptions'!$F$13+Tabelle1!M102*'Weights &amp; Assumptions'!$F$14+Tabelle1!N102*'Weights &amp; Assumptions'!$F$15+Tabelle1!O102*'Weights &amp; Assumptions'!$F$16+Tabelle1!P102*'Weights &amp; Assumptions'!$F$17+Tabelle1!Q102*'Weights &amp; Assumptions'!$F$18+Tabelle1!R102*'Weights &amp; Assumptions'!$F$19+Tabelle1!S102*'Weights &amp; Assumptions'!$F$20,"")</f>
        <v>153.941622855688</v>
      </c>
      <c r="Y101" s="23" t="n">
        <f aca="false">IFERROR(V101*'Weights &amp; Assumptions'!$B$25/'Weights &amp; Assumptions'!$B$28+W101*'Weights &amp; Assumptions'!$B$26/'Weights &amp; Assumptions'!$B$28+X101*'Weights &amp; Assumptions'!$B$27/'Weights &amp; Assumptions'!$B$28,"")</f>
        <v>145.491713723033</v>
      </c>
    </row>
    <row r="102" customFormat="false" ht="15" hidden="false" customHeight="false" outlineLevel="0" collapsed="false">
      <c r="A102" s="20" t="n">
        <v>40908</v>
      </c>
      <c r="B102" s="30" t="n">
        <f aca="false">IF(ISNUMBER(Tabelle1!D103),Tabelle1!D103,"")</f>
        <v>147.84559</v>
      </c>
      <c r="C102" s="23" t="n">
        <f aca="false">IF(ISNUMBER(Tabelle1!E103),Tabelle1!E103/'SF Workings'!F102,"")</f>
        <v>132.837742434126</v>
      </c>
      <c r="D102" s="23" t="n">
        <f aca="false">IF(ISNUMBER(Tabelle1!F103),Tabelle1!F103/'SF Workings'!J102,"")</f>
        <v>114.464447593683</v>
      </c>
      <c r="E102" s="23" t="n">
        <f aca="false">IF(ISNUMBER(Tabelle1!G103),Tabelle1!G103/'SF Workings'!N102,"")</f>
        <v>98.7718360944536</v>
      </c>
      <c r="F102" s="23" t="n">
        <f aca="false">IF(ISNUMBER(Tabelle1!H103),Tabelle1!H103/'SF Workings'!R102,"")</f>
        <v>142.197515491772</v>
      </c>
      <c r="G102" s="23" t="n">
        <f aca="false">IF(ISNUMBER(Tabelle1!I103),Tabelle1!I103/'SF Workings'!V102,"")</f>
        <v>132.69546945714</v>
      </c>
      <c r="H102" s="23" t="n">
        <f aca="false">IF(ISNUMBER(Tabelle1!J103),Tabelle1!J103/'SF Workings'!Z102,"")</f>
        <v>155.177791192617</v>
      </c>
      <c r="I102" s="23" t="n">
        <f aca="false">IF(ISNUMBER(Tabelle1!K103),Tabelle1!K103/'SF Workings'!AD102,"")</f>
        <v>165.395272415793</v>
      </c>
      <c r="J102" s="23" t="n">
        <f aca="false">IF(ISNUMBER(Tabelle1!L103),Tabelle1!L103/'SF Workings'!AH102,"")</f>
        <v>155.774270737622</v>
      </c>
      <c r="K102" s="23" t="n">
        <f aca="false">IF(ISNUMBER(Tabelle1!M103),Tabelle1!M103/'SF Workings'!AL102,"")</f>
        <v>177.245414390386</v>
      </c>
      <c r="L102" s="23" t="n">
        <f aca="false">IF(ISNUMBER(Tabelle1!N103),Tabelle1!N103/'SF Workings'!AP102,"")</f>
        <v>170.987337086107</v>
      </c>
      <c r="M102" s="23" t="n">
        <f aca="false">IF(ISNUMBER(Tabelle1!O103),Tabelle1!O103/'SF Workings'!AT102,"")</f>
        <v>137.064094602611</v>
      </c>
      <c r="N102" s="23" t="n">
        <f aca="false">IF(ISNUMBER(Tabelle1!P103),Tabelle1!P103/'SF Workings'!AX102,"")</f>
        <v>133.873529768766</v>
      </c>
      <c r="O102" s="23" t="n">
        <f aca="false">IF(ISNUMBER(Tabelle1!Q103),Tabelle1!Q103/'SF Workings'!BB102,"")</f>
        <v>137.227777992094</v>
      </c>
      <c r="P102" s="23" t="n">
        <f aca="false">IF(ISNUMBER(Tabelle1!R103),Tabelle1!R103/'SF Workings'!BF102,"")</f>
        <v>151.996469624501</v>
      </c>
      <c r="Q102" s="23" t="n">
        <f aca="false">IF(ISNUMBER(Tabelle1!S103),Tabelle1!S103/'SF Workings'!BJ102,"")</f>
        <v>153.104162911778</v>
      </c>
      <c r="R102" s="23" t="n">
        <f aca="false">IFERROR(C102*'Weights &amp; Assumptions'!$F$6+D102*'Weights &amp; Assumptions'!$F$7,"")</f>
        <v>132.612622982677</v>
      </c>
      <c r="S102" s="23" t="n">
        <f aca="false">IFERROR(E102*'Weights &amp; Assumptions'!$F$8+F102*'Weights &amp; Assumptions'!$F$9+H102*'Weights &amp; Assumptions'!$F$11,"")</f>
        <v>139.716686860896</v>
      </c>
      <c r="T102" s="23" t="n">
        <f aca="false">IFERROR(G102*'Weights &amp; Assumptions'!$F$10+I102*'Weights &amp; Assumptions'!$F$12+J102*'Weights &amp; Assumptions'!$F$13+K102*'Weights &amp; Assumptions'!$F$14+L102*'Weights &amp; Assumptions'!$F$15+M102*'Weights &amp; Assumptions'!$F$16+N102*'Weights &amp; Assumptions'!$F$17+O102*'Weights &amp; Assumptions'!$F$18+P102*'Weights &amp; Assumptions'!$F$19+Q102*'Weights &amp; Assumptions'!$F$20,"")</f>
        <v>153.694190620691</v>
      </c>
      <c r="U102" s="23" t="n">
        <f aca="false">IFERROR(R102*'Weights &amp; Assumptions'!$B$25/'Weights &amp; Assumptions'!$B$28+S102*'Weights &amp; Assumptions'!$B$26/'Weights &amp; Assumptions'!$B$28+T102*'Weights &amp; Assumptions'!$B$27/'Weights &amp; Assumptions'!$B$28,"")</f>
        <v>148.208567140744</v>
      </c>
      <c r="V102" s="30" t="n">
        <f aca="false">IF(ISNUMBER(Tabelle1!E103),Tabelle1!E103*'Weights &amp; Assumptions'!$F$6+Tabelle1!F103*'Weights &amp; Assumptions'!$F$7,"")</f>
        <v>96.2259658743042</v>
      </c>
      <c r="W102" s="30" t="n">
        <f aca="false">IF(ISNUMBER(Tabelle1!G103),Tabelle1!G103*'Weights &amp; Assumptions'!$F$8+Tabelle1!H103*'Weights &amp; Assumptions'!$F$9+Tabelle1!J103*'Weights &amp; Assumptions'!$F$11,"")</f>
        <v>137.525715170128</v>
      </c>
      <c r="X102" s="30" t="n">
        <f aca="false">IF(ISNUMBER(Tabelle1!I103),Tabelle1!I103*'Weights &amp; Assumptions'!$F$10+Tabelle1!K103*'Weights &amp; Assumptions'!$F$12+Tabelle1!L103*'Weights &amp; Assumptions'!$F$13+Tabelle1!M103*'Weights &amp; Assumptions'!$F$14+Tabelle1!N103*'Weights &amp; Assumptions'!$F$15+Tabelle1!O103*'Weights &amp; Assumptions'!$F$16+Tabelle1!P103*'Weights &amp; Assumptions'!$F$17+Tabelle1!Q103*'Weights &amp; Assumptions'!$F$18+Tabelle1!R103*'Weights &amp; Assumptions'!$F$19+Tabelle1!S103*'Weights &amp; Assumptions'!$F$20,"")</f>
        <v>152.222778497131</v>
      </c>
      <c r="Y102" s="23" t="n">
        <f aca="false">IFERROR(V102*'Weights &amp; Assumptions'!$B$25/'Weights &amp; Assumptions'!$B$28+W102*'Weights &amp; Assumptions'!$B$26/'Weights &amp; Assumptions'!$B$28+X102*'Weights &amp; Assumptions'!$B$27/'Weights &amp; Assumptions'!$B$28,"")</f>
        <v>143.616393448243</v>
      </c>
    </row>
    <row r="103" customFormat="false" ht="15" hidden="false" customHeight="false" outlineLevel="0" collapsed="false">
      <c r="A103" s="20" t="n">
        <v>40939</v>
      </c>
      <c r="B103" s="30" t="n">
        <f aca="false">IF(ISNUMBER(Tabelle1!D104),Tabelle1!D104,"")</f>
        <v>147.73334</v>
      </c>
      <c r="C103" s="23" t="n">
        <f aca="false">IF(ISNUMBER(Tabelle1!E104),Tabelle1!E104/'SF Workings'!F103,"")</f>
        <v>132.065952738905</v>
      </c>
      <c r="D103" s="23" t="n">
        <f aca="false">IF(ISNUMBER(Tabelle1!F104),Tabelle1!F104/'SF Workings'!J103,"")</f>
        <v>123.49413266595</v>
      </c>
      <c r="E103" s="23" t="n">
        <f aca="false">IF(ISNUMBER(Tabelle1!G104),Tabelle1!G104/'SF Workings'!N103,"")</f>
        <v>94.6797176863275</v>
      </c>
      <c r="F103" s="23" t="n">
        <f aca="false">IF(ISNUMBER(Tabelle1!H104),Tabelle1!H104/'SF Workings'!R103,"")</f>
        <v>140.678017537132</v>
      </c>
      <c r="G103" s="23" t="n">
        <f aca="false">IF(ISNUMBER(Tabelle1!I104),Tabelle1!I104/'SF Workings'!V103,"")</f>
        <v>135.911418190794</v>
      </c>
      <c r="H103" s="23" t="n">
        <f aca="false">IF(ISNUMBER(Tabelle1!J104),Tabelle1!J104/'SF Workings'!Z103,"")</f>
        <v>154.00857472212</v>
      </c>
      <c r="I103" s="23" t="n">
        <f aca="false">IF(ISNUMBER(Tabelle1!K104),Tabelle1!K104/'SF Workings'!AD103,"")</f>
        <v>164.196486423391</v>
      </c>
      <c r="J103" s="23" t="n">
        <f aca="false">IF(ISNUMBER(Tabelle1!L104),Tabelle1!L104/'SF Workings'!AH103,"")</f>
        <v>155.565321439214</v>
      </c>
      <c r="K103" s="23" t="n">
        <f aca="false">IF(ISNUMBER(Tabelle1!M104),Tabelle1!M104/'SF Workings'!AL103,"")</f>
        <v>176.554468564879</v>
      </c>
      <c r="L103" s="23" t="n">
        <f aca="false">IF(ISNUMBER(Tabelle1!N104),Tabelle1!N104/'SF Workings'!AP103,"")</f>
        <v>170.404228554419</v>
      </c>
      <c r="M103" s="23" t="n">
        <f aca="false">IF(ISNUMBER(Tabelle1!O104),Tabelle1!O104/'SF Workings'!AT103,"")</f>
        <v>134.494005433645</v>
      </c>
      <c r="N103" s="23" t="n">
        <f aca="false">IF(ISNUMBER(Tabelle1!P104),Tabelle1!P104/'SF Workings'!AX103,"")</f>
        <v>134.942081605613</v>
      </c>
      <c r="O103" s="23" t="n">
        <f aca="false">IF(ISNUMBER(Tabelle1!Q104),Tabelle1!Q104/'SF Workings'!BB103,"")</f>
        <v>138.16243181698</v>
      </c>
      <c r="P103" s="23" t="n">
        <f aca="false">IF(ISNUMBER(Tabelle1!R104),Tabelle1!R104/'SF Workings'!BF103,"")</f>
        <v>157.113288237485</v>
      </c>
      <c r="Q103" s="23" t="n">
        <f aca="false">IF(ISNUMBER(Tabelle1!S104),Tabelle1!S104/'SF Workings'!BJ103,"")</f>
        <v>150.991497776329</v>
      </c>
      <c r="R103" s="23" t="n">
        <f aca="false">IFERROR(C103*'Weights &amp; Assumptions'!$F$6+D103*'Weights &amp; Assumptions'!$F$7,"")</f>
        <v>131.960926207219</v>
      </c>
      <c r="S103" s="23" t="n">
        <f aca="false">IFERROR(E103*'Weights &amp; Assumptions'!$F$8+F103*'Weights &amp; Assumptions'!$F$9+H103*'Weights &amp; Assumptions'!$F$11,"")</f>
        <v>137.962995824099</v>
      </c>
      <c r="T103" s="23" t="n">
        <f aca="false">IFERROR(G103*'Weights &amp; Assumptions'!$F$10+I103*'Weights &amp; Assumptions'!$F$12+J103*'Weights &amp; Assumptions'!$F$13+K103*'Weights &amp; Assumptions'!$F$14+L103*'Weights &amp; Assumptions'!$F$15+M103*'Weights &amp; Assumptions'!$F$16+N103*'Weights &amp; Assumptions'!$F$17+O103*'Weights &amp; Assumptions'!$F$18+P103*'Weights &amp; Assumptions'!$F$19+Q103*'Weights &amp; Assumptions'!$F$20,"")</f>
        <v>153.288508800382</v>
      </c>
      <c r="U103" s="23" t="n">
        <f aca="false">IFERROR(R103*'Weights &amp; Assumptions'!$B$25/'Weights &amp; Assumptions'!$B$28+S103*'Weights &amp; Assumptions'!$B$26/'Weights &amp; Assumptions'!$B$28+T103*'Weights &amp; Assumptions'!$B$27/'Weights &amp; Assumptions'!$B$28,"")</f>
        <v>147.423785263053</v>
      </c>
      <c r="V103" s="30" t="n">
        <f aca="false">IF(ISNUMBER(Tabelle1!E104),Tabelle1!E104*'Weights &amp; Assumptions'!$F$6+Tabelle1!F104*'Weights &amp; Assumptions'!$F$7,"")</f>
        <v>70.0231020530149</v>
      </c>
      <c r="W103" s="30" t="n">
        <f aca="false">IF(ISNUMBER(Tabelle1!G104),Tabelle1!G104*'Weights &amp; Assumptions'!$F$8+Tabelle1!H104*'Weights &amp; Assumptions'!$F$9+Tabelle1!J104*'Weights &amp; Assumptions'!$F$11,"")</f>
        <v>126.96004414782</v>
      </c>
      <c r="X103" s="30" t="n">
        <f aca="false">IF(ISNUMBER(Tabelle1!I104),Tabelle1!I104*'Weights &amp; Assumptions'!$F$10+Tabelle1!K104*'Weights &amp; Assumptions'!$F$12+Tabelle1!L104*'Weights &amp; Assumptions'!$F$13+Tabelle1!M104*'Weights &amp; Assumptions'!$F$14+Tabelle1!N104*'Weights &amp; Assumptions'!$F$15+Tabelle1!O104*'Weights &amp; Assumptions'!$F$16+Tabelle1!P104*'Weights &amp; Assumptions'!$F$17+Tabelle1!Q104*'Weights &amp; Assumptions'!$F$18+Tabelle1!R104*'Weights &amp; Assumptions'!$F$19+Tabelle1!S104*'Weights &amp; Assumptions'!$F$20,"")</f>
        <v>148.692753396413</v>
      </c>
      <c r="Y103" s="23" t="n">
        <f aca="false">IFERROR(V103*'Weights &amp; Assumptions'!$B$25/'Weights &amp; Assumptions'!$B$28+W103*'Weights &amp; Assumptions'!$B$26/'Weights &amp; Assumptions'!$B$28+X103*'Weights &amp; Assumptions'!$B$27/'Weights &amp; Assumptions'!$B$28,"")</f>
        <v>136.313197160196</v>
      </c>
    </row>
    <row r="104" customFormat="false" ht="15" hidden="false" customHeight="false" outlineLevel="0" collapsed="false">
      <c r="A104" s="20" t="n">
        <v>40968</v>
      </c>
      <c r="B104" s="30" t="n">
        <f aca="false">IF(ISNUMBER(Tabelle1!D105),Tabelle1!D105,"")</f>
        <v>144.71961</v>
      </c>
      <c r="C104" s="23" t="n">
        <f aca="false">IF(ISNUMBER(Tabelle1!E105),Tabelle1!E105/'SF Workings'!F104,"")</f>
        <v>119.996255588873</v>
      </c>
      <c r="D104" s="23" t="n">
        <f aca="false">IF(ISNUMBER(Tabelle1!F105),Tabelle1!F105/'SF Workings'!J104,"")</f>
        <v>133.102497598495</v>
      </c>
      <c r="E104" s="23" t="n">
        <f aca="false">IF(ISNUMBER(Tabelle1!G105),Tabelle1!G105/'SF Workings'!N104,"")</f>
        <v>97.2091448317393</v>
      </c>
      <c r="F104" s="23" t="n">
        <f aca="false">IF(ISNUMBER(Tabelle1!H105),Tabelle1!H105/'SF Workings'!R104,"")</f>
        <v>142.683586617287</v>
      </c>
      <c r="G104" s="23" t="n">
        <f aca="false">IF(ISNUMBER(Tabelle1!I105),Tabelle1!I105/'SF Workings'!V104,"")</f>
        <v>136.292165004447</v>
      </c>
      <c r="H104" s="23" t="n">
        <f aca="false">IF(ISNUMBER(Tabelle1!J105),Tabelle1!J105/'SF Workings'!Z104,"")</f>
        <v>152.989652099686</v>
      </c>
      <c r="I104" s="23" t="n">
        <f aca="false">IF(ISNUMBER(Tabelle1!K105),Tabelle1!K105/'SF Workings'!AD104,"")</f>
        <v>158.206211133488</v>
      </c>
      <c r="J104" s="23" t="n">
        <f aca="false">IF(ISNUMBER(Tabelle1!L105),Tabelle1!L105/'SF Workings'!AH104,"")</f>
        <v>156.249188246551</v>
      </c>
      <c r="K104" s="23" t="n">
        <f aca="false">IF(ISNUMBER(Tabelle1!M105),Tabelle1!M105/'SF Workings'!AL104,"")</f>
        <v>176.719806564232</v>
      </c>
      <c r="L104" s="23" t="n">
        <f aca="false">IF(ISNUMBER(Tabelle1!N105),Tabelle1!N105/'SF Workings'!AP104,"")</f>
        <v>172.057899998334</v>
      </c>
      <c r="M104" s="23" t="n">
        <f aca="false">IF(ISNUMBER(Tabelle1!O105),Tabelle1!O105/'SF Workings'!AT104,"")</f>
        <v>133.301916538943</v>
      </c>
      <c r="N104" s="23" t="n">
        <f aca="false">IF(ISNUMBER(Tabelle1!P105),Tabelle1!P105/'SF Workings'!AX104,"")</f>
        <v>134.874780129481</v>
      </c>
      <c r="O104" s="23" t="n">
        <f aca="false">IF(ISNUMBER(Tabelle1!Q105),Tabelle1!Q105/'SF Workings'!BB104,"")</f>
        <v>138.379417354355</v>
      </c>
      <c r="P104" s="23" t="n">
        <f aca="false">IF(ISNUMBER(Tabelle1!R105),Tabelle1!R105/'SF Workings'!BF104,"")</f>
        <v>157.908955010833</v>
      </c>
      <c r="Q104" s="23" t="n">
        <f aca="false">IF(ISNUMBER(Tabelle1!S105),Tabelle1!S105/'SF Workings'!BJ104,"")</f>
        <v>154.812365294431</v>
      </c>
      <c r="R104" s="23" t="n">
        <f aca="false">IFERROR(C104*'Weights &amp; Assumptions'!$F$6+D104*'Weights &amp; Assumptions'!$F$7,"")</f>
        <v>120.156840287338</v>
      </c>
      <c r="S104" s="23" t="n">
        <f aca="false">IFERROR(E104*'Weights &amp; Assumptions'!$F$8+F104*'Weights &amp; Assumptions'!$F$9+H104*'Weights &amp; Assumptions'!$F$11,"")</f>
        <v>139.401039301338</v>
      </c>
      <c r="T104" s="23" t="n">
        <f aca="false">IFERROR(G104*'Weights &amp; Assumptions'!$F$10+I104*'Weights &amp; Assumptions'!$F$12+J104*'Weights &amp; Assumptions'!$F$13+K104*'Weights &amp; Assumptions'!$F$14+L104*'Weights &amp; Assumptions'!$F$15+M104*'Weights &amp; Assumptions'!$F$16+N104*'Weights &amp; Assumptions'!$F$17+O104*'Weights &amp; Assumptions'!$F$18+P104*'Weights &amp; Assumptions'!$F$19+Q104*'Weights &amp; Assumptions'!$F$20,"")</f>
        <v>152.296170493213</v>
      </c>
      <c r="U104" s="23" t="n">
        <f aca="false">IFERROR(R104*'Weights &amp; Assumptions'!$B$25/'Weights &amp; Assumptions'!$B$28+S104*'Weights &amp; Assumptions'!$B$26/'Weights &amp; Assumptions'!$B$28+T104*'Weights &amp; Assumptions'!$B$27/'Weights &amp; Assumptions'!$B$28,"")</f>
        <v>146.170613304443</v>
      </c>
      <c r="V104" s="30" t="n">
        <f aca="false">IF(ISNUMBER(Tabelle1!E105),Tabelle1!E105*'Weights &amp; Assumptions'!$F$6+Tabelle1!F105*'Weights &amp; Assumptions'!$F$7,"")</f>
        <v>68.5242648209199</v>
      </c>
      <c r="W104" s="30" t="n">
        <f aca="false">IF(ISNUMBER(Tabelle1!G105),Tabelle1!G105*'Weights &amp; Assumptions'!$F$8+Tabelle1!H105*'Weights &amp; Assumptions'!$F$9+Tabelle1!J105*'Weights &amp; Assumptions'!$F$11,"")</f>
        <v>125.889618234004</v>
      </c>
      <c r="X104" s="30" t="n">
        <f aca="false">IF(ISNUMBER(Tabelle1!I105),Tabelle1!I105*'Weights &amp; Assumptions'!$F$10+Tabelle1!K105*'Weights &amp; Assumptions'!$F$12+Tabelle1!L105*'Weights &amp; Assumptions'!$F$13+Tabelle1!M105*'Weights &amp; Assumptions'!$F$14+Tabelle1!N105*'Weights &amp; Assumptions'!$F$15+Tabelle1!O105*'Weights &amp; Assumptions'!$F$16+Tabelle1!P105*'Weights &amp; Assumptions'!$F$17+Tabelle1!Q105*'Weights &amp; Assumptions'!$F$18+Tabelle1!R105*'Weights &amp; Assumptions'!$F$19+Tabelle1!S105*'Weights &amp; Assumptions'!$F$20,"")</f>
        <v>145.001667786285</v>
      </c>
      <c r="Y104" s="23" t="n">
        <f aca="false">IFERROR(V104*'Weights &amp; Assumptions'!$B$25/'Weights &amp; Assumptions'!$B$28+W104*'Weights &amp; Assumptions'!$B$26/'Weights &amp; Assumptions'!$B$28+X104*'Weights &amp; Assumptions'!$B$27/'Weights &amp; Assumptions'!$B$28,"")</f>
        <v>133.502922204736</v>
      </c>
    </row>
    <row r="105" customFormat="false" ht="15" hidden="false" customHeight="false" outlineLevel="0" collapsed="false">
      <c r="A105" s="20" t="n">
        <v>40999</v>
      </c>
      <c r="B105" s="30" t="n">
        <f aca="false">IF(ISNUMBER(Tabelle1!D106),Tabelle1!D106,"")</f>
        <v>145.37392</v>
      </c>
      <c r="C105" s="23" t="n">
        <f aca="false">IF(ISNUMBER(Tabelle1!E106),Tabelle1!E106/'SF Workings'!F105,"")</f>
        <v>113.772249590919</v>
      </c>
      <c r="D105" s="23" t="n">
        <f aca="false">IF(ISNUMBER(Tabelle1!F106),Tabelle1!F106/'SF Workings'!J105,"")</f>
        <v>143.950027597908</v>
      </c>
      <c r="E105" s="23" t="n">
        <f aca="false">IF(ISNUMBER(Tabelle1!G106),Tabelle1!G106/'SF Workings'!N105,"")</f>
        <v>96.432335086277</v>
      </c>
      <c r="F105" s="23" t="n">
        <f aca="false">IF(ISNUMBER(Tabelle1!H106),Tabelle1!H106/'SF Workings'!R105,"")</f>
        <v>146.170934397645</v>
      </c>
      <c r="G105" s="23" t="n">
        <f aca="false">IF(ISNUMBER(Tabelle1!I106),Tabelle1!I106/'SF Workings'!V105,"")</f>
        <v>133.956188348369</v>
      </c>
      <c r="H105" s="23" t="n">
        <f aca="false">IF(ISNUMBER(Tabelle1!J106),Tabelle1!J106/'SF Workings'!Z105,"")</f>
        <v>153.323970460833</v>
      </c>
      <c r="I105" s="23" t="n">
        <f aca="false">IF(ISNUMBER(Tabelle1!K106),Tabelle1!K106/'SF Workings'!AD105,"")</f>
        <v>159.542819838808</v>
      </c>
      <c r="J105" s="23" t="n">
        <f aca="false">IF(ISNUMBER(Tabelle1!L106),Tabelle1!L106/'SF Workings'!AH105,"")</f>
        <v>158.915964419626</v>
      </c>
      <c r="K105" s="23" t="n">
        <f aca="false">IF(ISNUMBER(Tabelle1!M106),Tabelle1!M106/'SF Workings'!AL105,"")</f>
        <v>176.457041438398</v>
      </c>
      <c r="L105" s="23" t="n">
        <f aca="false">IF(ISNUMBER(Tabelle1!N106),Tabelle1!N106/'SF Workings'!AP105,"")</f>
        <v>177.461579512103</v>
      </c>
      <c r="M105" s="23" t="n">
        <f aca="false">IF(ISNUMBER(Tabelle1!O106),Tabelle1!O106/'SF Workings'!AT105,"")</f>
        <v>135.77023844606</v>
      </c>
      <c r="N105" s="23" t="n">
        <f aca="false">IF(ISNUMBER(Tabelle1!P106),Tabelle1!P106/'SF Workings'!AX105,"")</f>
        <v>135.631764401979</v>
      </c>
      <c r="O105" s="23" t="n">
        <f aca="false">IF(ISNUMBER(Tabelle1!Q106),Tabelle1!Q106/'SF Workings'!BB105,"")</f>
        <v>139.131038300441</v>
      </c>
      <c r="P105" s="23" t="n">
        <f aca="false">IF(ISNUMBER(Tabelle1!R106),Tabelle1!R106/'SF Workings'!BF105,"")</f>
        <v>158.850982984197</v>
      </c>
      <c r="Q105" s="23" t="n">
        <f aca="false">IF(ISNUMBER(Tabelle1!S106),Tabelle1!S106/'SF Workings'!BJ105,"")</f>
        <v>151.799781557557</v>
      </c>
      <c r="R105" s="23" t="n">
        <f aca="false">IFERROR(C105*'Weights &amp; Assumptions'!$F$6+D105*'Weights &amp; Assumptions'!$F$7,"")</f>
        <v>114.1420038941</v>
      </c>
      <c r="S105" s="23" t="n">
        <f aca="false">IFERROR(E105*'Weights &amp; Assumptions'!$F$8+F105*'Weights &amp; Assumptions'!$F$9+H105*'Weights &amp; Assumptions'!$F$11,"")</f>
        <v>141.722405943973</v>
      </c>
      <c r="T105" s="23" t="n">
        <f aca="false">IFERROR(G105*'Weights &amp; Assumptions'!$F$10+I105*'Weights &amp; Assumptions'!$F$12+J105*'Weights &amp; Assumptions'!$F$13+K105*'Weights &amp; Assumptions'!$F$14+L105*'Weights &amp; Assumptions'!$F$15+M105*'Weights &amp; Assumptions'!$F$16+N105*'Weights &amp; Assumptions'!$F$17+O105*'Weights &amp; Assumptions'!$F$18+P105*'Weights &amp; Assumptions'!$F$19+Q105*'Weights &amp; Assumptions'!$F$20,"")</f>
        <v>153.534043689268</v>
      </c>
      <c r="U105" s="23" t="n">
        <f aca="false">IFERROR(R105*'Weights &amp; Assumptions'!$B$25/'Weights &amp; Assumptions'!$B$28+S105*'Weights &amp; Assumptions'!$B$26/'Weights &amp; Assumptions'!$B$28+T105*'Weights &amp; Assumptions'!$B$27/'Weights &amp; Assumptions'!$B$28,"")</f>
        <v>147.088097964352</v>
      </c>
      <c r="V105" s="30" t="n">
        <f aca="false">IF(ISNUMBER(Tabelle1!E106),Tabelle1!E106*'Weights &amp; Assumptions'!$F$6+Tabelle1!F106*'Weights &amp; Assumptions'!$F$7,"")</f>
        <v>124.660007997402</v>
      </c>
      <c r="W105" s="30" t="n">
        <f aca="false">IF(ISNUMBER(Tabelle1!G106),Tabelle1!G106*'Weights &amp; Assumptions'!$F$8+Tabelle1!H106*'Weights &amp; Assumptions'!$F$9+Tabelle1!J106*'Weights &amp; Assumptions'!$F$11,"")</f>
        <v>142.272735732444</v>
      </c>
      <c r="X105" s="30" t="n">
        <f aca="false">IF(ISNUMBER(Tabelle1!I106),Tabelle1!I106*'Weights &amp; Assumptions'!$F$10+Tabelle1!K106*'Weights &amp; Assumptions'!$F$12+Tabelle1!L106*'Weights &amp; Assumptions'!$F$13+Tabelle1!M106*'Weights &amp; Assumptions'!$F$14+Tabelle1!N106*'Weights &amp; Assumptions'!$F$15+Tabelle1!O106*'Weights &amp; Assumptions'!$F$16+Tabelle1!P106*'Weights &amp; Assumptions'!$F$17+Tabelle1!Q106*'Weights &amp; Assumptions'!$F$18+Tabelle1!R106*'Weights &amp; Assumptions'!$F$19+Tabelle1!S106*'Weights &amp; Assumptions'!$F$20,"")</f>
        <v>154.367476567997</v>
      </c>
      <c r="Y105" s="23" t="n">
        <f aca="false">IFERROR(V105*'Weights &amp; Assumptions'!$B$25/'Weights &amp; Assumptions'!$B$28+W105*'Weights &amp; Assumptions'!$B$26/'Weights &amp; Assumptions'!$B$28+X105*'Weights &amp; Assumptions'!$B$27/'Weights &amp; Assumptions'!$B$28,"")</f>
        <v>148.658792371315</v>
      </c>
    </row>
    <row r="106" customFormat="false" ht="15" hidden="false" customHeight="false" outlineLevel="0" collapsed="false">
      <c r="A106" s="20" t="n">
        <v>41029</v>
      </c>
      <c r="B106" s="30" t="n">
        <f aca="false">IF(ISNUMBER(Tabelle1!D107),Tabelle1!D107,"")</f>
        <v>141.92738</v>
      </c>
      <c r="C106" s="23" t="n">
        <f aca="false">IF(ISNUMBER(Tabelle1!E107),Tabelle1!E107/'SF Workings'!F106,"")</f>
        <v>99.1181454299196</v>
      </c>
      <c r="D106" s="23" t="n">
        <f aca="false">IF(ISNUMBER(Tabelle1!F107),Tabelle1!F107/'SF Workings'!J106,"")</f>
        <v>110.945887297753</v>
      </c>
      <c r="E106" s="23" t="n">
        <f aca="false">IF(ISNUMBER(Tabelle1!G107),Tabelle1!G107/'SF Workings'!N106,"")</f>
        <v>97.3518605808155</v>
      </c>
      <c r="F106" s="23" t="n">
        <f aca="false">IF(ISNUMBER(Tabelle1!H107),Tabelle1!H107/'SF Workings'!R106,"")</f>
        <v>137.758536560502</v>
      </c>
      <c r="G106" s="23" t="n">
        <f aca="false">IF(ISNUMBER(Tabelle1!I107),Tabelle1!I107/'SF Workings'!V106,"")</f>
        <v>134.607712054966</v>
      </c>
      <c r="H106" s="23" t="n">
        <f aca="false">IF(ISNUMBER(Tabelle1!J107),Tabelle1!J107/'SF Workings'!Z106,"")</f>
        <v>151.250772696097</v>
      </c>
      <c r="I106" s="23" t="n">
        <f aca="false">IF(ISNUMBER(Tabelle1!K107),Tabelle1!K107/'SF Workings'!AD106,"")</f>
        <v>150.528733388524</v>
      </c>
      <c r="J106" s="23" t="n">
        <f aca="false">IF(ISNUMBER(Tabelle1!L107),Tabelle1!L107/'SF Workings'!AH106,"")</f>
        <v>160.444105794861</v>
      </c>
      <c r="K106" s="23" t="n">
        <f aca="false">IF(ISNUMBER(Tabelle1!M107),Tabelle1!M107/'SF Workings'!AL106,"")</f>
        <v>173.089996676133</v>
      </c>
      <c r="L106" s="23" t="n">
        <f aca="false">IF(ISNUMBER(Tabelle1!N107),Tabelle1!N107/'SF Workings'!AP106,"")</f>
        <v>172.324813902137</v>
      </c>
      <c r="M106" s="23" t="n">
        <f aca="false">IF(ISNUMBER(Tabelle1!O107),Tabelle1!O107/'SF Workings'!AT106,"")</f>
        <v>131.761460879808</v>
      </c>
      <c r="N106" s="23" t="n">
        <f aca="false">IF(ISNUMBER(Tabelle1!P107),Tabelle1!P107/'SF Workings'!AX106,"")</f>
        <v>135.425759640534</v>
      </c>
      <c r="O106" s="23" t="n">
        <f aca="false">IF(ISNUMBER(Tabelle1!Q107),Tabelle1!Q107/'SF Workings'!BB106,"")</f>
        <v>138.529932668649</v>
      </c>
      <c r="P106" s="23" t="n">
        <f aca="false">IF(ISNUMBER(Tabelle1!R107),Tabelle1!R107/'SF Workings'!BF106,"")</f>
        <v>157.714596790532</v>
      </c>
      <c r="Q106" s="23" t="n">
        <f aca="false">IF(ISNUMBER(Tabelle1!S107),Tabelle1!S107/'SF Workings'!BJ106,"")</f>
        <v>153.738198519128</v>
      </c>
      <c r="R106" s="23" t="n">
        <f aca="false">IFERROR(C106*'Weights &amp; Assumptions'!$F$6+D106*'Weights &amp; Assumptions'!$F$7,"")</f>
        <v>99.2630652597206</v>
      </c>
      <c r="S106" s="23" t="n">
        <f aca="false">IFERROR(E106*'Weights &amp; Assumptions'!$F$8+F106*'Weights &amp; Assumptions'!$F$9+H106*'Weights &amp; Assumptions'!$F$11,"")</f>
        <v>135.744823471687</v>
      </c>
      <c r="T106" s="23" t="n">
        <f aca="false">IFERROR(G106*'Weights &amp; Assumptions'!$F$10+I106*'Weights &amp; Assumptions'!$F$12+J106*'Weights &amp; Assumptions'!$F$13+K106*'Weights &amp; Assumptions'!$F$14+L106*'Weights &amp; Assumptions'!$F$15+M106*'Weights &amp; Assumptions'!$F$16+N106*'Weights &amp; Assumptions'!$F$17+O106*'Weights &amp; Assumptions'!$F$18+P106*'Weights &amp; Assumptions'!$F$19+Q106*'Weights &amp; Assumptions'!$F$20,"")</f>
        <v>150.049613032732</v>
      </c>
      <c r="U106" s="23" t="n">
        <f aca="false">IFERROR(R106*'Weights &amp; Assumptions'!$B$25/'Weights &amp; Assumptions'!$B$28+S106*'Weights &amp; Assumptions'!$B$26/'Weights &amp; Assumptions'!$B$28+T106*'Weights &amp; Assumptions'!$B$27/'Weights &amp; Assumptions'!$B$28,"")</f>
        <v>141.984685987389</v>
      </c>
      <c r="V106" s="30" t="n">
        <f aca="false">IF(ISNUMBER(Tabelle1!E107),Tabelle1!E107*'Weights &amp; Assumptions'!$F$6+Tabelle1!F107*'Weights &amp; Assumptions'!$F$7,"")</f>
        <v>165.54997191571</v>
      </c>
      <c r="W106" s="30" t="n">
        <f aca="false">IF(ISNUMBER(Tabelle1!G107),Tabelle1!G107*'Weights &amp; Assumptions'!$F$8+Tabelle1!H107*'Weights &amp; Assumptions'!$F$9+Tabelle1!J107*'Weights &amp; Assumptions'!$F$11,"")</f>
        <v>135.403126716619</v>
      </c>
      <c r="X106" s="30" t="n">
        <f aca="false">IF(ISNUMBER(Tabelle1!I107),Tabelle1!I107*'Weights &amp; Assumptions'!$F$10+Tabelle1!K107*'Weights &amp; Assumptions'!$F$12+Tabelle1!L107*'Weights &amp; Assumptions'!$F$13+Tabelle1!M107*'Weights &amp; Assumptions'!$F$14+Tabelle1!N107*'Weights &amp; Assumptions'!$F$15+Tabelle1!O107*'Weights &amp; Assumptions'!$F$16+Tabelle1!P107*'Weights &amp; Assumptions'!$F$17+Tabelle1!Q107*'Weights &amp; Assumptions'!$F$18+Tabelle1!R107*'Weights &amp; Assumptions'!$F$19+Tabelle1!S107*'Weights &amp; Assumptions'!$F$20,"")</f>
        <v>149.921755668512</v>
      </c>
      <c r="Y106" s="23" t="n">
        <f aca="false">IFERROR(V106*'Weights &amp; Assumptions'!$B$25/'Weights &amp; Assumptions'!$B$28+W106*'Weights &amp; Assumptions'!$B$26/'Weights &amp; Assumptions'!$B$28+X106*'Weights &amp; Assumptions'!$B$27/'Weights &amp; Assumptions'!$B$28,"")</f>
        <v>147.372218965312</v>
      </c>
    </row>
    <row r="107" customFormat="false" ht="15" hidden="false" customHeight="false" outlineLevel="0" collapsed="false">
      <c r="A107" s="20" t="n">
        <v>41060</v>
      </c>
      <c r="B107" s="30" t="n">
        <f aca="false">IF(ISNUMBER(Tabelle1!D108),Tabelle1!D108,"")</f>
        <v>140.27489</v>
      </c>
      <c r="C107" s="23" t="n">
        <f aca="false">IF(ISNUMBER(Tabelle1!E108),Tabelle1!E108/'SF Workings'!F107,"")</f>
        <v>96.5419578722043</v>
      </c>
      <c r="D107" s="23" t="n">
        <f aca="false">IF(ISNUMBER(Tabelle1!F108),Tabelle1!F108/'SF Workings'!J107,"")</f>
        <v>104.411249063612</v>
      </c>
      <c r="E107" s="23" t="n">
        <f aca="false">IF(ISNUMBER(Tabelle1!G108),Tabelle1!G108/'SF Workings'!N107,"")</f>
        <v>97.8306892559799</v>
      </c>
      <c r="F107" s="23" t="n">
        <f aca="false">IF(ISNUMBER(Tabelle1!H108),Tabelle1!H108/'SF Workings'!R107,"")</f>
        <v>138.225652492949</v>
      </c>
      <c r="G107" s="23" t="n">
        <f aca="false">IF(ISNUMBER(Tabelle1!I108),Tabelle1!I108/'SF Workings'!V107,"")</f>
        <v>130.755729318845</v>
      </c>
      <c r="H107" s="23" t="n">
        <f aca="false">IF(ISNUMBER(Tabelle1!J108),Tabelle1!J108/'SF Workings'!Z107,"")</f>
        <v>150.162627698381</v>
      </c>
      <c r="I107" s="23" t="n">
        <f aca="false">IF(ISNUMBER(Tabelle1!K108),Tabelle1!K108/'SF Workings'!AD107,"")</f>
        <v>157.997314506304</v>
      </c>
      <c r="J107" s="23" t="n">
        <f aca="false">IF(ISNUMBER(Tabelle1!L108),Tabelle1!L108/'SF Workings'!AH107,"")</f>
        <v>158.454161011953</v>
      </c>
      <c r="K107" s="23" t="n">
        <f aca="false">IF(ISNUMBER(Tabelle1!M108),Tabelle1!M108/'SF Workings'!AL107,"")</f>
        <v>174.509126103659</v>
      </c>
      <c r="L107" s="23" t="n">
        <f aca="false">IF(ISNUMBER(Tabelle1!N108),Tabelle1!N108/'SF Workings'!AP107,"")</f>
        <v>176.787206860092</v>
      </c>
      <c r="M107" s="23" t="n">
        <f aca="false">IF(ISNUMBER(Tabelle1!O108),Tabelle1!O108/'SF Workings'!AT107,"")</f>
        <v>134.483331870421</v>
      </c>
      <c r="N107" s="23" t="n">
        <f aca="false">IF(ISNUMBER(Tabelle1!P108),Tabelle1!P108/'SF Workings'!AX107,"")</f>
        <v>135.548541262618</v>
      </c>
      <c r="O107" s="23" t="n">
        <f aca="false">IF(ISNUMBER(Tabelle1!Q108),Tabelle1!Q108/'SF Workings'!BB107,"")</f>
        <v>138.79558285721</v>
      </c>
      <c r="P107" s="23" t="n">
        <f aca="false">IF(ISNUMBER(Tabelle1!R108),Tabelle1!R108/'SF Workings'!BF107,"")</f>
        <v>157.931666921081</v>
      </c>
      <c r="Q107" s="23" t="n">
        <f aca="false">IF(ISNUMBER(Tabelle1!S108),Tabelle1!S108/'SF Workings'!BJ107,"")</f>
        <v>153.941781388882</v>
      </c>
      <c r="R107" s="23" t="n">
        <f aca="false">IFERROR(C107*'Weights &amp; Assumptions'!$F$6+D107*'Weights &amp; Assumptions'!$F$7,"")</f>
        <v>96.6383766436702</v>
      </c>
      <c r="S107" s="23" t="n">
        <f aca="false">IFERROR(E107*'Weights &amp; Assumptions'!$F$8+F107*'Weights &amp; Assumptions'!$F$9+H107*'Weights &amp; Assumptions'!$F$11,"")</f>
        <v>135.889340294006</v>
      </c>
      <c r="T107" s="23" t="n">
        <f aca="false">IFERROR(G107*'Weights &amp; Assumptions'!$F$10+I107*'Weights &amp; Assumptions'!$F$12+J107*'Weights &amp; Assumptions'!$F$13+K107*'Weights &amp; Assumptions'!$F$14+L107*'Weights &amp; Assumptions'!$F$15+M107*'Weights &amp; Assumptions'!$F$16+N107*'Weights &amp; Assumptions'!$F$17+O107*'Weights &amp; Assumptions'!$F$18+P107*'Weights &amp; Assumptions'!$F$19+Q107*'Weights &amp; Assumptions'!$F$20,"")</f>
        <v>152.527207931861</v>
      </c>
      <c r="U107" s="23" t="n">
        <f aca="false">IFERROR(R107*'Weights &amp; Assumptions'!$B$25/'Weights &amp; Assumptions'!$B$28+S107*'Weights &amp; Assumptions'!$B$26/'Weights &amp; Assumptions'!$B$28+T107*'Weights &amp; Assumptions'!$B$27/'Weights &amp; Assumptions'!$B$28,"")</f>
        <v>143.413788838266</v>
      </c>
      <c r="V107" s="30" t="n">
        <f aca="false">IF(ISNUMBER(Tabelle1!E108),Tabelle1!E108*'Weights &amp; Assumptions'!$F$6+Tabelle1!F108*'Weights &amp; Assumptions'!$F$7,"")</f>
        <v>237.986162715701</v>
      </c>
      <c r="W107" s="30" t="n">
        <f aca="false">IF(ISNUMBER(Tabelle1!G108),Tabelle1!G108*'Weights &amp; Assumptions'!$F$8+Tabelle1!H108*'Weights &amp; Assumptions'!$F$9+Tabelle1!J108*'Weights &amp; Assumptions'!$F$11,"")</f>
        <v>138.479906085109</v>
      </c>
      <c r="X107" s="30" t="n">
        <f aca="false">IF(ISNUMBER(Tabelle1!I108),Tabelle1!I108*'Weights &amp; Assumptions'!$F$10+Tabelle1!K108*'Weights &amp; Assumptions'!$F$12+Tabelle1!L108*'Weights &amp; Assumptions'!$F$13+Tabelle1!M108*'Weights &amp; Assumptions'!$F$14+Tabelle1!N108*'Weights &amp; Assumptions'!$F$15+Tabelle1!O108*'Weights &amp; Assumptions'!$F$16+Tabelle1!P108*'Weights &amp; Assumptions'!$F$17+Tabelle1!Q108*'Weights &amp; Assumptions'!$F$18+Tabelle1!R108*'Weights &amp; Assumptions'!$F$19+Tabelle1!S108*'Weights &amp; Assumptions'!$F$20,"")</f>
        <v>155.085494688803</v>
      </c>
      <c r="Y107" s="23" t="n">
        <f aca="false">IFERROR(V107*'Weights &amp; Assumptions'!$B$25/'Weights &amp; Assumptions'!$B$28+W107*'Weights &amp; Assumptions'!$B$26/'Weights &amp; Assumptions'!$B$28+X107*'Weights &amp; Assumptions'!$B$27/'Weights &amp; Assumptions'!$B$28,"")</f>
        <v>157.625213647173</v>
      </c>
    </row>
    <row r="108" customFormat="false" ht="15" hidden="false" customHeight="false" outlineLevel="0" collapsed="false">
      <c r="A108" s="20" t="n">
        <v>41090</v>
      </c>
      <c r="B108" s="30" t="n">
        <f aca="false">IF(ISNUMBER(Tabelle1!D109),Tabelle1!D109,"")</f>
        <v>140.78102</v>
      </c>
      <c r="C108" s="23" t="n">
        <f aca="false">IF(ISNUMBER(Tabelle1!E109),Tabelle1!E109/'SF Workings'!F108,"")</f>
        <v>97.6792323416335</v>
      </c>
      <c r="D108" s="23" t="n">
        <f aca="false">IF(ISNUMBER(Tabelle1!F109),Tabelle1!F109/'SF Workings'!J108,"")</f>
        <v>81.0240971639858</v>
      </c>
      <c r="E108" s="23" t="n">
        <f aca="false">IF(ISNUMBER(Tabelle1!G109),Tabelle1!G109/'SF Workings'!N108,"")</f>
        <v>95.6369840504367</v>
      </c>
      <c r="F108" s="23" t="n">
        <f aca="false">IF(ISNUMBER(Tabelle1!H109),Tabelle1!H109/'SF Workings'!R108,"")</f>
        <v>137.750498941811</v>
      </c>
      <c r="G108" s="23" t="n">
        <f aca="false">IF(ISNUMBER(Tabelle1!I109),Tabelle1!I109/'SF Workings'!V108,"")</f>
        <v>131.263106825565</v>
      </c>
      <c r="H108" s="23" t="n">
        <f aca="false">IF(ISNUMBER(Tabelle1!J109),Tabelle1!J109/'SF Workings'!Z108,"")</f>
        <v>149.123457762273</v>
      </c>
      <c r="I108" s="23" t="n">
        <f aca="false">IF(ISNUMBER(Tabelle1!K109),Tabelle1!K109/'SF Workings'!AD108,"")</f>
        <v>156.207484392226</v>
      </c>
      <c r="J108" s="23" t="n">
        <f aca="false">IF(ISNUMBER(Tabelle1!L109),Tabelle1!L109/'SF Workings'!AH108,"")</f>
        <v>159.687106500673</v>
      </c>
      <c r="K108" s="23" t="n">
        <f aca="false">IF(ISNUMBER(Tabelle1!M109),Tabelle1!M109/'SF Workings'!AL108,"")</f>
        <v>175.185008867951</v>
      </c>
      <c r="L108" s="23" t="n">
        <f aca="false">IF(ISNUMBER(Tabelle1!N109),Tabelle1!N109/'SF Workings'!AP108,"")</f>
        <v>174.164996317951</v>
      </c>
      <c r="M108" s="23" t="n">
        <f aca="false">IF(ISNUMBER(Tabelle1!O109),Tabelle1!O109/'SF Workings'!AT108,"")</f>
        <v>133.303274983656</v>
      </c>
      <c r="N108" s="23" t="n">
        <f aca="false">IF(ISNUMBER(Tabelle1!P109),Tabelle1!P109/'SF Workings'!AX108,"")</f>
        <v>135.984705466565</v>
      </c>
      <c r="O108" s="23" t="n">
        <f aca="false">IF(ISNUMBER(Tabelle1!Q109),Tabelle1!Q109/'SF Workings'!BB108,"")</f>
        <v>139.506793255723</v>
      </c>
      <c r="P108" s="23" t="n">
        <f aca="false">IF(ISNUMBER(Tabelle1!R109),Tabelle1!R109/'SF Workings'!BF108,"")</f>
        <v>159.032450784025</v>
      </c>
      <c r="Q108" s="23" t="n">
        <f aca="false">IF(ISNUMBER(Tabelle1!S109),Tabelle1!S109/'SF Workings'!BJ108,"")</f>
        <v>154.054457376751</v>
      </c>
      <c r="R108" s="23" t="n">
        <f aca="false">IFERROR(C108*'Weights &amp; Assumptions'!$F$6+D108*'Weights &amp; Assumptions'!$F$7,"")</f>
        <v>97.4751647028375</v>
      </c>
      <c r="S108" s="23" t="n">
        <f aca="false">IFERROR(E108*'Weights &amp; Assumptions'!$F$8+F108*'Weights &amp; Assumptions'!$F$9+H108*'Weights &amp; Assumptions'!$F$11,"")</f>
        <v>135.091497678173</v>
      </c>
      <c r="T108" s="23" t="n">
        <f aca="false">IFERROR(G108*'Weights &amp; Assumptions'!$F$10+I108*'Weights &amp; Assumptions'!$F$12+J108*'Weights &amp; Assumptions'!$F$13+K108*'Weights &amp; Assumptions'!$F$14+L108*'Weights &amp; Assumptions'!$F$15+M108*'Weights &amp; Assumptions'!$F$16+N108*'Weights &amp; Assumptions'!$F$17+O108*'Weights &amp; Assumptions'!$F$18+P108*'Weights &amp; Assumptions'!$F$19+Q108*'Weights &amp; Assumptions'!$F$20,"")</f>
        <v>152.072851722281</v>
      </c>
      <c r="U108" s="23" t="n">
        <f aca="false">IFERROR(R108*'Weights &amp; Assumptions'!$B$25/'Weights &amp; Assumptions'!$B$28+S108*'Weights &amp; Assumptions'!$B$26/'Weights &amp; Assumptions'!$B$28+T108*'Weights &amp; Assumptions'!$B$27/'Weights &amp; Assumptions'!$B$28,"")</f>
        <v>142.976421671822</v>
      </c>
      <c r="V108" s="30" t="n">
        <f aca="false">IF(ISNUMBER(Tabelle1!E109),Tabelle1!E109*'Weights &amp; Assumptions'!$F$6+Tabelle1!F109*'Weights &amp; Assumptions'!$F$7,"")</f>
        <v>161.367913849895</v>
      </c>
      <c r="W108" s="30" t="n">
        <f aca="false">IF(ISNUMBER(Tabelle1!G109),Tabelle1!G109*'Weights &amp; Assumptions'!$F$8+Tabelle1!H109*'Weights &amp; Assumptions'!$F$9+Tabelle1!J109*'Weights &amp; Assumptions'!$F$11,"")</f>
        <v>134.865568750592</v>
      </c>
      <c r="X108" s="30" t="n">
        <f aca="false">IF(ISNUMBER(Tabelle1!I109),Tabelle1!I109*'Weights &amp; Assumptions'!$F$10+Tabelle1!K109*'Weights &amp; Assumptions'!$F$12+Tabelle1!L109*'Weights &amp; Assumptions'!$F$13+Tabelle1!M109*'Weights &amp; Assumptions'!$F$14+Tabelle1!N109*'Weights &amp; Assumptions'!$F$15+Tabelle1!O109*'Weights &amp; Assumptions'!$F$16+Tabelle1!P109*'Weights &amp; Assumptions'!$F$17+Tabelle1!Q109*'Weights &amp; Assumptions'!$F$18+Tabelle1!R109*'Weights &amp; Assumptions'!$F$19+Tabelle1!S109*'Weights &amp; Assumptions'!$F$20,"")</f>
        <v>155.027027404223</v>
      </c>
      <c r="Y108" s="23" t="n">
        <f aca="false">IFERROR(V108*'Weights &amp; Assumptions'!$B$25/'Weights &amp; Assumptions'!$B$28+W108*'Weights &amp; Assumptions'!$B$26/'Weights &amp; Assumptions'!$B$28+X108*'Weights &amp; Assumptions'!$B$27/'Weights &amp; Assumptions'!$B$28,"")</f>
        <v>150.197749014202</v>
      </c>
    </row>
    <row r="109" customFormat="false" ht="15" hidden="false" customHeight="false" outlineLevel="0" collapsed="false">
      <c r="A109" s="20" t="n">
        <v>41121</v>
      </c>
      <c r="B109" s="30" t="n">
        <f aca="false">IF(ISNUMBER(Tabelle1!D110),Tabelle1!D110,"")</f>
        <v>144.76788</v>
      </c>
      <c r="C109" s="23" t="n">
        <f aca="false">IF(ISNUMBER(Tabelle1!E110),Tabelle1!E110/'SF Workings'!F109,"")</f>
        <v>114.808540677693</v>
      </c>
      <c r="D109" s="23" t="n">
        <f aca="false">IF(ISNUMBER(Tabelle1!F110),Tabelle1!F110/'SF Workings'!J109,"")</f>
        <v>117.054835123134</v>
      </c>
      <c r="E109" s="23" t="n">
        <f aca="false">IF(ISNUMBER(Tabelle1!G110),Tabelle1!G110/'SF Workings'!N109,"")</f>
        <v>96.0812240839632</v>
      </c>
      <c r="F109" s="23" t="n">
        <f aca="false">IF(ISNUMBER(Tabelle1!H110),Tabelle1!H110/'SF Workings'!R109,"")</f>
        <v>140.903985741457</v>
      </c>
      <c r="G109" s="23" t="n">
        <f aca="false">IF(ISNUMBER(Tabelle1!I110),Tabelle1!I110/'SF Workings'!V109,"")</f>
        <v>134.501537069522</v>
      </c>
      <c r="H109" s="23" t="n">
        <f aca="false">IF(ISNUMBER(Tabelle1!J110),Tabelle1!J110/'SF Workings'!Z109,"")</f>
        <v>148.988961982238</v>
      </c>
      <c r="I109" s="23" t="n">
        <f aca="false">IF(ISNUMBER(Tabelle1!K110),Tabelle1!K110/'SF Workings'!AD109,"")</f>
        <v>160.893908642149</v>
      </c>
      <c r="J109" s="23" t="n">
        <f aca="false">IF(ISNUMBER(Tabelle1!L110),Tabelle1!L110/'SF Workings'!AH109,"")</f>
        <v>161.308733187197</v>
      </c>
      <c r="K109" s="23" t="n">
        <f aca="false">IF(ISNUMBER(Tabelle1!M110),Tabelle1!M110/'SF Workings'!AL109,"")</f>
        <v>178.915497616854</v>
      </c>
      <c r="L109" s="23" t="n">
        <f aca="false">IF(ISNUMBER(Tabelle1!N110),Tabelle1!N110/'SF Workings'!AP109,"")</f>
        <v>179.171991605797</v>
      </c>
      <c r="M109" s="23" t="n">
        <f aca="false">IF(ISNUMBER(Tabelle1!O110),Tabelle1!O110/'SF Workings'!AT109,"")</f>
        <v>130.644409643434</v>
      </c>
      <c r="N109" s="23" t="n">
        <f aca="false">IF(ISNUMBER(Tabelle1!P110),Tabelle1!P110/'SF Workings'!AX109,"")</f>
        <v>135.838300951638</v>
      </c>
      <c r="O109" s="23" t="n">
        <f aca="false">IF(ISNUMBER(Tabelle1!Q110),Tabelle1!Q110/'SF Workings'!BB109,"")</f>
        <v>138.875581099304</v>
      </c>
      <c r="P109" s="23" t="n">
        <f aca="false">IF(ISNUMBER(Tabelle1!R110),Tabelle1!R110/'SF Workings'!BF109,"")</f>
        <v>157.05421229617</v>
      </c>
      <c r="Q109" s="23" t="n">
        <f aca="false">IF(ISNUMBER(Tabelle1!S110),Tabelle1!S110/'SF Workings'!BJ109,"")</f>
        <v>156.087419191446</v>
      </c>
      <c r="R109" s="23" t="n">
        <f aca="false">IFERROR(C109*'Weights &amp; Assumptions'!$F$6+D109*'Weights &amp; Assumptions'!$F$7,"")</f>
        <v>114.836063480638</v>
      </c>
      <c r="S109" s="23" t="n">
        <f aca="false">IFERROR(E109*'Weights &amp; Assumptions'!$F$8+F109*'Weights &amp; Assumptions'!$F$9+H109*'Weights &amp; Assumptions'!$F$11,"")</f>
        <v>137.236542191886</v>
      </c>
      <c r="T109" s="23" t="n">
        <f aca="false">IFERROR(G109*'Weights &amp; Assumptions'!$F$10+I109*'Weights &amp; Assumptions'!$F$12+J109*'Weights &amp; Assumptions'!$F$13+K109*'Weights &amp; Assumptions'!$F$14+L109*'Weights &amp; Assumptions'!$F$15+M109*'Weights &amp; Assumptions'!$F$16+N109*'Weights &amp; Assumptions'!$F$17+O109*'Weights &amp; Assumptions'!$F$18+P109*'Weights &amp; Assumptions'!$F$19+Q109*'Weights &amp; Assumptions'!$F$20,"")</f>
        <v>153.482683471085</v>
      </c>
      <c r="U109" s="23" t="n">
        <f aca="false">IFERROR(R109*'Weights &amp; Assumptions'!$B$25/'Weights &amp; Assumptions'!$B$28+S109*'Weights &amp; Assumptions'!$B$26/'Weights &amp; Assumptions'!$B$28+T109*'Weights &amp; Assumptions'!$B$27/'Weights &amp; Assumptions'!$B$28,"")</f>
        <v>145.920067135817</v>
      </c>
      <c r="V109" s="30" t="n">
        <f aca="false">IF(ISNUMBER(Tabelle1!E110),Tabelle1!E110*'Weights &amp; Assumptions'!$F$6+Tabelle1!F110*'Weights &amp; Assumptions'!$F$7,"")</f>
        <v>102.322300465072</v>
      </c>
      <c r="W109" s="30" t="n">
        <f aca="false">IF(ISNUMBER(Tabelle1!G110),Tabelle1!G110*'Weights &amp; Assumptions'!$F$8+Tabelle1!H110*'Weights &amp; Assumptions'!$F$9+Tabelle1!J110*'Weights &amp; Assumptions'!$F$11,"")</f>
        <v>140.319327831023</v>
      </c>
      <c r="X109" s="30" t="n">
        <f aca="false">IF(ISNUMBER(Tabelle1!I110),Tabelle1!I110*'Weights &amp; Assumptions'!$F$10+Tabelle1!K110*'Weights &amp; Assumptions'!$F$12+Tabelle1!L110*'Weights &amp; Assumptions'!$F$13+Tabelle1!M110*'Weights &amp; Assumptions'!$F$14+Tabelle1!N110*'Weights &amp; Assumptions'!$F$15+Tabelle1!O110*'Weights &amp; Assumptions'!$F$16+Tabelle1!P110*'Weights &amp; Assumptions'!$F$17+Tabelle1!Q110*'Weights &amp; Assumptions'!$F$18+Tabelle1!R110*'Weights &amp; Assumptions'!$F$19+Tabelle1!S110*'Weights &amp; Assumptions'!$F$20,"")</f>
        <v>155.925076196302</v>
      </c>
      <c r="Y109" s="23" t="n">
        <f aca="false">IFERROR(V109*'Weights &amp; Assumptions'!$B$25/'Weights &amp; Assumptions'!$B$28+W109*'Weights &amp; Assumptions'!$B$26/'Weights &amp; Assumptions'!$B$28+X109*'Weights &amp; Assumptions'!$B$27/'Weights &amp; Assumptions'!$B$28,"")</f>
        <v>147.277917610195</v>
      </c>
    </row>
    <row r="110" customFormat="false" ht="15" hidden="false" customHeight="false" outlineLevel="0" collapsed="false">
      <c r="A110" s="20" t="n">
        <v>41152</v>
      </c>
      <c r="B110" s="30" t="n">
        <f aca="false">IF(ISNUMBER(Tabelle1!D111),Tabelle1!D111,"")</f>
        <v>145.04736</v>
      </c>
      <c r="C110" s="23" t="n">
        <f aca="false">IF(ISNUMBER(Tabelle1!E111),Tabelle1!E111/'SF Workings'!F110,"")</f>
        <v>127.228374518054</v>
      </c>
      <c r="D110" s="23" t="n">
        <f aca="false">IF(ISNUMBER(Tabelle1!F111),Tabelle1!F111/'SF Workings'!J110,"")</f>
        <v>132.030546788098</v>
      </c>
      <c r="E110" s="23" t="n">
        <f aca="false">IF(ISNUMBER(Tabelle1!G111),Tabelle1!G111/'SF Workings'!N110,"")</f>
        <v>96.7161042258466</v>
      </c>
      <c r="F110" s="23" t="n">
        <f aca="false">IF(ISNUMBER(Tabelle1!H111),Tabelle1!H111/'SF Workings'!R110,"")</f>
        <v>138.983047729024</v>
      </c>
      <c r="G110" s="23" t="n">
        <f aca="false">IF(ISNUMBER(Tabelle1!I111),Tabelle1!I111/'SF Workings'!V110,"")</f>
        <v>134.833187170498</v>
      </c>
      <c r="H110" s="23" t="n">
        <f aca="false">IF(ISNUMBER(Tabelle1!J111),Tabelle1!J111/'SF Workings'!Z110,"")</f>
        <v>146.199576624982</v>
      </c>
      <c r="I110" s="23" t="n">
        <f aca="false">IF(ISNUMBER(Tabelle1!K111),Tabelle1!K111/'SF Workings'!AD110,"")</f>
        <v>162.608050421918</v>
      </c>
      <c r="J110" s="23" t="n">
        <f aca="false">IF(ISNUMBER(Tabelle1!L111),Tabelle1!L111/'SF Workings'!AH110,"")</f>
        <v>157.818735068184</v>
      </c>
      <c r="K110" s="23" t="n">
        <f aca="false">IF(ISNUMBER(Tabelle1!M111),Tabelle1!M111/'SF Workings'!AL110,"")</f>
        <v>177.194350716021</v>
      </c>
      <c r="L110" s="23" t="n">
        <f aca="false">IF(ISNUMBER(Tabelle1!N111),Tabelle1!N111/'SF Workings'!AP110,"")</f>
        <v>182.04492205506</v>
      </c>
      <c r="M110" s="23" t="n">
        <f aca="false">IF(ISNUMBER(Tabelle1!O111),Tabelle1!O111/'SF Workings'!AT110,"")</f>
        <v>134.903169263444</v>
      </c>
      <c r="N110" s="23" t="n">
        <f aca="false">IF(ISNUMBER(Tabelle1!P111),Tabelle1!P111/'SF Workings'!AX110,"")</f>
        <v>135.86062753286</v>
      </c>
      <c r="O110" s="23" t="n">
        <f aca="false">IF(ISNUMBER(Tabelle1!Q111),Tabelle1!Q111/'SF Workings'!BB110,"")</f>
        <v>139.166888732684</v>
      </c>
      <c r="P110" s="23" t="n">
        <f aca="false">IF(ISNUMBER(Tabelle1!R111),Tabelle1!R111/'SF Workings'!BF110,"")</f>
        <v>157.114136277518</v>
      </c>
      <c r="Q110" s="23" t="n">
        <f aca="false">IF(ISNUMBER(Tabelle1!S111),Tabelle1!S111/'SF Workings'!BJ110,"")</f>
        <v>152.738562500323</v>
      </c>
      <c r="R110" s="23" t="n">
        <f aca="false">IFERROR(C110*'Weights &amp; Assumptions'!$F$6+D110*'Weights &amp; Assumptions'!$F$7,"")</f>
        <v>127.287213305358</v>
      </c>
      <c r="S110" s="23" t="n">
        <f aca="false">IFERROR(E110*'Weights &amp; Assumptions'!$F$8+F110*'Weights &amp; Assumptions'!$F$9+H110*'Weights &amp; Assumptions'!$F$11,"")</f>
        <v>135.439844918472</v>
      </c>
      <c r="T110" s="23" t="n">
        <f aca="false">IFERROR(G110*'Weights &amp; Assumptions'!$F$10+I110*'Weights &amp; Assumptions'!$F$12+J110*'Weights &amp; Assumptions'!$F$13+K110*'Weights &amp; Assumptions'!$F$14+L110*'Weights &amp; Assumptions'!$F$15+M110*'Weights &amp; Assumptions'!$F$16+N110*'Weights &amp; Assumptions'!$F$17+O110*'Weights &amp; Assumptions'!$F$18+P110*'Weights &amp; Assumptions'!$F$19+Q110*'Weights &amp; Assumptions'!$F$20,"")</f>
        <v>154.359727057149</v>
      </c>
      <c r="U110" s="23" t="n">
        <f aca="false">IFERROR(R110*'Weights &amp; Assumptions'!$B$25/'Weights &amp; Assumptions'!$B$28+S110*'Weights &amp; Assumptions'!$B$26/'Weights &amp; Assumptions'!$B$28+T110*'Weights &amp; Assumptions'!$B$27/'Weights &amp; Assumptions'!$B$28,"")</f>
        <v>147.057193467374</v>
      </c>
      <c r="V110" s="30" t="n">
        <f aca="false">IF(ISNUMBER(Tabelle1!E111),Tabelle1!E111*'Weights &amp; Assumptions'!$F$6+Tabelle1!F111*'Weights &amp; Assumptions'!$F$7,"")</f>
        <v>74.4761926590863</v>
      </c>
      <c r="W110" s="30" t="n">
        <f aca="false">IF(ISNUMBER(Tabelle1!G111),Tabelle1!G111*'Weights &amp; Assumptions'!$F$8+Tabelle1!H111*'Weights &amp; Assumptions'!$F$9+Tabelle1!J111*'Weights &amp; Assumptions'!$F$11,"")</f>
        <v>140.271293120586</v>
      </c>
      <c r="X110" s="30" t="n">
        <f aca="false">IF(ISNUMBER(Tabelle1!I111),Tabelle1!I111*'Weights &amp; Assumptions'!$F$10+Tabelle1!K111*'Weights &amp; Assumptions'!$F$12+Tabelle1!L111*'Weights &amp; Assumptions'!$F$13+Tabelle1!M111*'Weights &amp; Assumptions'!$F$14+Tabelle1!N111*'Weights &amp; Assumptions'!$F$15+Tabelle1!O111*'Weights &amp; Assumptions'!$F$16+Tabelle1!P111*'Weights &amp; Assumptions'!$F$17+Tabelle1!Q111*'Weights &amp; Assumptions'!$F$18+Tabelle1!R111*'Weights &amp; Assumptions'!$F$19+Tabelle1!S111*'Weights &amp; Assumptions'!$F$20,"")</f>
        <v>156.210163914267</v>
      </c>
      <c r="Y110" s="23" t="n">
        <f aca="false">IFERROR(V110*'Weights &amp; Assumptions'!$B$25/'Weights &amp; Assumptions'!$B$28+W110*'Weights &amp; Assumptions'!$B$26/'Weights &amp; Assumptions'!$B$28+X110*'Weights &amp; Assumptions'!$B$27/'Weights &amp; Assumptions'!$B$28,"")</f>
        <v>145.114191540217</v>
      </c>
    </row>
    <row r="111" customFormat="false" ht="15" hidden="false" customHeight="false" outlineLevel="0" collapsed="false">
      <c r="A111" s="20" t="n">
        <v>41182</v>
      </c>
      <c r="B111" s="30" t="n">
        <f aca="false">IF(ISNUMBER(Tabelle1!D112),Tabelle1!D112,"")</f>
        <v>146.2317</v>
      </c>
      <c r="C111" s="23" t="n">
        <f aca="false">IF(ISNUMBER(Tabelle1!E112),Tabelle1!E112/'SF Workings'!F111,"")</f>
        <v>129.739409631823</v>
      </c>
      <c r="D111" s="23" t="n">
        <f aca="false">IF(ISNUMBER(Tabelle1!F112),Tabelle1!F112/'SF Workings'!J111,"")</f>
        <v>146.135639563957</v>
      </c>
      <c r="E111" s="23" t="n">
        <f aca="false">IF(ISNUMBER(Tabelle1!G112),Tabelle1!G112/'SF Workings'!N111,"")</f>
        <v>96.541505627508</v>
      </c>
      <c r="F111" s="23" t="n">
        <f aca="false">IF(ISNUMBER(Tabelle1!H112),Tabelle1!H112/'SF Workings'!R111,"")</f>
        <v>136.720091030556</v>
      </c>
      <c r="G111" s="23" t="n">
        <f aca="false">IF(ISNUMBER(Tabelle1!I112),Tabelle1!I112/'SF Workings'!V111,"")</f>
        <v>130.268521494771</v>
      </c>
      <c r="H111" s="23" t="n">
        <f aca="false">IF(ISNUMBER(Tabelle1!J112),Tabelle1!J112/'SF Workings'!Z111,"")</f>
        <v>144.915464335991</v>
      </c>
      <c r="I111" s="23" t="n">
        <f aca="false">IF(ISNUMBER(Tabelle1!K112),Tabelle1!K112/'SF Workings'!AD111,"")</f>
        <v>155.001286412726</v>
      </c>
      <c r="J111" s="23" t="n">
        <f aca="false">IF(ISNUMBER(Tabelle1!L112),Tabelle1!L112/'SF Workings'!AH111,"")</f>
        <v>157.914398834493</v>
      </c>
      <c r="K111" s="23" t="n">
        <f aca="false">IF(ISNUMBER(Tabelle1!M112),Tabelle1!M112/'SF Workings'!AL111,"")</f>
        <v>174.038763490121</v>
      </c>
      <c r="L111" s="23" t="n">
        <f aca="false">IF(ISNUMBER(Tabelle1!N112),Tabelle1!N112/'SF Workings'!AP111,"")</f>
        <v>178.296494810362</v>
      </c>
      <c r="M111" s="23" t="n">
        <f aca="false">IF(ISNUMBER(Tabelle1!O112),Tabelle1!O112/'SF Workings'!AT111,"")</f>
        <v>131.125427051855</v>
      </c>
      <c r="N111" s="23" t="n">
        <f aca="false">IF(ISNUMBER(Tabelle1!P112),Tabelle1!P112/'SF Workings'!AX111,"")</f>
        <v>135.996553670696</v>
      </c>
      <c r="O111" s="23" t="n">
        <f aca="false">IF(ISNUMBER(Tabelle1!Q112),Tabelle1!Q112/'SF Workings'!BB111,"")</f>
        <v>138.943139157032</v>
      </c>
      <c r="P111" s="23" t="n">
        <f aca="false">IF(ISNUMBER(Tabelle1!R112),Tabelle1!R112/'SF Workings'!BF111,"")</f>
        <v>157.412576945087</v>
      </c>
      <c r="Q111" s="23" t="n">
        <f aca="false">IF(ISNUMBER(Tabelle1!S112),Tabelle1!S112/'SF Workings'!BJ111,"")</f>
        <v>152.984596174637</v>
      </c>
      <c r="R111" s="23" t="n">
        <f aca="false">IFERROR(C111*'Weights &amp; Assumptions'!$F$6+D111*'Weights &amp; Assumptions'!$F$7,"")</f>
        <v>129.940305024849</v>
      </c>
      <c r="S111" s="23" t="n">
        <f aca="false">IFERROR(E111*'Weights &amp; Assumptions'!$F$8+F111*'Weights &amp; Assumptions'!$F$9+H111*'Weights &amp; Assumptions'!$F$11,"")</f>
        <v>133.630149802262</v>
      </c>
      <c r="T111" s="23" t="n">
        <f aca="false">IFERROR(G111*'Weights &amp; Assumptions'!$F$10+I111*'Weights &amp; Assumptions'!$F$12+J111*'Weights &amp; Assumptions'!$F$13+K111*'Weights &amp; Assumptions'!$F$14+L111*'Weights &amp; Assumptions'!$F$15+M111*'Weights &amp; Assumptions'!$F$16+N111*'Weights &amp; Assumptions'!$F$17+O111*'Weights &amp; Assumptions'!$F$18+P111*'Weights &amp; Assumptions'!$F$19+Q111*'Weights &amp; Assumptions'!$F$20,"")</f>
        <v>151.202298672942</v>
      </c>
      <c r="U111" s="23" t="n">
        <f aca="false">IFERROR(R111*'Weights &amp; Assumptions'!$B$25/'Weights &amp; Assumptions'!$B$28+S111*'Weights &amp; Assumptions'!$B$26/'Weights &amp; Assumptions'!$B$28+T111*'Weights &amp; Assumptions'!$B$27/'Weights &amp; Assumptions'!$B$28,"")</f>
        <v>144.745658373761</v>
      </c>
      <c r="V111" s="30" t="n">
        <f aca="false">IF(ISNUMBER(Tabelle1!E112),Tabelle1!E112*'Weights &amp; Assumptions'!$F$6+Tabelle1!F112*'Weights &amp; Assumptions'!$F$7,"")</f>
        <v>72.2019442982801</v>
      </c>
      <c r="W111" s="30" t="n">
        <f aca="false">IF(ISNUMBER(Tabelle1!G112),Tabelle1!G112*'Weights &amp; Assumptions'!$F$8+Tabelle1!H112*'Weights &amp; Assumptions'!$F$9+Tabelle1!J112*'Weights &amp; Assumptions'!$F$11,"")</f>
        <v>139.287508118255</v>
      </c>
      <c r="X111" s="30" t="n">
        <f aca="false">IF(ISNUMBER(Tabelle1!I112),Tabelle1!I112*'Weights &amp; Assumptions'!$F$10+Tabelle1!K112*'Weights &amp; Assumptions'!$F$12+Tabelle1!L112*'Weights &amp; Assumptions'!$F$13+Tabelle1!M112*'Weights &amp; Assumptions'!$F$14+Tabelle1!N112*'Weights &amp; Assumptions'!$F$15+Tabelle1!O112*'Weights &amp; Assumptions'!$F$16+Tabelle1!P112*'Weights &amp; Assumptions'!$F$17+Tabelle1!Q112*'Weights &amp; Assumptions'!$F$18+Tabelle1!R112*'Weights &amp; Assumptions'!$F$19+Tabelle1!S112*'Weights &amp; Assumptions'!$F$20,"")</f>
        <v>152.14119579543</v>
      </c>
      <c r="Y111" s="23" t="n">
        <f aca="false">IFERROR(V111*'Weights &amp; Assumptions'!$B$25/'Weights &amp; Assumptions'!$B$28+W111*'Weights &amp; Assumptions'!$B$26/'Weights &amp; Assumptions'!$B$28+X111*'Weights &amp; Assumptions'!$B$27/'Weights &amp; Assumptions'!$B$28,"")</f>
        <v>142.016205985808</v>
      </c>
    </row>
    <row r="112" customFormat="false" ht="15" hidden="false" customHeight="false" outlineLevel="0" collapsed="false">
      <c r="A112" s="20" t="n">
        <v>41213</v>
      </c>
      <c r="B112" s="30" t="n">
        <f aca="false">IF(ISNUMBER(Tabelle1!D113),Tabelle1!D113,"")</f>
        <v>147.08919</v>
      </c>
      <c r="C112" s="23" t="n">
        <f aca="false">IF(ISNUMBER(Tabelle1!E113),Tabelle1!E113/'SF Workings'!F112,"")</f>
        <v>126.999301129131</v>
      </c>
      <c r="D112" s="23" t="n">
        <f aca="false">IF(ISNUMBER(Tabelle1!F113),Tabelle1!F113/'SF Workings'!J112,"")</f>
        <v>125.880260648124</v>
      </c>
      <c r="E112" s="23" t="n">
        <f aca="false">IF(ISNUMBER(Tabelle1!G113),Tabelle1!G113/'SF Workings'!N112,"")</f>
        <v>94.4939896870286</v>
      </c>
      <c r="F112" s="23" t="n">
        <f aca="false">IF(ISNUMBER(Tabelle1!H113),Tabelle1!H113/'SF Workings'!R112,"")</f>
        <v>141.199716097942</v>
      </c>
      <c r="G112" s="23" t="n">
        <f aca="false">IF(ISNUMBER(Tabelle1!I113),Tabelle1!I113/'SF Workings'!V112,"")</f>
        <v>132.829909511547</v>
      </c>
      <c r="H112" s="23" t="n">
        <f aca="false">IF(ISNUMBER(Tabelle1!J113),Tabelle1!J113/'SF Workings'!Z112,"")</f>
        <v>150.513415898405</v>
      </c>
      <c r="I112" s="23" t="n">
        <f aca="false">IF(ISNUMBER(Tabelle1!K113),Tabelle1!K113/'SF Workings'!AD112,"")</f>
        <v>163.897359138226</v>
      </c>
      <c r="J112" s="23" t="n">
        <f aca="false">IF(ISNUMBER(Tabelle1!L113),Tabelle1!L113/'SF Workings'!AH112,"")</f>
        <v>156.074872519113</v>
      </c>
      <c r="K112" s="23" t="n">
        <f aca="false">IF(ISNUMBER(Tabelle1!M113),Tabelle1!M113/'SF Workings'!AL112,"")</f>
        <v>177.075292867238</v>
      </c>
      <c r="L112" s="23" t="n">
        <f aca="false">IF(ISNUMBER(Tabelle1!N113),Tabelle1!N113/'SF Workings'!AP112,"")</f>
        <v>182.96249522918</v>
      </c>
      <c r="M112" s="23" t="n">
        <f aca="false">IF(ISNUMBER(Tabelle1!O113),Tabelle1!O113/'SF Workings'!AT112,"")</f>
        <v>133.46209449122</v>
      </c>
      <c r="N112" s="23" t="n">
        <f aca="false">IF(ISNUMBER(Tabelle1!P113),Tabelle1!P113/'SF Workings'!AX112,"")</f>
        <v>137.250483707291</v>
      </c>
      <c r="O112" s="23" t="n">
        <f aca="false">IF(ISNUMBER(Tabelle1!Q113),Tabelle1!Q113/'SF Workings'!BB112,"")</f>
        <v>140.729115151194</v>
      </c>
      <c r="P112" s="23" t="n">
        <f aca="false">IF(ISNUMBER(Tabelle1!R113),Tabelle1!R113/'SF Workings'!BF112,"")</f>
        <v>159.662960747598</v>
      </c>
      <c r="Q112" s="23" t="n">
        <f aca="false">IF(ISNUMBER(Tabelle1!S113),Tabelle1!S113/'SF Workings'!BJ112,"")</f>
        <v>157.709764698458</v>
      </c>
      <c r="R112" s="23" t="n">
        <f aca="false">IFERROR(C112*'Weights &amp; Assumptions'!$F$6+D112*'Weights &amp; Assumptions'!$F$7,"")</f>
        <v>126.985590045658</v>
      </c>
      <c r="S112" s="23" t="n">
        <f aca="false">IFERROR(E112*'Weights &amp; Assumptions'!$F$8+F112*'Weights &amp; Assumptions'!$F$9+H112*'Weights &amp; Assumptions'!$F$11,"")</f>
        <v>137.563423008718</v>
      </c>
      <c r="T112" s="23" t="n">
        <f aca="false">IFERROR(G112*'Weights &amp; Assumptions'!$F$10+I112*'Weights &amp; Assumptions'!$F$12+J112*'Weights &amp; Assumptions'!$F$13+K112*'Weights &amp; Assumptions'!$F$14+L112*'Weights &amp; Assumptions'!$F$15+M112*'Weights &amp; Assumptions'!$F$16+N112*'Weights &amp; Assumptions'!$F$17+O112*'Weights &amp; Assumptions'!$F$18+P112*'Weights &amp; Assumptions'!$F$19+Q112*'Weights &amp; Assumptions'!$F$20,"")</f>
        <v>154.94606893254</v>
      </c>
      <c r="U112" s="23" t="n">
        <f aca="false">IFERROR(R112*'Weights &amp; Assumptions'!$B$25/'Weights &amp; Assumptions'!$B$28+S112*'Weights &amp; Assumptions'!$B$26/'Weights &amp; Assumptions'!$B$28+T112*'Weights &amp; Assumptions'!$B$27/'Weights &amp; Assumptions'!$B$28,"")</f>
        <v>147.977812291194</v>
      </c>
      <c r="V112" s="30" t="n">
        <f aca="false">IF(ISNUMBER(Tabelle1!E113),Tabelle1!E113*'Weights &amp; Assumptions'!$F$6+Tabelle1!F113*'Weights &amp; Assumptions'!$F$7,"")</f>
        <v>72.8030556708502</v>
      </c>
      <c r="W112" s="30" t="n">
        <f aca="false">IF(ISNUMBER(Tabelle1!G113),Tabelle1!G113*'Weights &amp; Assumptions'!$F$8+Tabelle1!H113*'Weights &amp; Assumptions'!$F$9+Tabelle1!J113*'Weights &amp; Assumptions'!$F$11,"")</f>
        <v>144.586576792846</v>
      </c>
      <c r="X112" s="30" t="n">
        <f aca="false">IF(ISNUMBER(Tabelle1!I113),Tabelle1!I113*'Weights &amp; Assumptions'!$F$10+Tabelle1!K113*'Weights &amp; Assumptions'!$F$12+Tabelle1!L113*'Weights &amp; Assumptions'!$F$13+Tabelle1!M113*'Weights &amp; Assumptions'!$F$14+Tabelle1!N113*'Weights &amp; Assumptions'!$F$15+Tabelle1!O113*'Weights &amp; Assumptions'!$F$16+Tabelle1!P113*'Weights &amp; Assumptions'!$F$17+Tabelle1!Q113*'Weights &amp; Assumptions'!$F$18+Tabelle1!R113*'Weights &amp; Assumptions'!$F$19+Tabelle1!S113*'Weights &amp; Assumptions'!$F$20,"")</f>
        <v>156.297577478156</v>
      </c>
      <c r="Y112" s="23" t="n">
        <f aca="false">IFERROR(V112*'Weights &amp; Assumptions'!$B$25/'Weights &amp; Assumptions'!$B$28+W112*'Weights &amp; Assumptions'!$B$26/'Weights &amp; Assumptions'!$B$28+X112*'Weights &amp; Assumptions'!$B$27/'Weights &amp; Assumptions'!$B$28,"")</f>
        <v>146.178157962604</v>
      </c>
    </row>
    <row r="113" customFormat="false" ht="15" hidden="false" customHeight="false" outlineLevel="0" collapsed="false">
      <c r="A113" s="20" t="n">
        <v>41243</v>
      </c>
      <c r="B113" s="30" t="n">
        <f aca="false">IF(ISNUMBER(Tabelle1!D114),Tabelle1!D114,"")</f>
        <v>146.95144</v>
      </c>
      <c r="C113" s="23" t="n">
        <f aca="false">IF(ISNUMBER(Tabelle1!E114),Tabelle1!E114/'SF Workings'!F113,"")</f>
        <v>122.815446137459</v>
      </c>
      <c r="D113" s="23" t="n">
        <f aca="false">IF(ISNUMBER(Tabelle1!F114),Tabelle1!F114/'SF Workings'!J113,"")</f>
        <v>136.593713174967</v>
      </c>
      <c r="E113" s="23" t="n">
        <f aca="false">IF(ISNUMBER(Tabelle1!G114),Tabelle1!G114/'SF Workings'!N113,"")</f>
        <v>93.0143116524799</v>
      </c>
      <c r="F113" s="23" t="n">
        <f aca="false">IF(ISNUMBER(Tabelle1!H114),Tabelle1!H114/'SF Workings'!R113,"")</f>
        <v>140.628009203758</v>
      </c>
      <c r="G113" s="23" t="n">
        <f aca="false">IF(ISNUMBER(Tabelle1!I114),Tabelle1!I114/'SF Workings'!V113,"")</f>
        <v>138.749937500655</v>
      </c>
      <c r="H113" s="23" t="n">
        <f aca="false">IF(ISNUMBER(Tabelle1!J114),Tabelle1!J114/'SF Workings'!Z113,"")</f>
        <v>150.160549632667</v>
      </c>
      <c r="I113" s="23" t="n">
        <f aca="false">IF(ISNUMBER(Tabelle1!K114),Tabelle1!K114/'SF Workings'!AD113,"")</f>
        <v>163.033018651909</v>
      </c>
      <c r="J113" s="23" t="n">
        <f aca="false">IF(ISNUMBER(Tabelle1!L114),Tabelle1!L114/'SF Workings'!AH113,"")</f>
        <v>157.345476851664</v>
      </c>
      <c r="K113" s="23" t="n">
        <f aca="false">IF(ISNUMBER(Tabelle1!M114),Tabelle1!M114/'SF Workings'!AL113,"")</f>
        <v>178.268738213996</v>
      </c>
      <c r="L113" s="23" t="n">
        <f aca="false">IF(ISNUMBER(Tabelle1!N114),Tabelle1!N114/'SF Workings'!AP113,"")</f>
        <v>184.399815600867</v>
      </c>
      <c r="M113" s="23" t="n">
        <f aca="false">IF(ISNUMBER(Tabelle1!O114),Tabelle1!O114/'SF Workings'!AT113,"")</f>
        <v>133.429449526804</v>
      </c>
      <c r="N113" s="23" t="n">
        <f aca="false">IF(ISNUMBER(Tabelle1!P114),Tabelle1!P114/'SF Workings'!AX113,"")</f>
        <v>137.111474419851</v>
      </c>
      <c r="O113" s="23" t="n">
        <f aca="false">IF(ISNUMBER(Tabelle1!Q114),Tabelle1!Q114/'SF Workings'!BB113,"")</f>
        <v>140.663449027257</v>
      </c>
      <c r="P113" s="23" t="n">
        <f aca="false">IF(ISNUMBER(Tabelle1!R114),Tabelle1!R114/'SF Workings'!BF113,"")</f>
        <v>159.841902146929</v>
      </c>
      <c r="Q113" s="23" t="n">
        <f aca="false">IF(ISNUMBER(Tabelle1!S114),Tabelle1!S114/'SF Workings'!BJ113,"")</f>
        <v>155.767822938158</v>
      </c>
      <c r="R113" s="23" t="n">
        <f aca="false">IFERROR(C113*'Weights &amp; Assumptions'!$F$6+D113*'Weights &amp; Assumptions'!$F$7,"")</f>
        <v>122.984264846587</v>
      </c>
      <c r="S113" s="23" t="n">
        <f aca="false">IFERROR(E113*'Weights &amp; Assumptions'!$F$8+F113*'Weights &amp; Assumptions'!$F$9+H113*'Weights &amp; Assumptions'!$F$11,"")</f>
        <v>136.92889611208</v>
      </c>
      <c r="T113" s="23" t="n">
        <f aca="false">IFERROR(G113*'Weights &amp; Assumptions'!$F$10+I113*'Weights &amp; Assumptions'!$F$12+J113*'Weights &amp; Assumptions'!$F$13+K113*'Weights &amp; Assumptions'!$F$14+L113*'Weights &amp; Assumptions'!$F$15+M113*'Weights &amp; Assumptions'!$F$16+N113*'Weights &amp; Assumptions'!$F$17+O113*'Weights &amp; Assumptions'!$F$18+P113*'Weights &amp; Assumptions'!$F$19+Q113*'Weights &amp; Assumptions'!$F$20,"")</f>
        <v>155.1628696898</v>
      </c>
      <c r="U113" s="23" t="n">
        <f aca="false">IFERROR(R113*'Weights &amp; Assumptions'!$B$25/'Weights &amp; Assumptions'!$B$28+S113*'Weights &amp; Assumptions'!$B$26/'Weights &amp; Assumptions'!$B$28+T113*'Weights &amp; Assumptions'!$B$27/'Weights &amp; Assumptions'!$B$28,"")</f>
        <v>147.614325876097</v>
      </c>
      <c r="V113" s="30" t="n">
        <f aca="false">IF(ISNUMBER(Tabelle1!E114),Tabelle1!E114*'Weights &amp; Assumptions'!$F$6+Tabelle1!F114*'Weights &amp; Assumptions'!$F$7,"")</f>
        <v>85.2214013492092</v>
      </c>
      <c r="W113" s="30" t="n">
        <f aca="false">IF(ISNUMBER(Tabelle1!G114),Tabelle1!G114*'Weights &amp; Assumptions'!$F$8+Tabelle1!H114*'Weights &amp; Assumptions'!$F$9+Tabelle1!J114*'Weights &amp; Assumptions'!$F$11,"")</f>
        <v>140.838989578705</v>
      </c>
      <c r="X113" s="30" t="n">
        <f aca="false">IF(ISNUMBER(Tabelle1!I114),Tabelle1!I114*'Weights &amp; Assumptions'!$F$10+Tabelle1!K114*'Weights &amp; Assumptions'!$F$12+Tabelle1!L114*'Weights &amp; Assumptions'!$F$13+Tabelle1!M114*'Weights &amp; Assumptions'!$F$14+Tabelle1!N114*'Weights &amp; Assumptions'!$F$15+Tabelle1!O114*'Weights &amp; Assumptions'!$F$16+Tabelle1!P114*'Weights &amp; Assumptions'!$F$17+Tabelle1!Q114*'Weights &amp; Assumptions'!$F$18+Tabelle1!R114*'Weights &amp; Assumptions'!$F$19+Tabelle1!S114*'Weights &amp; Assumptions'!$F$20,"")</f>
        <v>155.853796197624</v>
      </c>
      <c r="Y113" s="23" t="n">
        <f aca="false">IFERROR(V113*'Weights &amp; Assumptions'!$B$25/'Weights &amp; Assumptions'!$B$28+W113*'Weights &amp; Assumptions'!$B$26/'Weights &amp; Assumptions'!$B$28+X113*'Weights &amp; Assumptions'!$B$27/'Weights &amp; Assumptions'!$B$28,"")</f>
        <v>145.93498012859</v>
      </c>
    </row>
    <row r="114" customFormat="false" ht="15" hidden="false" customHeight="false" outlineLevel="0" collapsed="false">
      <c r="A114" s="20" t="n">
        <v>41274</v>
      </c>
      <c r="B114" s="30" t="n">
        <f aca="false">IF(ISNUMBER(Tabelle1!D115),Tabelle1!D115,"")</f>
        <v>149.27282</v>
      </c>
      <c r="C114" s="23" t="n">
        <f aca="false">IF(ISNUMBER(Tabelle1!E115),Tabelle1!E115/'SF Workings'!F114,"")</f>
        <v>112.264184707292</v>
      </c>
      <c r="D114" s="23" t="n">
        <f aca="false">IF(ISNUMBER(Tabelle1!F115),Tabelle1!F115/'SF Workings'!J114,"")</f>
        <v>113.297598068121</v>
      </c>
      <c r="E114" s="23" t="n">
        <f aca="false">IF(ISNUMBER(Tabelle1!G115),Tabelle1!G115/'SF Workings'!N114,"")</f>
        <v>96.0284115708894</v>
      </c>
      <c r="F114" s="23" t="n">
        <f aca="false">IF(ISNUMBER(Tabelle1!H115),Tabelle1!H115/'SF Workings'!R114,"")</f>
        <v>142.295088565267</v>
      </c>
      <c r="G114" s="23" t="n">
        <f aca="false">IF(ISNUMBER(Tabelle1!I115),Tabelle1!I115/'SF Workings'!V114,"")</f>
        <v>134.186637759501</v>
      </c>
      <c r="H114" s="23" t="n">
        <f aca="false">IF(ISNUMBER(Tabelle1!J115),Tabelle1!J115/'SF Workings'!Z114,"")</f>
        <v>149.518689826865</v>
      </c>
      <c r="I114" s="23" t="n">
        <f aca="false">IF(ISNUMBER(Tabelle1!K115),Tabelle1!K115/'SF Workings'!AD114,"")</f>
        <v>164.209040067285</v>
      </c>
      <c r="J114" s="23" t="n">
        <f aca="false">IF(ISNUMBER(Tabelle1!L115),Tabelle1!L115/'SF Workings'!AH114,"")</f>
        <v>156.617563632314</v>
      </c>
      <c r="K114" s="23" t="n">
        <f aca="false">IF(ISNUMBER(Tabelle1!M115),Tabelle1!M115/'SF Workings'!AL114,"")</f>
        <v>177.53164478726</v>
      </c>
      <c r="L114" s="23" t="n">
        <f aca="false">IF(ISNUMBER(Tabelle1!N115),Tabelle1!N115/'SF Workings'!AP114,"")</f>
        <v>184.715457147595</v>
      </c>
      <c r="M114" s="23" t="n">
        <f aca="false">IF(ISNUMBER(Tabelle1!O115),Tabelle1!O115/'SF Workings'!AT114,"")</f>
        <v>133.836612609397</v>
      </c>
      <c r="N114" s="23" t="n">
        <f aca="false">IF(ISNUMBER(Tabelle1!P115),Tabelle1!P115/'SF Workings'!AX114,"")</f>
        <v>137.439600092187</v>
      </c>
      <c r="O114" s="23" t="n">
        <f aca="false">IF(ISNUMBER(Tabelle1!Q115),Tabelle1!Q115/'SF Workings'!BB114,"")</f>
        <v>141.415999033042</v>
      </c>
      <c r="P114" s="23" t="n">
        <f aca="false">IF(ISNUMBER(Tabelle1!R115),Tabelle1!R115/'SF Workings'!BF114,"")</f>
        <v>160.736436883167</v>
      </c>
      <c r="Q114" s="23" t="n">
        <f aca="false">IF(ISNUMBER(Tabelle1!S115),Tabelle1!S115/'SF Workings'!BJ114,"")</f>
        <v>153.783000908344</v>
      </c>
      <c r="R114" s="23" t="n">
        <f aca="false">IFERROR(C114*'Weights &amp; Assumptions'!$F$6+D114*'Weights &amp; Assumptions'!$F$7,"")</f>
        <v>112.276846641416</v>
      </c>
      <c r="S114" s="23" t="n">
        <f aca="false">IFERROR(E114*'Weights &amp; Assumptions'!$F$8+F114*'Weights &amp; Assumptions'!$F$9+H114*'Weights &amp; Assumptions'!$F$11,"")</f>
        <v>138.275800079783</v>
      </c>
      <c r="T114" s="23" t="n">
        <f aca="false">IFERROR(G114*'Weights &amp; Assumptions'!$F$10+I114*'Weights &amp; Assumptions'!$F$12+J114*'Weights &amp; Assumptions'!$F$13+K114*'Weights &amp; Assumptions'!$F$14+L114*'Weights &amp; Assumptions'!$F$15+M114*'Weights &amp; Assumptions'!$F$16+N114*'Weights &amp; Assumptions'!$F$17+O114*'Weights &amp; Assumptions'!$F$18+P114*'Weights &amp; Assumptions'!$F$19+Q114*'Weights &amp; Assumptions'!$F$20,"")</f>
        <v>155.281444416824</v>
      </c>
      <c r="U114" s="23" t="n">
        <f aca="false">IFERROR(R114*'Weights &amp; Assumptions'!$B$25/'Weights &amp; Assumptions'!$B$28+S114*'Weights &amp; Assumptions'!$B$26/'Weights &amp; Assumptions'!$B$28+T114*'Weights &amp; Assumptions'!$B$27/'Weights &amp; Assumptions'!$B$28,"")</f>
        <v>147.151224988491</v>
      </c>
      <c r="V114" s="30" t="n">
        <f aca="false">IF(ISNUMBER(Tabelle1!E115),Tabelle1!E115*'Weights &amp; Assumptions'!$F$6+Tabelle1!F115*'Weights &amp; Assumptions'!$F$7,"")</f>
        <v>80.9255153809847</v>
      </c>
      <c r="W114" s="30" t="n">
        <f aca="false">IF(ISNUMBER(Tabelle1!G115),Tabelle1!G115*'Weights &amp; Assumptions'!$F$8+Tabelle1!H115*'Weights &amp; Assumptions'!$F$9+Tabelle1!J115*'Weights &amp; Assumptions'!$F$11,"")</f>
        <v>136.27639543081</v>
      </c>
      <c r="X114" s="30" t="n">
        <f aca="false">IF(ISNUMBER(Tabelle1!I115),Tabelle1!I115*'Weights &amp; Assumptions'!$F$10+Tabelle1!K115*'Weights &amp; Assumptions'!$F$12+Tabelle1!L115*'Weights &amp; Assumptions'!$F$13+Tabelle1!M115*'Weights &amp; Assumptions'!$F$14+Tabelle1!N115*'Weights &amp; Assumptions'!$F$15+Tabelle1!O115*'Weights &amp; Assumptions'!$F$16+Tabelle1!P115*'Weights &amp; Assumptions'!$F$17+Tabelle1!Q115*'Weights &amp; Assumptions'!$F$18+Tabelle1!R115*'Weights &amp; Assumptions'!$F$19+Tabelle1!S115*'Weights &amp; Assumptions'!$F$20,"")</f>
        <v>153.981474098646</v>
      </c>
      <c r="Y114" s="23" t="n">
        <f aca="false">IFERROR(V114*'Weights &amp; Assumptions'!$B$25/'Weights &amp; Assumptions'!$B$28+W114*'Weights &amp; Assumptions'!$B$26/'Weights &amp; Assumptions'!$B$28+X114*'Weights &amp; Assumptions'!$B$27/'Weights &amp; Assumptions'!$B$28,"")</f>
        <v>143.143928672173</v>
      </c>
    </row>
    <row r="115" customFormat="false" ht="15" hidden="false" customHeight="false" outlineLevel="0" collapsed="false">
      <c r="A115" s="20" t="n">
        <v>41305</v>
      </c>
      <c r="B115" s="30" t="n">
        <f aca="false">IF(ISNUMBER(Tabelle1!D116),Tabelle1!D116,"")</f>
        <v>145.88006</v>
      </c>
      <c r="C115" s="23" t="n">
        <f aca="false">IF(ISNUMBER(Tabelle1!E116),Tabelle1!E116/'SF Workings'!F115,"")</f>
        <v>120.354861387623</v>
      </c>
      <c r="D115" s="23" t="n">
        <f aca="false">IF(ISNUMBER(Tabelle1!F116),Tabelle1!F116/'SF Workings'!J115,"")</f>
        <v>132.689868112484</v>
      </c>
      <c r="E115" s="23" t="n">
        <f aca="false">IF(ISNUMBER(Tabelle1!G116),Tabelle1!G116/'SF Workings'!N115,"")</f>
        <v>92.4703168566057</v>
      </c>
      <c r="F115" s="23" t="n">
        <f aca="false">IF(ISNUMBER(Tabelle1!H116),Tabelle1!H116/'SF Workings'!R115,"")</f>
        <v>141.233738494858</v>
      </c>
      <c r="G115" s="23" t="n">
        <f aca="false">IF(ISNUMBER(Tabelle1!I116),Tabelle1!I116/'SF Workings'!V115,"")</f>
        <v>132.117109608231</v>
      </c>
      <c r="H115" s="23" t="n">
        <f aca="false">IF(ISNUMBER(Tabelle1!J116),Tabelle1!J116/'SF Workings'!Z115,"")</f>
        <v>149.346678102606</v>
      </c>
      <c r="I115" s="23" t="n">
        <f aca="false">IF(ISNUMBER(Tabelle1!K116),Tabelle1!K116/'SF Workings'!AD115,"")</f>
        <v>165.603404476458</v>
      </c>
      <c r="J115" s="23" t="n">
        <f aca="false">IF(ISNUMBER(Tabelle1!L116),Tabelle1!L116/'SF Workings'!AH115,"")</f>
        <v>155.002382834378</v>
      </c>
      <c r="K115" s="23" t="n">
        <f aca="false">IF(ISNUMBER(Tabelle1!M116),Tabelle1!M116/'SF Workings'!AL115,"")</f>
        <v>176.140692728432</v>
      </c>
      <c r="L115" s="23" t="n">
        <f aca="false">IF(ISNUMBER(Tabelle1!N116),Tabelle1!N116/'SF Workings'!AP115,"")</f>
        <v>180.969899093535</v>
      </c>
      <c r="M115" s="23" t="n">
        <f aca="false">IF(ISNUMBER(Tabelle1!O116),Tabelle1!O116/'SF Workings'!AT115,"")</f>
        <v>134.128839084706</v>
      </c>
      <c r="N115" s="23" t="n">
        <f aca="false">IF(ISNUMBER(Tabelle1!P116),Tabelle1!P116/'SF Workings'!AX115,"")</f>
        <v>137.591441180828</v>
      </c>
      <c r="O115" s="23" t="n">
        <f aca="false">IF(ISNUMBER(Tabelle1!Q116),Tabelle1!Q116/'SF Workings'!BB115,"")</f>
        <v>142.029252173805</v>
      </c>
      <c r="P115" s="23" t="n">
        <f aca="false">IF(ISNUMBER(Tabelle1!R116),Tabelle1!R116/'SF Workings'!BF115,"")</f>
        <v>161.354253713005</v>
      </c>
      <c r="Q115" s="23" t="n">
        <f aca="false">IF(ISNUMBER(Tabelle1!S116),Tabelle1!S116/'SF Workings'!BJ115,"")</f>
        <v>149.524371606017</v>
      </c>
      <c r="R115" s="23" t="n">
        <f aca="false">IFERROR(C115*'Weights &amp; Assumptions'!$F$6+D115*'Weights &amp; Assumptions'!$F$7,"")</f>
        <v>120.505996498207</v>
      </c>
      <c r="S115" s="23" t="n">
        <f aca="false">IFERROR(E115*'Weights &amp; Assumptions'!$F$8+F115*'Weights &amp; Assumptions'!$F$9+H115*'Weights &amp; Assumptions'!$F$11,"")</f>
        <v>137.101614601161</v>
      </c>
      <c r="T115" s="23" t="n">
        <f aca="false">IFERROR(G115*'Weights &amp; Assumptions'!$F$10+I115*'Weights &amp; Assumptions'!$F$12+J115*'Weights &amp; Assumptions'!$F$13+K115*'Weights &amp; Assumptions'!$F$14+L115*'Weights &amp; Assumptions'!$F$15+M115*'Weights &amp; Assumptions'!$F$16+N115*'Weights &amp; Assumptions'!$F$17+O115*'Weights &amp; Assumptions'!$F$18+P115*'Weights &amp; Assumptions'!$F$19+Q115*'Weights &amp; Assumptions'!$F$20,"")</f>
        <v>154.874097396848</v>
      </c>
      <c r="U115" s="23" t="n">
        <f aca="false">IFERROR(R115*'Weights &amp; Assumptions'!$B$25/'Weights &amp; Assumptions'!$B$28+S115*'Weights &amp; Assumptions'!$B$26/'Weights &amp; Assumptions'!$B$28+T115*'Weights &amp; Assumptions'!$B$27/'Weights &amp; Assumptions'!$B$28,"")</f>
        <v>147.26457150234</v>
      </c>
      <c r="V115" s="30" t="n">
        <f aca="false">IF(ISNUMBER(Tabelle1!E116),Tabelle1!E116*'Weights &amp; Assumptions'!$F$6+Tabelle1!F116*'Weights &amp; Assumptions'!$F$7,"")</f>
        <v>63.7841704148937</v>
      </c>
      <c r="W115" s="30" t="n">
        <f aca="false">IF(ISNUMBER(Tabelle1!G116),Tabelle1!G116*'Weights &amp; Assumptions'!$F$8+Tabelle1!H116*'Weights &amp; Assumptions'!$F$9+Tabelle1!J116*'Weights &amp; Assumptions'!$F$11,"")</f>
        <v>125.576961406561</v>
      </c>
      <c r="X115" s="30" t="n">
        <f aca="false">IF(ISNUMBER(Tabelle1!I116),Tabelle1!I116*'Weights &amp; Assumptions'!$F$10+Tabelle1!K116*'Weights &amp; Assumptions'!$F$12+Tabelle1!L116*'Weights &amp; Assumptions'!$F$13+Tabelle1!M116*'Weights &amp; Assumptions'!$F$14+Tabelle1!N116*'Weights &amp; Assumptions'!$F$15+Tabelle1!O116*'Weights &amp; Assumptions'!$F$16+Tabelle1!P116*'Weights &amp; Assumptions'!$F$17+Tabelle1!Q116*'Weights &amp; Assumptions'!$F$18+Tabelle1!R116*'Weights &amp; Assumptions'!$F$19+Tabelle1!S116*'Weights &amp; Assumptions'!$F$20,"")</f>
        <v>149.93758141757</v>
      </c>
      <c r="Y115" s="23" t="n">
        <f aca="false">IFERROR(V115*'Weights &amp; Assumptions'!$B$25/'Weights &amp; Assumptions'!$B$28+W115*'Weights &amp; Assumptions'!$B$26/'Weights &amp; Assumptions'!$B$28+X115*'Weights &amp; Assumptions'!$B$27/'Weights &amp; Assumptions'!$B$28,"")</f>
        <v>136.231324141462</v>
      </c>
    </row>
    <row r="116" customFormat="false" ht="15" hidden="false" customHeight="false" outlineLevel="0" collapsed="false">
      <c r="A116" s="20" t="n">
        <v>41333</v>
      </c>
      <c r="B116" s="30" t="n">
        <f aca="false">IF(ISNUMBER(Tabelle1!D117),Tabelle1!D117,"")</f>
        <v>148.73547</v>
      </c>
      <c r="C116" s="23" t="n">
        <f aca="false">IF(ISNUMBER(Tabelle1!E117),Tabelle1!E117/'SF Workings'!F116,"")</f>
        <v>126.97582959178</v>
      </c>
      <c r="D116" s="23" t="n">
        <f aca="false">IF(ISNUMBER(Tabelle1!F117),Tabelle1!F117/'SF Workings'!J116,"")</f>
        <v>174.494330472921</v>
      </c>
      <c r="E116" s="23" t="n">
        <f aca="false">IF(ISNUMBER(Tabelle1!G117),Tabelle1!G117/'SF Workings'!N116,"")</f>
        <v>90.9904792961864</v>
      </c>
      <c r="F116" s="23" t="n">
        <f aca="false">IF(ISNUMBER(Tabelle1!H117),Tabelle1!H117/'SF Workings'!R116,"")</f>
        <v>139.174838659377</v>
      </c>
      <c r="G116" s="23" t="n">
        <f aca="false">IF(ISNUMBER(Tabelle1!I117),Tabelle1!I117/'SF Workings'!V116,"")</f>
        <v>130.413047179888</v>
      </c>
      <c r="H116" s="23" t="n">
        <f aca="false">IF(ISNUMBER(Tabelle1!J117),Tabelle1!J117/'SF Workings'!Z116,"")</f>
        <v>150.152691368787</v>
      </c>
      <c r="I116" s="23" t="n">
        <f aca="false">IF(ISNUMBER(Tabelle1!K117),Tabelle1!K117/'SF Workings'!AD116,"")</f>
        <v>161.806888331029</v>
      </c>
      <c r="J116" s="23" t="n">
        <f aca="false">IF(ISNUMBER(Tabelle1!L117),Tabelle1!L117/'SF Workings'!AH116,"")</f>
        <v>155.599064479809</v>
      </c>
      <c r="K116" s="23" t="n">
        <f aca="false">IF(ISNUMBER(Tabelle1!M117),Tabelle1!M117/'SF Workings'!AL116,"")</f>
        <v>174.542970027243</v>
      </c>
      <c r="L116" s="23" t="n">
        <f aca="false">IF(ISNUMBER(Tabelle1!N117),Tabelle1!N117/'SF Workings'!AP116,"")</f>
        <v>180.149649559693</v>
      </c>
      <c r="M116" s="23" t="n">
        <f aca="false">IF(ISNUMBER(Tabelle1!O117),Tabelle1!O117/'SF Workings'!AT116,"")</f>
        <v>133.142303099946</v>
      </c>
      <c r="N116" s="23" t="n">
        <f aca="false">IF(ISNUMBER(Tabelle1!P117),Tabelle1!P117/'SF Workings'!AX116,"")</f>
        <v>139.538784462392</v>
      </c>
      <c r="O116" s="23" t="n">
        <f aca="false">IF(ISNUMBER(Tabelle1!Q117),Tabelle1!Q117/'SF Workings'!BB116,"")</f>
        <v>142.843847473363</v>
      </c>
      <c r="P116" s="23" t="n">
        <f aca="false">IF(ISNUMBER(Tabelle1!R117),Tabelle1!R117/'SF Workings'!BF116,"")</f>
        <v>161.881852211065</v>
      </c>
      <c r="Q116" s="23" t="n">
        <f aca="false">IF(ISNUMBER(Tabelle1!S117),Tabelle1!S117/'SF Workings'!BJ116,"")</f>
        <v>148.812377040372</v>
      </c>
      <c r="R116" s="23" t="n">
        <f aca="false">IFERROR(C116*'Weights &amp; Assumptions'!$F$6+D116*'Weights &amp; Assumptions'!$F$7,"")</f>
        <v>127.558051721503</v>
      </c>
      <c r="S116" s="23" t="n">
        <f aca="false">IFERROR(E116*'Weights &amp; Assumptions'!$F$8+F116*'Weights &amp; Assumptions'!$F$9+H116*'Weights &amp; Assumptions'!$F$11,"")</f>
        <v>135.708682538926</v>
      </c>
      <c r="T116" s="23" t="n">
        <f aca="false">IFERROR(G116*'Weights &amp; Assumptions'!$F$10+I116*'Weights &amp; Assumptions'!$F$12+J116*'Weights &amp; Assumptions'!$F$13+K116*'Weights &amp; Assumptions'!$F$14+L116*'Weights &amp; Assumptions'!$F$15+M116*'Weights &amp; Assumptions'!$F$16+N116*'Weights &amp; Assumptions'!$F$17+O116*'Weights &amp; Assumptions'!$F$18+P116*'Weights &amp; Assumptions'!$F$19+Q116*'Weights &amp; Assumptions'!$F$20,"")</f>
        <v>153.827239748187</v>
      </c>
      <c r="U116" s="23" t="n">
        <f aca="false">IFERROR(R116*'Weights &amp; Assumptions'!$B$25/'Weights &amp; Assumptions'!$B$28+S116*'Weights &amp; Assumptions'!$B$26/'Weights &amp; Assumptions'!$B$28+T116*'Weights &amp; Assumptions'!$B$27/'Weights &amp; Assumptions'!$B$28,"")</f>
        <v>146.805192151683</v>
      </c>
      <c r="V116" s="30" t="n">
        <f aca="false">IF(ISNUMBER(Tabelle1!E117),Tabelle1!E117*'Weights &amp; Assumptions'!$F$6+Tabelle1!F117*'Weights &amp; Assumptions'!$F$7,"")</f>
        <v>73.3396585189688</v>
      </c>
      <c r="W116" s="30" t="n">
        <f aca="false">IF(ISNUMBER(Tabelle1!G117),Tabelle1!G117*'Weights &amp; Assumptions'!$F$8+Tabelle1!H117*'Weights &amp; Assumptions'!$F$9+Tabelle1!J117*'Weights &amp; Assumptions'!$F$11,"")</f>
        <v>121.620375542009</v>
      </c>
      <c r="X116" s="30" t="n">
        <f aca="false">IF(ISNUMBER(Tabelle1!I117),Tabelle1!I117*'Weights &amp; Assumptions'!$F$10+Tabelle1!K117*'Weights &amp; Assumptions'!$F$12+Tabelle1!L117*'Weights &amp; Assumptions'!$F$13+Tabelle1!M117*'Weights &amp; Assumptions'!$F$14+Tabelle1!N117*'Weights &amp; Assumptions'!$F$15+Tabelle1!O117*'Weights &amp; Assumptions'!$F$16+Tabelle1!P117*'Weights &amp; Assumptions'!$F$17+Tabelle1!Q117*'Weights &amp; Assumptions'!$F$18+Tabelle1!R117*'Weights &amp; Assumptions'!$F$19+Tabelle1!S117*'Weights &amp; Assumptions'!$F$20,"")</f>
        <v>146.164684234885</v>
      </c>
      <c r="Y116" s="23" t="n">
        <f aca="false">IFERROR(V116*'Weights &amp; Assumptions'!$B$25/'Weights &amp; Assumptions'!$B$28+W116*'Weights &amp; Assumptions'!$B$26/'Weights &amp; Assumptions'!$B$28+X116*'Weights &amp; Assumptions'!$B$27/'Weights &amp; Assumptions'!$B$28,"")</f>
        <v>133.527843546983</v>
      </c>
    </row>
    <row r="117" customFormat="false" ht="15" hidden="false" customHeight="false" outlineLevel="0" collapsed="false">
      <c r="A117" s="20" t="n">
        <v>41364</v>
      </c>
      <c r="B117" s="30" t="n">
        <f aca="false">IF(ISNUMBER(Tabelle1!D118),Tabelle1!D118,"")</f>
        <v>148.7589</v>
      </c>
      <c r="C117" s="23" t="n">
        <f aca="false">IF(ISNUMBER(Tabelle1!E118),Tabelle1!E118/'SF Workings'!F117,"")</f>
        <v>127.679224415912</v>
      </c>
      <c r="D117" s="23" t="n">
        <f aca="false">IF(ISNUMBER(Tabelle1!F118),Tabelle1!F118/'SF Workings'!J117,"")</f>
        <v>108.466268560144</v>
      </c>
      <c r="E117" s="23" t="n">
        <f aca="false">IF(ISNUMBER(Tabelle1!G118),Tabelle1!G118/'SF Workings'!N117,"")</f>
        <v>90.8889473909902</v>
      </c>
      <c r="F117" s="23" t="n">
        <f aca="false">IF(ISNUMBER(Tabelle1!H118),Tabelle1!H118/'SF Workings'!R117,"")</f>
        <v>141.328952635664</v>
      </c>
      <c r="G117" s="23" t="n">
        <f aca="false">IF(ISNUMBER(Tabelle1!I118),Tabelle1!I118/'SF Workings'!V117,"")</f>
        <v>128.17648811868</v>
      </c>
      <c r="H117" s="23" t="n">
        <f aca="false">IF(ISNUMBER(Tabelle1!J118),Tabelle1!J118/'SF Workings'!Z117,"")</f>
        <v>149.032805212709</v>
      </c>
      <c r="I117" s="23" t="n">
        <f aca="false">IF(ISNUMBER(Tabelle1!K118),Tabelle1!K118/'SF Workings'!AD117,"")</f>
        <v>161.856936013854</v>
      </c>
      <c r="J117" s="23" t="n">
        <f aca="false">IF(ISNUMBER(Tabelle1!L118),Tabelle1!L118/'SF Workings'!AH117,"")</f>
        <v>160.519590044313</v>
      </c>
      <c r="K117" s="23" t="n">
        <f aca="false">IF(ISNUMBER(Tabelle1!M118),Tabelle1!M118/'SF Workings'!AL117,"")</f>
        <v>179.318728790371</v>
      </c>
      <c r="L117" s="23" t="n">
        <f aca="false">IF(ISNUMBER(Tabelle1!N118),Tabelle1!N118/'SF Workings'!AP117,"")</f>
        <v>179.964658130067</v>
      </c>
      <c r="M117" s="23" t="n">
        <f aca="false">IF(ISNUMBER(Tabelle1!O118),Tabelle1!O118/'SF Workings'!AT117,"")</f>
        <v>133.71983522356</v>
      </c>
      <c r="N117" s="23" t="n">
        <f aca="false">IF(ISNUMBER(Tabelle1!P118),Tabelle1!P118/'SF Workings'!AX117,"")</f>
        <v>137.715342490009</v>
      </c>
      <c r="O117" s="23" t="n">
        <f aca="false">IF(ISNUMBER(Tabelle1!Q118),Tabelle1!Q118/'SF Workings'!BB117,"")</f>
        <v>142.925629579112</v>
      </c>
      <c r="P117" s="23" t="n">
        <f aca="false">IF(ISNUMBER(Tabelle1!R118),Tabelle1!R118/'SF Workings'!BF117,"")</f>
        <v>162.90232418846</v>
      </c>
      <c r="Q117" s="23" t="n">
        <f aca="false">IF(ISNUMBER(Tabelle1!S118),Tabelle1!S118/'SF Workings'!BJ117,"")</f>
        <v>148.259335636251</v>
      </c>
      <c r="R117" s="23" t="n">
        <f aca="false">IFERROR(C117*'Weights &amp; Assumptions'!$F$6+D117*'Weights &amp; Assumptions'!$F$7,"")</f>
        <v>127.443816987875</v>
      </c>
      <c r="S117" s="23" t="n">
        <f aca="false">IFERROR(E117*'Weights &amp; Assumptions'!$F$8+F117*'Weights &amp; Assumptions'!$F$9+H117*'Weights &amp; Assumptions'!$F$11,"")</f>
        <v>136.911426009757</v>
      </c>
      <c r="T117" s="23" t="n">
        <f aca="false">IFERROR(G117*'Weights &amp; Assumptions'!$F$10+I117*'Weights &amp; Assumptions'!$F$12+J117*'Weights &amp; Assumptions'!$F$13+K117*'Weights &amp; Assumptions'!$F$14+L117*'Weights &amp; Assumptions'!$F$15+M117*'Weights &amp; Assumptions'!$F$16+N117*'Weights &amp; Assumptions'!$F$17+O117*'Weights &amp; Assumptions'!$F$18+P117*'Weights &amp; Assumptions'!$F$19+Q117*'Weights &amp; Assumptions'!$F$20,"")</f>
        <v>154.682375062363</v>
      </c>
      <c r="U117" s="23" t="n">
        <f aca="false">IFERROR(R117*'Weights &amp; Assumptions'!$B$25/'Weights &amp; Assumptions'!$B$28+S117*'Weights &amp; Assumptions'!$B$26/'Weights &amp; Assumptions'!$B$28+T117*'Weights &amp; Assumptions'!$B$27/'Weights &amp; Assumptions'!$B$28,"")</f>
        <v>147.671431593071</v>
      </c>
      <c r="V117" s="30" t="n">
        <f aca="false">IF(ISNUMBER(Tabelle1!E118),Tabelle1!E118*'Weights &amp; Assumptions'!$F$6+Tabelle1!F118*'Weights &amp; Assumptions'!$F$7,"")</f>
        <v>139.529358462116</v>
      </c>
      <c r="W117" s="30" t="n">
        <f aca="false">IF(ISNUMBER(Tabelle1!G118),Tabelle1!G118*'Weights &amp; Assumptions'!$F$8+Tabelle1!H118*'Weights &amp; Assumptions'!$F$9+Tabelle1!J118*'Weights &amp; Assumptions'!$F$11,"")</f>
        <v>138.046857843847</v>
      </c>
      <c r="X117" s="30" t="n">
        <f aca="false">IF(ISNUMBER(Tabelle1!I118),Tabelle1!I118*'Weights &amp; Assumptions'!$F$10+Tabelle1!K118*'Weights &amp; Assumptions'!$F$12+Tabelle1!L118*'Weights &amp; Assumptions'!$F$13+Tabelle1!M118*'Weights &amp; Assumptions'!$F$14+Tabelle1!N118*'Weights &amp; Assumptions'!$F$15+Tabelle1!O118*'Weights &amp; Assumptions'!$F$16+Tabelle1!P118*'Weights &amp; Assumptions'!$F$17+Tabelle1!Q118*'Weights &amp; Assumptions'!$F$18+Tabelle1!R118*'Weights &amp; Assumptions'!$F$19+Tabelle1!S118*'Weights &amp; Assumptions'!$F$20,"")</f>
        <v>156.235660389044</v>
      </c>
      <c r="Y117" s="23" t="n">
        <f aca="false">IFERROR(V117*'Weights &amp; Assumptions'!$B$25/'Weights &amp; Assumptions'!$B$28+W117*'Weights &amp; Assumptions'!$B$26/'Weights &amp; Assumptions'!$B$28+X117*'Weights &amp; Assumptions'!$B$27/'Weights &amp; Assumptions'!$B$28,"")</f>
        <v>149.997267432645</v>
      </c>
    </row>
    <row r="118" customFormat="false" ht="15" hidden="false" customHeight="false" outlineLevel="0" collapsed="false">
      <c r="A118" s="20" t="n">
        <v>41394</v>
      </c>
      <c r="B118" s="30" t="n">
        <f aca="false">IF(ISNUMBER(Tabelle1!D119),Tabelle1!D119,"")</f>
        <v>148.5213</v>
      </c>
      <c r="C118" s="23" t="n">
        <f aca="false">IF(ISNUMBER(Tabelle1!E119),Tabelle1!E119/'SF Workings'!F118,"")</f>
        <v>120.214229354134</v>
      </c>
      <c r="D118" s="23" t="n">
        <f aca="false">IF(ISNUMBER(Tabelle1!F119),Tabelle1!F119/'SF Workings'!J118,"")</f>
        <v>176.442966895572</v>
      </c>
      <c r="E118" s="23" t="n">
        <f aca="false">IF(ISNUMBER(Tabelle1!G119),Tabelle1!G119/'SF Workings'!N118,"")</f>
        <v>93.2905771639893</v>
      </c>
      <c r="F118" s="23" t="n">
        <f aca="false">IF(ISNUMBER(Tabelle1!H119),Tabelle1!H119/'SF Workings'!R118,"")</f>
        <v>145.525136936552</v>
      </c>
      <c r="G118" s="23" t="n">
        <f aca="false">IF(ISNUMBER(Tabelle1!I119),Tabelle1!I119/'SF Workings'!V118,"")</f>
        <v>135.199210664974</v>
      </c>
      <c r="H118" s="23" t="n">
        <f aca="false">IF(ISNUMBER(Tabelle1!J119),Tabelle1!J119/'SF Workings'!Z118,"")</f>
        <v>154.692863655118</v>
      </c>
      <c r="I118" s="23" t="n">
        <f aca="false">IF(ISNUMBER(Tabelle1!K119),Tabelle1!K119/'SF Workings'!AD118,"")</f>
        <v>173.656503149721</v>
      </c>
      <c r="J118" s="23" t="n">
        <f aca="false">IF(ISNUMBER(Tabelle1!L119),Tabelle1!L119/'SF Workings'!AH118,"")</f>
        <v>159.371321414695</v>
      </c>
      <c r="K118" s="23" t="n">
        <f aca="false">IF(ISNUMBER(Tabelle1!M119),Tabelle1!M119/'SF Workings'!AL118,"")</f>
        <v>180.996508367759</v>
      </c>
      <c r="L118" s="23" t="n">
        <f aca="false">IF(ISNUMBER(Tabelle1!N119),Tabelle1!N119/'SF Workings'!AP118,"")</f>
        <v>183.496397229791</v>
      </c>
      <c r="M118" s="23" t="n">
        <f aca="false">IF(ISNUMBER(Tabelle1!O119),Tabelle1!O119/'SF Workings'!AT118,"")</f>
        <v>134.535033730202</v>
      </c>
      <c r="N118" s="23" t="n">
        <f aca="false">IF(ISNUMBER(Tabelle1!P119),Tabelle1!P119/'SF Workings'!AX118,"")</f>
        <v>138.61763989706</v>
      </c>
      <c r="O118" s="23" t="n">
        <f aca="false">IF(ISNUMBER(Tabelle1!Q119),Tabelle1!Q119/'SF Workings'!BB118,"")</f>
        <v>142.939931412978</v>
      </c>
      <c r="P118" s="23" t="n">
        <f aca="false">IF(ISNUMBER(Tabelle1!R119),Tabelle1!R119/'SF Workings'!BF118,"")</f>
        <v>162.127409336979</v>
      </c>
      <c r="Q118" s="23" t="n">
        <f aca="false">IF(ISNUMBER(Tabelle1!S119),Tabelle1!S119/'SF Workings'!BJ118,"")</f>
        <v>148.233319710372</v>
      </c>
      <c r="R118" s="23" t="n">
        <f aca="false">IFERROR(C118*'Weights &amp; Assumptions'!$F$6+D118*'Weights &amp; Assumptions'!$F$7,"")</f>
        <v>120.903173969724</v>
      </c>
      <c r="S118" s="23" t="n">
        <f aca="false">IFERROR(E118*'Weights &amp; Assumptions'!$F$8+F118*'Weights &amp; Assumptions'!$F$9+H118*'Weights &amp; Assumptions'!$F$11,"")</f>
        <v>141.198304169494</v>
      </c>
      <c r="T118" s="23" t="n">
        <f aca="false">IFERROR(G118*'Weights &amp; Assumptions'!$F$10+I118*'Weights &amp; Assumptions'!$F$12+J118*'Weights &amp; Assumptions'!$F$13+K118*'Weights &amp; Assumptions'!$F$14+L118*'Weights &amp; Assumptions'!$F$15+M118*'Weights &amp; Assumptions'!$F$16+N118*'Weights &amp; Assumptions'!$F$17+O118*'Weights &amp; Assumptions'!$F$18+P118*'Weights &amp; Assumptions'!$F$19+Q118*'Weights &amp; Assumptions'!$F$20,"")</f>
        <v>157.936142772507</v>
      </c>
      <c r="U118" s="23" t="n">
        <f aca="false">IFERROR(R118*'Weights &amp; Assumptions'!$B$25/'Weights &amp; Assumptions'!$B$28+S118*'Weights &amp; Assumptions'!$B$26/'Weights &amp; Assumptions'!$B$28+T118*'Weights &amp; Assumptions'!$B$27/'Weights &amp; Assumptions'!$B$28,"")</f>
        <v>150.37816220731</v>
      </c>
      <c r="V118" s="30" t="n">
        <f aca="false">IF(ISNUMBER(Tabelle1!E119),Tabelle1!E119*'Weights &amp; Assumptions'!$F$6+Tabelle1!F119*'Weights &amp; Assumptions'!$F$7,"")</f>
        <v>201.494359653997</v>
      </c>
      <c r="W118" s="30" t="n">
        <f aca="false">IF(ISNUMBER(Tabelle1!G119),Tabelle1!G119*'Weights &amp; Assumptions'!$F$8+Tabelle1!H119*'Weights &amp; Assumptions'!$F$9+Tabelle1!J119*'Weights &amp; Assumptions'!$F$11,"")</f>
        <v>139.739180440549</v>
      </c>
      <c r="X118" s="30" t="n">
        <f aca="false">IF(ISNUMBER(Tabelle1!I119),Tabelle1!I119*'Weights &amp; Assumptions'!$F$10+Tabelle1!K119*'Weights &amp; Assumptions'!$F$12+Tabelle1!L119*'Weights &amp; Assumptions'!$F$13+Tabelle1!M119*'Weights &amp; Assumptions'!$F$14+Tabelle1!N119*'Weights &amp; Assumptions'!$F$15+Tabelle1!O119*'Weights &amp; Assumptions'!$F$16+Tabelle1!P119*'Weights &amp; Assumptions'!$F$17+Tabelle1!Q119*'Weights &amp; Assumptions'!$F$18+Tabelle1!R119*'Weights &amp; Assumptions'!$F$19+Tabelle1!S119*'Weights &amp; Assumptions'!$F$20,"")</f>
        <v>157.17310336456</v>
      </c>
      <c r="Y118" s="23" t="n">
        <f aca="false">IFERROR(V118*'Weights &amp; Assumptions'!$B$25/'Weights &amp; Assumptions'!$B$28+W118*'Weights &amp; Assumptions'!$B$26/'Weights &amp; Assumptions'!$B$28+X118*'Weights &amp; Assumptions'!$B$27/'Weights &amp; Assumptions'!$B$28,"")</f>
        <v>156.255709007182</v>
      </c>
    </row>
    <row r="119" customFormat="false" ht="15" hidden="false" customHeight="false" outlineLevel="0" collapsed="false">
      <c r="A119" s="20" t="n">
        <v>41425</v>
      </c>
      <c r="B119" s="30" t="n">
        <f aca="false">IF(ISNUMBER(Tabelle1!D120),Tabelle1!D120,"")</f>
        <v>148.39639</v>
      </c>
      <c r="C119" s="23" t="n">
        <f aca="false">IF(ISNUMBER(Tabelle1!E120),Tabelle1!E120/'SF Workings'!F119,"")</f>
        <v>120.374136553229</v>
      </c>
      <c r="D119" s="23" t="n">
        <f aca="false">IF(ISNUMBER(Tabelle1!F120),Tabelle1!F120/'SF Workings'!J119,"")</f>
        <v>122.011410459355</v>
      </c>
      <c r="E119" s="23" t="n">
        <f aca="false">IF(ISNUMBER(Tabelle1!G120),Tabelle1!G120/'SF Workings'!N119,"")</f>
        <v>92.3727470913284</v>
      </c>
      <c r="F119" s="23" t="n">
        <f aca="false">IF(ISNUMBER(Tabelle1!H120),Tabelle1!H120/'SF Workings'!R119,"")</f>
        <v>144.938354759506</v>
      </c>
      <c r="G119" s="23" t="n">
        <f aca="false">IF(ISNUMBER(Tabelle1!I120),Tabelle1!I120/'SF Workings'!V119,"")</f>
        <v>132.313474614638</v>
      </c>
      <c r="H119" s="23" t="n">
        <f aca="false">IF(ISNUMBER(Tabelle1!J120),Tabelle1!J120/'SF Workings'!Z119,"")</f>
        <v>152.197365560058</v>
      </c>
      <c r="I119" s="23" t="n">
        <f aca="false">IF(ISNUMBER(Tabelle1!K120),Tabelle1!K120/'SF Workings'!AD119,"")</f>
        <v>168.208906952837</v>
      </c>
      <c r="J119" s="23" t="n">
        <f aca="false">IF(ISNUMBER(Tabelle1!L120),Tabelle1!L120/'SF Workings'!AH119,"")</f>
        <v>161.046896655672</v>
      </c>
      <c r="K119" s="23" t="n">
        <f aca="false">IF(ISNUMBER(Tabelle1!M120),Tabelle1!M120/'SF Workings'!AL119,"")</f>
        <v>182.436534434602</v>
      </c>
      <c r="L119" s="23" t="n">
        <f aca="false">IF(ISNUMBER(Tabelle1!N120),Tabelle1!N120/'SF Workings'!AP119,"")</f>
        <v>182.591513073549</v>
      </c>
      <c r="M119" s="23" t="n">
        <f aca="false">IF(ISNUMBER(Tabelle1!O120),Tabelle1!O120/'SF Workings'!AT119,"")</f>
        <v>136.305097434607</v>
      </c>
      <c r="N119" s="23" t="n">
        <f aca="false">IF(ISNUMBER(Tabelle1!P120),Tabelle1!P120/'SF Workings'!AX119,"")</f>
        <v>138.928968959997</v>
      </c>
      <c r="O119" s="23" t="n">
        <f aca="false">IF(ISNUMBER(Tabelle1!Q120),Tabelle1!Q120/'SF Workings'!BB119,"")</f>
        <v>142.797605154122</v>
      </c>
      <c r="P119" s="23" t="n">
        <f aca="false">IF(ISNUMBER(Tabelle1!R120),Tabelle1!R120/'SF Workings'!BF119,"")</f>
        <v>162.314037237618</v>
      </c>
      <c r="Q119" s="23" t="n">
        <f aca="false">IF(ISNUMBER(Tabelle1!S120),Tabelle1!S120/'SF Workings'!BJ119,"")</f>
        <v>150.985918816547</v>
      </c>
      <c r="R119" s="23" t="n">
        <f aca="false">IFERROR(C119*'Weights &amp; Assumptions'!$F$6+D119*'Weights &amp; Assumptions'!$F$7,"")</f>
        <v>120.394197310258</v>
      </c>
      <c r="S119" s="23" t="n">
        <f aca="false">IFERROR(E119*'Weights &amp; Assumptions'!$F$8+F119*'Weights &amp; Assumptions'!$F$9+H119*'Weights &amp; Assumptions'!$F$11,"")</f>
        <v>140.174365025278</v>
      </c>
      <c r="T119" s="23" t="n">
        <f aca="false">IFERROR(G119*'Weights &amp; Assumptions'!$F$10+I119*'Weights &amp; Assumptions'!$F$12+J119*'Weights &amp; Assumptions'!$F$13+K119*'Weights &amp; Assumptions'!$F$14+L119*'Weights &amp; Assumptions'!$F$15+M119*'Weights &amp; Assumptions'!$F$16+N119*'Weights &amp; Assumptions'!$F$17+O119*'Weights &amp; Assumptions'!$F$18+P119*'Weights &amp; Assumptions'!$F$19+Q119*'Weights &amp; Assumptions'!$F$20,"")</f>
        <v>157.509567484096</v>
      </c>
      <c r="U119" s="23" t="n">
        <f aca="false">IFERROR(R119*'Weights &amp; Assumptions'!$B$25/'Weights &amp; Assumptions'!$B$28+S119*'Weights &amp; Assumptions'!$B$26/'Weights &amp; Assumptions'!$B$28+T119*'Weights &amp; Assumptions'!$B$27/'Weights &amp; Assumptions'!$B$28,"")</f>
        <v>149.785823891184</v>
      </c>
      <c r="V119" s="30" t="n">
        <f aca="false">IF(ISNUMBER(Tabelle1!E120),Tabelle1!E120*'Weights &amp; Assumptions'!$F$6+Tabelle1!F120*'Weights &amp; Assumptions'!$F$7,"")</f>
        <v>296.093767769395</v>
      </c>
      <c r="W119" s="30" t="n">
        <f aca="false">IF(ISNUMBER(Tabelle1!G120),Tabelle1!G120*'Weights &amp; Assumptions'!$F$8+Tabelle1!H120*'Weights &amp; Assumptions'!$F$9+Tabelle1!J120*'Weights &amp; Assumptions'!$F$11,"")</f>
        <v>142.947557970916</v>
      </c>
      <c r="X119" s="30" t="n">
        <f aca="false">IF(ISNUMBER(Tabelle1!I120),Tabelle1!I120*'Weights &amp; Assumptions'!$F$10+Tabelle1!K120*'Weights &amp; Assumptions'!$F$12+Tabelle1!L120*'Weights &amp; Assumptions'!$F$13+Tabelle1!M120*'Weights &amp; Assumptions'!$F$14+Tabelle1!N120*'Weights &amp; Assumptions'!$F$15+Tabelle1!O120*'Weights &amp; Assumptions'!$F$16+Tabelle1!P120*'Weights &amp; Assumptions'!$F$17+Tabelle1!Q120*'Weights &amp; Assumptions'!$F$18+Tabelle1!R120*'Weights &amp; Assumptions'!$F$19+Tabelle1!S120*'Weights &amp; Assumptions'!$F$20,"")</f>
        <v>160.019772494098</v>
      </c>
      <c r="Y119" s="23" t="n">
        <f aca="false">IFERROR(V119*'Weights &amp; Assumptions'!$B$25/'Weights &amp; Assumptions'!$B$28+W119*'Weights &amp; Assumptions'!$B$26/'Weights &amp; Assumptions'!$B$28+X119*'Weights &amp; Assumptions'!$B$27/'Weights &amp; Assumptions'!$B$28,"")</f>
        <v>166.896693876272</v>
      </c>
    </row>
    <row r="120" customFormat="false" ht="15" hidden="false" customHeight="false" outlineLevel="0" collapsed="false">
      <c r="A120" s="20" t="n">
        <v>41455</v>
      </c>
      <c r="B120" s="30" t="n">
        <f aca="false">IF(ISNUMBER(Tabelle1!D121),Tabelle1!D121,"")</f>
        <v>149.13535</v>
      </c>
      <c r="C120" s="23" t="n">
        <f aca="false">IF(ISNUMBER(Tabelle1!E121),Tabelle1!E121/'SF Workings'!F120,"")</f>
        <v>119.227498072123</v>
      </c>
      <c r="D120" s="23" t="n">
        <f aca="false">IF(ISNUMBER(Tabelle1!F121),Tabelle1!F121/'SF Workings'!J120,"")</f>
        <v>169.272181291287</v>
      </c>
      <c r="E120" s="23" t="n">
        <f aca="false">IF(ISNUMBER(Tabelle1!G121),Tabelle1!G121/'SF Workings'!N120,"")</f>
        <v>93.0650793627466</v>
      </c>
      <c r="F120" s="23" t="n">
        <f aca="false">IF(ISNUMBER(Tabelle1!H121),Tabelle1!H121/'SF Workings'!R120,"")</f>
        <v>140.246762834262</v>
      </c>
      <c r="G120" s="23" t="n">
        <f aca="false">IF(ISNUMBER(Tabelle1!I121),Tabelle1!I121/'SF Workings'!V120,"")</f>
        <v>130.595181476759</v>
      </c>
      <c r="H120" s="23" t="n">
        <f aca="false">IF(ISNUMBER(Tabelle1!J121),Tabelle1!J121/'SF Workings'!Z120,"")</f>
        <v>150.390838382397</v>
      </c>
      <c r="I120" s="23" t="n">
        <f aca="false">IF(ISNUMBER(Tabelle1!K121),Tabelle1!K121/'SF Workings'!AD120,"")</f>
        <v>160.084023216149</v>
      </c>
      <c r="J120" s="23" t="n">
        <f aca="false">IF(ISNUMBER(Tabelle1!L121),Tabelle1!L121/'SF Workings'!AH120,"")</f>
        <v>162.523426678666</v>
      </c>
      <c r="K120" s="23" t="n">
        <f aca="false">IF(ISNUMBER(Tabelle1!M121),Tabelle1!M121/'SF Workings'!AL120,"")</f>
        <v>180.663982670347</v>
      </c>
      <c r="L120" s="23" t="n">
        <f aca="false">IF(ISNUMBER(Tabelle1!N121),Tabelle1!N121/'SF Workings'!AP120,"")</f>
        <v>185.71052229843</v>
      </c>
      <c r="M120" s="23" t="n">
        <f aca="false">IF(ISNUMBER(Tabelle1!O121),Tabelle1!O121/'SF Workings'!AT120,"")</f>
        <v>132.647009929324</v>
      </c>
      <c r="N120" s="23" t="n">
        <f aca="false">IF(ISNUMBER(Tabelle1!P121),Tabelle1!P121/'SF Workings'!AX120,"")</f>
        <v>139.58179698037</v>
      </c>
      <c r="O120" s="23" t="n">
        <f aca="false">IF(ISNUMBER(Tabelle1!Q121),Tabelle1!Q121/'SF Workings'!BB120,"")</f>
        <v>143.437792998104</v>
      </c>
      <c r="P120" s="23" t="n">
        <f aca="false">IF(ISNUMBER(Tabelle1!R121),Tabelle1!R121/'SF Workings'!BF120,"")</f>
        <v>163.028714783337</v>
      </c>
      <c r="Q120" s="23" t="n">
        <f aca="false">IF(ISNUMBER(Tabelle1!S121),Tabelle1!S121/'SF Workings'!BJ120,"")</f>
        <v>156.187683061863</v>
      </c>
      <c r="R120" s="23" t="n">
        <f aca="false">IFERROR(C120*'Weights &amp; Assumptions'!$F$6+D120*'Weights &amp; Assumptions'!$F$7,"")</f>
        <v>119.840672341194</v>
      </c>
      <c r="S120" s="23" t="n">
        <f aca="false">IFERROR(E120*'Weights &amp; Assumptions'!$F$8+F120*'Weights &amp; Assumptions'!$F$9+H120*'Weights &amp; Assumptions'!$F$11,"")</f>
        <v>136.726628442906</v>
      </c>
      <c r="T120" s="23" t="n">
        <f aca="false">IFERROR(G120*'Weights &amp; Assumptions'!$F$10+I120*'Weights &amp; Assumptions'!$F$12+J120*'Weights &amp; Assumptions'!$F$13+K120*'Weights &amp; Assumptions'!$F$14+L120*'Weights &amp; Assumptions'!$F$15+M120*'Weights &amp; Assumptions'!$F$16+N120*'Weights &amp; Assumptions'!$F$17+O120*'Weights &amp; Assumptions'!$F$18+P120*'Weights &amp; Assumptions'!$F$19+Q120*'Weights &amp; Assumptions'!$F$20,"")</f>
        <v>155.555081970421</v>
      </c>
      <c r="U120" s="23" t="n">
        <f aca="false">IFERROR(R120*'Weights &amp; Assumptions'!$B$25/'Weights &amp; Assumptions'!$B$28+S120*'Weights &amp; Assumptions'!$B$26/'Weights &amp; Assumptions'!$B$28+T120*'Weights &amp; Assumptions'!$B$27/'Weights &amp; Assumptions'!$B$28,"")</f>
        <v>147.551798589556</v>
      </c>
      <c r="V120" s="30" t="n">
        <f aca="false">IF(ISNUMBER(Tabelle1!E121),Tabelle1!E121*'Weights &amp; Assumptions'!$F$6+Tabelle1!F121*'Weights &amp; Assumptions'!$F$7,"")</f>
        <v>198.575952448123</v>
      </c>
      <c r="W120" s="30" t="n">
        <f aca="false">IF(ISNUMBER(Tabelle1!G121),Tabelle1!G121*'Weights &amp; Assumptions'!$F$8+Tabelle1!H121*'Weights &amp; Assumptions'!$F$9+Tabelle1!J121*'Weights &amp; Assumptions'!$F$11,"")</f>
        <v>137.602690872036</v>
      </c>
      <c r="X120" s="30" t="n">
        <f aca="false">IF(ISNUMBER(Tabelle1!I121),Tabelle1!I121*'Weights &amp; Assumptions'!$F$10+Tabelle1!K121*'Weights &amp; Assumptions'!$F$12+Tabelle1!L121*'Weights &amp; Assumptions'!$F$13+Tabelle1!M121*'Weights &amp; Assumptions'!$F$14+Tabelle1!N121*'Weights &amp; Assumptions'!$F$15+Tabelle1!O121*'Weights &amp; Assumptions'!$F$16+Tabelle1!P121*'Weights &amp; Assumptions'!$F$17+Tabelle1!Q121*'Weights &amp; Assumptions'!$F$18+Tabelle1!R121*'Weights &amp; Assumptions'!$F$19+Tabelle1!S121*'Weights &amp; Assumptions'!$F$20,"")</f>
        <v>158.989159626044</v>
      </c>
      <c r="Y120" s="23" t="n">
        <f aca="false">IFERROR(V120*'Weights &amp; Assumptions'!$B$25/'Weights &amp; Assumptions'!$B$28+W120*'Weights &amp; Assumptions'!$B$26/'Weights &amp; Assumptions'!$B$28+X120*'Weights &amp; Assumptions'!$B$27/'Weights &amp; Assumptions'!$B$28,"")</f>
        <v>156.623488863822</v>
      </c>
    </row>
    <row r="121" customFormat="false" ht="15" hidden="false" customHeight="false" outlineLevel="0" collapsed="false">
      <c r="A121" s="20" t="n">
        <v>41486</v>
      </c>
      <c r="B121" s="30" t="n">
        <f aca="false">IF(ISNUMBER(Tabelle1!D122),Tabelle1!D122,"")</f>
        <v>148.12424</v>
      </c>
      <c r="C121" s="23" t="n">
        <f aca="false">IF(ISNUMBER(Tabelle1!E122),Tabelle1!E122/'SF Workings'!F121,"")</f>
        <v>121.576846980649</v>
      </c>
      <c r="D121" s="23" t="n">
        <f aca="false">IF(ISNUMBER(Tabelle1!F122),Tabelle1!F122/'SF Workings'!J121,"")</f>
        <v>174.08737726622</v>
      </c>
      <c r="E121" s="23" t="n">
        <f aca="false">IF(ISNUMBER(Tabelle1!G122),Tabelle1!G122/'SF Workings'!N121,"")</f>
        <v>92.4249390154057</v>
      </c>
      <c r="F121" s="23" t="n">
        <f aca="false">IF(ISNUMBER(Tabelle1!H122),Tabelle1!H122/'SF Workings'!R121,"")</f>
        <v>141.537969724447</v>
      </c>
      <c r="G121" s="23" t="n">
        <f aca="false">IF(ISNUMBER(Tabelle1!I122),Tabelle1!I122/'SF Workings'!V121,"")</f>
        <v>134.065151367595</v>
      </c>
      <c r="H121" s="23" t="n">
        <f aca="false">IF(ISNUMBER(Tabelle1!J122),Tabelle1!J122/'SF Workings'!Z121,"")</f>
        <v>150.688396652929</v>
      </c>
      <c r="I121" s="23" t="n">
        <f aca="false">IF(ISNUMBER(Tabelle1!K122),Tabelle1!K122/'SF Workings'!AD121,"")</f>
        <v>166.194141946777</v>
      </c>
      <c r="J121" s="23" t="n">
        <f aca="false">IF(ISNUMBER(Tabelle1!L122),Tabelle1!L122/'SF Workings'!AH121,"")</f>
        <v>161.813412267506</v>
      </c>
      <c r="K121" s="23" t="n">
        <f aca="false">IF(ISNUMBER(Tabelle1!M122),Tabelle1!M122/'SF Workings'!AL121,"")</f>
        <v>182.094477529924</v>
      </c>
      <c r="L121" s="23" t="n">
        <f aca="false">IF(ISNUMBER(Tabelle1!N122),Tabelle1!N122/'SF Workings'!AP121,"")</f>
        <v>184.888941430273</v>
      </c>
      <c r="M121" s="23" t="n">
        <f aca="false">IF(ISNUMBER(Tabelle1!O122),Tabelle1!O122/'SF Workings'!AT121,"")</f>
        <v>134.916727041191</v>
      </c>
      <c r="N121" s="23" t="n">
        <f aca="false">IF(ISNUMBER(Tabelle1!P122),Tabelle1!P122/'SF Workings'!AX121,"")</f>
        <v>139.246008445442</v>
      </c>
      <c r="O121" s="23" t="n">
        <f aca="false">IF(ISNUMBER(Tabelle1!Q122),Tabelle1!Q122/'SF Workings'!BB121,"")</f>
        <v>143.521286743545</v>
      </c>
      <c r="P121" s="23" t="n">
        <f aca="false">IF(ISNUMBER(Tabelle1!R122),Tabelle1!R122/'SF Workings'!BF121,"")</f>
        <v>161.839459886588</v>
      </c>
      <c r="Q121" s="23" t="n">
        <f aca="false">IF(ISNUMBER(Tabelle1!S122),Tabelle1!S122/'SF Workings'!BJ121,"")</f>
        <v>154.109319288262</v>
      </c>
      <c r="R121" s="23" t="n">
        <f aca="false">IFERROR(C121*'Weights &amp; Assumptions'!$F$6+D121*'Weights &amp; Assumptions'!$F$7,"")</f>
        <v>122.220234128997</v>
      </c>
      <c r="S121" s="23" t="n">
        <f aca="false">IFERROR(E121*'Weights &amp; Assumptions'!$F$8+F121*'Weights &amp; Assumptions'!$F$9+H121*'Weights &amp; Assumptions'!$F$11,"")</f>
        <v>137.580236421493</v>
      </c>
      <c r="T121" s="23" t="n">
        <f aca="false">IFERROR(G121*'Weights &amp; Assumptions'!$F$10+I121*'Weights &amp; Assumptions'!$F$12+J121*'Weights &amp; Assumptions'!$F$13+K121*'Weights &amp; Assumptions'!$F$14+L121*'Weights &amp; Assumptions'!$F$15+M121*'Weights &amp; Assumptions'!$F$16+N121*'Weights &amp; Assumptions'!$F$17+O121*'Weights &amp; Assumptions'!$F$18+P121*'Weights &amp; Assumptions'!$F$19+Q121*'Weights &amp; Assumptions'!$F$20,"")</f>
        <v>157.246684594808</v>
      </c>
      <c r="U121" s="23" t="n">
        <f aca="false">IFERROR(R121*'Weights &amp; Assumptions'!$B$25/'Weights &amp; Assumptions'!$B$28+S121*'Weights &amp; Assumptions'!$B$26/'Weights &amp; Assumptions'!$B$28+T121*'Weights &amp; Assumptions'!$B$27/'Weights &amp; Assumptions'!$B$28,"")</f>
        <v>149.078284145725</v>
      </c>
      <c r="V121" s="30" t="n">
        <f aca="false">IF(ISNUMBER(Tabelle1!E122),Tabelle1!E122*'Weights &amp; Assumptions'!$F$6+Tabelle1!F122*'Weights &amp; Assumptions'!$F$7,"")</f>
        <v>108.547884416276</v>
      </c>
      <c r="W121" s="30" t="n">
        <f aca="false">IF(ISNUMBER(Tabelle1!G122),Tabelle1!G122*'Weights &amp; Assumptions'!$F$8+Tabelle1!H122*'Weights &amp; Assumptions'!$F$9+Tabelle1!J122*'Weights &amp; Assumptions'!$F$11,"")</f>
        <v>140.147954979693</v>
      </c>
      <c r="X121" s="30" t="n">
        <f aca="false">IF(ISNUMBER(Tabelle1!I122),Tabelle1!I122*'Weights &amp; Assumptions'!$F$10+Tabelle1!K122*'Weights &amp; Assumptions'!$F$12+Tabelle1!L122*'Weights &amp; Assumptions'!$F$13+Tabelle1!M122*'Weights &amp; Assumptions'!$F$14+Tabelle1!N122*'Weights &amp; Assumptions'!$F$15+Tabelle1!O122*'Weights &amp; Assumptions'!$F$16+Tabelle1!P122*'Weights &amp; Assumptions'!$F$17+Tabelle1!Q122*'Weights &amp; Assumptions'!$F$18+Tabelle1!R122*'Weights &amp; Assumptions'!$F$19+Tabelle1!S122*'Weights &amp; Assumptions'!$F$20,"")</f>
        <v>159.512123024933</v>
      </c>
      <c r="Y121" s="23" t="n">
        <f aca="false">IFERROR(V121*'Weights &amp; Assumptions'!$B$25/'Weights &amp; Assumptions'!$B$28+W121*'Weights &amp; Assumptions'!$B$26/'Weights &amp; Assumptions'!$B$28+X121*'Weights &amp; Assumptions'!$B$27/'Weights &amp; Assumptions'!$B$28,"")</f>
        <v>150.086910453599</v>
      </c>
    </row>
    <row r="122" customFormat="false" ht="15" hidden="false" customHeight="false" outlineLevel="0" collapsed="false">
      <c r="A122" s="20" t="n">
        <v>41517</v>
      </c>
      <c r="B122" s="30" t="n">
        <f aca="false">IF(ISNUMBER(Tabelle1!D123),Tabelle1!D123,"")</f>
        <v>150.15944</v>
      </c>
      <c r="C122" s="23" t="n">
        <f aca="false">IF(ISNUMBER(Tabelle1!E123),Tabelle1!E123/'SF Workings'!F122,"")</f>
        <v>121.4478154305</v>
      </c>
      <c r="D122" s="23" t="n">
        <f aca="false">IF(ISNUMBER(Tabelle1!F123),Tabelle1!F123/'SF Workings'!J122,"")</f>
        <v>133.425921056423</v>
      </c>
      <c r="E122" s="23" t="n">
        <f aca="false">IF(ISNUMBER(Tabelle1!G123),Tabelle1!G123/'SF Workings'!N122,"")</f>
        <v>92.6479128582561</v>
      </c>
      <c r="F122" s="23" t="n">
        <f aca="false">IF(ISNUMBER(Tabelle1!H123),Tabelle1!H123/'SF Workings'!R122,"")</f>
        <v>143.505094999534</v>
      </c>
      <c r="G122" s="23" t="n">
        <f aca="false">IF(ISNUMBER(Tabelle1!I123),Tabelle1!I123/'SF Workings'!V122,"")</f>
        <v>138.935690721311</v>
      </c>
      <c r="H122" s="23" t="n">
        <f aca="false">IF(ISNUMBER(Tabelle1!J123),Tabelle1!J123/'SF Workings'!Z122,"")</f>
        <v>147.825895881761</v>
      </c>
      <c r="I122" s="23" t="n">
        <f aca="false">IF(ISNUMBER(Tabelle1!K123),Tabelle1!K123/'SF Workings'!AD122,"")</f>
        <v>163.632365680714</v>
      </c>
      <c r="J122" s="23" t="n">
        <f aca="false">IF(ISNUMBER(Tabelle1!L123),Tabelle1!L123/'SF Workings'!AH122,"")</f>
        <v>160.25248762655</v>
      </c>
      <c r="K122" s="23" t="n">
        <f aca="false">IF(ISNUMBER(Tabelle1!M123),Tabelle1!M123/'SF Workings'!AL122,"")</f>
        <v>183.205032293699</v>
      </c>
      <c r="L122" s="23" t="n">
        <f aca="false">IF(ISNUMBER(Tabelle1!N123),Tabelle1!N123/'SF Workings'!AP122,"")</f>
        <v>185.057146456083</v>
      </c>
      <c r="M122" s="23" t="n">
        <f aca="false">IF(ISNUMBER(Tabelle1!O123),Tabelle1!O123/'SF Workings'!AT122,"")</f>
        <v>134.12203287496</v>
      </c>
      <c r="N122" s="23" t="n">
        <f aca="false">IF(ISNUMBER(Tabelle1!P123),Tabelle1!P123/'SF Workings'!AX122,"")</f>
        <v>140.230156029091</v>
      </c>
      <c r="O122" s="23" t="n">
        <f aca="false">IF(ISNUMBER(Tabelle1!Q123),Tabelle1!Q123/'SF Workings'!BB122,"")</f>
        <v>143.654594483112</v>
      </c>
      <c r="P122" s="23" t="n">
        <f aca="false">IF(ISNUMBER(Tabelle1!R123),Tabelle1!R123/'SF Workings'!BF122,"")</f>
        <v>162.177693036202</v>
      </c>
      <c r="Q122" s="23" t="n">
        <f aca="false">IF(ISNUMBER(Tabelle1!S123),Tabelle1!S123/'SF Workings'!BJ122,"")</f>
        <v>154.196875923336</v>
      </c>
      <c r="R122" s="23" t="n">
        <f aca="false">IFERROR(C122*'Weights &amp; Assumptions'!$F$6+D122*'Weights &amp; Assumptions'!$F$7,"")</f>
        <v>121.594577597619</v>
      </c>
      <c r="S122" s="23" t="n">
        <f aca="false">IFERROR(E122*'Weights &amp; Assumptions'!$F$8+F122*'Weights &amp; Assumptions'!$F$9+H122*'Weights &amp; Assumptions'!$F$11,"")</f>
        <v>138.33298883706</v>
      </c>
      <c r="T122" s="23" t="n">
        <f aca="false">IFERROR(G122*'Weights &amp; Assumptions'!$F$10+I122*'Weights &amp; Assumptions'!$F$12+J122*'Weights &amp; Assumptions'!$F$13+K122*'Weights &amp; Assumptions'!$F$14+L122*'Weights &amp; Assumptions'!$F$15+M122*'Weights &amp; Assumptions'!$F$16+N122*'Weights &amp; Assumptions'!$F$17+O122*'Weights &amp; Assumptions'!$F$18+P122*'Weights &amp; Assumptions'!$F$19+Q122*'Weights &amp; Assumptions'!$F$20,"")</f>
        <v>156.93461907285</v>
      </c>
      <c r="U122" s="23" t="n">
        <f aca="false">IFERROR(R122*'Weights &amp; Assumptions'!$B$25/'Weights &amp; Assumptions'!$B$28+S122*'Weights &amp; Assumptions'!$B$26/'Weights &amp; Assumptions'!$B$28+T122*'Weights &amp; Assumptions'!$B$27/'Weights &amp; Assumptions'!$B$28,"")</f>
        <v>149.023061767111</v>
      </c>
      <c r="V122" s="30" t="n">
        <f aca="false">IF(ISNUMBER(Tabelle1!E123),Tabelle1!E123*'Weights &amp; Assumptions'!$F$6+Tabelle1!F123*'Weights &amp; Assumptions'!$F$7,"")</f>
        <v>71.0042225853089</v>
      </c>
      <c r="W122" s="30" t="n">
        <f aca="false">IF(ISNUMBER(Tabelle1!G123),Tabelle1!G123*'Weights &amp; Assumptions'!$F$8+Tabelle1!H123*'Weights &amp; Assumptions'!$F$9+Tabelle1!J123*'Weights &amp; Assumptions'!$F$11,"")</f>
        <v>143.607381082665</v>
      </c>
      <c r="X122" s="30" t="n">
        <f aca="false">IF(ISNUMBER(Tabelle1!I123),Tabelle1!I123*'Weights &amp; Assumptions'!$F$10+Tabelle1!K123*'Weights &amp; Assumptions'!$F$12+Tabelle1!L123*'Weights &amp; Assumptions'!$F$13+Tabelle1!M123*'Weights &amp; Assumptions'!$F$14+Tabelle1!N123*'Weights &amp; Assumptions'!$F$15+Tabelle1!O123*'Weights &amp; Assumptions'!$F$16+Tabelle1!P123*'Weights &amp; Assumptions'!$F$17+Tabelle1!Q123*'Weights &amp; Assumptions'!$F$18+Tabelle1!R123*'Weights &amp; Assumptions'!$F$19+Tabelle1!S123*'Weights &amp; Assumptions'!$F$20,"")</f>
        <v>158.717297255096</v>
      </c>
      <c r="Y122" s="23" t="n">
        <f aca="false">IFERROR(V122*'Weights &amp; Assumptions'!$B$25/'Weights &amp; Assumptions'!$B$28+W122*'Weights &amp; Assumptions'!$B$26/'Weights &amp; Assumptions'!$B$28+X122*'Weights &amp; Assumptions'!$B$27/'Weights &amp; Assumptions'!$B$28,"")</f>
        <v>147.340106642867</v>
      </c>
    </row>
    <row r="123" customFormat="false" ht="15" hidden="false" customHeight="false" outlineLevel="0" collapsed="false">
      <c r="A123" s="20" t="n">
        <v>41547</v>
      </c>
      <c r="B123" s="30" t="n">
        <f aca="false">IF(ISNUMBER(Tabelle1!D124),Tabelle1!D124,"")</f>
        <v>150.20497</v>
      </c>
      <c r="C123" s="23" t="n">
        <f aca="false">IF(ISNUMBER(Tabelle1!E124),Tabelle1!E124/'SF Workings'!F123,"")</f>
        <v>124.179317746161</v>
      </c>
      <c r="D123" s="23" t="n">
        <f aca="false">IF(ISNUMBER(Tabelle1!F124),Tabelle1!F124/'SF Workings'!J123,"")</f>
        <v>138.997253016806</v>
      </c>
      <c r="E123" s="23" t="n">
        <f aca="false">IF(ISNUMBER(Tabelle1!G124),Tabelle1!G124/'SF Workings'!N123,"")</f>
        <v>90.9560861623884</v>
      </c>
      <c r="F123" s="23" t="n">
        <f aca="false">IF(ISNUMBER(Tabelle1!H124),Tabelle1!H124/'SF Workings'!R123,"")</f>
        <v>144.778410884205</v>
      </c>
      <c r="G123" s="23" t="n">
        <f aca="false">IF(ISNUMBER(Tabelle1!I124),Tabelle1!I124/'SF Workings'!V123,"")</f>
        <v>138.518696234439</v>
      </c>
      <c r="H123" s="23" t="n">
        <f aca="false">IF(ISNUMBER(Tabelle1!J124),Tabelle1!J124/'SF Workings'!Z123,"")</f>
        <v>150.027418631365</v>
      </c>
      <c r="I123" s="23" t="n">
        <f aca="false">IF(ISNUMBER(Tabelle1!K124),Tabelle1!K124/'SF Workings'!AD123,"")</f>
        <v>163.495269780946</v>
      </c>
      <c r="J123" s="23" t="n">
        <f aca="false">IF(ISNUMBER(Tabelle1!L124),Tabelle1!L124/'SF Workings'!AH123,"")</f>
        <v>160.400296084213</v>
      </c>
      <c r="K123" s="23" t="n">
        <f aca="false">IF(ISNUMBER(Tabelle1!M124),Tabelle1!M124/'SF Workings'!AL123,"")</f>
        <v>181.75256564421</v>
      </c>
      <c r="L123" s="23" t="n">
        <f aca="false">IF(ISNUMBER(Tabelle1!N124),Tabelle1!N124/'SF Workings'!AP123,"")</f>
        <v>184.906040113508</v>
      </c>
      <c r="M123" s="23" t="n">
        <f aca="false">IF(ISNUMBER(Tabelle1!O124),Tabelle1!O124/'SF Workings'!AT123,"")</f>
        <v>134.06414052145</v>
      </c>
      <c r="N123" s="23" t="n">
        <f aca="false">IF(ISNUMBER(Tabelle1!P124),Tabelle1!P124/'SF Workings'!AX123,"")</f>
        <v>140.294424373536</v>
      </c>
      <c r="O123" s="23" t="n">
        <f aca="false">IF(ISNUMBER(Tabelle1!Q124),Tabelle1!Q124/'SF Workings'!BB123,"")</f>
        <v>144.077371643245</v>
      </c>
      <c r="P123" s="23" t="n">
        <f aca="false">IF(ISNUMBER(Tabelle1!R124),Tabelle1!R124/'SF Workings'!BF123,"")</f>
        <v>162.721153286481</v>
      </c>
      <c r="Q123" s="23" t="n">
        <f aca="false">IF(ISNUMBER(Tabelle1!S124),Tabelle1!S124/'SF Workings'!BJ123,"")</f>
        <v>154.698622084142</v>
      </c>
      <c r="R123" s="23" t="n">
        <f aca="false">IFERROR(C123*'Weights &amp; Assumptions'!$F$6+D123*'Weights &amp; Assumptions'!$F$7,"")</f>
        <v>124.360875027459</v>
      </c>
      <c r="S123" s="23" t="n">
        <f aca="false">IFERROR(E123*'Weights &amp; Assumptions'!$F$8+F123*'Weights &amp; Assumptions'!$F$9+H123*'Weights &amp; Assumptions'!$F$11,"")</f>
        <v>139.445640903428</v>
      </c>
      <c r="T123" s="23" t="n">
        <f aca="false">IFERROR(G123*'Weights &amp; Assumptions'!$F$10+I123*'Weights &amp; Assumptions'!$F$12+J123*'Weights &amp; Assumptions'!$F$13+K123*'Weights &amp; Assumptions'!$F$14+L123*'Weights &amp; Assumptions'!$F$15+M123*'Weights &amp; Assumptions'!$F$16+N123*'Weights &amp; Assumptions'!$F$17+O123*'Weights &amp; Assumptions'!$F$18+P123*'Weights &amp; Assumptions'!$F$19+Q123*'Weights &amp; Assumptions'!$F$20,"")</f>
        <v>156.7713115495</v>
      </c>
      <c r="U123" s="23" t="n">
        <f aca="false">IFERROR(R123*'Weights &amp; Assumptions'!$B$25/'Weights &amp; Assumptions'!$B$28+S123*'Weights &amp; Assumptions'!$B$26/'Weights &amp; Assumptions'!$B$28+T123*'Weights &amp; Assumptions'!$B$27/'Weights &amp; Assumptions'!$B$28,"")</f>
        <v>149.444850480924</v>
      </c>
      <c r="V123" s="30" t="n">
        <f aca="false">IF(ISNUMBER(Tabelle1!E124),Tabelle1!E124*'Weights &amp; Assumptions'!$F$6+Tabelle1!F124*'Weights &amp; Assumptions'!$F$7,"")</f>
        <v>68.392896719467</v>
      </c>
      <c r="W123" s="30" t="n">
        <f aca="false">IF(ISNUMBER(Tabelle1!G124),Tabelle1!G124*'Weights &amp; Assumptions'!$F$8+Tabelle1!H124*'Weights &amp; Assumptions'!$F$9+Tabelle1!J124*'Weights &amp; Assumptions'!$F$11,"")</f>
        <v>144.39697781301</v>
      </c>
      <c r="X123" s="30" t="n">
        <f aca="false">IF(ISNUMBER(Tabelle1!I124),Tabelle1!I124*'Weights &amp; Assumptions'!$F$10+Tabelle1!K124*'Weights &amp; Assumptions'!$F$12+Tabelle1!L124*'Weights &amp; Assumptions'!$F$13+Tabelle1!M124*'Weights &amp; Assumptions'!$F$14+Tabelle1!N124*'Weights &amp; Assumptions'!$F$15+Tabelle1!O124*'Weights &amp; Assumptions'!$F$16+Tabelle1!P124*'Weights &amp; Assumptions'!$F$17+Tabelle1!Q124*'Weights &amp; Assumptions'!$F$18+Tabelle1!R124*'Weights &amp; Assumptions'!$F$19+Tabelle1!S124*'Weights &amp; Assumptions'!$F$20,"")</f>
        <v>157.28719436757</v>
      </c>
      <c r="Y123" s="23" t="n">
        <f aca="false">IFERROR(V123*'Weights &amp; Assumptions'!$B$25/'Weights &amp; Assumptions'!$B$28+W123*'Weights &amp; Assumptions'!$B$26/'Weights &amp; Assumptions'!$B$28+X123*'Weights &amp; Assumptions'!$B$27/'Weights &amp; Assumptions'!$B$28,"")</f>
        <v>146.40115506692</v>
      </c>
    </row>
    <row r="124" customFormat="false" ht="15" hidden="false" customHeight="false" outlineLevel="0" collapsed="false">
      <c r="A124" s="20" t="n">
        <v>41578</v>
      </c>
      <c r="B124" s="30" t="n">
        <f aca="false">IF(ISNUMBER(Tabelle1!D125),Tabelle1!D125,"")</f>
        <v>148.86711</v>
      </c>
      <c r="C124" s="23" t="n">
        <f aca="false">IF(ISNUMBER(Tabelle1!E125),Tabelle1!E125/'SF Workings'!F124,"")</f>
        <v>123.770451259924</v>
      </c>
      <c r="D124" s="23" t="n">
        <f aca="false">IF(ISNUMBER(Tabelle1!F125),Tabelle1!F125/'SF Workings'!J124,"")</f>
        <v>157.308355195656</v>
      </c>
      <c r="E124" s="23" t="n">
        <f aca="false">IF(ISNUMBER(Tabelle1!G125),Tabelle1!G125/'SF Workings'!N124,"")</f>
        <v>91.7033574596195</v>
      </c>
      <c r="F124" s="23" t="n">
        <f aca="false">IF(ISNUMBER(Tabelle1!H125),Tabelle1!H125/'SF Workings'!R124,"")</f>
        <v>144.445086276466</v>
      </c>
      <c r="G124" s="23" t="n">
        <f aca="false">IF(ISNUMBER(Tabelle1!I125),Tabelle1!I125/'SF Workings'!V124,"")</f>
        <v>135.656610742219</v>
      </c>
      <c r="H124" s="23" t="n">
        <f aca="false">IF(ISNUMBER(Tabelle1!J125),Tabelle1!J125/'SF Workings'!Z124,"")</f>
        <v>150.670418000837</v>
      </c>
      <c r="I124" s="23" t="n">
        <f aca="false">IF(ISNUMBER(Tabelle1!K125),Tabelle1!K125/'SF Workings'!AD124,"")</f>
        <v>165.857257986714</v>
      </c>
      <c r="J124" s="23" t="n">
        <f aca="false">IF(ISNUMBER(Tabelle1!L125),Tabelle1!L125/'SF Workings'!AH124,"")</f>
        <v>154.580313969219</v>
      </c>
      <c r="K124" s="23" t="n">
        <f aca="false">IF(ISNUMBER(Tabelle1!M125),Tabelle1!M125/'SF Workings'!AL124,"")</f>
        <v>181.920014521088</v>
      </c>
      <c r="L124" s="23" t="n">
        <f aca="false">IF(ISNUMBER(Tabelle1!N125),Tabelle1!N125/'SF Workings'!AP124,"")</f>
        <v>184.314522266722</v>
      </c>
      <c r="M124" s="23" t="n">
        <f aca="false">IF(ISNUMBER(Tabelle1!O125),Tabelle1!O125/'SF Workings'!AT124,"")</f>
        <v>135.638633653992</v>
      </c>
      <c r="N124" s="23" t="n">
        <f aca="false">IF(ISNUMBER(Tabelle1!P125),Tabelle1!P125/'SF Workings'!AX124,"")</f>
        <v>140.599586590893</v>
      </c>
      <c r="O124" s="23" t="n">
        <f aca="false">IF(ISNUMBER(Tabelle1!Q125),Tabelle1!Q125/'SF Workings'!BB124,"")</f>
        <v>143.396880150629</v>
      </c>
      <c r="P124" s="23" t="n">
        <f aca="false">IF(ISNUMBER(Tabelle1!R125),Tabelle1!R125/'SF Workings'!BF124,"")</f>
        <v>162.946598842342</v>
      </c>
      <c r="Q124" s="23" t="n">
        <f aca="false">IF(ISNUMBER(Tabelle1!S125),Tabelle1!S125/'SF Workings'!BJ124,"")</f>
        <v>151.547657114815</v>
      </c>
      <c r="R124" s="23" t="n">
        <f aca="false">IFERROR(C124*'Weights &amp; Assumptions'!$F$6+D124*'Weights &amp; Assumptions'!$F$7,"")</f>
        <v>124.181375626093</v>
      </c>
      <c r="S124" s="23" t="n">
        <f aca="false">IFERROR(E124*'Weights &amp; Assumptions'!$F$8+F124*'Weights &amp; Assumptions'!$F$9+H124*'Weights &amp; Assumptions'!$F$11,"")</f>
        <v>139.44472831499</v>
      </c>
      <c r="T124" s="23" t="n">
        <f aca="false">IFERROR(G124*'Weights &amp; Assumptions'!$F$10+I124*'Weights &amp; Assumptions'!$F$12+J124*'Weights &amp; Assumptions'!$F$13+K124*'Weights &amp; Assumptions'!$F$14+L124*'Weights &amp; Assumptions'!$F$15+M124*'Weights &amp; Assumptions'!$F$16+N124*'Weights &amp; Assumptions'!$F$17+O124*'Weights &amp; Assumptions'!$F$18+P124*'Weights &amp; Assumptions'!$F$19+Q124*'Weights &amp; Assumptions'!$F$20,"")</f>
        <v>157.021495021447</v>
      </c>
      <c r="U124" s="23" t="n">
        <f aca="false">IFERROR(R124*'Weights &amp; Assumptions'!$B$25/'Weights &amp; Assumptions'!$B$28+S124*'Weights &amp; Assumptions'!$B$26/'Weights &amp; Assumptions'!$B$28+T124*'Weights &amp; Assumptions'!$B$27/'Weights &amp; Assumptions'!$B$28,"")</f>
        <v>149.592212373575</v>
      </c>
      <c r="V124" s="30" t="n">
        <f aca="false">IF(ISNUMBER(Tabelle1!E125),Tabelle1!E125*'Weights &amp; Assumptions'!$F$6+Tabelle1!F125*'Weights &amp; Assumptions'!$F$7,"")</f>
        <v>71.9696448714556</v>
      </c>
      <c r="W124" s="30" t="n">
        <f aca="false">IF(ISNUMBER(Tabelle1!G125),Tabelle1!G125*'Weights &amp; Assumptions'!$F$8+Tabelle1!H125*'Weights &amp; Assumptions'!$F$9+Tabelle1!J125*'Weights &amp; Assumptions'!$F$11,"")</f>
        <v>146.273362294655</v>
      </c>
      <c r="X124" s="30" t="n">
        <f aca="false">IF(ISNUMBER(Tabelle1!I125),Tabelle1!I125*'Weights &amp; Assumptions'!$F$10+Tabelle1!K125*'Weights &amp; Assumptions'!$F$12+Tabelle1!L125*'Weights &amp; Assumptions'!$F$13+Tabelle1!M125*'Weights &amp; Assumptions'!$F$14+Tabelle1!N125*'Weights &amp; Assumptions'!$F$15+Tabelle1!O125*'Weights &amp; Assumptions'!$F$16+Tabelle1!P125*'Weights &amp; Assumptions'!$F$17+Tabelle1!Q125*'Weights &amp; Assumptions'!$F$18+Tabelle1!R125*'Weights &amp; Assumptions'!$F$19+Tabelle1!S125*'Weights &amp; Assumptions'!$F$20,"")</f>
        <v>158.175094137651</v>
      </c>
      <c r="Y124" s="23" t="n">
        <f aca="false">IFERROR(V124*'Weights &amp; Assumptions'!$B$25/'Weights &amp; Assumptions'!$B$28+W124*'Weights &amp; Assumptions'!$B$26/'Weights &amp; Assumptions'!$B$28+X124*'Weights &amp; Assumptions'!$B$27/'Weights &amp; Assumptions'!$B$28,"")</f>
        <v>147.777506805716</v>
      </c>
    </row>
    <row r="125" customFormat="false" ht="15" hidden="false" customHeight="false" outlineLevel="0" collapsed="false">
      <c r="A125" s="20" t="n">
        <v>41608</v>
      </c>
      <c r="B125" s="30" t="n">
        <f aca="false">IF(ISNUMBER(Tabelle1!D126),Tabelle1!D126,"")</f>
        <v>148.05058</v>
      </c>
      <c r="C125" s="23" t="n">
        <f aca="false">IF(ISNUMBER(Tabelle1!E126),Tabelle1!E126/'SF Workings'!F125,"")</f>
        <v>122.598014629788</v>
      </c>
      <c r="D125" s="23" t="n">
        <f aca="false">IF(ISNUMBER(Tabelle1!F126),Tabelle1!F126/'SF Workings'!J125,"")</f>
        <v>164.273077822776</v>
      </c>
      <c r="E125" s="23" t="n">
        <f aca="false">IF(ISNUMBER(Tabelle1!G126),Tabelle1!G126/'SF Workings'!N125,"")</f>
        <v>91.4588054426916</v>
      </c>
      <c r="F125" s="23" t="n">
        <f aca="false">IF(ISNUMBER(Tabelle1!H126),Tabelle1!H126/'SF Workings'!R125,"")</f>
        <v>140.721868502137</v>
      </c>
      <c r="G125" s="23" t="n">
        <f aca="false">IF(ISNUMBER(Tabelle1!I126),Tabelle1!I126/'SF Workings'!V125,"")</f>
        <v>135.198289590798</v>
      </c>
      <c r="H125" s="23" t="n">
        <f aca="false">IF(ISNUMBER(Tabelle1!J126),Tabelle1!J126/'SF Workings'!Z125,"")</f>
        <v>147.590184828079</v>
      </c>
      <c r="I125" s="23" t="n">
        <f aca="false">IF(ISNUMBER(Tabelle1!K126),Tabelle1!K126/'SF Workings'!AD125,"")</f>
        <v>157.082711800751</v>
      </c>
      <c r="J125" s="23" t="n">
        <f aca="false">IF(ISNUMBER(Tabelle1!L126),Tabelle1!L126/'SF Workings'!AH125,"")</f>
        <v>154.198965460729</v>
      </c>
      <c r="K125" s="23" t="n">
        <f aca="false">IF(ISNUMBER(Tabelle1!M126),Tabelle1!M126/'SF Workings'!AL125,"")</f>
        <v>182.406841020515</v>
      </c>
      <c r="L125" s="23" t="n">
        <f aca="false">IF(ISNUMBER(Tabelle1!N126),Tabelle1!N126/'SF Workings'!AP125,"")</f>
        <v>180.042981846567</v>
      </c>
      <c r="M125" s="23" t="n">
        <f aca="false">IF(ISNUMBER(Tabelle1!O126),Tabelle1!O126/'SF Workings'!AT125,"")</f>
        <v>134.7790911106</v>
      </c>
      <c r="N125" s="23" t="n">
        <f aca="false">IF(ISNUMBER(Tabelle1!P126),Tabelle1!P126/'SF Workings'!AX125,"")</f>
        <v>140.965105218044</v>
      </c>
      <c r="O125" s="23" t="n">
        <f aca="false">IF(ISNUMBER(Tabelle1!Q126),Tabelle1!Q126/'SF Workings'!BB125,"")</f>
        <v>143.891818759971</v>
      </c>
      <c r="P125" s="23" t="n">
        <f aca="false">IF(ISNUMBER(Tabelle1!R126),Tabelle1!R126/'SF Workings'!BF125,"")</f>
        <v>163.340071409808</v>
      </c>
      <c r="Q125" s="23" t="n">
        <f aca="false">IF(ISNUMBER(Tabelle1!S126),Tabelle1!S126/'SF Workings'!BJ125,"")</f>
        <v>154.566257765412</v>
      </c>
      <c r="R125" s="23" t="n">
        <f aca="false">IFERROR(C125*'Weights &amp; Assumptions'!$F$6+D125*'Weights &amp; Assumptions'!$F$7,"")</f>
        <v>123.10863983047</v>
      </c>
      <c r="S125" s="23" t="n">
        <f aca="false">IFERROR(E125*'Weights &amp; Assumptions'!$F$8+F125*'Weights &amp; Assumptions'!$F$9+H125*'Weights &amp; Assumptions'!$F$11,"")</f>
        <v>136.270804141585</v>
      </c>
      <c r="T125" s="23" t="n">
        <f aca="false">IFERROR(G125*'Weights &amp; Assumptions'!$F$10+I125*'Weights &amp; Assumptions'!$F$12+J125*'Weights &amp; Assumptions'!$F$13+K125*'Weights &amp; Assumptions'!$F$14+L125*'Weights &amp; Assumptions'!$F$15+M125*'Weights &amp; Assumptions'!$F$16+N125*'Weights &amp; Assumptions'!$F$17+O125*'Weights &amp; Assumptions'!$F$18+P125*'Weights &amp; Assumptions'!$F$19+Q125*'Weights &amp; Assumptions'!$F$20,"")</f>
        <v>155.040477079299</v>
      </c>
      <c r="U125" s="23" t="n">
        <f aca="false">IFERROR(R125*'Weights &amp; Assumptions'!$B$25/'Weights &amp; Assumptions'!$B$28+S125*'Weights &amp; Assumptions'!$B$26/'Weights &amp; Assumptions'!$B$28+T125*'Weights &amp; Assumptions'!$B$27/'Weights &amp; Assumptions'!$B$28,"")</f>
        <v>147.370185454617</v>
      </c>
      <c r="V125" s="30" t="n">
        <f aca="false">IF(ISNUMBER(Tabelle1!E126),Tabelle1!E126*'Weights &amp; Assumptions'!$F$6+Tabelle1!F126*'Weights &amp; Assumptions'!$F$7,"")</f>
        <v>85.0623242997104</v>
      </c>
      <c r="W125" s="30" t="n">
        <f aca="false">IF(ISNUMBER(Tabelle1!G126),Tabelle1!G126*'Weights &amp; Assumptions'!$F$8+Tabelle1!H126*'Weights &amp; Assumptions'!$F$9+Tabelle1!J126*'Weights &amp; Assumptions'!$F$11,"")</f>
        <v>140.807170471724</v>
      </c>
      <c r="X125" s="30" t="n">
        <f aca="false">IF(ISNUMBER(Tabelle1!I126),Tabelle1!I126*'Weights &amp; Assumptions'!$F$10+Tabelle1!K126*'Weights &amp; Assumptions'!$F$12+Tabelle1!L126*'Weights &amp; Assumptions'!$F$13+Tabelle1!M126*'Weights &amp; Assumptions'!$F$14+Tabelle1!N126*'Weights &amp; Assumptions'!$F$15+Tabelle1!O126*'Weights &amp; Assumptions'!$F$16+Tabelle1!P126*'Weights &amp; Assumptions'!$F$17+Tabelle1!Q126*'Weights &amp; Assumptions'!$F$18+Tabelle1!R126*'Weights &amp; Assumptions'!$F$19+Tabelle1!S126*'Weights &amp; Assumptions'!$F$20,"")</f>
        <v>156.106858094536</v>
      </c>
      <c r="Y125" s="23" t="n">
        <f aca="false">IFERROR(V125*'Weights &amp; Assumptions'!$B$25/'Weights &amp; Assumptions'!$B$28+W125*'Weights &amp; Assumptions'!$B$26/'Weights &amp; Assumptions'!$B$28+X125*'Weights &amp; Assumptions'!$B$27/'Weights &amp; Assumptions'!$B$28,"")</f>
        <v>146.077708389633</v>
      </c>
    </row>
    <row r="126" customFormat="false" ht="15" hidden="false" customHeight="false" outlineLevel="0" collapsed="false">
      <c r="A126" s="20" t="n">
        <v>41639</v>
      </c>
      <c r="B126" s="30" t="n">
        <f aca="false">IF(ISNUMBER(Tabelle1!D127),Tabelle1!D127,"")</f>
        <v>147.19351</v>
      </c>
      <c r="C126" s="23" t="n">
        <f aca="false">IF(ISNUMBER(Tabelle1!E127),Tabelle1!E127/'SF Workings'!F126,"")</f>
        <v>117.520952984216</v>
      </c>
      <c r="D126" s="23" t="n">
        <f aca="false">IF(ISNUMBER(Tabelle1!F127),Tabelle1!F127/'SF Workings'!J126,"")</f>
        <v>132.661331191598</v>
      </c>
      <c r="E126" s="23" t="n">
        <f aca="false">IF(ISNUMBER(Tabelle1!G127),Tabelle1!G127/'SF Workings'!N126,"")</f>
        <v>92.9115366592704</v>
      </c>
      <c r="F126" s="23" t="n">
        <f aca="false">IF(ISNUMBER(Tabelle1!H127),Tabelle1!H127/'SF Workings'!R126,"")</f>
        <v>142.193279102877</v>
      </c>
      <c r="G126" s="23" t="n">
        <f aca="false">IF(ISNUMBER(Tabelle1!I127),Tabelle1!I127/'SF Workings'!V126,"")</f>
        <v>145.545782863145</v>
      </c>
      <c r="H126" s="23" t="n">
        <f aca="false">IF(ISNUMBER(Tabelle1!J127),Tabelle1!J127/'SF Workings'!Z126,"")</f>
        <v>148.336773430999</v>
      </c>
      <c r="I126" s="23" t="n">
        <f aca="false">IF(ISNUMBER(Tabelle1!K127),Tabelle1!K127/'SF Workings'!AD126,"")</f>
        <v>159.043200913918</v>
      </c>
      <c r="J126" s="23" t="n">
        <f aca="false">IF(ISNUMBER(Tabelle1!L127),Tabelle1!L127/'SF Workings'!AH126,"")</f>
        <v>152.595141674445</v>
      </c>
      <c r="K126" s="23" t="n">
        <f aca="false">IF(ISNUMBER(Tabelle1!M127),Tabelle1!M127/'SF Workings'!AL126,"")</f>
        <v>179.896774745313</v>
      </c>
      <c r="L126" s="23" t="n">
        <f aca="false">IF(ISNUMBER(Tabelle1!N127),Tabelle1!N127/'SF Workings'!AP126,"")</f>
        <v>184.263903531488</v>
      </c>
      <c r="M126" s="23" t="n">
        <f aca="false">IF(ISNUMBER(Tabelle1!O127),Tabelle1!O127/'SF Workings'!AT126,"")</f>
        <v>134.994593120339</v>
      </c>
      <c r="N126" s="23" t="n">
        <f aca="false">IF(ISNUMBER(Tabelle1!P127),Tabelle1!P127/'SF Workings'!AX126,"")</f>
        <v>141.79854472473</v>
      </c>
      <c r="O126" s="23" t="n">
        <f aca="false">IF(ISNUMBER(Tabelle1!Q127),Tabelle1!Q127/'SF Workings'!BB126,"")</f>
        <v>144.922281831246</v>
      </c>
      <c r="P126" s="23" t="n">
        <f aca="false">IF(ISNUMBER(Tabelle1!R127),Tabelle1!R127/'SF Workings'!BF126,"")</f>
        <v>164.479134371565</v>
      </c>
      <c r="Q126" s="23" t="n">
        <f aca="false">IF(ISNUMBER(Tabelle1!S127),Tabelle1!S127/'SF Workings'!BJ126,"")</f>
        <v>151.491100976225</v>
      </c>
      <c r="R126" s="23" t="n">
        <f aca="false">IFERROR(C126*'Weights &amp; Assumptions'!$F$6+D126*'Weights &amp; Assumptions'!$F$7,"")</f>
        <v>117.706461009117</v>
      </c>
      <c r="S126" s="23" t="n">
        <f aca="false">IFERROR(E126*'Weights &amp; Assumptions'!$F$8+F126*'Weights &amp; Assumptions'!$F$9+H126*'Weights &amp; Assumptions'!$F$11,"")</f>
        <v>137.588986925253</v>
      </c>
      <c r="T126" s="23" t="n">
        <f aca="false">IFERROR(G126*'Weights &amp; Assumptions'!$F$10+I126*'Weights &amp; Assumptions'!$F$12+J126*'Weights &amp; Assumptions'!$F$13+K126*'Weights &amp; Assumptions'!$F$14+L126*'Weights &amp; Assumptions'!$F$15+M126*'Weights &amp; Assumptions'!$F$16+N126*'Weights &amp; Assumptions'!$F$17+O126*'Weights &amp; Assumptions'!$F$18+P126*'Weights &amp; Assumptions'!$F$19+Q126*'Weights &amp; Assumptions'!$F$20,"")</f>
        <v>155.72662036459</v>
      </c>
      <c r="U126" s="23" t="n">
        <f aca="false">IFERROR(R126*'Weights &amp; Assumptions'!$B$25/'Weights &amp; Assumptions'!$B$28+S126*'Weights &amp; Assumptions'!$B$26/'Weights &amp; Assumptions'!$B$28+T126*'Weights &amp; Assumptions'!$B$27/'Weights &amp; Assumptions'!$B$28,"")</f>
        <v>147.713583791658</v>
      </c>
      <c r="V126" s="30" t="n">
        <f aca="false">IF(ISNUMBER(Tabelle1!E127),Tabelle1!E127*'Weights &amp; Assumptions'!$F$6+Tabelle1!F127*'Weights &amp; Assumptions'!$F$7,"")</f>
        <v>85.2775805345586</v>
      </c>
      <c r="W126" s="30" t="n">
        <f aca="false">IF(ISNUMBER(Tabelle1!G127),Tabelle1!G127*'Weights &amp; Assumptions'!$F$8+Tabelle1!H127*'Weights &amp; Assumptions'!$F$9+Tabelle1!J127*'Weights &amp; Assumptions'!$F$11,"")</f>
        <v>135.754051028249</v>
      </c>
      <c r="X126" s="30" t="n">
        <f aca="false">IF(ISNUMBER(Tabelle1!I127),Tabelle1!I127*'Weights &amp; Assumptions'!$F$10+Tabelle1!K127*'Weights &amp; Assumptions'!$F$12+Tabelle1!L127*'Weights &amp; Assumptions'!$F$13+Tabelle1!M127*'Weights &amp; Assumptions'!$F$14+Tabelle1!N127*'Weights &amp; Assumptions'!$F$15+Tabelle1!O127*'Weights &amp; Assumptions'!$F$16+Tabelle1!P127*'Weights &amp; Assumptions'!$F$17+Tabelle1!Q127*'Weights &amp; Assumptions'!$F$18+Tabelle1!R127*'Weights &amp; Assumptions'!$F$19+Tabelle1!S127*'Weights &amp; Assumptions'!$F$20,"")</f>
        <v>154.334160462362</v>
      </c>
      <c r="Y126" s="23" t="n">
        <f aca="false">IFERROR(V126*'Weights &amp; Assumptions'!$B$25/'Weights &amp; Assumptions'!$B$28+W126*'Weights &amp; Assumptions'!$B$26/'Weights &amp; Assumptions'!$B$28+X126*'Weights &amp; Assumptions'!$B$27/'Weights &amp; Assumptions'!$B$28,"")</f>
        <v>143.599480278699</v>
      </c>
    </row>
    <row r="127" customFormat="false" ht="15" hidden="false" customHeight="false" outlineLevel="0" collapsed="false">
      <c r="A127" s="20" t="n">
        <v>41670</v>
      </c>
      <c r="B127" s="30" t="n">
        <f aca="false">IF(ISNUMBER(Tabelle1!D128),Tabelle1!D128,"")</f>
        <v>145.47985</v>
      </c>
      <c r="C127" s="23" t="n">
        <f aca="false">IF(ISNUMBER(Tabelle1!E128),Tabelle1!E128/'SF Workings'!F127,"")</f>
        <v>122.457510430109</v>
      </c>
      <c r="D127" s="23" t="n">
        <f aca="false">IF(ISNUMBER(Tabelle1!F128),Tabelle1!F128/'SF Workings'!J127,"")</f>
        <v>128.405702620782</v>
      </c>
      <c r="E127" s="23" t="n">
        <f aca="false">IF(ISNUMBER(Tabelle1!G128),Tabelle1!G128/'SF Workings'!N127,"")</f>
        <v>93.4577222852427</v>
      </c>
      <c r="F127" s="23" t="n">
        <f aca="false">IF(ISNUMBER(Tabelle1!H128),Tabelle1!H128/'SF Workings'!R127,"")</f>
        <v>141.123922610461</v>
      </c>
      <c r="G127" s="23" t="n">
        <f aca="false">IF(ISNUMBER(Tabelle1!I128),Tabelle1!I128/'SF Workings'!V127,"")</f>
        <v>140.885099599066</v>
      </c>
      <c r="H127" s="23" t="n">
        <f aca="false">IF(ISNUMBER(Tabelle1!J128),Tabelle1!J128/'SF Workings'!Z127,"")</f>
        <v>149.854396719656</v>
      </c>
      <c r="I127" s="23" t="n">
        <f aca="false">IF(ISNUMBER(Tabelle1!K128),Tabelle1!K128/'SF Workings'!AD127,"")</f>
        <v>162.782009574813</v>
      </c>
      <c r="J127" s="23" t="n">
        <f aca="false">IF(ISNUMBER(Tabelle1!L128),Tabelle1!L128/'SF Workings'!AH127,"")</f>
        <v>154.832303271624</v>
      </c>
      <c r="K127" s="23" t="n">
        <f aca="false">IF(ISNUMBER(Tabelle1!M128),Tabelle1!M128/'SF Workings'!AL127,"")</f>
        <v>178.366460000095</v>
      </c>
      <c r="L127" s="23" t="n">
        <f aca="false">IF(ISNUMBER(Tabelle1!N128),Tabelle1!N128/'SF Workings'!AP127,"")</f>
        <v>189.702774964619</v>
      </c>
      <c r="M127" s="23" t="n">
        <f aca="false">IF(ISNUMBER(Tabelle1!O128),Tabelle1!O128/'SF Workings'!AT127,"")</f>
        <v>134.068765199073</v>
      </c>
      <c r="N127" s="23" t="n">
        <f aca="false">IF(ISNUMBER(Tabelle1!P128),Tabelle1!P128/'SF Workings'!AX127,"")</f>
        <v>142.163646997923</v>
      </c>
      <c r="O127" s="23" t="n">
        <f aca="false">IF(ISNUMBER(Tabelle1!Q128),Tabelle1!Q128/'SF Workings'!BB127,"")</f>
        <v>145.110484967</v>
      </c>
      <c r="P127" s="23" t="n">
        <f aca="false">IF(ISNUMBER(Tabelle1!R128),Tabelle1!R128/'SF Workings'!BF127,"")</f>
        <v>164.4282426481</v>
      </c>
      <c r="Q127" s="23" t="n">
        <f aca="false">IF(ISNUMBER(Tabelle1!S128),Tabelle1!S128/'SF Workings'!BJ127,"")</f>
        <v>151.998986795035</v>
      </c>
      <c r="R127" s="23" t="n">
        <f aca="false">IFERROR(C127*'Weights &amp; Assumptions'!$F$6+D127*'Weights &amp; Assumptions'!$F$7,"")</f>
        <v>122.530390867434</v>
      </c>
      <c r="S127" s="23" t="n">
        <f aca="false">IFERROR(E127*'Weights &amp; Assumptions'!$F$8+F127*'Weights &amp; Assumptions'!$F$9+H127*'Weights &amp; Assumptions'!$F$11,"")</f>
        <v>137.251451449808</v>
      </c>
      <c r="T127" s="23" t="n">
        <f aca="false">IFERROR(G127*'Weights &amp; Assumptions'!$F$10+I127*'Weights &amp; Assumptions'!$F$12+J127*'Weights &amp; Assumptions'!$F$13+K127*'Weights &amp; Assumptions'!$F$14+L127*'Weights &amp; Assumptions'!$F$15+M127*'Weights &amp; Assumptions'!$F$16+N127*'Weights &amp; Assumptions'!$F$17+O127*'Weights &amp; Assumptions'!$F$18+P127*'Weights &amp; Assumptions'!$F$19+Q127*'Weights &amp; Assumptions'!$F$20,"")</f>
        <v>156.534432701419</v>
      </c>
      <c r="U127" s="23" t="n">
        <f aca="false">IFERROR(R127*'Weights &amp; Assumptions'!$B$25/'Weights &amp; Assumptions'!$B$28+S127*'Weights &amp; Assumptions'!$B$26/'Weights &amp; Assumptions'!$B$28+T127*'Weights &amp; Assumptions'!$B$27/'Weights &amp; Assumptions'!$B$28,"")</f>
        <v>148.553783740338</v>
      </c>
      <c r="V127" s="30" t="n">
        <f aca="false">IF(ISNUMBER(Tabelle1!E128),Tabelle1!E128*'Weights &amp; Assumptions'!$F$6+Tabelle1!F128*'Weights &amp; Assumptions'!$F$7,"")</f>
        <v>64.8477777733281</v>
      </c>
      <c r="W127" s="30" t="n">
        <f aca="false">IF(ISNUMBER(Tabelle1!G128),Tabelle1!G128*'Weights &amp; Assumptions'!$F$8+Tabelle1!H128*'Weights &amp; Assumptions'!$F$9+Tabelle1!J128*'Weights &amp; Assumptions'!$F$11,"")</f>
        <v>126.079851539384</v>
      </c>
      <c r="X127" s="30" t="n">
        <f aca="false">IF(ISNUMBER(Tabelle1!I128),Tabelle1!I128*'Weights &amp; Assumptions'!$F$10+Tabelle1!K128*'Weights &amp; Assumptions'!$F$12+Tabelle1!L128*'Weights &amp; Assumptions'!$F$13+Tabelle1!M128*'Weights &amp; Assumptions'!$F$14+Tabelle1!N128*'Weights &amp; Assumptions'!$F$15+Tabelle1!O128*'Weights &amp; Assumptions'!$F$16+Tabelle1!P128*'Weights &amp; Assumptions'!$F$17+Tabelle1!Q128*'Weights &amp; Assumptions'!$F$18+Tabelle1!R128*'Weights &amp; Assumptions'!$F$19+Tabelle1!S128*'Weights &amp; Assumptions'!$F$20,"")</f>
        <v>151.835622231864</v>
      </c>
      <c r="Y127" s="23" t="n">
        <f aca="false">IFERROR(V127*'Weights &amp; Assumptions'!$B$25/'Weights &amp; Assumptions'!$B$28+W127*'Weights &amp; Assumptions'!$B$26/'Weights &amp; Assumptions'!$B$28+X127*'Weights &amp; Assumptions'!$B$27/'Weights &amp; Assumptions'!$B$28,"")</f>
        <v>137.688360357469</v>
      </c>
    </row>
    <row r="128" customFormat="false" ht="15" hidden="false" customHeight="false" outlineLevel="0" collapsed="false">
      <c r="A128" s="20" t="n">
        <v>41698</v>
      </c>
      <c r="B128" s="30" t="n">
        <f aca="false">IF(ISNUMBER(Tabelle1!D129),Tabelle1!D129,"")</f>
        <v>146.61923</v>
      </c>
      <c r="C128" s="23" t="n">
        <f aca="false">IF(ISNUMBER(Tabelle1!E129),Tabelle1!E129/'SF Workings'!F128,"")</f>
        <v>120.177457189665</v>
      </c>
      <c r="D128" s="23" t="n">
        <f aca="false">IF(ISNUMBER(Tabelle1!F129),Tabelle1!F129/'SF Workings'!J128,"")</f>
        <v>117.684792025805</v>
      </c>
      <c r="E128" s="23" t="n">
        <f aca="false">IF(ISNUMBER(Tabelle1!G129),Tabelle1!G129/'SF Workings'!N128,"")</f>
        <v>92.5954369888001</v>
      </c>
      <c r="F128" s="23" t="n">
        <f aca="false">IF(ISNUMBER(Tabelle1!H129),Tabelle1!H129/'SF Workings'!R128,"")</f>
        <v>139.636528541159</v>
      </c>
      <c r="G128" s="23" t="n">
        <f aca="false">IF(ISNUMBER(Tabelle1!I129),Tabelle1!I129/'SF Workings'!V128,"")</f>
        <v>130.080901011194</v>
      </c>
      <c r="H128" s="23" t="n">
        <f aca="false">IF(ISNUMBER(Tabelle1!J129),Tabelle1!J129/'SF Workings'!Z128,"")</f>
        <v>150.022692412638</v>
      </c>
      <c r="I128" s="23" t="n">
        <f aca="false">IF(ISNUMBER(Tabelle1!K129),Tabelle1!K129/'SF Workings'!AD128,"")</f>
        <v>156.765957963834</v>
      </c>
      <c r="J128" s="23" t="n">
        <f aca="false">IF(ISNUMBER(Tabelle1!L129),Tabelle1!L129/'SF Workings'!AH128,"")</f>
        <v>153.393039310734</v>
      </c>
      <c r="K128" s="23" t="n">
        <f aca="false">IF(ISNUMBER(Tabelle1!M129),Tabelle1!M129/'SF Workings'!AL128,"")</f>
        <v>180.297121222856</v>
      </c>
      <c r="L128" s="23" t="n">
        <f aca="false">IF(ISNUMBER(Tabelle1!N129),Tabelle1!N129/'SF Workings'!AP128,"")</f>
        <v>183.900009496814</v>
      </c>
      <c r="M128" s="23" t="n">
        <f aca="false">IF(ISNUMBER(Tabelle1!O129),Tabelle1!O129/'SF Workings'!AT128,"")</f>
        <v>134.280225083886</v>
      </c>
      <c r="N128" s="23" t="n">
        <f aca="false">IF(ISNUMBER(Tabelle1!P129),Tabelle1!P129/'SF Workings'!AX128,"")</f>
        <v>141.878905368649</v>
      </c>
      <c r="O128" s="23" t="n">
        <f aca="false">IF(ISNUMBER(Tabelle1!Q129),Tabelle1!Q129/'SF Workings'!BB128,"")</f>
        <v>146.239973671307</v>
      </c>
      <c r="P128" s="23" t="n">
        <f aca="false">IF(ISNUMBER(Tabelle1!R129),Tabelle1!R129/'SF Workings'!BF128,"")</f>
        <v>164.071982878631</v>
      </c>
      <c r="Q128" s="23" t="n">
        <f aca="false">IF(ISNUMBER(Tabelle1!S129),Tabelle1!S129/'SF Workings'!BJ128,"")</f>
        <v>147.4351999593</v>
      </c>
      <c r="R128" s="23" t="n">
        <f aca="false">IFERROR(C128*'Weights &amp; Assumptions'!$F$6+D128*'Weights &amp; Assumptions'!$F$7,"")</f>
        <v>120.146915720691</v>
      </c>
      <c r="S128" s="23" t="n">
        <f aca="false">IFERROR(E128*'Weights &amp; Assumptions'!$F$8+F128*'Weights &amp; Assumptions'!$F$9+H128*'Weights &amp; Assumptions'!$F$11,"")</f>
        <v>136.183613218394</v>
      </c>
      <c r="T128" s="23" t="n">
        <f aca="false">IFERROR(G128*'Weights &amp; Assumptions'!$F$10+I128*'Weights &amp; Assumptions'!$F$12+J128*'Weights &amp; Assumptions'!$F$13+K128*'Weights &amp; Assumptions'!$F$14+L128*'Weights &amp; Assumptions'!$F$15+M128*'Weights &amp; Assumptions'!$F$16+N128*'Weights &amp; Assumptions'!$F$17+O128*'Weights &amp; Assumptions'!$F$18+P128*'Weights &amp; Assumptions'!$F$19+Q128*'Weights &amp; Assumptions'!$F$20,"")</f>
        <v>154.600111277603</v>
      </c>
      <c r="U128" s="23" t="n">
        <f aca="false">IFERROR(R128*'Weights &amp; Assumptions'!$B$25/'Weights &amp; Assumptions'!$B$28+S128*'Weights &amp; Assumptions'!$B$26/'Weights &amp; Assumptions'!$B$28+T128*'Weights &amp; Assumptions'!$B$27/'Weights &amp; Assumptions'!$B$28,"")</f>
        <v>146.812190962115</v>
      </c>
      <c r="V128" s="30" t="n">
        <f aca="false">IF(ISNUMBER(Tabelle1!E129),Tabelle1!E129*'Weights &amp; Assumptions'!$F$6+Tabelle1!F129*'Weights &amp; Assumptions'!$F$7,"")</f>
        <v>69.0921677300628</v>
      </c>
      <c r="W128" s="30" t="n">
        <f aca="false">IF(ISNUMBER(Tabelle1!G129),Tabelle1!G129*'Weights &amp; Assumptions'!$F$8+Tabelle1!H129*'Weights &amp; Assumptions'!$F$9+Tabelle1!J129*'Weights &amp; Assumptions'!$F$11,"")</f>
        <v>121.978649701374</v>
      </c>
      <c r="X128" s="30" t="n">
        <f aca="false">IF(ISNUMBER(Tabelle1!I129),Tabelle1!I129*'Weights &amp; Assumptions'!$F$10+Tabelle1!K129*'Weights &amp; Assumptions'!$F$12+Tabelle1!L129*'Weights &amp; Assumptions'!$F$13+Tabelle1!M129*'Weights &amp; Assumptions'!$F$14+Tabelle1!N129*'Weights &amp; Assumptions'!$F$15+Tabelle1!O129*'Weights &amp; Assumptions'!$F$16+Tabelle1!P129*'Weights &amp; Assumptions'!$F$17+Tabelle1!Q129*'Weights &amp; Assumptions'!$F$18+Tabelle1!R129*'Weights &amp; Assumptions'!$F$19+Tabelle1!S129*'Weights &amp; Assumptions'!$F$20,"")</f>
        <v>147.1792575396</v>
      </c>
      <c r="Y128" s="23" t="n">
        <f aca="false">IFERROR(V128*'Weights &amp; Assumptions'!$B$25/'Weights &amp; Assumptions'!$B$28+W128*'Weights &amp; Assumptions'!$B$26/'Weights &amp; Assumptions'!$B$28+X128*'Weights &amp; Assumptions'!$B$27/'Weights &amp; Assumptions'!$B$28,"")</f>
        <v>133.926403888072</v>
      </c>
    </row>
    <row r="129" customFormat="false" ht="15" hidden="false" customHeight="false" outlineLevel="0" collapsed="false">
      <c r="A129" s="20" t="n">
        <v>41729</v>
      </c>
      <c r="B129" s="30" t="n">
        <f aca="false">IF(ISNUMBER(Tabelle1!D130),Tabelle1!D130,"")</f>
        <v>145.49059</v>
      </c>
      <c r="C129" s="23" t="n">
        <f aca="false">IF(ISNUMBER(Tabelle1!E130),Tabelle1!E130/'SF Workings'!F129,"")</f>
        <v>117.886549835609</v>
      </c>
      <c r="D129" s="23" t="n">
        <f aca="false">IF(ISNUMBER(Tabelle1!F130),Tabelle1!F130/'SF Workings'!J129,"")</f>
        <v>170.698707875685</v>
      </c>
      <c r="E129" s="23" t="n">
        <f aca="false">IF(ISNUMBER(Tabelle1!G130),Tabelle1!G130/'SF Workings'!N129,"")</f>
        <v>93.6536481484031</v>
      </c>
      <c r="F129" s="23" t="n">
        <f aca="false">IF(ISNUMBER(Tabelle1!H130),Tabelle1!H130/'SF Workings'!R129,"")</f>
        <v>134.600504894601</v>
      </c>
      <c r="G129" s="23" t="n">
        <f aca="false">IF(ISNUMBER(Tabelle1!I130),Tabelle1!I130/'SF Workings'!V129,"")</f>
        <v>130.374937812506</v>
      </c>
      <c r="H129" s="23" t="n">
        <f aca="false">IF(ISNUMBER(Tabelle1!J130),Tabelle1!J130/'SF Workings'!Z129,"")</f>
        <v>147.229067335193</v>
      </c>
      <c r="I129" s="23" t="n">
        <f aca="false">IF(ISNUMBER(Tabelle1!K130),Tabelle1!K130/'SF Workings'!AD129,"")</f>
        <v>146.005237877726</v>
      </c>
      <c r="J129" s="23" t="n">
        <f aca="false">IF(ISNUMBER(Tabelle1!L130),Tabelle1!L130/'SF Workings'!AH129,"")</f>
        <v>152.327404916501</v>
      </c>
      <c r="K129" s="23" t="n">
        <f aca="false">IF(ISNUMBER(Tabelle1!M130),Tabelle1!M130/'SF Workings'!AL129,"")</f>
        <v>177.374508279232</v>
      </c>
      <c r="L129" s="23" t="n">
        <f aca="false">IF(ISNUMBER(Tabelle1!N130),Tabelle1!N130/'SF Workings'!AP129,"")</f>
        <v>176.469252903182</v>
      </c>
      <c r="M129" s="23" t="n">
        <f aca="false">IF(ISNUMBER(Tabelle1!O130),Tabelle1!O130/'SF Workings'!AT129,"")</f>
        <v>130.800667695521</v>
      </c>
      <c r="N129" s="23" t="n">
        <f aca="false">IF(ISNUMBER(Tabelle1!P130),Tabelle1!P130/'SF Workings'!AX129,"")</f>
        <v>142.579595525998</v>
      </c>
      <c r="O129" s="23" t="n">
        <f aca="false">IF(ISNUMBER(Tabelle1!Q130),Tabelle1!Q130/'SF Workings'!BB129,"")</f>
        <v>145.519877834465</v>
      </c>
      <c r="P129" s="23" t="n">
        <f aca="false">IF(ISNUMBER(Tabelle1!R130),Tabelle1!R130/'SF Workings'!BF129,"")</f>
        <v>164.502171420817</v>
      </c>
      <c r="Q129" s="23" t="n">
        <f aca="false">IF(ISNUMBER(Tabelle1!S130),Tabelle1!S130/'SF Workings'!BJ129,"")</f>
        <v>150.531809473295</v>
      </c>
      <c r="R129" s="23" t="n">
        <f aca="false">IFERROR(C129*'Weights &amp; Assumptions'!$F$6+D129*'Weights &amp; Assumptions'!$F$7,"")</f>
        <v>118.533632688796</v>
      </c>
      <c r="S129" s="23" t="n">
        <f aca="false">IFERROR(E129*'Weights &amp; Assumptions'!$F$8+F129*'Weights &amp; Assumptions'!$F$9+H129*'Weights &amp; Assumptions'!$F$11,"")</f>
        <v>132.342371830385</v>
      </c>
      <c r="T129" s="23" t="n">
        <f aca="false">IFERROR(G129*'Weights &amp; Assumptions'!$F$10+I129*'Weights &amp; Assumptions'!$F$12+J129*'Weights &amp; Assumptions'!$F$13+K129*'Weights &amp; Assumptions'!$F$14+L129*'Weights &amp; Assumptions'!$F$15+M129*'Weights &amp; Assumptions'!$F$16+N129*'Weights &amp; Assumptions'!$F$17+O129*'Weights &amp; Assumptions'!$F$18+P129*'Weights &amp; Assumptions'!$F$19+Q129*'Weights &amp; Assumptions'!$F$20,"")</f>
        <v>150.880846608449</v>
      </c>
      <c r="U129" s="23" t="n">
        <f aca="false">IFERROR(R129*'Weights &amp; Assumptions'!$B$25/'Weights &amp; Assumptions'!$B$28+S129*'Weights &amp; Assumptions'!$B$26/'Weights &amp; Assumptions'!$B$28+T129*'Weights &amp; Assumptions'!$B$27/'Weights &amp; Assumptions'!$B$28,"")</f>
        <v>143.237184164668</v>
      </c>
      <c r="V129" s="30" t="n">
        <f aca="false">IF(ISNUMBER(Tabelle1!E130),Tabelle1!E130*'Weights &amp; Assumptions'!$F$6+Tabelle1!F130*'Weights &amp; Assumptions'!$F$7,"")</f>
        <v>131.542157459506</v>
      </c>
      <c r="W129" s="30" t="n">
        <f aca="false">IF(ISNUMBER(Tabelle1!G130),Tabelle1!G130*'Weights &amp; Assumptions'!$F$8+Tabelle1!H130*'Weights &amp; Assumptions'!$F$9+Tabelle1!J130*'Weights &amp; Assumptions'!$F$11,"")</f>
        <v>133.847283182146</v>
      </c>
      <c r="X129" s="30" t="n">
        <f aca="false">IF(ISNUMBER(Tabelle1!I130),Tabelle1!I130*'Weights &amp; Assumptions'!$F$10+Tabelle1!K130*'Weights &amp; Assumptions'!$F$12+Tabelle1!L130*'Weights &amp; Assumptions'!$F$13+Tabelle1!M130*'Weights &amp; Assumptions'!$F$14+Tabelle1!N130*'Weights &amp; Assumptions'!$F$15+Tabelle1!O130*'Weights &amp; Assumptions'!$F$16+Tabelle1!P130*'Weights &amp; Assumptions'!$F$17+Tabelle1!Q130*'Weights &amp; Assumptions'!$F$18+Tabelle1!R130*'Weights &amp; Assumptions'!$F$19+Tabelle1!S130*'Weights &amp; Assumptions'!$F$20,"")</f>
        <v>152.508943594911</v>
      </c>
      <c r="Y129" s="23" t="n">
        <f aca="false">IFERROR(V129*'Weights &amp; Assumptions'!$B$25/'Weights &amp; Assumptions'!$B$28+W129*'Weights &amp; Assumptions'!$B$26/'Weights &amp; Assumptions'!$B$28+X129*'Weights &amp; Assumptions'!$B$27/'Weights &amp; Assumptions'!$B$28,"")</f>
        <v>145.787351300907</v>
      </c>
    </row>
    <row r="130" customFormat="false" ht="15" hidden="false" customHeight="false" outlineLevel="0" collapsed="false">
      <c r="A130" s="20" t="n">
        <v>41759</v>
      </c>
      <c r="B130" s="30" t="n">
        <f aca="false">IF(ISNUMBER(Tabelle1!D131),Tabelle1!D131,"")</f>
        <v>144.97986</v>
      </c>
      <c r="C130" s="23" t="n">
        <f aca="false">IF(ISNUMBER(Tabelle1!E131),Tabelle1!E131/'SF Workings'!F130,"")</f>
        <v>126.822536894556</v>
      </c>
      <c r="D130" s="23" t="n">
        <f aca="false">IF(ISNUMBER(Tabelle1!F131),Tabelle1!F131/'SF Workings'!J130,"")</f>
        <v>162.288986985259</v>
      </c>
      <c r="E130" s="23" t="n">
        <f aca="false">IF(ISNUMBER(Tabelle1!G131),Tabelle1!G131/'SF Workings'!N130,"")</f>
        <v>92.5206935975418</v>
      </c>
      <c r="F130" s="23" t="n">
        <f aca="false">IF(ISNUMBER(Tabelle1!H131),Tabelle1!H131/'SF Workings'!R130,"")</f>
        <v>137.057063316437</v>
      </c>
      <c r="G130" s="23" t="n">
        <f aca="false">IF(ISNUMBER(Tabelle1!I131),Tabelle1!I131/'SF Workings'!V130,"")</f>
        <v>136.130169729698</v>
      </c>
      <c r="H130" s="23" t="n">
        <f aca="false">IF(ISNUMBER(Tabelle1!J131),Tabelle1!J131/'SF Workings'!Z130,"")</f>
        <v>149.322802819161</v>
      </c>
      <c r="I130" s="23" t="n">
        <f aca="false">IF(ISNUMBER(Tabelle1!K131),Tabelle1!K131/'SF Workings'!AD130,"")</f>
        <v>155.027485292299</v>
      </c>
      <c r="J130" s="23" t="n">
        <f aca="false">IF(ISNUMBER(Tabelle1!L131),Tabelle1!L131/'SF Workings'!AH130,"")</f>
        <v>153.978398088067</v>
      </c>
      <c r="K130" s="23" t="n">
        <f aca="false">IF(ISNUMBER(Tabelle1!M131),Tabelle1!M131/'SF Workings'!AL130,"")</f>
        <v>182.199359258885</v>
      </c>
      <c r="L130" s="23" t="n">
        <f aca="false">IF(ISNUMBER(Tabelle1!N131),Tabelle1!N131/'SF Workings'!AP130,"")</f>
        <v>179.400833386993</v>
      </c>
      <c r="M130" s="23" t="n">
        <f aca="false">IF(ISNUMBER(Tabelle1!O131),Tabelle1!O131/'SF Workings'!AT130,"")</f>
        <v>132.452376248654</v>
      </c>
      <c r="N130" s="23" t="n">
        <f aca="false">IF(ISNUMBER(Tabelle1!P131),Tabelle1!P131/'SF Workings'!AX130,"")</f>
        <v>142.732406598724</v>
      </c>
      <c r="O130" s="23" t="n">
        <f aca="false">IF(ISNUMBER(Tabelle1!Q131),Tabelle1!Q131/'SF Workings'!BB130,"")</f>
        <v>146.481875740508</v>
      </c>
      <c r="P130" s="23" t="n">
        <f aca="false">IF(ISNUMBER(Tabelle1!R131),Tabelle1!R131/'SF Workings'!BF130,"")</f>
        <v>164.724838112047</v>
      </c>
      <c r="Q130" s="23" t="n">
        <f aca="false">IF(ISNUMBER(Tabelle1!S131),Tabelle1!S131/'SF Workings'!BJ130,"")</f>
        <v>148.701948690778</v>
      </c>
      <c r="R130" s="23" t="n">
        <f aca="false">IFERROR(C130*'Weights &amp; Assumptions'!$F$6+D130*'Weights &amp; Assumptions'!$F$7,"")</f>
        <v>127.257090841389</v>
      </c>
      <c r="S130" s="23" t="n">
        <f aca="false">IFERROR(E130*'Weights &amp; Assumptions'!$F$8+F130*'Weights &amp; Assumptions'!$F$9+H130*'Weights &amp; Assumptions'!$F$11,"")</f>
        <v>134.294766039297</v>
      </c>
      <c r="T130" s="23" t="n">
        <f aca="false">IFERROR(G130*'Weights &amp; Assumptions'!$F$10+I130*'Weights &amp; Assumptions'!$F$12+J130*'Weights &amp; Assumptions'!$F$13+K130*'Weights &amp; Assumptions'!$F$14+L130*'Weights &amp; Assumptions'!$F$15+M130*'Weights &amp; Assumptions'!$F$16+N130*'Weights &amp; Assumptions'!$F$17+O130*'Weights &amp; Assumptions'!$F$18+P130*'Weights &amp; Assumptions'!$F$19+Q130*'Weights &amp; Assumptions'!$F$20,"")</f>
        <v>154.221529494266</v>
      </c>
      <c r="U130" s="23" t="n">
        <f aca="false">IFERROR(R130*'Weights &amp; Assumptions'!$B$25/'Weights &amp; Assumptions'!$B$28+S130*'Weights &amp; Assumptions'!$B$26/'Weights &amp; Assumptions'!$B$28+T130*'Weights &amp; Assumptions'!$B$27/'Weights &amp; Assumptions'!$B$28,"")</f>
        <v>146.660316164859</v>
      </c>
      <c r="V130" s="30" t="n">
        <f aca="false">IF(ISNUMBER(Tabelle1!E131),Tabelle1!E131*'Weights &amp; Assumptions'!$F$6+Tabelle1!F131*'Weights &amp; Assumptions'!$F$7,"")</f>
        <v>212.841987132811</v>
      </c>
      <c r="W130" s="30" t="n">
        <f aca="false">IF(ISNUMBER(Tabelle1!G131),Tabelle1!G131*'Weights &amp; Assumptions'!$F$8+Tabelle1!H131*'Weights &amp; Assumptions'!$F$9+Tabelle1!J131*'Weights &amp; Assumptions'!$F$11,"")</f>
        <v>132.514571965719</v>
      </c>
      <c r="X130" s="30" t="n">
        <f aca="false">IF(ISNUMBER(Tabelle1!I131),Tabelle1!I131*'Weights &amp; Assumptions'!$F$10+Tabelle1!K131*'Weights &amp; Assumptions'!$F$12+Tabelle1!L131*'Weights &amp; Assumptions'!$F$13+Tabelle1!M131*'Weights &amp; Assumptions'!$F$14+Tabelle1!N131*'Weights &amp; Assumptions'!$F$15+Tabelle1!O131*'Weights &amp; Assumptions'!$F$16+Tabelle1!P131*'Weights &amp; Assumptions'!$F$17+Tabelle1!Q131*'Weights &amp; Assumptions'!$F$18+Tabelle1!R131*'Weights &amp; Assumptions'!$F$19+Tabelle1!S131*'Weights &amp; Assumptions'!$F$20,"")</f>
        <v>153.464478169208</v>
      </c>
      <c r="Y130" s="23" t="n">
        <f aca="false">IFERROR(V130*'Weights &amp; Assumptions'!$B$25/'Weights &amp; Assumptions'!$B$28+W130*'Weights &amp; Assumptions'!$B$26/'Weights &amp; Assumptions'!$B$28+X130*'Weights &amp; Assumptions'!$B$27/'Weights &amp; Assumptions'!$B$28,"")</f>
        <v>152.875354569191</v>
      </c>
    </row>
    <row r="131" customFormat="false" ht="15" hidden="false" customHeight="false" outlineLevel="0" collapsed="false">
      <c r="A131" s="20" t="n">
        <v>41790</v>
      </c>
      <c r="B131" s="30" t="n">
        <f aca="false">IF(ISNUMBER(Tabelle1!D132),Tabelle1!D132,"")</f>
        <v>145.33265</v>
      </c>
      <c r="C131" s="23" t="n">
        <f aca="false">IF(ISNUMBER(Tabelle1!E132),Tabelle1!E132/'SF Workings'!F131,"")</f>
        <v>130.919232509054</v>
      </c>
      <c r="D131" s="23" t="n">
        <f aca="false">IF(ISNUMBER(Tabelle1!F132),Tabelle1!F132/'SF Workings'!J131,"")</f>
        <v>176.098226266917</v>
      </c>
      <c r="E131" s="23" t="n">
        <f aca="false">IF(ISNUMBER(Tabelle1!G132),Tabelle1!G132/'SF Workings'!N131,"")</f>
        <v>95.6763226240236</v>
      </c>
      <c r="F131" s="23" t="n">
        <f aca="false">IF(ISNUMBER(Tabelle1!H132),Tabelle1!H132/'SF Workings'!R131,"")</f>
        <v>136.636612909873</v>
      </c>
      <c r="G131" s="23" t="n">
        <f aca="false">IF(ISNUMBER(Tabelle1!I132),Tabelle1!I132/'SF Workings'!V131,"")</f>
        <v>138.600215455493</v>
      </c>
      <c r="H131" s="23" t="n">
        <f aca="false">IF(ISNUMBER(Tabelle1!J132),Tabelle1!J132/'SF Workings'!Z131,"")</f>
        <v>147.467765772871</v>
      </c>
      <c r="I131" s="23" t="n">
        <f aca="false">IF(ISNUMBER(Tabelle1!K132),Tabelle1!K132/'SF Workings'!AD131,"")</f>
        <v>152.355345628992</v>
      </c>
      <c r="J131" s="23" t="n">
        <f aca="false">IF(ISNUMBER(Tabelle1!L132),Tabelle1!L132/'SF Workings'!AH131,"")</f>
        <v>155.826600446985</v>
      </c>
      <c r="K131" s="23" t="n">
        <f aca="false">IF(ISNUMBER(Tabelle1!M132),Tabelle1!M132/'SF Workings'!AL131,"")</f>
        <v>183.262239746417</v>
      </c>
      <c r="L131" s="23" t="n">
        <f aca="false">IF(ISNUMBER(Tabelle1!N132),Tabelle1!N132/'SF Workings'!AP131,"")</f>
        <v>178.305788868301</v>
      </c>
      <c r="M131" s="23" t="n">
        <f aca="false">IF(ISNUMBER(Tabelle1!O132),Tabelle1!O132/'SF Workings'!AT131,"")</f>
        <v>133.007434410446</v>
      </c>
      <c r="N131" s="23" t="n">
        <f aca="false">IF(ISNUMBER(Tabelle1!P132),Tabelle1!P132/'SF Workings'!AX131,"")</f>
        <v>143.301762182285</v>
      </c>
      <c r="O131" s="23" t="n">
        <f aca="false">IF(ISNUMBER(Tabelle1!Q132),Tabelle1!Q132/'SF Workings'!BB131,"")</f>
        <v>146.944253657793</v>
      </c>
      <c r="P131" s="23" t="n">
        <f aca="false">IF(ISNUMBER(Tabelle1!R132),Tabelle1!R132/'SF Workings'!BF131,"")</f>
        <v>164.547271639216</v>
      </c>
      <c r="Q131" s="23" t="n">
        <f aca="false">IF(ISNUMBER(Tabelle1!S132),Tabelle1!S132/'SF Workings'!BJ131,"")</f>
        <v>147.54003706097</v>
      </c>
      <c r="R131" s="23" t="n">
        <f aca="false">IFERROR(C131*'Weights &amp; Assumptions'!$F$6+D131*'Weights &amp; Assumptions'!$F$7,"")</f>
        <v>131.472789744165</v>
      </c>
      <c r="S131" s="23" t="n">
        <f aca="false">IFERROR(E131*'Weights &amp; Assumptions'!$F$8+F131*'Weights &amp; Assumptions'!$F$9+H131*'Weights &amp; Assumptions'!$F$11,"")</f>
        <v>134.00243304456</v>
      </c>
      <c r="T131" s="23" t="n">
        <f aca="false">IFERROR(G131*'Weights &amp; Assumptions'!$F$10+I131*'Weights &amp; Assumptions'!$F$12+J131*'Weights &amp; Assumptions'!$F$13+K131*'Weights &amp; Assumptions'!$F$14+L131*'Weights &amp; Assumptions'!$F$15+M131*'Weights &amp; Assumptions'!$F$16+N131*'Weights &amp; Assumptions'!$F$17+O131*'Weights &amp; Assumptions'!$F$18+P131*'Weights &amp; Assumptions'!$F$19+Q131*'Weights &amp; Assumptions'!$F$20,"")</f>
        <v>154.030128481266</v>
      </c>
      <c r="U131" s="23" t="n">
        <f aca="false">IFERROR(R131*'Weights &amp; Assumptions'!$B$25/'Weights &amp; Assumptions'!$B$28+S131*'Weights &amp; Assumptions'!$B$26/'Weights &amp; Assumptions'!$B$28+T131*'Weights &amp; Assumptions'!$B$27/'Weights &amp; Assumptions'!$B$28,"")</f>
        <v>146.811834925334</v>
      </c>
      <c r="V131" s="30" t="n">
        <f aca="false">IF(ISNUMBER(Tabelle1!E132),Tabelle1!E132*'Weights &amp; Assumptions'!$F$6+Tabelle1!F132*'Weights &amp; Assumptions'!$F$7,"")</f>
        <v>322.017572983159</v>
      </c>
      <c r="W131" s="30" t="n">
        <f aca="false">IF(ISNUMBER(Tabelle1!G132),Tabelle1!G132*'Weights &amp; Assumptions'!$F$8+Tabelle1!H132*'Weights &amp; Assumptions'!$F$9+Tabelle1!J132*'Weights &amp; Assumptions'!$F$11,"")</f>
        <v>136.999159829572</v>
      </c>
      <c r="X131" s="30" t="n">
        <f aca="false">IF(ISNUMBER(Tabelle1!I132),Tabelle1!I132*'Weights &amp; Assumptions'!$F$10+Tabelle1!K132*'Weights &amp; Assumptions'!$F$12+Tabelle1!L132*'Weights &amp; Assumptions'!$F$13+Tabelle1!M132*'Weights &amp; Assumptions'!$F$14+Tabelle1!N132*'Weights &amp; Assumptions'!$F$15+Tabelle1!O132*'Weights &amp; Assumptions'!$F$16+Tabelle1!P132*'Weights &amp; Assumptions'!$F$17+Tabelle1!Q132*'Weights &amp; Assumptions'!$F$18+Tabelle1!R132*'Weights &amp; Assumptions'!$F$19+Tabelle1!S132*'Weights &amp; Assumptions'!$F$20,"")</f>
        <v>156.792029605496</v>
      </c>
      <c r="Y131" s="23" t="n">
        <f aca="false">IFERROR(V131*'Weights &amp; Assumptions'!$B$25/'Weights &amp; Assumptions'!$B$28+W131*'Weights &amp; Assumptions'!$B$26/'Weights &amp; Assumptions'!$B$28+X131*'Weights &amp; Assumptions'!$B$27/'Weights &amp; Assumptions'!$B$28,"")</f>
        <v>165.391320376769</v>
      </c>
    </row>
    <row r="132" customFormat="false" ht="15" hidden="false" customHeight="false" outlineLevel="0" collapsed="false">
      <c r="A132" s="20" t="n">
        <v>41820</v>
      </c>
      <c r="B132" s="30" t="n">
        <f aca="false">IF(ISNUMBER(Tabelle1!D133),Tabelle1!D133,"")</f>
        <v>144.60801</v>
      </c>
      <c r="C132" s="23" t="n">
        <f aca="false">IF(ISNUMBER(Tabelle1!E133),Tabelle1!E133/'SF Workings'!F132,"")</f>
        <v>129.918756613992</v>
      </c>
      <c r="D132" s="23" t="n">
        <f aca="false">IF(ISNUMBER(Tabelle1!F133),Tabelle1!F133/'SF Workings'!J132,"")</f>
        <v>171.564116346573</v>
      </c>
      <c r="E132" s="23" t="n">
        <f aca="false">IF(ISNUMBER(Tabelle1!G133),Tabelle1!G133/'SF Workings'!N132,"")</f>
        <v>94.4071434793227</v>
      </c>
      <c r="F132" s="23" t="n">
        <f aca="false">IF(ISNUMBER(Tabelle1!H133),Tabelle1!H133/'SF Workings'!R132,"")</f>
        <v>134.065598025709</v>
      </c>
      <c r="G132" s="23" t="n">
        <f aca="false">IF(ISNUMBER(Tabelle1!I133),Tabelle1!I133/'SF Workings'!V132,"")</f>
        <v>138.886031655712</v>
      </c>
      <c r="H132" s="23" t="n">
        <f aca="false">IF(ISNUMBER(Tabelle1!J133),Tabelle1!J133/'SF Workings'!Z132,"")</f>
        <v>148.999934908288</v>
      </c>
      <c r="I132" s="23" t="n">
        <f aca="false">IF(ISNUMBER(Tabelle1!K133),Tabelle1!K133/'SF Workings'!AD132,"")</f>
        <v>147.926890707453</v>
      </c>
      <c r="J132" s="23" t="n">
        <f aca="false">IF(ISNUMBER(Tabelle1!L133),Tabelle1!L133/'SF Workings'!AH132,"")</f>
        <v>155.08473679945</v>
      </c>
      <c r="K132" s="23" t="n">
        <f aca="false">IF(ISNUMBER(Tabelle1!M133),Tabelle1!M133/'SF Workings'!AL132,"")</f>
        <v>183.887909347362</v>
      </c>
      <c r="L132" s="23" t="n">
        <f aca="false">IF(ISNUMBER(Tabelle1!N133),Tabelle1!N133/'SF Workings'!AP132,"")</f>
        <v>177.704559841478</v>
      </c>
      <c r="M132" s="23" t="n">
        <f aca="false">IF(ISNUMBER(Tabelle1!O133),Tabelle1!O133/'SF Workings'!AT132,"")</f>
        <v>135.428947310329</v>
      </c>
      <c r="N132" s="23" t="n">
        <f aca="false">IF(ISNUMBER(Tabelle1!P133),Tabelle1!P133/'SF Workings'!AX132,"")</f>
        <v>143.347898341948</v>
      </c>
      <c r="O132" s="23" t="n">
        <f aca="false">IF(ISNUMBER(Tabelle1!Q133),Tabelle1!Q133/'SF Workings'!BB132,"")</f>
        <v>147.09668626437</v>
      </c>
      <c r="P132" s="23" t="n">
        <f aca="false">IF(ISNUMBER(Tabelle1!R133),Tabelle1!R133/'SF Workings'!BF132,"")</f>
        <v>164.852829492654</v>
      </c>
      <c r="Q132" s="23" t="n">
        <f aca="false">IF(ISNUMBER(Tabelle1!S133),Tabelle1!S133/'SF Workings'!BJ132,"")</f>
        <v>145.421088503814</v>
      </c>
      <c r="R132" s="23" t="n">
        <f aca="false">IFERROR(C132*'Weights &amp; Assumptions'!$F$6+D132*'Weights &amp; Assumptions'!$F$7,"")</f>
        <v>130.429017871964</v>
      </c>
      <c r="S132" s="23" t="n">
        <f aca="false">IFERROR(E132*'Weights &amp; Assumptions'!$F$8+F132*'Weights &amp; Assumptions'!$F$9+H132*'Weights &amp; Assumptions'!$F$11,"")</f>
        <v>132.441644507844</v>
      </c>
      <c r="T132" s="23" t="n">
        <f aca="false">IFERROR(G132*'Weights &amp; Assumptions'!$F$10+I132*'Weights &amp; Assumptions'!$F$12+J132*'Weights &amp; Assumptions'!$F$13+K132*'Weights &amp; Assumptions'!$F$14+L132*'Weights &amp; Assumptions'!$F$15+M132*'Weights &amp; Assumptions'!$F$16+N132*'Weights &amp; Assumptions'!$F$17+O132*'Weights &amp; Assumptions'!$F$18+P132*'Weights &amp; Assumptions'!$F$19+Q132*'Weights &amp; Assumptions'!$F$20,"")</f>
        <v>153.564022932278</v>
      </c>
      <c r="U132" s="23" t="n">
        <f aca="false">IFERROR(R132*'Weights &amp; Assumptions'!$B$25/'Weights &amp; Assumptions'!$B$28+S132*'Weights &amp; Assumptions'!$B$26/'Weights &amp; Assumptions'!$B$28+T132*'Weights &amp; Assumptions'!$B$27/'Weights &amp; Assumptions'!$B$28,"")</f>
        <v>146.006167362555</v>
      </c>
      <c r="V132" s="30" t="n">
        <f aca="false">IF(ISNUMBER(Tabelle1!E133),Tabelle1!E133*'Weights &amp; Assumptions'!$F$6+Tabelle1!F133*'Weights &amp; Assumptions'!$F$7,"")</f>
        <v>214.894412255158</v>
      </c>
      <c r="W132" s="30" t="n">
        <f aca="false">IF(ISNUMBER(Tabelle1!G133),Tabelle1!G133*'Weights &amp; Assumptions'!$F$8+Tabelle1!H133*'Weights &amp; Assumptions'!$F$9+Tabelle1!J133*'Weights &amp; Assumptions'!$F$11,"")</f>
        <v>133.67598188528</v>
      </c>
      <c r="X132" s="30" t="n">
        <f aca="false">IF(ISNUMBER(Tabelle1!I133),Tabelle1!I133*'Weights &amp; Assumptions'!$F$10+Tabelle1!K133*'Weights &amp; Assumptions'!$F$12+Tabelle1!L133*'Weights &amp; Assumptions'!$F$13+Tabelle1!M133*'Weights &amp; Assumptions'!$F$14+Tabelle1!N133*'Weights &amp; Assumptions'!$F$15+Tabelle1!O133*'Weights &amp; Assumptions'!$F$16+Tabelle1!P133*'Weights &amp; Assumptions'!$F$17+Tabelle1!Q133*'Weights &amp; Assumptions'!$F$18+Tabelle1!R133*'Weights &amp; Assumptions'!$F$19+Tabelle1!S133*'Weights &amp; Assumptions'!$F$20,"")</f>
        <v>156.925052071309</v>
      </c>
      <c r="Y132" s="23" t="n">
        <f aca="false">IFERROR(V132*'Weights &amp; Assumptions'!$B$25/'Weights &amp; Assumptions'!$B$28+W132*'Weights &amp; Assumptions'!$B$26/'Weights &amp; Assumptions'!$B$28+X132*'Weights &amp; Assumptions'!$B$27/'Weights &amp; Assumptions'!$B$28,"")</f>
        <v>155.606395751679</v>
      </c>
    </row>
    <row r="133" customFormat="false" ht="15" hidden="false" customHeight="false" outlineLevel="0" collapsed="false">
      <c r="A133" s="20" t="n">
        <v>41851</v>
      </c>
      <c r="B133" s="30" t="n">
        <f aca="false">IF(ISNUMBER(Tabelle1!D134),Tabelle1!D134,"")</f>
        <v>144.0137</v>
      </c>
      <c r="C133" s="23" t="n">
        <f aca="false">IF(ISNUMBER(Tabelle1!E134),Tabelle1!E134/'SF Workings'!F133,"")</f>
        <v>126.19365711447</v>
      </c>
      <c r="D133" s="23" t="n">
        <f aca="false">IF(ISNUMBER(Tabelle1!F134),Tabelle1!F134/'SF Workings'!J133,"")</f>
        <v>130.077797477302</v>
      </c>
      <c r="E133" s="23" t="n">
        <f aca="false">IF(ISNUMBER(Tabelle1!G134),Tabelle1!G134/'SF Workings'!N133,"")</f>
        <v>93.0937419972696</v>
      </c>
      <c r="F133" s="23" t="n">
        <f aca="false">IF(ISNUMBER(Tabelle1!H134),Tabelle1!H134/'SF Workings'!R133,"")</f>
        <v>135.002475395902</v>
      </c>
      <c r="G133" s="23" t="n">
        <f aca="false">IF(ISNUMBER(Tabelle1!I134),Tabelle1!I134/'SF Workings'!V133,"")</f>
        <v>138.556343521063</v>
      </c>
      <c r="H133" s="23" t="n">
        <f aca="false">IF(ISNUMBER(Tabelle1!J134),Tabelle1!J134/'SF Workings'!Z133,"")</f>
        <v>145.732642578455</v>
      </c>
      <c r="I133" s="23" t="n">
        <f aca="false">IF(ISNUMBER(Tabelle1!K134),Tabelle1!K134/'SF Workings'!AD133,"")</f>
        <v>153.140926249426</v>
      </c>
      <c r="J133" s="23" t="n">
        <f aca="false">IF(ISNUMBER(Tabelle1!L134),Tabelle1!L134/'SF Workings'!AH133,"")</f>
        <v>156.425778646616</v>
      </c>
      <c r="K133" s="23" t="n">
        <f aca="false">IF(ISNUMBER(Tabelle1!M134),Tabelle1!M134/'SF Workings'!AL133,"")</f>
        <v>182.113436596373</v>
      </c>
      <c r="L133" s="23" t="n">
        <f aca="false">IF(ISNUMBER(Tabelle1!N134),Tabelle1!N134/'SF Workings'!AP133,"")</f>
        <v>178.170708615087</v>
      </c>
      <c r="M133" s="23" t="n">
        <f aca="false">IF(ISNUMBER(Tabelle1!O134),Tabelle1!O134/'SF Workings'!AT133,"")</f>
        <v>134.505274022405</v>
      </c>
      <c r="N133" s="23" t="n">
        <f aca="false">IF(ISNUMBER(Tabelle1!P134),Tabelle1!P134/'SF Workings'!AX133,"")</f>
        <v>144.031640389536</v>
      </c>
      <c r="O133" s="23" t="n">
        <f aca="false">IF(ISNUMBER(Tabelle1!Q134),Tabelle1!Q134/'SF Workings'!BB133,"")</f>
        <v>147.259232163324</v>
      </c>
      <c r="P133" s="23" t="n">
        <f aca="false">IF(ISNUMBER(Tabelle1!R134),Tabelle1!R134/'SF Workings'!BF133,"")</f>
        <v>164.698307588921</v>
      </c>
      <c r="Q133" s="23" t="n">
        <f aca="false">IF(ISNUMBER(Tabelle1!S134),Tabelle1!S134/'SF Workings'!BJ133,"")</f>
        <v>141.645666668156</v>
      </c>
      <c r="R133" s="23" t="n">
        <f aca="false">IFERROR(C133*'Weights &amp; Assumptions'!$F$6+D133*'Weights &amp; Assumptions'!$F$7,"")</f>
        <v>126.241247683033</v>
      </c>
      <c r="S133" s="23" t="n">
        <f aca="false">IFERROR(E133*'Weights &amp; Assumptions'!$F$8+F133*'Weights &amp; Assumptions'!$F$9+H133*'Weights &amp; Assumptions'!$F$11,"")</f>
        <v>132.234015893369</v>
      </c>
      <c r="T133" s="23" t="n">
        <f aca="false">IFERROR(G133*'Weights &amp; Assumptions'!$F$10+I133*'Weights &amp; Assumptions'!$F$12+J133*'Weights &amp; Assumptions'!$F$13+K133*'Weights &amp; Assumptions'!$F$14+L133*'Weights &amp; Assumptions'!$F$15+M133*'Weights &amp; Assumptions'!$F$16+N133*'Weights &amp; Assumptions'!$F$17+O133*'Weights &amp; Assumptions'!$F$18+P133*'Weights &amp; Assumptions'!$F$19+Q133*'Weights &amp; Assumptions'!$F$20,"")</f>
        <v>154.124887368604</v>
      </c>
      <c r="U133" s="23" t="n">
        <f aca="false">IFERROR(R133*'Weights &amp; Assumptions'!$B$25/'Weights &amp; Assumptions'!$B$28+S133*'Weights &amp; Assumptions'!$B$26/'Weights &amp; Assumptions'!$B$28+T133*'Weights &amp; Assumptions'!$B$27/'Weights &amp; Assumptions'!$B$28,"")</f>
        <v>145.964261675644</v>
      </c>
      <c r="V133" s="30" t="n">
        <f aca="false">IF(ISNUMBER(Tabelle1!E134),Tabelle1!E134*'Weights &amp; Assumptions'!$F$6+Tabelle1!F134*'Weights &amp; Assumptions'!$F$7,"")</f>
        <v>111.258049583438</v>
      </c>
      <c r="W133" s="30" t="n">
        <f aca="false">IF(ISNUMBER(Tabelle1!G134),Tabelle1!G134*'Weights &amp; Assumptions'!$F$8+Tabelle1!H134*'Weights &amp; Assumptions'!$F$9+Tabelle1!J134*'Weights &amp; Assumptions'!$F$11,"")</f>
        <v>134.32434395088</v>
      </c>
      <c r="X133" s="30" t="n">
        <f aca="false">IF(ISNUMBER(Tabelle1!I134),Tabelle1!I134*'Weights &amp; Assumptions'!$F$10+Tabelle1!K134*'Weights &amp; Assumptions'!$F$12+Tabelle1!L134*'Weights &amp; Assumptions'!$F$13+Tabelle1!M134*'Weights &amp; Assumptions'!$F$14+Tabelle1!N134*'Weights &amp; Assumptions'!$F$15+Tabelle1!O134*'Weights &amp; Assumptions'!$F$16+Tabelle1!P134*'Weights &amp; Assumptions'!$F$17+Tabelle1!Q134*'Weights &amp; Assumptions'!$F$18+Tabelle1!R134*'Weights &amp; Assumptions'!$F$19+Tabelle1!S134*'Weights &amp; Assumptions'!$F$20,"")</f>
        <v>156.352200334675</v>
      </c>
      <c r="Y133" s="23" t="n">
        <f aca="false">IFERROR(V133*'Weights &amp; Assumptions'!$B$25/'Weights &amp; Assumptions'!$B$28+W133*'Weights &amp; Assumptions'!$B$26/'Weights &amp; Assumptions'!$B$28+X133*'Weights &amp; Assumptions'!$B$27/'Weights &amp; Assumptions'!$B$28,"")</f>
        <v>146.711171760687</v>
      </c>
    </row>
    <row r="134" customFormat="false" ht="15" hidden="false" customHeight="false" outlineLevel="0" collapsed="false">
      <c r="A134" s="20" t="n">
        <v>41882</v>
      </c>
      <c r="B134" s="30" t="n">
        <f aca="false">IF(ISNUMBER(Tabelle1!D135),Tabelle1!D135,"")</f>
        <v>143.6319</v>
      </c>
      <c r="C134" s="23" t="n">
        <f aca="false">IF(ISNUMBER(Tabelle1!E135),Tabelle1!E135/'SF Workings'!F134,"")</f>
        <v>121.113250942087</v>
      </c>
      <c r="D134" s="23" t="n">
        <f aca="false">IF(ISNUMBER(Tabelle1!F135),Tabelle1!F135/'SF Workings'!J134,"")</f>
        <v>125.373302688217</v>
      </c>
      <c r="E134" s="23" t="n">
        <f aca="false">IF(ISNUMBER(Tabelle1!G135),Tabelle1!G135/'SF Workings'!N134,"")</f>
        <v>91.85162699461</v>
      </c>
      <c r="F134" s="23" t="n">
        <f aca="false">IF(ISNUMBER(Tabelle1!H135),Tabelle1!H135/'SF Workings'!R134,"")</f>
        <v>130.647777828859</v>
      </c>
      <c r="G134" s="23" t="n">
        <f aca="false">IF(ISNUMBER(Tabelle1!I135),Tabelle1!I135/'SF Workings'!V134,"")</f>
        <v>133.689855653558</v>
      </c>
      <c r="H134" s="23" t="n">
        <f aca="false">IF(ISNUMBER(Tabelle1!J135),Tabelle1!J135/'SF Workings'!Z134,"")</f>
        <v>141.233996443534</v>
      </c>
      <c r="I134" s="23" t="n">
        <f aca="false">IF(ISNUMBER(Tabelle1!K135),Tabelle1!K135/'SF Workings'!AD134,"")</f>
        <v>146.798405207588</v>
      </c>
      <c r="J134" s="23" t="n">
        <f aca="false">IF(ISNUMBER(Tabelle1!L135),Tabelle1!L135/'SF Workings'!AH134,"")</f>
        <v>157.968884322169</v>
      </c>
      <c r="K134" s="23" t="n">
        <f aca="false">IF(ISNUMBER(Tabelle1!M135),Tabelle1!M135/'SF Workings'!AL134,"")</f>
        <v>180.388250681404</v>
      </c>
      <c r="L134" s="23" t="n">
        <f aca="false">IF(ISNUMBER(Tabelle1!N135),Tabelle1!N135/'SF Workings'!AP134,"")</f>
        <v>173.395706554369</v>
      </c>
      <c r="M134" s="23" t="n">
        <f aca="false">IF(ISNUMBER(Tabelle1!O135),Tabelle1!O135/'SF Workings'!AT134,"")</f>
        <v>132.807694301498</v>
      </c>
      <c r="N134" s="23" t="n">
        <f aca="false">IF(ISNUMBER(Tabelle1!P135),Tabelle1!P135/'SF Workings'!AX134,"")</f>
        <v>144.720930543137</v>
      </c>
      <c r="O134" s="23" t="n">
        <f aca="false">IF(ISNUMBER(Tabelle1!Q135),Tabelle1!Q135/'SF Workings'!BB134,"")</f>
        <v>147.777587983107</v>
      </c>
      <c r="P134" s="23" t="n">
        <f aca="false">IF(ISNUMBER(Tabelle1!R135),Tabelle1!R135/'SF Workings'!BF134,"")</f>
        <v>165.61516033513</v>
      </c>
      <c r="Q134" s="23" t="n">
        <f aca="false">IF(ISNUMBER(Tabelle1!S135),Tabelle1!S135/'SF Workings'!BJ134,"")</f>
        <v>150.134472868139</v>
      </c>
      <c r="R134" s="23" t="n">
        <f aca="false">IFERROR(C134*'Weights &amp; Assumptions'!$F$6+D134*'Weights &amp; Assumptions'!$F$7,"")</f>
        <v>121.165447378304</v>
      </c>
      <c r="S134" s="23" t="n">
        <f aca="false">IFERROR(E134*'Weights &amp; Assumptions'!$F$8+F134*'Weights &amp; Assumptions'!$F$9+H134*'Weights &amp; Assumptions'!$F$11,"")</f>
        <v>128.220965667252</v>
      </c>
      <c r="T134" s="23" t="n">
        <f aca="false">IFERROR(G134*'Weights &amp; Assumptions'!$F$10+I134*'Weights &amp; Assumptions'!$F$12+J134*'Weights &amp; Assumptions'!$F$13+K134*'Weights &amp; Assumptions'!$F$14+L134*'Weights &amp; Assumptions'!$F$15+M134*'Weights &amp; Assumptions'!$F$16+N134*'Weights &amp; Assumptions'!$F$17+O134*'Weights &amp; Assumptions'!$F$18+P134*'Weights &amp; Assumptions'!$F$19+Q134*'Weights &amp; Assumptions'!$F$20,"")</f>
        <v>152.44195895126</v>
      </c>
      <c r="U134" s="23" t="n">
        <f aca="false">IFERROR(R134*'Weights &amp; Assumptions'!$B$25/'Weights &amp; Assumptions'!$B$28+S134*'Weights &amp; Assumptions'!$B$26/'Weights &amp; Assumptions'!$B$28+T134*'Weights &amp; Assumptions'!$B$27/'Weights &amp; Assumptions'!$B$28,"")</f>
        <v>143.377048391502</v>
      </c>
      <c r="V134" s="30" t="n">
        <f aca="false">IF(ISNUMBER(Tabelle1!E135),Tabelle1!E135*'Weights &amp; Assumptions'!$F$6+Tabelle1!F135*'Weights &amp; Assumptions'!$F$7,"")</f>
        <v>69.9517790904757</v>
      </c>
      <c r="W134" s="30" t="n">
        <f aca="false">IF(ISNUMBER(Tabelle1!G135),Tabelle1!G135*'Weights &amp; Assumptions'!$F$8+Tabelle1!H135*'Weights &amp; Assumptions'!$F$9+Tabelle1!J135*'Weights &amp; Assumptions'!$F$11,"")</f>
        <v>133.888091412804</v>
      </c>
      <c r="X134" s="30" t="n">
        <f aca="false">IF(ISNUMBER(Tabelle1!I135),Tabelle1!I135*'Weights &amp; Assumptions'!$F$10+Tabelle1!K135*'Weights &amp; Assumptions'!$F$12+Tabelle1!L135*'Weights &amp; Assumptions'!$F$13+Tabelle1!M135*'Weights &amp; Assumptions'!$F$14+Tabelle1!N135*'Weights &amp; Assumptions'!$F$15+Tabelle1!O135*'Weights &amp; Assumptions'!$F$16+Tabelle1!P135*'Weights &amp; Assumptions'!$F$17+Tabelle1!Q135*'Weights &amp; Assumptions'!$F$18+Tabelle1!R135*'Weights &amp; Assumptions'!$F$19+Tabelle1!S135*'Weights &amp; Assumptions'!$F$20,"")</f>
        <v>154.35023895897</v>
      </c>
      <c r="Y134" s="23" t="n">
        <f aca="false">IFERROR(V134*'Weights &amp; Assumptions'!$B$25/'Weights &amp; Assumptions'!$B$28+W134*'Weights &amp; Assumptions'!$B$26/'Weights &amp; Assumptions'!$B$28+X134*'Weights &amp; Assumptions'!$B$27/'Weights &amp; Assumptions'!$B$28,"")</f>
        <v>141.827895471049</v>
      </c>
    </row>
    <row r="135" customFormat="false" ht="15" hidden="false" customHeight="false" outlineLevel="0" collapsed="false">
      <c r="A135" s="20" t="n">
        <v>41912</v>
      </c>
      <c r="B135" s="30" t="n">
        <f aca="false">IF(ISNUMBER(Tabelle1!D136),Tabelle1!D136,"")</f>
        <v>143.52595</v>
      </c>
      <c r="C135" s="23" t="n">
        <f aca="false">IF(ISNUMBER(Tabelle1!E136),Tabelle1!E136/'SF Workings'!F135,"")</f>
        <v>127.56358161323</v>
      </c>
      <c r="D135" s="23" t="n">
        <f aca="false">IF(ISNUMBER(Tabelle1!F136),Tabelle1!F136/'SF Workings'!J135,"")</f>
        <v>142.40544309617</v>
      </c>
      <c r="E135" s="23" t="n">
        <f aca="false">IF(ISNUMBER(Tabelle1!G136),Tabelle1!G136/'SF Workings'!N135,"")</f>
        <v>92.9275116665052</v>
      </c>
      <c r="F135" s="23" t="n">
        <f aca="false">IF(ISNUMBER(Tabelle1!H136),Tabelle1!H136/'SF Workings'!R135,"")</f>
        <v>134.40857504822</v>
      </c>
      <c r="G135" s="23" t="n">
        <f aca="false">IF(ISNUMBER(Tabelle1!I136),Tabelle1!I136/'SF Workings'!V135,"")</f>
        <v>136.547665858719</v>
      </c>
      <c r="H135" s="23" t="n">
        <f aca="false">IF(ISNUMBER(Tabelle1!J136),Tabelle1!J136/'SF Workings'!Z135,"")</f>
        <v>145.835287868703</v>
      </c>
      <c r="I135" s="23" t="n">
        <f aca="false">IF(ISNUMBER(Tabelle1!K136),Tabelle1!K136/'SF Workings'!AD135,"")</f>
        <v>155.58375304949</v>
      </c>
      <c r="J135" s="23" t="n">
        <f aca="false">IF(ISNUMBER(Tabelle1!L136),Tabelle1!L136/'SF Workings'!AH135,"")</f>
        <v>157.974887726899</v>
      </c>
      <c r="K135" s="23" t="n">
        <f aca="false">IF(ISNUMBER(Tabelle1!M136),Tabelle1!M136/'SF Workings'!AL135,"")</f>
        <v>182.319921972941</v>
      </c>
      <c r="L135" s="23" t="n">
        <f aca="false">IF(ISNUMBER(Tabelle1!N136),Tabelle1!N136/'SF Workings'!AP135,"")</f>
        <v>178.366909947456</v>
      </c>
      <c r="M135" s="23" t="n">
        <f aca="false">IF(ISNUMBER(Tabelle1!O136),Tabelle1!O136/'SF Workings'!AT135,"")</f>
        <v>135.090886002774</v>
      </c>
      <c r="N135" s="23" t="n">
        <f aca="false">IF(ISNUMBER(Tabelle1!P136),Tabelle1!P136/'SF Workings'!AX135,"")</f>
        <v>145.04997243097</v>
      </c>
      <c r="O135" s="23" t="n">
        <f aca="false">IF(ISNUMBER(Tabelle1!Q136),Tabelle1!Q136/'SF Workings'!BB135,"")</f>
        <v>148.292219526522</v>
      </c>
      <c r="P135" s="23" t="n">
        <f aca="false">IF(ISNUMBER(Tabelle1!R136),Tabelle1!R136/'SF Workings'!BF135,"")</f>
        <v>165.754048619131</v>
      </c>
      <c r="Q135" s="23" t="n">
        <f aca="false">IF(ISNUMBER(Tabelle1!S136),Tabelle1!S136/'SF Workings'!BJ135,"")</f>
        <v>152.148273212819</v>
      </c>
      <c r="R135" s="23" t="n">
        <f aca="false">IFERROR(C135*'Weights &amp; Assumptions'!$F$6+D135*'Weights &amp; Assumptions'!$F$7,"")</f>
        <v>127.7454320513</v>
      </c>
      <c r="S135" s="23" t="n">
        <f aca="false">IFERROR(E135*'Weights &amp; Assumptions'!$F$8+F135*'Weights &amp; Assumptions'!$F$9+H135*'Weights &amp; Assumptions'!$F$11,"")</f>
        <v>131.836285273729</v>
      </c>
      <c r="T135" s="23" t="n">
        <f aca="false">IFERROR(G135*'Weights &amp; Assumptions'!$F$10+I135*'Weights &amp; Assumptions'!$F$12+J135*'Weights &amp; Assumptions'!$F$13+K135*'Weights &amp; Assumptions'!$F$14+L135*'Weights &amp; Assumptions'!$F$15+M135*'Weights &amp; Assumptions'!$F$16+N135*'Weights &amp; Assumptions'!$F$17+O135*'Weights &amp; Assumptions'!$F$18+P135*'Weights &amp; Assumptions'!$F$19+Q135*'Weights &amp; Assumptions'!$F$20,"")</f>
        <v>155.626112959771</v>
      </c>
      <c r="U135" s="23" t="n">
        <f aca="false">IFERROR(R135*'Weights &amp; Assumptions'!$B$25/'Weights &amp; Assumptions'!$B$28+S135*'Weights &amp; Assumptions'!$B$26/'Weights &amp; Assumptions'!$B$28+T135*'Weights &amp; Assumptions'!$B$27/'Weights &amp; Assumptions'!$B$28,"")</f>
        <v>146.960769882938</v>
      </c>
      <c r="V135" s="30" t="n">
        <f aca="false">IF(ISNUMBER(Tabelle1!E136),Tabelle1!E136*'Weights &amp; Assumptions'!$F$6+Tabelle1!F136*'Weights &amp; Assumptions'!$F$7,"")</f>
        <v>68.6911698661518</v>
      </c>
      <c r="W135" s="30" t="n">
        <f aca="false">IF(ISNUMBER(Tabelle1!G136),Tabelle1!G136*'Weights &amp; Assumptions'!$F$8+Tabelle1!H136*'Weights &amp; Assumptions'!$F$9+Tabelle1!J136*'Weights &amp; Assumptions'!$F$11,"")</f>
        <v>136.074874506164</v>
      </c>
      <c r="X135" s="30" t="n">
        <f aca="false">IF(ISNUMBER(Tabelle1!I136),Tabelle1!I136*'Weights &amp; Assumptions'!$F$10+Tabelle1!K136*'Weights &amp; Assumptions'!$F$12+Tabelle1!L136*'Weights &amp; Assumptions'!$F$13+Tabelle1!M136*'Weights &amp; Assumptions'!$F$14+Tabelle1!N136*'Weights &amp; Assumptions'!$F$15+Tabelle1!O136*'Weights &amp; Assumptions'!$F$16+Tabelle1!P136*'Weights &amp; Assumptions'!$F$17+Tabelle1!Q136*'Weights &amp; Assumptions'!$F$18+Tabelle1!R136*'Weights &amp; Assumptions'!$F$19+Tabelle1!S136*'Weights &amp; Assumptions'!$F$20,"")</f>
        <v>155.500736963363</v>
      </c>
      <c r="Y135" s="23" t="n">
        <f aca="false">IFERROR(V135*'Weights &amp; Assumptions'!$B$25/'Weights &amp; Assumptions'!$B$28+W135*'Weights &amp; Assumptions'!$B$26/'Weights &amp; Assumptions'!$B$28+X135*'Weights &amp; Assumptions'!$B$27/'Weights &amp; Assumptions'!$B$28,"")</f>
        <v>143.051665879588</v>
      </c>
    </row>
    <row r="136" customFormat="false" ht="15" hidden="false" customHeight="false" outlineLevel="0" collapsed="false">
      <c r="A136" s="20" t="n">
        <v>41943</v>
      </c>
      <c r="B136" s="30" t="n">
        <f aca="false">IF(ISNUMBER(Tabelle1!D137),Tabelle1!D137,"")</f>
        <v>143.84982</v>
      </c>
      <c r="C136" s="23" t="n">
        <f aca="false">IF(ISNUMBER(Tabelle1!E137),Tabelle1!E137/'SF Workings'!F136,"")</f>
        <v>120.916855625931</v>
      </c>
      <c r="D136" s="23" t="n">
        <f aca="false">IF(ISNUMBER(Tabelle1!F137),Tabelle1!F137/'SF Workings'!J136,"")</f>
        <v>169.517577740506</v>
      </c>
      <c r="E136" s="23" t="n">
        <f aca="false">IF(ISNUMBER(Tabelle1!G137),Tabelle1!G137/'SF Workings'!N136,"")</f>
        <v>93.5762302802291</v>
      </c>
      <c r="F136" s="23" t="n">
        <f aca="false">IF(ISNUMBER(Tabelle1!H137),Tabelle1!H137/'SF Workings'!R136,"")</f>
        <v>134.767831597143</v>
      </c>
      <c r="G136" s="23" t="n">
        <f aca="false">IF(ISNUMBER(Tabelle1!I137),Tabelle1!I137/'SF Workings'!V136,"")</f>
        <v>145.035440216759</v>
      </c>
      <c r="H136" s="23" t="n">
        <f aca="false">IF(ISNUMBER(Tabelle1!J137),Tabelle1!J137/'SF Workings'!Z136,"")</f>
        <v>145.191650075858</v>
      </c>
      <c r="I136" s="23" t="n">
        <f aca="false">IF(ISNUMBER(Tabelle1!K137),Tabelle1!K137/'SF Workings'!AD136,"")</f>
        <v>154.961242469839</v>
      </c>
      <c r="J136" s="23" t="n">
        <f aca="false">IF(ISNUMBER(Tabelle1!L137),Tabelle1!L137/'SF Workings'!AH136,"")</f>
        <v>159.260780509539</v>
      </c>
      <c r="K136" s="23" t="n">
        <f aca="false">IF(ISNUMBER(Tabelle1!M137),Tabelle1!M137/'SF Workings'!AL136,"")</f>
        <v>183.908617348427</v>
      </c>
      <c r="L136" s="23" t="n">
        <f aca="false">IF(ISNUMBER(Tabelle1!N137),Tabelle1!N137/'SF Workings'!AP136,"")</f>
        <v>177.991421105844</v>
      </c>
      <c r="M136" s="23" t="n">
        <f aca="false">IF(ISNUMBER(Tabelle1!O137),Tabelle1!O137/'SF Workings'!AT136,"")</f>
        <v>134.440782613487</v>
      </c>
      <c r="N136" s="23" t="n">
        <f aca="false">IF(ISNUMBER(Tabelle1!P137),Tabelle1!P137/'SF Workings'!AX136,"")</f>
        <v>145.18949365893</v>
      </c>
      <c r="O136" s="23" t="n">
        <f aca="false">IF(ISNUMBER(Tabelle1!Q137),Tabelle1!Q137/'SF Workings'!BB136,"")</f>
        <v>149.283380881813</v>
      </c>
      <c r="P136" s="23" t="n">
        <f aca="false">IF(ISNUMBER(Tabelle1!R137),Tabelle1!R137/'SF Workings'!BF136,"")</f>
        <v>167.109668544038</v>
      </c>
      <c r="Q136" s="23" t="n">
        <f aca="false">IF(ISNUMBER(Tabelle1!S137),Tabelle1!S137/'SF Workings'!BJ136,"")</f>
        <v>149.944075746251</v>
      </c>
      <c r="R136" s="23" t="n">
        <f aca="false">IFERROR(C136*'Weights &amp; Assumptions'!$F$6+D136*'Weights &amp; Assumptions'!$F$7,"")</f>
        <v>121.51233770998</v>
      </c>
      <c r="S136" s="23" t="n">
        <f aca="false">IFERROR(E136*'Weights &amp; Assumptions'!$F$8+F136*'Weights &amp; Assumptions'!$F$9+H136*'Weights &amp; Assumptions'!$F$11,"")</f>
        <v>132.021176351742</v>
      </c>
      <c r="T136" s="23" t="n">
        <f aca="false">IFERROR(G136*'Weights &amp; Assumptions'!$F$10+I136*'Weights &amp; Assumptions'!$F$12+J136*'Weights &amp; Assumptions'!$F$13+K136*'Weights &amp; Assumptions'!$F$14+L136*'Weights &amp; Assumptions'!$F$15+M136*'Weights &amp; Assumptions'!$F$16+N136*'Weights &amp; Assumptions'!$F$17+O136*'Weights &amp; Assumptions'!$F$18+P136*'Weights &amp; Assumptions'!$F$19+Q136*'Weights &amp; Assumptions'!$F$20,"")</f>
        <v>155.934755908965</v>
      </c>
      <c r="U136" s="23" t="n">
        <f aca="false">IFERROR(R136*'Weights &amp; Assumptions'!$B$25/'Weights &amp; Assumptions'!$B$28+S136*'Weights &amp; Assumptions'!$B$26/'Weights &amp; Assumptions'!$B$28+T136*'Weights &amp; Assumptions'!$B$27/'Weights &amp; Assumptions'!$B$28,"")</f>
        <v>146.68764784517</v>
      </c>
      <c r="V136" s="30" t="n">
        <f aca="false">IF(ISNUMBER(Tabelle1!E137),Tabelle1!E137*'Weights &amp; Assumptions'!$F$6+Tabelle1!F137*'Weights &amp; Assumptions'!$F$7,"")</f>
        <v>71.1230454460614</v>
      </c>
      <c r="W136" s="30" t="n">
        <f aca="false">IF(ISNUMBER(Tabelle1!G137),Tabelle1!G137*'Weights &amp; Assumptions'!$F$8+Tabelle1!H137*'Weights &amp; Assumptions'!$F$9+Tabelle1!J137*'Weights &amp; Assumptions'!$F$11,"")</f>
        <v>138.460886160433</v>
      </c>
      <c r="X136" s="30" t="n">
        <f aca="false">IF(ISNUMBER(Tabelle1!I137),Tabelle1!I137*'Weights &amp; Assumptions'!$F$10+Tabelle1!K137*'Weights &amp; Assumptions'!$F$12+Tabelle1!L137*'Weights &amp; Assumptions'!$F$13+Tabelle1!M137*'Weights &amp; Assumptions'!$F$14+Tabelle1!N137*'Weights &amp; Assumptions'!$F$15+Tabelle1!O137*'Weights &amp; Assumptions'!$F$16+Tabelle1!P137*'Weights &amp; Assumptions'!$F$17+Tabelle1!Q137*'Weights &amp; Assumptions'!$F$18+Tabelle1!R137*'Weights &amp; Assumptions'!$F$19+Tabelle1!S137*'Weights &amp; Assumptions'!$F$20,"")</f>
        <v>156.950417103677</v>
      </c>
      <c r="Y136" s="23" t="n">
        <f aca="false">IFERROR(V136*'Weights &amp; Assumptions'!$B$25/'Weights &amp; Assumptions'!$B$28+W136*'Weights &amp; Assumptions'!$B$26/'Weights &amp; Assumptions'!$B$28+X136*'Weights &amp; Assumptions'!$B$27/'Weights &amp; Assumptions'!$B$28,"")</f>
        <v>144.83273994022</v>
      </c>
    </row>
    <row r="137" customFormat="false" ht="15" hidden="false" customHeight="false" outlineLevel="0" collapsed="false">
      <c r="A137" s="20" t="n">
        <v>41973</v>
      </c>
      <c r="B137" s="30" t="n">
        <f aca="false">IF(ISNUMBER(Tabelle1!D138),Tabelle1!D138,"")</f>
        <v>144.81113</v>
      </c>
      <c r="C137" s="23" t="n">
        <f aca="false">IF(ISNUMBER(Tabelle1!E138),Tabelle1!E138/'SF Workings'!F137,"")</f>
        <v>121.120505535763</v>
      </c>
      <c r="D137" s="23" t="n">
        <f aca="false">IF(ISNUMBER(Tabelle1!F138),Tabelle1!F138/'SF Workings'!J137,"")</f>
        <v>178.652547983541</v>
      </c>
      <c r="E137" s="23" t="n">
        <f aca="false">IF(ISNUMBER(Tabelle1!G138),Tabelle1!G138/'SF Workings'!N137,"")</f>
        <v>93.6677891698373</v>
      </c>
      <c r="F137" s="23" t="n">
        <f aca="false">IF(ISNUMBER(Tabelle1!H138),Tabelle1!H138/'SF Workings'!R137,"")</f>
        <v>132.458587197806</v>
      </c>
      <c r="G137" s="23" t="n">
        <f aca="false">IF(ISNUMBER(Tabelle1!I138),Tabelle1!I138/'SF Workings'!V137,"")</f>
        <v>141.761025242111</v>
      </c>
      <c r="H137" s="23" t="n">
        <f aca="false">IF(ISNUMBER(Tabelle1!J138),Tabelle1!J138/'SF Workings'!Z137,"")</f>
        <v>145.038855789345</v>
      </c>
      <c r="I137" s="23" t="n">
        <f aca="false">IF(ISNUMBER(Tabelle1!K138),Tabelle1!K138/'SF Workings'!AD137,"")</f>
        <v>146.917542271798</v>
      </c>
      <c r="J137" s="23" t="n">
        <f aca="false">IF(ISNUMBER(Tabelle1!L138),Tabelle1!L138/'SF Workings'!AH137,"")</f>
        <v>158.029686979354</v>
      </c>
      <c r="K137" s="23" t="n">
        <f aca="false">IF(ISNUMBER(Tabelle1!M138),Tabelle1!M138/'SF Workings'!AL137,"")</f>
        <v>183.208468487891</v>
      </c>
      <c r="L137" s="23" t="n">
        <f aca="false">IF(ISNUMBER(Tabelle1!N138),Tabelle1!N138/'SF Workings'!AP137,"")</f>
        <v>171.499537672299</v>
      </c>
      <c r="M137" s="23" t="n">
        <f aca="false">IF(ISNUMBER(Tabelle1!O138),Tabelle1!O138/'SF Workings'!AT137,"")</f>
        <v>133.050239783611</v>
      </c>
      <c r="N137" s="23" t="n">
        <f aca="false">IF(ISNUMBER(Tabelle1!P138),Tabelle1!P138/'SF Workings'!AX137,"")</f>
        <v>145.547195181721</v>
      </c>
      <c r="O137" s="23" t="n">
        <f aca="false">IF(ISNUMBER(Tabelle1!Q138),Tabelle1!Q138/'SF Workings'!BB137,"")</f>
        <v>149.209192894113</v>
      </c>
      <c r="P137" s="23" t="n">
        <f aca="false">IF(ISNUMBER(Tabelle1!R138),Tabelle1!R138/'SF Workings'!BF137,"")</f>
        <v>167.362581420821</v>
      </c>
      <c r="Q137" s="23" t="n">
        <f aca="false">IF(ISNUMBER(Tabelle1!S138),Tabelle1!S138/'SF Workings'!BJ137,"")</f>
        <v>151.617398622547</v>
      </c>
      <c r="R137" s="23" t="n">
        <f aca="false">IFERROR(C137*'Weights &amp; Assumptions'!$F$6+D137*'Weights &amp; Assumptions'!$F$7,"")</f>
        <v>121.82541894128</v>
      </c>
      <c r="S137" s="23" t="n">
        <f aca="false">IFERROR(E137*'Weights &amp; Assumptions'!$F$8+F137*'Weights &amp; Assumptions'!$F$9+H137*'Weights &amp; Assumptions'!$F$11,"")</f>
        <v>130.447821855774</v>
      </c>
      <c r="T137" s="23" t="n">
        <f aca="false">IFERROR(G137*'Weights &amp; Assumptions'!$F$10+I137*'Weights &amp; Assumptions'!$F$12+J137*'Weights &amp; Assumptions'!$F$13+K137*'Weights &amp; Assumptions'!$F$14+L137*'Weights &amp; Assumptions'!$F$15+M137*'Weights &amp; Assumptions'!$F$16+N137*'Weights &amp; Assumptions'!$F$17+O137*'Weights &amp; Assumptions'!$F$18+P137*'Weights &amp; Assumptions'!$F$19+Q137*'Weights &amp; Assumptions'!$F$20,"")</f>
        <v>153.405722519301</v>
      </c>
      <c r="U137" s="23" t="n">
        <f aca="false">IFERROR(R137*'Weights &amp; Assumptions'!$B$25/'Weights &amp; Assumptions'!$B$28+S137*'Weights &amp; Assumptions'!$B$26/'Weights &amp; Assumptions'!$B$28+T137*'Weights &amp; Assumptions'!$B$27/'Weights &amp; Assumptions'!$B$28,"")</f>
        <v>144.651201949198</v>
      </c>
      <c r="V137" s="30" t="n">
        <f aca="false">IF(ISNUMBER(Tabelle1!E138),Tabelle1!E138*'Weights &amp; Assumptions'!$F$6+Tabelle1!F138*'Weights &amp; Assumptions'!$F$7,"")</f>
        <v>84.6589922642162</v>
      </c>
      <c r="W137" s="30" t="n">
        <f aca="false">IF(ISNUMBER(Tabelle1!G138),Tabelle1!G138*'Weights &amp; Assumptions'!$F$8+Tabelle1!H138*'Weights &amp; Assumptions'!$F$9+Tabelle1!J138*'Weights &amp; Assumptions'!$F$11,"")</f>
        <v>134.599865763092</v>
      </c>
      <c r="X137" s="30" t="n">
        <f aca="false">IF(ISNUMBER(Tabelle1!I138),Tabelle1!I138*'Weights &amp; Assumptions'!$F$10+Tabelle1!K138*'Weights &amp; Assumptions'!$F$12+Tabelle1!L138*'Weights &amp; Assumptions'!$F$13+Tabelle1!M138*'Weights &amp; Assumptions'!$F$14+Tabelle1!N138*'Weights &amp; Assumptions'!$F$15+Tabelle1!O138*'Weights &amp; Assumptions'!$F$16+Tabelle1!P138*'Weights &amp; Assumptions'!$F$17+Tabelle1!Q138*'Weights &amp; Assumptions'!$F$18+Tabelle1!R138*'Weights &amp; Assumptions'!$F$19+Tabelle1!S138*'Weights &amp; Assumptions'!$F$20,"")</f>
        <v>154.357227299176</v>
      </c>
      <c r="Y137" s="23" t="n">
        <f aca="false">IFERROR(V137*'Weights &amp; Assumptions'!$B$25/'Weights &amp; Assumptions'!$B$28+W137*'Weights &amp; Assumptions'!$B$26/'Weights &amp; Assumptions'!$B$28+X137*'Weights &amp; Assumptions'!$B$27/'Weights &amp; Assumptions'!$B$28,"")</f>
        <v>143.25565981969</v>
      </c>
    </row>
    <row r="138" customFormat="false" ht="15" hidden="false" customHeight="false" outlineLevel="0" collapsed="false">
      <c r="A138" s="20" t="n">
        <v>42004</v>
      </c>
      <c r="B138" s="30" t="n">
        <f aca="false">IF(ISNUMBER(Tabelle1!D139),Tabelle1!D139,"")</f>
        <v>144.90914</v>
      </c>
      <c r="C138" s="23" t="n">
        <f aca="false">IF(ISNUMBER(Tabelle1!E139),Tabelle1!E139/'SF Workings'!F138,"")</f>
        <v>118.465432787557</v>
      </c>
      <c r="D138" s="23" t="n">
        <f aca="false">IF(ISNUMBER(Tabelle1!F139),Tabelle1!F139/'SF Workings'!J138,"")</f>
        <v>139.195683001339</v>
      </c>
      <c r="E138" s="23" t="n">
        <f aca="false">IF(ISNUMBER(Tabelle1!G139),Tabelle1!G139/'SF Workings'!N138,"")</f>
        <v>94.8661479830523</v>
      </c>
      <c r="F138" s="23" t="n">
        <f aca="false">IF(ISNUMBER(Tabelle1!H139),Tabelle1!H139/'SF Workings'!R138,"")</f>
        <v>135.043688637426</v>
      </c>
      <c r="G138" s="23" t="n">
        <f aca="false">IF(ISNUMBER(Tabelle1!I139),Tabelle1!I139/'SF Workings'!V138,"")</f>
        <v>137.065006771462</v>
      </c>
      <c r="H138" s="23" t="n">
        <f aca="false">IF(ISNUMBER(Tabelle1!J139),Tabelle1!J139/'SF Workings'!Z138,"")</f>
        <v>148.346466098711</v>
      </c>
      <c r="I138" s="23" t="n">
        <f aca="false">IF(ISNUMBER(Tabelle1!K139),Tabelle1!K139/'SF Workings'!AD138,"")</f>
        <v>155.936547316633</v>
      </c>
      <c r="J138" s="23" t="n">
        <f aca="false">IF(ISNUMBER(Tabelle1!L139),Tabelle1!L139/'SF Workings'!AH138,"")</f>
        <v>158.544641963406</v>
      </c>
      <c r="K138" s="23" t="n">
        <f aca="false">IF(ISNUMBER(Tabelle1!M139),Tabelle1!M139/'SF Workings'!AL138,"")</f>
        <v>184.583198359321</v>
      </c>
      <c r="L138" s="23" t="n">
        <f aca="false">IF(ISNUMBER(Tabelle1!N139),Tabelle1!N139/'SF Workings'!AP138,"")</f>
        <v>171.155244036578</v>
      </c>
      <c r="M138" s="23" t="n">
        <f aca="false">IF(ISNUMBER(Tabelle1!O139),Tabelle1!O139/'SF Workings'!AT138,"")</f>
        <v>134.342325485667</v>
      </c>
      <c r="N138" s="23" t="n">
        <f aca="false">IF(ISNUMBER(Tabelle1!P139),Tabelle1!P139/'SF Workings'!AX138,"")</f>
        <v>146.079208193571</v>
      </c>
      <c r="O138" s="23" t="n">
        <f aca="false">IF(ISNUMBER(Tabelle1!Q139),Tabelle1!Q139/'SF Workings'!BB138,"")</f>
        <v>148.836474688365</v>
      </c>
      <c r="P138" s="23" t="n">
        <f aca="false">IF(ISNUMBER(Tabelle1!R139),Tabelle1!R139/'SF Workings'!BF138,"")</f>
        <v>167.537735378164</v>
      </c>
      <c r="Q138" s="23" t="n">
        <f aca="false">IF(ISNUMBER(Tabelle1!S139),Tabelle1!S139/'SF Workings'!BJ138,"")</f>
        <v>152.495302764159</v>
      </c>
      <c r="R138" s="23" t="n">
        <f aca="false">IFERROR(C138*'Weights &amp; Assumptions'!$F$6+D138*'Weights &amp; Assumptions'!$F$7,"")</f>
        <v>118.719430918923</v>
      </c>
      <c r="S138" s="23" t="n">
        <f aca="false">IFERROR(E138*'Weights &amp; Assumptions'!$F$8+F138*'Weights &amp; Assumptions'!$F$9+H138*'Weights &amp; Assumptions'!$F$11,"")</f>
        <v>133.017865064921</v>
      </c>
      <c r="T138" s="23" t="n">
        <f aca="false">IFERROR(G138*'Weights &amp; Assumptions'!$F$10+I138*'Weights &amp; Assumptions'!$F$12+J138*'Weights &amp; Assumptions'!$F$13+K138*'Weights &amp; Assumptions'!$F$14+L138*'Weights &amp; Assumptions'!$F$15+M138*'Weights &amp; Assumptions'!$F$16+N138*'Weights &amp; Assumptions'!$F$17+O138*'Weights &amp; Assumptions'!$F$18+P138*'Weights &amp; Assumptions'!$F$19+Q138*'Weights &amp; Assumptions'!$F$20,"")</f>
        <v>155.652632241695</v>
      </c>
      <c r="U138" s="23" t="n">
        <f aca="false">IFERROR(R138*'Weights &amp; Assumptions'!$B$25/'Weights &amp; Assumptions'!$B$28+S138*'Weights &amp; Assumptions'!$B$26/'Weights &amp; Assumptions'!$B$28+T138*'Weights &amp; Assumptions'!$B$27/'Weights &amp; Assumptions'!$B$28,"")</f>
        <v>146.534925934812</v>
      </c>
      <c r="V138" s="30" t="n">
        <f aca="false">IF(ISNUMBER(Tabelle1!E139),Tabelle1!E139*'Weights &amp; Assumptions'!$F$6+Tabelle1!F139*'Weights &amp; Assumptions'!$F$7,"")</f>
        <v>88.3752914543331</v>
      </c>
      <c r="W138" s="30" t="n">
        <f aca="false">IF(ISNUMBER(Tabelle1!G139),Tabelle1!G139*'Weights &amp; Assumptions'!$F$8+Tabelle1!H139*'Weights &amp; Assumptions'!$F$9+Tabelle1!J139*'Weights &amp; Assumptions'!$F$11,"")</f>
        <v>130.46638598395</v>
      </c>
      <c r="X138" s="30" t="n">
        <f aca="false">IF(ISNUMBER(Tabelle1!I139),Tabelle1!I139*'Weights &amp; Assumptions'!$F$10+Tabelle1!K139*'Weights &amp; Assumptions'!$F$12+Tabelle1!L139*'Weights &amp; Assumptions'!$F$13+Tabelle1!M139*'Weights &amp; Assumptions'!$F$14+Tabelle1!N139*'Weights &amp; Assumptions'!$F$15+Tabelle1!O139*'Weights &amp; Assumptions'!$F$16+Tabelle1!P139*'Weights &amp; Assumptions'!$F$17+Tabelle1!Q139*'Weights &amp; Assumptions'!$F$18+Tabelle1!R139*'Weights &amp; Assumptions'!$F$19+Tabelle1!S139*'Weights &amp; Assumptions'!$F$20,"")</f>
        <v>154.000085817947</v>
      </c>
      <c r="Y138" s="23" t="n">
        <f aca="false">IFERROR(V138*'Weights &amp; Assumptions'!$B$25/'Weights &amp; Assumptions'!$B$28+W138*'Weights &amp; Assumptions'!$B$26/'Weights &amp; Assumptions'!$B$28+X138*'Weights &amp; Assumptions'!$B$27/'Weights &amp; Assumptions'!$B$28,"")</f>
        <v>142.236089081582</v>
      </c>
    </row>
    <row r="139" customFormat="false" ht="15" hidden="false" customHeight="false" outlineLevel="0" collapsed="false">
      <c r="A139" s="20" t="n">
        <v>42035</v>
      </c>
      <c r="B139" s="30" t="n">
        <f aca="false">IF(ISNUMBER(Tabelle1!D140),Tabelle1!D140,"")</f>
        <v>144.24479</v>
      </c>
      <c r="C139" s="23" t="n">
        <f aca="false">IF(ISNUMBER(Tabelle1!E140),Tabelle1!E140/'SF Workings'!F139,"")</f>
        <v>113.090948852086</v>
      </c>
      <c r="D139" s="23" t="n">
        <f aca="false">IF(ISNUMBER(Tabelle1!F140),Tabelle1!F140/'SF Workings'!J139,"")</f>
        <v>109.442527208308</v>
      </c>
      <c r="E139" s="23" t="n">
        <f aca="false">IF(ISNUMBER(Tabelle1!G140),Tabelle1!G140/'SF Workings'!N139,"")</f>
        <v>95.6083498978068</v>
      </c>
      <c r="F139" s="23" t="n">
        <f aca="false">IF(ISNUMBER(Tabelle1!H140),Tabelle1!H140/'SF Workings'!R139,"")</f>
        <v>134.562183576802</v>
      </c>
      <c r="G139" s="23" t="n">
        <f aca="false">IF(ISNUMBER(Tabelle1!I140),Tabelle1!I140/'SF Workings'!V139,"")</f>
        <v>139.459600388665</v>
      </c>
      <c r="H139" s="23" t="n">
        <f aca="false">IF(ISNUMBER(Tabelle1!J140),Tabelle1!J140/'SF Workings'!Z139,"")</f>
        <v>146.130193546178</v>
      </c>
      <c r="I139" s="23" t="n">
        <f aca="false">IF(ISNUMBER(Tabelle1!K140),Tabelle1!K140/'SF Workings'!AD139,"")</f>
        <v>150.214274833124</v>
      </c>
      <c r="J139" s="23" t="n">
        <f aca="false">IF(ISNUMBER(Tabelle1!L140),Tabelle1!L140/'SF Workings'!AH139,"")</f>
        <v>161.347079638616</v>
      </c>
      <c r="K139" s="23" t="n">
        <f aca="false">IF(ISNUMBER(Tabelle1!M140),Tabelle1!M140/'SF Workings'!AL139,"")</f>
        <v>182.037338435088</v>
      </c>
      <c r="L139" s="23" t="n">
        <f aca="false">IF(ISNUMBER(Tabelle1!N140),Tabelle1!N140/'SF Workings'!AP139,"")</f>
        <v>172.990544645162</v>
      </c>
      <c r="M139" s="23" t="n">
        <f aca="false">IF(ISNUMBER(Tabelle1!O140),Tabelle1!O140/'SF Workings'!AT139,"")</f>
        <v>134.374329107437</v>
      </c>
      <c r="N139" s="23" t="n">
        <f aca="false">IF(ISNUMBER(Tabelle1!P140),Tabelle1!P140/'SF Workings'!AX139,"")</f>
        <v>146.37593097006</v>
      </c>
      <c r="O139" s="23" t="n">
        <f aca="false">IF(ISNUMBER(Tabelle1!Q140),Tabelle1!Q140/'SF Workings'!BB139,"")</f>
        <v>149.84804839859</v>
      </c>
      <c r="P139" s="23" t="n">
        <f aca="false">IF(ISNUMBER(Tabelle1!R140),Tabelle1!R140/'SF Workings'!BF139,"")</f>
        <v>167.824804928997</v>
      </c>
      <c r="Q139" s="23" t="n">
        <f aca="false">IF(ISNUMBER(Tabelle1!S140),Tabelle1!S140/'SF Workings'!BJ139,"")</f>
        <v>149.544688011925</v>
      </c>
      <c r="R139" s="23" t="n">
        <f aca="false">IFERROR(C139*'Weights &amp; Assumptions'!$F$6+D139*'Weights &amp; Assumptions'!$F$7,"")</f>
        <v>113.04624643555</v>
      </c>
      <c r="S139" s="23" t="n">
        <f aca="false">IFERROR(E139*'Weights &amp; Assumptions'!$F$8+F139*'Weights &amp; Assumptions'!$F$9+H139*'Weights &amp; Assumptions'!$F$11,"")</f>
        <v>132.321074772454</v>
      </c>
      <c r="T139" s="23" t="n">
        <f aca="false">IFERROR(G139*'Weights &amp; Assumptions'!$F$10+I139*'Weights &amp; Assumptions'!$F$12+J139*'Weights &amp; Assumptions'!$F$13+K139*'Weights &amp; Assumptions'!$F$14+L139*'Weights &amp; Assumptions'!$F$15+M139*'Weights &amp; Assumptions'!$F$16+N139*'Weights &amp; Assumptions'!$F$17+O139*'Weights &amp; Assumptions'!$F$18+P139*'Weights &amp; Assumptions'!$F$19+Q139*'Weights &amp; Assumptions'!$F$20,"")</f>
        <v>154.424836605877</v>
      </c>
      <c r="U139" s="23" t="n">
        <f aca="false">IFERROR(R139*'Weights &amp; Assumptions'!$B$25/'Weights &amp; Assumptions'!$B$28+S139*'Weights &amp; Assumptions'!$B$26/'Weights &amp; Assumptions'!$B$28+T139*'Weights &amp; Assumptions'!$B$27/'Weights &amp; Assumptions'!$B$28,"")</f>
        <v>145.075362071726</v>
      </c>
      <c r="V139" s="30" t="n">
        <f aca="false">IF(ISNUMBER(Tabelle1!E140),Tabelle1!E140*'Weights &amp; Assumptions'!$F$6+Tabelle1!F140*'Weights &amp; Assumptions'!$F$7,"")</f>
        <v>61.1716911591042</v>
      </c>
      <c r="W139" s="30" t="n">
        <f aca="false">IF(ISNUMBER(Tabelle1!G140),Tabelle1!G140*'Weights &amp; Assumptions'!$F$8+Tabelle1!H140*'Weights &amp; Assumptions'!$F$9+Tabelle1!J140*'Weights &amp; Assumptions'!$F$11,"")</f>
        <v>121.431466241134</v>
      </c>
      <c r="X139" s="30" t="n">
        <f aca="false">IF(ISNUMBER(Tabelle1!I140),Tabelle1!I140*'Weights &amp; Assumptions'!$F$10+Tabelle1!K140*'Weights &amp; Assumptions'!$F$12+Tabelle1!L140*'Weights &amp; Assumptions'!$F$13+Tabelle1!M140*'Weights &amp; Assumptions'!$F$14+Tabelle1!N140*'Weights &amp; Assumptions'!$F$15+Tabelle1!O140*'Weights &amp; Assumptions'!$F$16+Tabelle1!P140*'Weights &amp; Assumptions'!$F$17+Tabelle1!Q140*'Weights &amp; Assumptions'!$F$18+Tabelle1!R140*'Weights &amp; Assumptions'!$F$19+Tabelle1!S140*'Weights &amp; Assumptions'!$F$20,"")</f>
        <v>150.020540683254</v>
      </c>
      <c r="Y139" s="23" t="n">
        <f aca="false">IFERROR(V139*'Weights &amp; Assumptions'!$B$25/'Weights &amp; Assumptions'!$B$28+W139*'Weights &amp; Assumptions'!$B$26/'Weights &amp; Assumptions'!$B$28+X139*'Weights &amp; Assumptions'!$B$27/'Weights &amp; Assumptions'!$B$28,"")</f>
        <v>134.963713975482</v>
      </c>
    </row>
    <row r="140" customFormat="false" ht="15" hidden="false" customHeight="false" outlineLevel="0" collapsed="false">
      <c r="A140" s="20" t="n">
        <v>42063</v>
      </c>
      <c r="B140" s="30" t="n">
        <f aca="false">IF(ISNUMBER(Tabelle1!D141),Tabelle1!D141,"")</f>
        <v>148.08726</v>
      </c>
      <c r="C140" s="23" t="n">
        <f aca="false">IF(ISNUMBER(Tabelle1!E141),Tabelle1!E141/'SF Workings'!F140,"")</f>
        <v>121.329755459985</v>
      </c>
      <c r="D140" s="23" t="n">
        <f aca="false">IF(ISNUMBER(Tabelle1!F141),Tabelle1!F141/'SF Workings'!J140,"")</f>
        <v>112.075062664414</v>
      </c>
      <c r="E140" s="23" t="n">
        <f aca="false">IF(ISNUMBER(Tabelle1!G141),Tabelle1!G141/'SF Workings'!N140,"")</f>
        <v>94.3675510525572</v>
      </c>
      <c r="F140" s="23" t="n">
        <f aca="false">IF(ISNUMBER(Tabelle1!H141),Tabelle1!H141/'SF Workings'!R140,"")</f>
        <v>136.05319688621</v>
      </c>
      <c r="G140" s="23" t="n">
        <f aca="false">IF(ISNUMBER(Tabelle1!I141),Tabelle1!I141/'SF Workings'!V140,"")</f>
        <v>140.515773443969</v>
      </c>
      <c r="H140" s="23" t="n">
        <f aca="false">IF(ISNUMBER(Tabelle1!J141),Tabelle1!J141/'SF Workings'!Z140,"")</f>
        <v>147.922600037198</v>
      </c>
      <c r="I140" s="23" t="n">
        <f aca="false">IF(ISNUMBER(Tabelle1!K141),Tabelle1!K141/'SF Workings'!AD140,"")</f>
        <v>157.31454569156</v>
      </c>
      <c r="J140" s="23" t="n">
        <f aca="false">IF(ISNUMBER(Tabelle1!L141),Tabelle1!L141/'SF Workings'!AH140,"")</f>
        <v>159.310489557284</v>
      </c>
      <c r="K140" s="23" t="n">
        <f aca="false">IF(ISNUMBER(Tabelle1!M141),Tabelle1!M141/'SF Workings'!AL140,"")</f>
        <v>184.410977885279</v>
      </c>
      <c r="L140" s="23" t="n">
        <f aca="false">IF(ISNUMBER(Tabelle1!N141),Tabelle1!N141/'SF Workings'!AP140,"")</f>
        <v>177.007672445139</v>
      </c>
      <c r="M140" s="23" t="n">
        <f aca="false">IF(ISNUMBER(Tabelle1!O141),Tabelle1!O141/'SF Workings'!AT140,"")</f>
        <v>134.877827121468</v>
      </c>
      <c r="N140" s="23" t="n">
        <f aca="false">IF(ISNUMBER(Tabelle1!P141),Tabelle1!P141/'SF Workings'!AX140,"")</f>
        <v>146.349349931467</v>
      </c>
      <c r="O140" s="23" t="n">
        <f aca="false">IF(ISNUMBER(Tabelle1!Q141),Tabelle1!Q141/'SF Workings'!BB140,"")</f>
        <v>149.241098515073</v>
      </c>
      <c r="P140" s="23" t="n">
        <f aca="false">IF(ISNUMBER(Tabelle1!R141),Tabelle1!R141/'SF Workings'!BF140,"")</f>
        <v>167.880327326852</v>
      </c>
      <c r="Q140" s="23" t="n">
        <f aca="false">IF(ISNUMBER(Tabelle1!S141),Tabelle1!S141/'SF Workings'!BJ140,"")</f>
        <v>150.964356974305</v>
      </c>
      <c r="R140" s="23" t="n">
        <f aca="false">IFERROR(C140*'Weights &amp; Assumptions'!$F$6+D140*'Weights &amp; Assumptions'!$F$7,"")</f>
        <v>121.216362005868</v>
      </c>
      <c r="S140" s="23" t="n">
        <f aca="false">IFERROR(E140*'Weights &amp; Assumptions'!$F$8+F140*'Weights &amp; Assumptions'!$F$9+H140*'Weights &amp; Assumptions'!$F$11,"")</f>
        <v>133.548703287193</v>
      </c>
      <c r="T140" s="23" t="n">
        <f aca="false">IFERROR(G140*'Weights &amp; Assumptions'!$F$10+I140*'Weights &amp; Assumptions'!$F$12+J140*'Weights &amp; Assumptions'!$F$13+K140*'Weights &amp; Assumptions'!$F$14+L140*'Weights &amp; Assumptions'!$F$15+M140*'Weights &amp; Assumptions'!$F$16+N140*'Weights &amp; Assumptions'!$F$17+O140*'Weights &amp; Assumptions'!$F$18+P140*'Weights &amp; Assumptions'!$F$19+Q140*'Weights &amp; Assumptions'!$F$20,"")</f>
        <v>156.593003874014</v>
      </c>
      <c r="U140" s="23" t="n">
        <f aca="false">IFERROR(R140*'Weights &amp; Assumptions'!$B$25/'Weights &amp; Assumptions'!$B$28+S140*'Weights &amp; Assumptions'!$B$26/'Weights &amp; Assumptions'!$B$28+T140*'Weights &amp; Assumptions'!$B$27/'Weights &amp; Assumptions'!$B$28,"")</f>
        <v>147.496992113212</v>
      </c>
      <c r="V140" s="30" t="n">
        <f aca="false">IF(ISNUMBER(Tabelle1!E141),Tabelle1!E141*'Weights &amp; Assumptions'!$F$6+Tabelle1!F141*'Weights &amp; Assumptions'!$F$7,"")</f>
        <v>70.4944409852088</v>
      </c>
      <c r="W140" s="30" t="n">
        <f aca="false">IF(ISNUMBER(Tabelle1!G141),Tabelle1!G141*'Weights &amp; Assumptions'!$F$8+Tabelle1!H141*'Weights &amp; Assumptions'!$F$9+Tabelle1!J141*'Weights &amp; Assumptions'!$F$11,"")</f>
        <v>119.875938103476</v>
      </c>
      <c r="X140" s="30" t="n">
        <f aca="false">IF(ISNUMBER(Tabelle1!I141),Tabelle1!I141*'Weights &amp; Assumptions'!$F$10+Tabelle1!K141*'Weights &amp; Assumptions'!$F$12+Tabelle1!L141*'Weights &amp; Assumptions'!$F$13+Tabelle1!M141*'Weights &amp; Assumptions'!$F$14+Tabelle1!N141*'Weights &amp; Assumptions'!$F$15+Tabelle1!O141*'Weights &amp; Assumptions'!$F$16+Tabelle1!P141*'Weights &amp; Assumptions'!$F$17+Tabelle1!Q141*'Weights &amp; Assumptions'!$F$18+Tabelle1!R141*'Weights &amp; Assumptions'!$F$19+Tabelle1!S141*'Weights &amp; Assumptions'!$F$20,"")</f>
        <v>149.40518357281</v>
      </c>
      <c r="Y140" s="23" t="n">
        <f aca="false">IFERROR(V140*'Weights &amp; Assumptions'!$B$25/'Weights &amp; Assumptions'!$B$28+W140*'Weights &amp; Assumptions'!$B$26/'Weights &amp; Assumptions'!$B$28+X140*'Weights &amp; Assumptions'!$B$27/'Weights &amp; Assumptions'!$B$28,"")</f>
        <v>134.932164408291</v>
      </c>
    </row>
    <row r="141" customFormat="false" ht="15" hidden="false" customHeight="false" outlineLevel="0" collapsed="false">
      <c r="A141" s="20" t="n">
        <v>42094</v>
      </c>
      <c r="B141" s="30" t="n">
        <f aca="false">IF(ISNUMBER(Tabelle1!D142),Tabelle1!D142,"")</f>
        <v>147.60559</v>
      </c>
      <c r="C141" s="23" t="n">
        <f aca="false">IF(ISNUMBER(Tabelle1!E142),Tabelle1!E142/'SF Workings'!F141,"")</f>
        <v>128.384767322102</v>
      </c>
      <c r="D141" s="23" t="n">
        <f aca="false">IF(ISNUMBER(Tabelle1!F142),Tabelle1!F142/'SF Workings'!J141,"")</f>
        <v>149.356707813752</v>
      </c>
      <c r="E141" s="23" t="n">
        <f aca="false">IF(ISNUMBER(Tabelle1!G142),Tabelle1!G142/'SF Workings'!N141,"")</f>
        <v>95.3635625850607</v>
      </c>
      <c r="F141" s="23" t="n">
        <f aca="false">IF(ISNUMBER(Tabelle1!H142),Tabelle1!H142/'SF Workings'!R141,"")</f>
        <v>134.785045811655</v>
      </c>
      <c r="G141" s="23" t="n">
        <f aca="false">IF(ISNUMBER(Tabelle1!I142),Tabelle1!I142/'SF Workings'!V141,"")</f>
        <v>151.528217803707</v>
      </c>
      <c r="H141" s="23" t="n">
        <f aca="false">IF(ISNUMBER(Tabelle1!J142),Tabelle1!J142/'SF Workings'!Z141,"")</f>
        <v>147.957811792815</v>
      </c>
      <c r="I141" s="23" t="n">
        <f aca="false">IF(ISNUMBER(Tabelle1!K142),Tabelle1!K142/'SF Workings'!AD141,"")</f>
        <v>158.640184033717</v>
      </c>
      <c r="J141" s="23" t="n">
        <f aca="false">IF(ISNUMBER(Tabelle1!L142),Tabelle1!L142/'SF Workings'!AH141,"")</f>
        <v>154.048604969709</v>
      </c>
      <c r="K141" s="23" t="n">
        <f aca="false">IF(ISNUMBER(Tabelle1!M142),Tabelle1!M142/'SF Workings'!AL141,"")</f>
        <v>182.626990422348</v>
      </c>
      <c r="L141" s="23" t="n">
        <f aca="false">IF(ISNUMBER(Tabelle1!N142),Tabelle1!N142/'SF Workings'!AP141,"")</f>
        <v>176.919089417952</v>
      </c>
      <c r="M141" s="23" t="n">
        <f aca="false">IF(ISNUMBER(Tabelle1!O142),Tabelle1!O142/'SF Workings'!AT141,"")</f>
        <v>135.230926415343</v>
      </c>
      <c r="N141" s="23" t="n">
        <f aca="false">IF(ISNUMBER(Tabelle1!P142),Tabelle1!P142/'SF Workings'!AX141,"")</f>
        <v>148.209654338148</v>
      </c>
      <c r="O141" s="23" t="n">
        <f aca="false">IF(ISNUMBER(Tabelle1!Q142),Tabelle1!Q142/'SF Workings'!BB141,"")</f>
        <v>149.301676706137</v>
      </c>
      <c r="P141" s="23" t="n">
        <f aca="false">IF(ISNUMBER(Tabelle1!R142),Tabelle1!R142/'SF Workings'!BF141,"")</f>
        <v>168.380023556534</v>
      </c>
      <c r="Q141" s="23" t="n">
        <f aca="false">IF(ISNUMBER(Tabelle1!S142),Tabelle1!S142/'SF Workings'!BJ141,"")</f>
        <v>144.718222075782</v>
      </c>
      <c r="R141" s="23" t="n">
        <f aca="false">IFERROR(C141*'Weights &amp; Assumptions'!$F$6+D141*'Weights &amp; Assumptions'!$F$7,"")</f>
        <v>128.641726772233</v>
      </c>
      <c r="S141" s="23" t="n">
        <f aca="false">IFERROR(E141*'Weights &amp; Assumptions'!$F$8+F141*'Weights &amp; Assumptions'!$F$9+H141*'Weights &amp; Assumptions'!$F$11,"")</f>
        <v>132.822409301957</v>
      </c>
      <c r="T141" s="23" t="n">
        <f aca="false">IFERROR(G141*'Weights &amp; Assumptions'!$F$10+I141*'Weights &amp; Assumptions'!$F$12+J141*'Weights &amp; Assumptions'!$F$13+K141*'Weights &amp; Assumptions'!$F$14+L141*'Weights &amp; Assumptions'!$F$15+M141*'Weights &amp; Assumptions'!$F$16+N141*'Weights &amp; Assumptions'!$F$17+O141*'Weights &amp; Assumptions'!$F$18+P141*'Weights &amp; Assumptions'!$F$19+Q141*'Weights &amp; Assumptions'!$F$20,"")</f>
        <v>156.607842308503</v>
      </c>
      <c r="U141" s="23" t="n">
        <f aca="false">IFERROR(R141*'Weights &amp; Assumptions'!$B$25/'Weights &amp; Assumptions'!$B$28+S141*'Weights &amp; Assumptions'!$B$26/'Weights &amp; Assumptions'!$B$28+T141*'Weights &amp; Assumptions'!$B$27/'Weights &amp; Assumptions'!$B$28,"")</f>
        <v>147.936499817344</v>
      </c>
      <c r="V141" s="30" t="n">
        <f aca="false">IF(ISNUMBER(Tabelle1!E142),Tabelle1!E142*'Weights &amp; Assumptions'!$F$6+Tabelle1!F142*'Weights &amp; Assumptions'!$F$7,"")</f>
        <v>144.396265066328</v>
      </c>
      <c r="W141" s="30" t="n">
        <f aca="false">IF(ISNUMBER(Tabelle1!G142),Tabelle1!G142*'Weights &amp; Assumptions'!$F$8+Tabelle1!H142*'Weights &amp; Assumptions'!$F$9+Tabelle1!J142*'Weights &amp; Assumptions'!$F$11,"")</f>
        <v>133.983620815966</v>
      </c>
      <c r="X141" s="30" t="n">
        <f aca="false">IF(ISNUMBER(Tabelle1!I142),Tabelle1!I142*'Weights &amp; Assumptions'!$F$10+Tabelle1!K142*'Weights &amp; Assumptions'!$F$12+Tabelle1!L142*'Weights &amp; Assumptions'!$F$13+Tabelle1!M142*'Weights &amp; Assumptions'!$F$14+Tabelle1!N142*'Weights &amp; Assumptions'!$F$15+Tabelle1!O142*'Weights &amp; Assumptions'!$F$16+Tabelle1!P142*'Weights &amp; Assumptions'!$F$17+Tabelle1!Q142*'Weights &amp; Assumptions'!$F$18+Tabelle1!R142*'Weights &amp; Assumptions'!$F$19+Tabelle1!S142*'Weights &amp; Assumptions'!$F$20,"")</f>
        <v>158.322756436373</v>
      </c>
      <c r="Y141" s="23" t="n">
        <f aca="false">IFERROR(V141*'Weights &amp; Assumptions'!$B$25/'Weights &amp; Assumptions'!$B$28+W141*'Weights &amp; Assumptions'!$B$26/'Weights &amp; Assumptions'!$B$28+X141*'Weights &amp; Assumptions'!$B$27/'Weights &amp; Assumptions'!$B$28,"")</f>
        <v>150.682110899318</v>
      </c>
    </row>
    <row r="142" customFormat="false" ht="15" hidden="false" customHeight="false" outlineLevel="0" collapsed="false">
      <c r="A142" s="20" t="n">
        <v>42124</v>
      </c>
      <c r="B142" s="30" t="n">
        <f aca="false">IF(ISNUMBER(Tabelle1!D143),Tabelle1!D143,"")</f>
        <v>149.56613</v>
      </c>
      <c r="C142" s="23" t="n">
        <f aca="false">IF(ISNUMBER(Tabelle1!E143),Tabelle1!E143/'SF Workings'!F142,"")</f>
        <v>144.600651171856</v>
      </c>
      <c r="D142" s="23" t="n">
        <f aca="false">IF(ISNUMBER(Tabelle1!F143),Tabelle1!F143/'SF Workings'!J142,"")</f>
        <v>171.914176041555</v>
      </c>
      <c r="E142" s="23" t="n">
        <f aca="false">IF(ISNUMBER(Tabelle1!G143),Tabelle1!G143/'SF Workings'!N142,"")</f>
        <v>96.7437485848915</v>
      </c>
      <c r="F142" s="23" t="n">
        <f aca="false">IF(ISNUMBER(Tabelle1!H143),Tabelle1!H143/'SF Workings'!R142,"")</f>
        <v>139.184338304523</v>
      </c>
      <c r="G142" s="23" t="n">
        <f aca="false">IF(ISNUMBER(Tabelle1!I143),Tabelle1!I143/'SF Workings'!V142,"")</f>
        <v>139.945506092624</v>
      </c>
      <c r="H142" s="23" t="n">
        <f aca="false">IF(ISNUMBER(Tabelle1!J143),Tabelle1!J143/'SF Workings'!Z142,"")</f>
        <v>155.504915551229</v>
      </c>
      <c r="I142" s="23" t="n">
        <f aca="false">IF(ISNUMBER(Tabelle1!K143),Tabelle1!K143/'SF Workings'!AD142,"")</f>
        <v>156.568117007342</v>
      </c>
      <c r="J142" s="23" t="n">
        <f aca="false">IF(ISNUMBER(Tabelle1!L143),Tabelle1!L143/'SF Workings'!AH142,"")</f>
        <v>154.236461140066</v>
      </c>
      <c r="K142" s="23" t="n">
        <f aca="false">IF(ISNUMBER(Tabelle1!M143),Tabelle1!M143/'SF Workings'!AL142,"")</f>
        <v>187.820358221662</v>
      </c>
      <c r="L142" s="23" t="n">
        <f aca="false">IF(ISNUMBER(Tabelle1!N143),Tabelle1!N143/'SF Workings'!AP142,"")</f>
        <v>179.338827843845</v>
      </c>
      <c r="M142" s="23" t="n">
        <f aca="false">IF(ISNUMBER(Tabelle1!O143),Tabelle1!O143/'SF Workings'!AT142,"")</f>
        <v>136.993783669098</v>
      </c>
      <c r="N142" s="23" t="n">
        <f aca="false">IF(ISNUMBER(Tabelle1!P143),Tabelle1!P143/'SF Workings'!AX142,"")</f>
        <v>147.916933343871</v>
      </c>
      <c r="O142" s="23" t="n">
        <f aca="false">IF(ISNUMBER(Tabelle1!Q143),Tabelle1!Q143/'SF Workings'!BB142,"")</f>
        <v>151.809697658828</v>
      </c>
      <c r="P142" s="23" t="n">
        <f aca="false">IF(ISNUMBER(Tabelle1!R143),Tabelle1!R143/'SF Workings'!BF142,"")</f>
        <v>169.131420169364</v>
      </c>
      <c r="Q142" s="23" t="n">
        <f aca="false">IF(ISNUMBER(Tabelle1!S143),Tabelle1!S143/'SF Workings'!BJ142,"")</f>
        <v>152.237255470467</v>
      </c>
      <c r="R142" s="23" t="n">
        <f aca="false">IFERROR(C142*'Weights &amp; Assumptions'!$F$6+D142*'Weights &amp; Assumptions'!$F$7,"")</f>
        <v>144.935311111142</v>
      </c>
      <c r="S142" s="23" t="n">
        <f aca="false">IFERROR(E142*'Weights &amp; Assumptions'!$F$8+F142*'Weights &amp; Assumptions'!$F$9+H142*'Weights &amp; Assumptions'!$F$11,"")</f>
        <v>137.516990829502</v>
      </c>
      <c r="T142" s="23" t="n">
        <f aca="false">IFERROR(G142*'Weights &amp; Assumptions'!$F$10+I142*'Weights &amp; Assumptions'!$F$12+J142*'Weights &amp; Assumptions'!$F$13+K142*'Weights &amp; Assumptions'!$F$14+L142*'Weights &amp; Assumptions'!$F$15+M142*'Weights &amp; Assumptions'!$F$16+N142*'Weights &amp; Assumptions'!$F$17+O142*'Weights &amp; Assumptions'!$F$18+P142*'Weights &amp; Assumptions'!$F$19+Q142*'Weights &amp; Assumptions'!$F$20,"")</f>
        <v>157.791792459297</v>
      </c>
      <c r="U142" s="23" t="n">
        <f aca="false">IFERROR(R142*'Weights &amp; Assumptions'!$B$25/'Weights &amp; Assumptions'!$B$28+S142*'Weights &amp; Assumptions'!$B$26/'Weights &amp; Assumptions'!$B$28+T142*'Weights &amp; Assumptions'!$B$27/'Weights &amp; Assumptions'!$B$28,"")</f>
        <v>151.321699058101</v>
      </c>
      <c r="V142" s="30" t="n">
        <f aca="false">IF(ISNUMBER(Tabelle1!E143),Tabelle1!E143*'Weights &amp; Assumptions'!$F$6+Tabelle1!F143*'Weights &amp; Assumptions'!$F$7,"")</f>
        <v>239.760965478957</v>
      </c>
      <c r="W142" s="30" t="n">
        <f aca="false">IF(ISNUMBER(Tabelle1!G143),Tabelle1!G143*'Weights &amp; Assumptions'!$F$8+Tabelle1!H143*'Weights &amp; Assumptions'!$F$9+Tabelle1!J143*'Weights &amp; Assumptions'!$F$11,"")</f>
        <v>135.225216547658</v>
      </c>
      <c r="X142" s="30" t="n">
        <f aca="false">IF(ISNUMBER(Tabelle1!I143),Tabelle1!I143*'Weights &amp; Assumptions'!$F$10+Tabelle1!K143*'Weights &amp; Assumptions'!$F$12+Tabelle1!L143*'Weights &amp; Assumptions'!$F$13+Tabelle1!M143*'Weights &amp; Assumptions'!$F$14+Tabelle1!N143*'Weights &amp; Assumptions'!$F$15+Tabelle1!O143*'Weights &amp; Assumptions'!$F$16+Tabelle1!P143*'Weights &amp; Assumptions'!$F$17+Tabelle1!Q143*'Weights &amp; Assumptions'!$F$18+Tabelle1!R143*'Weights &amp; Assumptions'!$F$19+Tabelle1!S143*'Weights &amp; Assumptions'!$F$20,"")</f>
        <v>156.8789842626</v>
      </c>
      <c r="Y142" s="23" t="n">
        <f aca="false">IFERROR(V142*'Weights &amp; Assumptions'!$B$25/'Weights &amp; Assumptions'!$B$28+W142*'Weights &amp; Assumptions'!$B$26/'Weights &amp; Assumptions'!$B$28+X142*'Weights &amp; Assumptions'!$B$27/'Weights &amp; Assumptions'!$B$28,"")</f>
        <v>158.074736373907</v>
      </c>
    </row>
    <row r="143" customFormat="false" ht="15" hidden="false" customHeight="false" outlineLevel="0" collapsed="false">
      <c r="A143" s="20" t="n">
        <v>42155</v>
      </c>
      <c r="B143" s="30" t="n">
        <f aca="false">IF(ISNUMBER(Tabelle1!D144),Tabelle1!D144,"")</f>
        <v>149.8329</v>
      </c>
      <c r="C143" s="23" t="n">
        <f aca="false">IF(ISNUMBER(Tabelle1!E144),Tabelle1!E144/'SF Workings'!F143,"")</f>
        <v>149.903401781306</v>
      </c>
      <c r="D143" s="23" t="n">
        <f aca="false">IF(ISNUMBER(Tabelle1!F144),Tabelle1!F144/'SF Workings'!J143,"")</f>
        <v>199.781917718929</v>
      </c>
      <c r="E143" s="23" t="n">
        <f aca="false">IF(ISNUMBER(Tabelle1!G144),Tabelle1!G144/'SF Workings'!N143,"")</f>
        <v>97.7173809113082</v>
      </c>
      <c r="F143" s="23" t="n">
        <f aca="false">IF(ISNUMBER(Tabelle1!H144),Tabelle1!H144/'SF Workings'!R143,"")</f>
        <v>135.220536179833</v>
      </c>
      <c r="G143" s="23" t="n">
        <f aca="false">IF(ISNUMBER(Tabelle1!I144),Tabelle1!I144/'SF Workings'!V143,"")</f>
        <v>143.400738132778</v>
      </c>
      <c r="H143" s="23" t="n">
        <f aca="false">IF(ISNUMBER(Tabelle1!J144),Tabelle1!J144/'SF Workings'!Z143,"")</f>
        <v>152.209600318935</v>
      </c>
      <c r="I143" s="23" t="n">
        <f aca="false">IF(ISNUMBER(Tabelle1!K144),Tabelle1!K144/'SF Workings'!AD143,"")</f>
        <v>152.900865267866</v>
      </c>
      <c r="J143" s="23" t="n">
        <f aca="false">IF(ISNUMBER(Tabelle1!L144),Tabelle1!L144/'SF Workings'!AH143,"")</f>
        <v>155.401589705752</v>
      </c>
      <c r="K143" s="23" t="n">
        <f aca="false">IF(ISNUMBER(Tabelle1!M144),Tabelle1!M144/'SF Workings'!AL143,"")</f>
        <v>185.490561115986</v>
      </c>
      <c r="L143" s="23" t="n">
        <f aca="false">IF(ISNUMBER(Tabelle1!N144),Tabelle1!N144/'SF Workings'!AP143,"")</f>
        <v>175.770770348739</v>
      </c>
      <c r="M143" s="23" t="n">
        <f aca="false">IF(ISNUMBER(Tabelle1!O144),Tabelle1!O144/'SF Workings'!AT143,"")</f>
        <v>135.165332883968</v>
      </c>
      <c r="N143" s="23" t="n">
        <f aca="false">IF(ISNUMBER(Tabelle1!P144),Tabelle1!P144/'SF Workings'!AX143,"")</f>
        <v>148.117305704002</v>
      </c>
      <c r="O143" s="23" t="n">
        <f aca="false">IF(ISNUMBER(Tabelle1!Q144),Tabelle1!Q144/'SF Workings'!BB143,"")</f>
        <v>152.730495671266</v>
      </c>
      <c r="P143" s="23" t="n">
        <f aca="false">IF(ISNUMBER(Tabelle1!R144),Tabelle1!R144/'SF Workings'!BF143,"")</f>
        <v>169.379287827664</v>
      </c>
      <c r="Q143" s="23" t="n">
        <f aca="false">IF(ISNUMBER(Tabelle1!S144),Tabelle1!S144/'SF Workings'!BJ143,"")</f>
        <v>145.143211426659</v>
      </c>
      <c r="R143" s="23" t="n">
        <f aca="false">IFERROR(C143*'Weights &amp; Assumptions'!$F$6+D143*'Weights &amp; Assumptions'!$F$7,"")</f>
        <v>150.514540079823</v>
      </c>
      <c r="S143" s="23" t="n">
        <f aca="false">IFERROR(E143*'Weights &amp; Assumptions'!$F$8+F143*'Weights &amp; Assumptions'!$F$9+H143*'Weights &amp; Assumptions'!$F$11,"")</f>
        <v>134.281968675332</v>
      </c>
      <c r="T143" s="23" t="n">
        <f aca="false">IFERROR(G143*'Weights &amp; Assumptions'!$F$10+I143*'Weights &amp; Assumptions'!$F$12+J143*'Weights &amp; Assumptions'!$F$13+K143*'Weights &amp; Assumptions'!$F$14+L143*'Weights &amp; Assumptions'!$F$15+M143*'Weights &amp; Assumptions'!$F$16+N143*'Weights &amp; Assumptions'!$F$17+O143*'Weights &amp; Assumptions'!$F$18+P143*'Weights &amp; Assumptions'!$F$19+Q143*'Weights &amp; Assumptions'!$F$20,"")</f>
        <v>155.930201410361</v>
      </c>
      <c r="U143" s="23" t="n">
        <f aca="false">IFERROR(R143*'Weights &amp; Assumptions'!$B$25/'Weights &amp; Assumptions'!$B$28+S143*'Weights &amp; Assumptions'!$B$26/'Weights &amp; Assumptions'!$B$28+T143*'Weights &amp; Assumptions'!$B$27/'Weights &amp; Assumptions'!$B$28,"")</f>
        <v>149.719179678677</v>
      </c>
      <c r="V143" s="30" t="n">
        <f aca="false">IF(ISNUMBER(Tabelle1!E144),Tabelle1!E144*'Weights &amp; Assumptions'!$F$6+Tabelle1!F144*'Weights &amp; Assumptions'!$F$7,"")</f>
        <v>363.417875231165</v>
      </c>
      <c r="W143" s="30" t="n">
        <f aca="false">IF(ISNUMBER(Tabelle1!G144),Tabelle1!G144*'Weights &amp; Assumptions'!$F$8+Tabelle1!H144*'Weights &amp; Assumptions'!$F$9+Tabelle1!J144*'Weights &amp; Assumptions'!$F$11,"")</f>
        <v>137.669087698388</v>
      </c>
      <c r="X143" s="30" t="n">
        <f aca="false">IF(ISNUMBER(Tabelle1!I144),Tabelle1!I144*'Weights &amp; Assumptions'!$F$10+Tabelle1!K144*'Weights &amp; Assumptions'!$F$12+Tabelle1!L144*'Weights &amp; Assumptions'!$F$13+Tabelle1!M144*'Weights &amp; Assumptions'!$F$14+Tabelle1!N144*'Weights &amp; Assumptions'!$F$15+Tabelle1!O144*'Weights &amp; Assumptions'!$F$16+Tabelle1!P144*'Weights &amp; Assumptions'!$F$17+Tabelle1!Q144*'Weights &amp; Assumptions'!$F$18+Tabelle1!R144*'Weights &amp; Assumptions'!$F$19+Tabelle1!S144*'Weights &amp; Assumptions'!$F$20,"")</f>
        <v>158.780100372572</v>
      </c>
      <c r="Y143" s="23" t="n">
        <f aca="false">IFERROR(V143*'Weights &amp; Assumptions'!$B$25/'Weights &amp; Assumptions'!$B$28+W143*'Weights &amp; Assumptions'!$B$26/'Weights &amp; Assumptions'!$B$28+X143*'Weights &amp; Assumptions'!$B$27/'Weights &amp; Assumptions'!$B$28,"")</f>
        <v>170.335592941704</v>
      </c>
    </row>
    <row r="144" customFormat="false" ht="15" hidden="false" customHeight="false" outlineLevel="0" collapsed="false">
      <c r="A144" s="20" t="n">
        <v>42185</v>
      </c>
      <c r="B144" s="30" t="n">
        <f aca="false">IF(ISNUMBER(Tabelle1!D145),Tabelle1!D145,"")</f>
        <v>150.65951</v>
      </c>
      <c r="C144" s="23" t="n">
        <f aca="false">IF(ISNUMBER(Tabelle1!E145),Tabelle1!E145/'SF Workings'!F144,"")</f>
        <v>149.507664648699</v>
      </c>
      <c r="D144" s="23" t="n">
        <f aca="false">IF(ISNUMBER(Tabelle1!F145),Tabelle1!F145/'SF Workings'!J144,"")</f>
        <v>134.780277274807</v>
      </c>
      <c r="E144" s="23" t="n">
        <f aca="false">IF(ISNUMBER(Tabelle1!G145),Tabelle1!G145/'SF Workings'!N144,"")</f>
        <v>96.2561329700035</v>
      </c>
      <c r="F144" s="23" t="n">
        <f aca="false">IF(ISNUMBER(Tabelle1!H145),Tabelle1!H145/'SF Workings'!R144,"")</f>
        <v>140.837544424309</v>
      </c>
      <c r="G144" s="23" t="n">
        <f aca="false">IF(ISNUMBER(Tabelle1!I145),Tabelle1!I145/'SF Workings'!V144,"")</f>
        <v>141.462378063876</v>
      </c>
      <c r="H144" s="23" t="n">
        <f aca="false">IF(ISNUMBER(Tabelle1!J145),Tabelle1!J145/'SF Workings'!Z144,"")</f>
        <v>157.454767832099</v>
      </c>
      <c r="I144" s="23" t="n">
        <f aca="false">IF(ISNUMBER(Tabelle1!K145),Tabelle1!K145/'SF Workings'!AD144,"")</f>
        <v>166.588246422429</v>
      </c>
      <c r="J144" s="23" t="n">
        <f aca="false">IF(ISNUMBER(Tabelle1!L145),Tabelle1!L145/'SF Workings'!AH144,"")</f>
        <v>157.73341781314</v>
      </c>
      <c r="K144" s="23" t="n">
        <f aca="false">IF(ISNUMBER(Tabelle1!M145),Tabelle1!M145/'SF Workings'!AL144,"")</f>
        <v>189.820132636007</v>
      </c>
      <c r="L144" s="23" t="n">
        <f aca="false">IF(ISNUMBER(Tabelle1!N145),Tabelle1!N145/'SF Workings'!AP144,"")</f>
        <v>184.831582737032</v>
      </c>
      <c r="M144" s="23" t="n">
        <f aca="false">IF(ISNUMBER(Tabelle1!O145),Tabelle1!O145/'SF Workings'!AT144,"")</f>
        <v>136.298188869953</v>
      </c>
      <c r="N144" s="23" t="n">
        <f aca="false">IF(ISNUMBER(Tabelle1!P145),Tabelle1!P145/'SF Workings'!AX144,"")</f>
        <v>148.915161224106</v>
      </c>
      <c r="O144" s="23" t="n">
        <f aca="false">IF(ISNUMBER(Tabelle1!Q145),Tabelle1!Q145/'SF Workings'!BB144,"")</f>
        <v>152.865130964285</v>
      </c>
      <c r="P144" s="23" t="n">
        <f aca="false">IF(ISNUMBER(Tabelle1!R145),Tabelle1!R145/'SF Workings'!BF144,"")</f>
        <v>170.139553811105</v>
      </c>
      <c r="Q144" s="23" t="n">
        <f aca="false">IF(ISNUMBER(Tabelle1!S145),Tabelle1!S145/'SF Workings'!BJ144,"")</f>
        <v>150.375992250912</v>
      </c>
      <c r="R144" s="23" t="n">
        <f aca="false">IFERROR(C144*'Weights &amp; Assumptions'!$F$6+D144*'Weights &amp; Assumptions'!$F$7,"")</f>
        <v>149.32721680874</v>
      </c>
      <c r="S144" s="23" t="n">
        <f aca="false">IFERROR(E144*'Weights &amp; Assumptions'!$F$8+F144*'Weights &amp; Assumptions'!$F$9+H144*'Weights &amp; Assumptions'!$F$11,"")</f>
        <v>138.976386140353</v>
      </c>
      <c r="T144" s="23" t="n">
        <f aca="false">IFERROR(G144*'Weights &amp; Assumptions'!$F$10+I144*'Weights &amp; Assumptions'!$F$12+J144*'Weights &amp; Assumptions'!$F$13+K144*'Weights &amp; Assumptions'!$F$14+L144*'Weights &amp; Assumptions'!$F$15+M144*'Weights &amp; Assumptions'!$F$16+N144*'Weights &amp; Assumptions'!$F$17+O144*'Weights &amp; Assumptions'!$F$18+P144*'Weights &amp; Assumptions'!$F$19+Q144*'Weights &amp; Assumptions'!$F$20,"")</f>
        <v>160.747867683345</v>
      </c>
      <c r="U144" s="23" t="n">
        <f aca="false">IFERROR(R144*'Weights &amp; Assumptions'!$B$25/'Weights &amp; Assumptions'!$B$28+S144*'Weights &amp; Assumptions'!$B$26/'Weights &amp; Assumptions'!$B$28+T144*'Weights &amp; Assumptions'!$B$27/'Weights &amp; Assumptions'!$B$28,"")</f>
        <v>154.000248320604</v>
      </c>
      <c r="V144" s="30" t="n">
        <f aca="false">IF(ISNUMBER(Tabelle1!E145),Tabelle1!E145*'Weights &amp; Assumptions'!$F$6+Tabelle1!F145*'Weights &amp; Assumptions'!$F$7,"")</f>
        <v>243.423974402451</v>
      </c>
      <c r="W144" s="30" t="n">
        <f aca="false">IF(ISNUMBER(Tabelle1!G145),Tabelle1!G145*'Weights &amp; Assumptions'!$F$8+Tabelle1!H145*'Weights &amp; Assumptions'!$F$9+Tabelle1!J145*'Weights &amp; Assumptions'!$F$11,"")</f>
        <v>140.156091241736</v>
      </c>
      <c r="X144" s="30" t="n">
        <f aca="false">IF(ISNUMBER(Tabelle1!I145),Tabelle1!I145*'Weights &amp; Assumptions'!$F$10+Tabelle1!K145*'Weights &amp; Assumptions'!$F$12+Tabelle1!L145*'Weights &amp; Assumptions'!$F$13+Tabelle1!M145*'Weights &amp; Assumptions'!$F$14+Tabelle1!N145*'Weights &amp; Assumptions'!$F$15+Tabelle1!O145*'Weights &amp; Assumptions'!$F$16+Tabelle1!P145*'Weights &amp; Assumptions'!$F$17+Tabelle1!Q145*'Weights &amp; Assumptions'!$F$18+Tabelle1!R145*'Weights &amp; Assumptions'!$F$19+Tabelle1!S145*'Weights &amp; Assumptions'!$F$20,"")</f>
        <v>163.981198805275</v>
      </c>
      <c r="Y144" s="23" t="n">
        <f aca="false">IFERROR(V144*'Weights &amp; Assumptions'!$B$25/'Weights &amp; Assumptions'!$B$28+W144*'Weights &amp; Assumptions'!$B$26/'Weights &amp; Assumptions'!$B$28+X144*'Weights &amp; Assumptions'!$B$27/'Weights &amp; Assumptions'!$B$28,"")</f>
        <v>164.311001507967</v>
      </c>
    </row>
    <row r="145" customFormat="false" ht="15" hidden="false" customHeight="false" outlineLevel="0" collapsed="false">
      <c r="A145" s="20" t="n">
        <v>42216</v>
      </c>
      <c r="B145" s="30" t="n">
        <f aca="false">IF(ISNUMBER(Tabelle1!D146),Tabelle1!D146,"")</f>
        <v>150.53913</v>
      </c>
      <c r="C145" s="23" t="n">
        <f aca="false">IF(ISNUMBER(Tabelle1!E146),Tabelle1!E146/'SF Workings'!F145,"")</f>
        <v>130.643333165556</v>
      </c>
      <c r="D145" s="23" t="n">
        <f aca="false">IF(ISNUMBER(Tabelle1!F146),Tabelle1!F146/'SF Workings'!J145,"")</f>
        <v>143.253486486129</v>
      </c>
      <c r="E145" s="23" t="n">
        <f aca="false">IF(ISNUMBER(Tabelle1!G146),Tabelle1!G146/'SF Workings'!N145,"")</f>
        <v>96.5207562351057</v>
      </c>
      <c r="F145" s="23" t="n">
        <f aca="false">IF(ISNUMBER(Tabelle1!H146),Tabelle1!H146/'SF Workings'!R145,"")</f>
        <v>139.087714539721</v>
      </c>
      <c r="G145" s="23" t="n">
        <f aca="false">IF(ISNUMBER(Tabelle1!I146),Tabelle1!I146/'SF Workings'!V145,"")</f>
        <v>141.623544238181</v>
      </c>
      <c r="H145" s="23" t="n">
        <f aca="false">IF(ISNUMBER(Tabelle1!J146),Tabelle1!J146/'SF Workings'!Z145,"")</f>
        <v>157.149585111071</v>
      </c>
      <c r="I145" s="23" t="n">
        <f aca="false">IF(ISNUMBER(Tabelle1!K146),Tabelle1!K146/'SF Workings'!AD145,"")</f>
        <v>161.287990161772</v>
      </c>
      <c r="J145" s="23" t="n">
        <f aca="false">IF(ISNUMBER(Tabelle1!L146),Tabelle1!L146/'SF Workings'!AH145,"")</f>
        <v>159.672783513728</v>
      </c>
      <c r="K145" s="23" t="n">
        <f aca="false">IF(ISNUMBER(Tabelle1!M146),Tabelle1!M146/'SF Workings'!AL145,"")</f>
        <v>189.888182268934</v>
      </c>
      <c r="L145" s="23" t="n">
        <f aca="false">IF(ISNUMBER(Tabelle1!N146),Tabelle1!N146/'SF Workings'!AP145,"")</f>
        <v>183.758286074995</v>
      </c>
      <c r="M145" s="23" t="n">
        <f aca="false">IF(ISNUMBER(Tabelle1!O146),Tabelle1!O146/'SF Workings'!AT145,"")</f>
        <v>140.201992277255</v>
      </c>
      <c r="N145" s="23" t="n">
        <f aca="false">IF(ISNUMBER(Tabelle1!P146),Tabelle1!P146/'SF Workings'!AX145,"")</f>
        <v>149.889095176731</v>
      </c>
      <c r="O145" s="23" t="n">
        <f aca="false">IF(ISNUMBER(Tabelle1!Q146),Tabelle1!Q146/'SF Workings'!BB145,"")</f>
        <v>152.544253847102</v>
      </c>
      <c r="P145" s="23" t="n">
        <f aca="false">IF(ISNUMBER(Tabelle1!R146),Tabelle1!R146/'SF Workings'!BF145,"")</f>
        <v>170.581250864667</v>
      </c>
      <c r="Q145" s="23" t="n">
        <f aca="false">IF(ISNUMBER(Tabelle1!S146),Tabelle1!S146/'SF Workings'!BJ145,"")</f>
        <v>153.55257080045</v>
      </c>
      <c r="R145" s="23" t="n">
        <f aca="false">IFERROR(C145*'Weights &amp; Assumptions'!$F$6+D145*'Weights &amp; Assumptions'!$F$7,"")</f>
        <v>130.797839519635</v>
      </c>
      <c r="S145" s="23" t="n">
        <f aca="false">IFERROR(E145*'Weights &amp; Assumptions'!$F$8+F145*'Weights &amp; Assumptions'!$F$9+H145*'Weights &amp; Assumptions'!$F$11,"")</f>
        <v>137.768031471518</v>
      </c>
      <c r="T145" s="23" t="n">
        <f aca="false">IFERROR(G145*'Weights &amp; Assumptions'!$F$10+I145*'Weights &amp; Assumptions'!$F$12+J145*'Weights &amp; Assumptions'!$F$13+K145*'Weights &amp; Assumptions'!$F$14+L145*'Weights &amp; Assumptions'!$F$15+M145*'Weights &amp; Assumptions'!$F$16+N145*'Weights &amp; Assumptions'!$F$17+O145*'Weights &amp; Assumptions'!$F$18+P145*'Weights &amp; Assumptions'!$F$19+Q145*'Weights &amp; Assumptions'!$F$20,"")</f>
        <v>160.763735577838</v>
      </c>
      <c r="U145" s="23" t="n">
        <f aca="false">IFERROR(R145*'Weights &amp; Assumptions'!$B$25/'Weights &amp; Assumptions'!$B$28+S145*'Weights &amp; Assumptions'!$B$26/'Weights &amp; Assumptions'!$B$28+T145*'Weights &amp; Assumptions'!$B$27/'Weights &amp; Assumptions'!$B$28,"")</f>
        <v>152.13461254636</v>
      </c>
      <c r="V145" s="30" t="n">
        <f aca="false">IF(ISNUMBER(Tabelle1!E146),Tabelle1!E146*'Weights &amp; Assumptions'!$F$6+Tabelle1!F146*'Weights &amp; Assumptions'!$F$7,"")</f>
        <v>116.58989623461</v>
      </c>
      <c r="W145" s="30" t="n">
        <f aca="false">IF(ISNUMBER(Tabelle1!G146),Tabelle1!G146*'Weights &amp; Assumptions'!$F$8+Tabelle1!H146*'Weights &amp; Assumptions'!$F$9+Tabelle1!J146*'Weights &amp; Assumptions'!$F$11,"")</f>
        <v>140.080423823058</v>
      </c>
      <c r="X145" s="30" t="n">
        <f aca="false">IF(ISNUMBER(Tabelle1!I146),Tabelle1!I146*'Weights &amp; Assumptions'!$F$10+Tabelle1!K146*'Weights &amp; Assumptions'!$F$12+Tabelle1!L146*'Weights &amp; Assumptions'!$F$13+Tabelle1!M146*'Weights &amp; Assumptions'!$F$14+Tabelle1!N146*'Weights &amp; Assumptions'!$F$15+Tabelle1!O146*'Weights &amp; Assumptions'!$F$16+Tabelle1!P146*'Weights &amp; Assumptions'!$F$17+Tabelle1!Q146*'Weights &amp; Assumptions'!$F$18+Tabelle1!R146*'Weights &amp; Assumptions'!$F$19+Tabelle1!S146*'Weights &amp; Assumptions'!$F$20,"")</f>
        <v>163.183788923288</v>
      </c>
      <c r="Y145" s="23" t="n">
        <f aca="false">IFERROR(V145*'Weights &amp; Assumptions'!$B$25/'Weights &amp; Assumptions'!$B$28+W145*'Weights &amp; Assumptions'!$B$26/'Weights &amp; Assumptions'!$B$28+X145*'Weights &amp; Assumptions'!$B$27/'Weights &amp; Assumptions'!$B$28,"")</f>
        <v>153.130934197802</v>
      </c>
    </row>
    <row r="146" customFormat="false" ht="15" hidden="false" customHeight="false" outlineLevel="0" collapsed="false">
      <c r="A146" s="20" t="n">
        <v>42247</v>
      </c>
      <c r="B146" s="30" t="n">
        <f aca="false">IF(ISNUMBER(Tabelle1!D147),Tabelle1!D147,"")</f>
        <v>150.34522</v>
      </c>
      <c r="C146" s="23" t="n">
        <f aca="false">IF(ISNUMBER(Tabelle1!E147),Tabelle1!E147/'SF Workings'!F146,"")</f>
        <v>119.767238156716</v>
      </c>
      <c r="D146" s="23" t="n">
        <f aca="false">IF(ISNUMBER(Tabelle1!F147),Tabelle1!F147/'SF Workings'!J146,"")</f>
        <v>149.37910292095</v>
      </c>
      <c r="E146" s="23" t="n">
        <f aca="false">IF(ISNUMBER(Tabelle1!G147),Tabelle1!G147/'SF Workings'!N146,"")</f>
        <v>94.6764107638656</v>
      </c>
      <c r="F146" s="23" t="n">
        <f aca="false">IF(ISNUMBER(Tabelle1!H147),Tabelle1!H147/'SF Workings'!R146,"")</f>
        <v>137.147378603156</v>
      </c>
      <c r="G146" s="23" t="n">
        <f aca="false">IF(ISNUMBER(Tabelle1!I147),Tabelle1!I147/'SF Workings'!V146,"")</f>
        <v>143.208302050238</v>
      </c>
      <c r="H146" s="23" t="n">
        <f aca="false">IF(ISNUMBER(Tabelle1!J147),Tabelle1!J147/'SF Workings'!Z146,"")</f>
        <v>149.579521595446</v>
      </c>
      <c r="I146" s="23" t="n">
        <f aca="false">IF(ISNUMBER(Tabelle1!K147),Tabelle1!K147/'SF Workings'!AD146,"")</f>
        <v>159.721357772356</v>
      </c>
      <c r="J146" s="23" t="n">
        <f aca="false">IF(ISNUMBER(Tabelle1!L147),Tabelle1!L147/'SF Workings'!AH146,"")</f>
        <v>160.422496617233</v>
      </c>
      <c r="K146" s="23" t="n">
        <f aca="false">IF(ISNUMBER(Tabelle1!M147),Tabelle1!M147/'SF Workings'!AL146,"")</f>
        <v>189.433432132979</v>
      </c>
      <c r="L146" s="23" t="n">
        <f aca="false">IF(ISNUMBER(Tabelle1!N147),Tabelle1!N147/'SF Workings'!AP146,"")</f>
        <v>178.48695967853</v>
      </c>
      <c r="M146" s="23" t="n">
        <f aca="false">IF(ISNUMBER(Tabelle1!O147),Tabelle1!O147/'SF Workings'!AT146,"")</f>
        <v>134.73670754427</v>
      </c>
      <c r="N146" s="23" t="n">
        <f aca="false">IF(ISNUMBER(Tabelle1!P147),Tabelle1!P147/'SF Workings'!AX146,"")</f>
        <v>150.978101933937</v>
      </c>
      <c r="O146" s="23" t="n">
        <f aca="false">IF(ISNUMBER(Tabelle1!Q147),Tabelle1!Q147/'SF Workings'!BB146,"")</f>
        <v>153.928698821972</v>
      </c>
      <c r="P146" s="23" t="n">
        <f aca="false">IF(ISNUMBER(Tabelle1!R147),Tabelle1!R147/'SF Workings'!BF146,"")</f>
        <v>171.600266772061</v>
      </c>
      <c r="Q146" s="23" t="n">
        <f aca="false">IF(ISNUMBER(Tabelle1!S147),Tabelle1!S147/'SF Workings'!BJ146,"")</f>
        <v>152.115452967184</v>
      </c>
      <c r="R146" s="23" t="n">
        <f aca="false">IFERROR(C146*'Weights &amp; Assumptions'!$F$6+D146*'Weights &amp; Assumptions'!$F$7,"")</f>
        <v>120.130058587672</v>
      </c>
      <c r="S146" s="23" t="n">
        <f aca="false">IFERROR(E146*'Weights &amp; Assumptions'!$F$8+F146*'Weights &amp; Assumptions'!$F$9+H146*'Weights &amp; Assumptions'!$F$11,"")</f>
        <v>134.666351355833</v>
      </c>
      <c r="T146" s="23" t="n">
        <f aca="false">IFERROR(G146*'Weights &amp; Assumptions'!$F$10+I146*'Weights &amp; Assumptions'!$F$12+J146*'Weights &amp; Assumptions'!$F$13+K146*'Weights &amp; Assumptions'!$F$14+L146*'Weights &amp; Assumptions'!$F$15+M146*'Weights &amp; Assumptions'!$F$16+N146*'Weights &amp; Assumptions'!$F$17+O146*'Weights &amp; Assumptions'!$F$18+P146*'Weights &amp; Assumptions'!$F$19+Q146*'Weights &amp; Assumptions'!$F$20,"")</f>
        <v>159.141770873788</v>
      </c>
      <c r="U146" s="23" t="n">
        <f aca="false">IFERROR(R146*'Weights &amp; Assumptions'!$B$25/'Weights &amp; Assumptions'!$B$28+S146*'Weights &amp; Assumptions'!$B$26/'Weights &amp; Assumptions'!$B$28+T146*'Weights &amp; Assumptions'!$B$27/'Weights &amp; Assumptions'!$B$28,"")</f>
        <v>149.360214157008</v>
      </c>
      <c r="V146" s="30" t="n">
        <f aca="false">IF(ISNUMBER(Tabelle1!E147),Tabelle1!E147*'Weights &amp; Assumptions'!$F$6+Tabelle1!F147*'Weights &amp; Assumptions'!$F$7,"")</f>
        <v>70.5894613974804</v>
      </c>
      <c r="W146" s="30" t="n">
        <f aca="false">IF(ISNUMBER(Tabelle1!G147),Tabelle1!G147*'Weights &amp; Assumptions'!$F$8+Tabelle1!H147*'Weights &amp; Assumptions'!$F$9+Tabelle1!J147*'Weights &amp; Assumptions'!$F$11,"")</f>
        <v>140.708400145534</v>
      </c>
      <c r="X146" s="30" t="n">
        <f aca="false">IF(ISNUMBER(Tabelle1!I147),Tabelle1!I147*'Weights &amp; Assumptions'!$F$10+Tabelle1!K147*'Weights &amp; Assumptions'!$F$12+Tabelle1!L147*'Weights &amp; Assumptions'!$F$13+Tabelle1!M147*'Weights &amp; Assumptions'!$F$14+Tabelle1!N147*'Weights &amp; Assumptions'!$F$15+Tabelle1!O147*'Weights &amp; Assumptions'!$F$16+Tabelle1!P147*'Weights &amp; Assumptions'!$F$17+Tabelle1!Q147*'Weights &amp; Assumptions'!$F$18+Tabelle1!R147*'Weights &amp; Assumptions'!$F$19+Tabelle1!S147*'Weights &amp; Assumptions'!$F$20,"")</f>
        <v>160.757708170361</v>
      </c>
      <c r="Y146" s="23" t="n">
        <f aca="false">IFERROR(V146*'Weights &amp; Assumptions'!$B$25/'Weights &amp; Assumptions'!$B$28+W146*'Weights &amp; Assumptions'!$B$26/'Weights &amp; Assumptions'!$B$28+X146*'Weights &amp; Assumptions'!$B$27/'Weights &amp; Assumptions'!$B$28,"")</f>
        <v>147.861055999828</v>
      </c>
    </row>
    <row r="147" customFormat="false" ht="15" hidden="false" customHeight="false" outlineLevel="0" collapsed="false">
      <c r="A147" s="20" t="n">
        <v>42277</v>
      </c>
      <c r="B147" s="30" t="n">
        <f aca="false">IF(ISNUMBER(Tabelle1!D148),Tabelle1!D148,"")</f>
        <v>149.00537</v>
      </c>
      <c r="C147" s="23" t="n">
        <f aca="false">IF(ISNUMBER(Tabelle1!E148),Tabelle1!E148/'SF Workings'!F147,"")</f>
        <v>121.217376288353</v>
      </c>
      <c r="D147" s="23" t="n">
        <f aca="false">IF(ISNUMBER(Tabelle1!F148),Tabelle1!F148/'SF Workings'!J147,"")</f>
        <v>158.459828402678</v>
      </c>
      <c r="E147" s="23" t="n">
        <f aca="false">IF(ISNUMBER(Tabelle1!G148),Tabelle1!G148/'SF Workings'!N147,"")</f>
        <v>94.181742515299</v>
      </c>
      <c r="F147" s="23" t="n">
        <f aca="false">IF(ISNUMBER(Tabelle1!H148),Tabelle1!H148/'SF Workings'!R147,"")</f>
        <v>136.210301647346</v>
      </c>
      <c r="G147" s="23" t="n">
        <f aca="false">IF(ISNUMBER(Tabelle1!I148),Tabelle1!I148/'SF Workings'!V147,"")</f>
        <v>147.494139651749</v>
      </c>
      <c r="H147" s="23" t="n">
        <f aca="false">IF(ISNUMBER(Tabelle1!J148),Tabelle1!J148/'SF Workings'!Z147,"")</f>
        <v>153.947355438184</v>
      </c>
      <c r="I147" s="23" t="n">
        <f aca="false">IF(ISNUMBER(Tabelle1!K148),Tabelle1!K148/'SF Workings'!AD147,"")</f>
        <v>161.491221810863</v>
      </c>
      <c r="J147" s="23" t="n">
        <f aca="false">IF(ISNUMBER(Tabelle1!L148),Tabelle1!L148/'SF Workings'!AH147,"")</f>
        <v>161.318115218493</v>
      </c>
      <c r="K147" s="23" t="n">
        <f aca="false">IF(ISNUMBER(Tabelle1!M148),Tabelle1!M148/'SF Workings'!AL147,"")</f>
        <v>192.000401799552</v>
      </c>
      <c r="L147" s="23" t="n">
        <f aca="false">IF(ISNUMBER(Tabelle1!N148),Tabelle1!N148/'SF Workings'!AP147,"")</f>
        <v>182.096874785131</v>
      </c>
      <c r="M147" s="23" t="n">
        <f aca="false">IF(ISNUMBER(Tabelle1!O148),Tabelle1!O148/'SF Workings'!AT147,"")</f>
        <v>137.896625026646</v>
      </c>
      <c r="N147" s="23" t="n">
        <f aca="false">IF(ISNUMBER(Tabelle1!P148),Tabelle1!P148/'SF Workings'!AX147,"")</f>
        <v>150.716468209484</v>
      </c>
      <c r="O147" s="23" t="n">
        <f aca="false">IF(ISNUMBER(Tabelle1!Q148),Tabelle1!Q148/'SF Workings'!BB147,"")</f>
        <v>154.28834642952</v>
      </c>
      <c r="P147" s="23" t="n">
        <f aca="false">IF(ISNUMBER(Tabelle1!R148),Tabelle1!R148/'SF Workings'!BF147,"")</f>
        <v>172.04547083738</v>
      </c>
      <c r="Q147" s="23" t="n">
        <f aca="false">IF(ISNUMBER(Tabelle1!S148),Tabelle1!S148/'SF Workings'!BJ147,"")</f>
        <v>149.181216157784</v>
      </c>
      <c r="R147" s="23" t="n">
        <f aca="false">IFERROR(C147*'Weights &amp; Assumptions'!$F$6+D147*'Weights &amp; Assumptions'!$F$7,"")</f>
        <v>121.673690763431</v>
      </c>
      <c r="S147" s="23" t="n">
        <f aca="false">IFERROR(E147*'Weights &amp; Assumptions'!$F$8+F147*'Weights &amp; Assumptions'!$F$9+H147*'Weights &amp; Assumptions'!$F$11,"")</f>
        <v>134.887235199827</v>
      </c>
      <c r="T147" s="23" t="n">
        <f aca="false">IFERROR(G147*'Weights &amp; Assumptions'!$F$10+I147*'Weights &amp; Assumptions'!$F$12+J147*'Weights &amp; Assumptions'!$F$13+K147*'Weights &amp; Assumptions'!$F$14+L147*'Weights &amp; Assumptions'!$F$15+M147*'Weights &amp; Assumptions'!$F$16+N147*'Weights &amp; Assumptions'!$F$17+O147*'Weights &amp; Assumptions'!$F$18+P147*'Weights &amp; Assumptions'!$F$19+Q147*'Weights &amp; Assumptions'!$F$20,"")</f>
        <v>160.832884169058</v>
      </c>
      <c r="U147" s="23" t="n">
        <f aca="false">IFERROR(R147*'Weights &amp; Assumptions'!$B$25/'Weights &amp; Assumptions'!$B$28+S147*'Weights &amp; Assumptions'!$B$26/'Weights &amp; Assumptions'!$B$28+T147*'Weights &amp; Assumptions'!$B$27/'Weights &amp; Assumptions'!$B$28,"")</f>
        <v>150.647993970313</v>
      </c>
      <c r="V147" s="30" t="n">
        <f aca="false">IF(ISNUMBER(Tabelle1!E148),Tabelle1!E148*'Weights &amp; Assumptions'!$F$6+Tabelle1!F148*'Weights &amp; Assumptions'!$F$7,"")</f>
        <v>66.3205257859859</v>
      </c>
      <c r="W147" s="30" t="n">
        <f aca="false">IF(ISNUMBER(Tabelle1!G148),Tabelle1!G148*'Weights &amp; Assumptions'!$F$8+Tabelle1!H148*'Weights &amp; Assumptions'!$F$9+Tabelle1!J148*'Weights &amp; Assumptions'!$F$11,"")</f>
        <v>138.462179466339</v>
      </c>
      <c r="X147" s="30" t="n">
        <f aca="false">IF(ISNUMBER(Tabelle1!I148),Tabelle1!I148*'Weights &amp; Assumptions'!$F$10+Tabelle1!K148*'Weights &amp; Assumptions'!$F$12+Tabelle1!L148*'Weights &amp; Assumptions'!$F$13+Tabelle1!M148*'Weights &amp; Assumptions'!$F$14+Tabelle1!N148*'Weights &amp; Assumptions'!$F$15+Tabelle1!O148*'Weights &amp; Assumptions'!$F$16+Tabelle1!P148*'Weights &amp; Assumptions'!$F$17+Tabelle1!Q148*'Weights &amp; Assumptions'!$F$18+Tabelle1!R148*'Weights &amp; Assumptions'!$F$19+Tabelle1!S148*'Weights &amp; Assumptions'!$F$20,"")</f>
        <v>159.970228247155</v>
      </c>
      <c r="Y147" s="23" t="n">
        <f aca="false">IFERROR(V147*'Weights &amp; Assumptions'!$B$25/'Weights &amp; Assumptions'!$B$28+W147*'Weights &amp; Assumptions'!$B$26/'Weights &amp; Assumptions'!$B$28+X147*'Weights &amp; Assumptions'!$B$27/'Weights &amp; Assumptions'!$B$28,"")</f>
        <v>146.393574398571</v>
      </c>
    </row>
    <row r="148" customFormat="false" ht="15" hidden="false" customHeight="false" outlineLevel="0" collapsed="false">
      <c r="A148" s="20" t="n">
        <v>42308</v>
      </c>
      <c r="B148" s="30" t="n">
        <f aca="false">IF(ISNUMBER(Tabelle1!D149),Tabelle1!D149,"")</f>
        <v>149.30047</v>
      </c>
      <c r="C148" s="23" t="n">
        <f aca="false">IF(ISNUMBER(Tabelle1!E149),Tabelle1!E149/'SF Workings'!F148,"")</f>
        <v>119.669059844049</v>
      </c>
      <c r="D148" s="23" t="n">
        <f aca="false">IF(ISNUMBER(Tabelle1!F149),Tabelle1!F149/'SF Workings'!J148,"")</f>
        <v>157.144188807728</v>
      </c>
      <c r="E148" s="23" t="n">
        <f aca="false">IF(ISNUMBER(Tabelle1!G149),Tabelle1!G149/'SF Workings'!N148,"")</f>
        <v>93.6624002266781</v>
      </c>
      <c r="F148" s="23" t="n">
        <f aca="false">IF(ISNUMBER(Tabelle1!H149),Tabelle1!H149/'SF Workings'!R148,"")</f>
        <v>134.473365775355</v>
      </c>
      <c r="G148" s="23" t="n">
        <f aca="false">IF(ISNUMBER(Tabelle1!I149),Tabelle1!I149/'SF Workings'!V148,"")</f>
        <v>147.357542029067</v>
      </c>
      <c r="H148" s="23" t="n">
        <f aca="false">IF(ISNUMBER(Tabelle1!J149),Tabelle1!J149/'SF Workings'!Z148,"")</f>
        <v>151.489234306108</v>
      </c>
      <c r="I148" s="23" t="n">
        <f aca="false">IF(ISNUMBER(Tabelle1!K149),Tabelle1!K149/'SF Workings'!AD148,"")</f>
        <v>157.772031869755</v>
      </c>
      <c r="J148" s="23" t="n">
        <f aca="false">IF(ISNUMBER(Tabelle1!L149),Tabelle1!L149/'SF Workings'!AH148,"")</f>
        <v>160.422050129628</v>
      </c>
      <c r="K148" s="23" t="n">
        <f aca="false">IF(ISNUMBER(Tabelle1!M149),Tabelle1!M149/'SF Workings'!AL148,"")</f>
        <v>189.349624671449</v>
      </c>
      <c r="L148" s="23" t="n">
        <f aca="false">IF(ISNUMBER(Tabelle1!N149),Tabelle1!N149/'SF Workings'!AP148,"")</f>
        <v>183.342982965255</v>
      </c>
      <c r="M148" s="23" t="n">
        <f aca="false">IF(ISNUMBER(Tabelle1!O149),Tabelle1!O149/'SF Workings'!AT148,"")</f>
        <v>136.348754111767</v>
      </c>
      <c r="N148" s="23" t="n">
        <f aca="false">IF(ISNUMBER(Tabelle1!P149),Tabelle1!P149/'SF Workings'!AX148,"")</f>
        <v>151.111187079609</v>
      </c>
      <c r="O148" s="23" t="n">
        <f aca="false">IF(ISNUMBER(Tabelle1!Q149),Tabelle1!Q149/'SF Workings'!BB148,"")</f>
        <v>154.386195438907</v>
      </c>
      <c r="P148" s="23" t="n">
        <f aca="false">IF(ISNUMBER(Tabelle1!R149),Tabelle1!R149/'SF Workings'!BF148,"")</f>
        <v>171.671515273127</v>
      </c>
      <c r="Q148" s="23" t="n">
        <f aca="false">IF(ISNUMBER(Tabelle1!S149),Tabelle1!S149/'SF Workings'!BJ148,"")</f>
        <v>149.719051026233</v>
      </c>
      <c r="R148" s="23" t="n">
        <f aca="false">IFERROR(C148*'Weights &amp; Assumptions'!$F$6+D148*'Weights &amp; Assumptions'!$F$7,"")</f>
        <v>120.128225200537</v>
      </c>
      <c r="S148" s="23" t="n">
        <f aca="false">IFERROR(E148*'Weights &amp; Assumptions'!$F$8+F148*'Weights &amp; Assumptions'!$F$9+H148*'Weights &amp; Assumptions'!$F$11,"")</f>
        <v>133.145437289234</v>
      </c>
      <c r="T148" s="23" t="n">
        <f aca="false">IFERROR(G148*'Weights &amp; Assumptions'!$F$10+I148*'Weights &amp; Assumptions'!$F$12+J148*'Weights &amp; Assumptions'!$F$13+K148*'Weights &amp; Assumptions'!$F$14+L148*'Weights &amp; Assumptions'!$F$15+M148*'Weights &amp; Assumptions'!$F$16+N148*'Weights &amp; Assumptions'!$F$17+O148*'Weights &amp; Assumptions'!$F$18+P148*'Weights &amp; Assumptions'!$F$19+Q148*'Weights &amp; Assumptions'!$F$20,"")</f>
        <v>159.469777111762</v>
      </c>
      <c r="U148" s="23" t="n">
        <f aca="false">IFERROR(R148*'Weights &amp; Assumptions'!$B$25/'Weights &amp; Assumptions'!$B$28+S148*'Weights &amp; Assumptions'!$B$26/'Weights &amp; Assumptions'!$B$28+T148*'Weights &amp; Assumptions'!$B$27/'Weights &amp; Assumptions'!$B$28,"")</f>
        <v>149.168886369713</v>
      </c>
      <c r="V148" s="30" t="n">
        <f aca="false">IF(ISNUMBER(Tabelle1!E149),Tabelle1!E149*'Weights &amp; Assumptions'!$F$6+Tabelle1!F149*'Weights &amp; Assumptions'!$F$7,"")</f>
        <v>71.6927525793495</v>
      </c>
      <c r="W148" s="30" t="n">
        <f aca="false">IF(ISNUMBER(Tabelle1!G149),Tabelle1!G149*'Weights &amp; Assumptions'!$F$8+Tabelle1!H149*'Weights &amp; Assumptions'!$F$9+Tabelle1!J149*'Weights &amp; Assumptions'!$F$11,"")</f>
        <v>140.664830839545</v>
      </c>
      <c r="X148" s="30" t="n">
        <f aca="false">IF(ISNUMBER(Tabelle1!I149),Tabelle1!I149*'Weights &amp; Assumptions'!$F$10+Tabelle1!K149*'Weights &amp; Assumptions'!$F$12+Tabelle1!L149*'Weights &amp; Assumptions'!$F$13+Tabelle1!M149*'Weights &amp; Assumptions'!$F$14+Tabelle1!N149*'Weights &amp; Assumptions'!$F$15+Tabelle1!O149*'Weights &amp; Assumptions'!$F$16+Tabelle1!P149*'Weights &amp; Assumptions'!$F$17+Tabelle1!Q149*'Weights &amp; Assumptions'!$F$18+Tabelle1!R149*'Weights &amp; Assumptions'!$F$19+Tabelle1!S149*'Weights &amp; Assumptions'!$F$20,"")</f>
        <v>161.004234152416</v>
      </c>
      <c r="Y148" s="23" t="n">
        <f aca="false">IFERROR(V148*'Weights &amp; Assumptions'!$B$25/'Weights &amp; Assumptions'!$B$28+W148*'Weights &amp; Assumptions'!$B$26/'Weights &amp; Assumptions'!$B$28+X148*'Weights &amp; Assumptions'!$B$27/'Weights &amp; Assumptions'!$B$28,"")</f>
        <v>148.102323890622</v>
      </c>
    </row>
    <row r="149" customFormat="false" ht="15" hidden="false" customHeight="false" outlineLevel="0" collapsed="false">
      <c r="A149" s="20" t="n">
        <v>42338</v>
      </c>
      <c r="B149" s="30" t="n">
        <f aca="false">IF(ISNUMBER(Tabelle1!D150),Tabelle1!D150,"")</f>
        <v>148.58071</v>
      </c>
      <c r="C149" s="23" t="n">
        <f aca="false">IF(ISNUMBER(Tabelle1!E150),Tabelle1!E150/'SF Workings'!F149,"")</f>
        <v>124.385756886908</v>
      </c>
      <c r="D149" s="23" t="n">
        <f aca="false">IF(ISNUMBER(Tabelle1!F150),Tabelle1!F150/'SF Workings'!J149,"")</f>
        <v>211.242018168931</v>
      </c>
      <c r="E149" s="23" t="n">
        <f aca="false">IF(ISNUMBER(Tabelle1!G150),Tabelle1!G150/'SF Workings'!N149,"")</f>
        <v>93.6899635520455</v>
      </c>
      <c r="F149" s="23" t="n">
        <f aca="false">IF(ISNUMBER(Tabelle1!H150),Tabelle1!H150/'SF Workings'!R149,"")</f>
        <v>133.662203864752</v>
      </c>
      <c r="G149" s="23" t="n">
        <f aca="false">IF(ISNUMBER(Tabelle1!I150),Tabelle1!I150/'SF Workings'!V149,"")</f>
        <v>140.642025333985</v>
      </c>
      <c r="H149" s="23" t="n">
        <f aca="false">IF(ISNUMBER(Tabelle1!J150),Tabelle1!J150/'SF Workings'!Z149,"")</f>
        <v>147.260018656813</v>
      </c>
      <c r="I149" s="23" t="n">
        <f aca="false">IF(ISNUMBER(Tabelle1!K150),Tabelle1!K150/'SF Workings'!AD149,"")</f>
        <v>158.065746633642</v>
      </c>
      <c r="J149" s="23" t="n">
        <f aca="false">IF(ISNUMBER(Tabelle1!L150),Tabelle1!L150/'SF Workings'!AH149,"")</f>
        <v>158.099086727426</v>
      </c>
      <c r="K149" s="23" t="n">
        <f aca="false">IF(ISNUMBER(Tabelle1!M150),Tabelle1!M150/'SF Workings'!AL149,"")</f>
        <v>187.134218863802</v>
      </c>
      <c r="L149" s="23" t="n">
        <f aca="false">IF(ISNUMBER(Tabelle1!N150),Tabelle1!N150/'SF Workings'!AP149,"")</f>
        <v>185.635456679158</v>
      </c>
      <c r="M149" s="23" t="n">
        <f aca="false">IF(ISNUMBER(Tabelle1!O150),Tabelle1!O150/'SF Workings'!AT149,"")</f>
        <v>135.885869007444</v>
      </c>
      <c r="N149" s="23" t="n">
        <f aca="false">IF(ISNUMBER(Tabelle1!P150),Tabelle1!P150/'SF Workings'!AX149,"")</f>
        <v>151.382135527158</v>
      </c>
      <c r="O149" s="23" t="n">
        <f aca="false">IF(ISNUMBER(Tabelle1!Q150),Tabelle1!Q150/'SF Workings'!BB149,"")</f>
        <v>154.657027521817</v>
      </c>
      <c r="P149" s="23" t="n">
        <f aca="false">IF(ISNUMBER(Tabelle1!R150),Tabelle1!R150/'SF Workings'!BF149,"")</f>
        <v>171.461023779753</v>
      </c>
      <c r="Q149" s="23" t="n">
        <f aca="false">IF(ISNUMBER(Tabelle1!S150),Tabelle1!S150/'SF Workings'!BJ149,"")</f>
        <v>148.075470578988</v>
      </c>
      <c r="R149" s="23" t="n">
        <f aca="false">IFERROR(C149*'Weights &amp; Assumptions'!$F$6+D149*'Weights &amp; Assumptions'!$F$7,"")</f>
        <v>125.449966331347</v>
      </c>
      <c r="S149" s="23" t="n">
        <f aca="false">IFERROR(E149*'Weights &amp; Assumptions'!$F$8+F149*'Weights &amp; Assumptions'!$F$9+H149*'Weights &amp; Assumptions'!$F$11,"")</f>
        <v>131.722355927069</v>
      </c>
      <c r="T149" s="23" t="n">
        <f aca="false">IFERROR(G149*'Weights &amp; Assumptions'!$F$10+I149*'Weights &amp; Assumptions'!$F$12+J149*'Weights &amp; Assumptions'!$F$13+K149*'Weights &amp; Assumptions'!$F$14+L149*'Weights &amp; Assumptions'!$F$15+M149*'Weights &amp; Assumptions'!$F$16+N149*'Weights &amp; Assumptions'!$F$17+O149*'Weights &amp; Assumptions'!$F$18+P149*'Weights &amp; Assumptions'!$F$19+Q149*'Weights &amp; Assumptions'!$F$20,"")</f>
        <v>158.928059621531</v>
      </c>
      <c r="U149" s="23" t="n">
        <f aca="false">IFERROR(R149*'Weights &amp; Assumptions'!$B$25/'Weights &amp; Assumptions'!$B$28+S149*'Weights &amp; Assumptions'!$B$26/'Weights &amp; Assumptions'!$B$28+T149*'Weights &amp; Assumptions'!$B$27/'Weights &amp; Assumptions'!$B$28,"")</f>
        <v>148.884747887991</v>
      </c>
      <c r="V149" s="30" t="n">
        <f aca="false">IF(ISNUMBER(Tabelle1!E150),Tabelle1!E150*'Weights &amp; Assumptions'!$F$6+Tabelle1!F150*'Weights &amp; Assumptions'!$F$7,"")</f>
        <v>87.5725208407528</v>
      </c>
      <c r="W149" s="30" t="n">
        <f aca="false">IF(ISNUMBER(Tabelle1!G150),Tabelle1!G150*'Weights &amp; Assumptions'!$F$8+Tabelle1!H150*'Weights &amp; Assumptions'!$F$9+Tabelle1!J150*'Weights &amp; Assumptions'!$F$11,"")</f>
        <v>136.89639144161</v>
      </c>
      <c r="X149" s="30" t="n">
        <f aca="false">IF(ISNUMBER(Tabelle1!I150),Tabelle1!I150*'Weights &amp; Assumptions'!$F$10+Tabelle1!K150*'Weights &amp; Assumptions'!$F$12+Tabelle1!L150*'Weights &amp; Assumptions'!$F$13+Tabelle1!M150*'Weights &amp; Assumptions'!$F$14+Tabelle1!N150*'Weights &amp; Assumptions'!$F$15+Tabelle1!O150*'Weights &amp; Assumptions'!$F$16+Tabelle1!P150*'Weights &amp; Assumptions'!$F$17+Tabelle1!Q150*'Weights &amp; Assumptions'!$F$18+Tabelle1!R150*'Weights &amp; Assumptions'!$F$19+Tabelle1!S150*'Weights &amp; Assumptions'!$F$20,"")</f>
        <v>160.486112917871</v>
      </c>
      <c r="Y149" s="23" t="n">
        <f aca="false">IFERROR(V149*'Weights &amp; Assumptions'!$B$25/'Weights &amp; Assumptions'!$B$28+W149*'Weights &amp; Assumptions'!$B$26/'Weights &amp; Assumptions'!$B$28+X149*'Weights &amp; Assumptions'!$B$27/'Weights &amp; Assumptions'!$B$28,"")</f>
        <v>148.095682854344</v>
      </c>
    </row>
    <row r="150" customFormat="false" ht="15" hidden="false" customHeight="false" outlineLevel="0" collapsed="false">
      <c r="A150" s="20" t="n">
        <v>42369</v>
      </c>
      <c r="B150" s="30" t="n">
        <f aca="false">IF(ISNUMBER(Tabelle1!D151),Tabelle1!D151,"")</f>
        <v>146.93186</v>
      </c>
      <c r="C150" s="23" t="n">
        <f aca="false">IF(ISNUMBER(Tabelle1!E151),Tabelle1!E151/'SF Workings'!F150,"")</f>
        <v>120.688584051011</v>
      </c>
      <c r="D150" s="23" t="n">
        <f aca="false">IF(ISNUMBER(Tabelle1!F151),Tabelle1!F151/'SF Workings'!J150,"")</f>
        <v>166.829970982571</v>
      </c>
      <c r="E150" s="23" t="n">
        <f aca="false">IF(ISNUMBER(Tabelle1!G151),Tabelle1!G151/'SF Workings'!N150,"")</f>
        <v>92.2038638316293</v>
      </c>
      <c r="F150" s="23" t="n">
        <f aca="false">IF(ISNUMBER(Tabelle1!H151),Tabelle1!H151/'SF Workings'!R150,"")</f>
        <v>132.86179205642</v>
      </c>
      <c r="G150" s="23" t="n">
        <f aca="false">IF(ISNUMBER(Tabelle1!I151),Tabelle1!I151/'SF Workings'!V150,"")</f>
        <v>144.11884143141</v>
      </c>
      <c r="H150" s="23" t="n">
        <f aca="false">IF(ISNUMBER(Tabelle1!J151),Tabelle1!J151/'SF Workings'!Z150,"")</f>
        <v>145.029070435476</v>
      </c>
      <c r="I150" s="23" t="n">
        <f aca="false">IF(ISNUMBER(Tabelle1!K151),Tabelle1!K151/'SF Workings'!AD150,"")</f>
        <v>153.119691695628</v>
      </c>
      <c r="J150" s="23" t="n">
        <f aca="false">IF(ISNUMBER(Tabelle1!L151),Tabelle1!L151/'SF Workings'!AH150,"")</f>
        <v>155.684477581784</v>
      </c>
      <c r="K150" s="23" t="n">
        <f aca="false">IF(ISNUMBER(Tabelle1!M151),Tabelle1!M151/'SF Workings'!AL150,"")</f>
        <v>186.99442637803</v>
      </c>
      <c r="L150" s="23" t="n">
        <f aca="false">IF(ISNUMBER(Tabelle1!N151),Tabelle1!N151/'SF Workings'!AP150,"")</f>
        <v>181.973927171907</v>
      </c>
      <c r="M150" s="23" t="n">
        <f aca="false">IF(ISNUMBER(Tabelle1!O151),Tabelle1!O151/'SF Workings'!AT150,"")</f>
        <v>135.279545548476</v>
      </c>
      <c r="N150" s="23" t="n">
        <f aca="false">IF(ISNUMBER(Tabelle1!P151),Tabelle1!P151/'SF Workings'!AX150,"")</f>
        <v>151.252397232409</v>
      </c>
      <c r="O150" s="23" t="n">
        <f aca="false">IF(ISNUMBER(Tabelle1!Q151),Tabelle1!Q151/'SF Workings'!BB150,"")</f>
        <v>154.355907354958</v>
      </c>
      <c r="P150" s="23" t="n">
        <f aca="false">IF(ISNUMBER(Tabelle1!R151),Tabelle1!R151/'SF Workings'!BF150,"")</f>
        <v>170.929232320814</v>
      </c>
      <c r="Q150" s="23" t="n">
        <f aca="false">IF(ISNUMBER(Tabelle1!S151),Tabelle1!S151/'SF Workings'!BJ150,"")</f>
        <v>149.178337764525</v>
      </c>
      <c r="R150" s="23" t="n">
        <f aca="false">IFERROR(C150*'Weights &amp; Assumptions'!$F$6+D150*'Weights &amp; Assumptions'!$F$7,"")</f>
        <v>121.253933042867</v>
      </c>
      <c r="S150" s="23" t="n">
        <f aca="false">IFERROR(E150*'Weights &amp; Assumptions'!$F$8+F150*'Weights &amp; Assumptions'!$F$9+H150*'Weights &amp; Assumptions'!$F$11,"")</f>
        <v>130.542060030861</v>
      </c>
      <c r="T150" s="23" t="n">
        <f aca="false">IFERROR(G150*'Weights &amp; Assumptions'!$F$10+I150*'Weights &amp; Assumptions'!$F$12+J150*'Weights &amp; Assumptions'!$F$13+K150*'Weights &amp; Assumptions'!$F$14+L150*'Weights &amp; Assumptions'!$F$15+M150*'Weights &amp; Assumptions'!$F$16+N150*'Weights &amp; Assumptions'!$F$17+O150*'Weights &amp; Assumptions'!$F$18+P150*'Weights &amp; Assumptions'!$F$19+Q150*'Weights &amp; Assumptions'!$F$20,"")</f>
        <v>157.471630034473</v>
      </c>
      <c r="U150" s="23" t="n">
        <f aca="false">IFERROR(R150*'Weights &amp; Assumptions'!$B$25/'Weights &amp; Assumptions'!$B$28+S150*'Weights &amp; Assumptions'!$B$26/'Weights &amp; Assumptions'!$B$28+T150*'Weights &amp; Assumptions'!$B$27/'Weights &amp; Assumptions'!$B$28,"")</f>
        <v>147.271892042436</v>
      </c>
      <c r="V150" s="30" t="n">
        <f aca="false">IF(ISNUMBER(Tabelle1!E151),Tabelle1!E151*'Weights &amp; Assumptions'!$F$6+Tabelle1!F151*'Weights &amp; Assumptions'!$F$7,"")</f>
        <v>89.9015787434</v>
      </c>
      <c r="W150" s="30" t="n">
        <f aca="false">IF(ISNUMBER(Tabelle1!G151),Tabelle1!G151*'Weights &amp; Assumptions'!$F$8+Tabelle1!H151*'Weights &amp; Assumptions'!$F$9+Tabelle1!J151*'Weights &amp; Assumptions'!$F$11,"")</f>
        <v>129.372304174332</v>
      </c>
      <c r="X150" s="30" t="n">
        <f aca="false">IF(ISNUMBER(Tabelle1!I151),Tabelle1!I151*'Weights &amp; Assumptions'!$F$10+Tabelle1!K151*'Weights &amp; Assumptions'!$F$12+Tabelle1!L151*'Weights &amp; Assumptions'!$F$13+Tabelle1!M151*'Weights &amp; Assumptions'!$F$14+Tabelle1!N151*'Weights &amp; Assumptions'!$F$15+Tabelle1!O151*'Weights &amp; Assumptions'!$F$16+Tabelle1!P151*'Weights &amp; Assumptions'!$F$17+Tabelle1!Q151*'Weights &amp; Assumptions'!$F$18+Tabelle1!R151*'Weights &amp; Assumptions'!$F$19+Tabelle1!S151*'Weights &amp; Assumptions'!$F$20,"")</f>
        <v>156.841699941816</v>
      </c>
      <c r="Y150" s="23" t="n">
        <f aca="false">IFERROR(V150*'Weights &amp; Assumptions'!$B$25/'Weights &amp; Assumptions'!$B$28+W150*'Weights &amp; Assumptions'!$B$26/'Weights &amp; Assumptions'!$B$28+X150*'Weights &amp; Assumptions'!$B$27/'Weights &amp; Assumptions'!$B$28,"")</f>
        <v>143.920775891298</v>
      </c>
    </row>
    <row r="151" customFormat="false" ht="15" hidden="false" customHeight="false" outlineLevel="0" collapsed="false">
      <c r="A151" s="20" t="n">
        <v>42400</v>
      </c>
      <c r="B151" s="30" t="n">
        <f aca="false">IF(ISNUMBER(Tabelle1!D152),Tabelle1!D152,"")</f>
        <v>147.90289</v>
      </c>
      <c r="C151" s="23" t="n">
        <f aca="false">IF(ISNUMBER(Tabelle1!E152),Tabelle1!E152/'SF Workings'!F151,"")</f>
        <v>116.818195803829</v>
      </c>
      <c r="D151" s="23" t="n">
        <f aca="false">IF(ISNUMBER(Tabelle1!F152),Tabelle1!F152/'SF Workings'!J151,"")</f>
        <v>122.544231076635</v>
      </c>
      <c r="E151" s="23" t="n">
        <f aca="false">IF(ISNUMBER(Tabelle1!G152),Tabelle1!G152/'SF Workings'!N151,"")</f>
        <v>91.0828325759154</v>
      </c>
      <c r="F151" s="23" t="n">
        <f aca="false">IF(ISNUMBER(Tabelle1!H152),Tabelle1!H152/'SF Workings'!R151,"")</f>
        <v>128.841169652017</v>
      </c>
      <c r="G151" s="23" t="n">
        <f aca="false">IF(ISNUMBER(Tabelle1!I152),Tabelle1!I152/'SF Workings'!V151,"")</f>
        <v>143.680797569925</v>
      </c>
      <c r="H151" s="23" t="n">
        <f aca="false">IF(ISNUMBER(Tabelle1!J152),Tabelle1!J152/'SF Workings'!Z151,"")</f>
        <v>138.577712714823</v>
      </c>
      <c r="I151" s="23" t="n">
        <f aca="false">IF(ISNUMBER(Tabelle1!K152),Tabelle1!K152/'SF Workings'!AD151,"")</f>
        <v>145.930436664188</v>
      </c>
      <c r="J151" s="23" t="n">
        <f aca="false">IF(ISNUMBER(Tabelle1!L152),Tabelle1!L152/'SF Workings'!AH151,"")</f>
        <v>153.946731431607</v>
      </c>
      <c r="K151" s="23" t="n">
        <f aca="false">IF(ISNUMBER(Tabelle1!M152),Tabelle1!M152/'SF Workings'!AL151,"")</f>
        <v>191.186681542379</v>
      </c>
      <c r="L151" s="23" t="n">
        <f aca="false">IF(ISNUMBER(Tabelle1!N152),Tabelle1!N152/'SF Workings'!AP151,"")</f>
        <v>176.830444629907</v>
      </c>
      <c r="M151" s="23" t="n">
        <f aca="false">IF(ISNUMBER(Tabelle1!O152),Tabelle1!O152/'SF Workings'!AT151,"")</f>
        <v>134.152419512115</v>
      </c>
      <c r="N151" s="23" t="n">
        <f aca="false">IF(ISNUMBER(Tabelle1!P152),Tabelle1!P152/'SF Workings'!AX151,"")</f>
        <v>151.815471157459</v>
      </c>
      <c r="O151" s="23" t="n">
        <f aca="false">IF(ISNUMBER(Tabelle1!Q152),Tabelle1!Q152/'SF Workings'!BB151,"")</f>
        <v>154.951007425026</v>
      </c>
      <c r="P151" s="23" t="n">
        <f aca="false">IF(ISNUMBER(Tabelle1!R152),Tabelle1!R152/'SF Workings'!BF151,"")</f>
        <v>170.352141672498</v>
      </c>
      <c r="Q151" s="23" t="n">
        <f aca="false">IF(ISNUMBER(Tabelle1!S152),Tabelle1!S152/'SF Workings'!BJ151,"")</f>
        <v>137.344860603952</v>
      </c>
      <c r="R151" s="23" t="n">
        <f aca="false">IFERROR(C151*'Weights &amp; Assumptions'!$F$6+D151*'Weights &amp; Assumptions'!$F$7,"")</f>
        <v>116.888354255581</v>
      </c>
      <c r="S151" s="23" t="n">
        <f aca="false">IFERROR(E151*'Weights &amp; Assumptions'!$F$8+F151*'Weights &amp; Assumptions'!$F$9+H151*'Weights &amp; Assumptions'!$F$11,"")</f>
        <v>126.361262590006</v>
      </c>
      <c r="T151" s="23" t="n">
        <f aca="false">IFERROR(G151*'Weights &amp; Assumptions'!$F$10+I151*'Weights &amp; Assumptions'!$F$12+J151*'Weights &amp; Assumptions'!$F$13+K151*'Weights &amp; Assumptions'!$F$14+L151*'Weights &amp; Assumptions'!$F$15+M151*'Weights &amp; Assumptions'!$F$16+N151*'Weights &amp; Assumptions'!$F$17+O151*'Weights &amp; Assumptions'!$F$18+P151*'Weights &amp; Assumptions'!$F$19+Q151*'Weights &amp; Assumptions'!$F$20,"")</f>
        <v>155.310749772941</v>
      </c>
      <c r="U151" s="23" t="n">
        <f aca="false">IFERROR(R151*'Weights &amp; Assumptions'!$B$25/'Weights &amp; Assumptions'!$B$28+S151*'Weights &amp; Assumptions'!$B$26/'Weights &amp; Assumptions'!$B$28+T151*'Weights &amp; Assumptions'!$B$27/'Weights &amp; Assumptions'!$B$28,"")</f>
        <v>144.388904477618</v>
      </c>
      <c r="V151" s="30" t="n">
        <f aca="false">IF(ISNUMBER(Tabelle1!E152),Tabelle1!E152*'Weights &amp; Assumptions'!$F$6+Tabelle1!F152*'Weights &amp; Assumptions'!$F$7,"")</f>
        <v>64.5613694637728</v>
      </c>
      <c r="W151" s="30" t="n">
        <f aca="false">IF(ISNUMBER(Tabelle1!G152),Tabelle1!G152*'Weights &amp; Assumptions'!$F$8+Tabelle1!H152*'Weights &amp; Assumptions'!$F$9+Tabelle1!J152*'Weights &amp; Assumptions'!$F$11,"")</f>
        <v>116.993119366684</v>
      </c>
      <c r="X151" s="30" t="n">
        <f aca="false">IF(ISNUMBER(Tabelle1!I152),Tabelle1!I152*'Weights &amp; Assumptions'!$F$10+Tabelle1!K152*'Weights &amp; Assumptions'!$F$12+Tabelle1!L152*'Weights &amp; Assumptions'!$F$13+Tabelle1!M152*'Weights &amp; Assumptions'!$F$14+Tabelle1!N152*'Weights &amp; Assumptions'!$F$15+Tabelle1!O152*'Weights &amp; Assumptions'!$F$16+Tabelle1!P152*'Weights &amp; Assumptions'!$F$17+Tabelle1!Q152*'Weights &amp; Assumptions'!$F$18+Tabelle1!R152*'Weights &amp; Assumptions'!$F$19+Tabelle1!S152*'Weights &amp; Assumptions'!$F$20,"")</f>
        <v>152.504558125159</v>
      </c>
      <c r="Y151" s="23" t="n">
        <f aca="false">IFERROR(V151*'Weights &amp; Assumptions'!$B$25/'Weights &amp; Assumptions'!$B$28+W151*'Weights &amp; Assumptions'!$B$26/'Weights &amp; Assumptions'!$B$28+X151*'Weights &amp; Assumptions'!$B$27/'Weights &amp; Assumptions'!$B$28,"")</f>
        <v>135.682939524741</v>
      </c>
    </row>
    <row r="152" customFormat="false" ht="15" hidden="false" customHeight="false" outlineLevel="0" collapsed="false">
      <c r="A152" s="20" t="n">
        <v>42429</v>
      </c>
      <c r="B152" s="30" t="n">
        <f aca="false">IF(ISNUMBER(Tabelle1!D153),Tabelle1!D153,"")</f>
        <v>146.87869</v>
      </c>
      <c r="C152" s="23" t="n">
        <f aca="false">IF(ISNUMBER(Tabelle1!E153),Tabelle1!E153/'SF Workings'!F152,"")</f>
        <v>121.534329628294</v>
      </c>
      <c r="D152" s="23" t="n">
        <f aca="false">IF(ISNUMBER(Tabelle1!F153),Tabelle1!F153/'SF Workings'!J152,"")</f>
        <v>129.219995650973</v>
      </c>
      <c r="E152" s="23" t="n">
        <f aca="false">IF(ISNUMBER(Tabelle1!G153),Tabelle1!G153/'SF Workings'!N152,"")</f>
        <v>92.1747044723414</v>
      </c>
      <c r="F152" s="23" t="n">
        <f aca="false">IF(ISNUMBER(Tabelle1!H153),Tabelle1!H153/'SF Workings'!R152,"")</f>
        <v>131.448207573747</v>
      </c>
      <c r="G152" s="23" t="n">
        <f aca="false">IF(ISNUMBER(Tabelle1!I153),Tabelle1!I153/'SF Workings'!V152,"")</f>
        <v>149.87276359549</v>
      </c>
      <c r="H152" s="23" t="n">
        <f aca="false">IF(ISNUMBER(Tabelle1!J153),Tabelle1!J153/'SF Workings'!Z152,"")</f>
        <v>136.7916152316</v>
      </c>
      <c r="I152" s="23" t="n">
        <f aca="false">IF(ISNUMBER(Tabelle1!K153),Tabelle1!K153/'SF Workings'!AD152,"")</f>
        <v>152.615572031106</v>
      </c>
      <c r="J152" s="23" t="n">
        <f aca="false">IF(ISNUMBER(Tabelle1!L153),Tabelle1!L153/'SF Workings'!AH152,"")</f>
        <v>154.254789191547</v>
      </c>
      <c r="K152" s="23" t="n">
        <f aca="false">IF(ISNUMBER(Tabelle1!M153),Tabelle1!M153/'SF Workings'!AL152,"")</f>
        <v>193.285132867749</v>
      </c>
      <c r="L152" s="23" t="n">
        <f aca="false">IF(ISNUMBER(Tabelle1!N153),Tabelle1!N153/'SF Workings'!AP152,"")</f>
        <v>178.116823272809</v>
      </c>
      <c r="M152" s="23" t="n">
        <f aca="false">IF(ISNUMBER(Tabelle1!O153),Tabelle1!O153/'SF Workings'!AT152,"")</f>
        <v>135.028587309266</v>
      </c>
      <c r="N152" s="23" t="n">
        <f aca="false">IF(ISNUMBER(Tabelle1!P153),Tabelle1!P153/'SF Workings'!AX152,"")</f>
        <v>151.46594259414</v>
      </c>
      <c r="O152" s="23" t="n">
        <f aca="false">IF(ISNUMBER(Tabelle1!Q153),Tabelle1!Q153/'SF Workings'!BB152,"")</f>
        <v>154.988711810548</v>
      </c>
      <c r="P152" s="23" t="n">
        <f aca="false">IF(ISNUMBER(Tabelle1!R153),Tabelle1!R153/'SF Workings'!BF152,"")</f>
        <v>170.743632945033</v>
      </c>
      <c r="Q152" s="23" t="n">
        <f aca="false">IF(ISNUMBER(Tabelle1!S153),Tabelle1!S153/'SF Workings'!BJ152,"")</f>
        <v>142.867435385157</v>
      </c>
      <c r="R152" s="23" t="n">
        <f aca="false">IFERROR(C152*'Weights &amp; Assumptions'!$F$6+D152*'Weights &amp; Assumptions'!$F$7,"")</f>
        <v>121.62849852582</v>
      </c>
      <c r="S152" s="23" t="n">
        <f aca="false">IFERROR(E152*'Weights &amp; Assumptions'!$F$8+F152*'Weights &amp; Assumptions'!$F$9+H152*'Weights &amp; Assumptions'!$F$11,"")</f>
        <v>127.872199295077</v>
      </c>
      <c r="T152" s="23" t="n">
        <f aca="false">IFERROR(G152*'Weights &amp; Assumptions'!$F$10+I152*'Weights &amp; Assumptions'!$F$12+J152*'Weights &amp; Assumptions'!$F$13+K152*'Weights &amp; Assumptions'!$F$14+L152*'Weights &amp; Assumptions'!$F$15+M152*'Weights &amp; Assumptions'!$F$16+N152*'Weights &amp; Assumptions'!$F$17+O152*'Weights &amp; Assumptions'!$F$18+P152*'Weights &amp; Assumptions'!$F$19+Q152*'Weights &amp; Assumptions'!$F$20,"")</f>
        <v>157.744268892437</v>
      </c>
      <c r="U152" s="23" t="n">
        <f aca="false">IFERROR(R152*'Weights &amp; Assumptions'!$B$25/'Weights &amp; Assumptions'!$B$28+S152*'Weights &amp; Assumptions'!$B$26/'Weights &amp; Assumptions'!$B$28+T152*'Weights &amp; Assumptions'!$B$27/'Weights &amp; Assumptions'!$B$28,"")</f>
        <v>146.770620587013</v>
      </c>
      <c r="V152" s="30" t="n">
        <f aca="false">IF(ISNUMBER(Tabelle1!E153),Tabelle1!E153*'Weights &amp; Assumptions'!$F$6+Tabelle1!F153*'Weights &amp; Assumptions'!$F$7,"")</f>
        <v>70.5103035481103</v>
      </c>
      <c r="W152" s="30" t="n">
        <f aca="false">IF(ISNUMBER(Tabelle1!G153),Tabelle1!G153*'Weights &amp; Assumptions'!$F$8+Tabelle1!H153*'Weights &amp; Assumptions'!$F$9+Tabelle1!J153*'Weights &amp; Assumptions'!$F$11,"")</f>
        <v>116.109032548041</v>
      </c>
      <c r="X152" s="30" t="n">
        <f aca="false">IF(ISNUMBER(Tabelle1!I153),Tabelle1!I153*'Weights &amp; Assumptions'!$F$10+Tabelle1!K153*'Weights &amp; Assumptions'!$F$12+Tabelle1!L153*'Weights &amp; Assumptions'!$F$13+Tabelle1!M153*'Weights &amp; Assumptions'!$F$14+Tabelle1!N153*'Weights &amp; Assumptions'!$F$15+Tabelle1!O153*'Weights &amp; Assumptions'!$F$16+Tabelle1!P153*'Weights &amp; Assumptions'!$F$17+Tabelle1!Q153*'Weights &amp; Assumptions'!$F$18+Tabelle1!R153*'Weights &amp; Assumptions'!$F$19+Tabelle1!S153*'Weights &amp; Assumptions'!$F$20,"")</f>
        <v>152.566706818973</v>
      </c>
      <c r="Y152" s="23" t="n">
        <f aca="false">IFERROR(V152*'Weights &amp; Assumptions'!$B$25/'Weights &amp; Assumptions'!$B$28+W152*'Weights &amp; Assumptions'!$B$26/'Weights &amp; Assumptions'!$B$28+X152*'Weights &amp; Assumptions'!$B$27/'Weights &amp; Assumptions'!$B$28,"")</f>
        <v>135.987373860032</v>
      </c>
    </row>
    <row r="153" customFormat="false" ht="15" hidden="false" customHeight="false" outlineLevel="0" collapsed="false">
      <c r="A153" s="20" t="n">
        <v>42460</v>
      </c>
      <c r="B153" s="30" t="n">
        <f aca="false">IF(ISNUMBER(Tabelle1!D154),Tabelle1!D154,"")</f>
        <v>145.96567</v>
      </c>
      <c r="C153" s="23" t="n">
        <f aca="false">IF(ISNUMBER(Tabelle1!E154),Tabelle1!E154/'SF Workings'!F153,"")</f>
        <v>121.70751906877</v>
      </c>
      <c r="D153" s="23" t="n">
        <f aca="false">IF(ISNUMBER(Tabelle1!F154),Tabelle1!F154/'SF Workings'!J153,"")</f>
        <v>143.955698302234</v>
      </c>
      <c r="E153" s="23" t="n">
        <f aca="false">IF(ISNUMBER(Tabelle1!G154),Tabelle1!G154/'SF Workings'!N153,"")</f>
        <v>90.9056520705622</v>
      </c>
      <c r="F153" s="23" t="n">
        <f aca="false">IF(ISNUMBER(Tabelle1!H154),Tabelle1!H154/'SF Workings'!R153,"")</f>
        <v>131.552664317958</v>
      </c>
      <c r="G153" s="23" t="n">
        <f aca="false">IF(ISNUMBER(Tabelle1!I154),Tabelle1!I154/'SF Workings'!V153,"")</f>
        <v>140.432032458734</v>
      </c>
      <c r="H153" s="23" t="n">
        <f aca="false">IF(ISNUMBER(Tabelle1!J154),Tabelle1!J154/'SF Workings'!Z153,"")</f>
        <v>138.151134793642</v>
      </c>
      <c r="I153" s="23" t="n">
        <f aca="false">IF(ISNUMBER(Tabelle1!K154),Tabelle1!K154/'SF Workings'!AD153,"")</f>
        <v>161.701064523047</v>
      </c>
      <c r="J153" s="23" t="n">
        <f aca="false">IF(ISNUMBER(Tabelle1!L154),Tabelle1!L154/'SF Workings'!AH153,"")</f>
        <v>159.753714428732</v>
      </c>
      <c r="K153" s="23" t="n">
        <f aca="false">IF(ISNUMBER(Tabelle1!M154),Tabelle1!M154/'SF Workings'!AL153,"")</f>
        <v>194.008919832996</v>
      </c>
      <c r="L153" s="23" t="n">
        <f aca="false">IF(ISNUMBER(Tabelle1!N154),Tabelle1!N154/'SF Workings'!AP153,"")</f>
        <v>176.337056106426</v>
      </c>
      <c r="M153" s="23" t="n">
        <f aca="false">IF(ISNUMBER(Tabelle1!O154),Tabelle1!O154/'SF Workings'!AT153,"")</f>
        <v>136.297361448524</v>
      </c>
      <c r="N153" s="23" t="n">
        <f aca="false">IF(ISNUMBER(Tabelle1!P154),Tabelle1!P154/'SF Workings'!AX153,"")</f>
        <v>151.225623032598</v>
      </c>
      <c r="O153" s="23" t="n">
        <f aca="false">IF(ISNUMBER(Tabelle1!Q154),Tabelle1!Q154/'SF Workings'!BB153,"")</f>
        <v>155.538020228238</v>
      </c>
      <c r="P153" s="23" t="n">
        <f aca="false">IF(ISNUMBER(Tabelle1!R154),Tabelle1!R154/'SF Workings'!BF153,"")</f>
        <v>172.644183043415</v>
      </c>
      <c r="Q153" s="23" t="n">
        <f aca="false">IF(ISNUMBER(Tabelle1!S154),Tabelle1!S154/'SF Workings'!BJ153,"")</f>
        <v>151.754442687977</v>
      </c>
      <c r="R153" s="23" t="n">
        <f aca="false">IFERROR(C153*'Weights &amp; Assumptions'!$F$6+D153*'Weights &amp; Assumptions'!$F$7,"")</f>
        <v>121.980115679681</v>
      </c>
      <c r="S153" s="23" t="n">
        <f aca="false">IFERROR(E153*'Weights &amp; Assumptions'!$F$8+F153*'Weights &amp; Assumptions'!$F$9+H153*'Weights &amp; Assumptions'!$F$11,"")</f>
        <v>128.074121421601</v>
      </c>
      <c r="T153" s="23" t="n">
        <f aca="false">IFERROR(G153*'Weights &amp; Assumptions'!$F$10+I153*'Weights &amp; Assumptions'!$F$12+J153*'Weights &amp; Assumptions'!$F$13+K153*'Weights &amp; Assumptions'!$F$14+L153*'Weights &amp; Assumptions'!$F$15+M153*'Weights &amp; Assumptions'!$F$16+N153*'Weights &amp; Assumptions'!$F$17+O153*'Weights &amp; Assumptions'!$F$18+P153*'Weights &amp; Assumptions'!$F$19+Q153*'Weights &amp; Assumptions'!$F$20,"")</f>
        <v>160.454373973142</v>
      </c>
      <c r="U153" s="23" t="n">
        <f aca="false">IFERROR(R153*'Weights &amp; Assumptions'!$B$25/'Weights &amp; Assumptions'!$B$28+S153*'Weights &amp; Assumptions'!$B$26/'Weights &amp; Assumptions'!$B$28+T153*'Weights &amp; Assumptions'!$B$27/'Weights &amp; Assumptions'!$B$28,"")</f>
        <v>148.615876907056</v>
      </c>
      <c r="V153" s="30" t="n">
        <f aca="false">IF(ISNUMBER(Tabelle1!E154),Tabelle1!E154*'Weights &amp; Assumptions'!$F$6+Tabelle1!F154*'Weights &amp; Assumptions'!$F$7,"")</f>
        <v>136.564024003409</v>
      </c>
      <c r="W153" s="30" t="n">
        <f aca="false">IF(ISNUMBER(Tabelle1!G154),Tabelle1!G154*'Weights &amp; Assumptions'!$F$8+Tabelle1!H154*'Weights &amp; Assumptions'!$F$9+Tabelle1!J154*'Weights &amp; Assumptions'!$F$11,"")</f>
        <v>128.112079079152</v>
      </c>
      <c r="X153" s="30" t="n">
        <f aca="false">IF(ISNUMBER(Tabelle1!I154),Tabelle1!I154*'Weights &amp; Assumptions'!$F$10+Tabelle1!K154*'Weights &amp; Assumptions'!$F$12+Tabelle1!L154*'Weights &amp; Assumptions'!$F$13+Tabelle1!M154*'Weights &amp; Assumptions'!$F$14+Tabelle1!N154*'Weights &amp; Assumptions'!$F$15+Tabelle1!O154*'Weights &amp; Assumptions'!$F$16+Tabelle1!P154*'Weights &amp; Assumptions'!$F$17+Tabelle1!Q154*'Weights &amp; Assumptions'!$F$18+Tabelle1!R154*'Weights &amp; Assumptions'!$F$19+Tabelle1!S154*'Weights &amp; Assumptions'!$F$20,"")</f>
        <v>162.367992893416</v>
      </c>
      <c r="Y153" s="23" t="n">
        <f aca="false">IFERROR(V153*'Weights &amp; Assumptions'!$B$25/'Weights &amp; Assumptions'!$B$28+W153*'Weights &amp; Assumptions'!$B$26/'Weights &amp; Assumptions'!$B$28+X153*'Weights &amp; Assumptions'!$B$27/'Weights &amp; Assumptions'!$B$28,"")</f>
        <v>151.093772558355</v>
      </c>
    </row>
    <row r="154" customFormat="false" ht="15" hidden="false" customHeight="false" outlineLevel="0" collapsed="false">
      <c r="A154" s="20" t="n">
        <v>42490</v>
      </c>
      <c r="B154" s="30" t="n">
        <f aca="false">IF(ISNUMBER(Tabelle1!D155),Tabelle1!D155,"")</f>
        <v>144.71514</v>
      </c>
      <c r="C154" s="23" t="n">
        <f aca="false">IF(ISNUMBER(Tabelle1!E155),Tabelle1!E155/'SF Workings'!F154,"")</f>
        <v>133.724554492097</v>
      </c>
      <c r="D154" s="23" t="n">
        <f aca="false">IF(ISNUMBER(Tabelle1!F155),Tabelle1!F155/'SF Workings'!J154,"")</f>
        <v>107.510269068132</v>
      </c>
      <c r="E154" s="23" t="n">
        <f aca="false">IF(ISNUMBER(Tabelle1!G155),Tabelle1!G155/'SF Workings'!N154,"")</f>
        <v>93.7408568929992</v>
      </c>
      <c r="F154" s="23" t="n">
        <f aca="false">IF(ISNUMBER(Tabelle1!H155),Tabelle1!H155/'SF Workings'!R154,"")</f>
        <v>135.261436998866</v>
      </c>
      <c r="G154" s="23" t="n">
        <f aca="false">IF(ISNUMBER(Tabelle1!I155),Tabelle1!I155/'SF Workings'!V154,"")</f>
        <v>148.26222935804</v>
      </c>
      <c r="H154" s="23" t="n">
        <f aca="false">IF(ISNUMBER(Tabelle1!J155),Tabelle1!J155/'SF Workings'!Z154,"")</f>
        <v>137.269299883379</v>
      </c>
      <c r="I154" s="23" t="n">
        <f aca="false">IF(ISNUMBER(Tabelle1!K155),Tabelle1!K155/'SF Workings'!AD154,"")</f>
        <v>158.17819273332</v>
      </c>
      <c r="J154" s="23" t="n">
        <f aca="false">IF(ISNUMBER(Tabelle1!L155),Tabelle1!L155/'SF Workings'!AH154,"")</f>
        <v>172.459928089788</v>
      </c>
      <c r="K154" s="23" t="n">
        <f aca="false">IF(ISNUMBER(Tabelle1!M155),Tabelle1!M155/'SF Workings'!AL154,"")</f>
        <v>193.724287664817</v>
      </c>
      <c r="L154" s="23" t="n">
        <f aca="false">IF(ISNUMBER(Tabelle1!N155),Tabelle1!N155/'SF Workings'!AP154,"")</f>
        <v>174.858107401081</v>
      </c>
      <c r="M154" s="23" t="n">
        <f aca="false">IF(ISNUMBER(Tabelle1!O155),Tabelle1!O155/'SF Workings'!AT154,"")</f>
        <v>137.75997618655</v>
      </c>
      <c r="N154" s="23" t="n">
        <f aca="false">IF(ISNUMBER(Tabelle1!P155),Tabelle1!P155/'SF Workings'!AX154,"")</f>
        <v>154.274952303499</v>
      </c>
      <c r="O154" s="23" t="n">
        <f aca="false">IF(ISNUMBER(Tabelle1!Q155),Tabelle1!Q155/'SF Workings'!BB154,"")</f>
        <v>156.54219590289</v>
      </c>
      <c r="P154" s="23" t="n">
        <f aca="false">IF(ISNUMBER(Tabelle1!R155),Tabelle1!R155/'SF Workings'!BF154,"")</f>
        <v>178.870114284988</v>
      </c>
      <c r="Q154" s="23" t="n">
        <f aca="false">IF(ISNUMBER(Tabelle1!S155),Tabelle1!S155/'SF Workings'!BJ154,"")</f>
        <v>157.231118820967</v>
      </c>
      <c r="R154" s="23" t="n">
        <f aca="false">IFERROR(C154*'Weights &amp; Assumptions'!$F$6+D154*'Weights &amp; Assumptions'!$F$7,"")</f>
        <v>133.403363023392</v>
      </c>
      <c r="S154" s="23" t="n">
        <f aca="false">IFERROR(E154*'Weights &amp; Assumptions'!$F$8+F154*'Weights &amp; Assumptions'!$F$9+H154*'Weights &amp; Assumptions'!$F$11,"")</f>
        <v>130.722260116715</v>
      </c>
      <c r="T154" s="23" t="n">
        <f aca="false">IFERROR(G154*'Weights &amp; Assumptions'!$F$10+I154*'Weights &amp; Assumptions'!$F$12+J154*'Weights &amp; Assumptions'!$F$13+K154*'Weights &amp; Assumptions'!$F$14+L154*'Weights &amp; Assumptions'!$F$15+M154*'Weights &amp; Assumptions'!$F$16+N154*'Weights &amp; Assumptions'!$F$17+O154*'Weights &amp; Assumptions'!$F$18+P154*'Weights &amp; Assumptions'!$F$19+Q154*'Weights &amp; Assumptions'!$F$20,"")</f>
        <v>161.812409967205</v>
      </c>
      <c r="U154" s="23" t="n">
        <f aca="false">IFERROR(R154*'Weights &amp; Assumptions'!$B$25/'Weights &amp; Assumptions'!$B$28+S154*'Weights &amp; Assumptions'!$B$26/'Weights &amp; Assumptions'!$B$28+T154*'Weights &amp; Assumptions'!$B$27/'Weights &amp; Assumptions'!$B$28,"")</f>
        <v>151.161453353543</v>
      </c>
      <c r="V154" s="30" t="n">
        <f aca="false">IF(ISNUMBER(Tabelle1!E155),Tabelle1!E155*'Weights &amp; Assumptions'!$F$6+Tabelle1!F155*'Weights &amp; Assumptions'!$F$7,"")</f>
        <v>220.629241540268</v>
      </c>
      <c r="W154" s="30" t="n">
        <f aca="false">IF(ISNUMBER(Tabelle1!G155),Tabelle1!G155*'Weights &amp; Assumptions'!$F$8+Tabelle1!H155*'Weights &amp; Assumptions'!$F$9+Tabelle1!J155*'Weights &amp; Assumptions'!$F$11,"")</f>
        <v>124.237758453659</v>
      </c>
      <c r="X154" s="30" t="n">
        <f aca="false">IF(ISNUMBER(Tabelle1!I155),Tabelle1!I155*'Weights &amp; Assumptions'!$F$10+Tabelle1!K155*'Weights &amp; Assumptions'!$F$12+Tabelle1!L155*'Weights &amp; Assumptions'!$F$13+Tabelle1!M155*'Weights &amp; Assumptions'!$F$14+Tabelle1!N155*'Weights &amp; Assumptions'!$F$15+Tabelle1!O155*'Weights &amp; Assumptions'!$F$16+Tabelle1!P155*'Weights &amp; Assumptions'!$F$17+Tabelle1!Q155*'Weights &amp; Assumptions'!$F$18+Tabelle1!R155*'Weights &amp; Assumptions'!$F$19+Tabelle1!S155*'Weights &amp; Assumptions'!$F$20,"")</f>
        <v>157.876867681714</v>
      </c>
      <c r="Y154" s="23" t="n">
        <f aca="false">IFERROR(V154*'Weights &amp; Assumptions'!$B$25/'Weights &amp; Assumptions'!$B$28+W154*'Weights &amp; Assumptions'!$B$26/'Weights &amp; Assumptions'!$B$28+X154*'Weights &amp; Assumptions'!$B$27/'Weights &amp; Assumptions'!$B$28,"")</f>
        <v>154.196617313615</v>
      </c>
    </row>
    <row r="155" customFormat="false" ht="15" hidden="false" customHeight="false" outlineLevel="0" collapsed="false">
      <c r="A155" s="20" t="n">
        <v>42521</v>
      </c>
      <c r="B155" s="30" t="n">
        <f aca="false">IF(ISNUMBER(Tabelle1!D156),Tabelle1!D156,"")</f>
        <v>144.57675</v>
      </c>
      <c r="C155" s="23" t="n">
        <f aca="false">IF(ISNUMBER(Tabelle1!E156),Tabelle1!E156/'SF Workings'!F155,"")</f>
        <v>136.050579405345</v>
      </c>
      <c r="D155" s="23" t="n">
        <f aca="false">IF(ISNUMBER(Tabelle1!F156),Tabelle1!F156/'SF Workings'!J155,"")</f>
        <v>125.33731409372</v>
      </c>
      <c r="E155" s="23" t="n">
        <f aca="false">IF(ISNUMBER(Tabelle1!G156),Tabelle1!G156/'SF Workings'!N155,"")</f>
        <v>90.4218953793918</v>
      </c>
      <c r="F155" s="23" t="n">
        <f aca="false">IF(ISNUMBER(Tabelle1!H156),Tabelle1!H156/'SF Workings'!R155,"")</f>
        <v>130.539087443032</v>
      </c>
      <c r="G155" s="23" t="n">
        <f aca="false">IF(ISNUMBER(Tabelle1!I156),Tabelle1!I156/'SF Workings'!V155,"")</f>
        <v>151.494869085638</v>
      </c>
      <c r="H155" s="23" t="n">
        <f aca="false">IF(ISNUMBER(Tabelle1!J156),Tabelle1!J156/'SF Workings'!Z155,"")</f>
        <v>137.010033452418</v>
      </c>
      <c r="I155" s="23" t="n">
        <f aca="false">IF(ISNUMBER(Tabelle1!K156),Tabelle1!K156/'SF Workings'!AD155,"")</f>
        <v>152.025560554323</v>
      </c>
      <c r="J155" s="23" t="n">
        <f aca="false">IF(ISNUMBER(Tabelle1!L156),Tabelle1!L156/'SF Workings'!AH155,"")</f>
        <v>167.120081949026</v>
      </c>
      <c r="K155" s="23" t="n">
        <f aca="false">IF(ISNUMBER(Tabelle1!M156),Tabelle1!M156/'SF Workings'!AL155,"")</f>
        <v>192.588691004685</v>
      </c>
      <c r="L155" s="23" t="n">
        <f aca="false">IF(ISNUMBER(Tabelle1!N156),Tabelle1!N156/'SF Workings'!AP155,"")</f>
        <v>173.128176702808</v>
      </c>
      <c r="M155" s="23" t="n">
        <f aca="false">IF(ISNUMBER(Tabelle1!O156),Tabelle1!O156/'SF Workings'!AT155,"")</f>
        <v>136.14148940253</v>
      </c>
      <c r="N155" s="23" t="n">
        <f aca="false">IF(ISNUMBER(Tabelle1!P156),Tabelle1!P156/'SF Workings'!AX155,"")</f>
        <v>154.091105640629</v>
      </c>
      <c r="O155" s="23" t="n">
        <f aca="false">IF(ISNUMBER(Tabelle1!Q156),Tabelle1!Q156/'SF Workings'!BB155,"")</f>
        <v>156.193983039</v>
      </c>
      <c r="P155" s="23" t="n">
        <f aca="false">IF(ISNUMBER(Tabelle1!R156),Tabelle1!R156/'SF Workings'!BF155,"")</f>
        <v>176.233679693322</v>
      </c>
      <c r="Q155" s="23" t="n">
        <f aca="false">IF(ISNUMBER(Tabelle1!S156),Tabelle1!S156/'SF Workings'!BJ155,"")</f>
        <v>159.401336797368</v>
      </c>
      <c r="R155" s="23" t="n">
        <f aca="false">IFERROR(C155*'Weights &amp; Assumptions'!$F$6+D155*'Weights &amp; Assumptions'!$F$7,"")</f>
        <v>135.919314739365</v>
      </c>
      <c r="S155" s="23" t="n">
        <f aca="false">IFERROR(E155*'Weights &amp; Assumptions'!$F$8+F155*'Weights &amp; Assumptions'!$F$9+H155*'Weights &amp; Assumptions'!$F$11,"")</f>
        <v>127.09723750456</v>
      </c>
      <c r="T155" s="23" t="n">
        <f aca="false">IFERROR(G155*'Weights &amp; Assumptions'!$F$10+I155*'Weights &amp; Assumptions'!$F$12+J155*'Weights &amp; Assumptions'!$F$13+K155*'Weights &amp; Assumptions'!$F$14+L155*'Weights &amp; Assumptions'!$F$15+M155*'Weights &amp; Assumptions'!$F$16+N155*'Weights &amp; Assumptions'!$F$17+O155*'Weights &amp; Assumptions'!$F$18+P155*'Weights &amp; Assumptions'!$F$19+Q155*'Weights &amp; Assumptions'!$F$20,"")</f>
        <v>159.658807393282</v>
      </c>
      <c r="U155" s="23" t="n">
        <f aca="false">IFERROR(R155*'Weights &amp; Assumptions'!$B$25/'Weights &amp; Assumptions'!$B$28+S155*'Weights &amp; Assumptions'!$B$26/'Weights &amp; Assumptions'!$B$28+T155*'Weights &amp; Assumptions'!$B$27/'Weights &amp; Assumptions'!$B$28,"")</f>
        <v>149.008353979364</v>
      </c>
      <c r="V155" s="30" t="n">
        <f aca="false">IF(ISNUMBER(Tabelle1!E156),Tabelle1!E156*'Weights &amp; Assumptions'!$F$6+Tabelle1!F156*'Weights &amp; Assumptions'!$F$7,"")</f>
        <v>327.141834705903</v>
      </c>
      <c r="W155" s="30" t="n">
        <f aca="false">IF(ISNUMBER(Tabelle1!G156),Tabelle1!G156*'Weights &amp; Assumptions'!$F$8+Tabelle1!H156*'Weights &amp; Assumptions'!$F$9+Tabelle1!J156*'Weights &amp; Assumptions'!$F$11,"")</f>
        <v>127.848948410149</v>
      </c>
      <c r="X155" s="30" t="n">
        <f aca="false">IF(ISNUMBER(Tabelle1!I156),Tabelle1!I156*'Weights &amp; Assumptions'!$F$10+Tabelle1!K156*'Weights &amp; Assumptions'!$F$12+Tabelle1!L156*'Weights &amp; Assumptions'!$F$13+Tabelle1!M156*'Weights &amp; Assumptions'!$F$14+Tabelle1!N156*'Weights &amp; Assumptions'!$F$15+Tabelle1!O156*'Weights &amp; Assumptions'!$F$16+Tabelle1!P156*'Weights &amp; Assumptions'!$F$17+Tabelle1!Q156*'Weights &amp; Assumptions'!$F$18+Tabelle1!R156*'Weights &amp; Assumptions'!$F$19+Tabelle1!S156*'Weights &amp; Assumptions'!$F$20,"")</f>
        <v>160.537575369565</v>
      </c>
      <c r="Y155" s="23" t="n">
        <f aca="false">IFERROR(V155*'Weights &amp; Assumptions'!$B$25/'Weights &amp; Assumptions'!$B$28+W155*'Weights &amp; Assumptions'!$B$26/'Weights &amp; Assumptions'!$B$28+X155*'Weights &amp; Assumptions'!$B$27/'Weights &amp; Assumptions'!$B$28,"")</f>
        <v>165.823334456831</v>
      </c>
    </row>
    <row r="156" customFormat="false" ht="15" hidden="false" customHeight="false" outlineLevel="0" collapsed="false">
      <c r="A156" s="20" t="n">
        <v>42551</v>
      </c>
      <c r="B156" s="30" t="n">
        <f aca="false">IF(ISNUMBER(Tabelle1!D157),Tabelle1!D157,"")</f>
        <v>144.37905</v>
      </c>
      <c r="C156" s="23" t="n">
        <f aca="false">IF(ISNUMBER(Tabelle1!E157),Tabelle1!E157/'SF Workings'!F156,"")</f>
        <v>136.768451618299</v>
      </c>
      <c r="D156" s="23" t="n">
        <f aca="false">IF(ISNUMBER(Tabelle1!F157),Tabelle1!F157/'SF Workings'!J156,"")</f>
        <v>183.384497977248</v>
      </c>
      <c r="E156" s="23" t="n">
        <f aca="false">IF(ISNUMBER(Tabelle1!G157),Tabelle1!G157/'SF Workings'!N156,"")</f>
        <v>89.7683419201743</v>
      </c>
      <c r="F156" s="23" t="n">
        <f aca="false">IF(ISNUMBER(Tabelle1!H157),Tabelle1!H157/'SF Workings'!R156,"")</f>
        <v>122.86484737836</v>
      </c>
      <c r="G156" s="23" t="n">
        <f aca="false">IF(ISNUMBER(Tabelle1!I157),Tabelle1!I157/'SF Workings'!V156,"")</f>
        <v>144.803553741299</v>
      </c>
      <c r="H156" s="23" t="n">
        <f aca="false">IF(ISNUMBER(Tabelle1!J157),Tabelle1!J157/'SF Workings'!Z156,"")</f>
        <v>131.02993188865</v>
      </c>
      <c r="I156" s="23" t="n">
        <f aca="false">IF(ISNUMBER(Tabelle1!K157),Tabelle1!K157/'SF Workings'!AD156,"")</f>
        <v>151.908460220455</v>
      </c>
      <c r="J156" s="23" t="n">
        <f aca="false">IF(ISNUMBER(Tabelle1!L157),Tabelle1!L157/'SF Workings'!AH156,"")</f>
        <v>163.867500825413</v>
      </c>
      <c r="K156" s="23" t="n">
        <f aca="false">IF(ISNUMBER(Tabelle1!M157),Tabelle1!M157/'SF Workings'!AL156,"")</f>
        <v>192.390633875802</v>
      </c>
      <c r="L156" s="23" t="n">
        <f aca="false">IF(ISNUMBER(Tabelle1!N157),Tabelle1!N157/'SF Workings'!AP156,"")</f>
        <v>170.748681135538</v>
      </c>
      <c r="M156" s="23" t="n">
        <f aca="false">IF(ISNUMBER(Tabelle1!O157),Tabelle1!O157/'SF Workings'!AT156,"")</f>
        <v>136.439439532822</v>
      </c>
      <c r="N156" s="23" t="n">
        <f aca="false">IF(ISNUMBER(Tabelle1!P157),Tabelle1!P157/'SF Workings'!AX156,"")</f>
        <v>153.775203846632</v>
      </c>
      <c r="O156" s="23" t="n">
        <f aca="false">IF(ISNUMBER(Tabelle1!Q157),Tabelle1!Q157/'SF Workings'!BB156,"")</f>
        <v>156.390839255084</v>
      </c>
      <c r="P156" s="23" t="n">
        <f aca="false">IF(ISNUMBER(Tabelle1!R157),Tabelle1!R157/'SF Workings'!BF156,"")</f>
        <v>175.851494025992</v>
      </c>
      <c r="Q156" s="23" t="n">
        <f aca="false">IF(ISNUMBER(Tabelle1!S157),Tabelle1!S157/'SF Workings'!BJ156,"")</f>
        <v>157.776151583545</v>
      </c>
      <c r="R156" s="23" t="n">
        <f aca="false">IFERROR(C156*'Weights &amp; Assumptions'!$F$6+D156*'Weights &amp; Assumptions'!$F$7,"")</f>
        <v>137.339616391747</v>
      </c>
      <c r="S156" s="23" t="n">
        <f aca="false">IFERROR(E156*'Weights &amp; Assumptions'!$F$8+F156*'Weights &amp; Assumptions'!$F$9+H156*'Weights &amp; Assumptions'!$F$11,"")</f>
        <v>120.614180399513</v>
      </c>
      <c r="T156" s="23" t="n">
        <f aca="false">IFERROR(G156*'Weights &amp; Assumptions'!$F$10+I156*'Weights &amp; Assumptions'!$F$12+J156*'Weights &amp; Assumptions'!$F$13+K156*'Weights &amp; Assumptions'!$F$14+L156*'Weights &amp; Assumptions'!$F$15+M156*'Weights &amp; Assumptions'!$F$16+N156*'Weights &amp; Assumptions'!$F$17+O156*'Weights &amp; Assumptions'!$F$18+P156*'Weights &amp; Assumptions'!$F$19+Q156*'Weights &amp; Assumptions'!$F$20,"")</f>
        <v>159.011962414094</v>
      </c>
      <c r="U156" s="23" t="n">
        <f aca="false">IFERROR(R156*'Weights &amp; Assumptions'!$B$25/'Weights &amp; Assumptions'!$B$28+S156*'Weights &amp; Assumptions'!$B$26/'Weights &amp; Assumptions'!$B$28+T156*'Weights &amp; Assumptions'!$B$27/'Weights &amp; Assumptions'!$B$28,"")</f>
        <v>146.982993570657</v>
      </c>
      <c r="V156" s="30" t="n">
        <f aca="false">IF(ISNUMBER(Tabelle1!E157),Tabelle1!E157*'Weights &amp; Assumptions'!$F$6+Tabelle1!F157*'Weights &amp; Assumptions'!$F$7,"")</f>
        <v>222.256673153002</v>
      </c>
      <c r="W156" s="30" t="n">
        <f aca="false">IF(ISNUMBER(Tabelle1!G157),Tabelle1!G157*'Weights &amp; Assumptions'!$F$8+Tabelle1!H157*'Weights &amp; Assumptions'!$F$9+Tabelle1!J157*'Weights &amp; Assumptions'!$F$11,"")</f>
        <v>121.786100322242</v>
      </c>
      <c r="X156" s="30" t="n">
        <f aca="false">IF(ISNUMBER(Tabelle1!I157),Tabelle1!I157*'Weights &amp; Assumptions'!$F$10+Tabelle1!K157*'Weights &amp; Assumptions'!$F$12+Tabelle1!L157*'Weights &amp; Assumptions'!$F$13+Tabelle1!M157*'Weights &amp; Assumptions'!$F$14+Tabelle1!N157*'Weights &amp; Assumptions'!$F$15+Tabelle1!O157*'Weights &amp; Assumptions'!$F$16+Tabelle1!P157*'Weights &amp; Assumptions'!$F$17+Tabelle1!Q157*'Weights &amp; Assumptions'!$F$18+Tabelle1!R157*'Weights &amp; Assumptions'!$F$19+Tabelle1!S157*'Weights &amp; Assumptions'!$F$20,"")</f>
        <v>161.317010177304</v>
      </c>
      <c r="Y156" s="23" t="n">
        <f aca="false">IFERROR(V156*'Weights &amp; Assumptions'!$B$25/'Weights &amp; Assumptions'!$B$28+W156*'Weights &amp; Assumptions'!$B$26/'Weights &amp; Assumptions'!$B$28+X156*'Weights &amp; Assumptions'!$B$27/'Weights &amp; Assumptions'!$B$28,"")</f>
        <v>155.917939151932</v>
      </c>
    </row>
    <row r="157" customFormat="false" ht="15" hidden="false" customHeight="false" outlineLevel="0" collapsed="false">
      <c r="A157" s="20" t="n">
        <v>42582</v>
      </c>
      <c r="B157" s="30" t="n">
        <f aca="false">IF(ISNUMBER(Tabelle1!D158),Tabelle1!D158,"")</f>
        <v>144.58279</v>
      </c>
      <c r="C157" s="23" t="n">
        <f aca="false">IF(ISNUMBER(Tabelle1!E158),Tabelle1!E158/'SF Workings'!F157,"")</f>
        <v>126.581094006489</v>
      </c>
      <c r="D157" s="23" t="n">
        <f aca="false">IF(ISNUMBER(Tabelle1!F158),Tabelle1!F158/'SF Workings'!J157,"")</f>
        <v>184.356560569432</v>
      </c>
      <c r="E157" s="23" t="n">
        <f aca="false">IF(ISNUMBER(Tabelle1!G158),Tabelle1!G158/'SF Workings'!N157,"")</f>
        <v>89.9910482480337</v>
      </c>
      <c r="F157" s="23" t="n">
        <f aca="false">IF(ISNUMBER(Tabelle1!H158),Tabelle1!H158/'SF Workings'!R157,"")</f>
        <v>123.790450340387</v>
      </c>
      <c r="G157" s="23" t="n">
        <f aca="false">IF(ISNUMBER(Tabelle1!I158),Tabelle1!I158/'SF Workings'!V157,"")</f>
        <v>143.462115584515</v>
      </c>
      <c r="H157" s="23" t="n">
        <f aca="false">IF(ISNUMBER(Tabelle1!J158),Tabelle1!J158/'SF Workings'!Z157,"")</f>
        <v>126.933650025619</v>
      </c>
      <c r="I157" s="23" t="n">
        <f aca="false">IF(ISNUMBER(Tabelle1!K158),Tabelle1!K158/'SF Workings'!AD157,"")</f>
        <v>146.478852929821</v>
      </c>
      <c r="J157" s="23" t="n">
        <f aca="false">IF(ISNUMBER(Tabelle1!L158),Tabelle1!L158/'SF Workings'!AH157,"")</f>
        <v>164.179226189366</v>
      </c>
      <c r="K157" s="23" t="n">
        <f aca="false">IF(ISNUMBER(Tabelle1!M158),Tabelle1!M158/'SF Workings'!AL157,"")</f>
        <v>191.996275013828</v>
      </c>
      <c r="L157" s="23" t="n">
        <f aca="false">IF(ISNUMBER(Tabelle1!N158),Tabelle1!N158/'SF Workings'!AP157,"")</f>
        <v>169.945510055268</v>
      </c>
      <c r="M157" s="23" t="n">
        <f aca="false">IF(ISNUMBER(Tabelle1!O158),Tabelle1!O158/'SF Workings'!AT157,"")</f>
        <v>134.944946364369</v>
      </c>
      <c r="N157" s="23" t="n">
        <f aca="false">IF(ISNUMBER(Tabelle1!P158),Tabelle1!P158/'SF Workings'!AX157,"")</f>
        <v>153.69070617558</v>
      </c>
      <c r="O157" s="23" t="n">
        <f aca="false">IF(ISNUMBER(Tabelle1!Q158),Tabelle1!Q158/'SF Workings'!BB157,"")</f>
        <v>156.648209202064</v>
      </c>
      <c r="P157" s="23" t="n">
        <f aca="false">IF(ISNUMBER(Tabelle1!R158),Tabelle1!R158/'SF Workings'!BF157,"")</f>
        <v>174.763414926846</v>
      </c>
      <c r="Q157" s="23" t="n">
        <f aca="false">IF(ISNUMBER(Tabelle1!S158),Tabelle1!S158/'SF Workings'!BJ157,"")</f>
        <v>155.44712942449</v>
      </c>
      <c r="R157" s="23" t="n">
        <f aca="false">IFERROR(C157*'Weights &amp; Assumptions'!$F$6+D157*'Weights &amp; Assumptions'!$F$7,"")</f>
        <v>127.288989974674</v>
      </c>
      <c r="S157" s="23" t="n">
        <f aca="false">IFERROR(E157*'Weights &amp; Assumptions'!$F$8+F157*'Weights &amp; Assumptions'!$F$9+H157*'Weights &amp; Assumptions'!$F$11,"")</f>
        <v>120.409681894966</v>
      </c>
      <c r="T157" s="23" t="n">
        <f aca="false">IFERROR(G157*'Weights &amp; Assumptions'!$F$10+I157*'Weights &amp; Assumptions'!$F$12+J157*'Weights &amp; Assumptions'!$F$13+K157*'Weights &amp; Assumptions'!$F$14+L157*'Weights &amp; Assumptions'!$F$15+M157*'Weights &amp; Assumptions'!$F$16+N157*'Weights &amp; Assumptions'!$F$17+O157*'Weights &amp; Assumptions'!$F$18+P157*'Weights &amp; Assumptions'!$F$19+Q157*'Weights &amp; Assumptions'!$F$20,"")</f>
        <v>157.264402309133</v>
      </c>
      <c r="U157" s="23" t="n">
        <f aca="false">IFERROR(R157*'Weights &amp; Assumptions'!$B$25/'Weights &amp; Assumptions'!$B$28+S157*'Weights &amp; Assumptions'!$B$26/'Weights &amp; Assumptions'!$B$28+T157*'Weights &amp; Assumptions'!$B$27/'Weights &amp; Assumptions'!$B$28,"")</f>
        <v>144.949126326317</v>
      </c>
      <c r="V157" s="30" t="n">
        <f aca="false">IF(ISNUMBER(Tabelle1!E158),Tabelle1!E158*'Weights &amp; Assumptions'!$F$6+Tabelle1!F158*'Weights &amp; Assumptions'!$F$7,"")</f>
        <v>114.757539994994</v>
      </c>
      <c r="W157" s="30" t="n">
        <f aca="false">IF(ISNUMBER(Tabelle1!G158),Tabelle1!G158*'Weights &amp; Assumptions'!$F$8+Tabelle1!H158*'Weights &amp; Assumptions'!$F$9+Tabelle1!J158*'Weights &amp; Assumptions'!$F$11,"")</f>
        <v>123.191229355064</v>
      </c>
      <c r="X157" s="30" t="n">
        <f aca="false">IF(ISNUMBER(Tabelle1!I158),Tabelle1!I158*'Weights &amp; Assumptions'!$F$10+Tabelle1!K158*'Weights &amp; Assumptions'!$F$12+Tabelle1!L158*'Weights &amp; Assumptions'!$F$13+Tabelle1!M158*'Weights &amp; Assumptions'!$F$14+Tabelle1!N158*'Weights &amp; Assumptions'!$F$15+Tabelle1!O158*'Weights &amp; Assumptions'!$F$16+Tabelle1!P158*'Weights &amp; Assumptions'!$F$17+Tabelle1!Q158*'Weights &amp; Assumptions'!$F$18+Tabelle1!R158*'Weights &amp; Assumptions'!$F$19+Tabelle1!S158*'Weights &amp; Assumptions'!$F$20,"")</f>
        <v>159.464005460263</v>
      </c>
      <c r="Y157" s="23" t="n">
        <f aca="false">IFERROR(V157*'Weights &amp; Assumptions'!$B$25/'Weights &amp; Assumptions'!$B$28+W157*'Weights &amp; Assumptions'!$B$26/'Weights &amp; Assumptions'!$B$28+X157*'Weights &amp; Assumptions'!$B$27/'Weights &amp; Assumptions'!$B$28,"")</f>
        <v>146.067531017868</v>
      </c>
    </row>
    <row r="158" customFormat="false" ht="15" hidden="false" customHeight="false" outlineLevel="0" collapsed="false">
      <c r="A158" s="20" t="n">
        <v>42613</v>
      </c>
      <c r="B158" s="30" t="n">
        <f aca="false">IF(ISNUMBER(Tabelle1!D159),Tabelle1!D159,"")</f>
        <v>145.6509</v>
      </c>
      <c r="C158" s="23" t="n">
        <f aca="false">IF(ISNUMBER(Tabelle1!E159),Tabelle1!E159/'SF Workings'!F158,"")</f>
        <v>121.808096721992</v>
      </c>
      <c r="D158" s="23" t="n">
        <f aca="false">IF(ISNUMBER(Tabelle1!F159),Tabelle1!F159/'SF Workings'!J158,"")</f>
        <v>171.627401455862</v>
      </c>
      <c r="E158" s="23" t="n">
        <f aca="false">IF(ISNUMBER(Tabelle1!G159),Tabelle1!G159/'SF Workings'!N158,"")</f>
        <v>89.2445016682288</v>
      </c>
      <c r="F158" s="23" t="n">
        <f aca="false">IF(ISNUMBER(Tabelle1!H159),Tabelle1!H159/'SF Workings'!R158,"")</f>
        <v>126.151248708654</v>
      </c>
      <c r="G158" s="23" t="n">
        <f aca="false">IF(ISNUMBER(Tabelle1!I159),Tabelle1!I159/'SF Workings'!V158,"")</f>
        <v>142.132481655211</v>
      </c>
      <c r="H158" s="23" t="n">
        <f aca="false">IF(ISNUMBER(Tabelle1!J159),Tabelle1!J159/'SF Workings'!Z158,"")</f>
        <v>137.217102749278</v>
      </c>
      <c r="I158" s="23" t="n">
        <f aca="false">IF(ISNUMBER(Tabelle1!K159),Tabelle1!K159/'SF Workings'!AD158,"")</f>
        <v>153.033394424553</v>
      </c>
      <c r="J158" s="23" t="n">
        <f aca="false">IF(ISNUMBER(Tabelle1!L159),Tabelle1!L159/'SF Workings'!AH158,"")</f>
        <v>162.987401837879</v>
      </c>
      <c r="K158" s="23" t="n">
        <f aca="false">IF(ISNUMBER(Tabelle1!M159),Tabelle1!M159/'SF Workings'!AL158,"")</f>
        <v>194.994342117768</v>
      </c>
      <c r="L158" s="23" t="n">
        <f aca="false">IF(ISNUMBER(Tabelle1!N159),Tabelle1!N159/'SF Workings'!AP158,"")</f>
        <v>173.705916229757</v>
      </c>
      <c r="M158" s="23" t="n">
        <f aca="false">IF(ISNUMBER(Tabelle1!O159),Tabelle1!O159/'SF Workings'!AT158,"")</f>
        <v>136.860840600597</v>
      </c>
      <c r="N158" s="23" t="n">
        <f aca="false">IF(ISNUMBER(Tabelle1!P159),Tabelle1!P159/'SF Workings'!AX158,"")</f>
        <v>153.269972309843</v>
      </c>
      <c r="O158" s="23" t="n">
        <f aca="false">IF(ISNUMBER(Tabelle1!Q159),Tabelle1!Q159/'SF Workings'!BB158,"")</f>
        <v>156.530836445184</v>
      </c>
      <c r="P158" s="23" t="n">
        <f aca="false">IF(ISNUMBER(Tabelle1!R159),Tabelle1!R159/'SF Workings'!BF158,"")</f>
        <v>175.171624563389</v>
      </c>
      <c r="Q158" s="23" t="n">
        <f aca="false">IF(ISNUMBER(Tabelle1!S159),Tabelle1!S159/'SF Workings'!BJ158,"")</f>
        <v>150.479666401966</v>
      </c>
      <c r="R158" s="23" t="n">
        <f aca="false">IFERROR(C158*'Weights &amp; Assumptions'!$F$6+D158*'Weights &amp; Assumptions'!$F$7,"")</f>
        <v>122.41850953312</v>
      </c>
      <c r="S158" s="23" t="n">
        <f aca="false">IFERROR(E158*'Weights &amp; Assumptions'!$F$8+F158*'Weights &amp; Assumptions'!$F$9+H158*'Weights &amp; Assumptions'!$F$11,"")</f>
        <v>124.049946419057</v>
      </c>
      <c r="T158" s="23" t="n">
        <f aca="false">IFERROR(G158*'Weights &amp; Assumptions'!$F$10+I158*'Weights &amp; Assumptions'!$F$12+J158*'Weights &amp; Assumptions'!$F$13+K158*'Weights &amp; Assumptions'!$F$14+L158*'Weights &amp; Assumptions'!$F$15+M158*'Weights &amp; Assumptions'!$F$16+N158*'Weights &amp; Assumptions'!$F$17+O158*'Weights &amp; Assumptions'!$F$18+P158*'Weights &amp; Assumptions'!$F$19+Q158*'Weights &amp; Assumptions'!$F$20,"")</f>
        <v>159.328180677415</v>
      </c>
      <c r="U158" s="23" t="n">
        <f aca="false">IFERROR(R158*'Weights &amp; Assumptions'!$B$25/'Weights &amp; Assumptions'!$B$28+S158*'Weights &amp; Assumptions'!$B$26/'Weights &amp; Assumptions'!$B$28+T158*'Weights &amp; Assumptions'!$B$27/'Weights &amp; Assumptions'!$B$28,"")</f>
        <v>146.850329816925</v>
      </c>
      <c r="V158" s="30" t="n">
        <f aca="false">IF(ISNUMBER(Tabelle1!E159),Tabelle1!E159*'Weights &amp; Assumptions'!$F$6+Tabelle1!F159*'Weights &amp; Assumptions'!$F$7,"")</f>
        <v>72.9546289520983</v>
      </c>
      <c r="W158" s="30" t="n">
        <f aca="false">IF(ISNUMBER(Tabelle1!G159),Tabelle1!G159*'Weights &amp; Assumptions'!$F$8+Tabelle1!H159*'Weights &amp; Assumptions'!$F$9+Tabelle1!J159*'Weights &amp; Assumptions'!$F$11,"")</f>
        <v>130.259194741311</v>
      </c>
      <c r="X158" s="30" t="n">
        <f aca="false">IF(ISNUMBER(Tabelle1!I159),Tabelle1!I159*'Weights &amp; Assumptions'!$F$10+Tabelle1!K159*'Weights &amp; Assumptions'!$F$12+Tabelle1!L159*'Weights &amp; Assumptions'!$F$13+Tabelle1!M159*'Weights &amp; Assumptions'!$F$14+Tabelle1!N159*'Weights &amp; Assumptions'!$F$15+Tabelle1!O159*'Weights &amp; Assumptions'!$F$16+Tabelle1!P159*'Weights &amp; Assumptions'!$F$17+Tabelle1!Q159*'Weights &amp; Assumptions'!$F$18+Tabelle1!R159*'Weights &amp; Assumptions'!$F$19+Tabelle1!S159*'Weights &amp; Assumptions'!$F$20,"")</f>
        <v>160.877095882405</v>
      </c>
      <c r="Y158" s="23" t="n">
        <f aca="false">IFERROR(V158*'Weights &amp; Assumptions'!$B$25/'Weights &amp; Assumptions'!$B$28+W158*'Weights &amp; Assumptions'!$B$26/'Weights &amp; Assumptions'!$B$28+X158*'Weights &amp; Assumptions'!$B$27/'Weights &amp; Assumptions'!$B$28,"")</f>
        <v>145.358492986054</v>
      </c>
    </row>
    <row r="159" customFormat="false" ht="15" hidden="false" customHeight="false" outlineLevel="0" collapsed="false">
      <c r="A159" s="20" t="n">
        <v>42643</v>
      </c>
      <c r="B159" s="30" t="n">
        <f aca="false">IF(ISNUMBER(Tabelle1!D160),Tabelle1!D160,"")</f>
        <v>145.0188</v>
      </c>
      <c r="C159" s="23" t="n">
        <f aca="false">IF(ISNUMBER(Tabelle1!E160),Tabelle1!E160/'SF Workings'!F159,"")</f>
        <v>114.997039587986</v>
      </c>
      <c r="D159" s="23" t="n">
        <f aca="false">IF(ISNUMBER(Tabelle1!F160),Tabelle1!F160/'SF Workings'!J159,"")</f>
        <v>145.329838028935</v>
      </c>
      <c r="E159" s="23" t="n">
        <f aca="false">IF(ISNUMBER(Tabelle1!G160),Tabelle1!G160/'SF Workings'!N159,"")</f>
        <v>89.9781518471873</v>
      </c>
      <c r="F159" s="23" t="n">
        <f aca="false">IF(ISNUMBER(Tabelle1!H160),Tabelle1!H160/'SF Workings'!R159,"")</f>
        <v>130.79431521436</v>
      </c>
      <c r="G159" s="23" t="n">
        <f aca="false">IF(ISNUMBER(Tabelle1!I160),Tabelle1!I160/'SF Workings'!V159,"")</f>
        <v>147.375172192825</v>
      </c>
      <c r="H159" s="23" t="n">
        <f aca="false">IF(ISNUMBER(Tabelle1!J160),Tabelle1!J160/'SF Workings'!Z159,"")</f>
        <v>133.893164357691</v>
      </c>
      <c r="I159" s="23" t="n">
        <f aca="false">IF(ISNUMBER(Tabelle1!K160),Tabelle1!K160/'SF Workings'!AD159,"")</f>
        <v>155.481672675733</v>
      </c>
      <c r="J159" s="23" t="n">
        <f aca="false">IF(ISNUMBER(Tabelle1!L160),Tabelle1!L160/'SF Workings'!AH159,"")</f>
        <v>162.609473134043</v>
      </c>
      <c r="K159" s="23" t="n">
        <f aca="false">IF(ISNUMBER(Tabelle1!M160),Tabelle1!M160/'SF Workings'!AL159,"")</f>
        <v>194.788393973321</v>
      </c>
      <c r="L159" s="23" t="n">
        <f aca="false">IF(ISNUMBER(Tabelle1!N160),Tabelle1!N160/'SF Workings'!AP159,"")</f>
        <v>172.222888814255</v>
      </c>
      <c r="M159" s="23" t="n">
        <f aca="false">IF(ISNUMBER(Tabelle1!O160),Tabelle1!O160/'SF Workings'!AT159,"")</f>
        <v>136.136206221519</v>
      </c>
      <c r="N159" s="23" t="n">
        <f aca="false">IF(ISNUMBER(Tabelle1!P160),Tabelle1!P160/'SF Workings'!AX159,"")</f>
        <v>153.227386512249</v>
      </c>
      <c r="O159" s="23" t="n">
        <f aca="false">IF(ISNUMBER(Tabelle1!Q160),Tabelle1!Q160/'SF Workings'!BB159,"")</f>
        <v>156.469883631281</v>
      </c>
      <c r="P159" s="23" t="n">
        <f aca="false">IF(ISNUMBER(Tabelle1!R160),Tabelle1!R160/'SF Workings'!BF159,"")</f>
        <v>174.592087771885</v>
      </c>
      <c r="Q159" s="23" t="n">
        <f aca="false">IF(ISNUMBER(Tabelle1!S160),Tabelle1!S160/'SF Workings'!BJ159,"")</f>
        <v>148.581939963506</v>
      </c>
      <c r="R159" s="23" t="n">
        <f aca="false">IFERROR(C159*'Weights &amp; Assumptions'!$F$6+D159*'Weights &amp; Assumptions'!$F$7,"")</f>
        <v>115.368693284573</v>
      </c>
      <c r="S159" s="23" t="n">
        <f aca="false">IFERROR(E159*'Weights &amp; Assumptions'!$F$8+F159*'Weights &amp; Assumptions'!$F$9+H159*'Weights &amp; Assumptions'!$F$11,"")</f>
        <v>126.566522282273</v>
      </c>
      <c r="T159" s="23" t="n">
        <f aca="false">IFERROR(G159*'Weights &amp; Assumptions'!$F$10+I159*'Weights &amp; Assumptions'!$F$12+J159*'Weights &amp; Assumptions'!$F$13+K159*'Weights &amp; Assumptions'!$F$14+L159*'Weights &amp; Assumptions'!$F$15+M159*'Weights &amp; Assumptions'!$F$16+N159*'Weights &amp; Assumptions'!$F$17+O159*'Weights &amp; Assumptions'!$F$18+P159*'Weights &amp; Assumptions'!$F$19+Q159*'Weights &amp; Assumptions'!$F$20,"")</f>
        <v>159.511724679589</v>
      </c>
      <c r="U159" s="23" t="n">
        <f aca="false">IFERROR(R159*'Weights &amp; Assumptions'!$B$25/'Weights &amp; Assumptions'!$B$28+S159*'Weights &amp; Assumptions'!$B$26/'Weights &amp; Assumptions'!$B$28+T159*'Weights &amp; Assumptions'!$B$27/'Weights &amp; Assumptions'!$B$28,"")</f>
        <v>147.04738280011</v>
      </c>
      <c r="V159" s="30" t="n">
        <f aca="false">IF(ISNUMBER(Tabelle1!E160),Tabelle1!E160*'Weights &amp; Assumptions'!$F$6+Tabelle1!F160*'Weights &amp; Assumptions'!$F$7,"")</f>
        <v>63.6121583137269</v>
      </c>
      <c r="W159" s="30" t="n">
        <f aca="false">IF(ISNUMBER(Tabelle1!G160),Tabelle1!G160*'Weights &amp; Assumptions'!$F$8+Tabelle1!H160*'Weights &amp; Assumptions'!$F$9+Tabelle1!J160*'Weights &amp; Assumptions'!$F$11,"")</f>
        <v>130.378560247257</v>
      </c>
      <c r="X159" s="30" t="n">
        <f aca="false">IF(ISNUMBER(Tabelle1!I160),Tabelle1!I160*'Weights &amp; Assumptions'!$F$10+Tabelle1!K160*'Weights &amp; Assumptions'!$F$12+Tabelle1!L160*'Weights &amp; Assumptions'!$F$13+Tabelle1!M160*'Weights &amp; Assumptions'!$F$14+Tabelle1!N160*'Weights &amp; Assumptions'!$F$15+Tabelle1!O160*'Weights &amp; Assumptions'!$F$16+Tabelle1!P160*'Weights &amp; Assumptions'!$F$17+Tabelle1!Q160*'Weights &amp; Assumptions'!$F$18+Tabelle1!R160*'Weights &amp; Assumptions'!$F$19+Tabelle1!S160*'Weights &amp; Assumptions'!$F$20,"")</f>
        <v>158.799406786428</v>
      </c>
      <c r="Y159" s="23" t="n">
        <f aca="false">IFERROR(V159*'Weights &amp; Assumptions'!$B$25/'Weights &amp; Assumptions'!$B$28+W159*'Weights &amp; Assumptions'!$B$26/'Weights &amp; Assumptions'!$B$28+X159*'Weights &amp; Assumptions'!$B$27/'Weights &amp; Assumptions'!$B$28,"")</f>
        <v>143.255517870094</v>
      </c>
    </row>
    <row r="160" customFormat="false" ht="15" hidden="false" customHeight="false" outlineLevel="0" collapsed="false">
      <c r="A160" s="20" t="n">
        <v>42674</v>
      </c>
      <c r="B160" s="30" t="n">
        <f aca="false">IF(ISNUMBER(Tabelle1!D161),Tabelle1!D161,"")</f>
        <v>145.15354</v>
      </c>
      <c r="C160" s="23" t="n">
        <f aca="false">IF(ISNUMBER(Tabelle1!E161),Tabelle1!E161/'SF Workings'!F160,"")</f>
        <v>120.920263254638</v>
      </c>
      <c r="D160" s="23" t="n">
        <f aca="false">IF(ISNUMBER(Tabelle1!F161),Tabelle1!F161/'SF Workings'!J160,"")</f>
        <v>167.39499367202</v>
      </c>
      <c r="E160" s="23" t="n">
        <f aca="false">IF(ISNUMBER(Tabelle1!G161),Tabelle1!G161/'SF Workings'!N160,"")</f>
        <v>87.7546803983846</v>
      </c>
      <c r="F160" s="23" t="n">
        <f aca="false">IF(ISNUMBER(Tabelle1!H161),Tabelle1!H161/'SF Workings'!R160,"")</f>
        <v>123.501906908662</v>
      </c>
      <c r="G160" s="23" t="n">
        <f aca="false">IF(ISNUMBER(Tabelle1!I161),Tabelle1!I161/'SF Workings'!V160,"")</f>
        <v>140.892660257608</v>
      </c>
      <c r="H160" s="23" t="n">
        <f aca="false">IF(ISNUMBER(Tabelle1!J161),Tabelle1!J161/'SF Workings'!Z160,"")</f>
        <v>127.144197431536</v>
      </c>
      <c r="I160" s="23" t="n">
        <f aca="false">IF(ISNUMBER(Tabelle1!K161),Tabelle1!K161/'SF Workings'!AD160,"")</f>
        <v>147.146637266145</v>
      </c>
      <c r="J160" s="23" t="n">
        <f aca="false">IF(ISNUMBER(Tabelle1!L161),Tabelle1!L161/'SF Workings'!AH160,"")</f>
        <v>162.830017159849</v>
      </c>
      <c r="K160" s="23" t="n">
        <f aca="false">IF(ISNUMBER(Tabelle1!M161),Tabelle1!M161/'SF Workings'!AL160,"")</f>
        <v>193.411504306808</v>
      </c>
      <c r="L160" s="23" t="n">
        <f aca="false">IF(ISNUMBER(Tabelle1!N161),Tabelle1!N161/'SF Workings'!AP160,"")</f>
        <v>171.856484088962</v>
      </c>
      <c r="M160" s="23" t="n">
        <f aca="false">IF(ISNUMBER(Tabelle1!O161),Tabelle1!O161/'SF Workings'!AT160,"")</f>
        <v>134.871383180211</v>
      </c>
      <c r="N160" s="23" t="n">
        <f aca="false">IF(ISNUMBER(Tabelle1!P161),Tabelle1!P161/'SF Workings'!AX160,"")</f>
        <v>152.772351823276</v>
      </c>
      <c r="O160" s="23" t="n">
        <f aca="false">IF(ISNUMBER(Tabelle1!Q161),Tabelle1!Q161/'SF Workings'!BB160,"")</f>
        <v>157.210490608661</v>
      </c>
      <c r="P160" s="23" t="n">
        <f aca="false">IF(ISNUMBER(Tabelle1!R161),Tabelle1!R161/'SF Workings'!BF160,"")</f>
        <v>174.091529477917</v>
      </c>
      <c r="Q160" s="23" t="n">
        <f aca="false">IF(ISNUMBER(Tabelle1!S161),Tabelle1!S161/'SF Workings'!BJ160,"")</f>
        <v>145.256225281017</v>
      </c>
      <c r="R160" s="23" t="n">
        <f aca="false">IFERROR(C160*'Weights &amp; Assumptions'!$F$6+D160*'Weights &amp; Assumptions'!$F$7,"")</f>
        <v>121.489696549462</v>
      </c>
      <c r="S160" s="23" t="n">
        <f aca="false">IFERROR(E160*'Weights &amp; Assumptions'!$F$8+F160*'Weights &amp; Assumptions'!$F$9+H160*'Weights &amp; Assumptions'!$F$11,"")</f>
        <v>119.992545099361</v>
      </c>
      <c r="T160" s="23" t="n">
        <f aca="false">IFERROR(G160*'Weights &amp; Assumptions'!$F$10+I160*'Weights &amp; Assumptions'!$F$12+J160*'Weights &amp; Assumptions'!$F$13+K160*'Weights &amp; Assumptions'!$F$14+L160*'Weights &amp; Assumptions'!$F$15+M160*'Weights &amp; Assumptions'!$F$16+N160*'Weights &amp; Assumptions'!$F$17+O160*'Weights &amp; Assumptions'!$F$18+P160*'Weights &amp; Assumptions'!$F$19+Q160*'Weights &amp; Assumptions'!$F$20,"")</f>
        <v>156.949216482064</v>
      </c>
      <c r="U160" s="23" t="n">
        <f aca="false">IFERROR(R160*'Weights &amp; Assumptions'!$B$25/'Weights &amp; Assumptions'!$B$28+S160*'Weights &amp; Assumptions'!$B$26/'Weights &amp; Assumptions'!$B$28+T160*'Weights &amp; Assumptions'!$B$27/'Weights &amp; Assumptions'!$B$28,"")</f>
        <v>144.146708764469</v>
      </c>
      <c r="V160" s="30" t="n">
        <f aca="false">IF(ISNUMBER(Tabelle1!E161),Tabelle1!E161*'Weights &amp; Assumptions'!$F$6+Tabelle1!F161*'Weights &amp; Assumptions'!$F$7,"")</f>
        <v>72.7240654022002</v>
      </c>
      <c r="W160" s="30" t="n">
        <f aca="false">IF(ISNUMBER(Tabelle1!G161),Tabelle1!G161*'Weights &amp; Assumptions'!$F$8+Tabelle1!H161*'Weights &amp; Assumptions'!$F$9+Tabelle1!J161*'Weights &amp; Assumptions'!$F$11,"")</f>
        <v>127.753926116886</v>
      </c>
      <c r="X160" s="30" t="n">
        <f aca="false">IF(ISNUMBER(Tabelle1!I161),Tabelle1!I161*'Weights &amp; Assumptions'!$F$10+Tabelle1!K161*'Weights &amp; Assumptions'!$F$12+Tabelle1!L161*'Weights &amp; Assumptions'!$F$13+Tabelle1!M161*'Weights &amp; Assumptions'!$F$14+Tabelle1!N161*'Weights &amp; Assumptions'!$F$15+Tabelle1!O161*'Weights &amp; Assumptions'!$F$16+Tabelle1!P161*'Weights &amp; Assumptions'!$F$17+Tabelle1!Q161*'Weights &amp; Assumptions'!$F$18+Tabelle1!R161*'Weights &amp; Assumptions'!$F$19+Tabelle1!S161*'Weights &amp; Assumptions'!$F$20,"")</f>
        <v>158.860427210416</v>
      </c>
      <c r="Y160" s="23" t="n">
        <f aca="false">IFERROR(V160*'Weights &amp; Assumptions'!$B$25/'Weights &amp; Assumptions'!$B$28+W160*'Weights &amp; Assumptions'!$B$26/'Weights &amp; Assumptions'!$B$28+X160*'Weights &amp; Assumptions'!$B$27/'Weights &amp; Assumptions'!$B$28,"")</f>
        <v>143.361752757905</v>
      </c>
    </row>
    <row r="161" customFormat="false" ht="15" hidden="false" customHeight="false" outlineLevel="0" collapsed="false">
      <c r="A161" s="20" t="n">
        <v>42704</v>
      </c>
      <c r="B161" s="30" t="n">
        <f aca="false">IF(ISNUMBER(Tabelle1!D162),Tabelle1!D162,"")</f>
        <v>145.78825</v>
      </c>
      <c r="C161" s="23" t="n">
        <f aca="false">IF(ISNUMBER(Tabelle1!E162),Tabelle1!E162/'SF Workings'!F161,"")</f>
        <v>125.708434104891</v>
      </c>
      <c r="D161" s="23" t="n">
        <f aca="false">IF(ISNUMBER(Tabelle1!F162),Tabelle1!F162/'SF Workings'!J161,"")</f>
        <v>160.004316709013</v>
      </c>
      <c r="E161" s="23" t="n">
        <f aca="false">IF(ISNUMBER(Tabelle1!G162),Tabelle1!G162/'SF Workings'!N161,"")</f>
        <v>87.4208348279561</v>
      </c>
      <c r="F161" s="23" t="n">
        <f aca="false">IF(ISNUMBER(Tabelle1!H162),Tabelle1!H162/'SF Workings'!R161,"")</f>
        <v>130.465911967437</v>
      </c>
      <c r="G161" s="23" t="n">
        <f aca="false">IF(ISNUMBER(Tabelle1!I162),Tabelle1!I162/'SF Workings'!V161,"")</f>
        <v>140.67425704722</v>
      </c>
      <c r="H161" s="23" t="n">
        <f aca="false">IF(ISNUMBER(Tabelle1!J162),Tabelle1!J162/'SF Workings'!Z161,"")</f>
        <v>132.704455976773</v>
      </c>
      <c r="I161" s="23" t="n">
        <f aca="false">IF(ISNUMBER(Tabelle1!K162),Tabelle1!K162/'SF Workings'!AD161,"")</f>
        <v>156.060486220083</v>
      </c>
      <c r="J161" s="23" t="n">
        <f aca="false">IF(ISNUMBER(Tabelle1!L162),Tabelle1!L162/'SF Workings'!AH161,"")</f>
        <v>161.29971264337</v>
      </c>
      <c r="K161" s="23" t="n">
        <f aca="false">IF(ISNUMBER(Tabelle1!M162),Tabelle1!M162/'SF Workings'!AL161,"")</f>
        <v>196.115643911199</v>
      </c>
      <c r="L161" s="23" t="n">
        <f aca="false">IF(ISNUMBER(Tabelle1!N162),Tabelle1!N162/'SF Workings'!AP161,"")</f>
        <v>176.246610396113</v>
      </c>
      <c r="M161" s="23" t="n">
        <f aca="false">IF(ISNUMBER(Tabelle1!O162),Tabelle1!O162/'SF Workings'!AT161,"")</f>
        <v>136.58960524687</v>
      </c>
      <c r="N161" s="23" t="n">
        <f aca="false">IF(ISNUMBER(Tabelle1!P162),Tabelle1!P162/'SF Workings'!AX161,"")</f>
        <v>152.861388907359</v>
      </c>
      <c r="O161" s="23" t="n">
        <f aca="false">IF(ISNUMBER(Tabelle1!Q162),Tabelle1!Q162/'SF Workings'!BB161,"")</f>
        <v>157.468183839842</v>
      </c>
      <c r="P161" s="23" t="n">
        <f aca="false">IF(ISNUMBER(Tabelle1!R162),Tabelle1!R162/'SF Workings'!BF161,"")</f>
        <v>174.143879572169</v>
      </c>
      <c r="Q161" s="23" t="n">
        <f aca="false">IF(ISNUMBER(Tabelle1!S162),Tabelle1!S162/'SF Workings'!BJ161,"")</f>
        <v>144.624945363055</v>
      </c>
      <c r="R161" s="23" t="n">
        <f aca="false">IFERROR(C161*'Weights &amp; Assumptions'!$F$6+D161*'Weights &amp; Assumptions'!$F$7,"")</f>
        <v>126.128645631775</v>
      </c>
      <c r="S161" s="23" t="n">
        <f aca="false">IFERROR(E161*'Weights &amp; Assumptions'!$F$8+F161*'Weights &amp; Assumptions'!$F$9+H161*'Weights &amp; Assumptions'!$F$11,"")</f>
        <v>125.792769958647</v>
      </c>
      <c r="T161" s="23" t="n">
        <f aca="false">IFERROR(G161*'Weights &amp; Assumptions'!$F$10+I161*'Weights &amp; Assumptions'!$F$12+J161*'Weights &amp; Assumptions'!$F$13+K161*'Weights &amp; Assumptions'!$F$14+L161*'Weights &amp; Assumptions'!$F$15+M161*'Weights &amp; Assumptions'!$F$16+N161*'Weights &amp; Assumptions'!$F$17+O161*'Weights &amp; Assumptions'!$F$18+P161*'Weights &amp; Assumptions'!$F$19+Q161*'Weights &amp; Assumptions'!$F$20,"")</f>
        <v>159.760661524301</v>
      </c>
      <c r="U161" s="23" t="n">
        <f aca="false">IFERROR(R161*'Weights &amp; Assumptions'!$B$25/'Weights &amp; Assumptions'!$B$28+S161*'Weights &amp; Assumptions'!$B$26/'Weights &amp; Assumptions'!$B$28+T161*'Weights &amp; Assumptions'!$B$27/'Weights &amp; Assumptions'!$B$28,"")</f>
        <v>147.906251678367</v>
      </c>
      <c r="V161" s="30" t="n">
        <f aca="false">IF(ISNUMBER(Tabelle1!E162),Tabelle1!E162*'Weights &amp; Assumptions'!$F$6+Tabelle1!F162*'Weights &amp; Assumptions'!$F$7,"")</f>
        <v>87.0312678820276</v>
      </c>
      <c r="W161" s="30" t="n">
        <f aca="false">IF(ISNUMBER(Tabelle1!G162),Tabelle1!G162*'Weights &amp; Assumptions'!$F$8+Tabelle1!H162*'Weights &amp; Assumptions'!$F$9+Tabelle1!J162*'Weights &amp; Assumptions'!$F$11,"")</f>
        <v>131.191701174009</v>
      </c>
      <c r="X161" s="30" t="n">
        <f aca="false">IF(ISNUMBER(Tabelle1!I162),Tabelle1!I162*'Weights &amp; Assumptions'!$F$10+Tabelle1!K162*'Weights &amp; Assumptions'!$F$12+Tabelle1!L162*'Weights &amp; Assumptions'!$F$13+Tabelle1!M162*'Weights &amp; Assumptions'!$F$14+Tabelle1!N162*'Weights &amp; Assumptions'!$F$15+Tabelle1!O162*'Weights &amp; Assumptions'!$F$16+Tabelle1!P162*'Weights &amp; Assumptions'!$F$17+Tabelle1!Q162*'Weights &amp; Assumptions'!$F$18+Tabelle1!R162*'Weights &amp; Assumptions'!$F$19+Tabelle1!S162*'Weights &amp; Assumptions'!$F$20,"")</f>
        <v>161.372218931162</v>
      </c>
      <c r="Y161" s="23" t="n">
        <f aca="false">IFERROR(V161*'Weights &amp; Assumptions'!$B$25/'Weights &amp; Assumptions'!$B$28+W161*'Weights &amp; Assumptions'!$B$26/'Weights &amp; Assumptions'!$B$28+X161*'Weights &amp; Assumptions'!$B$27/'Weights &amp; Assumptions'!$B$28,"")</f>
        <v>147.109424401831</v>
      </c>
    </row>
    <row r="162" customFormat="false" ht="15" hidden="false" customHeight="false" outlineLevel="0" collapsed="false">
      <c r="A162" s="20" t="n">
        <v>42735</v>
      </c>
      <c r="B162" s="30" t="n">
        <f aca="false">IF(ISNUMBER(Tabelle1!D163),Tabelle1!D163,"")</f>
        <v>146.95888</v>
      </c>
      <c r="C162" s="23" t="n">
        <f aca="false">IF(ISNUMBER(Tabelle1!E163),Tabelle1!E163/'SF Workings'!F162,"")</f>
        <v>125.969437083127</v>
      </c>
      <c r="D162" s="23" t="n">
        <f aca="false">IF(ISNUMBER(Tabelle1!F163),Tabelle1!F163/'SF Workings'!J162,"")</f>
        <v>179.58189897894</v>
      </c>
      <c r="E162" s="23" t="n">
        <f aca="false">IF(ISNUMBER(Tabelle1!G163),Tabelle1!G163/'SF Workings'!N162,"")</f>
        <v>86.8725242675244</v>
      </c>
      <c r="F162" s="23" t="n">
        <f aca="false">IF(ISNUMBER(Tabelle1!H163),Tabelle1!H163/'SF Workings'!R162,"")</f>
        <v>130.344948346203</v>
      </c>
      <c r="G162" s="23" t="n">
        <f aca="false">IF(ISNUMBER(Tabelle1!I163),Tabelle1!I163/'SF Workings'!V162,"")</f>
        <v>143.662827865274</v>
      </c>
      <c r="H162" s="23" t="n">
        <f aca="false">IF(ISNUMBER(Tabelle1!J163),Tabelle1!J163/'SF Workings'!Z162,"")</f>
        <v>135.594872906909</v>
      </c>
      <c r="I162" s="23" t="n">
        <f aca="false">IF(ISNUMBER(Tabelle1!K163),Tabelle1!K163/'SF Workings'!AD162,"")</f>
        <v>153.620849153562</v>
      </c>
      <c r="J162" s="23" t="n">
        <f aca="false">IF(ISNUMBER(Tabelle1!L163),Tabelle1!L163/'SF Workings'!AH162,"")</f>
        <v>159.823974136404</v>
      </c>
      <c r="K162" s="23" t="n">
        <f aca="false">IF(ISNUMBER(Tabelle1!M163),Tabelle1!M163/'SF Workings'!AL162,"")</f>
        <v>197.470676104251</v>
      </c>
      <c r="L162" s="23" t="n">
        <f aca="false">IF(ISNUMBER(Tabelle1!N163),Tabelle1!N163/'SF Workings'!AP162,"")</f>
        <v>180.169570329793</v>
      </c>
      <c r="M162" s="23" t="n">
        <f aca="false">IF(ISNUMBER(Tabelle1!O163),Tabelle1!O163/'SF Workings'!AT162,"")</f>
        <v>136.891546016176</v>
      </c>
      <c r="N162" s="23" t="n">
        <f aca="false">IF(ISNUMBER(Tabelle1!P163),Tabelle1!P163/'SF Workings'!AX162,"")</f>
        <v>152.357612158681</v>
      </c>
      <c r="O162" s="23" t="n">
        <f aca="false">IF(ISNUMBER(Tabelle1!Q163),Tabelle1!Q163/'SF Workings'!BB162,"")</f>
        <v>156.829786536606</v>
      </c>
      <c r="P162" s="23" t="n">
        <f aca="false">IF(ISNUMBER(Tabelle1!R163),Tabelle1!R163/'SF Workings'!BF162,"")</f>
        <v>173.748000441864</v>
      </c>
      <c r="Q162" s="23" t="n">
        <f aca="false">IF(ISNUMBER(Tabelle1!S163),Tabelle1!S163/'SF Workings'!BJ162,"")</f>
        <v>141.42066021165</v>
      </c>
      <c r="R162" s="23" t="n">
        <f aca="false">IFERROR(C162*'Weights &amp; Assumptions'!$F$6+D162*'Weights &amp; Assumptions'!$F$7,"")</f>
        <v>126.626325687898</v>
      </c>
      <c r="S162" s="23" t="n">
        <f aca="false">IFERROR(E162*'Weights &amp; Assumptions'!$F$8+F162*'Weights &amp; Assumptions'!$F$9+H162*'Weights &amp; Assumptions'!$F$11,"")</f>
        <v>126.248123785215</v>
      </c>
      <c r="T162" s="23" t="n">
        <f aca="false">IFERROR(G162*'Weights &amp; Assumptions'!$F$10+I162*'Weights &amp; Assumptions'!$F$12+J162*'Weights &amp; Assumptions'!$F$13+K162*'Weights &amp; Assumptions'!$F$14+L162*'Weights &amp; Assumptions'!$F$15+M162*'Weights &amp; Assumptions'!$F$16+N162*'Weights &amp; Assumptions'!$F$17+O162*'Weights &amp; Assumptions'!$F$18+P162*'Weights &amp; Assumptions'!$F$19+Q162*'Weights &amp; Assumptions'!$F$20,"")</f>
        <v>159.538945119082</v>
      </c>
      <c r="U162" s="23" t="n">
        <f aca="false">IFERROR(R162*'Weights &amp; Assumptions'!$B$25/'Weights &amp; Assumptions'!$B$28+S162*'Weights &amp; Assumptions'!$B$26/'Weights &amp; Assumptions'!$B$28+T162*'Weights &amp; Assumptions'!$B$27/'Weights &amp; Assumptions'!$B$28,"")</f>
        <v>147.924938036741</v>
      </c>
      <c r="V162" s="30" t="n">
        <f aca="false">IF(ISNUMBER(Tabelle1!E163),Tabelle1!E163*'Weights &amp; Assumptions'!$F$6+Tabelle1!F163*'Weights &amp; Assumptions'!$F$7,"")</f>
        <v>93.8606256887284</v>
      </c>
      <c r="W162" s="30" t="n">
        <f aca="false">IF(ISNUMBER(Tabelle1!G163),Tabelle1!G163*'Weights &amp; Assumptions'!$F$8+Tabelle1!H163*'Weights &amp; Assumptions'!$F$9+Tabelle1!J163*'Weights &amp; Assumptions'!$F$11,"")</f>
        <v>125.239727643146</v>
      </c>
      <c r="X162" s="30" t="n">
        <f aca="false">IF(ISNUMBER(Tabelle1!I163),Tabelle1!I163*'Weights &amp; Assumptions'!$F$10+Tabelle1!K163*'Weights &amp; Assumptions'!$F$12+Tabelle1!L163*'Weights &amp; Assumptions'!$F$13+Tabelle1!M163*'Weights &amp; Assumptions'!$F$14+Tabelle1!N163*'Weights &amp; Assumptions'!$F$15+Tabelle1!O163*'Weights &amp; Assumptions'!$F$16+Tabelle1!P163*'Weights &amp; Assumptions'!$F$17+Tabelle1!Q163*'Weights &amp; Assumptions'!$F$18+Tabelle1!R163*'Weights &amp; Assumptions'!$F$19+Tabelle1!S163*'Weights &amp; Assumptions'!$F$20,"")</f>
        <v>159.053891165164</v>
      </c>
      <c r="Y162" s="23" t="n">
        <f aca="false">IFERROR(V162*'Weights &amp; Assumptions'!$B$25/'Weights &amp; Assumptions'!$B$28+W162*'Weights &amp; Assumptions'!$B$26/'Weights &amp; Assumptions'!$B$28+X162*'Weights &amp; Assumptions'!$B$27/'Weights &amp; Assumptions'!$B$28,"")</f>
        <v>144.59234518607</v>
      </c>
    </row>
    <row r="163" customFormat="false" ht="15" hidden="false" customHeight="false" outlineLevel="0" collapsed="false">
      <c r="A163" s="20" t="n">
        <v>42766</v>
      </c>
      <c r="B163" s="30" t="n">
        <f aca="false">IF(ISNUMBER(Tabelle1!D164),Tabelle1!D164,"")</f>
        <v>147.08627</v>
      </c>
      <c r="C163" s="23" t="n">
        <f aca="false">IF(ISNUMBER(Tabelle1!E164),Tabelle1!E164/'SF Workings'!F163,"")</f>
        <v>120.917343305991</v>
      </c>
      <c r="D163" s="23" t="n">
        <f aca="false">IF(ISNUMBER(Tabelle1!F164),Tabelle1!F164/'SF Workings'!J163,"")</f>
        <v>141.3056778543</v>
      </c>
      <c r="E163" s="23" t="n">
        <f aca="false">IF(ISNUMBER(Tabelle1!G164),Tabelle1!G164/'SF Workings'!N163,"")</f>
        <v>87.0829399671974</v>
      </c>
      <c r="F163" s="23" t="n">
        <f aca="false">IF(ISNUMBER(Tabelle1!H164),Tabelle1!H164/'SF Workings'!R163,"")</f>
        <v>127.622351643313</v>
      </c>
      <c r="G163" s="23" t="n">
        <f aca="false">IF(ISNUMBER(Tabelle1!I164),Tabelle1!I164/'SF Workings'!V163,"")</f>
        <v>145.56236970806</v>
      </c>
      <c r="H163" s="23" t="n">
        <f aca="false">IF(ISNUMBER(Tabelle1!J164),Tabelle1!J164/'SF Workings'!Z163,"")</f>
        <v>137.214226211959</v>
      </c>
      <c r="I163" s="23" t="n">
        <f aca="false">IF(ISNUMBER(Tabelle1!K164),Tabelle1!K164/'SF Workings'!AD163,"")</f>
        <v>146.792975395508</v>
      </c>
      <c r="J163" s="23" t="n">
        <f aca="false">IF(ISNUMBER(Tabelle1!L164),Tabelle1!L164/'SF Workings'!AH163,"")</f>
        <v>152.036227359317</v>
      </c>
      <c r="K163" s="23" t="n">
        <f aca="false">IF(ISNUMBER(Tabelle1!M164),Tabelle1!M164/'SF Workings'!AL163,"")</f>
        <v>197.481562945382</v>
      </c>
      <c r="L163" s="23" t="n">
        <f aca="false">IF(ISNUMBER(Tabelle1!N164),Tabelle1!N164/'SF Workings'!AP163,"")</f>
        <v>182.020029769466</v>
      </c>
      <c r="M163" s="23" t="n">
        <f aca="false">IF(ISNUMBER(Tabelle1!O164),Tabelle1!O164/'SF Workings'!AT163,"")</f>
        <v>136.411871168883</v>
      </c>
      <c r="N163" s="23" t="n">
        <f aca="false">IF(ISNUMBER(Tabelle1!P164),Tabelle1!P164/'SF Workings'!AX163,"")</f>
        <v>152.450639849217</v>
      </c>
      <c r="O163" s="23" t="n">
        <f aca="false">IF(ISNUMBER(Tabelle1!Q164),Tabelle1!Q164/'SF Workings'!BB163,"")</f>
        <v>155.917171957238</v>
      </c>
      <c r="P163" s="23" t="n">
        <f aca="false">IF(ISNUMBER(Tabelle1!R164),Tabelle1!R164/'SF Workings'!BF163,"")</f>
        <v>175.116237734959</v>
      </c>
      <c r="Q163" s="23" t="n">
        <f aca="false">IF(ISNUMBER(Tabelle1!S164),Tabelle1!S164/'SF Workings'!BJ163,"")</f>
        <v>140.091004127746</v>
      </c>
      <c r="R163" s="23" t="n">
        <f aca="false">IFERROR(C163*'Weights &amp; Assumptions'!$F$6+D163*'Weights &amp; Assumptions'!$F$7,"")</f>
        <v>121.167152103451</v>
      </c>
      <c r="S163" s="23" t="n">
        <f aca="false">IFERROR(E163*'Weights &amp; Assumptions'!$F$8+F163*'Weights &amp; Assumptions'!$F$9+H163*'Weights &amp; Assumptions'!$F$11,"")</f>
        <v>124.780252781117</v>
      </c>
      <c r="T163" s="23" t="n">
        <f aca="false">IFERROR(G163*'Weights &amp; Assumptions'!$F$10+I163*'Weights &amp; Assumptions'!$F$12+J163*'Weights &amp; Assumptions'!$F$13+K163*'Weights &amp; Assumptions'!$F$14+L163*'Weights &amp; Assumptions'!$F$15+M163*'Weights &amp; Assumptions'!$F$16+N163*'Weights &amp; Assumptions'!$F$17+O163*'Weights &amp; Assumptions'!$F$18+P163*'Weights &amp; Assumptions'!$F$19+Q163*'Weights &amp; Assumptions'!$F$20,"")</f>
        <v>157.852154866495</v>
      </c>
      <c r="U163" s="23" t="n">
        <f aca="false">IFERROR(R163*'Weights &amp; Assumptions'!$B$25/'Weights &amp; Assumptions'!$B$28+S163*'Weights &amp; Assumptions'!$B$26/'Weights &amp; Assumptions'!$B$28+T163*'Weights &amp; Assumptions'!$B$27/'Weights &amp; Assumptions'!$B$28,"")</f>
        <v>145.979856135531</v>
      </c>
      <c r="V163" s="30" t="n">
        <f aca="false">IF(ISNUMBER(Tabelle1!E164),Tabelle1!E164*'Weights &amp; Assumptions'!$F$6+Tabelle1!F164*'Weights &amp; Assumptions'!$F$7,"")</f>
        <v>67.419546142835</v>
      </c>
      <c r="W163" s="30" t="n">
        <f aca="false">IF(ISNUMBER(Tabelle1!G164),Tabelle1!G164*'Weights &amp; Assumptions'!$F$8+Tabelle1!H164*'Weights &amp; Assumptions'!$F$9+Tabelle1!J164*'Weights &amp; Assumptions'!$F$11,"")</f>
        <v>115.657248913236</v>
      </c>
      <c r="X163" s="30" t="n">
        <f aca="false">IF(ISNUMBER(Tabelle1!I164),Tabelle1!I164*'Weights &amp; Assumptions'!$F$10+Tabelle1!K164*'Weights &amp; Assumptions'!$F$12+Tabelle1!L164*'Weights &amp; Assumptions'!$F$13+Tabelle1!M164*'Weights &amp; Assumptions'!$F$14+Tabelle1!N164*'Weights &amp; Assumptions'!$F$15+Tabelle1!O164*'Weights &amp; Assumptions'!$F$16+Tabelle1!P164*'Weights &amp; Assumptions'!$F$17+Tabelle1!Q164*'Weights &amp; Assumptions'!$F$18+Tabelle1!R164*'Weights &amp; Assumptions'!$F$19+Tabelle1!S164*'Weights &amp; Assumptions'!$F$20,"")</f>
        <v>155.52939886715</v>
      </c>
      <c r="Y163" s="23" t="n">
        <f aca="false">IFERROR(V163*'Weights &amp; Assumptions'!$B$25/'Weights &amp; Assumptions'!$B$28+W163*'Weights &amp; Assumptions'!$B$26/'Weights &amp; Assumptions'!$B$28+X163*'Weights &amp; Assumptions'!$B$27/'Weights &amp; Assumptions'!$B$28,"")</f>
        <v>137.534207732665</v>
      </c>
    </row>
    <row r="164" customFormat="false" ht="15" hidden="false" customHeight="false" outlineLevel="0" collapsed="false">
      <c r="A164" s="20" t="n">
        <v>42794</v>
      </c>
      <c r="B164" s="30" t="n">
        <f aca="false">IF(ISNUMBER(Tabelle1!D165),Tabelle1!D165,"")</f>
        <v>146.81395</v>
      </c>
      <c r="C164" s="23" t="n">
        <f aca="false">IF(ISNUMBER(Tabelle1!E165),Tabelle1!E165/'SF Workings'!F164,"")</f>
        <v>132.012824980271</v>
      </c>
      <c r="D164" s="23" t="n">
        <f aca="false">IF(ISNUMBER(Tabelle1!F165),Tabelle1!F165/'SF Workings'!J164,"")</f>
        <v>193.251798979959</v>
      </c>
      <c r="E164" s="23" t="n">
        <f aca="false">IF(ISNUMBER(Tabelle1!G165),Tabelle1!G165/'SF Workings'!N164,"")</f>
        <v>85.6815487041606</v>
      </c>
      <c r="F164" s="23" t="n">
        <f aca="false">IF(ISNUMBER(Tabelle1!H165),Tabelle1!H165/'SF Workings'!R164,"")</f>
        <v>123.46461009319</v>
      </c>
      <c r="G164" s="23" t="n">
        <f aca="false">IF(ISNUMBER(Tabelle1!I165),Tabelle1!I165/'SF Workings'!V164,"")</f>
        <v>146.165323590077</v>
      </c>
      <c r="H164" s="23" t="n">
        <f aca="false">IF(ISNUMBER(Tabelle1!J165),Tabelle1!J165/'SF Workings'!Z164,"")</f>
        <v>135.207389939395</v>
      </c>
      <c r="I164" s="23" t="n">
        <f aca="false">IF(ISNUMBER(Tabelle1!K165),Tabelle1!K165/'SF Workings'!AD164,"")</f>
        <v>149.052084341062</v>
      </c>
      <c r="J164" s="23" t="n">
        <f aca="false">IF(ISNUMBER(Tabelle1!L165),Tabelle1!L165/'SF Workings'!AH164,"")</f>
        <v>151.276079657152</v>
      </c>
      <c r="K164" s="23" t="n">
        <f aca="false">IF(ISNUMBER(Tabelle1!M165),Tabelle1!M165/'SF Workings'!AL164,"")</f>
        <v>194.687385470422</v>
      </c>
      <c r="L164" s="23" t="n">
        <f aca="false">IF(ISNUMBER(Tabelle1!N165),Tabelle1!N165/'SF Workings'!AP164,"")</f>
        <v>179.977815110338</v>
      </c>
      <c r="M164" s="23" t="n">
        <f aca="false">IF(ISNUMBER(Tabelle1!O165),Tabelle1!O165/'SF Workings'!AT164,"")</f>
        <v>136.193257467781</v>
      </c>
      <c r="N164" s="23" t="n">
        <f aca="false">IF(ISNUMBER(Tabelle1!P165),Tabelle1!P165/'SF Workings'!AX164,"")</f>
        <v>152.157365236656</v>
      </c>
      <c r="O164" s="23" t="n">
        <f aca="false">IF(ISNUMBER(Tabelle1!Q165),Tabelle1!Q165/'SF Workings'!BB164,"")</f>
        <v>155.497224507335</v>
      </c>
      <c r="P164" s="23" t="n">
        <f aca="false">IF(ISNUMBER(Tabelle1!R165),Tabelle1!R165/'SF Workings'!BF164,"")</f>
        <v>175.031655423993</v>
      </c>
      <c r="Q164" s="23" t="n">
        <f aca="false">IF(ISNUMBER(Tabelle1!S165),Tabelle1!S165/'SF Workings'!BJ164,"")</f>
        <v>142.810395154363</v>
      </c>
      <c r="R164" s="23" t="n">
        <f aca="false">IFERROR(C164*'Weights &amp; Assumptions'!$F$6+D164*'Weights &amp; Assumptions'!$F$7,"")</f>
        <v>132.763157697065</v>
      </c>
      <c r="S164" s="23" t="n">
        <f aca="false">IFERROR(E164*'Weights &amp; Assumptions'!$F$8+F164*'Weights &amp; Assumptions'!$F$9+H164*'Weights &amp; Assumptions'!$F$11,"")</f>
        <v>121.39969751126</v>
      </c>
      <c r="T164" s="23" t="n">
        <f aca="false">IFERROR(G164*'Weights &amp; Assumptions'!$F$10+I164*'Weights &amp; Assumptions'!$F$12+J164*'Weights &amp; Assumptions'!$F$13+K164*'Weights &amp; Assumptions'!$F$14+L164*'Weights &amp; Assumptions'!$F$15+M164*'Weights &amp; Assumptions'!$F$16+N164*'Weights &amp; Assumptions'!$F$17+O164*'Weights &amp; Assumptions'!$F$18+P164*'Weights &amp; Assumptions'!$F$19+Q164*'Weights &amp; Assumptions'!$F$20,"")</f>
        <v>157.770377546612</v>
      </c>
      <c r="U164" s="23" t="n">
        <f aca="false">IFERROR(R164*'Weights &amp; Assumptions'!$B$25/'Weights &amp; Assumptions'!$B$28+S164*'Weights &amp; Assumptions'!$B$26/'Weights &amp; Assumptions'!$B$28+T164*'Weights &amp; Assumptions'!$B$27/'Weights &amp; Assumptions'!$B$28,"")</f>
        <v>146.000651839826</v>
      </c>
      <c r="V164" s="30" t="n">
        <f aca="false">IF(ISNUMBER(Tabelle1!E165),Tabelle1!E165*'Weights &amp; Assumptions'!$F$6+Tabelle1!F165*'Weights &amp; Assumptions'!$F$7,"")</f>
        <v>76.2415359659599</v>
      </c>
      <c r="W164" s="30" t="n">
        <f aca="false">IF(ISNUMBER(Tabelle1!G165),Tabelle1!G165*'Weights &amp; Assumptions'!$F$8+Tabelle1!H165*'Weights &amp; Assumptions'!$F$9+Tabelle1!J165*'Weights &amp; Assumptions'!$F$11,"")</f>
        <v>110.084295577095</v>
      </c>
      <c r="X164" s="30" t="n">
        <f aca="false">IF(ISNUMBER(Tabelle1!I165),Tabelle1!I165*'Weights &amp; Assumptions'!$F$10+Tabelle1!K165*'Weights &amp; Assumptions'!$F$12+Tabelle1!L165*'Weights &amp; Assumptions'!$F$13+Tabelle1!M165*'Weights &amp; Assumptions'!$F$14+Tabelle1!N165*'Weights &amp; Assumptions'!$F$15+Tabelle1!O165*'Weights &amp; Assumptions'!$F$16+Tabelle1!P165*'Weights &amp; Assumptions'!$F$17+Tabelle1!Q165*'Weights &amp; Assumptions'!$F$18+Tabelle1!R165*'Weights &amp; Assumptions'!$F$19+Tabelle1!S165*'Weights &amp; Assumptions'!$F$20,"")</f>
        <v>153.055832569061</v>
      </c>
      <c r="Y164" s="23" t="n">
        <f aca="false">IFERROR(V164*'Weights &amp; Assumptions'!$B$25/'Weights &amp; Assumptions'!$B$28+W164*'Weights &amp; Assumptions'!$B$26/'Weights &amp; Assumptions'!$B$28+X164*'Weights &amp; Assumptions'!$B$27/'Weights &amp; Assumptions'!$B$28,"")</f>
        <v>135.184166839266</v>
      </c>
    </row>
    <row r="165" customFormat="false" ht="15" hidden="false" customHeight="false" outlineLevel="0" collapsed="false">
      <c r="A165" s="20" t="n">
        <v>42825</v>
      </c>
      <c r="B165" s="30" t="n">
        <f aca="false">IF(ISNUMBER(Tabelle1!D166),Tabelle1!D166,"")</f>
        <v>147.64481</v>
      </c>
      <c r="C165" s="23" t="n">
        <f aca="false">IF(ISNUMBER(Tabelle1!E166),Tabelle1!E166/'SF Workings'!F165,"")</f>
        <v>126.239832606225</v>
      </c>
      <c r="D165" s="23" t="n">
        <f aca="false">IF(ISNUMBER(Tabelle1!F166),Tabelle1!F166/'SF Workings'!J165,"")</f>
        <v>178.92759337249</v>
      </c>
      <c r="E165" s="23" t="n">
        <f aca="false">IF(ISNUMBER(Tabelle1!G166),Tabelle1!G166/'SF Workings'!N165,"")</f>
        <v>87.0128431887384</v>
      </c>
      <c r="F165" s="23" t="n">
        <f aca="false">IF(ISNUMBER(Tabelle1!H166),Tabelle1!H166/'SF Workings'!R165,"")</f>
        <v>131.701133532524</v>
      </c>
      <c r="G165" s="23" t="n">
        <f aca="false">IF(ISNUMBER(Tabelle1!I166),Tabelle1!I166/'SF Workings'!V165,"")</f>
        <v>145.894841826921</v>
      </c>
      <c r="H165" s="23" t="n">
        <f aca="false">IF(ISNUMBER(Tabelle1!J166),Tabelle1!J166/'SF Workings'!Z165,"")</f>
        <v>147.716916436166</v>
      </c>
      <c r="I165" s="23" t="n">
        <f aca="false">IF(ISNUMBER(Tabelle1!K166),Tabelle1!K166/'SF Workings'!AD165,"")</f>
        <v>160.938782537126</v>
      </c>
      <c r="J165" s="23" t="n">
        <f aca="false">IF(ISNUMBER(Tabelle1!L166),Tabelle1!L166/'SF Workings'!AH165,"")</f>
        <v>162.549263506872</v>
      </c>
      <c r="K165" s="23" t="n">
        <f aca="false">IF(ISNUMBER(Tabelle1!M166),Tabelle1!M166/'SF Workings'!AL165,"")</f>
        <v>199.111627138287</v>
      </c>
      <c r="L165" s="23" t="n">
        <f aca="false">IF(ISNUMBER(Tabelle1!N166),Tabelle1!N166/'SF Workings'!AP165,"")</f>
        <v>184.352879854514</v>
      </c>
      <c r="M165" s="23" t="n">
        <f aca="false">IF(ISNUMBER(Tabelle1!O166),Tabelle1!O166/'SF Workings'!AT165,"")</f>
        <v>139.757294291466</v>
      </c>
      <c r="N165" s="23" t="n">
        <f aca="false">IF(ISNUMBER(Tabelle1!P166),Tabelle1!P166/'SF Workings'!AX165,"")</f>
        <v>152.871225433684</v>
      </c>
      <c r="O165" s="23" t="n">
        <f aca="false">IF(ISNUMBER(Tabelle1!Q166),Tabelle1!Q166/'SF Workings'!BB165,"")</f>
        <v>156.122143737772</v>
      </c>
      <c r="P165" s="23" t="n">
        <f aca="false">IF(ISNUMBER(Tabelle1!R166),Tabelle1!R166/'SF Workings'!BF165,"")</f>
        <v>177.083685479449</v>
      </c>
      <c r="Q165" s="23" t="n">
        <f aca="false">IF(ISNUMBER(Tabelle1!S166),Tabelle1!S166/'SF Workings'!BJ165,"")</f>
        <v>150.51920785435</v>
      </c>
      <c r="R165" s="23" t="n">
        <f aca="false">IFERROR(C165*'Weights &amp; Assumptions'!$F$6+D165*'Weights &amp; Assumptions'!$F$7,"")</f>
        <v>126.885391277369</v>
      </c>
      <c r="S165" s="23" t="n">
        <f aca="false">IFERROR(E165*'Weights &amp; Assumptions'!$F$8+F165*'Weights &amp; Assumptions'!$F$9+H165*'Weights &amp; Assumptions'!$F$11,"")</f>
        <v>129.701919891845</v>
      </c>
      <c r="T165" s="23" t="n">
        <f aca="false">IFERROR(G165*'Weights &amp; Assumptions'!$F$10+I165*'Weights &amp; Assumptions'!$F$12+J165*'Weights &amp; Assumptions'!$F$13+K165*'Weights &amp; Assumptions'!$F$14+L165*'Weights &amp; Assumptions'!$F$15+M165*'Weights &amp; Assumptions'!$F$16+N165*'Weights &amp; Assumptions'!$F$17+O165*'Weights &amp; Assumptions'!$F$18+P165*'Weights &amp; Assumptions'!$F$19+Q165*'Weights &amp; Assumptions'!$F$20,"")</f>
        <v>163.098397099649</v>
      </c>
      <c r="U165" s="23" t="n">
        <f aca="false">IFERROR(R165*'Weights &amp; Assumptions'!$B$25/'Weights &amp; Assumptions'!$B$28+S165*'Weights &amp; Assumptions'!$B$26/'Weights &amp; Assumptions'!$B$28+T165*'Weights &amp; Assumptions'!$B$27/'Weights &amp; Assumptions'!$B$28,"")</f>
        <v>151.179389110025</v>
      </c>
      <c r="V165" s="30" t="n">
        <f aca="false">IF(ISNUMBER(Tabelle1!E166),Tabelle1!E166*'Weights &amp; Assumptions'!$F$6+Tabelle1!F166*'Weights &amp; Assumptions'!$F$7,"")</f>
        <v>142.306630042431</v>
      </c>
      <c r="W165" s="30" t="n">
        <f aca="false">IF(ISNUMBER(Tabelle1!G166),Tabelle1!G166*'Weights &amp; Assumptions'!$F$8+Tabelle1!H166*'Weights &amp; Assumptions'!$F$9+Tabelle1!J166*'Weights &amp; Assumptions'!$F$11,"")</f>
        <v>129.949964800615</v>
      </c>
      <c r="X165" s="30" t="n">
        <f aca="false">IF(ISNUMBER(Tabelle1!I166),Tabelle1!I166*'Weights &amp; Assumptions'!$F$10+Tabelle1!K166*'Weights &amp; Assumptions'!$F$12+Tabelle1!L166*'Weights &amp; Assumptions'!$F$13+Tabelle1!M166*'Weights &amp; Assumptions'!$F$14+Tabelle1!N166*'Weights &amp; Assumptions'!$F$15+Tabelle1!O166*'Weights &amp; Assumptions'!$F$16+Tabelle1!P166*'Weights &amp; Assumptions'!$F$17+Tabelle1!Q166*'Weights &amp; Assumptions'!$F$18+Tabelle1!R166*'Weights &amp; Assumptions'!$F$19+Tabelle1!S166*'Weights &amp; Assumptions'!$F$20,"")</f>
        <v>165.244178726236</v>
      </c>
      <c r="Y165" s="23" t="n">
        <f aca="false">IFERROR(V165*'Weights &amp; Assumptions'!$B$25/'Weights &amp; Assumptions'!$B$28+W165*'Weights &amp; Assumptions'!$B$26/'Weights &amp; Assumptions'!$B$28+X165*'Weights &amp; Assumptions'!$B$27/'Weights &amp; Assumptions'!$B$28,"")</f>
        <v>153.934351295097</v>
      </c>
    </row>
    <row r="166" customFormat="false" ht="15" hidden="false" customHeight="false" outlineLevel="0" collapsed="false">
      <c r="A166" s="20" t="n">
        <v>42855</v>
      </c>
      <c r="B166" s="30" t="n">
        <f aca="false">IF(ISNUMBER(Tabelle1!D167),Tabelle1!D167,"")</f>
        <v>147.67329</v>
      </c>
      <c r="C166" s="23" t="n">
        <f aca="false">IF(ISNUMBER(Tabelle1!E167),Tabelle1!E167/'SF Workings'!F166,"")</f>
        <v>138.326719198955</v>
      </c>
      <c r="D166" s="23" t="n">
        <f aca="false">IF(ISNUMBER(Tabelle1!F167),Tabelle1!F167/'SF Workings'!J166,"")</f>
        <v>127.751366394775</v>
      </c>
      <c r="E166" s="23" t="n">
        <f aca="false">IF(ISNUMBER(Tabelle1!G167),Tabelle1!G167/'SF Workings'!N166,"")</f>
        <v>84.563944351975</v>
      </c>
      <c r="F166" s="23" t="n">
        <f aca="false">IF(ISNUMBER(Tabelle1!H167),Tabelle1!H167/'SF Workings'!R166,"")</f>
        <v>127.87020136441</v>
      </c>
      <c r="G166" s="23" t="n">
        <f aca="false">IF(ISNUMBER(Tabelle1!I167),Tabelle1!I167/'SF Workings'!V166,"")</f>
        <v>144.156362367004</v>
      </c>
      <c r="H166" s="23" t="n">
        <f aca="false">IF(ISNUMBER(Tabelle1!J167),Tabelle1!J167/'SF Workings'!Z166,"")</f>
        <v>147.712487868098</v>
      </c>
      <c r="I166" s="23" t="n">
        <f aca="false">IF(ISNUMBER(Tabelle1!K167),Tabelle1!K167/'SF Workings'!AD166,"")</f>
        <v>149.446282905781</v>
      </c>
      <c r="J166" s="23" t="n">
        <f aca="false">IF(ISNUMBER(Tabelle1!L167),Tabelle1!L167/'SF Workings'!AH166,"")</f>
        <v>178.467677855059</v>
      </c>
      <c r="K166" s="23" t="n">
        <f aca="false">IF(ISNUMBER(Tabelle1!M167),Tabelle1!M167/'SF Workings'!AL166,"")</f>
        <v>197.66652401624</v>
      </c>
      <c r="L166" s="23" t="n">
        <f aca="false">IF(ISNUMBER(Tabelle1!N167),Tabelle1!N167/'SF Workings'!AP166,"")</f>
        <v>175.34539405807</v>
      </c>
      <c r="M166" s="23" t="n">
        <f aca="false">IF(ISNUMBER(Tabelle1!O167),Tabelle1!O167/'SF Workings'!AT166,"")</f>
        <v>138.670108207996</v>
      </c>
      <c r="N166" s="23" t="n">
        <f aca="false">IF(ISNUMBER(Tabelle1!P167),Tabelle1!P167/'SF Workings'!AX166,"")</f>
        <v>155.694187367025</v>
      </c>
      <c r="O166" s="23" t="n">
        <f aca="false">IF(ISNUMBER(Tabelle1!Q167),Tabelle1!Q167/'SF Workings'!BB166,"")</f>
        <v>158.34564834227</v>
      </c>
      <c r="P166" s="23" t="n">
        <f aca="false">IF(ISNUMBER(Tabelle1!R167),Tabelle1!R167/'SF Workings'!BF166,"")</f>
        <v>182.626221396373</v>
      </c>
      <c r="Q166" s="23" t="n">
        <f aca="false">IF(ISNUMBER(Tabelle1!S167),Tabelle1!S167/'SF Workings'!BJ166,"")</f>
        <v>169.068959246645</v>
      </c>
      <c r="R166" s="23" t="n">
        <f aca="false">IFERROR(C166*'Weights &amp; Assumptions'!$F$6+D166*'Weights &amp; Assumptions'!$F$7,"")</f>
        <v>138.1971443109</v>
      </c>
      <c r="S166" s="23" t="n">
        <f aca="false">IFERROR(E166*'Weights &amp; Assumptions'!$F$8+F166*'Weights &amp; Assumptions'!$F$9+H166*'Weights &amp; Assumptions'!$F$11,"")</f>
        <v>126.833150413741</v>
      </c>
      <c r="T166" s="23" t="n">
        <f aca="false">IFERROR(G166*'Weights &amp; Assumptions'!$F$10+I166*'Weights &amp; Assumptions'!$F$12+J166*'Weights &amp; Assumptions'!$F$13+K166*'Weights &amp; Assumptions'!$F$14+L166*'Weights &amp; Assumptions'!$F$15+M166*'Weights &amp; Assumptions'!$F$16+N166*'Weights &amp; Assumptions'!$F$17+O166*'Weights &amp; Assumptions'!$F$18+P166*'Weights &amp; Assumptions'!$F$19+Q166*'Weights &amp; Assumptions'!$F$20,"")</f>
        <v>162.186124333992</v>
      </c>
      <c r="U166" s="23" t="n">
        <f aca="false">IFERROR(R166*'Weights &amp; Assumptions'!$B$25/'Weights &amp; Assumptions'!$B$28+S166*'Weights &amp; Assumptions'!$B$26/'Weights &amp; Assumptions'!$B$28+T166*'Weights &amp; Assumptions'!$B$27/'Weights &amp; Assumptions'!$B$28,"")</f>
        <v>150.772455629486</v>
      </c>
      <c r="V166" s="30" t="n">
        <f aca="false">IF(ISNUMBER(Tabelle1!E167),Tabelle1!E167*'Weights &amp; Assumptions'!$F$6+Tabelle1!F167*'Weights &amp; Assumptions'!$F$7,"")</f>
        <v>230.4627243071</v>
      </c>
      <c r="W166" s="30" t="n">
        <f aca="false">IF(ISNUMBER(Tabelle1!G167),Tabelle1!G167*'Weights &amp; Assumptions'!$F$8+Tabelle1!H167*'Weights &amp; Assumptions'!$F$9+Tabelle1!J167*'Weights &amp; Assumptions'!$F$11,"")</f>
        <v>120.385375348115</v>
      </c>
      <c r="X166" s="30" t="n">
        <f aca="false">IF(ISNUMBER(Tabelle1!I167),Tabelle1!I167*'Weights &amp; Assumptions'!$F$10+Tabelle1!K167*'Weights &amp; Assumptions'!$F$12+Tabelle1!L167*'Weights &amp; Assumptions'!$F$13+Tabelle1!M167*'Weights &amp; Assumptions'!$F$14+Tabelle1!N167*'Weights &amp; Assumptions'!$F$15+Tabelle1!O167*'Weights &amp; Assumptions'!$F$16+Tabelle1!P167*'Weights &amp; Assumptions'!$F$17+Tabelle1!Q167*'Weights &amp; Assumptions'!$F$18+Tabelle1!R167*'Weights &amp; Assumptions'!$F$19+Tabelle1!S167*'Weights &amp; Assumptions'!$F$20,"")</f>
        <v>158.600250548846</v>
      </c>
      <c r="Y166" s="23" t="n">
        <f aca="false">IFERROR(V166*'Weights &amp; Assumptions'!$B$25/'Weights &amp; Assumptions'!$B$28+W166*'Weights &amp; Assumptions'!$B$26/'Weights &amp; Assumptions'!$B$28+X166*'Weights &amp; Assumptions'!$B$27/'Weights &amp; Assumptions'!$B$28,"")</f>
        <v>154.467569041372</v>
      </c>
    </row>
    <row r="167" customFormat="false" ht="15" hidden="false" customHeight="false" outlineLevel="0" collapsed="false">
      <c r="A167" s="20" t="n">
        <v>42886</v>
      </c>
      <c r="B167" s="30" t="n">
        <f aca="false">IF(ISNUMBER(Tabelle1!D168),Tabelle1!D168,"")</f>
        <v>148.67448</v>
      </c>
      <c r="C167" s="23" t="n">
        <f aca="false">IF(ISNUMBER(Tabelle1!E168),Tabelle1!E168/'SF Workings'!F167,"")</f>
        <v>135.817850955202</v>
      </c>
      <c r="D167" s="23" t="n">
        <f aca="false">IF(ISNUMBER(Tabelle1!F168),Tabelle1!F168/'SF Workings'!J167,"")</f>
        <v>180.052775360309</v>
      </c>
      <c r="E167" s="23" t="n">
        <f aca="false">IF(ISNUMBER(Tabelle1!G168),Tabelle1!G168/'SF Workings'!N167,"")</f>
        <v>86.3255083446089</v>
      </c>
      <c r="F167" s="23" t="n">
        <f aca="false">IF(ISNUMBER(Tabelle1!H168),Tabelle1!H168/'SF Workings'!R167,"")</f>
        <v>132.916184854489</v>
      </c>
      <c r="G167" s="23" t="n">
        <f aca="false">IF(ISNUMBER(Tabelle1!I168),Tabelle1!I168/'SF Workings'!V167,"")</f>
        <v>143.575701767141</v>
      </c>
      <c r="H167" s="23" t="n">
        <f aca="false">IF(ISNUMBER(Tabelle1!J168),Tabelle1!J168/'SF Workings'!Z167,"")</f>
        <v>151.067714976344</v>
      </c>
      <c r="I167" s="23" t="n">
        <f aca="false">IF(ISNUMBER(Tabelle1!K168),Tabelle1!K168/'SF Workings'!AD167,"")</f>
        <v>161.148359037173</v>
      </c>
      <c r="J167" s="23" t="n">
        <f aca="false">IF(ISNUMBER(Tabelle1!L168),Tabelle1!L168/'SF Workings'!AH167,"")</f>
        <v>173.794020546798</v>
      </c>
      <c r="K167" s="23" t="n">
        <f aca="false">IF(ISNUMBER(Tabelle1!M168),Tabelle1!M168/'SF Workings'!AL167,"")</f>
        <v>199.839471258179</v>
      </c>
      <c r="L167" s="23" t="n">
        <f aca="false">IF(ISNUMBER(Tabelle1!N168),Tabelle1!N168/'SF Workings'!AP167,"")</f>
        <v>181.721767441307</v>
      </c>
      <c r="M167" s="23" t="n">
        <f aca="false">IF(ISNUMBER(Tabelle1!O168),Tabelle1!O168/'SF Workings'!AT167,"")</f>
        <v>139.951163024841</v>
      </c>
      <c r="N167" s="23" t="n">
        <f aca="false">IF(ISNUMBER(Tabelle1!P168),Tabelle1!P168/'SF Workings'!AX167,"")</f>
        <v>155.539424519748</v>
      </c>
      <c r="O167" s="23" t="n">
        <f aca="false">IF(ISNUMBER(Tabelle1!Q168),Tabelle1!Q168/'SF Workings'!BB167,"")</f>
        <v>158.487103238365</v>
      </c>
      <c r="P167" s="23" t="n">
        <f aca="false">IF(ISNUMBER(Tabelle1!R168),Tabelle1!R168/'SF Workings'!BF167,"")</f>
        <v>179.499675644451</v>
      </c>
      <c r="Q167" s="23" t="n">
        <f aca="false">IF(ISNUMBER(Tabelle1!S168),Tabelle1!S168/'SF Workings'!BJ167,"")</f>
        <v>159.100288581486</v>
      </c>
      <c r="R167" s="23" t="n">
        <f aca="false">IFERROR(C167*'Weights &amp; Assumptions'!$F$6+D167*'Weights &amp; Assumptions'!$F$7,"")</f>
        <v>136.359840946841</v>
      </c>
      <c r="S167" s="23" t="n">
        <f aca="false">IFERROR(E167*'Weights &amp; Assumptions'!$F$8+F167*'Weights &amp; Assumptions'!$F$9+H167*'Weights &amp; Assumptions'!$F$11,"")</f>
        <v>131.134757252641</v>
      </c>
      <c r="T167" s="23" t="n">
        <f aca="false">IFERROR(G167*'Weights &amp; Assumptions'!$F$10+I167*'Weights &amp; Assumptions'!$F$12+J167*'Weights &amp; Assumptions'!$F$13+K167*'Weights &amp; Assumptions'!$F$14+L167*'Weights &amp; Assumptions'!$F$15+M167*'Weights &amp; Assumptions'!$F$16+N167*'Weights &amp; Assumptions'!$F$17+O167*'Weights &amp; Assumptions'!$F$18+P167*'Weights &amp; Assumptions'!$F$19+Q167*'Weights &amp; Assumptions'!$F$20,"")</f>
        <v>164.617762874846</v>
      </c>
      <c r="U167" s="23" t="n">
        <f aca="false">IFERROR(R167*'Weights &amp; Assumptions'!$B$25/'Weights &amp; Assumptions'!$B$28+S167*'Weights &amp; Assumptions'!$B$26/'Weights &amp; Assumptions'!$B$28+T167*'Weights &amp; Assumptions'!$B$27/'Weights &amp; Assumptions'!$B$28,"")</f>
        <v>153.343183627277</v>
      </c>
      <c r="V167" s="30" t="n">
        <f aca="false">IF(ISNUMBER(Tabelle1!E168),Tabelle1!E168*'Weights &amp; Assumptions'!$F$6+Tabelle1!F168*'Weights &amp; Assumptions'!$F$7,"")</f>
        <v>328.012107954971</v>
      </c>
      <c r="W167" s="30" t="n">
        <f aca="false">IF(ISNUMBER(Tabelle1!G168),Tabelle1!G168*'Weights &amp; Assumptions'!$F$8+Tabelle1!H168*'Weights &amp; Assumptions'!$F$9+Tabelle1!J168*'Weights &amp; Assumptions'!$F$11,"")</f>
        <v>131.052081358765</v>
      </c>
      <c r="X167" s="30" t="n">
        <f aca="false">IF(ISNUMBER(Tabelle1!I168),Tabelle1!I168*'Weights &amp; Assumptions'!$F$10+Tabelle1!K168*'Weights &amp; Assumptions'!$F$12+Tabelle1!L168*'Weights &amp; Assumptions'!$F$13+Tabelle1!M168*'Weights &amp; Assumptions'!$F$14+Tabelle1!N168*'Weights &amp; Assumptions'!$F$15+Tabelle1!O168*'Weights &amp; Assumptions'!$F$16+Tabelle1!P168*'Weights &amp; Assumptions'!$F$17+Tabelle1!Q168*'Weights &amp; Assumptions'!$F$18+Tabelle1!R168*'Weights &amp; Assumptions'!$F$19+Tabelle1!S168*'Weights &amp; Assumptions'!$F$20,"")</f>
        <v>165.13516228002</v>
      </c>
      <c r="Y167" s="23" t="n">
        <f aca="false">IFERROR(V167*'Weights &amp; Assumptions'!$B$25/'Weights &amp; Assumptions'!$B$28+W167*'Weights &amp; Assumptions'!$B$26/'Weights &amp; Assumptions'!$B$28+X167*'Weights &amp; Assumptions'!$B$27/'Weights &amp; Assumptions'!$B$28,"")</f>
        <v>169.737386982226</v>
      </c>
    </row>
    <row r="168" customFormat="false" ht="15" hidden="false" customHeight="false" outlineLevel="0" collapsed="false">
      <c r="A168" s="20" t="n">
        <v>42916</v>
      </c>
      <c r="B168" s="30" t="n">
        <f aca="false">IF(ISNUMBER(Tabelle1!D169),Tabelle1!D169,"")</f>
        <v>150.27199</v>
      </c>
      <c r="C168" s="23" t="n">
        <f aca="false">IF(ISNUMBER(Tabelle1!E169),Tabelle1!E169/'SF Workings'!F168,"")</f>
        <v>140.38086213314</v>
      </c>
      <c r="D168" s="23" t="n">
        <f aca="false">IF(ISNUMBER(Tabelle1!F169),Tabelle1!F169/'SF Workings'!J168,"")</f>
        <v>198.071689872851</v>
      </c>
      <c r="E168" s="23" t="n">
        <f aca="false">IF(ISNUMBER(Tabelle1!G169),Tabelle1!G169/'SF Workings'!N168,"")</f>
        <v>84.2634145647797</v>
      </c>
      <c r="F168" s="23" t="n">
        <f aca="false">IF(ISNUMBER(Tabelle1!H169),Tabelle1!H169/'SF Workings'!R168,"")</f>
        <v>137.336692428177</v>
      </c>
      <c r="G168" s="23" t="n">
        <f aca="false">IF(ISNUMBER(Tabelle1!I169),Tabelle1!I169/'SF Workings'!V168,"")</f>
        <v>145.007014490099</v>
      </c>
      <c r="H168" s="23" t="n">
        <f aca="false">IF(ISNUMBER(Tabelle1!J169),Tabelle1!J169/'SF Workings'!Z168,"")</f>
        <v>149.319176322743</v>
      </c>
      <c r="I168" s="23" t="n">
        <f aca="false">IF(ISNUMBER(Tabelle1!K169),Tabelle1!K169/'SF Workings'!AD168,"")</f>
        <v>163.796157175062</v>
      </c>
      <c r="J168" s="23" t="n">
        <f aca="false">IF(ISNUMBER(Tabelle1!L169),Tabelle1!L169/'SF Workings'!AH168,"")</f>
        <v>171.428651388711</v>
      </c>
      <c r="K168" s="23" t="n">
        <f aca="false">IF(ISNUMBER(Tabelle1!M169),Tabelle1!M169/'SF Workings'!AL168,"")</f>
        <v>198.820236159907</v>
      </c>
      <c r="L168" s="23" t="n">
        <f aca="false">IF(ISNUMBER(Tabelle1!N169),Tabelle1!N169/'SF Workings'!AP168,"")</f>
        <v>181.770735016888</v>
      </c>
      <c r="M168" s="23" t="n">
        <f aca="false">IF(ISNUMBER(Tabelle1!O169),Tabelle1!O169/'SF Workings'!AT168,"")</f>
        <v>141.149070225522</v>
      </c>
      <c r="N168" s="23" t="n">
        <f aca="false">IF(ISNUMBER(Tabelle1!P169),Tabelle1!P169/'SF Workings'!AX168,"")</f>
        <v>155.390224648512</v>
      </c>
      <c r="O168" s="23" t="n">
        <f aca="false">IF(ISNUMBER(Tabelle1!Q169),Tabelle1!Q169/'SF Workings'!BB168,"")</f>
        <v>158.608132667804</v>
      </c>
      <c r="P168" s="23" t="n">
        <f aca="false">IF(ISNUMBER(Tabelle1!R169),Tabelle1!R169/'SF Workings'!BF168,"")</f>
        <v>179.454829760297</v>
      </c>
      <c r="Q168" s="23" t="n">
        <f aca="false">IF(ISNUMBER(Tabelle1!S169),Tabelle1!S169/'SF Workings'!BJ168,"")</f>
        <v>149.436765021731</v>
      </c>
      <c r="R168" s="23" t="n">
        <f aca="false">IFERROR(C168*'Weights &amp; Assumptions'!$F$6+D168*'Weights &amp; Assumptions'!$F$7,"")</f>
        <v>141.087721061119</v>
      </c>
      <c r="S168" s="23" t="n">
        <f aca="false">IFERROR(E168*'Weights &amp; Assumptions'!$F$8+F168*'Weights &amp; Assumptions'!$F$9+H168*'Weights &amp; Assumptions'!$F$11,"")</f>
        <v>133.496099042789</v>
      </c>
      <c r="T168" s="23" t="n">
        <f aca="false">IFERROR(G168*'Weights &amp; Assumptions'!$F$10+I168*'Weights &amp; Assumptions'!$F$12+J168*'Weights &amp; Assumptions'!$F$13+K168*'Weights &amp; Assumptions'!$F$14+L168*'Weights &amp; Assumptions'!$F$15+M168*'Weights &amp; Assumptions'!$F$16+N168*'Weights &amp; Assumptions'!$F$17+O168*'Weights &amp; Assumptions'!$F$18+P168*'Weights &amp; Assumptions'!$F$19+Q168*'Weights &amp; Assumptions'!$F$20,"")</f>
        <v>164.648654896329</v>
      </c>
      <c r="U168" s="23" t="n">
        <f aca="false">IFERROR(R168*'Weights &amp; Assumptions'!$B$25/'Weights &amp; Assumptions'!$B$28+S168*'Weights &amp; Assumptions'!$B$26/'Weights &amp; Assumptions'!$B$28+T168*'Weights &amp; Assumptions'!$B$27/'Weights &amp; Assumptions'!$B$28,"")</f>
        <v>154.387864160741</v>
      </c>
      <c r="V168" s="30" t="n">
        <f aca="false">IF(ISNUMBER(Tabelle1!E169),Tabelle1!E169*'Weights &amp; Assumptions'!$F$6+Tabelle1!F169*'Weights &amp; Assumptions'!$F$7,"")</f>
        <v>228.206871579838</v>
      </c>
      <c r="W168" s="30" t="n">
        <f aca="false">IF(ISNUMBER(Tabelle1!G169),Tabelle1!G169*'Weights &amp; Assumptions'!$F$8+Tabelle1!H169*'Weights &amp; Assumptions'!$F$9+Tabelle1!J169*'Weights &amp; Assumptions'!$F$11,"")</f>
        <v>135.450317540257</v>
      </c>
      <c r="X168" s="30" t="n">
        <f aca="false">IF(ISNUMBER(Tabelle1!I169),Tabelle1!I169*'Weights &amp; Assumptions'!$F$10+Tabelle1!K169*'Weights &amp; Assumptions'!$F$12+Tabelle1!L169*'Weights &amp; Assumptions'!$F$13+Tabelle1!M169*'Weights &amp; Assumptions'!$F$14+Tabelle1!N169*'Weights &amp; Assumptions'!$F$15+Tabelle1!O169*'Weights &amp; Assumptions'!$F$16+Tabelle1!P169*'Weights &amp; Assumptions'!$F$17+Tabelle1!Q169*'Weights &amp; Assumptions'!$F$18+Tabelle1!R169*'Weights &amp; Assumptions'!$F$19+Tabelle1!S169*'Weights &amp; Assumptions'!$F$20,"")</f>
        <v>166.986895638505</v>
      </c>
      <c r="Y168" s="23" t="n">
        <f aca="false">IFERROR(V168*'Weights &amp; Assumptions'!$B$25/'Weights &amp; Assumptions'!$B$28+W168*'Weights &amp; Assumptions'!$B$26/'Weights &amp; Assumptions'!$B$28+X168*'Weights &amp; Assumptions'!$B$27/'Weights &amp; Assumptions'!$B$28,"")</f>
        <v>163.737175564669</v>
      </c>
    </row>
    <row r="169" customFormat="false" ht="15" hidden="false" customHeight="false" outlineLevel="0" collapsed="false">
      <c r="A169" s="20" t="n">
        <v>42947</v>
      </c>
      <c r="B169" s="30" t="n">
        <f aca="false">IF(ISNUMBER(Tabelle1!D170),Tabelle1!D170,"")</f>
        <v>150.46352</v>
      </c>
      <c r="C169" s="23" t="n">
        <f aca="false">IF(ISNUMBER(Tabelle1!E170),Tabelle1!E170/'SF Workings'!F169,"")</f>
        <v>126.066095611245</v>
      </c>
      <c r="D169" s="23" t="n">
        <f aca="false">IF(ISNUMBER(Tabelle1!F170),Tabelle1!F170/'SF Workings'!J169,"")</f>
        <v>184.314862748997</v>
      </c>
      <c r="E169" s="23" t="n">
        <f aca="false">IF(ISNUMBER(Tabelle1!G170),Tabelle1!G170/'SF Workings'!N169,"")</f>
        <v>85.6685039529635</v>
      </c>
      <c r="F169" s="23" t="n">
        <f aca="false">IF(ISNUMBER(Tabelle1!H170),Tabelle1!H170/'SF Workings'!R169,"")</f>
        <v>131.191408017598</v>
      </c>
      <c r="G169" s="23" t="n">
        <f aca="false">IF(ISNUMBER(Tabelle1!I170),Tabelle1!I170/'SF Workings'!V169,"")</f>
        <v>140.093024522099</v>
      </c>
      <c r="H169" s="23" t="n">
        <f aca="false">IF(ISNUMBER(Tabelle1!J170),Tabelle1!J170/'SF Workings'!Z169,"")</f>
        <v>144.770556306066</v>
      </c>
      <c r="I169" s="23" t="n">
        <f aca="false">IF(ISNUMBER(Tabelle1!K170),Tabelle1!K170/'SF Workings'!AD169,"")</f>
        <v>157.001087813714</v>
      </c>
      <c r="J169" s="23" t="n">
        <f aca="false">IF(ISNUMBER(Tabelle1!L170),Tabelle1!L170/'SF Workings'!AH169,"")</f>
        <v>173.87404971913</v>
      </c>
      <c r="K169" s="23" t="n">
        <f aca="false">IF(ISNUMBER(Tabelle1!M170),Tabelle1!M170/'SF Workings'!AL169,"")</f>
        <v>199.50372486379</v>
      </c>
      <c r="L169" s="23" t="n">
        <f aca="false">IF(ISNUMBER(Tabelle1!N170),Tabelle1!N170/'SF Workings'!AP169,"")</f>
        <v>181.857312571614</v>
      </c>
      <c r="M169" s="23" t="n">
        <f aca="false">IF(ISNUMBER(Tabelle1!O170),Tabelle1!O170/'SF Workings'!AT169,"")</f>
        <v>140.197522392937</v>
      </c>
      <c r="N169" s="23" t="n">
        <f aca="false">IF(ISNUMBER(Tabelle1!P170),Tabelle1!P170/'SF Workings'!AX169,"")</f>
        <v>154.604858022759</v>
      </c>
      <c r="O169" s="23" t="n">
        <f aca="false">IF(ISNUMBER(Tabelle1!Q170),Tabelle1!Q170/'SF Workings'!BB169,"")</f>
        <v>159.62436337834</v>
      </c>
      <c r="P169" s="23" t="n">
        <f aca="false">IF(ISNUMBER(Tabelle1!R170),Tabelle1!R170/'SF Workings'!BF169,"")</f>
        <v>177.899204294045</v>
      </c>
      <c r="Q169" s="23" t="n">
        <f aca="false">IF(ISNUMBER(Tabelle1!S170),Tabelle1!S170/'SF Workings'!BJ169,"")</f>
        <v>159.161173666901</v>
      </c>
      <c r="R169" s="23" t="n">
        <f aca="false">IFERROR(C169*'Weights &amp; Assumptions'!$F$6+D169*'Weights &amp; Assumptions'!$F$7,"")</f>
        <v>126.779790711633</v>
      </c>
      <c r="S169" s="23" t="n">
        <f aca="false">IFERROR(E169*'Weights &amp; Assumptions'!$F$8+F169*'Weights &amp; Assumptions'!$F$9+H169*'Weights &amp; Assumptions'!$F$11,"")</f>
        <v>128.584934870553</v>
      </c>
      <c r="T169" s="23" t="n">
        <f aca="false">IFERROR(G169*'Weights &amp; Assumptions'!$F$10+I169*'Weights &amp; Assumptions'!$F$12+J169*'Weights &amp; Assumptions'!$F$13+K169*'Weights &amp; Assumptions'!$F$14+L169*'Weights &amp; Assumptions'!$F$15+M169*'Weights &amp; Assumptions'!$F$16+N169*'Weights &amp; Assumptions'!$F$17+O169*'Weights &amp; Assumptions'!$F$18+P169*'Weights &amp; Assumptions'!$F$19+Q169*'Weights &amp; Assumptions'!$F$20,"")</f>
        <v>163.573783621003</v>
      </c>
      <c r="U169" s="23" t="n">
        <f aca="false">IFERROR(R169*'Weights &amp; Assumptions'!$B$25/'Weights &amp; Assumptions'!$B$28+S169*'Weights &amp; Assumptions'!$B$26/'Weights &amp; Assumptions'!$B$28+T169*'Weights &amp; Assumptions'!$B$27/'Weights &amp; Assumptions'!$B$28,"")</f>
        <v>151.182590922277</v>
      </c>
      <c r="V169" s="30" t="n">
        <f aca="false">IF(ISNUMBER(Tabelle1!E170),Tabelle1!E170*'Weights &amp; Assumptions'!$F$6+Tabelle1!F170*'Weights &amp; Assumptions'!$F$7,"")</f>
        <v>113.346999556859</v>
      </c>
      <c r="W169" s="30" t="n">
        <f aca="false">IF(ISNUMBER(Tabelle1!G170),Tabelle1!G170*'Weights &amp; Assumptions'!$F$8+Tabelle1!H170*'Weights &amp; Assumptions'!$F$9+Tabelle1!J170*'Weights &amp; Assumptions'!$F$11,"")</f>
        <v>131.466001868922</v>
      </c>
      <c r="X169" s="30" t="n">
        <f aca="false">IF(ISNUMBER(Tabelle1!I170),Tabelle1!I170*'Weights &amp; Assumptions'!$F$10+Tabelle1!K170*'Weights &amp; Assumptions'!$F$12+Tabelle1!L170*'Weights &amp; Assumptions'!$F$13+Tabelle1!M170*'Weights &amp; Assumptions'!$F$14+Tabelle1!N170*'Weights &amp; Assumptions'!$F$15+Tabelle1!O170*'Weights &amp; Assumptions'!$F$16+Tabelle1!P170*'Weights &amp; Assumptions'!$F$17+Tabelle1!Q170*'Weights &amp; Assumptions'!$F$18+Tabelle1!R170*'Weights &amp; Assumptions'!$F$19+Tabelle1!S170*'Weights &amp; Assumptions'!$F$20,"")</f>
        <v>165.438475256705</v>
      </c>
      <c r="Y169" s="23" t="n">
        <f aca="false">IFERROR(V169*'Weights &amp; Assumptions'!$B$25/'Weights &amp; Assumptions'!$B$28+W169*'Weights &amp; Assumptions'!$B$26/'Weights &amp; Assumptions'!$B$28+X169*'Weights &amp; Assumptions'!$B$27/'Weights &amp; Assumptions'!$B$28,"")</f>
        <v>152.034082984464</v>
      </c>
    </row>
    <row r="170" customFormat="false" ht="15" hidden="false" customHeight="false" outlineLevel="0" collapsed="false">
      <c r="A170" s="20" t="n">
        <v>42978</v>
      </c>
      <c r="B170" s="30" t="n">
        <f aca="false">IF(ISNUMBER(Tabelle1!D171),Tabelle1!D171,"")</f>
        <v>150.39058</v>
      </c>
      <c r="C170" s="23" t="n">
        <f aca="false">IF(ISNUMBER(Tabelle1!E171),Tabelle1!E171/'SF Workings'!F170,"")</f>
        <v>128.301322015636</v>
      </c>
      <c r="D170" s="23" t="n">
        <f aca="false">IF(ISNUMBER(Tabelle1!F171),Tabelle1!F171/'SF Workings'!J170,"")</f>
        <v>169.877916492854</v>
      </c>
      <c r="E170" s="23" t="n">
        <f aca="false">IF(ISNUMBER(Tabelle1!G171),Tabelle1!G171/'SF Workings'!N170,"")</f>
        <v>87.2291967840209</v>
      </c>
      <c r="F170" s="23" t="n">
        <f aca="false">IF(ISNUMBER(Tabelle1!H171),Tabelle1!H171/'SF Workings'!R170,"")</f>
        <v>135.007513604465</v>
      </c>
      <c r="G170" s="23" t="n">
        <f aca="false">IF(ISNUMBER(Tabelle1!I171),Tabelle1!I171/'SF Workings'!V170,"")</f>
        <v>141.624838030546</v>
      </c>
      <c r="H170" s="23" t="n">
        <f aca="false">IF(ISNUMBER(Tabelle1!J171),Tabelle1!J171/'SF Workings'!Z170,"")</f>
        <v>150.375710054633</v>
      </c>
      <c r="I170" s="23" t="n">
        <f aca="false">IF(ISNUMBER(Tabelle1!K171),Tabelle1!K171/'SF Workings'!AD170,"")</f>
        <v>160.741321121343</v>
      </c>
      <c r="J170" s="23" t="n">
        <f aca="false">IF(ISNUMBER(Tabelle1!L171),Tabelle1!L171/'SF Workings'!AH170,"")</f>
        <v>168.264642661727</v>
      </c>
      <c r="K170" s="23" t="n">
        <f aca="false">IF(ISNUMBER(Tabelle1!M171),Tabelle1!M171/'SF Workings'!AL170,"")</f>
        <v>198.50914430464</v>
      </c>
      <c r="L170" s="23" t="n">
        <f aca="false">IF(ISNUMBER(Tabelle1!N171),Tabelle1!N171/'SF Workings'!AP170,"")</f>
        <v>183.729370919111</v>
      </c>
      <c r="M170" s="23" t="n">
        <f aca="false">IF(ISNUMBER(Tabelle1!O171),Tabelle1!O171/'SF Workings'!AT170,"")</f>
        <v>141.656481735427</v>
      </c>
      <c r="N170" s="23" t="n">
        <f aca="false">IF(ISNUMBER(Tabelle1!P171),Tabelle1!P171/'SF Workings'!AX170,"")</f>
        <v>154.276591979723</v>
      </c>
      <c r="O170" s="23" t="n">
        <f aca="false">IF(ISNUMBER(Tabelle1!Q171),Tabelle1!Q171/'SF Workings'!BB170,"")</f>
        <v>159.142353035699</v>
      </c>
      <c r="P170" s="23" t="n">
        <f aca="false">IF(ISNUMBER(Tabelle1!R171),Tabelle1!R171/'SF Workings'!BF170,"")</f>
        <v>178.091037757481</v>
      </c>
      <c r="Q170" s="23" t="n">
        <f aca="false">IF(ISNUMBER(Tabelle1!S171),Tabelle1!S171/'SF Workings'!BJ170,"")</f>
        <v>153.332195852988</v>
      </c>
      <c r="R170" s="23" t="n">
        <f aca="false">IFERROR(C170*'Weights &amp; Assumptions'!$F$6+D170*'Weights &amp; Assumptions'!$F$7,"")</f>
        <v>128.810740724859</v>
      </c>
      <c r="S170" s="23" t="n">
        <f aca="false">IFERROR(E170*'Weights &amp; Assumptions'!$F$8+F170*'Weights &amp; Assumptions'!$F$9+H170*'Weights &amp; Assumptions'!$F$11,"")</f>
        <v>132.504450328195</v>
      </c>
      <c r="T170" s="23" t="n">
        <f aca="false">IFERROR(G170*'Weights &amp; Assumptions'!$F$10+I170*'Weights &amp; Assumptions'!$F$12+J170*'Weights &amp; Assumptions'!$F$13+K170*'Weights &amp; Assumptions'!$F$14+L170*'Weights &amp; Assumptions'!$F$15+M170*'Weights &amp; Assumptions'!$F$16+N170*'Weights &amp; Assumptions'!$F$17+O170*'Weights &amp; Assumptions'!$F$18+P170*'Weights &amp; Assumptions'!$F$19+Q170*'Weights &amp; Assumptions'!$F$20,"")</f>
        <v>164.039669351334</v>
      </c>
      <c r="U170" s="23" t="n">
        <f aca="false">IFERROR(R170*'Weights &amp; Assumptions'!$B$25/'Weights &amp; Assumptions'!$B$28+S170*'Weights &amp; Assumptions'!$B$26/'Weights &amp; Assumptions'!$B$28+T170*'Weights &amp; Assumptions'!$B$27/'Weights &amp; Assumptions'!$B$28,"")</f>
        <v>152.698167321453</v>
      </c>
      <c r="V170" s="30" t="n">
        <f aca="false">IF(ISNUMBER(Tabelle1!E171),Tabelle1!E171*'Weights &amp; Assumptions'!$F$6+Tabelle1!F171*'Weights &amp; Assumptions'!$F$7,"")</f>
        <v>75.3354918521829</v>
      </c>
      <c r="W170" s="30" t="n">
        <f aca="false">IF(ISNUMBER(Tabelle1!G171),Tabelle1!G171*'Weights &amp; Assumptions'!$F$8+Tabelle1!H171*'Weights &amp; Assumptions'!$F$9+Tabelle1!J171*'Weights &amp; Assumptions'!$F$11,"")</f>
        <v>139.303742614716</v>
      </c>
      <c r="X170" s="30" t="n">
        <f aca="false">IF(ISNUMBER(Tabelle1!I171),Tabelle1!I171*'Weights &amp; Assumptions'!$F$10+Tabelle1!K171*'Weights &amp; Assumptions'!$F$12+Tabelle1!L171*'Weights &amp; Assumptions'!$F$13+Tabelle1!M171*'Weights &amp; Assumptions'!$F$14+Tabelle1!N171*'Weights &amp; Assumptions'!$F$15+Tabelle1!O171*'Weights &amp; Assumptions'!$F$16+Tabelle1!P171*'Weights &amp; Assumptions'!$F$17+Tabelle1!Q171*'Weights &amp; Assumptions'!$F$18+Tabelle1!R171*'Weights &amp; Assumptions'!$F$19+Tabelle1!S171*'Weights &amp; Assumptions'!$F$20,"")</f>
        <v>165.31273425774</v>
      </c>
      <c r="Y170" s="23" t="n">
        <f aca="false">IFERROR(V170*'Weights &amp; Assumptions'!$B$25/'Weights &amp; Assumptions'!$B$28+W170*'Weights &amp; Assumptions'!$B$26/'Weights &amp; Assumptions'!$B$28+X170*'Weights &amp; Assumptions'!$B$27/'Weights &amp; Assumptions'!$B$28,"")</f>
        <v>150.847323533763</v>
      </c>
    </row>
    <row r="171" customFormat="false" ht="15" hidden="false" customHeight="false" outlineLevel="0" collapsed="false">
      <c r="A171" s="20" t="n">
        <v>43008</v>
      </c>
      <c r="B171" s="30" t="n">
        <f aca="false">IF(ISNUMBER(Tabelle1!D172),Tabelle1!D172,"")</f>
        <v>151.21749</v>
      </c>
      <c r="C171" s="23" t="n">
        <f aca="false">IF(ISNUMBER(Tabelle1!E172),Tabelle1!E172/'SF Workings'!F171,"")</f>
        <v>122.859036296478</v>
      </c>
      <c r="D171" s="23" t="n">
        <f aca="false">IF(ISNUMBER(Tabelle1!F172),Tabelle1!F172/'SF Workings'!J171,"")</f>
        <v>206.309025740361</v>
      </c>
      <c r="E171" s="23" t="n">
        <f aca="false">IF(ISNUMBER(Tabelle1!G172),Tabelle1!G172/'SF Workings'!N171,"")</f>
        <v>87.0478515486447</v>
      </c>
      <c r="F171" s="23" t="n">
        <f aca="false">IF(ISNUMBER(Tabelle1!H172),Tabelle1!H172/'SF Workings'!R171,"")</f>
        <v>133.119132845586</v>
      </c>
      <c r="G171" s="23" t="n">
        <f aca="false">IF(ISNUMBER(Tabelle1!I172),Tabelle1!I172/'SF Workings'!V171,"")</f>
        <v>143.310552260891</v>
      </c>
      <c r="H171" s="23" t="n">
        <f aca="false">IF(ISNUMBER(Tabelle1!J172),Tabelle1!J172/'SF Workings'!Z171,"")</f>
        <v>147.197152142069</v>
      </c>
      <c r="I171" s="23" t="n">
        <f aca="false">IF(ISNUMBER(Tabelle1!K172),Tabelle1!K172/'SF Workings'!AD171,"")</f>
        <v>157.076253612051</v>
      </c>
      <c r="J171" s="23" t="n">
        <f aca="false">IF(ISNUMBER(Tabelle1!L172),Tabelle1!L172/'SF Workings'!AH171,"")</f>
        <v>167.69564285904</v>
      </c>
      <c r="K171" s="23" t="n">
        <f aca="false">IF(ISNUMBER(Tabelle1!M172),Tabelle1!M172/'SF Workings'!AL171,"")</f>
        <v>197.588759390007</v>
      </c>
      <c r="L171" s="23" t="n">
        <f aca="false">IF(ISNUMBER(Tabelle1!N172),Tabelle1!N172/'SF Workings'!AP171,"")</f>
        <v>184.88742531534</v>
      </c>
      <c r="M171" s="23" t="n">
        <f aca="false">IF(ISNUMBER(Tabelle1!O172),Tabelle1!O172/'SF Workings'!AT171,"")</f>
        <v>140.873809903776</v>
      </c>
      <c r="N171" s="23" t="n">
        <f aca="false">IF(ISNUMBER(Tabelle1!P172),Tabelle1!P172/'SF Workings'!AX171,"")</f>
        <v>154.279935565292</v>
      </c>
      <c r="O171" s="23" t="n">
        <f aca="false">IF(ISNUMBER(Tabelle1!Q172),Tabelle1!Q172/'SF Workings'!BB171,"")</f>
        <v>159.016796485969</v>
      </c>
      <c r="P171" s="23" t="n">
        <f aca="false">IF(ISNUMBER(Tabelle1!R172),Tabelle1!R172/'SF Workings'!BF171,"")</f>
        <v>177.592047584575</v>
      </c>
      <c r="Q171" s="23" t="n">
        <f aca="false">IF(ISNUMBER(Tabelle1!S172),Tabelle1!S172/'SF Workings'!BJ171,"")</f>
        <v>158.275980865819</v>
      </c>
      <c r="R171" s="23" t="n">
        <f aca="false">IFERROR(C171*'Weights &amp; Assumptions'!$F$6+D171*'Weights &amp; Assumptions'!$F$7,"")</f>
        <v>123.881510273527</v>
      </c>
      <c r="S171" s="23" t="n">
        <f aca="false">IFERROR(E171*'Weights &amp; Assumptions'!$F$8+F171*'Weights &amp; Assumptions'!$F$9+H171*'Weights &amp; Assumptions'!$F$11,"")</f>
        <v>130.551111326883</v>
      </c>
      <c r="T171" s="23" t="n">
        <f aca="false">IFERROR(G171*'Weights &amp; Assumptions'!$F$10+I171*'Weights &amp; Assumptions'!$F$12+J171*'Weights &amp; Assumptions'!$F$13+K171*'Weights &amp; Assumptions'!$F$14+L171*'Weights &amp; Assumptions'!$F$15+M171*'Weights &amp; Assumptions'!$F$16+N171*'Weights &amp; Assumptions'!$F$17+O171*'Weights &amp; Assumptions'!$F$18+P171*'Weights &amp; Assumptions'!$F$19+Q171*'Weights &amp; Assumptions'!$F$20,"")</f>
        <v>163.335001389662</v>
      </c>
      <c r="U171" s="23" t="n">
        <f aca="false">IFERROR(R171*'Weights &amp; Assumptions'!$B$25/'Weights &amp; Assumptions'!$B$28+S171*'Weights &amp; Assumptions'!$B$26/'Weights &amp; Assumptions'!$B$28+T171*'Weights &amp; Assumptions'!$B$27/'Weights &amp; Assumptions'!$B$28,"")</f>
        <v>151.307011609792</v>
      </c>
      <c r="V171" s="30" t="n">
        <f aca="false">IF(ISNUMBER(Tabelle1!E172),Tabelle1!E172*'Weights &amp; Assumptions'!$F$6+Tabelle1!F172*'Weights &amp; Assumptions'!$F$7,"")</f>
        <v>67.3821490208698</v>
      </c>
      <c r="W171" s="30" t="n">
        <f aca="false">IF(ISNUMBER(Tabelle1!G172),Tabelle1!G172*'Weights &amp; Assumptions'!$F$8+Tabelle1!H172*'Weights &amp; Assumptions'!$F$9+Tabelle1!J172*'Weights &amp; Assumptions'!$F$11,"")</f>
        <v>134.688266850345</v>
      </c>
      <c r="X171" s="30" t="n">
        <f aca="false">IF(ISNUMBER(Tabelle1!I172),Tabelle1!I172*'Weights &amp; Assumptions'!$F$10+Tabelle1!K172*'Weights &amp; Assumptions'!$F$12+Tabelle1!L172*'Weights &amp; Assumptions'!$F$13+Tabelle1!M172*'Weights &amp; Assumptions'!$F$14+Tabelle1!N172*'Weights &amp; Assumptions'!$F$15+Tabelle1!O172*'Weights &amp; Assumptions'!$F$16+Tabelle1!P172*'Weights &amp; Assumptions'!$F$17+Tabelle1!Q172*'Weights &amp; Assumptions'!$F$18+Tabelle1!R172*'Weights &amp; Assumptions'!$F$19+Tabelle1!S172*'Weights &amp; Assumptions'!$F$20,"")</f>
        <v>162.655804422201</v>
      </c>
      <c r="Y171" s="23" t="n">
        <f aca="false">IFERROR(V171*'Weights &amp; Assumptions'!$B$25/'Weights &amp; Assumptions'!$B$28+W171*'Weights &amp; Assumptions'!$B$26/'Weights &amp; Assumptions'!$B$28+X171*'Weights &amp; Assumptions'!$B$27/'Weights &amp; Assumptions'!$B$28,"")</f>
        <v>147.225208665533</v>
      </c>
    </row>
    <row r="172" customFormat="false" ht="15" hidden="false" customHeight="false" outlineLevel="0" collapsed="false">
      <c r="A172" s="20" t="n">
        <v>43039</v>
      </c>
      <c r="B172" s="30" t="n">
        <f aca="false">IF(ISNUMBER(Tabelle1!D173),Tabelle1!D173,"")</f>
        <v>151.71276</v>
      </c>
      <c r="C172" s="23" t="n">
        <f aca="false">IF(ISNUMBER(Tabelle1!E173),Tabelle1!E173/'SF Workings'!F172,"")</f>
        <v>135.607537009186</v>
      </c>
      <c r="D172" s="23" t="n">
        <f aca="false">IF(ISNUMBER(Tabelle1!F173),Tabelle1!F173/'SF Workings'!J172,"")</f>
        <v>181.786812993679</v>
      </c>
      <c r="E172" s="23" t="n">
        <f aca="false">IF(ISNUMBER(Tabelle1!G173),Tabelle1!G173/'SF Workings'!N172,"")</f>
        <v>88.8489938622206</v>
      </c>
      <c r="F172" s="23" t="n">
        <f aca="false">IF(ISNUMBER(Tabelle1!H173),Tabelle1!H173/'SF Workings'!R172,"")</f>
        <v>131.822443325586</v>
      </c>
      <c r="G172" s="23" t="n">
        <f aca="false">IF(ISNUMBER(Tabelle1!I173),Tabelle1!I173/'SF Workings'!V172,"")</f>
        <v>142.392872193293</v>
      </c>
      <c r="H172" s="23" t="n">
        <f aca="false">IF(ISNUMBER(Tabelle1!J173),Tabelle1!J173/'SF Workings'!Z172,"")</f>
        <v>149.226009894675</v>
      </c>
      <c r="I172" s="23" t="n">
        <f aca="false">IF(ISNUMBER(Tabelle1!K173),Tabelle1!K173/'SF Workings'!AD172,"")</f>
        <v>160.258871410881</v>
      </c>
      <c r="J172" s="23" t="n">
        <f aca="false">IF(ISNUMBER(Tabelle1!L173),Tabelle1!L173/'SF Workings'!AH172,"")</f>
        <v>168.692722355544</v>
      </c>
      <c r="K172" s="23" t="n">
        <f aca="false">IF(ISNUMBER(Tabelle1!M173),Tabelle1!M173/'SF Workings'!AL172,"")</f>
        <v>198.161252184862</v>
      </c>
      <c r="L172" s="23" t="n">
        <f aca="false">IF(ISNUMBER(Tabelle1!N173),Tabelle1!N173/'SF Workings'!AP172,"")</f>
        <v>186.726557940958</v>
      </c>
      <c r="M172" s="23" t="n">
        <f aca="false">IF(ISNUMBER(Tabelle1!O173),Tabelle1!O173/'SF Workings'!AT172,"")</f>
        <v>141.758734126156</v>
      </c>
      <c r="N172" s="23" t="n">
        <f aca="false">IF(ISNUMBER(Tabelle1!P173),Tabelle1!P173/'SF Workings'!AX172,"")</f>
        <v>153.650215771111</v>
      </c>
      <c r="O172" s="23" t="n">
        <f aca="false">IF(ISNUMBER(Tabelle1!Q173),Tabelle1!Q173/'SF Workings'!BB172,"")</f>
        <v>158.813936455974</v>
      </c>
      <c r="P172" s="23" t="n">
        <f aca="false">IF(ISNUMBER(Tabelle1!R173),Tabelle1!R173/'SF Workings'!BF172,"")</f>
        <v>177.269311772494</v>
      </c>
      <c r="Q172" s="23" t="n">
        <f aca="false">IF(ISNUMBER(Tabelle1!S173),Tabelle1!S173/'SF Workings'!BJ172,"")</f>
        <v>151.051432169318</v>
      </c>
      <c r="R172" s="23" t="n">
        <f aca="false">IFERROR(C172*'Weights &amp; Assumptions'!$F$6+D172*'Weights &amp; Assumptions'!$F$7,"")</f>
        <v>136.173350238016</v>
      </c>
      <c r="S172" s="23" t="n">
        <f aca="false">IFERROR(E172*'Weights &amp; Assumptions'!$F$8+F172*'Weights &amp; Assumptions'!$F$9+H172*'Weights &amp; Assumptions'!$F$11,"")</f>
        <v>130.317085872409</v>
      </c>
      <c r="T172" s="23" t="n">
        <f aca="false">IFERROR(G172*'Weights &amp; Assumptions'!$F$10+I172*'Weights &amp; Assumptions'!$F$12+J172*'Weights &amp; Assumptions'!$F$13+K172*'Weights &amp; Assumptions'!$F$14+L172*'Weights &amp; Assumptions'!$F$15+M172*'Weights &amp; Assumptions'!$F$16+N172*'Weights &amp; Assumptions'!$F$17+O172*'Weights &amp; Assumptions'!$F$18+P172*'Weights &amp; Assumptions'!$F$19+Q172*'Weights &amp; Assumptions'!$F$20,"")</f>
        <v>163.913890874348</v>
      </c>
      <c r="U172" s="23" t="n">
        <f aca="false">IFERROR(R172*'Weights &amp; Assumptions'!$B$25/'Weights &amp; Assumptions'!$B$28+S172*'Weights &amp; Assumptions'!$B$26/'Weights &amp; Assumptions'!$B$28+T172*'Weights &amp; Assumptions'!$B$27/'Weights &amp; Assumptions'!$B$28,"")</f>
        <v>152.652459104777</v>
      </c>
      <c r="V172" s="30" t="n">
        <f aca="false">IF(ISNUMBER(Tabelle1!E173),Tabelle1!E173*'Weights &amp; Assumptions'!$F$6+Tabelle1!F173*'Weights &amp; Assumptions'!$F$7,"")</f>
        <v>80.1311440509648</v>
      </c>
      <c r="W172" s="30" t="n">
        <f aca="false">IF(ISNUMBER(Tabelle1!G173),Tabelle1!G173*'Weights &amp; Assumptions'!$F$8+Tabelle1!H173*'Weights &amp; Assumptions'!$F$9+Tabelle1!J173*'Weights &amp; Assumptions'!$F$11,"")</f>
        <v>138.163846043442</v>
      </c>
      <c r="X172" s="30" t="n">
        <f aca="false">IF(ISNUMBER(Tabelle1!I173),Tabelle1!I173*'Weights &amp; Assumptions'!$F$10+Tabelle1!K173*'Weights &amp; Assumptions'!$F$12+Tabelle1!L173*'Weights &amp; Assumptions'!$F$13+Tabelle1!M173*'Weights &amp; Assumptions'!$F$14+Tabelle1!N173*'Weights &amp; Assumptions'!$F$15+Tabelle1!O173*'Weights &amp; Assumptions'!$F$16+Tabelle1!P173*'Weights &amp; Assumptions'!$F$17+Tabelle1!Q173*'Weights &amp; Assumptions'!$F$18+Tabelle1!R173*'Weights &amp; Assumptions'!$F$19+Tabelle1!S173*'Weights &amp; Assumptions'!$F$20,"")</f>
        <v>165.551272947509</v>
      </c>
      <c r="Y172" s="23" t="n">
        <f aca="false">IFERROR(V172*'Weights &amp; Assumptions'!$B$25/'Weights &amp; Assumptions'!$B$28+W172*'Weights &amp; Assumptions'!$B$26/'Weights &amp; Assumptions'!$B$28+X172*'Weights &amp; Assumptions'!$B$27/'Weights &amp; Assumptions'!$B$28,"")</f>
        <v>151.101657824714</v>
      </c>
    </row>
    <row r="173" customFormat="false" ht="15" hidden="false" customHeight="false" outlineLevel="0" collapsed="false">
      <c r="A173" s="20" t="n">
        <v>43069</v>
      </c>
      <c r="B173" s="30" t="n">
        <f aca="false">IF(ISNUMBER(Tabelle1!D174),Tabelle1!D174,"")</f>
        <v>152.63221</v>
      </c>
      <c r="C173" s="23" t="n">
        <f aca="false">IF(ISNUMBER(Tabelle1!E174),Tabelle1!E174/'SF Workings'!F173,"")</f>
        <v>129.748430035991</v>
      </c>
      <c r="D173" s="23" t="n">
        <f aca="false">IF(ISNUMBER(Tabelle1!F174),Tabelle1!F174/'SF Workings'!J173,"")</f>
        <v>166.593177394884</v>
      </c>
      <c r="E173" s="23" t="n">
        <f aca="false">IF(ISNUMBER(Tabelle1!G174),Tabelle1!G174/'SF Workings'!N173,"")</f>
        <v>88.895939452843</v>
      </c>
      <c r="F173" s="23" t="n">
        <f aca="false">IF(ISNUMBER(Tabelle1!H174),Tabelle1!H174/'SF Workings'!R173,"")</f>
        <v>136.593418046627</v>
      </c>
      <c r="G173" s="23" t="n">
        <f aca="false">IF(ISNUMBER(Tabelle1!I174),Tabelle1!I174/'SF Workings'!V173,"")</f>
        <v>138.319859210616</v>
      </c>
      <c r="H173" s="23" t="n">
        <f aca="false">IF(ISNUMBER(Tabelle1!J174),Tabelle1!J174/'SF Workings'!Z173,"")</f>
        <v>152.27728075285</v>
      </c>
      <c r="I173" s="23" t="n">
        <f aca="false">IF(ISNUMBER(Tabelle1!K174),Tabelle1!K174/'SF Workings'!AD173,"")</f>
        <v>170.277188166353</v>
      </c>
      <c r="J173" s="23" t="n">
        <f aca="false">IF(ISNUMBER(Tabelle1!L174),Tabelle1!L174/'SF Workings'!AH173,"")</f>
        <v>169.307352124526</v>
      </c>
      <c r="K173" s="23" t="n">
        <f aca="false">IF(ISNUMBER(Tabelle1!M174),Tabelle1!M174/'SF Workings'!AL173,"")</f>
        <v>198.819181615358</v>
      </c>
      <c r="L173" s="23" t="n">
        <f aca="false">IF(ISNUMBER(Tabelle1!N174),Tabelle1!N174/'SF Workings'!AP173,"")</f>
        <v>190.011030709102</v>
      </c>
      <c r="M173" s="23" t="n">
        <f aca="false">IF(ISNUMBER(Tabelle1!O174),Tabelle1!O174/'SF Workings'!AT173,"")</f>
        <v>142.227980820133</v>
      </c>
      <c r="N173" s="23" t="n">
        <f aca="false">IF(ISNUMBER(Tabelle1!P174),Tabelle1!P174/'SF Workings'!AX173,"")</f>
        <v>153.944720852006</v>
      </c>
      <c r="O173" s="23" t="n">
        <f aca="false">IF(ISNUMBER(Tabelle1!Q174),Tabelle1!Q174/'SF Workings'!BB173,"")</f>
        <v>159.288317595209</v>
      </c>
      <c r="P173" s="23" t="n">
        <f aca="false">IF(ISNUMBER(Tabelle1!R174),Tabelle1!R174/'SF Workings'!BF173,"")</f>
        <v>177.646862469822</v>
      </c>
      <c r="Q173" s="23" t="n">
        <f aca="false">IF(ISNUMBER(Tabelle1!S174),Tabelle1!S174/'SF Workings'!BJ173,"")</f>
        <v>148.06156026422</v>
      </c>
      <c r="R173" s="23" t="n">
        <f aca="false">IFERROR(C173*'Weights &amp; Assumptions'!$F$6+D173*'Weights &amp; Assumptions'!$F$7,"")</f>
        <v>130.199871619345</v>
      </c>
      <c r="S173" s="23" t="n">
        <f aca="false">IFERROR(E173*'Weights &amp; Assumptions'!$F$8+F173*'Weights &amp; Assumptions'!$F$9+H173*'Weights &amp; Assumptions'!$F$11,"")</f>
        <v>134.165767406144</v>
      </c>
      <c r="T173" s="23" t="n">
        <f aca="false">IFERROR(G173*'Weights &amp; Assumptions'!$F$10+I173*'Weights &amp; Assumptions'!$F$12+J173*'Weights &amp; Assumptions'!$F$13+K173*'Weights &amp; Assumptions'!$F$14+L173*'Weights &amp; Assumptions'!$F$15+M173*'Weights &amp; Assumptions'!$F$16+N173*'Weights &amp; Assumptions'!$F$17+O173*'Weights &amp; Assumptions'!$F$18+P173*'Weights &amp; Assumptions'!$F$19+Q173*'Weights &amp; Assumptions'!$F$20,"")</f>
        <v>166.233686358214</v>
      </c>
      <c r="U173" s="23" t="n">
        <f aca="false">IFERROR(R173*'Weights &amp; Assumptions'!$B$25/'Weights &amp; Assumptions'!$B$28+S173*'Weights &amp; Assumptions'!$B$26/'Weights &amp; Assumptions'!$B$28+T173*'Weights &amp; Assumptions'!$B$27/'Weights &amp; Assumptions'!$B$28,"")</f>
        <v>154.682999497285</v>
      </c>
      <c r="V173" s="30" t="n">
        <f aca="false">IF(ISNUMBER(Tabelle1!E174),Tabelle1!E174*'Weights &amp; Assumptions'!$F$6+Tabelle1!F174*'Weights &amp; Assumptions'!$F$7,"")</f>
        <v>89.464586386813</v>
      </c>
      <c r="W173" s="30" t="n">
        <f aca="false">IF(ISNUMBER(Tabelle1!G174),Tabelle1!G174*'Weights &amp; Assumptions'!$F$8+Tabelle1!H174*'Weights &amp; Assumptions'!$F$9+Tabelle1!J174*'Weights &amp; Assumptions'!$F$11,"")</f>
        <v>140.100519039554</v>
      </c>
      <c r="X173" s="30" t="n">
        <f aca="false">IF(ISNUMBER(Tabelle1!I174),Tabelle1!I174*'Weights &amp; Assumptions'!$F$10+Tabelle1!K174*'Weights &amp; Assumptions'!$F$12+Tabelle1!L174*'Weights &amp; Assumptions'!$F$13+Tabelle1!M174*'Weights &amp; Assumptions'!$F$14+Tabelle1!N174*'Weights &amp; Assumptions'!$F$15+Tabelle1!O174*'Weights &amp; Assumptions'!$F$16+Tabelle1!P174*'Weights &amp; Assumptions'!$F$17+Tabelle1!Q174*'Weights &amp; Assumptions'!$F$18+Tabelle1!R174*'Weights &amp; Assumptions'!$F$19+Tabelle1!S174*'Weights &amp; Assumptions'!$F$20,"")</f>
        <v>167.935886306148</v>
      </c>
      <c r="Y173" s="23" t="n">
        <f aca="false">IFERROR(V173*'Weights &amp; Assumptions'!$B$25/'Weights &amp; Assumptions'!$B$28+W173*'Weights &amp; Assumptions'!$B$26/'Weights &amp; Assumptions'!$B$28+X173*'Weights &amp; Assumptions'!$B$27/'Weights &amp; Assumptions'!$B$28,"")</f>
        <v>153.950168550253</v>
      </c>
    </row>
    <row r="174" customFormat="false" ht="15" hidden="false" customHeight="false" outlineLevel="0" collapsed="false">
      <c r="A174" s="20" t="n">
        <v>43100</v>
      </c>
      <c r="B174" s="30" t="n">
        <f aca="false">IF(ISNUMBER(Tabelle1!D175),Tabelle1!D175,"")</f>
        <v>152.24534</v>
      </c>
      <c r="C174" s="23" t="n">
        <f aca="false">IF(ISNUMBER(Tabelle1!E175),Tabelle1!E175/'SF Workings'!F174,"")</f>
        <v>123.879729468028</v>
      </c>
      <c r="D174" s="23" t="n">
        <f aca="false">IF(ISNUMBER(Tabelle1!F175),Tabelle1!F175/'SF Workings'!J174,"")</f>
        <v>158.154858224115</v>
      </c>
      <c r="E174" s="23" t="n">
        <f aca="false">IF(ISNUMBER(Tabelle1!G175),Tabelle1!G175/'SF Workings'!N174,"")</f>
        <v>87.9448763197753</v>
      </c>
      <c r="F174" s="23" t="n">
        <f aca="false">IF(ISNUMBER(Tabelle1!H175),Tabelle1!H175/'SF Workings'!R174,"")</f>
        <v>132.839805122609</v>
      </c>
      <c r="G174" s="23" t="n">
        <f aca="false">IF(ISNUMBER(Tabelle1!I175),Tabelle1!I175/'SF Workings'!V174,"")</f>
        <v>144.841638337353</v>
      </c>
      <c r="H174" s="23" t="n">
        <f aca="false">IF(ISNUMBER(Tabelle1!J175),Tabelle1!J175/'SF Workings'!Z174,"")</f>
        <v>148.642495704375</v>
      </c>
      <c r="I174" s="23" t="n">
        <f aca="false">IF(ISNUMBER(Tabelle1!K175),Tabelle1!K175/'SF Workings'!AD174,"")</f>
        <v>154.848300593326</v>
      </c>
      <c r="J174" s="23" t="n">
        <f aca="false">IF(ISNUMBER(Tabelle1!L175),Tabelle1!L175/'SF Workings'!AH174,"")</f>
        <v>165.711599304848</v>
      </c>
      <c r="K174" s="23" t="n">
        <f aca="false">IF(ISNUMBER(Tabelle1!M175),Tabelle1!M175/'SF Workings'!AL174,"")</f>
        <v>196.770397043751</v>
      </c>
      <c r="L174" s="23" t="n">
        <f aca="false">IF(ISNUMBER(Tabelle1!N175),Tabelle1!N175/'SF Workings'!AP174,"")</f>
        <v>187.597873856908</v>
      </c>
      <c r="M174" s="23" t="n">
        <f aca="false">IF(ISNUMBER(Tabelle1!O175),Tabelle1!O175/'SF Workings'!AT174,"")</f>
        <v>141.752619558212</v>
      </c>
      <c r="N174" s="23" t="n">
        <f aca="false">IF(ISNUMBER(Tabelle1!P175),Tabelle1!P175/'SF Workings'!AX174,"")</f>
        <v>153.707293510836</v>
      </c>
      <c r="O174" s="23" t="n">
        <f aca="false">IF(ISNUMBER(Tabelle1!Q175),Tabelle1!Q175/'SF Workings'!BB174,"")</f>
        <v>159.146830191047</v>
      </c>
      <c r="P174" s="23" t="n">
        <f aca="false">IF(ISNUMBER(Tabelle1!R175),Tabelle1!R175/'SF Workings'!BF174,"")</f>
        <v>177.167410841166</v>
      </c>
      <c r="Q174" s="23" t="n">
        <f aca="false">IF(ISNUMBER(Tabelle1!S175),Tabelle1!S175/'SF Workings'!BJ174,"")</f>
        <v>145.074018186895</v>
      </c>
      <c r="R174" s="23" t="n">
        <f aca="false">IFERROR(C174*'Weights &amp; Assumptions'!$F$6+D174*'Weights &amp; Assumptions'!$F$7,"")</f>
        <v>124.299686707646</v>
      </c>
      <c r="S174" s="23" t="n">
        <f aca="false">IFERROR(E174*'Weights &amp; Assumptions'!$F$8+F174*'Weights &amp; Assumptions'!$F$9+H174*'Weights &amp; Assumptions'!$F$11,"")</f>
        <v>130.771527159733</v>
      </c>
      <c r="T174" s="23" t="n">
        <f aca="false">IFERROR(G174*'Weights &amp; Assumptions'!$F$10+I174*'Weights &amp; Assumptions'!$F$12+J174*'Weights &amp; Assumptions'!$F$13+K174*'Weights &amp; Assumptions'!$F$14+L174*'Weights &amp; Assumptions'!$F$15+M174*'Weights &amp; Assumptions'!$F$16+N174*'Weights &amp; Assumptions'!$F$17+O174*'Weights &amp; Assumptions'!$F$18+P174*'Weights &amp; Assumptions'!$F$19+Q174*'Weights &amp; Assumptions'!$F$20,"")</f>
        <v>162.300809893452</v>
      </c>
      <c r="U174" s="23" t="n">
        <f aca="false">IFERROR(R174*'Weights &amp; Assumptions'!$B$25/'Weights &amp; Assumptions'!$B$28+S174*'Weights &amp; Assumptions'!$B$26/'Weights &amp; Assumptions'!$B$28+T174*'Weights &amp; Assumptions'!$B$27/'Weights &amp; Assumptions'!$B$28,"")</f>
        <v>150.728296996081</v>
      </c>
      <c r="V174" s="30" t="n">
        <f aca="false">IF(ISNUMBER(Tabelle1!E175),Tabelle1!E175*'Weights &amp; Assumptions'!$F$6+Tabelle1!F175*'Weights &amp; Assumptions'!$F$7,"")</f>
        <v>96.6969634905424</v>
      </c>
      <c r="W174" s="30" t="n">
        <f aca="false">IF(ISNUMBER(Tabelle1!G175),Tabelle1!G175*'Weights &amp; Assumptions'!$F$8+Tabelle1!H175*'Weights &amp; Assumptions'!$F$9+Tabelle1!J175*'Weights &amp; Assumptions'!$F$11,"")</f>
        <v>129.742599012177</v>
      </c>
      <c r="X174" s="30" t="n">
        <f aca="false">IF(ISNUMBER(Tabelle1!I175),Tabelle1!I175*'Weights &amp; Assumptions'!$F$10+Tabelle1!K175*'Weights &amp; Assumptions'!$F$12+Tabelle1!L175*'Weights &amp; Assumptions'!$F$13+Tabelle1!M175*'Weights &amp; Assumptions'!$F$14+Tabelle1!N175*'Weights &amp; Assumptions'!$F$15+Tabelle1!O175*'Weights &amp; Assumptions'!$F$16+Tabelle1!P175*'Weights &amp; Assumptions'!$F$17+Tabelle1!Q175*'Weights &amp; Assumptions'!$F$18+Tabelle1!R175*'Weights &amp; Assumptions'!$F$19+Tabelle1!S175*'Weights &amp; Assumptions'!$F$20,"")</f>
        <v>161.96708853472</v>
      </c>
      <c r="Y174" s="23" t="n">
        <f aca="false">IFERROR(V174*'Weights &amp; Assumptions'!$B$25/'Weights &amp; Assumptions'!$B$28+W174*'Weights &amp; Assumptions'!$B$26/'Weights &amp; Assumptions'!$B$28+X174*'Weights &amp; Assumptions'!$B$27/'Weights &amp; Assumptions'!$B$28,"")</f>
        <v>147.921816059078</v>
      </c>
    </row>
    <row r="175" customFormat="false" ht="15" hidden="false" customHeight="false" outlineLevel="0" collapsed="false">
      <c r="A175" s="20" t="n">
        <v>43131</v>
      </c>
      <c r="B175" s="30" t="n">
        <f aca="false">IF(ISNUMBER(Tabelle1!D176),Tabelle1!D176,"")</f>
        <v>150.9775</v>
      </c>
      <c r="C175" s="23" t="n">
        <f aca="false">IF(ISNUMBER(Tabelle1!E176),Tabelle1!E176/'SF Workings'!F175,"")</f>
        <v>116.48930763222</v>
      </c>
      <c r="D175" s="23" t="n">
        <f aca="false">IF(ISNUMBER(Tabelle1!F176),Tabelle1!F176/'SF Workings'!J175,"")</f>
        <v>221.104479384922</v>
      </c>
      <c r="E175" s="23" t="n">
        <f aca="false">IF(ISNUMBER(Tabelle1!G176),Tabelle1!G176/'SF Workings'!N175,"")</f>
        <v>87.70315980338</v>
      </c>
      <c r="F175" s="23" t="n">
        <f aca="false">IF(ISNUMBER(Tabelle1!H176),Tabelle1!H176/'SF Workings'!R175,"")</f>
        <v>133.482911264881</v>
      </c>
      <c r="G175" s="23" t="n">
        <f aca="false">IF(ISNUMBER(Tabelle1!I176),Tabelle1!I176/'SF Workings'!V175,"")</f>
        <v>144.520264560591</v>
      </c>
      <c r="H175" s="23" t="n">
        <f aca="false">IF(ISNUMBER(Tabelle1!J176),Tabelle1!J176/'SF Workings'!Z175,"")</f>
        <v>152.704714970366</v>
      </c>
      <c r="I175" s="23" t="n">
        <f aca="false">IF(ISNUMBER(Tabelle1!K176),Tabelle1!K176/'SF Workings'!AD175,"")</f>
        <v>159.032731535564</v>
      </c>
      <c r="J175" s="23" t="n">
        <f aca="false">IF(ISNUMBER(Tabelle1!L176),Tabelle1!L176/'SF Workings'!AH175,"")</f>
        <v>154.295686943357</v>
      </c>
      <c r="K175" s="23" t="n">
        <f aca="false">IF(ISNUMBER(Tabelle1!M176),Tabelle1!M176/'SF Workings'!AL175,"")</f>
        <v>199.794107922574</v>
      </c>
      <c r="L175" s="23" t="n">
        <f aca="false">IF(ISNUMBER(Tabelle1!N176),Tabelle1!N176/'SF Workings'!AP175,"")</f>
        <v>192.790866824445</v>
      </c>
      <c r="M175" s="23" t="n">
        <f aca="false">IF(ISNUMBER(Tabelle1!O176),Tabelle1!O176/'SF Workings'!AT175,"")</f>
        <v>142.419730536866</v>
      </c>
      <c r="N175" s="23" t="n">
        <f aca="false">IF(ISNUMBER(Tabelle1!P176),Tabelle1!P176/'SF Workings'!AX175,"")</f>
        <v>153.995161038801</v>
      </c>
      <c r="O175" s="23" t="n">
        <f aca="false">IF(ISNUMBER(Tabelle1!Q176),Tabelle1!Q176/'SF Workings'!BB175,"")</f>
        <v>159.643289754552</v>
      </c>
      <c r="P175" s="23" t="n">
        <f aca="false">IF(ISNUMBER(Tabelle1!R176),Tabelle1!R176/'SF Workings'!BF175,"")</f>
        <v>178.803389918845</v>
      </c>
      <c r="Q175" s="23" t="n">
        <f aca="false">IF(ISNUMBER(Tabelle1!S176),Tabelle1!S176/'SF Workings'!BJ175,"")</f>
        <v>145.442200844626</v>
      </c>
      <c r="R175" s="23" t="n">
        <f aca="false">IFERROR(C175*'Weights &amp; Assumptions'!$F$6+D175*'Weights &amp; Assumptions'!$F$7,"")</f>
        <v>117.771108761668</v>
      </c>
      <c r="S175" s="23" t="n">
        <f aca="false">IFERROR(E175*'Weights &amp; Assumptions'!$F$8+F175*'Weights &amp; Assumptions'!$F$9+H175*'Weights &amp; Assumptions'!$F$11,"")</f>
        <v>132.021269521825</v>
      </c>
      <c r="T175" s="23" t="n">
        <f aca="false">IFERROR(G175*'Weights &amp; Assumptions'!$F$10+I175*'Weights &amp; Assumptions'!$F$12+J175*'Weights &amp; Assumptions'!$F$13+K175*'Weights &amp; Assumptions'!$F$14+L175*'Weights &amp; Assumptions'!$F$15+M175*'Weights &amp; Assumptions'!$F$16+N175*'Weights &amp; Assumptions'!$F$17+O175*'Weights &amp; Assumptions'!$F$18+P175*'Weights &amp; Assumptions'!$F$19+Q175*'Weights &amp; Assumptions'!$F$20,"")</f>
        <v>163.784396600151</v>
      </c>
      <c r="U175" s="23" t="n">
        <f aca="false">IFERROR(R175*'Weights &amp; Assumptions'!$B$25/'Weights &amp; Assumptions'!$B$28+S175*'Weights &amp; Assumptions'!$B$26/'Weights &amp; Assumptions'!$B$28+T175*'Weights &amp; Assumptions'!$B$27/'Weights &amp; Assumptions'!$B$28,"")</f>
        <v>151.477473124647</v>
      </c>
      <c r="V175" s="30" t="n">
        <f aca="false">IF(ISNUMBER(Tabelle1!E176),Tabelle1!E176*'Weights &amp; Assumptions'!$F$6+Tabelle1!F176*'Weights &amp; Assumptions'!$F$7,"")</f>
        <v>69.1162834944756</v>
      </c>
      <c r="W175" s="30" t="n">
        <f aca="false">IF(ISNUMBER(Tabelle1!G176),Tabelle1!G176*'Weights &amp; Assumptions'!$F$8+Tabelle1!H176*'Weights &amp; Assumptions'!$F$9+Tabelle1!J176*'Weights &amp; Assumptions'!$F$11,"")</f>
        <v>121.808708654886</v>
      </c>
      <c r="X175" s="30" t="n">
        <f aca="false">IF(ISNUMBER(Tabelle1!I176),Tabelle1!I176*'Weights &amp; Assumptions'!$F$10+Tabelle1!K176*'Weights &amp; Assumptions'!$F$12+Tabelle1!L176*'Weights &amp; Assumptions'!$F$13+Tabelle1!M176*'Weights &amp; Assumptions'!$F$14+Tabelle1!N176*'Weights &amp; Assumptions'!$F$15+Tabelle1!O176*'Weights &amp; Assumptions'!$F$16+Tabelle1!P176*'Weights &amp; Assumptions'!$F$17+Tabelle1!Q176*'Weights &amp; Assumptions'!$F$18+Tabelle1!R176*'Weights &amp; Assumptions'!$F$19+Tabelle1!S176*'Weights &amp; Assumptions'!$F$20,"")</f>
        <v>161.465201857815</v>
      </c>
      <c r="Y175" s="23" t="n">
        <f aca="false">IFERROR(V175*'Weights &amp; Assumptions'!$B$25/'Weights &amp; Assumptions'!$B$28+W175*'Weights &amp; Assumptions'!$B$26/'Weights &amp; Assumptions'!$B$28+X175*'Weights &amp; Assumptions'!$B$27/'Weights &amp; Assumptions'!$B$28,"")</f>
        <v>143.171696485687</v>
      </c>
    </row>
    <row r="176" customFormat="false" ht="15" hidden="false" customHeight="false" outlineLevel="0" collapsed="false">
      <c r="A176" s="20" t="n">
        <v>43159</v>
      </c>
      <c r="B176" s="30" t="n">
        <f aca="false">IF(ISNUMBER(Tabelle1!D177),Tabelle1!D177,"")</f>
        <v>152.19147</v>
      </c>
      <c r="C176" s="23" t="n">
        <f aca="false">IF(ISNUMBER(Tabelle1!E177),Tabelle1!E177/'SF Workings'!F176,"")</f>
        <v>130.952550218862</v>
      </c>
      <c r="D176" s="23" t="n">
        <f aca="false">IF(ISNUMBER(Tabelle1!F177),Tabelle1!F177/'SF Workings'!J176,"")</f>
        <v>189.998986197624</v>
      </c>
      <c r="E176" s="23" t="n">
        <f aca="false">IF(ISNUMBER(Tabelle1!G177),Tabelle1!G177/'SF Workings'!N176,"")</f>
        <v>87.0730075970335</v>
      </c>
      <c r="F176" s="23" t="n">
        <f aca="false">IF(ISNUMBER(Tabelle1!H177),Tabelle1!H177/'SF Workings'!R176,"")</f>
        <v>130.026731890618</v>
      </c>
      <c r="G176" s="23" t="n">
        <f aca="false">IF(ISNUMBER(Tabelle1!I177),Tabelle1!I177/'SF Workings'!V176,"")</f>
        <v>149.615343969015</v>
      </c>
      <c r="H176" s="23" t="n">
        <f aca="false">IF(ISNUMBER(Tabelle1!J177),Tabelle1!J177/'SF Workings'!Z176,"")</f>
        <v>148.49493954999</v>
      </c>
      <c r="I176" s="23" t="n">
        <f aca="false">IF(ISNUMBER(Tabelle1!K177),Tabelle1!K177/'SF Workings'!AD176,"")</f>
        <v>162.670422649955</v>
      </c>
      <c r="J176" s="23" t="n">
        <f aca="false">IF(ISNUMBER(Tabelle1!L177),Tabelle1!L177/'SF Workings'!AH176,"")</f>
        <v>152.992044922832</v>
      </c>
      <c r="K176" s="23" t="n">
        <f aca="false">IF(ISNUMBER(Tabelle1!M177),Tabelle1!M177/'SF Workings'!AL176,"")</f>
        <v>194.716089569895</v>
      </c>
      <c r="L176" s="23" t="n">
        <f aca="false">IF(ISNUMBER(Tabelle1!N177),Tabelle1!N177/'SF Workings'!AP176,"")</f>
        <v>194.552145741443</v>
      </c>
      <c r="M176" s="23" t="n">
        <f aca="false">IF(ISNUMBER(Tabelle1!O177),Tabelle1!O177/'SF Workings'!AT176,"")</f>
        <v>141.622695618375</v>
      </c>
      <c r="N176" s="23" t="n">
        <f aca="false">IF(ISNUMBER(Tabelle1!P177),Tabelle1!P177/'SF Workings'!AX176,"")</f>
        <v>153.612793404415</v>
      </c>
      <c r="O176" s="23" t="n">
        <f aca="false">IF(ISNUMBER(Tabelle1!Q177),Tabelle1!Q177/'SF Workings'!BB176,"")</f>
        <v>159.431757830099</v>
      </c>
      <c r="P176" s="23" t="n">
        <f aca="false">IF(ISNUMBER(Tabelle1!R177),Tabelle1!R177/'SF Workings'!BF176,"")</f>
        <v>178.100352778155</v>
      </c>
      <c r="Q176" s="23" t="n">
        <f aca="false">IF(ISNUMBER(Tabelle1!S177),Tabelle1!S177/'SF Workings'!BJ176,"")</f>
        <v>141.866132533347</v>
      </c>
      <c r="R176" s="23" t="n">
        <f aca="false">IFERROR(C176*'Weights &amp; Assumptions'!$F$6+D176*'Weights &amp; Assumptions'!$F$7,"")</f>
        <v>131.676018785222</v>
      </c>
      <c r="S176" s="23" t="n">
        <f aca="false">IFERROR(E176*'Weights &amp; Assumptions'!$F$8+F176*'Weights &amp; Assumptions'!$F$9+H176*'Weights &amp; Assumptions'!$F$11,"")</f>
        <v>128.745519461918</v>
      </c>
      <c r="T176" s="23" t="n">
        <f aca="false">IFERROR(G176*'Weights &amp; Assumptions'!$F$10+I176*'Weights &amp; Assumptions'!$F$12+J176*'Weights &amp; Assumptions'!$F$13+K176*'Weights &amp; Assumptions'!$F$14+L176*'Weights &amp; Assumptions'!$F$15+M176*'Weights &amp; Assumptions'!$F$16+N176*'Weights &amp; Assumptions'!$F$17+O176*'Weights &amp; Assumptions'!$F$18+P176*'Weights &amp; Assumptions'!$F$19+Q176*'Weights &amp; Assumptions'!$F$20,"")</f>
        <v>163.541191384975</v>
      </c>
      <c r="U176" s="23" t="n">
        <f aca="false">IFERROR(R176*'Weights &amp; Assumptions'!$B$25/'Weights &amp; Assumptions'!$B$28+S176*'Weights &amp; Assumptions'!$B$26/'Weights &amp; Assumptions'!$B$28+T176*'Weights &amp; Assumptions'!$B$27/'Weights &amp; Assumptions'!$B$28,"")</f>
        <v>151.61489990483</v>
      </c>
      <c r="V176" s="30" t="n">
        <f aca="false">IF(ISNUMBER(Tabelle1!E177),Tabelle1!E177*'Weights &amp; Assumptions'!$F$6+Tabelle1!F177*'Weights &amp; Assumptions'!$F$7,"")</f>
        <v>75.8173800796177</v>
      </c>
      <c r="W176" s="30" t="n">
        <f aca="false">IF(ISNUMBER(Tabelle1!G177),Tabelle1!G177*'Weights &amp; Assumptions'!$F$8+Tabelle1!H177*'Weights &amp; Assumptions'!$F$9+Tabelle1!J177*'Weights &amp; Assumptions'!$F$11,"")</f>
        <v>117.136588072225</v>
      </c>
      <c r="X176" s="30" t="n">
        <f aca="false">IF(ISNUMBER(Tabelle1!I177),Tabelle1!I177*'Weights &amp; Assumptions'!$F$10+Tabelle1!K177*'Weights &amp; Assumptions'!$F$12+Tabelle1!L177*'Weights &amp; Assumptions'!$F$13+Tabelle1!M177*'Weights &amp; Assumptions'!$F$14+Tabelle1!N177*'Weights &amp; Assumptions'!$F$15+Tabelle1!O177*'Weights &amp; Assumptions'!$F$16+Tabelle1!P177*'Weights &amp; Assumptions'!$F$17+Tabelle1!Q177*'Weights &amp; Assumptions'!$F$18+Tabelle1!R177*'Weights &amp; Assumptions'!$F$19+Tabelle1!S177*'Weights &amp; Assumptions'!$F$20,"")</f>
        <v>159.095340226367</v>
      </c>
      <c r="Y176" s="23" t="n">
        <f aca="false">IFERROR(V176*'Weights &amp; Assumptions'!$B$25/'Weights &amp; Assumptions'!$B$28+W176*'Weights &amp; Assumptions'!$B$26/'Weights &amp; Assumptions'!$B$28+X176*'Weights &amp; Assumptions'!$B$27/'Weights &amp; Assumptions'!$B$28,"")</f>
        <v>140.95068492608</v>
      </c>
    </row>
    <row r="177" customFormat="false" ht="15" hidden="false" customHeight="false" outlineLevel="0" collapsed="false">
      <c r="A177" s="20" t="n">
        <v>43190</v>
      </c>
      <c r="B177" s="30" t="n">
        <f aca="false">IF(ISNUMBER(Tabelle1!D178),Tabelle1!D178,"")</f>
        <v>151.52876</v>
      </c>
      <c r="C177" s="23" t="n">
        <f aca="false">IF(ISNUMBER(Tabelle1!E178),Tabelle1!E178/'SF Workings'!F177,"")</f>
        <v>128.363530445886</v>
      </c>
      <c r="D177" s="23" t="n">
        <f aca="false">IF(ISNUMBER(Tabelle1!F178),Tabelle1!F178/'SF Workings'!J177,"")</f>
        <v>184.514018080903</v>
      </c>
      <c r="E177" s="23" t="n">
        <f aca="false">IF(ISNUMBER(Tabelle1!G178),Tabelle1!G178/'SF Workings'!N177,"")</f>
        <v>88.1846746474433</v>
      </c>
      <c r="F177" s="23" t="n">
        <f aca="false">IF(ISNUMBER(Tabelle1!H178),Tabelle1!H178/'SF Workings'!R177,"")</f>
        <v>133.903597298785</v>
      </c>
      <c r="G177" s="23" t="n">
        <f aca="false">IF(ISNUMBER(Tabelle1!I178),Tabelle1!I178/'SF Workings'!V177,"")</f>
        <v>144.912997693909</v>
      </c>
      <c r="H177" s="23" t="n">
        <f aca="false">IF(ISNUMBER(Tabelle1!J178),Tabelle1!J178/'SF Workings'!Z177,"")</f>
        <v>154.520686134445</v>
      </c>
      <c r="I177" s="23" t="n">
        <f aca="false">IF(ISNUMBER(Tabelle1!K178),Tabelle1!K178/'SF Workings'!AD177,"")</f>
        <v>166.316032020426</v>
      </c>
      <c r="J177" s="23" t="n">
        <f aca="false">IF(ISNUMBER(Tabelle1!L178),Tabelle1!L178/'SF Workings'!AH177,"")</f>
        <v>171.740868600189</v>
      </c>
      <c r="K177" s="23" t="n">
        <f aca="false">IF(ISNUMBER(Tabelle1!M178),Tabelle1!M178/'SF Workings'!AL177,"")</f>
        <v>198.181194275061</v>
      </c>
      <c r="L177" s="23" t="n">
        <f aca="false">IF(ISNUMBER(Tabelle1!N178),Tabelle1!N178/'SF Workings'!AP177,"")</f>
        <v>188.328332252537</v>
      </c>
      <c r="M177" s="23" t="n">
        <f aca="false">IF(ISNUMBER(Tabelle1!O178),Tabelle1!O178/'SF Workings'!AT177,"")</f>
        <v>144.320205545739</v>
      </c>
      <c r="N177" s="23" t="n">
        <f aca="false">IF(ISNUMBER(Tabelle1!P178),Tabelle1!P178/'SF Workings'!AX177,"")</f>
        <v>153.448593837789</v>
      </c>
      <c r="O177" s="23" t="n">
        <f aca="false">IF(ISNUMBER(Tabelle1!Q178),Tabelle1!Q178/'SF Workings'!BB177,"")</f>
        <v>159.906322450678</v>
      </c>
      <c r="P177" s="23" t="n">
        <f aca="false">IF(ISNUMBER(Tabelle1!R178),Tabelle1!R178/'SF Workings'!BF177,"")</f>
        <v>180.769567854641</v>
      </c>
      <c r="Q177" s="23" t="n">
        <f aca="false">IF(ISNUMBER(Tabelle1!S178),Tabelle1!S178/'SF Workings'!BJ177,"")</f>
        <v>141.856872139263</v>
      </c>
      <c r="R177" s="23" t="n">
        <f aca="false">IFERROR(C177*'Weights &amp; Assumptions'!$F$6+D177*'Weights &amp; Assumptions'!$F$7,"")</f>
        <v>129.051516301702</v>
      </c>
      <c r="S177" s="23" t="n">
        <f aca="false">IFERROR(E177*'Weights &amp; Assumptions'!$F$8+F177*'Weights &amp; Assumptions'!$F$9+H177*'Weights &amp; Assumptions'!$F$11,"")</f>
        <v>132.739889223548</v>
      </c>
      <c r="T177" s="23" t="n">
        <f aca="false">IFERROR(G177*'Weights &amp; Assumptions'!$F$10+I177*'Weights &amp; Assumptions'!$F$12+J177*'Weights &amp; Assumptions'!$F$13+K177*'Weights &amp; Assumptions'!$F$14+L177*'Weights &amp; Assumptions'!$F$15+M177*'Weights &amp; Assumptions'!$F$16+N177*'Weights &amp; Assumptions'!$F$17+O177*'Weights &amp; Assumptions'!$F$18+P177*'Weights &amp; Assumptions'!$F$19+Q177*'Weights &amp; Assumptions'!$F$20,"")</f>
        <v>165.821292564212</v>
      </c>
      <c r="U177" s="23" t="n">
        <f aca="false">IFERROR(R177*'Weights &amp; Assumptions'!$B$25/'Weights &amp; Assumptions'!$B$28+S177*'Weights &amp; Assumptions'!$B$26/'Weights &amp; Assumptions'!$B$28+T177*'Weights &amp; Assumptions'!$B$27/'Weights &amp; Assumptions'!$B$28,"")</f>
        <v>153.939354716344</v>
      </c>
      <c r="V177" s="30" t="n">
        <f aca="false">IF(ISNUMBER(Tabelle1!E178),Tabelle1!E178*'Weights &amp; Assumptions'!$F$6+Tabelle1!F178*'Weights &amp; Assumptions'!$F$7,"")</f>
        <v>144.759994337612</v>
      </c>
      <c r="W177" s="30" t="n">
        <f aca="false">IF(ISNUMBER(Tabelle1!G178),Tabelle1!G178*'Weights &amp; Assumptions'!$F$8+Tabelle1!H178*'Weights &amp; Assumptions'!$F$9+Tabelle1!J178*'Weights &amp; Assumptions'!$F$11,"")</f>
        <v>133.338456846133</v>
      </c>
      <c r="X177" s="30" t="n">
        <f aca="false">IF(ISNUMBER(Tabelle1!I178),Tabelle1!I178*'Weights &amp; Assumptions'!$F$10+Tabelle1!K178*'Weights &amp; Assumptions'!$F$12+Tabelle1!L178*'Weights &amp; Assumptions'!$F$13+Tabelle1!M178*'Weights &amp; Assumptions'!$F$14+Tabelle1!N178*'Weights &amp; Assumptions'!$F$15+Tabelle1!O178*'Weights &amp; Assumptions'!$F$16+Tabelle1!P178*'Weights &amp; Assumptions'!$F$17+Tabelle1!Q178*'Weights &amp; Assumptions'!$F$18+Tabelle1!R178*'Weights &amp; Assumptions'!$F$19+Tabelle1!S178*'Weights &amp; Assumptions'!$F$20,"")</f>
        <v>168.229203633992</v>
      </c>
      <c r="Y177" s="23" t="n">
        <f aca="false">IFERROR(V177*'Weights &amp; Assumptions'!$B$25/'Weights &amp; Assumptions'!$B$28+W177*'Weights &amp; Assumptions'!$B$26/'Weights &amp; Assumptions'!$B$28+X177*'Weights &amp; Assumptions'!$B$27/'Weights &amp; Assumptions'!$B$28,"")</f>
        <v>156.982058394773</v>
      </c>
    </row>
    <row r="178" customFormat="false" ht="15" hidden="false" customHeight="false" outlineLevel="0" collapsed="false">
      <c r="A178" s="20" t="n">
        <v>43220</v>
      </c>
      <c r="B178" s="30" t="n">
        <f aca="false">IF(ISNUMBER(Tabelle1!D179),Tabelle1!D179,"")</f>
        <v>146.79266</v>
      </c>
      <c r="C178" s="23" t="n">
        <f aca="false">IF(ISNUMBER(Tabelle1!E179),Tabelle1!E179/'SF Workings'!F178,"")</f>
        <v>98.0525613248447</v>
      </c>
      <c r="D178" s="23" t="n">
        <f aca="false">IF(ISNUMBER(Tabelle1!F179),Tabelle1!F179/'SF Workings'!J178,"")</f>
        <v>133.77180567007</v>
      </c>
      <c r="E178" s="23" t="n">
        <f aca="false">IF(ISNUMBER(Tabelle1!G179),Tabelle1!G179/'SF Workings'!N178,"")</f>
        <v>89.7555476285922</v>
      </c>
      <c r="F178" s="23" t="n">
        <f aca="false">IF(ISNUMBER(Tabelle1!H179),Tabelle1!H179/'SF Workings'!R178,"")</f>
        <v>132.850984455883</v>
      </c>
      <c r="G178" s="23" t="n">
        <f aca="false">IF(ISNUMBER(Tabelle1!I179),Tabelle1!I179/'SF Workings'!V178,"")</f>
        <v>148.787814624349</v>
      </c>
      <c r="H178" s="23" t="n">
        <f aca="false">IF(ISNUMBER(Tabelle1!J179),Tabelle1!J179/'SF Workings'!Z178,"")</f>
        <v>161.3648945712</v>
      </c>
      <c r="I178" s="23" t="n">
        <f aca="false">IF(ISNUMBER(Tabelle1!K179),Tabelle1!K179/'SF Workings'!AD178,"")</f>
        <v>159.747288685731</v>
      </c>
      <c r="J178" s="23" t="n">
        <f aca="false">IF(ISNUMBER(Tabelle1!L179),Tabelle1!L179/'SF Workings'!AH178,"")</f>
        <v>184.206156381449</v>
      </c>
      <c r="K178" s="23" t="n">
        <f aca="false">IF(ISNUMBER(Tabelle1!M179),Tabelle1!M179/'SF Workings'!AL178,"")</f>
        <v>194.774675664761</v>
      </c>
      <c r="L178" s="23" t="n">
        <f aca="false">IF(ISNUMBER(Tabelle1!N179),Tabelle1!N179/'SF Workings'!AP178,"")</f>
        <v>192.723847035195</v>
      </c>
      <c r="M178" s="23" t="n">
        <f aca="false">IF(ISNUMBER(Tabelle1!O179),Tabelle1!O179/'SF Workings'!AT178,"")</f>
        <v>146.193981033099</v>
      </c>
      <c r="N178" s="23" t="n">
        <f aca="false">IF(ISNUMBER(Tabelle1!P179),Tabelle1!P179/'SF Workings'!AX178,"")</f>
        <v>155.781490825557</v>
      </c>
      <c r="O178" s="23" t="n">
        <f aca="false">IF(ISNUMBER(Tabelle1!Q179),Tabelle1!Q179/'SF Workings'!BB178,"")</f>
        <v>162.232144794747</v>
      </c>
      <c r="P178" s="23" t="n">
        <f aca="false">IF(ISNUMBER(Tabelle1!R179),Tabelle1!R179/'SF Workings'!BF178,"")</f>
        <v>186.152143215986</v>
      </c>
      <c r="Q178" s="23" t="n">
        <f aca="false">IF(ISNUMBER(Tabelle1!S179),Tabelle1!S179/'SF Workings'!BJ178,"")</f>
        <v>162.206503814377</v>
      </c>
      <c r="R178" s="23" t="n">
        <f aca="false">IFERROR(C178*'Weights &amp; Assumptions'!$F$6+D178*'Weights &amp; Assumptions'!$F$7,"")</f>
        <v>98.4902126423128</v>
      </c>
      <c r="S178" s="23" t="n">
        <f aca="false">IFERROR(E178*'Weights &amp; Assumptions'!$F$8+F178*'Weights &amp; Assumptions'!$F$9+H178*'Weights &amp; Assumptions'!$F$11,"")</f>
        <v>133.645608961902</v>
      </c>
      <c r="T178" s="23" t="n">
        <f aca="false">IFERROR(G178*'Weights &amp; Assumptions'!$F$10+I178*'Weights &amp; Assumptions'!$F$12+J178*'Weights &amp; Assumptions'!$F$13+K178*'Weights &amp; Assumptions'!$F$14+L178*'Weights &amp; Assumptions'!$F$15+M178*'Weights &amp; Assumptions'!$F$16+N178*'Weights &amp; Assumptions'!$F$17+O178*'Weights &amp; Assumptions'!$F$18+P178*'Weights &amp; Assumptions'!$F$19+Q178*'Weights &amp; Assumptions'!$F$20,"")</f>
        <v>167.296495133704</v>
      </c>
      <c r="U178" s="23" t="n">
        <f aca="false">IFERROR(R178*'Weights &amp; Assumptions'!$B$25/'Weights &amp; Assumptions'!$B$28+S178*'Weights &amp; Assumptions'!$B$26/'Weights &amp; Assumptions'!$B$28+T178*'Weights &amp; Assumptions'!$B$27/'Weights &amp; Assumptions'!$B$28,"")</f>
        <v>152.575232319886</v>
      </c>
      <c r="V178" s="30" t="n">
        <f aca="false">IF(ISNUMBER(Tabelle1!E179),Tabelle1!E179*'Weights &amp; Assumptions'!$F$6+Tabelle1!F179*'Weights &amp; Assumptions'!$F$7,"")</f>
        <v>162.645983411878</v>
      </c>
      <c r="W178" s="30" t="n">
        <f aca="false">IF(ISNUMBER(Tabelle1!G179),Tabelle1!G179*'Weights &amp; Assumptions'!$F$8+Tabelle1!H179*'Weights &amp; Assumptions'!$F$9+Tabelle1!J179*'Weights &amp; Assumptions'!$F$11,"")</f>
        <v>126.414614495822</v>
      </c>
      <c r="X178" s="30" t="n">
        <f aca="false">IF(ISNUMBER(Tabelle1!I179),Tabelle1!I179*'Weights &amp; Assumptions'!$F$10+Tabelle1!K179*'Weights &amp; Assumptions'!$F$12+Tabelle1!L179*'Weights &amp; Assumptions'!$F$13+Tabelle1!M179*'Weights &amp; Assumptions'!$F$14+Tabelle1!N179*'Weights &amp; Assumptions'!$F$15+Tabelle1!O179*'Weights &amp; Assumptions'!$F$16+Tabelle1!P179*'Weights &amp; Assumptions'!$F$17+Tabelle1!Q179*'Weights &amp; Assumptions'!$F$18+Tabelle1!R179*'Weights &amp; Assumptions'!$F$19+Tabelle1!S179*'Weights &amp; Assumptions'!$F$20,"")</f>
        <v>163.4890716679</v>
      </c>
      <c r="Y178" s="23" t="n">
        <f aca="false">IFERROR(V178*'Weights &amp; Assumptions'!$B$25/'Weights &amp; Assumptions'!$B$28+W178*'Weights &amp; Assumptions'!$B$26/'Weights &amp; Assumptions'!$B$28+X178*'Weights &amp; Assumptions'!$B$27/'Weights &amp; Assumptions'!$B$28,"")</f>
        <v>153.55959007681</v>
      </c>
    </row>
    <row r="179" customFormat="false" ht="15" hidden="false" customHeight="false" outlineLevel="0" collapsed="false">
      <c r="A179" s="20" t="n">
        <v>43251</v>
      </c>
      <c r="B179" s="30" t="n">
        <f aca="false">IF(ISNUMBER(Tabelle1!D180),Tabelle1!D180,"")</f>
        <v>144.56309</v>
      </c>
      <c r="C179" s="23" t="n">
        <f aca="false">IF(ISNUMBER(Tabelle1!E180),Tabelle1!E180/'SF Workings'!F179,"")</f>
        <v>93.6139947380616</v>
      </c>
      <c r="D179" s="23" t="n">
        <f aca="false">IF(ISNUMBER(Tabelle1!F180),Tabelle1!F180/'SF Workings'!J179,"")</f>
        <v>139.999198210174</v>
      </c>
      <c r="E179" s="23" t="n">
        <f aca="false">IF(ISNUMBER(Tabelle1!G180),Tabelle1!G180/'SF Workings'!N179,"")</f>
        <v>88.1914485321882</v>
      </c>
      <c r="F179" s="23" t="n">
        <f aca="false">IF(ISNUMBER(Tabelle1!H180),Tabelle1!H180/'SF Workings'!R179,"")</f>
        <v>132.115082963029</v>
      </c>
      <c r="G179" s="23" t="n">
        <f aca="false">IF(ISNUMBER(Tabelle1!I180),Tabelle1!I180/'SF Workings'!V179,"")</f>
        <v>141.031673906998</v>
      </c>
      <c r="H179" s="23" t="n">
        <f aca="false">IF(ISNUMBER(Tabelle1!J180),Tabelle1!J180/'SF Workings'!Z179,"")</f>
        <v>159.872546266246</v>
      </c>
      <c r="I179" s="23" t="n">
        <f aca="false">IF(ISNUMBER(Tabelle1!K180),Tabelle1!K180/'SF Workings'!AD179,"")</f>
        <v>160.852887222404</v>
      </c>
      <c r="J179" s="23" t="n">
        <f aca="false">IF(ISNUMBER(Tabelle1!L180),Tabelle1!L180/'SF Workings'!AH179,"")</f>
        <v>174.771431548296</v>
      </c>
      <c r="K179" s="23" t="n">
        <f aca="false">IF(ISNUMBER(Tabelle1!M180),Tabelle1!M180/'SF Workings'!AL179,"")</f>
        <v>189.750944742489</v>
      </c>
      <c r="L179" s="23" t="n">
        <f aca="false">IF(ISNUMBER(Tabelle1!N180),Tabelle1!N180/'SF Workings'!AP179,"")</f>
        <v>202.162480645894</v>
      </c>
      <c r="M179" s="23" t="n">
        <f aca="false">IF(ISNUMBER(Tabelle1!O180),Tabelle1!O180/'SF Workings'!AT179,"")</f>
        <v>145.816373730346</v>
      </c>
      <c r="N179" s="23" t="n">
        <f aca="false">IF(ISNUMBER(Tabelle1!P180),Tabelle1!P180/'SF Workings'!AX179,"")</f>
        <v>155.479323036643</v>
      </c>
      <c r="O179" s="23" t="n">
        <f aca="false">IF(ISNUMBER(Tabelle1!Q180),Tabelle1!Q180/'SF Workings'!BB179,"")</f>
        <v>161.776512126975</v>
      </c>
      <c r="P179" s="23" t="n">
        <f aca="false">IF(ISNUMBER(Tabelle1!R180),Tabelle1!R180/'SF Workings'!BF179,"")</f>
        <v>183.365277929035</v>
      </c>
      <c r="Q179" s="23" t="n">
        <f aca="false">IF(ISNUMBER(Tabelle1!S180),Tabelle1!S180/'SF Workings'!BJ179,"")</f>
        <v>165.968209373717</v>
      </c>
      <c r="R179" s="23" t="n">
        <f aca="false">IFERROR(C179*'Weights &amp; Assumptions'!$F$6+D179*'Weights &amp; Assumptions'!$F$7,"")</f>
        <v>94.1823311007906</v>
      </c>
      <c r="S179" s="23" t="n">
        <f aca="false">IFERROR(E179*'Weights &amp; Assumptions'!$F$8+F179*'Weights &amp; Assumptions'!$F$9+H179*'Weights &amp; Assumptions'!$F$11,"")</f>
        <v>132.653236835385</v>
      </c>
      <c r="T179" s="23" t="n">
        <f aca="false">IFERROR(G179*'Weights &amp; Assumptions'!$F$10+I179*'Weights &amp; Assumptions'!$F$12+J179*'Weights &amp; Assumptions'!$F$13+K179*'Weights &amp; Assumptions'!$F$14+L179*'Weights &amp; Assumptions'!$F$15+M179*'Weights &amp; Assumptions'!$F$16+N179*'Weights &amp; Assumptions'!$F$17+O179*'Weights &amp; Assumptions'!$F$18+P179*'Weights &amp; Assumptions'!$F$19+Q179*'Weights &amp; Assumptions'!$F$20,"")</f>
        <v>166.711352100086</v>
      </c>
      <c r="U179" s="23" t="n">
        <f aca="false">IFERROR(R179*'Weights &amp; Assumptions'!$B$25/'Weights &amp; Assumptions'!$B$28+S179*'Weights &amp; Assumptions'!$B$26/'Weights &amp; Assumptions'!$B$28+T179*'Weights &amp; Assumptions'!$B$27/'Weights &amp; Assumptions'!$B$28,"")</f>
        <v>151.569459098052</v>
      </c>
      <c r="V179" s="30" t="n">
        <f aca="false">IF(ISNUMBER(Tabelle1!E180),Tabelle1!E180*'Weights &amp; Assumptions'!$F$6+Tabelle1!F180*'Weights &amp; Assumptions'!$F$7,"")</f>
        <v>222.548135830205</v>
      </c>
      <c r="W179" s="30" t="n">
        <f aca="false">IF(ISNUMBER(Tabelle1!G180),Tabelle1!G180*'Weights &amp; Assumptions'!$F$8+Tabelle1!H180*'Weights &amp; Assumptions'!$F$9+Tabelle1!J180*'Weights &amp; Assumptions'!$F$11,"")</f>
        <v>132.215827049429</v>
      </c>
      <c r="X179" s="30" t="n">
        <f aca="false">IF(ISNUMBER(Tabelle1!I180),Tabelle1!I180*'Weights &amp; Assumptions'!$F$10+Tabelle1!K180*'Weights &amp; Assumptions'!$F$12+Tabelle1!L180*'Weights &amp; Assumptions'!$F$13+Tabelle1!M180*'Weights &amp; Assumptions'!$F$14+Tabelle1!N180*'Weights &amp; Assumptions'!$F$15+Tabelle1!O180*'Weights &amp; Assumptions'!$F$16+Tabelle1!P180*'Weights &amp; Assumptions'!$F$17+Tabelle1!Q180*'Weights &amp; Assumptions'!$F$18+Tabelle1!R180*'Weights &amp; Assumptions'!$F$19+Tabelle1!S180*'Weights &amp; Assumptions'!$F$20,"")</f>
        <v>166.920153234243</v>
      </c>
      <c r="Y179" s="23" t="n">
        <f aca="false">IFERROR(V179*'Weights &amp; Assumptions'!$B$25/'Weights &amp; Assumptions'!$B$28+W179*'Weights &amp; Assumptions'!$B$26/'Weights &amp; Assumptions'!$B$28+X179*'Weights &amp; Assumptions'!$B$27/'Weights &amp; Assumptions'!$B$28,"")</f>
        <v>162.358900714119</v>
      </c>
    </row>
    <row r="180" customFormat="false" ht="15" hidden="false" customHeight="false" outlineLevel="0" collapsed="false">
      <c r="A180" s="20" t="n">
        <v>43281</v>
      </c>
      <c r="B180" s="30" t="n">
        <f aca="false">IF(ISNUMBER(Tabelle1!D181),Tabelle1!D181,"")</f>
        <v>143.25908</v>
      </c>
      <c r="C180" s="23" t="n">
        <f aca="false">IF(ISNUMBER(Tabelle1!E181),Tabelle1!E181/'SF Workings'!F180,"")</f>
        <v>93.1003902380588</v>
      </c>
      <c r="D180" s="23" t="n">
        <f aca="false">IF(ISNUMBER(Tabelle1!F181),Tabelle1!F181/'SF Workings'!J180,"")</f>
        <v>170.238114920049</v>
      </c>
      <c r="E180" s="23" t="n">
        <f aca="false">IF(ISNUMBER(Tabelle1!G181),Tabelle1!G181/'SF Workings'!N180,"")</f>
        <v>88.4144032899843</v>
      </c>
      <c r="F180" s="23" t="n">
        <f aca="false">IF(ISNUMBER(Tabelle1!H181),Tabelle1!H181/'SF Workings'!R180,"")</f>
        <v>125.842650261306</v>
      </c>
      <c r="G180" s="23" t="n">
        <f aca="false">IF(ISNUMBER(Tabelle1!I181),Tabelle1!I181/'SF Workings'!V180,"")</f>
        <v>149.564946505562</v>
      </c>
      <c r="H180" s="23" t="n">
        <f aca="false">IF(ISNUMBER(Tabelle1!J181),Tabelle1!J181/'SF Workings'!Z180,"")</f>
        <v>152.053667235581</v>
      </c>
      <c r="I180" s="23" t="n">
        <f aca="false">IF(ISNUMBER(Tabelle1!K181),Tabelle1!K181/'SF Workings'!AD180,"")</f>
        <v>149.803377582529</v>
      </c>
      <c r="J180" s="23" t="n">
        <f aca="false">IF(ISNUMBER(Tabelle1!L181),Tabelle1!L181/'SF Workings'!AH180,"")</f>
        <v>163.659757176396</v>
      </c>
      <c r="K180" s="23" t="n">
        <f aca="false">IF(ISNUMBER(Tabelle1!M181),Tabelle1!M181/'SF Workings'!AL180,"")</f>
        <v>187.132397350975</v>
      </c>
      <c r="L180" s="23" t="n">
        <f aca="false">IF(ISNUMBER(Tabelle1!N181),Tabelle1!N181/'SF Workings'!AP180,"")</f>
        <v>191.686727017209</v>
      </c>
      <c r="M180" s="23" t="n">
        <f aca="false">IF(ISNUMBER(Tabelle1!O181),Tabelle1!O181/'SF Workings'!AT180,"")</f>
        <v>143.427472361029</v>
      </c>
      <c r="N180" s="23" t="n">
        <f aca="false">IF(ISNUMBER(Tabelle1!P181),Tabelle1!P181/'SF Workings'!AX180,"")</f>
        <v>155.344948920036</v>
      </c>
      <c r="O180" s="23" t="n">
        <f aca="false">IF(ISNUMBER(Tabelle1!Q181),Tabelle1!Q181/'SF Workings'!BB180,"")</f>
        <v>161.932843813976</v>
      </c>
      <c r="P180" s="23" t="n">
        <f aca="false">IF(ISNUMBER(Tabelle1!R181),Tabelle1!R181/'SF Workings'!BF180,"")</f>
        <v>183.049572390239</v>
      </c>
      <c r="Q180" s="23" t="n">
        <f aca="false">IF(ISNUMBER(Tabelle1!S181),Tabelle1!S181/'SF Workings'!BJ180,"")</f>
        <v>160.647476390583</v>
      </c>
      <c r="R180" s="23" t="n">
        <f aca="false">IFERROR(C180*'Weights &amp; Assumptions'!$F$6+D180*'Weights &amp; Assumptions'!$F$7,"")</f>
        <v>94.0455229655958</v>
      </c>
      <c r="S180" s="23" t="n">
        <f aca="false">IFERROR(E180*'Weights &amp; Assumptions'!$F$8+F180*'Weights &amp; Assumptions'!$F$9+H180*'Weights &amp; Assumptions'!$F$11,"")</f>
        <v>126.834177220686</v>
      </c>
      <c r="T180" s="23" t="n">
        <f aca="false">IFERROR(G180*'Weights &amp; Assumptions'!$F$10+I180*'Weights &amp; Assumptions'!$F$12+J180*'Weights &amp; Assumptions'!$F$13+K180*'Weights &amp; Assumptions'!$F$14+L180*'Weights &amp; Assumptions'!$F$15+M180*'Weights &amp; Assumptions'!$F$16+N180*'Weights &amp; Assumptions'!$F$17+O180*'Weights &amp; Assumptions'!$F$18+P180*'Weights &amp; Assumptions'!$F$19+Q180*'Weights &amp; Assumptions'!$F$20,"")</f>
        <v>162.203216317566</v>
      </c>
      <c r="U180" s="23" t="n">
        <f aca="false">IFERROR(R180*'Weights &amp; Assumptions'!$B$25/'Weights &amp; Assumptions'!$B$28+S180*'Weights &amp; Assumptions'!$B$26/'Weights &amp; Assumptions'!$B$28+T180*'Weights &amp; Assumptions'!$B$27/'Weights &amp; Assumptions'!$B$28,"")</f>
        <v>147.079483796544</v>
      </c>
      <c r="V180" s="30" t="n">
        <f aca="false">IF(ISNUMBER(Tabelle1!E181),Tabelle1!E181*'Weights &amp; Assumptions'!$F$6+Tabelle1!F181*'Weights &amp; Assumptions'!$F$7,"")</f>
        <v>150.532129317648</v>
      </c>
      <c r="W180" s="30" t="n">
        <f aca="false">IF(ISNUMBER(Tabelle1!G181),Tabelle1!G181*'Weights &amp; Assumptions'!$F$8+Tabelle1!H181*'Weights &amp; Assumptions'!$F$9+Tabelle1!J181*'Weights &amp; Assumptions'!$F$11,"")</f>
        <v>129.262346774231</v>
      </c>
      <c r="X180" s="30" t="n">
        <f aca="false">IF(ISNUMBER(Tabelle1!I181),Tabelle1!I181*'Weights &amp; Assumptions'!$F$10+Tabelle1!K181*'Weights &amp; Assumptions'!$F$12+Tabelle1!L181*'Weights &amp; Assumptions'!$F$13+Tabelle1!M181*'Weights &amp; Assumptions'!$F$14+Tabelle1!N181*'Weights &amp; Assumptions'!$F$15+Tabelle1!O181*'Weights &amp; Assumptions'!$F$16+Tabelle1!P181*'Weights &amp; Assumptions'!$F$17+Tabelle1!Q181*'Weights &amp; Assumptions'!$F$18+Tabelle1!R181*'Weights &amp; Assumptions'!$F$19+Tabelle1!S181*'Weights &amp; Assumptions'!$F$20,"")</f>
        <v>164.802829908195</v>
      </c>
      <c r="Y180" s="23" t="n">
        <f aca="false">IFERROR(V180*'Weights &amp; Assumptions'!$B$25/'Weights &amp; Assumptions'!$B$28+W180*'Weights &amp; Assumptions'!$B$26/'Weights &amp; Assumptions'!$B$28+X180*'Weights &amp; Assumptions'!$B$27/'Weights &amp; Assumptions'!$B$28,"")</f>
        <v>154.154670960248</v>
      </c>
    </row>
    <row r="181" customFormat="false" ht="15" hidden="false" customHeight="false" outlineLevel="0" collapsed="false">
      <c r="A181" s="20" t="n">
        <v>43312</v>
      </c>
      <c r="B181" s="30" t="n">
        <f aca="false">IF(ISNUMBER(Tabelle1!D182),Tabelle1!D182,"")</f>
        <v>143.57921</v>
      </c>
      <c r="C181" s="23" t="n">
        <f aca="false">IF(ISNUMBER(Tabelle1!E182),Tabelle1!E182/'SF Workings'!F181,"")</f>
        <v>119.557002151352</v>
      </c>
      <c r="D181" s="23" t="n">
        <f aca="false">IF(ISNUMBER(Tabelle1!F182),Tabelle1!F182/'SF Workings'!J181,"")</f>
        <v>196.055564483105</v>
      </c>
      <c r="E181" s="23" t="n">
        <f aca="false">IF(ISNUMBER(Tabelle1!G182),Tabelle1!G182/'SF Workings'!N181,"")</f>
        <v>87.3561603967505</v>
      </c>
      <c r="F181" s="23" t="n">
        <f aca="false">IF(ISNUMBER(Tabelle1!H182),Tabelle1!H182/'SF Workings'!R181,"")</f>
        <v>123.043001751722</v>
      </c>
      <c r="G181" s="23" t="n">
        <f aca="false">IF(ISNUMBER(Tabelle1!I182),Tabelle1!I182/'SF Workings'!V181,"")</f>
        <v>144.131227998491</v>
      </c>
      <c r="H181" s="23" t="n">
        <f aca="false">IF(ISNUMBER(Tabelle1!J182),Tabelle1!J182/'SF Workings'!Z181,"")</f>
        <v>146.134946244525</v>
      </c>
      <c r="I181" s="23" t="n">
        <f aca="false">IF(ISNUMBER(Tabelle1!K182),Tabelle1!K182/'SF Workings'!AD181,"")</f>
        <v>147.49780895406</v>
      </c>
      <c r="J181" s="23" t="n">
        <f aca="false">IF(ISNUMBER(Tabelle1!L182),Tabelle1!L182/'SF Workings'!AH181,"")</f>
        <v>171.4301349512</v>
      </c>
      <c r="K181" s="23" t="n">
        <f aca="false">IF(ISNUMBER(Tabelle1!M182),Tabelle1!M182/'SF Workings'!AL181,"")</f>
        <v>192.244082022843</v>
      </c>
      <c r="L181" s="23" t="n">
        <f aca="false">IF(ISNUMBER(Tabelle1!N182),Tabelle1!N182/'SF Workings'!AP181,"")</f>
        <v>195.057844381328</v>
      </c>
      <c r="M181" s="23" t="n">
        <f aca="false">IF(ISNUMBER(Tabelle1!O182),Tabelle1!O182/'SF Workings'!AT181,"")</f>
        <v>141.553111279502</v>
      </c>
      <c r="N181" s="23" t="n">
        <f aca="false">IF(ISNUMBER(Tabelle1!P182),Tabelle1!P182/'SF Workings'!AX181,"")</f>
        <v>154.304081603578</v>
      </c>
      <c r="O181" s="23" t="n">
        <f aca="false">IF(ISNUMBER(Tabelle1!Q182),Tabelle1!Q182/'SF Workings'!BB181,"")</f>
        <v>161.668221896046</v>
      </c>
      <c r="P181" s="23" t="n">
        <f aca="false">IF(ISNUMBER(Tabelle1!R182),Tabelle1!R182/'SF Workings'!BF181,"")</f>
        <v>180.414178318368</v>
      </c>
      <c r="Q181" s="23" t="n">
        <f aca="false">IF(ISNUMBER(Tabelle1!S182),Tabelle1!S182/'SF Workings'!BJ181,"")</f>
        <v>161.938796105563</v>
      </c>
      <c r="R181" s="23" t="n">
        <f aca="false">IFERROR(C181*'Weights &amp; Assumptions'!$F$6+D181*'Weights &amp; Assumptions'!$F$7,"")</f>
        <v>120.494303519358</v>
      </c>
      <c r="S181" s="23" t="n">
        <f aca="false">IFERROR(E181*'Weights &amp; Assumptions'!$F$8+F181*'Weights &amp; Assumptions'!$F$9+H181*'Weights &amp; Assumptions'!$F$11,"")</f>
        <v>123.592672086365</v>
      </c>
      <c r="T181" s="23" t="n">
        <f aca="false">IFERROR(G181*'Weights &amp; Assumptions'!$F$10+I181*'Weights &amp; Assumptions'!$F$12+J181*'Weights &amp; Assumptions'!$F$13+K181*'Weights &amp; Assumptions'!$F$14+L181*'Weights &amp; Assumptions'!$F$15+M181*'Weights &amp; Assumptions'!$F$16+N181*'Weights &amp; Assumptions'!$F$17+O181*'Weights &amp; Assumptions'!$F$18+P181*'Weights &amp; Assumptions'!$F$19+Q181*'Weights &amp; Assumptions'!$F$20,"")</f>
        <v>162.323501078305</v>
      </c>
      <c r="U181" s="23" t="n">
        <f aca="false">IFERROR(R181*'Weights &amp; Assumptions'!$B$25/'Weights &amp; Assumptions'!$B$28+S181*'Weights &amp; Assumptions'!$B$26/'Weights &amp; Assumptions'!$B$28+T181*'Weights &amp; Assumptions'!$B$27/'Weights &amp; Assumptions'!$B$28,"")</f>
        <v>148.51479260745</v>
      </c>
      <c r="V181" s="30" t="n">
        <f aca="false">IF(ISNUMBER(Tabelle1!E182),Tabelle1!E182*'Weights &amp; Assumptions'!$F$6+Tabelle1!F182*'Weights &amp; Assumptions'!$F$7,"")</f>
        <v>107.68358566799</v>
      </c>
      <c r="W181" s="30" t="n">
        <f aca="false">IF(ISNUMBER(Tabelle1!G182),Tabelle1!G182*'Weights &amp; Assumptions'!$F$8+Tabelle1!H182*'Weights &amp; Assumptions'!$F$9+Tabelle1!J182*'Weights &amp; Assumptions'!$F$11,"")</f>
        <v>126.505583359306</v>
      </c>
      <c r="X181" s="30" t="n">
        <f aca="false">IF(ISNUMBER(Tabelle1!I182),Tabelle1!I182*'Weights &amp; Assumptions'!$F$10+Tabelle1!K182*'Weights &amp; Assumptions'!$F$12+Tabelle1!L182*'Weights &amp; Assumptions'!$F$13+Tabelle1!M182*'Weights &amp; Assumptions'!$F$14+Tabelle1!N182*'Weights &amp; Assumptions'!$F$15+Tabelle1!O182*'Weights &amp; Assumptions'!$F$16+Tabelle1!P182*'Weights &amp; Assumptions'!$F$17+Tabelle1!Q182*'Weights &amp; Assumptions'!$F$18+Tabelle1!R182*'Weights &amp; Assumptions'!$F$19+Tabelle1!S182*'Weights &amp; Assumptions'!$F$20,"")</f>
        <v>163.915727790314</v>
      </c>
      <c r="Y181" s="23" t="n">
        <f aca="false">IFERROR(V181*'Weights &amp; Assumptions'!$B$25/'Weights &amp; Assumptions'!$B$28+W181*'Weights &amp; Assumptions'!$B$26/'Weights &amp; Assumptions'!$B$28+X181*'Weights &amp; Assumptions'!$B$27/'Weights &amp; Assumptions'!$B$28,"")</f>
        <v>149.249793379173</v>
      </c>
    </row>
    <row r="182" customFormat="false" ht="15" hidden="false" customHeight="false" outlineLevel="0" collapsed="false">
      <c r="A182" s="20" t="n">
        <v>43343</v>
      </c>
      <c r="B182" s="30" t="n">
        <f aca="false">IF(ISNUMBER(Tabelle1!D183),Tabelle1!D183,"")</f>
        <v>146.53723</v>
      </c>
      <c r="C182" s="23" t="n">
        <f aca="false">IF(ISNUMBER(Tabelle1!E183),Tabelle1!E183/'SF Workings'!F182,"")</f>
        <v>129.916890998539</v>
      </c>
      <c r="D182" s="23" t="n">
        <f aca="false">IF(ISNUMBER(Tabelle1!F183),Tabelle1!F183/'SF Workings'!J182,"")</f>
        <v>188.518366654178</v>
      </c>
      <c r="E182" s="23" t="n">
        <f aca="false">IF(ISNUMBER(Tabelle1!G183),Tabelle1!G183/'SF Workings'!N182,"")</f>
        <v>85.9850840435882</v>
      </c>
      <c r="F182" s="23" t="n">
        <f aca="false">IF(ISNUMBER(Tabelle1!H183),Tabelle1!H183/'SF Workings'!R182,"")</f>
        <v>128.051996199021</v>
      </c>
      <c r="G182" s="23" t="n">
        <f aca="false">IF(ISNUMBER(Tabelle1!I183),Tabelle1!I183/'SF Workings'!V182,"")</f>
        <v>145.72851763736</v>
      </c>
      <c r="H182" s="23" t="n">
        <f aca="false">IF(ISNUMBER(Tabelle1!J183),Tabelle1!J183/'SF Workings'!Z182,"")</f>
        <v>150.086476582492</v>
      </c>
      <c r="I182" s="23" t="n">
        <f aca="false">IF(ISNUMBER(Tabelle1!K183),Tabelle1!K183/'SF Workings'!AD182,"")</f>
        <v>151.522945613138</v>
      </c>
      <c r="J182" s="23" t="n">
        <f aca="false">IF(ISNUMBER(Tabelle1!L183),Tabelle1!L183/'SF Workings'!AH182,"")</f>
        <v>165.95253336361</v>
      </c>
      <c r="K182" s="23" t="n">
        <f aca="false">IF(ISNUMBER(Tabelle1!M183),Tabelle1!M183/'SF Workings'!AL182,"")</f>
        <v>192.179150554176</v>
      </c>
      <c r="L182" s="23" t="n">
        <f aca="false">IF(ISNUMBER(Tabelle1!N183),Tabelle1!N183/'SF Workings'!AP182,"")</f>
        <v>196.070957807316</v>
      </c>
      <c r="M182" s="23" t="n">
        <f aca="false">IF(ISNUMBER(Tabelle1!O183),Tabelle1!O183/'SF Workings'!AT182,"")</f>
        <v>141.745816144798</v>
      </c>
      <c r="N182" s="23" t="n">
        <f aca="false">IF(ISNUMBER(Tabelle1!P183),Tabelle1!P183/'SF Workings'!AX182,"")</f>
        <v>153.966987196095</v>
      </c>
      <c r="O182" s="23" t="n">
        <f aca="false">IF(ISNUMBER(Tabelle1!Q183),Tabelle1!Q183/'SF Workings'!BB182,"")</f>
        <v>161.405111462341</v>
      </c>
      <c r="P182" s="23" t="n">
        <f aca="false">IF(ISNUMBER(Tabelle1!R183),Tabelle1!R183/'SF Workings'!BF182,"")</f>
        <v>180.439154575526</v>
      </c>
      <c r="Q182" s="23" t="n">
        <f aca="false">IF(ISNUMBER(Tabelle1!S183),Tabelle1!S183/'SF Workings'!BJ182,"")</f>
        <v>156.660784275368</v>
      </c>
      <c r="R182" s="23" t="n">
        <f aca="false">IFERROR(C182*'Weights &amp; Assumptions'!$F$6+D182*'Weights &amp; Assumptions'!$F$7,"")</f>
        <v>130.634907672643</v>
      </c>
      <c r="S182" s="23" t="n">
        <f aca="false">IFERROR(E182*'Weights &amp; Assumptions'!$F$8+F182*'Weights &amp; Assumptions'!$F$9+H182*'Weights &amp; Assumptions'!$F$11,"")</f>
        <v>127.619605946643</v>
      </c>
      <c r="T182" s="23" t="n">
        <f aca="false">IFERROR(G182*'Weights &amp; Assumptions'!$F$10+I182*'Weights &amp; Assumptions'!$F$12+J182*'Weights &amp; Assumptions'!$F$13+K182*'Weights &amp; Assumptions'!$F$14+L182*'Weights &amp; Assumptions'!$F$15+M182*'Weights &amp; Assumptions'!$F$16+N182*'Weights &amp; Assumptions'!$F$17+O182*'Weights &amp; Assumptions'!$F$18+P182*'Weights &amp; Assumptions'!$F$19+Q182*'Weights &amp; Assumptions'!$F$20,"")</f>
        <v>162.700244949046</v>
      </c>
      <c r="U182" s="23" t="n">
        <f aca="false">IFERROR(R182*'Weights &amp; Assumptions'!$B$25/'Weights &amp; Assumptions'!$B$28+S182*'Weights &amp; Assumptions'!$B$26/'Weights &amp; Assumptions'!$B$28+T182*'Weights &amp; Assumptions'!$B$27/'Weights &amp; Assumptions'!$B$28,"")</f>
        <v>150.681381761704</v>
      </c>
      <c r="V182" s="30" t="n">
        <f aca="false">IF(ISNUMBER(Tabelle1!E183),Tabelle1!E183*'Weights &amp; Assumptions'!$F$6+Tabelle1!F183*'Weights &amp; Assumptions'!$F$7,"")</f>
        <v>77.2221190077592</v>
      </c>
      <c r="W182" s="30" t="n">
        <f aca="false">IF(ISNUMBER(Tabelle1!G183),Tabelle1!G183*'Weights &amp; Assumptions'!$F$8+Tabelle1!H183*'Weights &amp; Assumptions'!$F$9+Tabelle1!J183*'Weights &amp; Assumptions'!$F$11,"")</f>
        <v>134.587676113689</v>
      </c>
      <c r="X182" s="30" t="n">
        <f aca="false">IF(ISNUMBER(Tabelle1!I183),Tabelle1!I183*'Weights &amp; Assumptions'!$F$10+Tabelle1!K183*'Weights &amp; Assumptions'!$F$12+Tabelle1!L183*'Weights &amp; Assumptions'!$F$13+Tabelle1!M183*'Weights &amp; Assumptions'!$F$14+Tabelle1!N183*'Weights &amp; Assumptions'!$F$15+Tabelle1!O183*'Weights &amp; Assumptions'!$F$16+Tabelle1!P183*'Weights &amp; Assumptions'!$F$17+Tabelle1!Q183*'Weights &amp; Assumptions'!$F$18+Tabelle1!R183*'Weights &amp; Assumptions'!$F$19+Tabelle1!S183*'Weights &amp; Assumptions'!$F$20,"")</f>
        <v>163.867531710226</v>
      </c>
      <c r="Y182" s="23" t="n">
        <f aca="false">IFERROR(V182*'Weights &amp; Assumptions'!$B$25/'Weights &amp; Assumptions'!$B$28+W182*'Weights &amp; Assumptions'!$B$26/'Weights &amp; Assumptions'!$B$28+X182*'Weights &amp; Assumptions'!$B$27/'Weights &amp; Assumptions'!$B$28,"")</f>
        <v>148.811884409851</v>
      </c>
    </row>
    <row r="183" customFormat="false" ht="15" hidden="false" customHeight="false" outlineLevel="0" collapsed="false">
      <c r="A183" s="20" t="n">
        <v>43373</v>
      </c>
      <c r="B183" s="30" t="n">
        <f aca="false">IF(ISNUMBER(Tabelle1!D184),Tabelle1!D184,"")</f>
        <v>143.13224</v>
      </c>
      <c r="C183" s="23" t="n">
        <f aca="false">IF(ISNUMBER(Tabelle1!E184),Tabelle1!E184/'SF Workings'!F183,"")</f>
        <v>123.493479355813</v>
      </c>
      <c r="D183" s="23" t="n">
        <f aca="false">IF(ISNUMBER(Tabelle1!F184),Tabelle1!F184/'SF Workings'!J183,"")</f>
        <v>215.975182224542</v>
      </c>
      <c r="E183" s="23" t="n">
        <f aca="false">IF(ISNUMBER(Tabelle1!G184),Tabelle1!G184/'SF Workings'!N183,"")</f>
        <v>86.5164167408056</v>
      </c>
      <c r="F183" s="23" t="n">
        <f aca="false">IF(ISNUMBER(Tabelle1!H184),Tabelle1!H184/'SF Workings'!R183,"")</f>
        <v>118.047955722762</v>
      </c>
      <c r="G183" s="23" t="n">
        <f aca="false">IF(ISNUMBER(Tabelle1!I184),Tabelle1!I184/'SF Workings'!V183,"")</f>
        <v>140.487839481026</v>
      </c>
      <c r="H183" s="23" t="n">
        <f aca="false">IF(ISNUMBER(Tabelle1!J184),Tabelle1!J184/'SF Workings'!Z183,"")</f>
        <v>143.454554873448</v>
      </c>
      <c r="I183" s="23" t="n">
        <f aca="false">IF(ISNUMBER(Tabelle1!K184),Tabelle1!K184/'SF Workings'!AD183,"")</f>
        <v>137.92591187815</v>
      </c>
      <c r="J183" s="23" t="n">
        <f aca="false">IF(ISNUMBER(Tabelle1!L184),Tabelle1!L184/'SF Workings'!AH183,"")</f>
        <v>164.598898398061</v>
      </c>
      <c r="K183" s="23" t="n">
        <f aca="false">IF(ISNUMBER(Tabelle1!M184),Tabelle1!M184/'SF Workings'!AL183,"")</f>
        <v>187.824025324758</v>
      </c>
      <c r="L183" s="23" t="n">
        <f aca="false">IF(ISNUMBER(Tabelle1!N184),Tabelle1!N184/'SF Workings'!AP183,"")</f>
        <v>189.39382298048</v>
      </c>
      <c r="M183" s="23" t="n">
        <f aca="false">IF(ISNUMBER(Tabelle1!O184),Tabelle1!O184/'SF Workings'!AT183,"")</f>
        <v>137.904021154584</v>
      </c>
      <c r="N183" s="23" t="n">
        <f aca="false">IF(ISNUMBER(Tabelle1!P184),Tabelle1!P184/'SF Workings'!AX183,"")</f>
        <v>154.087483533013</v>
      </c>
      <c r="O183" s="23" t="n">
        <f aca="false">IF(ISNUMBER(Tabelle1!Q184),Tabelle1!Q184/'SF Workings'!BB183,"")</f>
        <v>161.203249537295</v>
      </c>
      <c r="P183" s="23" t="n">
        <f aca="false">IF(ISNUMBER(Tabelle1!R184),Tabelle1!R184/'SF Workings'!BF183,"")</f>
        <v>179.826327556068</v>
      </c>
      <c r="Q183" s="23" t="n">
        <f aca="false">IF(ISNUMBER(Tabelle1!S184),Tabelle1!S184/'SF Workings'!BJ183,"")</f>
        <v>152.728758741465</v>
      </c>
      <c r="R183" s="23" t="n">
        <f aca="false">IFERROR(C183*'Weights &amp; Assumptions'!$F$6+D183*'Weights &amp; Assumptions'!$F$7,"")</f>
        <v>124.626614724271</v>
      </c>
      <c r="S183" s="23" t="n">
        <f aca="false">IFERROR(E183*'Weights &amp; Assumptions'!$F$8+F183*'Weights &amp; Assumptions'!$F$9+H183*'Weights &amp; Assumptions'!$F$11,"")</f>
        <v>119.575956875273</v>
      </c>
      <c r="T183" s="23" t="n">
        <f aca="false">IFERROR(G183*'Weights &amp; Assumptions'!$F$10+I183*'Weights &amp; Assumptions'!$F$12+J183*'Weights &amp; Assumptions'!$F$13+K183*'Weights &amp; Assumptions'!$F$14+L183*'Weights &amp; Assumptions'!$F$15+M183*'Weights &amp; Assumptions'!$F$16+N183*'Weights &amp; Assumptions'!$F$17+O183*'Weights &amp; Assumptions'!$F$18+P183*'Weights &amp; Assumptions'!$F$19+Q183*'Weights &amp; Assumptions'!$F$20,"")</f>
        <v>157.531232418041</v>
      </c>
      <c r="U183" s="23" t="n">
        <f aca="false">IFERROR(R183*'Weights &amp; Assumptions'!$B$25/'Weights &amp; Assumptions'!$B$28+S183*'Weights &amp; Assumptions'!$B$26/'Weights &amp; Assumptions'!$B$28+T183*'Weights &amp; Assumptions'!$B$27/'Weights &amp; Assumptions'!$B$28,"")</f>
        <v>144.677536834525</v>
      </c>
      <c r="V183" s="30" t="n">
        <f aca="false">IF(ISNUMBER(Tabelle1!E184),Tabelle1!E184*'Weights &amp; Assumptions'!$F$6+Tabelle1!F184*'Weights &amp; Assumptions'!$F$7,"")</f>
        <v>68.153557231499</v>
      </c>
      <c r="W183" s="30" t="n">
        <f aca="false">IF(ISNUMBER(Tabelle1!G184),Tabelle1!G184*'Weights &amp; Assumptions'!$F$8+Tabelle1!H184*'Weights &amp; Assumptions'!$F$9+Tabelle1!J184*'Weights &amp; Assumptions'!$F$11,"")</f>
        <v>123.194082049241</v>
      </c>
      <c r="X183" s="30" t="n">
        <f aca="false">IF(ISNUMBER(Tabelle1!I184),Tabelle1!I184*'Weights &amp; Assumptions'!$F$10+Tabelle1!K184*'Weights &amp; Assumptions'!$F$12+Tabelle1!L184*'Weights &amp; Assumptions'!$F$13+Tabelle1!M184*'Weights &amp; Assumptions'!$F$14+Tabelle1!N184*'Weights &amp; Assumptions'!$F$15+Tabelle1!O184*'Weights &amp; Assumptions'!$F$16+Tabelle1!P184*'Weights &amp; Assumptions'!$F$17+Tabelle1!Q184*'Weights &amp; Assumptions'!$F$18+Tabelle1!R184*'Weights &amp; Assumptions'!$F$19+Tabelle1!S184*'Weights &amp; Assumptions'!$F$20,"")</f>
        <v>156.558642483839</v>
      </c>
      <c r="Y183" s="23" t="n">
        <f aca="false">IFERROR(V183*'Weights &amp; Assumptions'!$B$25/'Weights &amp; Assumptions'!$B$28+W183*'Weights &amp; Assumptions'!$B$26/'Weights &amp; Assumptions'!$B$28+X183*'Weights &amp; Assumptions'!$B$27/'Weights &amp; Assumptions'!$B$28,"")</f>
        <v>140.269162823394</v>
      </c>
    </row>
    <row r="184" customFormat="false" ht="15" hidden="false" customHeight="false" outlineLevel="0" collapsed="false">
      <c r="A184" s="20" t="n">
        <v>43404</v>
      </c>
      <c r="B184" s="30" t="n">
        <f aca="false">IF(ISNUMBER(Tabelle1!D185),Tabelle1!D185,"")</f>
        <v>143.59559</v>
      </c>
      <c r="C184" s="23" t="n">
        <f aca="false">IF(ISNUMBER(Tabelle1!E185),Tabelle1!E185/'SF Workings'!F184,"")</f>
        <v>137.368344214049</v>
      </c>
      <c r="D184" s="23" t="n">
        <f aca="false">IF(ISNUMBER(Tabelle1!F185),Tabelle1!F185/'SF Workings'!J184,"")</f>
        <v>253.362531256682</v>
      </c>
      <c r="E184" s="23" t="n">
        <f aca="false">IF(ISNUMBER(Tabelle1!G185),Tabelle1!G185/'SF Workings'!N184,"")</f>
        <v>86.5370365729262</v>
      </c>
      <c r="F184" s="23" t="n">
        <f aca="false">IF(ISNUMBER(Tabelle1!H185),Tabelle1!H185/'SF Workings'!R184,"")</f>
        <v>122.49800771647</v>
      </c>
      <c r="G184" s="23" t="n">
        <f aca="false">IF(ISNUMBER(Tabelle1!I185),Tabelle1!I185/'SF Workings'!V184,"")</f>
        <v>141.554189129604</v>
      </c>
      <c r="H184" s="23" t="n">
        <f aca="false">IF(ISNUMBER(Tabelle1!J185),Tabelle1!J185/'SF Workings'!Z184,"")</f>
        <v>143.724593888573</v>
      </c>
      <c r="I184" s="23" t="n">
        <f aca="false">IF(ISNUMBER(Tabelle1!K185),Tabelle1!K185/'SF Workings'!AD184,"")</f>
        <v>145.029374862563</v>
      </c>
      <c r="J184" s="23" t="n">
        <f aca="false">IF(ISNUMBER(Tabelle1!L185),Tabelle1!L185/'SF Workings'!AH184,"")</f>
        <v>164.653544790206</v>
      </c>
      <c r="K184" s="23" t="n">
        <f aca="false">IF(ISNUMBER(Tabelle1!M185),Tabelle1!M185/'SF Workings'!AL184,"")</f>
        <v>190.495212382927</v>
      </c>
      <c r="L184" s="23" t="n">
        <f aca="false">IF(ISNUMBER(Tabelle1!N185),Tabelle1!N185/'SF Workings'!AP184,"")</f>
        <v>182.626390806987</v>
      </c>
      <c r="M184" s="23" t="n">
        <f aca="false">IF(ISNUMBER(Tabelle1!O185),Tabelle1!O185/'SF Workings'!AT184,"")</f>
        <v>140.645097058918</v>
      </c>
      <c r="N184" s="23" t="n">
        <f aca="false">IF(ISNUMBER(Tabelle1!P185),Tabelle1!P185/'SF Workings'!AX184,"")</f>
        <v>153.306196962774</v>
      </c>
      <c r="O184" s="23" t="n">
        <f aca="false">IF(ISNUMBER(Tabelle1!Q185),Tabelle1!Q185/'SF Workings'!BB184,"")</f>
        <v>161.280216487652</v>
      </c>
      <c r="P184" s="23" t="n">
        <f aca="false">IF(ISNUMBER(Tabelle1!R185),Tabelle1!R185/'SF Workings'!BF184,"")</f>
        <v>178.876628030981</v>
      </c>
      <c r="Q184" s="23" t="n">
        <f aca="false">IF(ISNUMBER(Tabelle1!S185),Tabelle1!S185/'SF Workings'!BJ184,"")</f>
        <v>144.261469582544</v>
      </c>
      <c r="R184" s="23" t="n">
        <f aca="false">IFERROR(C184*'Weights &amp; Assumptions'!$F$6+D184*'Weights &amp; Assumptions'!$F$7,"")</f>
        <v>138.78956713487</v>
      </c>
      <c r="S184" s="23" t="n">
        <f aca="false">IFERROR(E184*'Weights &amp; Assumptions'!$F$8+F184*'Weights &amp; Assumptions'!$F$9+H184*'Weights &amp; Assumptions'!$F$11,"")</f>
        <v>122.626349387092</v>
      </c>
      <c r="T184" s="23" t="n">
        <f aca="false">IFERROR(G184*'Weights &amp; Assumptions'!$F$10+I184*'Weights &amp; Assumptions'!$F$12+J184*'Weights &amp; Assumptions'!$F$13+K184*'Weights &amp; Assumptions'!$F$14+L184*'Weights &amp; Assumptions'!$F$15+M184*'Weights &amp; Assumptions'!$F$16+N184*'Weights &amp; Assumptions'!$F$17+O184*'Weights &amp; Assumptions'!$F$18+P184*'Weights &amp; Assumptions'!$F$19+Q184*'Weights &amp; Assumptions'!$F$20,"")</f>
        <v>158.841838705737</v>
      </c>
      <c r="U184" s="23" t="n">
        <f aca="false">IFERROR(R184*'Weights &amp; Assumptions'!$B$25/'Weights &amp; Assumptions'!$B$28+S184*'Weights &amp; Assumptions'!$B$26/'Weights &amp; Assumptions'!$B$28+T184*'Weights &amp; Assumptions'!$B$27/'Weights &amp; Assumptions'!$B$28,"")</f>
        <v>147.529105205501</v>
      </c>
      <c r="V184" s="30" t="n">
        <f aca="false">IF(ISNUMBER(Tabelle1!E185),Tabelle1!E185*'Weights &amp; Assumptions'!$F$6+Tabelle1!F185*'Weights &amp; Assumptions'!$F$7,"")</f>
        <v>81.3980061253144</v>
      </c>
      <c r="W184" s="30" t="n">
        <f aca="false">IF(ISNUMBER(Tabelle1!G185),Tabelle1!G185*'Weights &amp; Assumptions'!$F$8+Tabelle1!H185*'Weights &amp; Assumptions'!$F$9+Tabelle1!J185*'Weights &amp; Assumptions'!$F$11,"")</f>
        <v>129.331266701615</v>
      </c>
      <c r="X184" s="30" t="n">
        <f aca="false">IF(ISNUMBER(Tabelle1!I185),Tabelle1!I185*'Weights &amp; Assumptions'!$F$10+Tabelle1!K185*'Weights &amp; Assumptions'!$F$12+Tabelle1!L185*'Weights &amp; Assumptions'!$F$13+Tabelle1!M185*'Weights &amp; Assumptions'!$F$14+Tabelle1!N185*'Weights &amp; Assumptions'!$F$15+Tabelle1!O185*'Weights &amp; Assumptions'!$F$16+Tabelle1!P185*'Weights &amp; Assumptions'!$F$17+Tabelle1!Q185*'Weights &amp; Assumptions'!$F$18+Tabelle1!R185*'Weights &amp; Assumptions'!$F$19+Tabelle1!S185*'Weights &amp; Assumptions'!$F$20,"")</f>
        <v>159.916689764728</v>
      </c>
      <c r="Y184" s="23" t="n">
        <f aca="false">IFERROR(V184*'Weights &amp; Assumptions'!$B$25/'Weights &amp; Assumptions'!$B$28+W184*'Weights &amp; Assumptions'!$B$26/'Weights &amp; Assumptions'!$B$28+X184*'Weights &amp; Assumptions'!$B$27/'Weights &amp; Assumptions'!$B$28,"")</f>
        <v>145.195708600563</v>
      </c>
    </row>
    <row r="185" customFormat="false" ht="15" hidden="false" customHeight="false" outlineLevel="0" collapsed="false">
      <c r="A185" s="20" t="n">
        <v>43434</v>
      </c>
      <c r="B185" s="30" t="n">
        <f aca="false">IF(ISNUMBER(Tabelle1!D186),Tabelle1!D186,"")</f>
        <v>141.66615</v>
      </c>
      <c r="C185" s="23" t="n">
        <f aca="false">IF(ISNUMBER(Tabelle1!E186),Tabelle1!E186/'SF Workings'!F185,"")</f>
        <v>130.624100385231</v>
      </c>
      <c r="D185" s="23" t="n">
        <f aca="false">IF(ISNUMBER(Tabelle1!F186),Tabelle1!F186/'SF Workings'!J185,"")</f>
        <v>170.780084374598</v>
      </c>
      <c r="E185" s="23" t="n">
        <f aca="false">IF(ISNUMBER(Tabelle1!G186),Tabelle1!G186/'SF Workings'!N185,"")</f>
        <v>86.5153465010483</v>
      </c>
      <c r="F185" s="23" t="n">
        <f aca="false">IF(ISNUMBER(Tabelle1!H186),Tabelle1!H186/'SF Workings'!R185,"")</f>
        <v>118.201194372992</v>
      </c>
      <c r="G185" s="23" t="n">
        <f aca="false">IF(ISNUMBER(Tabelle1!I186),Tabelle1!I186/'SF Workings'!V185,"")</f>
        <v>138.712753400833</v>
      </c>
      <c r="H185" s="23" t="n">
        <f aca="false">IF(ISNUMBER(Tabelle1!J186),Tabelle1!J186/'SF Workings'!Z185,"")</f>
        <v>137.183538027164</v>
      </c>
      <c r="I185" s="23" t="n">
        <f aca="false">IF(ISNUMBER(Tabelle1!K186),Tabelle1!K186/'SF Workings'!AD185,"")</f>
        <v>144.000420530581</v>
      </c>
      <c r="J185" s="23" t="n">
        <f aca="false">IF(ISNUMBER(Tabelle1!L186),Tabelle1!L186/'SF Workings'!AH185,"")</f>
        <v>164.055336790231</v>
      </c>
      <c r="K185" s="23" t="n">
        <f aca="false">IF(ISNUMBER(Tabelle1!M186),Tabelle1!M186/'SF Workings'!AL185,"")</f>
        <v>187.810854369873</v>
      </c>
      <c r="L185" s="23" t="n">
        <f aca="false">IF(ISNUMBER(Tabelle1!N186),Tabelle1!N186/'SF Workings'!AP185,"")</f>
        <v>176.587469399706</v>
      </c>
      <c r="M185" s="23" t="n">
        <f aca="false">IF(ISNUMBER(Tabelle1!O186),Tabelle1!O186/'SF Workings'!AT185,"")</f>
        <v>139.012054335951</v>
      </c>
      <c r="N185" s="23" t="n">
        <f aca="false">IF(ISNUMBER(Tabelle1!P186),Tabelle1!P186/'SF Workings'!AX185,"")</f>
        <v>153.629222022221</v>
      </c>
      <c r="O185" s="23" t="n">
        <f aca="false">IF(ISNUMBER(Tabelle1!Q186),Tabelle1!Q186/'SF Workings'!BB185,"")</f>
        <v>161.482125579112</v>
      </c>
      <c r="P185" s="23" t="n">
        <f aca="false">IF(ISNUMBER(Tabelle1!R186),Tabelle1!R186/'SF Workings'!BF185,"")</f>
        <v>179.345441641764</v>
      </c>
      <c r="Q185" s="23" t="n">
        <f aca="false">IF(ISNUMBER(Tabelle1!S186),Tabelle1!S186/'SF Workings'!BJ185,"")</f>
        <v>140.629320580202</v>
      </c>
      <c r="R185" s="23" t="n">
        <f aca="false">IFERROR(C185*'Weights &amp; Assumptions'!$F$6+D185*'Weights &amp; Assumptions'!$F$7,"")</f>
        <v>131.116113013698</v>
      </c>
      <c r="S185" s="23" t="n">
        <f aca="false">IFERROR(E185*'Weights &amp; Assumptions'!$F$8+F185*'Weights &amp; Assumptions'!$F$9+H185*'Weights &amp; Assumptions'!$F$11,"")</f>
        <v>118.372447245968</v>
      </c>
      <c r="T185" s="23" t="n">
        <f aca="false">IFERROR(G185*'Weights &amp; Assumptions'!$F$10+I185*'Weights &amp; Assumptions'!$F$12+J185*'Weights &amp; Assumptions'!$F$13+K185*'Weights &amp; Assumptions'!$F$14+L185*'Weights &amp; Assumptions'!$F$15+M185*'Weights &amp; Assumptions'!$F$16+N185*'Weights &amp; Assumptions'!$F$17+O185*'Weights &amp; Assumptions'!$F$18+P185*'Weights &amp; Assumptions'!$F$19+Q185*'Weights &amp; Assumptions'!$F$20,"")</f>
        <v>157.220163218492</v>
      </c>
      <c r="U185" s="23" t="n">
        <f aca="false">IFERROR(R185*'Weights &amp; Assumptions'!$B$25/'Weights &amp; Assumptions'!$B$28+S185*'Weights &amp; Assumptions'!$B$26/'Weights &amp; Assumptions'!$B$28+T185*'Weights &amp; Assumptions'!$B$27/'Weights &amp; Assumptions'!$B$28,"")</f>
        <v>144.699725407153</v>
      </c>
      <c r="V185" s="30" t="n">
        <f aca="false">IF(ISNUMBER(Tabelle1!E186),Tabelle1!E186*'Weights &amp; Assumptions'!$F$6+Tabelle1!F186*'Weights &amp; Assumptions'!$F$7,"")</f>
        <v>90.6051607626846</v>
      </c>
      <c r="W185" s="30" t="n">
        <f aca="false">IF(ISNUMBER(Tabelle1!G186),Tabelle1!G186*'Weights &amp; Assumptions'!$F$8+Tabelle1!H186*'Weights &amp; Assumptions'!$F$9+Tabelle1!J186*'Weights &amp; Assumptions'!$F$11,"")</f>
        <v>123.462653144804</v>
      </c>
      <c r="X185" s="30" t="n">
        <f aca="false">IF(ISNUMBER(Tabelle1!I186),Tabelle1!I186*'Weights &amp; Assumptions'!$F$10+Tabelle1!K186*'Weights &amp; Assumptions'!$F$12+Tabelle1!L186*'Weights &amp; Assumptions'!$F$13+Tabelle1!M186*'Weights &amp; Assumptions'!$F$14+Tabelle1!N186*'Weights &amp; Assumptions'!$F$15+Tabelle1!O186*'Weights &amp; Assumptions'!$F$16+Tabelle1!P186*'Weights &amp; Assumptions'!$F$17+Tabelle1!Q186*'Weights &amp; Assumptions'!$F$18+Tabelle1!R186*'Weights &amp; Assumptions'!$F$19+Tabelle1!S186*'Weights &amp; Assumptions'!$F$20,"")</f>
        <v>158.511317114489</v>
      </c>
      <c r="Y185" s="23" t="n">
        <f aca="false">IFERROR(V185*'Weights &amp; Assumptions'!$B$25/'Weights &amp; Assumptions'!$B$28+W185*'Weights &amp; Assumptions'!$B$26/'Weights &amp; Assumptions'!$B$28+X185*'Weights &amp; Assumptions'!$B$27/'Weights &amp; Assumptions'!$B$28,"")</f>
        <v>143.493882099796</v>
      </c>
    </row>
    <row r="186" customFormat="false" ht="15" hidden="false" customHeight="false" outlineLevel="0" collapsed="false">
      <c r="A186" s="20" t="n">
        <v>43465</v>
      </c>
      <c r="B186" s="30" t="n">
        <f aca="false">IF(ISNUMBER(Tabelle1!D187),Tabelle1!D187,"")</f>
        <v>141.97365</v>
      </c>
      <c r="C186" s="23" t="n">
        <f aca="false">IF(ISNUMBER(Tabelle1!E187),Tabelle1!E187/'SF Workings'!F186,"")</f>
        <v>124.801523446831</v>
      </c>
      <c r="D186" s="23" t="n">
        <f aca="false">IF(ISNUMBER(Tabelle1!F187),Tabelle1!F187/'SF Workings'!J186,"")</f>
        <v>142.133736817072</v>
      </c>
      <c r="E186" s="23" t="n">
        <f aca="false">IF(ISNUMBER(Tabelle1!G187),Tabelle1!G187/'SF Workings'!N186,"")</f>
        <v>87.1775538486576</v>
      </c>
      <c r="F186" s="23" t="n">
        <f aca="false">IF(ISNUMBER(Tabelle1!H187),Tabelle1!H187/'SF Workings'!R186,"")</f>
        <v>113.409747122145</v>
      </c>
      <c r="G186" s="23" t="n">
        <f aca="false">IF(ISNUMBER(Tabelle1!I187),Tabelle1!I187/'SF Workings'!V186,"")</f>
        <v>134.411273433927</v>
      </c>
      <c r="H186" s="23" t="n">
        <f aca="false">IF(ISNUMBER(Tabelle1!J187),Tabelle1!J187/'SF Workings'!Z186,"")</f>
        <v>131.496290094811</v>
      </c>
      <c r="I186" s="23" t="n">
        <f aca="false">IF(ISNUMBER(Tabelle1!K187),Tabelle1!K187/'SF Workings'!AD186,"")</f>
        <v>136.392860638219</v>
      </c>
      <c r="J186" s="23" t="n">
        <f aca="false">IF(ISNUMBER(Tabelle1!L187),Tabelle1!L187/'SF Workings'!AH186,"")</f>
        <v>161.659464988963</v>
      </c>
      <c r="K186" s="23" t="n">
        <f aca="false">IF(ISNUMBER(Tabelle1!M187),Tabelle1!M187/'SF Workings'!AL186,"")</f>
        <v>187.224695867874</v>
      </c>
      <c r="L186" s="23" t="n">
        <f aca="false">IF(ISNUMBER(Tabelle1!N187),Tabelle1!N187/'SF Workings'!AP186,"")</f>
        <v>180.170486229859</v>
      </c>
      <c r="M186" s="23" t="n">
        <f aca="false">IF(ISNUMBER(Tabelle1!O187),Tabelle1!O187/'SF Workings'!AT186,"")</f>
        <v>138.96264913773</v>
      </c>
      <c r="N186" s="23" t="n">
        <f aca="false">IF(ISNUMBER(Tabelle1!P187),Tabelle1!P187/'SF Workings'!AX186,"")</f>
        <v>153.233545899265</v>
      </c>
      <c r="O186" s="23" t="n">
        <f aca="false">IF(ISNUMBER(Tabelle1!Q187),Tabelle1!Q187/'SF Workings'!BB186,"")</f>
        <v>161.032206164816</v>
      </c>
      <c r="P186" s="23" t="n">
        <f aca="false">IF(ISNUMBER(Tabelle1!R187),Tabelle1!R187/'SF Workings'!BF186,"")</f>
        <v>178.902002789755</v>
      </c>
      <c r="Q186" s="23" t="n">
        <f aca="false">IF(ISNUMBER(Tabelle1!S187),Tabelle1!S187/'SF Workings'!BJ186,"")</f>
        <v>136.701931757602</v>
      </c>
      <c r="R186" s="23" t="n">
        <f aca="false">IFERROR(C186*'Weights &amp; Assumptions'!$F$6+D186*'Weights &amp; Assumptions'!$F$7,"")</f>
        <v>125.013887010372</v>
      </c>
      <c r="S186" s="23" t="n">
        <f aca="false">IFERROR(E186*'Weights &amp; Assumptions'!$F$8+F186*'Weights &amp; Assumptions'!$F$9+H186*'Weights &amp; Assumptions'!$F$11,"")</f>
        <v>114.045537420747</v>
      </c>
      <c r="T186" s="23" t="n">
        <f aca="false">IFERROR(G186*'Weights &amp; Assumptions'!$F$10+I186*'Weights &amp; Assumptions'!$F$12+J186*'Weights &amp; Assumptions'!$F$13+K186*'Weights &amp; Assumptions'!$F$14+L186*'Weights &amp; Assumptions'!$F$15+M186*'Weights &amp; Assumptions'!$F$16+N186*'Weights &amp; Assumptions'!$F$17+O186*'Weights &amp; Assumptions'!$F$18+P186*'Weights &amp; Assumptions'!$F$19+Q186*'Weights &amp; Assumptions'!$F$20,"")</f>
        <v>155.29796403305</v>
      </c>
      <c r="U186" s="23" t="n">
        <f aca="false">IFERROR(R186*'Weights &amp; Assumptions'!$B$25/'Weights &amp; Assumptions'!$B$28+S186*'Weights &amp; Assumptions'!$B$26/'Weights &amp; Assumptions'!$B$28+T186*'Weights &amp; Assumptions'!$B$27/'Weights &amp; Assumptions'!$B$28,"")</f>
        <v>141.78736392808</v>
      </c>
      <c r="V186" s="30" t="n">
        <f aca="false">IF(ISNUMBER(Tabelle1!E187),Tabelle1!E187*'Weights &amp; Assumptions'!$F$6+Tabelle1!F187*'Weights &amp; Assumptions'!$F$7,"")</f>
        <v>101.670188338637</v>
      </c>
      <c r="W186" s="30" t="n">
        <f aca="false">IF(ISNUMBER(Tabelle1!G187),Tabelle1!G187*'Weights &amp; Assumptions'!$F$8+Tabelle1!H187*'Weights &amp; Assumptions'!$F$9+Tabelle1!J187*'Weights &amp; Assumptions'!$F$11,"")</f>
        <v>112.772598003407</v>
      </c>
      <c r="X186" s="30" t="n">
        <f aca="false">IF(ISNUMBER(Tabelle1!I187),Tabelle1!I187*'Weights &amp; Assumptions'!$F$10+Tabelle1!K187*'Weights &amp; Assumptions'!$F$12+Tabelle1!L187*'Weights &amp; Assumptions'!$F$13+Tabelle1!M187*'Weights &amp; Assumptions'!$F$14+Tabelle1!N187*'Weights &amp; Assumptions'!$F$15+Tabelle1!O187*'Weights &amp; Assumptions'!$F$16+Tabelle1!P187*'Weights &amp; Assumptions'!$F$17+Tabelle1!Q187*'Weights &amp; Assumptions'!$F$18+Tabelle1!R187*'Weights &amp; Assumptions'!$F$19+Tabelle1!S187*'Weights &amp; Assumptions'!$F$20,"")</f>
        <v>154.968424908649</v>
      </c>
      <c r="Y186" s="23" t="n">
        <f aca="false">IFERROR(V186*'Weights &amp; Assumptions'!$B$25/'Weights &amp; Assumptions'!$B$28+W186*'Weights &amp; Assumptions'!$B$26/'Weights &amp; Assumptions'!$B$28+X186*'Weights &amp; Assumptions'!$B$27/'Weights &amp; Assumptions'!$B$28,"")</f>
        <v>139.276051047948</v>
      </c>
    </row>
    <row r="187" customFormat="false" ht="15" hidden="false" customHeight="false" outlineLevel="0" collapsed="false">
      <c r="A187" s="20" t="n">
        <v>43496</v>
      </c>
      <c r="B187" s="30" t="n">
        <f aca="false">IF(ISNUMBER(Tabelle1!D188),Tabelle1!D188,"")</f>
        <v>141.39773</v>
      </c>
      <c r="C187" s="23" t="n">
        <f aca="false">IF(ISNUMBER(Tabelle1!E188),Tabelle1!E188/'SF Workings'!F187,"")</f>
        <v>116.104287014799</v>
      </c>
      <c r="D187" s="23" t="n">
        <f aca="false">IF(ISNUMBER(Tabelle1!F188),Tabelle1!F188/'SF Workings'!J187,"")</f>
        <v>229.561227266122</v>
      </c>
      <c r="E187" s="23" t="n">
        <f aca="false">IF(ISNUMBER(Tabelle1!G188),Tabelle1!G188/'SF Workings'!N187,"")</f>
        <v>87.2010788211784</v>
      </c>
      <c r="F187" s="23" t="n">
        <f aca="false">IF(ISNUMBER(Tabelle1!H188),Tabelle1!H188/'SF Workings'!R187,"")</f>
        <v>119.971426651995</v>
      </c>
      <c r="G187" s="23" t="n">
        <f aca="false">IF(ISNUMBER(Tabelle1!I188),Tabelle1!I188/'SF Workings'!V187,"")</f>
        <v>135.701667720745</v>
      </c>
      <c r="H187" s="23" t="n">
        <f aca="false">IF(ISNUMBER(Tabelle1!J188),Tabelle1!J188/'SF Workings'!Z187,"")</f>
        <v>138.987464431954</v>
      </c>
      <c r="I187" s="23" t="n">
        <f aca="false">IF(ISNUMBER(Tabelle1!K188),Tabelle1!K188/'SF Workings'!AD187,"")</f>
        <v>141.197256263882</v>
      </c>
      <c r="J187" s="23" t="n">
        <f aca="false">IF(ISNUMBER(Tabelle1!L188),Tabelle1!L188/'SF Workings'!AH187,"")</f>
        <v>149.2594615742</v>
      </c>
      <c r="K187" s="23" t="n">
        <f aca="false">IF(ISNUMBER(Tabelle1!M188),Tabelle1!M188/'SF Workings'!AL187,"")</f>
        <v>188.351804513395</v>
      </c>
      <c r="L187" s="23" t="n">
        <f aca="false">IF(ISNUMBER(Tabelle1!N188),Tabelle1!N188/'SF Workings'!AP187,"")</f>
        <v>179.210427189512</v>
      </c>
      <c r="M187" s="23" t="n">
        <f aca="false">IF(ISNUMBER(Tabelle1!O188),Tabelle1!O188/'SF Workings'!AT187,"")</f>
        <v>139.202956526357</v>
      </c>
      <c r="N187" s="23" t="n">
        <f aca="false">IF(ISNUMBER(Tabelle1!P188),Tabelle1!P188/'SF Workings'!AX187,"")</f>
        <v>152.933578906587</v>
      </c>
      <c r="O187" s="23" t="n">
        <f aca="false">IF(ISNUMBER(Tabelle1!Q188),Tabelle1!Q188/'SF Workings'!BB187,"")</f>
        <v>160.661878139344</v>
      </c>
      <c r="P187" s="23" t="n">
        <f aca="false">IF(ISNUMBER(Tabelle1!R188),Tabelle1!R188/'SF Workings'!BF187,"")</f>
        <v>178.462267320979</v>
      </c>
      <c r="Q187" s="23" t="n">
        <f aca="false">IF(ISNUMBER(Tabelle1!S188),Tabelle1!S188/'SF Workings'!BJ187,"")</f>
        <v>141.589086815392</v>
      </c>
      <c r="R187" s="23" t="n">
        <f aca="false">IFERROR(C187*'Weights &amp; Assumptions'!$F$6+D187*'Weights &amp; Assumptions'!$F$7,"")</f>
        <v>117.494422228663</v>
      </c>
      <c r="S187" s="23" t="n">
        <f aca="false">IFERROR(E187*'Weights &amp; Assumptions'!$F$8+F187*'Weights &amp; Assumptions'!$F$9+H187*'Weights &amp; Assumptions'!$F$11,"")</f>
        <v>120.020211996605</v>
      </c>
      <c r="T187" s="23" t="n">
        <f aca="false">IFERROR(G187*'Weights &amp; Assumptions'!$F$10+I187*'Weights &amp; Assumptions'!$F$12+J187*'Weights &amp; Assumptions'!$F$13+K187*'Weights &amp; Assumptions'!$F$14+L187*'Weights &amp; Assumptions'!$F$15+M187*'Weights &amp; Assumptions'!$F$16+N187*'Weights &amp; Assumptions'!$F$17+O187*'Weights &amp; Assumptions'!$F$18+P187*'Weights &amp; Assumptions'!$F$19+Q187*'Weights &amp; Assumptions'!$F$20,"")</f>
        <v>156.052358209404</v>
      </c>
      <c r="U187" s="23" t="n">
        <f aca="false">IFERROR(R187*'Weights &amp; Assumptions'!$B$25/'Weights &amp; Assumptions'!$B$28+S187*'Weights &amp; Assumptions'!$B$26/'Weights &amp; Assumptions'!$B$28+T187*'Weights &amp; Assumptions'!$B$27/'Weights &amp; Assumptions'!$B$28,"")</f>
        <v>143.235738199308</v>
      </c>
      <c r="V187" s="30" t="n">
        <f aca="false">IF(ISNUMBER(Tabelle1!E188),Tabelle1!E188*'Weights &amp; Assumptions'!$F$6+Tabelle1!F188*'Weights &amp; Assumptions'!$F$7,"")</f>
        <v>74.1416825736284</v>
      </c>
      <c r="W187" s="30" t="n">
        <f aca="false">IF(ISNUMBER(Tabelle1!G188),Tabelle1!G188*'Weights &amp; Assumptions'!$F$8+Tabelle1!H188*'Weights &amp; Assumptions'!$F$9+Tabelle1!J188*'Weights &amp; Assumptions'!$F$11,"")</f>
        <v>110.633653243895</v>
      </c>
      <c r="X187" s="30" t="n">
        <f aca="false">IF(ISNUMBER(Tabelle1!I188),Tabelle1!I188*'Weights &amp; Assumptions'!$F$10+Tabelle1!K188*'Weights &amp; Assumptions'!$F$12+Tabelle1!L188*'Weights &amp; Assumptions'!$F$13+Tabelle1!M188*'Weights &amp; Assumptions'!$F$14+Tabelle1!N188*'Weights &amp; Assumptions'!$F$15+Tabelle1!O188*'Weights &amp; Assumptions'!$F$16+Tabelle1!P188*'Weights &amp; Assumptions'!$F$17+Tabelle1!Q188*'Weights &amp; Assumptions'!$F$18+Tabelle1!R188*'Weights &amp; Assumptions'!$F$19+Tabelle1!S188*'Weights &amp; Assumptions'!$F$20,"")</f>
        <v>154.284610189039</v>
      </c>
      <c r="Y187" s="23" t="n">
        <f aca="false">IFERROR(V187*'Weights &amp; Assumptions'!$B$25/'Weights &amp; Assumptions'!$B$28+W187*'Weights &amp; Assumptions'!$B$26/'Weights &amp; Assumptions'!$B$28+X187*'Weights &amp; Assumptions'!$B$27/'Weights &amp; Assumptions'!$B$28,"")</f>
        <v>135.95299991346</v>
      </c>
    </row>
    <row r="188" customFormat="false" ht="15" hidden="false" customHeight="false" outlineLevel="0" collapsed="false">
      <c r="A188" s="20" t="n">
        <v>43524</v>
      </c>
      <c r="B188" s="30" t="n">
        <f aca="false">IF(ISNUMBER(Tabelle1!D189),Tabelle1!D189,"")</f>
        <v>143.6589</v>
      </c>
      <c r="C188" s="23" t="n">
        <f aca="false">IF(ISNUMBER(Tabelle1!E189),Tabelle1!E189/'SF Workings'!F188,"")</f>
        <v>129.701676001647</v>
      </c>
      <c r="D188" s="23" t="n">
        <f aca="false">IF(ISNUMBER(Tabelle1!F189),Tabelle1!F189/'SF Workings'!J188,"")</f>
        <v>187.839705568942</v>
      </c>
      <c r="E188" s="23" t="n">
        <f aca="false">IF(ISNUMBER(Tabelle1!G189),Tabelle1!G189/'SF Workings'!N188,"")</f>
        <v>87.1925224726973</v>
      </c>
      <c r="F188" s="23" t="n">
        <f aca="false">IF(ISNUMBER(Tabelle1!H189),Tabelle1!H189/'SF Workings'!R188,"")</f>
        <v>119.962825125917</v>
      </c>
      <c r="G188" s="23" t="n">
        <f aca="false">IF(ISNUMBER(Tabelle1!I189),Tabelle1!I189/'SF Workings'!V188,"")</f>
        <v>142.633756957179</v>
      </c>
      <c r="H188" s="23" t="n">
        <f aca="false">IF(ISNUMBER(Tabelle1!J189),Tabelle1!J189/'SF Workings'!Z188,"")</f>
        <v>145.089937990535</v>
      </c>
      <c r="I188" s="23" t="n">
        <f aca="false">IF(ISNUMBER(Tabelle1!K189),Tabelle1!K189/'SF Workings'!AD188,"")</f>
        <v>145.01261574192</v>
      </c>
      <c r="J188" s="23" t="n">
        <f aca="false">IF(ISNUMBER(Tabelle1!L189),Tabelle1!L189/'SF Workings'!AH188,"")</f>
        <v>145.832866449689</v>
      </c>
      <c r="K188" s="23" t="n">
        <f aca="false">IF(ISNUMBER(Tabelle1!M189),Tabelle1!M189/'SF Workings'!AL188,"")</f>
        <v>186.621290865119</v>
      </c>
      <c r="L188" s="23" t="n">
        <f aca="false">IF(ISNUMBER(Tabelle1!N189),Tabelle1!N189/'SF Workings'!AP188,"")</f>
        <v>176.915173510834</v>
      </c>
      <c r="M188" s="23" t="n">
        <f aca="false">IF(ISNUMBER(Tabelle1!O189),Tabelle1!O189/'SF Workings'!AT188,"")</f>
        <v>140.889983569767</v>
      </c>
      <c r="N188" s="23" t="n">
        <f aca="false">IF(ISNUMBER(Tabelle1!P189),Tabelle1!P189/'SF Workings'!AX188,"")</f>
        <v>153.12103049184</v>
      </c>
      <c r="O188" s="23" t="n">
        <f aca="false">IF(ISNUMBER(Tabelle1!Q189),Tabelle1!Q189/'SF Workings'!BB188,"")</f>
        <v>160.910309021459</v>
      </c>
      <c r="P188" s="23" t="n">
        <f aca="false">IF(ISNUMBER(Tabelle1!R189),Tabelle1!R189/'SF Workings'!BF188,"")</f>
        <v>178.853479882565</v>
      </c>
      <c r="Q188" s="23" t="n">
        <f aca="false">IF(ISNUMBER(Tabelle1!S189),Tabelle1!S189/'SF Workings'!BJ188,"")</f>
        <v>135.828186242126</v>
      </c>
      <c r="R188" s="23" t="n">
        <f aca="false">IFERROR(C188*'Weights &amp; Assumptions'!$F$6+D188*'Weights &amp; Assumptions'!$F$7,"")</f>
        <v>130.414014285996</v>
      </c>
      <c r="S188" s="23" t="n">
        <f aca="false">IFERROR(E188*'Weights &amp; Assumptions'!$F$8+F188*'Weights &amp; Assumptions'!$F$9+H188*'Weights &amp; Assumptions'!$F$11,"")</f>
        <v>121.284697139551</v>
      </c>
      <c r="T188" s="23" t="n">
        <f aca="false">IFERROR(G188*'Weights &amp; Assumptions'!$F$10+I188*'Weights &amp; Assumptions'!$F$12+J188*'Weights &amp; Assumptions'!$F$13+K188*'Weights &amp; Assumptions'!$F$14+L188*'Weights &amp; Assumptions'!$F$15+M188*'Weights &amp; Assumptions'!$F$16+N188*'Weights &amp; Assumptions'!$F$17+O188*'Weights &amp; Assumptions'!$F$18+P188*'Weights &amp; Assumptions'!$F$19+Q188*'Weights &amp; Assumptions'!$F$20,"")</f>
        <v>156.531391790883</v>
      </c>
      <c r="U188" s="23" t="n">
        <f aca="false">IFERROR(R188*'Weights &amp; Assumptions'!$B$25/'Weights &amp; Assumptions'!$B$28+S188*'Weights &amp; Assumptions'!$B$26/'Weights &amp; Assumptions'!$B$28+T188*'Weights &amp; Assumptions'!$B$27/'Weights &amp; Assumptions'!$B$28,"")</f>
        <v>144.967410280516</v>
      </c>
      <c r="V188" s="30" t="n">
        <f aca="false">IF(ISNUMBER(Tabelle1!E189),Tabelle1!E189*'Weights &amp; Assumptions'!$F$6+Tabelle1!F189*'Weights &amp; Assumptions'!$F$7,"")</f>
        <v>78.3604084406622</v>
      </c>
      <c r="W188" s="30" t="n">
        <f aca="false">IF(ISNUMBER(Tabelle1!G189),Tabelle1!G189*'Weights &amp; Assumptions'!$F$8+Tabelle1!H189*'Weights &amp; Assumptions'!$F$9+Tabelle1!J189*'Weights &amp; Assumptions'!$F$11,"")</f>
        <v>110.368688657707</v>
      </c>
      <c r="X188" s="30" t="n">
        <f aca="false">IF(ISNUMBER(Tabelle1!I189),Tabelle1!I189*'Weights &amp; Assumptions'!$F$10+Tabelle1!K189*'Weights &amp; Assumptions'!$F$12+Tabelle1!L189*'Weights &amp; Assumptions'!$F$13+Tabelle1!M189*'Weights &amp; Assumptions'!$F$14+Tabelle1!N189*'Weights &amp; Assumptions'!$F$15+Tabelle1!O189*'Weights &amp; Assumptions'!$F$16+Tabelle1!P189*'Weights &amp; Assumptions'!$F$17+Tabelle1!Q189*'Weights &amp; Assumptions'!$F$18+Tabelle1!R189*'Weights &amp; Assumptions'!$F$19+Tabelle1!S189*'Weights &amp; Assumptions'!$F$20,"")</f>
        <v>152.637554688603</v>
      </c>
      <c r="Y188" s="23" t="n">
        <f aca="false">IFERROR(V188*'Weights &amp; Assumptions'!$B$25/'Weights &amp; Assumptions'!$B$28+W188*'Weights &amp; Assumptions'!$B$26/'Weights &amp; Assumptions'!$B$28+X188*'Weights &amp; Assumptions'!$B$27/'Weights &amp; Assumptions'!$B$28,"")</f>
        <v>135.165610467939</v>
      </c>
    </row>
    <row r="189" customFormat="false" ht="15" hidden="false" customHeight="false" outlineLevel="0" collapsed="false">
      <c r="A189" s="20" t="n">
        <v>43555</v>
      </c>
      <c r="B189" s="30" t="n">
        <f aca="false">IF(ISNUMBER(Tabelle1!D190),Tabelle1!D190,"")</f>
        <v>142.25994</v>
      </c>
      <c r="C189" s="23" t="n">
        <f aca="false">IF(ISNUMBER(Tabelle1!E190),Tabelle1!E190/'SF Workings'!F189,"")</f>
        <v>138.024413621331</v>
      </c>
      <c r="D189" s="23" t="n">
        <f aca="false">IF(ISNUMBER(Tabelle1!F190),Tabelle1!F190/'SF Workings'!J189,"")</f>
        <v>195.289486458629</v>
      </c>
      <c r="E189" s="23" t="n">
        <f aca="false">IF(ISNUMBER(Tabelle1!G190),Tabelle1!G190/'SF Workings'!N189,"")</f>
        <v>87.1035088864617</v>
      </c>
      <c r="F189" s="23" t="n">
        <f aca="false">IF(ISNUMBER(Tabelle1!H190),Tabelle1!H190/'SF Workings'!R189,"")</f>
        <v>114.622227102433</v>
      </c>
      <c r="G189" s="23" t="n">
        <f aca="false">IF(ISNUMBER(Tabelle1!I190),Tabelle1!I190/'SF Workings'!V189,"")</f>
        <v>132.711613211533</v>
      </c>
      <c r="H189" s="23" t="n">
        <f aca="false">IF(ISNUMBER(Tabelle1!J190),Tabelle1!J190/'SF Workings'!Z189,"")</f>
        <v>143.813058477701</v>
      </c>
      <c r="I189" s="23" t="n">
        <f aca="false">IF(ISNUMBER(Tabelle1!K190),Tabelle1!K190/'SF Workings'!AD189,"")</f>
        <v>139.820956202878</v>
      </c>
      <c r="J189" s="23" t="n">
        <f aca="false">IF(ISNUMBER(Tabelle1!L190),Tabelle1!L190/'SF Workings'!AH189,"")</f>
        <v>166.657185643644</v>
      </c>
      <c r="K189" s="23" t="n">
        <f aca="false">IF(ISNUMBER(Tabelle1!M190),Tabelle1!M190/'SF Workings'!AL189,"")</f>
        <v>189.889675068754</v>
      </c>
      <c r="L189" s="23" t="n">
        <f aca="false">IF(ISNUMBER(Tabelle1!N190),Tabelle1!N190/'SF Workings'!AP189,"")</f>
        <v>166.184616124156</v>
      </c>
      <c r="M189" s="23" t="n">
        <f aca="false">IF(ISNUMBER(Tabelle1!O190),Tabelle1!O190/'SF Workings'!AT189,"")</f>
        <v>139.385683104271</v>
      </c>
      <c r="N189" s="23" t="n">
        <f aca="false">IF(ISNUMBER(Tabelle1!P190),Tabelle1!P190/'SF Workings'!AX189,"")</f>
        <v>153.246149714319</v>
      </c>
      <c r="O189" s="23" t="n">
        <f aca="false">IF(ISNUMBER(Tabelle1!Q190),Tabelle1!Q190/'SF Workings'!BB189,"")</f>
        <v>161.093243683818</v>
      </c>
      <c r="P189" s="23" t="n">
        <f aca="false">IF(ISNUMBER(Tabelle1!R190),Tabelle1!R190/'SF Workings'!BF189,"")</f>
        <v>180.836656309408</v>
      </c>
      <c r="Q189" s="23" t="n">
        <f aca="false">IF(ISNUMBER(Tabelle1!S190),Tabelle1!S190/'SF Workings'!BJ189,"")</f>
        <v>137.533589944343</v>
      </c>
      <c r="R189" s="23" t="n">
        <f aca="false">IFERROR(C189*'Weights &amp; Assumptions'!$F$6+D189*'Weights &amp; Assumptions'!$F$7,"")</f>
        <v>138.726055972158</v>
      </c>
      <c r="S189" s="23" t="n">
        <f aca="false">IFERROR(E189*'Weights &amp; Assumptions'!$F$8+F189*'Weights &amp; Assumptions'!$F$9+H189*'Weights &amp; Assumptions'!$F$11,"")</f>
        <v>117.417694811797</v>
      </c>
      <c r="T189" s="23" t="n">
        <f aca="false">IFERROR(G189*'Weights &amp; Assumptions'!$F$10+I189*'Weights &amp; Assumptions'!$F$12+J189*'Weights &amp; Assumptions'!$F$13+K189*'Weights &amp; Assumptions'!$F$14+L189*'Weights &amp; Assumptions'!$F$15+M189*'Weights &amp; Assumptions'!$F$16+N189*'Weights &amp; Assumptions'!$F$17+O189*'Weights &amp; Assumptions'!$F$18+P189*'Weights &amp; Assumptions'!$F$19+Q189*'Weights &amp; Assumptions'!$F$20,"")</f>
        <v>155.782455975228</v>
      </c>
      <c r="U189" s="23" t="n">
        <f aca="false">IFERROR(R189*'Weights &amp; Assumptions'!$B$25/'Weights &amp; Assumptions'!$B$28+S189*'Weights &amp; Assumptions'!$B$26/'Weights &amp; Assumptions'!$B$28+T189*'Weights &amp; Assumptions'!$B$27/'Weights &amp; Assumptions'!$B$28,"")</f>
        <v>144.149549665326</v>
      </c>
      <c r="V189" s="30" t="n">
        <f aca="false">IF(ISNUMBER(Tabelle1!E190),Tabelle1!E190*'Weights &amp; Assumptions'!$F$6+Tabelle1!F190*'Weights &amp; Assumptions'!$F$7,"")</f>
        <v>160.459040494988</v>
      </c>
      <c r="W189" s="30" t="n">
        <f aca="false">IF(ISNUMBER(Tabelle1!G190),Tabelle1!G190*'Weights &amp; Assumptions'!$F$8+Tabelle1!H190*'Weights &amp; Assumptions'!$F$9+Tabelle1!J190*'Weights &amp; Assumptions'!$F$11,"")</f>
        <v>118.714403238555</v>
      </c>
      <c r="X189" s="30" t="n">
        <f aca="false">IF(ISNUMBER(Tabelle1!I190),Tabelle1!I190*'Weights &amp; Assumptions'!$F$10+Tabelle1!K190*'Weights &amp; Assumptions'!$F$12+Tabelle1!L190*'Weights &amp; Assumptions'!$F$13+Tabelle1!M190*'Weights &amp; Assumptions'!$F$14+Tabelle1!N190*'Weights &amp; Assumptions'!$F$15+Tabelle1!O190*'Weights &amp; Assumptions'!$F$16+Tabelle1!P190*'Weights &amp; Assumptions'!$F$17+Tabelle1!Q190*'Weights &amp; Assumptions'!$F$18+Tabelle1!R190*'Weights &amp; Assumptions'!$F$19+Tabelle1!S190*'Weights &amp; Assumptions'!$F$20,"")</f>
        <v>158.380660130025</v>
      </c>
      <c r="Y189" s="23" t="n">
        <f aca="false">IFERROR(V189*'Weights &amp; Assumptions'!$B$25/'Weights &amp; Assumptions'!$B$28+W189*'Weights &amp; Assumptions'!$B$26/'Weights &amp; Assumptions'!$B$28+X189*'Weights &amp; Assumptions'!$B$27/'Weights &amp; Assumptions'!$B$28,"")</f>
        <v>148.007087368105</v>
      </c>
    </row>
    <row r="190" customFormat="false" ht="15" hidden="false" customHeight="false" outlineLevel="0" collapsed="false">
      <c r="A190" s="20" t="n">
        <v>43585</v>
      </c>
      <c r="B190" s="30" t="n">
        <f aca="false">IF(ISNUMBER(Tabelle1!D191),Tabelle1!D191,"")</f>
        <v>142.60579</v>
      </c>
      <c r="C190" s="23" t="n">
        <f aca="false">IF(ISNUMBER(Tabelle1!E191),Tabelle1!E191/'SF Workings'!F190,"")</f>
        <v>142.07914049062</v>
      </c>
      <c r="D190" s="23" t="n">
        <f aca="false">IF(ISNUMBER(Tabelle1!F191),Tabelle1!F191/'SF Workings'!J190,"")</f>
        <v>197.419951525628</v>
      </c>
      <c r="E190" s="23" t="n">
        <f aca="false">IF(ISNUMBER(Tabelle1!G191),Tabelle1!G191/'SF Workings'!N190,"")</f>
        <v>89.9845105114884</v>
      </c>
      <c r="F190" s="23" t="n">
        <f aca="false">IF(ISNUMBER(Tabelle1!H191),Tabelle1!H191/'SF Workings'!R190,"")</f>
        <v>121.424096931756</v>
      </c>
      <c r="G190" s="23" t="n">
        <f aca="false">IF(ISNUMBER(Tabelle1!I191),Tabelle1!I191/'SF Workings'!V190,"")</f>
        <v>140.085008629587</v>
      </c>
      <c r="H190" s="23" t="n">
        <f aca="false">IF(ISNUMBER(Tabelle1!J191),Tabelle1!J191/'SF Workings'!Z190,"")</f>
        <v>154.463074805249</v>
      </c>
      <c r="I190" s="23" t="n">
        <f aca="false">IF(ISNUMBER(Tabelle1!K191),Tabelle1!K191/'SF Workings'!AD190,"")</f>
        <v>142.544453024945</v>
      </c>
      <c r="J190" s="23" t="n">
        <f aca="false">IF(ISNUMBER(Tabelle1!L191),Tabelle1!L191/'SF Workings'!AH190,"")</f>
        <v>186.530832077277</v>
      </c>
      <c r="K190" s="23" t="n">
        <f aca="false">IF(ISNUMBER(Tabelle1!M191),Tabelle1!M191/'SF Workings'!AL190,"")</f>
        <v>193.394758130847</v>
      </c>
      <c r="L190" s="23" t="n">
        <f aca="false">IF(ISNUMBER(Tabelle1!N191),Tabelle1!N191/'SF Workings'!AP190,"")</f>
        <v>171.974002854288</v>
      </c>
      <c r="M190" s="23" t="n">
        <f aca="false">IF(ISNUMBER(Tabelle1!O191),Tabelle1!O191/'SF Workings'!AT190,"")</f>
        <v>142.674945952292</v>
      </c>
      <c r="N190" s="23" t="n">
        <f aca="false">IF(ISNUMBER(Tabelle1!P191),Tabelle1!P191/'SF Workings'!AX190,"")</f>
        <v>156.49624875907</v>
      </c>
      <c r="O190" s="23" t="n">
        <f aca="false">IF(ISNUMBER(Tabelle1!Q191),Tabelle1!Q191/'SF Workings'!BB190,"")</f>
        <v>162.90602960885</v>
      </c>
      <c r="P190" s="23" t="n">
        <f aca="false">IF(ISNUMBER(Tabelle1!R191),Tabelle1!R191/'SF Workings'!BF190,"")</f>
        <v>185.603432403324</v>
      </c>
      <c r="Q190" s="23" t="n">
        <f aca="false">IF(ISNUMBER(Tabelle1!S191),Tabelle1!S191/'SF Workings'!BJ190,"")</f>
        <v>157.903278318352</v>
      </c>
      <c r="R190" s="23" t="n">
        <f aca="false">IFERROR(C190*'Weights &amp; Assumptions'!$F$6+D190*'Weights &amp; Assumptions'!$F$7,"")</f>
        <v>142.757205754967</v>
      </c>
      <c r="S190" s="23" t="n">
        <f aca="false">IFERROR(E190*'Weights &amp; Assumptions'!$F$8+F190*'Weights &amp; Assumptions'!$F$9+H190*'Weights &amp; Assumptions'!$F$11,"")</f>
        <v>124.553081763224</v>
      </c>
      <c r="T190" s="23" t="n">
        <f aca="false">IFERROR(G190*'Weights &amp; Assumptions'!$F$10+I190*'Weights &amp; Assumptions'!$F$12+J190*'Weights &amp; Assumptions'!$F$13+K190*'Weights &amp; Assumptions'!$F$14+L190*'Weights &amp; Assumptions'!$F$15+M190*'Weights &amp; Assumptions'!$F$16+N190*'Weights &amp; Assumptions'!$F$17+O190*'Weights &amp; Assumptions'!$F$18+P190*'Weights &amp; Assumptions'!$F$19+Q190*'Weights &amp; Assumptions'!$F$20,"")</f>
        <v>161.000047140379</v>
      </c>
      <c r="U190" s="23" t="n">
        <f aca="false">IFERROR(R190*'Weights &amp; Assumptions'!$B$25/'Weights &amp; Assumptions'!$B$28+S190*'Weights &amp; Assumptions'!$B$26/'Weights &amp; Assumptions'!$B$28+T190*'Weights &amp; Assumptions'!$B$27/'Weights &amp; Assumptions'!$B$28,"")</f>
        <v>149.777572811088</v>
      </c>
      <c r="V190" s="30" t="n">
        <f aca="false">IF(ISNUMBER(Tabelle1!E191),Tabelle1!E191*'Weights &amp; Assumptions'!$F$6+Tabelle1!F191*'Weights &amp; Assumptions'!$F$7,"")</f>
        <v>230.040457596095</v>
      </c>
      <c r="W190" s="30" t="n">
        <f aca="false">IF(ISNUMBER(Tabelle1!G191),Tabelle1!G191*'Weights &amp; Assumptions'!$F$8+Tabelle1!H191*'Weights &amp; Assumptions'!$F$9+Tabelle1!J191*'Weights &amp; Assumptions'!$F$11,"")</f>
        <v>117.696524074264</v>
      </c>
      <c r="X190" s="30" t="n">
        <f aca="false">IF(ISNUMBER(Tabelle1!I191),Tabelle1!I191*'Weights &amp; Assumptions'!$F$10+Tabelle1!K191*'Weights &amp; Assumptions'!$F$12+Tabelle1!L191*'Weights &amp; Assumptions'!$F$13+Tabelle1!M191*'Weights &amp; Assumptions'!$F$14+Tabelle1!N191*'Weights &amp; Assumptions'!$F$15+Tabelle1!O191*'Weights &amp; Assumptions'!$F$16+Tabelle1!P191*'Weights &amp; Assumptions'!$F$17+Tabelle1!Q191*'Weights &amp; Assumptions'!$F$18+Tabelle1!R191*'Weights &amp; Assumptions'!$F$19+Tabelle1!S191*'Weights &amp; Assumptions'!$F$20,"")</f>
        <v>157.138020752773</v>
      </c>
      <c r="Y190" s="23" t="n">
        <f aca="false">IFERROR(V190*'Weights &amp; Assumptions'!$B$25/'Weights &amp; Assumptions'!$B$28+W190*'Weights &amp; Assumptions'!$B$26/'Weights &amp; Assumptions'!$B$28+X190*'Weights &amp; Assumptions'!$B$27/'Weights &amp; Assumptions'!$B$28,"")</f>
        <v>152.766412935824</v>
      </c>
    </row>
    <row r="191" customFormat="false" ht="15" hidden="false" customHeight="false" outlineLevel="0" collapsed="false">
      <c r="A191" s="20" t="n">
        <v>43616</v>
      </c>
      <c r="B191" s="30" t="n">
        <f aca="false">IF(ISNUMBER(Tabelle1!D192),Tabelle1!D192,"")</f>
        <v>144.83825</v>
      </c>
      <c r="C191" s="23" t="n">
        <f aca="false">IF(ISNUMBER(Tabelle1!E192),Tabelle1!E192/'SF Workings'!F191,"")</f>
        <v>150.435076891558</v>
      </c>
      <c r="D191" s="23" t="n">
        <f aca="false">IF(ISNUMBER(Tabelle1!F192),Tabelle1!F192/'SF Workings'!J191,"")</f>
        <v>102.28473196972</v>
      </c>
      <c r="E191" s="23" t="n">
        <f aca="false">IF(ISNUMBER(Tabelle1!G192),Tabelle1!G192/'SF Workings'!N191,"")</f>
        <v>89.5697635331056</v>
      </c>
      <c r="F191" s="23" t="n">
        <f aca="false">IF(ISNUMBER(Tabelle1!H192),Tabelle1!H192/'SF Workings'!R191,"")</f>
        <v>123.704493427751</v>
      </c>
      <c r="G191" s="23" t="n">
        <f aca="false">IF(ISNUMBER(Tabelle1!I192),Tabelle1!I192/'SF Workings'!V191,"")</f>
        <v>138.614329225436</v>
      </c>
      <c r="H191" s="23" t="n">
        <f aca="false">IF(ISNUMBER(Tabelle1!J192),Tabelle1!J192/'SF Workings'!Z191,"")</f>
        <v>157.285415299691</v>
      </c>
      <c r="I191" s="23" t="n">
        <f aca="false">IF(ISNUMBER(Tabelle1!K192),Tabelle1!K192/'SF Workings'!AD191,"")</f>
        <v>145.039555040765</v>
      </c>
      <c r="J191" s="23" t="n">
        <f aca="false">IF(ISNUMBER(Tabelle1!L192),Tabelle1!L192/'SF Workings'!AH191,"")</f>
        <v>175.420017899476</v>
      </c>
      <c r="K191" s="23" t="n">
        <f aca="false">IF(ISNUMBER(Tabelle1!M192),Tabelle1!M192/'SF Workings'!AL191,"")</f>
        <v>194.696028025484</v>
      </c>
      <c r="L191" s="23" t="n">
        <f aca="false">IF(ISNUMBER(Tabelle1!N192),Tabelle1!N192/'SF Workings'!AP191,"")</f>
        <v>172.316626560953</v>
      </c>
      <c r="M191" s="23" t="n">
        <f aca="false">IF(ISNUMBER(Tabelle1!O192),Tabelle1!O192/'SF Workings'!AT191,"")</f>
        <v>142.895404793592</v>
      </c>
      <c r="N191" s="23" t="n">
        <f aca="false">IF(ISNUMBER(Tabelle1!P192),Tabelle1!P192/'SF Workings'!AX191,"")</f>
        <v>156.796528421015</v>
      </c>
      <c r="O191" s="23" t="n">
        <f aca="false">IF(ISNUMBER(Tabelle1!Q192),Tabelle1!Q192/'SF Workings'!BB191,"")</f>
        <v>162.814561113102</v>
      </c>
      <c r="P191" s="23" t="n">
        <f aca="false">IF(ISNUMBER(Tabelle1!R192),Tabelle1!R192/'SF Workings'!BF191,"")</f>
        <v>183.06412960496</v>
      </c>
      <c r="Q191" s="23" t="n">
        <f aca="false">IF(ISNUMBER(Tabelle1!S192),Tabelle1!S192/'SF Workings'!BJ191,"")</f>
        <v>161.164090247648</v>
      </c>
      <c r="R191" s="23" t="n">
        <f aca="false">IFERROR(C191*'Weights &amp; Assumptions'!$F$6+D191*'Weights &amp; Assumptions'!$F$7,"")</f>
        <v>149.845113070154</v>
      </c>
      <c r="S191" s="23" t="n">
        <f aca="false">IFERROR(E191*'Weights &amp; Assumptions'!$F$8+F191*'Weights &amp; Assumptions'!$F$9+H191*'Weights &amp; Assumptions'!$F$11,"")</f>
        <v>126.624584037581</v>
      </c>
      <c r="T191" s="23" t="n">
        <f aca="false">IFERROR(G191*'Weights &amp; Assumptions'!$F$10+I191*'Weights &amp; Assumptions'!$F$12+J191*'Weights &amp; Assumptions'!$F$13+K191*'Weights &amp; Assumptions'!$F$14+L191*'Weights &amp; Assumptions'!$F$15+M191*'Weights &amp; Assumptions'!$F$16+N191*'Weights &amp; Assumptions'!$F$17+O191*'Weights &amp; Assumptions'!$F$18+P191*'Weights &amp; Assumptions'!$F$19+Q191*'Weights &amp; Assumptions'!$F$20,"")</f>
        <v>161.22209455297</v>
      </c>
      <c r="U191" s="23" t="n">
        <f aca="false">IFERROR(R191*'Weights &amp; Assumptions'!$B$25/'Weights &amp; Assumptions'!$B$28+S191*'Weights &amp; Assumptions'!$B$26/'Weights &amp; Assumptions'!$B$28+T191*'Weights &amp; Assumptions'!$B$27/'Weights &amp; Assumptions'!$B$28,"")</f>
        <v>151.06747393759</v>
      </c>
      <c r="V191" s="30" t="n">
        <f aca="false">IF(ISNUMBER(Tabelle1!E192),Tabelle1!E192*'Weights &amp; Assumptions'!$F$6+Tabelle1!F192*'Weights &amp; Assumptions'!$F$7,"")</f>
        <v>338.765149232548</v>
      </c>
      <c r="W191" s="30" t="n">
        <f aca="false">IF(ISNUMBER(Tabelle1!G192),Tabelle1!G192*'Weights &amp; Assumptions'!$F$8+Tabelle1!H192*'Weights &amp; Assumptions'!$F$9+Tabelle1!J192*'Weights &amp; Assumptions'!$F$11,"")</f>
        <v>125.774119122474</v>
      </c>
      <c r="X191" s="30" t="n">
        <f aca="false">IF(ISNUMBER(Tabelle1!I192),Tabelle1!I192*'Weights &amp; Assumptions'!$F$10+Tabelle1!K192*'Weights &amp; Assumptions'!$F$12+Tabelle1!L192*'Weights &amp; Assumptions'!$F$13+Tabelle1!M192*'Weights &amp; Assumptions'!$F$14+Tabelle1!N192*'Weights &amp; Assumptions'!$F$15+Tabelle1!O192*'Weights &amp; Assumptions'!$F$16+Tabelle1!P192*'Weights &amp; Assumptions'!$F$17+Tabelle1!Q192*'Weights &amp; Assumptions'!$F$18+Tabelle1!R192*'Weights &amp; Assumptions'!$F$19+Tabelle1!S192*'Weights &amp; Assumptions'!$F$20,"")</f>
        <v>161.278471112733</v>
      </c>
      <c r="Y191" s="23" t="n">
        <f aca="false">IFERROR(V191*'Weights &amp; Assumptions'!$B$25/'Weights &amp; Assumptions'!$B$28+W191*'Weights &amp; Assumptions'!$B$26/'Weights &amp; Assumptions'!$B$28+X191*'Weights &amp; Assumptions'!$B$27/'Weights &amp; Assumptions'!$B$28,"")</f>
        <v>166.728523721013</v>
      </c>
    </row>
    <row r="192" customFormat="false" ht="15" hidden="false" customHeight="false" outlineLevel="0" collapsed="false">
      <c r="A192" s="20" t="n">
        <v>43646</v>
      </c>
      <c r="B192" s="30" t="n">
        <f aca="false">IF(ISNUMBER(Tabelle1!D193),Tabelle1!D193,"")</f>
        <v>144.03378</v>
      </c>
      <c r="C192" s="23" t="n">
        <f aca="false">IF(ISNUMBER(Tabelle1!E193),Tabelle1!E193/'SF Workings'!F192,"")</f>
        <v>143.639956483173</v>
      </c>
      <c r="D192" s="23" t="n">
        <f aca="false">IF(ISNUMBER(Tabelle1!F193),Tabelle1!F193/'SF Workings'!J192,"")</f>
        <v>158.148929850136</v>
      </c>
      <c r="E192" s="23" t="n">
        <f aca="false">IF(ISNUMBER(Tabelle1!G193),Tabelle1!G193/'SF Workings'!N192,"")</f>
        <v>89.8402176037944</v>
      </c>
      <c r="F192" s="23" t="n">
        <f aca="false">IF(ISNUMBER(Tabelle1!H193),Tabelle1!H193/'SF Workings'!R192,"")</f>
        <v>116.807493963248</v>
      </c>
      <c r="G192" s="23" t="n">
        <f aca="false">IF(ISNUMBER(Tabelle1!I193),Tabelle1!I193/'SF Workings'!V192,"")</f>
        <v>131.678161203486</v>
      </c>
      <c r="H192" s="23" t="n">
        <f aca="false">IF(ISNUMBER(Tabelle1!J193),Tabelle1!J193/'SF Workings'!Z192,"")</f>
        <v>142.198445719364</v>
      </c>
      <c r="I192" s="23" t="n">
        <f aca="false">IF(ISNUMBER(Tabelle1!K193),Tabelle1!K193/'SF Workings'!AD192,"")</f>
        <v>137.300270266616</v>
      </c>
      <c r="J192" s="23" t="n">
        <f aca="false">IF(ISNUMBER(Tabelle1!L193),Tabelle1!L193/'SF Workings'!AH192,"")</f>
        <v>163.459291507333</v>
      </c>
      <c r="K192" s="23" t="n">
        <f aca="false">IF(ISNUMBER(Tabelle1!M193),Tabelle1!M193/'SF Workings'!AL192,"")</f>
        <v>191.718547258866</v>
      </c>
      <c r="L192" s="23" t="n">
        <f aca="false">IF(ISNUMBER(Tabelle1!N193),Tabelle1!N193/'SF Workings'!AP192,"")</f>
        <v>163.400822137668</v>
      </c>
      <c r="M192" s="23" t="n">
        <f aca="false">IF(ISNUMBER(Tabelle1!O193),Tabelle1!O193/'SF Workings'!AT192,"")</f>
        <v>140.729648896077</v>
      </c>
      <c r="N192" s="23" t="n">
        <f aca="false">IF(ISNUMBER(Tabelle1!P193),Tabelle1!P193/'SF Workings'!AX192,"")</f>
        <v>156.60577329914</v>
      </c>
      <c r="O192" s="23" t="n">
        <f aca="false">IF(ISNUMBER(Tabelle1!Q193),Tabelle1!Q193/'SF Workings'!BB192,"")</f>
        <v>162.554866255932</v>
      </c>
      <c r="P192" s="23" t="n">
        <f aca="false">IF(ISNUMBER(Tabelle1!R193),Tabelle1!R193/'SF Workings'!BF192,"")</f>
        <v>182.606927008176</v>
      </c>
      <c r="Q192" s="23" t="n">
        <f aca="false">IF(ISNUMBER(Tabelle1!S193),Tabelle1!S193/'SF Workings'!BJ192,"")</f>
        <v>158.624140194349</v>
      </c>
      <c r="R192" s="23" t="n">
        <f aca="false">IFERROR(C192*'Weights &amp; Assumptions'!$F$6+D192*'Weights &amp; Assumptions'!$F$7,"")</f>
        <v>143.817728197709</v>
      </c>
      <c r="S192" s="23" t="n">
        <f aca="false">IFERROR(E192*'Weights &amp; Assumptions'!$F$8+F192*'Weights &amp; Assumptions'!$F$9+H192*'Weights &amp; Assumptions'!$F$11,"")</f>
        <v>118.877197894614</v>
      </c>
      <c r="T192" s="23" t="n">
        <f aca="false">IFERROR(G192*'Weights &amp; Assumptions'!$F$10+I192*'Weights &amp; Assumptions'!$F$12+J192*'Weights &amp; Assumptions'!$F$13+K192*'Weights &amp; Assumptions'!$F$14+L192*'Weights &amp; Assumptions'!$F$15+M192*'Weights &amp; Assumptions'!$F$16+N192*'Weights &amp; Assumptions'!$F$17+O192*'Weights &amp; Assumptions'!$F$18+P192*'Weights &amp; Assumptions'!$F$19+Q192*'Weights &amp; Assumptions'!$F$20,"")</f>
        <v>157.127165150929</v>
      </c>
      <c r="U192" s="23" t="n">
        <f aca="false">IFERROR(R192*'Weights &amp; Assumptions'!$B$25/'Weights &amp; Assumptions'!$B$28+S192*'Weights &amp; Assumptions'!$B$26/'Weights &amp; Assumptions'!$B$28+T192*'Weights &amp; Assumptions'!$B$27/'Weights &amp; Assumptions'!$B$28,"")</f>
        <v>145.839157864266</v>
      </c>
      <c r="V192" s="30" t="n">
        <f aca="false">IF(ISNUMBER(Tabelle1!E193),Tabelle1!E193*'Weights &amp; Assumptions'!$F$6+Tabelle1!F193*'Weights &amp; Assumptions'!$F$7,"")</f>
        <v>222.304177598956</v>
      </c>
      <c r="W192" s="30" t="n">
        <f aca="false">IF(ISNUMBER(Tabelle1!G193),Tabelle1!G193*'Weights &amp; Assumptions'!$F$8+Tabelle1!H193*'Weights &amp; Assumptions'!$F$9+Tabelle1!J193*'Weights &amp; Assumptions'!$F$11,"")</f>
        <v>121.047159822201</v>
      </c>
      <c r="X192" s="30" t="n">
        <f aca="false">IF(ISNUMBER(Tabelle1!I193),Tabelle1!I193*'Weights &amp; Assumptions'!$F$10+Tabelle1!K193*'Weights &amp; Assumptions'!$F$12+Tabelle1!L193*'Weights &amp; Assumptions'!$F$13+Tabelle1!M193*'Weights &amp; Assumptions'!$F$14+Tabelle1!N193*'Weights &amp; Assumptions'!$F$15+Tabelle1!O193*'Weights &amp; Assumptions'!$F$16+Tabelle1!P193*'Weights &amp; Assumptions'!$F$17+Tabelle1!Q193*'Weights &amp; Assumptions'!$F$18+Tabelle1!R193*'Weights &amp; Assumptions'!$F$19+Tabelle1!S193*'Weights &amp; Assumptions'!$F$20,"")</f>
        <v>159.706269461398</v>
      </c>
      <c r="Y192" s="23" t="n">
        <f aca="false">IFERROR(V192*'Weights &amp; Assumptions'!$B$25/'Weights &amp; Assumptions'!$B$28+W192*'Weights &amp; Assumptions'!$B$26/'Weights &amp; Assumptions'!$B$28+X192*'Weights &amp; Assumptions'!$B$27/'Weights &amp; Assumptions'!$B$28,"")</f>
        <v>154.678153491243</v>
      </c>
    </row>
    <row r="193" customFormat="false" ht="15" hidden="false" customHeight="false" outlineLevel="0" collapsed="false">
      <c r="A193" s="20" t="n">
        <v>43677</v>
      </c>
      <c r="B193" s="30" t="n">
        <f aca="false">IF(ISNUMBER(Tabelle1!D194),Tabelle1!D194,"")</f>
        <v>145.83568</v>
      </c>
      <c r="C193" s="23" t="n">
        <f aca="false">IF(ISNUMBER(Tabelle1!E194),Tabelle1!E194/'SF Workings'!F193,"")</f>
        <v>141.086344159254</v>
      </c>
      <c r="D193" s="23" t="n">
        <f aca="false">IF(ISNUMBER(Tabelle1!F194),Tabelle1!F194/'SF Workings'!J193,"")</f>
        <v>173.261515431704</v>
      </c>
      <c r="E193" s="23" t="n">
        <f aca="false">IF(ISNUMBER(Tabelle1!G194),Tabelle1!G194/'SF Workings'!N193,"")</f>
        <v>90.1562733996995</v>
      </c>
      <c r="F193" s="23" t="n">
        <f aca="false">IF(ISNUMBER(Tabelle1!H194),Tabelle1!H194/'SF Workings'!R193,"")</f>
        <v>121.310128750345</v>
      </c>
      <c r="G193" s="23" t="n">
        <f aca="false">IF(ISNUMBER(Tabelle1!I194),Tabelle1!I194/'SF Workings'!V193,"")</f>
        <v>139.962810927125</v>
      </c>
      <c r="H193" s="23" t="n">
        <f aca="false">IF(ISNUMBER(Tabelle1!J194),Tabelle1!J194/'SF Workings'!Z193,"")</f>
        <v>146.18214214572</v>
      </c>
      <c r="I193" s="23" t="n">
        <f aca="false">IF(ISNUMBER(Tabelle1!K194),Tabelle1!K194/'SF Workings'!AD193,"")</f>
        <v>143.703435523095</v>
      </c>
      <c r="J193" s="23" t="n">
        <f aca="false">IF(ISNUMBER(Tabelle1!L194),Tabelle1!L194/'SF Workings'!AH193,"")</f>
        <v>179.913036847871</v>
      </c>
      <c r="K193" s="23" t="n">
        <f aca="false">IF(ISNUMBER(Tabelle1!M194),Tabelle1!M194/'SF Workings'!AL193,"")</f>
        <v>194.454300667134</v>
      </c>
      <c r="L193" s="23" t="n">
        <f aca="false">IF(ISNUMBER(Tabelle1!N194),Tabelle1!N194/'SF Workings'!AP193,"")</f>
        <v>168.359046481676</v>
      </c>
      <c r="M193" s="23" t="n">
        <f aca="false">IF(ISNUMBER(Tabelle1!O194),Tabelle1!O194/'SF Workings'!AT193,"")</f>
        <v>142.424030931358</v>
      </c>
      <c r="N193" s="23" t="n">
        <f aca="false">IF(ISNUMBER(Tabelle1!P194),Tabelle1!P194/'SF Workings'!AX193,"")</f>
        <v>155.752192357623</v>
      </c>
      <c r="O193" s="23" t="n">
        <f aca="false">IF(ISNUMBER(Tabelle1!Q194),Tabelle1!Q194/'SF Workings'!BB193,"")</f>
        <v>163.06589771157</v>
      </c>
      <c r="P193" s="23" t="n">
        <f aca="false">IF(ISNUMBER(Tabelle1!R194),Tabelle1!R194/'SF Workings'!BF193,"")</f>
        <v>180.767912183123</v>
      </c>
      <c r="Q193" s="23" t="n">
        <f aca="false">IF(ISNUMBER(Tabelle1!S194),Tabelle1!S194/'SF Workings'!BJ193,"")</f>
        <v>159.827767099175</v>
      </c>
      <c r="R193" s="23" t="n">
        <f aca="false">IFERROR(C193*'Weights &amp; Assumptions'!$F$6+D193*'Weights &amp; Assumptions'!$F$7,"")</f>
        <v>141.48057159478</v>
      </c>
      <c r="S193" s="23" t="n">
        <f aca="false">IFERROR(E193*'Weights &amp; Assumptions'!$F$8+F193*'Weights &amp; Assumptions'!$F$9+H193*'Weights &amp; Assumptions'!$F$11,"")</f>
        <v>122.771857624211</v>
      </c>
      <c r="T193" s="23" t="n">
        <f aca="false">IFERROR(G193*'Weights &amp; Assumptions'!$F$10+I193*'Weights &amp; Assumptions'!$F$12+J193*'Weights &amp; Assumptions'!$F$13+K193*'Weights &amp; Assumptions'!$F$14+L193*'Weights &amp; Assumptions'!$F$15+M193*'Weights &amp; Assumptions'!$F$16+N193*'Weights &amp; Assumptions'!$F$17+O193*'Weights &amp; Assumptions'!$F$18+P193*'Weights &amp; Assumptions'!$F$19+Q193*'Weights &amp; Assumptions'!$F$20,"")</f>
        <v>160.445791101294</v>
      </c>
      <c r="U193" s="23" t="n">
        <f aca="false">IFERROR(R193*'Weights &amp; Assumptions'!$B$25/'Weights &amp; Assumptions'!$B$28+S193*'Weights &amp; Assumptions'!$B$26/'Weights &amp; Assumptions'!$B$28+T193*'Weights &amp; Assumptions'!$B$27/'Weights &amp; Assumptions'!$B$28,"")</f>
        <v>148.836436395829</v>
      </c>
      <c r="V193" s="30" t="n">
        <f aca="false">IF(ISNUMBER(Tabelle1!E194),Tabelle1!E194*'Weights &amp; Assumptions'!$F$6+Tabelle1!F194*'Weights &amp; Assumptions'!$F$7,"")</f>
        <v>128.387673923672</v>
      </c>
      <c r="W193" s="30" t="n">
        <f aca="false">IF(ISNUMBER(Tabelle1!G194),Tabelle1!G194*'Weights &amp; Assumptions'!$F$8+Tabelle1!H194*'Weights &amp; Assumptions'!$F$9+Tabelle1!J194*'Weights &amp; Assumptions'!$F$11,"")</f>
        <v>125.580821509563</v>
      </c>
      <c r="X193" s="30" t="n">
        <f aca="false">IF(ISNUMBER(Tabelle1!I194),Tabelle1!I194*'Weights &amp; Assumptions'!$F$10+Tabelle1!K194*'Weights &amp; Assumptions'!$F$12+Tabelle1!L194*'Weights &amp; Assumptions'!$F$13+Tabelle1!M194*'Weights &amp; Assumptions'!$F$14+Tabelle1!N194*'Weights &amp; Assumptions'!$F$15+Tabelle1!O194*'Weights &amp; Assumptions'!$F$16+Tabelle1!P194*'Weights &amp; Assumptions'!$F$17+Tabelle1!Q194*'Weights &amp; Assumptions'!$F$18+Tabelle1!R194*'Weights &amp; Assumptions'!$F$19+Tabelle1!S194*'Weights &amp; Assumptions'!$F$20,"")</f>
        <v>161.752758256291</v>
      </c>
      <c r="Y193" s="23" t="n">
        <f aca="false">IFERROR(V193*'Weights &amp; Assumptions'!$B$25/'Weights &amp; Assumptions'!$B$28+W193*'Weights &amp; Assumptions'!$B$26/'Weights &amp; Assumptions'!$B$28+X193*'Weights &amp; Assumptions'!$B$27/'Weights &amp; Assumptions'!$B$28,"")</f>
        <v>149.3346500761</v>
      </c>
    </row>
    <row r="194" customFormat="false" ht="15" hidden="false" customHeight="false" outlineLevel="0" collapsed="false">
      <c r="A194" s="20" t="n">
        <v>43708</v>
      </c>
      <c r="B194" s="30" t="n">
        <f aca="false">IF(ISNUMBER(Tabelle1!D195),Tabelle1!D195,"")</f>
        <v>144.79059</v>
      </c>
      <c r="C194" s="23" t="n">
        <f aca="false">IF(ISNUMBER(Tabelle1!E195),Tabelle1!E195/'SF Workings'!F194,"")</f>
        <v>129.478489663244</v>
      </c>
      <c r="D194" s="23" t="n">
        <f aca="false">IF(ISNUMBER(Tabelle1!F195),Tabelle1!F195/'SF Workings'!J194,"")</f>
        <v>182.465177832904</v>
      </c>
      <c r="E194" s="23" t="n">
        <f aca="false">IF(ISNUMBER(Tabelle1!G195),Tabelle1!G195/'SF Workings'!N194,"")</f>
        <v>89.2913841611757</v>
      </c>
      <c r="F194" s="23" t="n">
        <f aca="false">IF(ISNUMBER(Tabelle1!H195),Tabelle1!H195/'SF Workings'!R194,"")</f>
        <v>118.59699012877</v>
      </c>
      <c r="G194" s="23" t="n">
        <f aca="false">IF(ISNUMBER(Tabelle1!I195),Tabelle1!I195/'SF Workings'!V194,"")</f>
        <v>139.161402786717</v>
      </c>
      <c r="H194" s="23" t="n">
        <f aca="false">IF(ISNUMBER(Tabelle1!J195),Tabelle1!J195/'SF Workings'!Z194,"")</f>
        <v>145.118086426527</v>
      </c>
      <c r="I194" s="23" t="n">
        <f aca="false">IF(ISNUMBER(Tabelle1!K195),Tabelle1!K195/'SF Workings'!AD194,"")</f>
        <v>138.358881162699</v>
      </c>
      <c r="J194" s="23" t="n">
        <f aca="false">IF(ISNUMBER(Tabelle1!L195),Tabelle1!L195/'SF Workings'!AH194,"")</f>
        <v>167.592842709398</v>
      </c>
      <c r="K194" s="23" t="n">
        <f aca="false">IF(ISNUMBER(Tabelle1!M195),Tabelle1!M195/'SF Workings'!AL194,"")</f>
        <v>190.607117358656</v>
      </c>
      <c r="L194" s="23" t="n">
        <f aca="false">IF(ISNUMBER(Tabelle1!N195),Tabelle1!N195/'SF Workings'!AP194,"")</f>
        <v>165.343535724948</v>
      </c>
      <c r="M194" s="23" t="n">
        <f aca="false">IF(ISNUMBER(Tabelle1!O195),Tabelle1!O195/'SF Workings'!AT194,"")</f>
        <v>140.246425562547</v>
      </c>
      <c r="N194" s="23" t="n">
        <f aca="false">IF(ISNUMBER(Tabelle1!P195),Tabelle1!P195/'SF Workings'!AX194,"")</f>
        <v>156.201136666558</v>
      </c>
      <c r="O194" s="23" t="n">
        <f aca="false">IF(ISNUMBER(Tabelle1!Q195),Tabelle1!Q195/'SF Workings'!BB194,"")</f>
        <v>162.338508341826</v>
      </c>
      <c r="P194" s="23" t="n">
        <f aca="false">IF(ISNUMBER(Tabelle1!R195),Tabelle1!R195/'SF Workings'!BF194,"")</f>
        <v>180.94504369128</v>
      </c>
      <c r="Q194" s="23" t="n">
        <f aca="false">IF(ISNUMBER(Tabelle1!S195),Tabelle1!S195/'SF Workings'!BJ194,"")</f>
        <v>150.301449945134</v>
      </c>
      <c r="R194" s="23" t="n">
        <f aca="false">IFERROR(C194*'Weights &amp; Assumptions'!$F$6+D194*'Weights &amp; Assumptions'!$F$7,"")</f>
        <v>130.127710953079</v>
      </c>
      <c r="S194" s="23" t="n">
        <f aca="false">IFERROR(E194*'Weights &amp; Assumptions'!$F$8+F194*'Weights &amp; Assumptions'!$F$9+H194*'Weights &amp; Assumptions'!$F$11,"")</f>
        <v>120.622938662287</v>
      </c>
      <c r="T194" s="23" t="n">
        <f aca="false">IFERROR(G194*'Weights &amp; Assumptions'!$F$10+I194*'Weights &amp; Assumptions'!$F$12+J194*'Weights &amp; Assumptions'!$F$13+K194*'Weights &amp; Assumptions'!$F$14+L194*'Weights &amp; Assumptions'!$F$15+M194*'Weights &amp; Assumptions'!$F$16+N194*'Weights &amp; Assumptions'!$F$17+O194*'Weights &amp; Assumptions'!$F$18+P194*'Weights &amp; Assumptions'!$F$19+Q194*'Weights &amp; Assumptions'!$F$20,"")</f>
        <v>157.004533700609</v>
      </c>
      <c r="U194" s="23" t="n">
        <f aca="false">IFERROR(R194*'Weights &amp; Assumptions'!$B$25/'Weights &amp; Assumptions'!$B$28+S194*'Weights &amp; Assumptions'!$B$26/'Weights &amp; Assumptions'!$B$28+T194*'Weights &amp; Assumptions'!$B$27/'Weights &amp; Assumptions'!$B$28,"")</f>
        <v>145.075044264847</v>
      </c>
      <c r="V194" s="30" t="n">
        <f aca="false">IF(ISNUMBER(Tabelle1!E195),Tabelle1!E195*'Weights &amp; Assumptions'!$F$6+Tabelle1!F195*'Weights &amp; Assumptions'!$F$7,"")</f>
        <v>80.6227483167066</v>
      </c>
      <c r="W194" s="30" t="n">
        <f aca="false">IF(ISNUMBER(Tabelle1!G195),Tabelle1!G195*'Weights &amp; Assumptions'!$F$8+Tabelle1!H195*'Weights &amp; Assumptions'!$F$9+Tabelle1!J195*'Weights &amp; Assumptions'!$F$11,"")</f>
        <v>127.842824381275</v>
      </c>
      <c r="X194" s="30" t="n">
        <f aca="false">IF(ISNUMBER(Tabelle1!I195),Tabelle1!I195*'Weights &amp; Assumptions'!$F$10+Tabelle1!K195*'Weights &amp; Assumptions'!$F$12+Tabelle1!L195*'Weights &amp; Assumptions'!$F$13+Tabelle1!M195*'Weights &amp; Assumptions'!$F$14+Tabelle1!N195*'Weights &amp; Assumptions'!$F$15+Tabelle1!O195*'Weights &amp; Assumptions'!$F$16+Tabelle1!P195*'Weights &amp; Assumptions'!$F$17+Tabelle1!Q195*'Weights &amp; Assumptions'!$F$18+Tabelle1!R195*'Weights &amp; Assumptions'!$F$19+Tabelle1!S195*'Weights &amp; Assumptions'!$F$20,"")</f>
        <v>158.266543571395</v>
      </c>
      <c r="Y194" s="23" t="n">
        <f aca="false">IFERROR(V194*'Weights &amp; Assumptions'!$B$25/'Weights &amp; Assumptions'!$B$28+W194*'Weights &amp; Assumptions'!$B$26/'Weights &amp; Assumptions'!$B$28+X194*'Weights &amp; Assumptions'!$B$27/'Weights &amp; Assumptions'!$B$28,"")</f>
        <v>143.661966155288</v>
      </c>
    </row>
    <row r="195" customFormat="false" ht="15" hidden="false" customHeight="false" outlineLevel="0" collapsed="false">
      <c r="A195" s="20" t="n">
        <v>43738</v>
      </c>
      <c r="B195" s="30" t="n">
        <f aca="false">IF(ISNUMBER(Tabelle1!D196),Tabelle1!D196,"")</f>
        <v>140.55731</v>
      </c>
      <c r="C195" s="23" t="n">
        <f aca="false">IF(ISNUMBER(Tabelle1!E196),Tabelle1!E196/'SF Workings'!F195,"")</f>
        <v>127.160101504561</v>
      </c>
      <c r="D195" s="23" t="n">
        <f aca="false">IF(ISNUMBER(Tabelle1!F196),Tabelle1!F196/'SF Workings'!J195,"")</f>
        <v>119.884549595306</v>
      </c>
      <c r="E195" s="23" t="n">
        <f aca="false">IF(ISNUMBER(Tabelle1!G196),Tabelle1!G196/'SF Workings'!N195,"")</f>
        <v>88.4806884474934</v>
      </c>
      <c r="F195" s="23" t="n">
        <f aca="false">IF(ISNUMBER(Tabelle1!H196),Tabelle1!H196/'SF Workings'!R195,"")</f>
        <v>112.007831185231</v>
      </c>
      <c r="G195" s="23" t="n">
        <f aca="false">IF(ISNUMBER(Tabelle1!I196),Tabelle1!I196/'SF Workings'!V195,"")</f>
        <v>139.514428224934</v>
      </c>
      <c r="H195" s="23" t="n">
        <f aca="false">IF(ISNUMBER(Tabelle1!J196),Tabelle1!J196/'SF Workings'!Z195,"")</f>
        <v>137.47991638286</v>
      </c>
      <c r="I195" s="23" t="n">
        <f aca="false">IF(ISNUMBER(Tabelle1!K196),Tabelle1!K196/'SF Workings'!AD195,"")</f>
        <v>131.147264029008</v>
      </c>
      <c r="J195" s="23" t="n">
        <f aca="false">IF(ISNUMBER(Tabelle1!L196),Tabelle1!L196/'SF Workings'!AH195,"")</f>
        <v>167.679942736501</v>
      </c>
      <c r="K195" s="23" t="n">
        <f aca="false">IF(ISNUMBER(Tabelle1!M196),Tabelle1!M196/'SF Workings'!AL195,"")</f>
        <v>189.229363356188</v>
      </c>
      <c r="L195" s="23" t="n">
        <f aca="false">IF(ISNUMBER(Tabelle1!N196),Tabelle1!N196/'SF Workings'!AP195,"")</f>
        <v>160.97034687722</v>
      </c>
      <c r="M195" s="23" t="n">
        <f aca="false">IF(ISNUMBER(Tabelle1!O196),Tabelle1!O196/'SF Workings'!AT195,"")</f>
        <v>139.695627250115</v>
      </c>
      <c r="N195" s="23" t="n">
        <f aca="false">IF(ISNUMBER(Tabelle1!P196),Tabelle1!P196/'SF Workings'!AX195,"")</f>
        <v>156.395995061558</v>
      </c>
      <c r="O195" s="23" t="n">
        <f aca="false">IF(ISNUMBER(Tabelle1!Q196),Tabelle1!Q196/'SF Workings'!BB195,"")</f>
        <v>162.450901998885</v>
      </c>
      <c r="P195" s="23" t="n">
        <f aca="false">IF(ISNUMBER(Tabelle1!R196),Tabelle1!R196/'SF Workings'!BF195,"")</f>
        <v>180.270507801326</v>
      </c>
      <c r="Q195" s="23" t="n">
        <f aca="false">IF(ISNUMBER(Tabelle1!S196),Tabelle1!S196/'SF Workings'!BJ195,"")</f>
        <v>148.967640124814</v>
      </c>
      <c r="R195" s="23" t="n">
        <f aca="false">IFERROR(C195*'Weights &amp; Assumptions'!$F$6+D195*'Weights &amp; Assumptions'!$F$7,"")</f>
        <v>127.070957544861</v>
      </c>
      <c r="S195" s="23" t="n">
        <f aca="false">IFERROR(E195*'Weights &amp; Assumptions'!$F$8+F195*'Weights &amp; Assumptions'!$F$9+H195*'Weights &amp; Assumptions'!$F$11,"")</f>
        <v>114.50518120204</v>
      </c>
      <c r="T195" s="23" t="n">
        <f aca="false">IFERROR(G195*'Weights &amp; Assumptions'!$F$10+I195*'Weights &amp; Assumptions'!$F$12+J195*'Weights &amp; Assumptions'!$F$13+K195*'Weights &amp; Assumptions'!$F$14+L195*'Weights &amp; Assumptions'!$F$15+M195*'Weights &amp; Assumptions'!$F$16+N195*'Weights &amp; Assumptions'!$F$17+O195*'Weights &amp; Assumptions'!$F$18+P195*'Weights &amp; Assumptions'!$F$19+Q195*'Weights &amp; Assumptions'!$F$20,"")</f>
        <v>154.809613582098</v>
      </c>
      <c r="U195" s="23" t="n">
        <f aca="false">IFERROR(R195*'Weights &amp; Assumptions'!$B$25/'Weights &amp; Assumptions'!$B$28+S195*'Weights &amp; Assumptions'!$B$26/'Weights &amp; Assumptions'!$B$28+T195*'Weights &amp; Assumptions'!$B$27/'Weights &amp; Assumptions'!$B$28,"")</f>
        <v>141.764664642176</v>
      </c>
      <c r="V195" s="30" t="n">
        <f aca="false">IF(ISNUMBER(Tabelle1!E196),Tabelle1!E196*'Weights &amp; Assumptions'!$F$6+Tabelle1!F196*'Weights &amp; Assumptions'!$F$7,"")</f>
        <v>71.9353723668371</v>
      </c>
      <c r="W195" s="30" t="n">
        <f aca="false">IF(ISNUMBER(Tabelle1!G196),Tabelle1!G196*'Weights &amp; Assumptions'!$F$8+Tabelle1!H196*'Weights &amp; Assumptions'!$F$9+Tabelle1!J196*'Weights &amp; Assumptions'!$F$11,"")</f>
        <v>118.227023398378</v>
      </c>
      <c r="X195" s="30" t="n">
        <f aca="false">IF(ISNUMBER(Tabelle1!I196),Tabelle1!I196*'Weights &amp; Assumptions'!$F$10+Tabelle1!K196*'Weights &amp; Assumptions'!$F$12+Tabelle1!L196*'Weights &amp; Assumptions'!$F$13+Tabelle1!M196*'Weights &amp; Assumptions'!$F$14+Tabelle1!N196*'Weights &amp; Assumptions'!$F$15+Tabelle1!O196*'Weights &amp; Assumptions'!$F$16+Tabelle1!P196*'Weights &amp; Assumptions'!$F$17+Tabelle1!Q196*'Weights &amp; Assumptions'!$F$18+Tabelle1!R196*'Weights &amp; Assumptions'!$F$19+Tabelle1!S196*'Weights &amp; Assumptions'!$F$20,"")</f>
        <v>153.769682166467</v>
      </c>
      <c r="Y195" s="23" t="n">
        <f aca="false">IFERROR(V195*'Weights &amp; Assumptions'!$B$25/'Weights &amp; Assumptions'!$B$28+W195*'Weights &amp; Assumptions'!$B$26/'Weights &amp; Assumptions'!$B$28+X195*'Weights &amp; Assumptions'!$B$27/'Weights &amp; Assumptions'!$B$28,"")</f>
        <v>137.452301640437</v>
      </c>
    </row>
    <row r="196" customFormat="false" ht="15" hidden="false" customHeight="false" outlineLevel="0" collapsed="false">
      <c r="A196" s="20" t="n">
        <v>43769</v>
      </c>
      <c r="B196" s="30" t="n">
        <f aca="false">IF(ISNUMBER(Tabelle1!D197),Tabelle1!D197,"")</f>
        <v>143.79727</v>
      </c>
      <c r="C196" s="23" t="n">
        <f aca="false">IF(ISNUMBER(Tabelle1!E197),Tabelle1!E197/'SF Workings'!F196,"")</f>
        <v>137.220566534192</v>
      </c>
      <c r="D196" s="23" t="n">
        <f aca="false">IF(ISNUMBER(Tabelle1!F197),Tabelle1!F197/'SF Workings'!J196,"")</f>
        <v>199.477795396209</v>
      </c>
      <c r="E196" s="23" t="n">
        <f aca="false">IF(ISNUMBER(Tabelle1!G197),Tabelle1!G197/'SF Workings'!N196,"")</f>
        <v>88.8889835131102</v>
      </c>
      <c r="F196" s="23" t="n">
        <f aca="false">IF(ISNUMBER(Tabelle1!H197),Tabelle1!H197/'SF Workings'!R196,"")</f>
        <v>119.940200400822</v>
      </c>
      <c r="G196" s="23" t="n">
        <f aca="false">IF(ISNUMBER(Tabelle1!I197),Tabelle1!I197/'SF Workings'!V196,"")</f>
        <v>146.152065232502</v>
      </c>
      <c r="H196" s="23" t="n">
        <f aca="false">IF(ISNUMBER(Tabelle1!J197),Tabelle1!J197/'SF Workings'!Z196,"")</f>
        <v>134.733953708481</v>
      </c>
      <c r="I196" s="23" t="n">
        <f aca="false">IF(ISNUMBER(Tabelle1!K197),Tabelle1!K197/'SF Workings'!AD196,"")</f>
        <v>142.744081800658</v>
      </c>
      <c r="J196" s="23" t="n">
        <f aca="false">IF(ISNUMBER(Tabelle1!L197),Tabelle1!L197/'SF Workings'!AH196,"")</f>
        <v>166.315723798872</v>
      </c>
      <c r="K196" s="23" t="n">
        <f aca="false">IF(ISNUMBER(Tabelle1!M197),Tabelle1!M197/'SF Workings'!AL196,"")</f>
        <v>190.317017939753</v>
      </c>
      <c r="L196" s="23" t="n">
        <f aca="false">IF(ISNUMBER(Tabelle1!N197),Tabelle1!N197/'SF Workings'!AP196,"")</f>
        <v>165.13291670148</v>
      </c>
      <c r="M196" s="23" t="n">
        <f aca="false">IF(ISNUMBER(Tabelle1!O197),Tabelle1!O197/'SF Workings'!AT196,"")</f>
        <v>140.465844766838</v>
      </c>
      <c r="N196" s="23" t="n">
        <f aca="false">IF(ISNUMBER(Tabelle1!P197),Tabelle1!P197/'SF Workings'!AX196,"")</f>
        <v>156.140010490028</v>
      </c>
      <c r="O196" s="23" t="n">
        <f aca="false">IF(ISNUMBER(Tabelle1!Q197),Tabelle1!Q197/'SF Workings'!BB196,"")</f>
        <v>161.9553410651</v>
      </c>
      <c r="P196" s="23" t="n">
        <f aca="false">IF(ISNUMBER(Tabelle1!R197),Tabelle1!R197/'SF Workings'!BF196,"")</f>
        <v>179.168659941936</v>
      </c>
      <c r="Q196" s="23" t="n">
        <f aca="false">IF(ISNUMBER(Tabelle1!S197),Tabelle1!S197/'SF Workings'!BJ196,"")</f>
        <v>135.242495538912</v>
      </c>
      <c r="R196" s="23" t="n">
        <f aca="false">IFERROR(C196*'Weights &amp; Assumptions'!$F$6+D196*'Weights &amp; Assumptions'!$F$7,"")</f>
        <v>137.983375455065</v>
      </c>
      <c r="S196" s="23" t="n">
        <f aca="false">IFERROR(E196*'Weights &amp; Assumptions'!$F$8+F196*'Weights &amp; Assumptions'!$F$9+H196*'Weights &amp; Assumptions'!$F$11,"")</f>
        <v>119.314644461771</v>
      </c>
      <c r="T196" s="23" t="n">
        <f aca="false">IFERROR(G196*'Weights &amp; Assumptions'!$F$10+I196*'Weights &amp; Assumptions'!$F$12+J196*'Weights &amp; Assumptions'!$F$13+K196*'Weights &amp; Assumptions'!$F$14+L196*'Weights &amp; Assumptions'!$F$15+M196*'Weights &amp; Assumptions'!$F$16+N196*'Weights &amp; Assumptions'!$F$17+O196*'Weights &amp; Assumptions'!$F$18+P196*'Weights &amp; Assumptions'!$F$19+Q196*'Weights &amp; Assumptions'!$F$20,"")</f>
        <v>157.033423926745</v>
      </c>
      <c r="U196" s="23" t="n">
        <f aca="false">IFERROR(R196*'Weights &amp; Assumptions'!$B$25/'Weights &amp; Assumptions'!$B$28+S196*'Weights &amp; Assumptions'!$B$26/'Weights &amp; Assumptions'!$B$28+T196*'Weights &amp; Assumptions'!$B$27/'Weights &amp; Assumptions'!$B$28,"")</f>
        <v>145.40502666895</v>
      </c>
      <c r="V196" s="30" t="n">
        <f aca="false">IF(ISNUMBER(Tabelle1!E197),Tabelle1!E197*'Weights &amp; Assumptions'!$F$6+Tabelle1!F197*'Weights &amp; Assumptions'!$F$7,"")</f>
        <v>82.3544361516549</v>
      </c>
      <c r="W196" s="30" t="n">
        <f aca="false">IF(ISNUMBER(Tabelle1!G197),Tabelle1!G197*'Weights &amp; Assumptions'!$F$8+Tabelle1!H197*'Weights &amp; Assumptions'!$F$9+Tabelle1!J197*'Weights &amp; Assumptions'!$F$11,"")</f>
        <v>126.339212380997</v>
      </c>
      <c r="X196" s="30" t="n">
        <f aca="false">IF(ISNUMBER(Tabelle1!I197),Tabelle1!I197*'Weights &amp; Assumptions'!$F$10+Tabelle1!K197*'Weights &amp; Assumptions'!$F$12+Tabelle1!L197*'Weights &amp; Assumptions'!$F$13+Tabelle1!M197*'Weights &amp; Assumptions'!$F$14+Tabelle1!N197*'Weights &amp; Assumptions'!$F$15+Tabelle1!O197*'Weights &amp; Assumptions'!$F$16+Tabelle1!P197*'Weights &amp; Assumptions'!$F$17+Tabelle1!Q197*'Weights &amp; Assumptions'!$F$18+Tabelle1!R197*'Weights &amp; Assumptions'!$F$19+Tabelle1!S197*'Weights &amp; Assumptions'!$F$20,"")</f>
        <v>158.063063312406</v>
      </c>
      <c r="Y196" s="23" t="n">
        <f aca="false">IFERROR(V196*'Weights &amp; Assumptions'!$B$25/'Weights &amp; Assumptions'!$B$28+W196*'Weights &amp; Assumptions'!$B$26/'Weights &amp; Assumptions'!$B$28+X196*'Weights &amp; Assumptions'!$B$27/'Weights &amp; Assumptions'!$B$28,"")</f>
        <v>143.275120368899</v>
      </c>
    </row>
    <row r="197" customFormat="false" ht="15" hidden="false" customHeight="false" outlineLevel="0" collapsed="false">
      <c r="A197" s="20" t="n">
        <v>43799</v>
      </c>
      <c r="B197" s="30" t="n">
        <f aca="false">IF(ISNUMBER(Tabelle1!D198),Tabelle1!D198,"")</f>
        <v>140.88369</v>
      </c>
      <c r="C197" s="23" t="n">
        <f aca="false">IF(ISNUMBER(Tabelle1!E198),Tabelle1!E198/'SF Workings'!F197,"")</f>
        <v>130.061653730133</v>
      </c>
      <c r="D197" s="23" t="n">
        <f aca="false">IF(ISNUMBER(Tabelle1!F198),Tabelle1!F198/'SF Workings'!J197,"")</f>
        <v>147.651355382019</v>
      </c>
      <c r="E197" s="23" t="n">
        <f aca="false">IF(ISNUMBER(Tabelle1!G198),Tabelle1!G198/'SF Workings'!N197,"")</f>
        <v>88.4130231356761</v>
      </c>
      <c r="F197" s="23" t="n">
        <f aca="false">IF(ISNUMBER(Tabelle1!H198),Tabelle1!H198/'SF Workings'!R197,"")</f>
        <v>112.048325749765</v>
      </c>
      <c r="G197" s="23" t="n">
        <f aca="false">IF(ISNUMBER(Tabelle1!I198),Tabelle1!I198/'SF Workings'!V197,"")</f>
        <v>144.533195592061</v>
      </c>
      <c r="H197" s="23" t="n">
        <f aca="false">IF(ISNUMBER(Tabelle1!J198),Tabelle1!J198/'SF Workings'!Z197,"")</f>
        <v>130.992125703112</v>
      </c>
      <c r="I197" s="23" t="n">
        <f aca="false">IF(ISNUMBER(Tabelle1!K198),Tabelle1!K198/'SF Workings'!AD197,"")</f>
        <v>136.001301153128</v>
      </c>
      <c r="J197" s="23" t="n">
        <f aca="false">IF(ISNUMBER(Tabelle1!L198),Tabelle1!L198/'SF Workings'!AH197,"")</f>
        <v>165.036750527683</v>
      </c>
      <c r="K197" s="23" t="n">
        <f aca="false">IF(ISNUMBER(Tabelle1!M198),Tabelle1!M198/'SF Workings'!AL197,"")</f>
        <v>187.617805488696</v>
      </c>
      <c r="L197" s="23" t="n">
        <f aca="false">IF(ISNUMBER(Tabelle1!N198),Tabelle1!N198/'SF Workings'!AP197,"")</f>
        <v>161.226451085207</v>
      </c>
      <c r="M197" s="23" t="n">
        <f aca="false">IF(ISNUMBER(Tabelle1!O198),Tabelle1!O198/'SF Workings'!AT197,"")</f>
        <v>138.26760362895</v>
      </c>
      <c r="N197" s="23" t="n">
        <f aca="false">IF(ISNUMBER(Tabelle1!P198),Tabelle1!P198/'SF Workings'!AX197,"")</f>
        <v>155.855800575755</v>
      </c>
      <c r="O197" s="23" t="n">
        <f aca="false">IF(ISNUMBER(Tabelle1!Q198),Tabelle1!Q198/'SF Workings'!BB197,"")</f>
        <v>161.924022686107</v>
      </c>
      <c r="P197" s="23" t="n">
        <f aca="false">IF(ISNUMBER(Tabelle1!R198),Tabelle1!R198/'SF Workings'!BF197,"")</f>
        <v>179.359056020069</v>
      </c>
      <c r="Q197" s="23" t="n">
        <f aca="false">IF(ISNUMBER(Tabelle1!S198),Tabelle1!S198/'SF Workings'!BJ197,"")</f>
        <v>136.096635505438</v>
      </c>
      <c r="R197" s="23" t="n">
        <f aca="false">IFERROR(C197*'Weights &amp; Assumptions'!$F$6+D197*'Weights &amp; Assumptions'!$F$7,"")</f>
        <v>130.277172178044</v>
      </c>
      <c r="S197" s="23" t="n">
        <f aca="false">IFERROR(E197*'Weights &amp; Assumptions'!$F$8+F197*'Weights &amp; Assumptions'!$F$9+H197*'Weights &amp; Assumptions'!$F$11,"")</f>
        <v>113.17276572005</v>
      </c>
      <c r="T197" s="23" t="n">
        <f aca="false">IFERROR(G197*'Weights &amp; Assumptions'!$F$10+I197*'Weights &amp; Assumptions'!$F$12+J197*'Weights &amp; Assumptions'!$F$13+K197*'Weights &amp; Assumptions'!$F$14+L197*'Weights &amp; Assumptions'!$F$15+M197*'Weights &amp; Assumptions'!$F$16+N197*'Weights &amp; Assumptions'!$F$17+O197*'Weights &amp; Assumptions'!$F$18+P197*'Weights &amp; Assumptions'!$F$19+Q197*'Weights &amp; Assumptions'!$F$20,"")</f>
        <v>154.448103245389</v>
      </c>
      <c r="U197" s="23" t="n">
        <f aca="false">IFERROR(R197*'Weights &amp; Assumptions'!$B$25/'Weights &amp; Assumptions'!$B$28+S197*'Weights &amp; Assumptions'!$B$26/'Weights &amp; Assumptions'!$B$28+T197*'Weights &amp; Assumptions'!$B$27/'Weights &amp; Assumptions'!$B$28,"")</f>
        <v>141.444308761434</v>
      </c>
      <c r="V197" s="30" t="n">
        <f aca="false">IF(ISNUMBER(Tabelle1!E198),Tabelle1!E198*'Weights &amp; Assumptions'!$F$6+Tabelle1!F198*'Weights &amp; Assumptions'!$F$7,"")</f>
        <v>91.044495050357</v>
      </c>
      <c r="W197" s="30" t="n">
        <f aca="false">IF(ISNUMBER(Tabelle1!G198),Tabelle1!G198*'Weights &amp; Assumptions'!$F$8+Tabelle1!H198*'Weights &amp; Assumptions'!$F$9+Tabelle1!J198*'Weights &amp; Assumptions'!$F$11,"")</f>
        <v>118.709695863048</v>
      </c>
      <c r="X197" s="30" t="n">
        <f aca="false">IF(ISNUMBER(Tabelle1!I198),Tabelle1!I198*'Weights &amp; Assumptions'!$F$10+Tabelle1!K198*'Weights &amp; Assumptions'!$F$12+Tabelle1!L198*'Weights &amp; Assumptions'!$F$13+Tabelle1!M198*'Weights &amp; Assumptions'!$F$14+Tabelle1!N198*'Weights &amp; Assumptions'!$F$15+Tabelle1!O198*'Weights &amp; Assumptions'!$F$16+Tabelle1!P198*'Weights &amp; Assumptions'!$F$17+Tabelle1!Q198*'Weights &amp; Assumptions'!$F$18+Tabelle1!R198*'Weights &amp; Assumptions'!$F$19+Tabelle1!S198*'Weights &amp; Assumptions'!$F$20,"")</f>
        <v>155.873145617234</v>
      </c>
      <c r="Y197" s="23" t="n">
        <f aca="false">IFERROR(V197*'Weights &amp; Assumptions'!$B$25/'Weights &amp; Assumptions'!$B$28+W197*'Weights &amp; Assumptions'!$B$26/'Weights &amp; Assumptions'!$B$28+X197*'Weights &amp; Assumptions'!$B$27/'Weights &amp; Assumptions'!$B$28,"")</f>
        <v>140.551557417465</v>
      </c>
    </row>
    <row r="198" customFormat="false" ht="15" hidden="false" customHeight="false" outlineLevel="0" collapsed="false">
      <c r="A198" s="20" t="n">
        <v>43830</v>
      </c>
      <c r="B198" s="30" t="n">
        <f aca="false">IF(ISNUMBER(Tabelle1!D199),Tabelle1!D199,"")</f>
        <v>140.12669</v>
      </c>
      <c r="C198" s="23" t="n">
        <f aca="false">IF(ISNUMBER(Tabelle1!E199),Tabelle1!E199/'SF Workings'!F198,"")</f>
        <v>120.533028564105</v>
      </c>
      <c r="D198" s="23" t="n">
        <f aca="false">IF(ISNUMBER(Tabelle1!F199),Tabelle1!F199/'SF Workings'!J198,"")</f>
        <v>155.295344148996</v>
      </c>
      <c r="E198" s="23" t="n">
        <f aca="false">IF(ISNUMBER(Tabelle1!G199),Tabelle1!G199/'SF Workings'!N198,"")</f>
        <v>88.2194341098066</v>
      </c>
      <c r="F198" s="23" t="n">
        <f aca="false">IF(ISNUMBER(Tabelle1!H199),Tabelle1!H199/'SF Workings'!R198,"")</f>
        <v>115.000659485507</v>
      </c>
      <c r="G198" s="23" t="n">
        <f aca="false">IF(ISNUMBER(Tabelle1!I199),Tabelle1!I199/'SF Workings'!V198,"")</f>
        <v>140.994767267174</v>
      </c>
      <c r="H198" s="23" t="n">
        <f aca="false">IF(ISNUMBER(Tabelle1!J199),Tabelle1!J199/'SF Workings'!Z198,"")</f>
        <v>126.715646004472</v>
      </c>
      <c r="I198" s="23" t="n">
        <f aca="false">IF(ISNUMBER(Tabelle1!K199),Tabelle1!K199/'SF Workings'!AD198,"")</f>
        <v>137.226742289679</v>
      </c>
      <c r="J198" s="23" t="n">
        <f aca="false">IF(ISNUMBER(Tabelle1!L199),Tabelle1!L199/'SF Workings'!AH198,"")</f>
        <v>162.533332249338</v>
      </c>
      <c r="K198" s="23" t="n">
        <f aca="false">IF(ISNUMBER(Tabelle1!M199),Tabelle1!M199/'SF Workings'!AL198,"")</f>
        <v>188.133704474308</v>
      </c>
      <c r="L198" s="23" t="n">
        <f aca="false">IF(ISNUMBER(Tabelle1!N199),Tabelle1!N199/'SF Workings'!AP198,"")</f>
        <v>163.388330812377</v>
      </c>
      <c r="M198" s="23" t="n">
        <f aca="false">IF(ISNUMBER(Tabelle1!O199),Tabelle1!O199/'SF Workings'!AT198,"")</f>
        <v>139.978900203968</v>
      </c>
      <c r="N198" s="23" t="n">
        <f aca="false">IF(ISNUMBER(Tabelle1!P199),Tabelle1!P199/'SF Workings'!AX198,"")</f>
        <v>156.049887231511</v>
      </c>
      <c r="O198" s="23" t="n">
        <f aca="false">IF(ISNUMBER(Tabelle1!Q199),Tabelle1!Q199/'SF Workings'!BB198,"")</f>
        <v>161.349805230805</v>
      </c>
      <c r="P198" s="23" t="n">
        <f aca="false">IF(ISNUMBER(Tabelle1!R199),Tabelle1!R199/'SF Workings'!BF198,"")</f>
        <v>179.830688244802</v>
      </c>
      <c r="Q198" s="23" t="n">
        <f aca="false">IF(ISNUMBER(Tabelle1!S199),Tabelle1!S199/'SF Workings'!BJ198,"")</f>
        <v>131.785101690928</v>
      </c>
      <c r="R198" s="23" t="n">
        <f aca="false">IFERROR(C198*'Weights &amp; Assumptions'!$F$6+D198*'Weights &amp; Assumptions'!$F$7,"")</f>
        <v>120.95895507775</v>
      </c>
      <c r="S198" s="23" t="n">
        <f aca="false">IFERROR(E198*'Weights &amp; Assumptions'!$F$8+F198*'Weights &amp; Assumptions'!$F$9+H198*'Weights &amp; Assumptions'!$F$11,"")</f>
        <v>114.243550912611</v>
      </c>
      <c r="T198" s="23" t="n">
        <f aca="false">IFERROR(G198*'Weights &amp; Assumptions'!$F$10+I198*'Weights &amp; Assumptions'!$F$12+J198*'Weights &amp; Assumptions'!$F$13+K198*'Weights &amp; Assumptions'!$F$14+L198*'Weights &amp; Assumptions'!$F$15+M198*'Weights &amp; Assumptions'!$F$16+N198*'Weights &amp; Assumptions'!$F$17+O198*'Weights &amp; Assumptions'!$F$18+P198*'Weights &amp; Assumptions'!$F$19+Q198*'Weights &amp; Assumptions'!$F$20,"")</f>
        <v>154.843145481926</v>
      </c>
      <c r="U198" s="23" t="n">
        <f aca="false">IFERROR(R198*'Weights &amp; Assumptions'!$B$25/'Weights &amp; Assumptions'!$B$28+S198*'Weights &amp; Assumptions'!$B$26/'Weights &amp; Assumptions'!$B$28+T198*'Weights &amp; Assumptions'!$B$27/'Weights &amp; Assumptions'!$B$28,"")</f>
        <v>141.204092312249</v>
      </c>
      <c r="V198" s="30" t="n">
        <f aca="false">IF(ISNUMBER(Tabelle1!E199),Tabelle1!E199*'Weights &amp; Assumptions'!$F$6+Tabelle1!F199*'Weights &amp; Assumptions'!$F$7,"")</f>
        <v>100.652794982539</v>
      </c>
      <c r="W198" s="30" t="n">
        <f aca="false">IF(ISNUMBER(Tabelle1!G199),Tabelle1!G199*'Weights &amp; Assumptions'!$F$8+Tabelle1!H199*'Weights &amp; Assumptions'!$F$9+Tabelle1!J199*'Weights &amp; Assumptions'!$F$11,"")</f>
        <v>112.78321505449</v>
      </c>
      <c r="X198" s="30" t="n">
        <f aca="false">IF(ISNUMBER(Tabelle1!I199),Tabelle1!I199*'Weights &amp; Assumptions'!$F$10+Tabelle1!K199*'Weights &amp; Assumptions'!$F$12+Tabelle1!L199*'Weights &amp; Assumptions'!$F$13+Tabelle1!M199*'Weights &amp; Assumptions'!$F$14+Tabelle1!N199*'Weights &amp; Assumptions'!$F$15+Tabelle1!O199*'Weights &amp; Assumptions'!$F$16+Tabelle1!P199*'Weights &amp; Assumptions'!$F$17+Tabelle1!Q199*'Weights &amp; Assumptions'!$F$18+Tabelle1!R199*'Weights &amp; Assumptions'!$F$19+Tabelle1!S199*'Weights &amp; Assumptions'!$F$20,"")</f>
        <v>154.319789442603</v>
      </c>
      <c r="Y198" s="23" t="n">
        <f aca="false">IFERROR(V198*'Weights &amp; Assumptions'!$B$25/'Weights &amp; Assumptions'!$B$28+W198*'Weights &amp; Assumptions'!$B$26/'Weights &amp; Assumptions'!$B$28+X198*'Weights &amp; Assumptions'!$B$27/'Weights &amp; Assumptions'!$B$28,"")</f>
        <v>138.771783248284</v>
      </c>
    </row>
    <row r="199" customFormat="false" ht="15" hidden="false" customHeight="false" outlineLevel="0" collapsed="false">
      <c r="A199" s="20" t="n">
        <v>43861</v>
      </c>
      <c r="B199" s="30" t="n">
        <f aca="false">IF(ISNUMBER(Tabelle1!D200),Tabelle1!D200,"")</f>
        <v>140.93018</v>
      </c>
      <c r="C199" s="23" t="n">
        <f aca="false">IF(ISNUMBER(Tabelle1!E200),Tabelle1!E200/'SF Workings'!F199,"")</f>
        <v>128.525873793118</v>
      </c>
      <c r="D199" s="23" t="n">
        <f aca="false">IF(ISNUMBER(Tabelle1!F200),Tabelle1!F200/'SF Workings'!J199,"")</f>
        <v>141.837015821605</v>
      </c>
      <c r="E199" s="23" t="n">
        <f aca="false">IF(ISNUMBER(Tabelle1!G200),Tabelle1!G200/'SF Workings'!N199,"")</f>
        <v>87.3933919825359</v>
      </c>
      <c r="F199" s="23" t="n">
        <f aca="false">IF(ISNUMBER(Tabelle1!H200),Tabelle1!H200/'SF Workings'!R199,"")</f>
        <v>116.78457160275</v>
      </c>
      <c r="G199" s="23" t="n">
        <f aca="false">IF(ISNUMBER(Tabelle1!I200),Tabelle1!I200/'SF Workings'!V199,"")</f>
        <v>141.674133314924</v>
      </c>
      <c r="H199" s="23" t="n">
        <f aca="false">IF(ISNUMBER(Tabelle1!J200),Tabelle1!J200/'SF Workings'!Z199,"")</f>
        <v>126.33151423905</v>
      </c>
      <c r="I199" s="23" t="n">
        <f aca="false">IF(ISNUMBER(Tabelle1!K200),Tabelle1!K200/'SF Workings'!AD199,"")</f>
        <v>143.702328956368</v>
      </c>
      <c r="J199" s="23" t="n">
        <f aca="false">IF(ISNUMBER(Tabelle1!L200),Tabelle1!L200/'SF Workings'!AH199,"")</f>
        <v>150.014756860408</v>
      </c>
      <c r="K199" s="23" t="n">
        <f aca="false">IF(ISNUMBER(Tabelle1!M200),Tabelle1!M200/'SF Workings'!AL199,"")</f>
        <v>184.468581178845</v>
      </c>
      <c r="L199" s="23" t="n">
        <f aca="false">IF(ISNUMBER(Tabelle1!N200),Tabelle1!N200/'SF Workings'!AP199,"")</f>
        <v>160.607088390177</v>
      </c>
      <c r="M199" s="23" t="n">
        <f aca="false">IF(ISNUMBER(Tabelle1!O200),Tabelle1!O200/'SF Workings'!AT199,"")</f>
        <v>140.563860987223</v>
      </c>
      <c r="N199" s="23" t="n">
        <f aca="false">IF(ISNUMBER(Tabelle1!P200),Tabelle1!P200/'SF Workings'!AX199,"")</f>
        <v>154.642127541823</v>
      </c>
      <c r="O199" s="23" t="n">
        <f aca="false">IF(ISNUMBER(Tabelle1!Q200),Tabelle1!Q200/'SF Workings'!BB199,"")</f>
        <v>161.273230141612</v>
      </c>
      <c r="P199" s="23" t="n">
        <f aca="false">IF(ISNUMBER(Tabelle1!R200),Tabelle1!R200/'SF Workings'!BF199,"")</f>
        <v>179.135891174545</v>
      </c>
      <c r="Q199" s="23" t="n">
        <f aca="false">IF(ISNUMBER(Tabelle1!S200),Tabelle1!S200/'SF Workings'!BJ199,"")</f>
        <v>138.586583313955</v>
      </c>
      <c r="R199" s="23" t="n">
        <f aca="false">IFERROR(C199*'Weights &amp; Assumptions'!$F$6+D199*'Weights &amp; Assumptions'!$F$7,"")</f>
        <v>128.688969036384</v>
      </c>
      <c r="S199" s="23" t="n">
        <f aca="false">IFERROR(E199*'Weights &amp; Assumptions'!$F$8+F199*'Weights &amp; Assumptions'!$F$9+H199*'Weights &amp; Assumptions'!$F$11,"")</f>
        <v>115.264185725455</v>
      </c>
      <c r="T199" s="23" t="n">
        <f aca="false">IFERROR(G199*'Weights &amp; Assumptions'!$F$10+I199*'Weights &amp; Assumptions'!$F$12+J199*'Weights &amp; Assumptions'!$F$13+K199*'Weights &amp; Assumptions'!$F$14+L199*'Weights &amp; Assumptions'!$F$15+M199*'Weights &amp; Assumptions'!$F$16+N199*'Weights &amp; Assumptions'!$F$17+O199*'Weights &amp; Assumptions'!$F$18+P199*'Weights &amp; Assumptions'!$F$19+Q199*'Weights &amp; Assumptions'!$F$20,"")</f>
        <v>155.152316668802</v>
      </c>
      <c r="U199" s="23" t="n">
        <f aca="false">IFERROR(R199*'Weights &amp; Assumptions'!$B$25/'Weights &amp; Assumptions'!$B$28+S199*'Weights &amp; Assumptions'!$B$26/'Weights &amp; Assumptions'!$B$28+T199*'Weights &amp; Assumptions'!$B$27/'Weights &amp; Assumptions'!$B$28,"")</f>
        <v>142.325068989397</v>
      </c>
      <c r="V199" s="30" t="n">
        <f aca="false">IF(ISNUMBER(Tabelle1!E200),Tabelle1!E200*'Weights &amp; Assumptions'!$F$6+Tabelle1!F200*'Weights &amp; Assumptions'!$F$7,"")</f>
        <v>84.9873239124683</v>
      </c>
      <c r="W199" s="30" t="n">
        <f aca="false">IF(ISNUMBER(Tabelle1!G200),Tabelle1!G200*'Weights &amp; Assumptions'!$F$8+Tabelle1!H200*'Weights &amp; Assumptions'!$F$9+Tabelle1!J200*'Weights &amp; Assumptions'!$F$11,"")</f>
        <v>105.952685018464</v>
      </c>
      <c r="X199" s="30" t="n">
        <f aca="false">IF(ISNUMBER(Tabelle1!I200),Tabelle1!I200*'Weights &amp; Assumptions'!$F$10+Tabelle1!K200*'Weights &amp; Assumptions'!$F$12+Tabelle1!L200*'Weights &amp; Assumptions'!$F$13+Tabelle1!M200*'Weights &amp; Assumptions'!$F$14+Tabelle1!N200*'Weights &amp; Assumptions'!$F$15+Tabelle1!O200*'Weights &amp; Assumptions'!$F$16+Tabelle1!P200*'Weights &amp; Assumptions'!$F$17+Tabelle1!Q200*'Weights &amp; Assumptions'!$F$18+Tabelle1!R200*'Weights &amp; Assumptions'!$F$19+Tabelle1!S200*'Weights &amp; Assumptions'!$F$20,"")</f>
        <v>153.740023142546</v>
      </c>
      <c r="Y199" s="23" t="n">
        <f aca="false">IFERROR(V199*'Weights &amp; Assumptions'!$B$25/'Weights &amp; Assumptions'!$B$28+W199*'Weights &amp; Assumptions'!$B$26/'Weights &amp; Assumptions'!$B$28+X199*'Weights &amp; Assumptions'!$B$27/'Weights &amp; Assumptions'!$B$28,"")</f>
        <v>135.264126496957</v>
      </c>
    </row>
    <row r="200" customFormat="false" ht="15" hidden="false" customHeight="false" outlineLevel="0" collapsed="false">
      <c r="A200" s="20" t="n">
        <v>43890</v>
      </c>
      <c r="B200" s="30" t="n">
        <f aca="false">IF(ISNUMBER(Tabelle1!D201),Tabelle1!D201,"")</f>
        <v>139.54976</v>
      </c>
      <c r="C200" s="23" t="n">
        <f aca="false">IF(ISNUMBER(Tabelle1!E201),Tabelle1!E201/'SF Workings'!F200,"")</f>
        <v>114.084347376466</v>
      </c>
      <c r="D200" s="23" t="n">
        <f aca="false">IF(ISNUMBER(Tabelle1!F201),Tabelle1!F201/'SF Workings'!J200,"")</f>
        <v>198.663635677822</v>
      </c>
      <c r="E200" s="23" t="n">
        <f aca="false">IF(ISNUMBER(Tabelle1!G201),Tabelle1!G201/'SF Workings'!N200,"")</f>
        <v>91.439240031046</v>
      </c>
      <c r="F200" s="23" t="n">
        <f aca="false">IF(ISNUMBER(Tabelle1!H201),Tabelle1!H201/'SF Workings'!R200,"")</f>
        <v>117.719133214812</v>
      </c>
      <c r="G200" s="23" t="n">
        <f aca="false">IF(ISNUMBER(Tabelle1!I201),Tabelle1!I201/'SF Workings'!V200,"")</f>
        <v>143.504051731922</v>
      </c>
      <c r="H200" s="23" t="n">
        <f aca="false">IF(ISNUMBER(Tabelle1!J201),Tabelle1!J201/'SF Workings'!Z200,"")</f>
        <v>123.633680070233</v>
      </c>
      <c r="I200" s="23" t="n">
        <f aca="false">IF(ISNUMBER(Tabelle1!K201),Tabelle1!K201/'SF Workings'!AD200,"")</f>
        <v>138.88420397352</v>
      </c>
      <c r="J200" s="23" t="n">
        <f aca="false">IF(ISNUMBER(Tabelle1!L201),Tabelle1!L201/'SF Workings'!AH200,"")</f>
        <v>149.513465338147</v>
      </c>
      <c r="K200" s="23" t="n">
        <f aca="false">IF(ISNUMBER(Tabelle1!M201),Tabelle1!M201/'SF Workings'!AL200,"")</f>
        <v>184.746488922576</v>
      </c>
      <c r="L200" s="23" t="n">
        <f aca="false">IF(ISNUMBER(Tabelle1!N201),Tabelle1!N201/'SF Workings'!AP200,"")</f>
        <v>161.650620114609</v>
      </c>
      <c r="M200" s="23" t="n">
        <f aca="false">IF(ISNUMBER(Tabelle1!O201),Tabelle1!O201/'SF Workings'!AT200,"")</f>
        <v>139.92767668504</v>
      </c>
      <c r="N200" s="23" t="n">
        <f aca="false">IF(ISNUMBER(Tabelle1!P201),Tabelle1!P201/'SF Workings'!AX200,"")</f>
        <v>155.059085498343</v>
      </c>
      <c r="O200" s="23" t="n">
        <f aca="false">IF(ISNUMBER(Tabelle1!Q201),Tabelle1!Q201/'SF Workings'!BB200,"")</f>
        <v>161.345237153519</v>
      </c>
      <c r="P200" s="23" t="n">
        <f aca="false">IF(ISNUMBER(Tabelle1!R201),Tabelle1!R201/'SF Workings'!BF200,"")</f>
        <v>179.789316814373</v>
      </c>
      <c r="Q200" s="23" t="n">
        <f aca="false">IF(ISNUMBER(Tabelle1!S201),Tabelle1!S201/'SF Workings'!BJ200,"")</f>
        <v>133.274159209616</v>
      </c>
      <c r="R200" s="23" t="n">
        <f aca="false">IFERROR(C200*'Weights &amp; Assumptions'!$F$6+D200*'Weights &amp; Assumptions'!$F$7,"")</f>
        <v>115.120658128112</v>
      </c>
      <c r="S200" s="23" t="n">
        <f aca="false">IFERROR(E200*'Weights &amp; Assumptions'!$F$8+F200*'Weights &amp; Assumptions'!$F$9+H200*'Weights &amp; Assumptions'!$F$11,"")</f>
        <v>115.813513977172</v>
      </c>
      <c r="T200" s="23" t="n">
        <f aca="false">IFERROR(G200*'Weights &amp; Assumptions'!$F$10+I200*'Weights &amp; Assumptions'!$F$12+J200*'Weights &amp; Assumptions'!$F$13+K200*'Weights &amp; Assumptions'!$F$14+L200*'Weights &amp; Assumptions'!$F$15+M200*'Weights &amp; Assumptions'!$F$16+N200*'Weights &amp; Assumptions'!$F$17+O200*'Weights &amp; Assumptions'!$F$18+P200*'Weights &amp; Assumptions'!$F$19+Q200*'Weights &amp; Assumptions'!$F$20,"")</f>
        <v>153.991684995407</v>
      </c>
      <c r="U200" s="23" t="n">
        <f aca="false">IFERROR(R200*'Weights &amp; Assumptions'!$B$25/'Weights &amp; Assumptions'!$B$28+S200*'Weights &amp; Assumptions'!$B$26/'Weights &amp; Assumptions'!$B$28+T200*'Weights &amp; Assumptions'!$B$27/'Weights &amp; Assumptions'!$B$28,"")</f>
        <v>140.578130916495</v>
      </c>
      <c r="V200" s="30" t="n">
        <f aca="false">IF(ISNUMBER(Tabelle1!E201),Tabelle1!E201*'Weights &amp; Assumptions'!$F$6+Tabelle1!F201*'Weights &amp; Assumptions'!$F$7,"")</f>
        <v>69.9347790246839</v>
      </c>
      <c r="W200" s="30" t="n">
        <f aca="false">IF(ISNUMBER(Tabelle1!G201),Tabelle1!G201*'Weights &amp; Assumptions'!$F$8+Tabelle1!H201*'Weights &amp; Assumptions'!$F$9+Tabelle1!J201*'Weights &amp; Assumptions'!$F$11,"")</f>
        <v>105.134935284749</v>
      </c>
      <c r="X200" s="30" t="n">
        <f aca="false">IF(ISNUMBER(Tabelle1!I201),Tabelle1!I201*'Weights &amp; Assumptions'!$F$10+Tabelle1!K201*'Weights &amp; Assumptions'!$F$12+Tabelle1!L201*'Weights &amp; Assumptions'!$F$13+Tabelle1!M201*'Weights &amp; Assumptions'!$F$14+Tabelle1!N201*'Weights &amp; Assumptions'!$F$15+Tabelle1!O201*'Weights &amp; Assumptions'!$F$16+Tabelle1!P201*'Weights &amp; Assumptions'!$F$17+Tabelle1!Q201*'Weights &amp; Assumptions'!$F$18+Tabelle1!R201*'Weights &amp; Assumptions'!$F$19+Tabelle1!S201*'Weights &amp; Assumptions'!$F$20,"")</f>
        <v>150.619933215649</v>
      </c>
      <c r="Y200" s="23" t="n">
        <f aca="false">IFERROR(V200*'Weights &amp; Assumptions'!$B$25/'Weights &amp; Assumptions'!$B$28+W200*'Weights &amp; Assumptions'!$B$26/'Weights &amp; Assumptions'!$B$28+X200*'Weights &amp; Assumptions'!$B$27/'Weights &amp; Assumptions'!$B$28,"")</f>
        <v>131.755126143698</v>
      </c>
    </row>
    <row r="201" customFormat="false" ht="15" hidden="false" customHeight="false" outlineLevel="0" collapsed="false">
      <c r="A201" s="20" t="n">
        <v>43921</v>
      </c>
      <c r="B201" s="30" t="n">
        <f aca="false">IF(ISNUMBER(Tabelle1!D202),Tabelle1!D202,"")</f>
        <v>125.96025</v>
      </c>
      <c r="C201" s="23" t="n">
        <f aca="false">IF(ISNUMBER(Tabelle1!E202),Tabelle1!E202/'SF Workings'!F201,"")</f>
        <v>118.961766272006</v>
      </c>
      <c r="D201" s="23" t="n">
        <f aca="false">IF(ISNUMBER(Tabelle1!F202),Tabelle1!F202/'SF Workings'!J201,"")</f>
        <v>105.963891534961</v>
      </c>
      <c r="E201" s="23" t="n">
        <f aca="false">IF(ISNUMBER(Tabelle1!G202),Tabelle1!G202/'SF Workings'!N201,"")</f>
        <v>84.6225277127893</v>
      </c>
      <c r="F201" s="23" t="n">
        <f aca="false">IF(ISNUMBER(Tabelle1!H202),Tabelle1!H202/'SF Workings'!R201,"")</f>
        <v>98.9678261392629</v>
      </c>
      <c r="G201" s="23" t="n">
        <f aca="false">IF(ISNUMBER(Tabelle1!I202),Tabelle1!I202/'SF Workings'!V201,"")</f>
        <v>144.756165953834</v>
      </c>
      <c r="H201" s="23" t="n">
        <f aca="false">IF(ISNUMBER(Tabelle1!J202),Tabelle1!J202/'SF Workings'!Z201,"")</f>
        <v>95.699210706695</v>
      </c>
      <c r="I201" s="23" t="n">
        <f aca="false">IF(ISNUMBER(Tabelle1!K202),Tabelle1!K202/'SF Workings'!AD201,"")</f>
        <v>120.704960992936</v>
      </c>
      <c r="J201" s="23" t="n">
        <f aca="false">IF(ISNUMBER(Tabelle1!L202),Tabelle1!L202/'SF Workings'!AH201,"")</f>
        <v>107.057328094965</v>
      </c>
      <c r="K201" s="23" t="n">
        <f aca="false">IF(ISNUMBER(Tabelle1!M202),Tabelle1!M202/'SF Workings'!AL201,"")</f>
        <v>162.296993459619</v>
      </c>
      <c r="L201" s="23" t="n">
        <f aca="false">IF(ISNUMBER(Tabelle1!N202),Tabelle1!N202/'SF Workings'!AP201,"")</f>
        <v>166.232040048378</v>
      </c>
      <c r="M201" s="23" t="n">
        <f aca="false">IF(ISNUMBER(Tabelle1!O202),Tabelle1!O202/'SF Workings'!AT201,"")</f>
        <v>130.879732083795</v>
      </c>
      <c r="N201" s="23" t="n">
        <f aca="false">IF(ISNUMBER(Tabelle1!P202),Tabelle1!P202/'SF Workings'!AX201,"")</f>
        <v>153.562018455694</v>
      </c>
      <c r="O201" s="23" t="n">
        <f aca="false">IF(ISNUMBER(Tabelle1!Q202),Tabelle1!Q202/'SF Workings'!BB201,"")</f>
        <v>158.68268982327</v>
      </c>
      <c r="P201" s="23" t="n">
        <f aca="false">IF(ISNUMBER(Tabelle1!R202),Tabelle1!R202/'SF Workings'!BF201,"")</f>
        <v>164.443382243687</v>
      </c>
      <c r="Q201" s="23" t="n">
        <f aca="false">IF(ISNUMBER(Tabelle1!S202),Tabelle1!S202/'SF Workings'!BJ201,"")</f>
        <v>110.062656548668</v>
      </c>
      <c r="R201" s="23" t="n">
        <f aca="false">IFERROR(C201*'Weights &amp; Assumptions'!$F$6+D201*'Weights &amp; Assumptions'!$F$7,"")</f>
        <v>118.80250934742</v>
      </c>
      <c r="S201" s="23" t="n">
        <f aca="false">IFERROR(E201*'Weights &amp; Assumptions'!$F$8+F201*'Weights &amp; Assumptions'!$F$9+H201*'Weights &amp; Assumptions'!$F$11,"")</f>
        <v>96.5741005766515</v>
      </c>
      <c r="T201" s="23" t="n">
        <f aca="false">IFERROR(G201*'Weights &amp; Assumptions'!$F$10+I201*'Weights &amp; Assumptions'!$F$12+J201*'Weights &amp; Assumptions'!$F$13+K201*'Weights &amp; Assumptions'!$F$14+L201*'Weights &amp; Assumptions'!$F$15+M201*'Weights &amp; Assumptions'!$F$16+N201*'Weights &amp; Assumptions'!$F$17+O201*'Weights &amp; Assumptions'!$F$18+P201*'Weights &amp; Assumptions'!$F$19+Q201*'Weights &amp; Assumptions'!$F$20,"")</f>
        <v>140.848548942501</v>
      </c>
      <c r="U201" s="23" t="n">
        <f aca="false">IFERROR(R201*'Weights &amp; Assumptions'!$B$25/'Weights &amp; Assumptions'!$B$28+S201*'Weights &amp; Assumptions'!$B$26/'Weights &amp; Assumptions'!$B$28+T201*'Weights &amp; Assumptions'!$B$27/'Weights &amp; Assumptions'!$B$28,"")</f>
        <v>127.225518659944</v>
      </c>
      <c r="V201" s="30" t="n">
        <f aca="false">IF(ISNUMBER(Tabelle1!E202),Tabelle1!E202*'Weights &amp; Assumptions'!$F$6+Tabelle1!F202*'Weights &amp; Assumptions'!$F$7,"")</f>
        <v>138.089757030429</v>
      </c>
      <c r="W201" s="30" t="n">
        <f aca="false">IF(ISNUMBER(Tabelle1!G202),Tabelle1!G202*'Weights &amp; Assumptions'!$F$8+Tabelle1!H202*'Weights &amp; Assumptions'!$F$9+Tabelle1!J202*'Weights &amp; Assumptions'!$F$11,"")</f>
        <v>97.1300768326326</v>
      </c>
      <c r="X201" s="30" t="n">
        <f aca="false">IF(ISNUMBER(Tabelle1!I202),Tabelle1!I202*'Weights &amp; Assumptions'!$F$10+Tabelle1!K202*'Weights &amp; Assumptions'!$F$12+Tabelle1!L202*'Weights &amp; Assumptions'!$F$13+Tabelle1!M202*'Weights &amp; Assumptions'!$F$14+Tabelle1!N202*'Weights &amp; Assumptions'!$F$15+Tabelle1!O202*'Weights &amp; Assumptions'!$F$16+Tabelle1!P202*'Weights &amp; Assumptions'!$F$17+Tabelle1!Q202*'Weights &amp; Assumptions'!$F$18+Tabelle1!R202*'Weights &amp; Assumptions'!$F$19+Tabelle1!S202*'Weights &amp; Assumptions'!$F$20,"")</f>
        <v>143.028452686105</v>
      </c>
      <c r="Y201" s="23" t="n">
        <f aca="false">IFERROR(V201*'Weights &amp; Assumptions'!$B$25/'Weights &amp; Assumptions'!$B$28+W201*'Weights &amp; Assumptions'!$B$26/'Weights &amp; Assumptions'!$B$28+X201*'Weights &amp; Assumptions'!$B$27/'Weights &amp; Assumptions'!$B$28,"")</f>
        <v>130.408912110776</v>
      </c>
    </row>
    <row r="202" customFormat="false" ht="15" hidden="false" customHeight="false" outlineLevel="0" collapsed="false">
      <c r="A202" s="20" t="n">
        <v>43951</v>
      </c>
      <c r="B202" s="30" t="n">
        <f aca="false">IF(ISNUMBER(Tabelle1!D203),Tabelle1!D203,"")</f>
        <v>105.99228</v>
      </c>
      <c r="C202" s="23" t="n">
        <f aca="false">IF(ISNUMBER(Tabelle1!E203),Tabelle1!E203/'SF Workings'!F202,"")</f>
        <v>130.987937568839</v>
      </c>
      <c r="D202" s="23" t="n">
        <f aca="false">IF(ISNUMBER(Tabelle1!F203),Tabelle1!F203/'SF Workings'!J202,"")</f>
        <v>163.883020278526</v>
      </c>
      <c r="E202" s="23" t="n">
        <f aca="false">IF(ISNUMBER(Tabelle1!G203),Tabelle1!G203/'SF Workings'!N202,"")</f>
        <v>72.0030620676191</v>
      </c>
      <c r="F202" s="23" t="n">
        <f aca="false">IF(ISNUMBER(Tabelle1!H203),Tabelle1!H203/'SF Workings'!R202,"")</f>
        <v>82.2536477084127</v>
      </c>
      <c r="G202" s="23" t="n">
        <f aca="false">IF(ISNUMBER(Tabelle1!I203),Tabelle1!I203/'SF Workings'!V202,"")</f>
        <v>130.280353178345</v>
      </c>
      <c r="H202" s="23" t="n">
        <f aca="false">IF(ISNUMBER(Tabelle1!J203),Tabelle1!J203/'SF Workings'!Z202,"")</f>
        <v>48.6349504171786</v>
      </c>
      <c r="I202" s="23" t="n">
        <f aca="false">IF(ISNUMBER(Tabelle1!K203),Tabelle1!K203/'SF Workings'!AD202,"")</f>
        <v>109.8367530713</v>
      </c>
      <c r="J202" s="23" t="n">
        <f aca="false">IF(ISNUMBER(Tabelle1!L203),Tabelle1!L203/'SF Workings'!AH202,"")</f>
        <v>29.7171809459308</v>
      </c>
      <c r="K202" s="23" t="n">
        <f aca="false">IF(ISNUMBER(Tabelle1!M203),Tabelle1!M203/'SF Workings'!AL202,"")</f>
        <v>143.613708851823</v>
      </c>
      <c r="L202" s="23" t="n">
        <f aca="false">IF(ISNUMBER(Tabelle1!N203),Tabelle1!N203/'SF Workings'!AP202,"")</f>
        <v>164.593095161479</v>
      </c>
      <c r="M202" s="23" t="n">
        <f aca="false">IF(ISNUMBER(Tabelle1!O203),Tabelle1!O203/'SF Workings'!AT202,"")</f>
        <v>117.754842691671</v>
      </c>
      <c r="N202" s="23" t="n">
        <f aca="false">IF(ISNUMBER(Tabelle1!P203),Tabelle1!P203/'SF Workings'!AX202,"")</f>
        <v>136.952807836881</v>
      </c>
      <c r="O202" s="23" t="n">
        <f aca="false">IF(ISNUMBER(Tabelle1!Q203),Tabelle1!Q203/'SF Workings'!BB202,"")</f>
        <v>147.217116096595</v>
      </c>
      <c r="P202" s="23" t="n">
        <f aca="false">IF(ISNUMBER(Tabelle1!R203),Tabelle1!R203/'SF Workings'!BF202,"")</f>
        <v>123.381662065905</v>
      </c>
      <c r="Q202" s="23" t="n">
        <f aca="false">IF(ISNUMBER(Tabelle1!S203),Tabelle1!S203/'SF Workings'!BJ202,"")</f>
        <v>42.5900584675916</v>
      </c>
      <c r="R202" s="23" t="n">
        <f aca="false">IFERROR(C202*'Weights &amp; Assumptions'!$F$6+D202*'Weights &amp; Assumptions'!$F$7,"")</f>
        <v>131.39098574497</v>
      </c>
      <c r="S202" s="23" t="n">
        <f aca="false">IFERROR(E202*'Weights &amp; Assumptions'!$F$8+F202*'Weights &amp; Assumptions'!$F$9+H202*'Weights &amp; Assumptions'!$F$11,"")</f>
        <v>74.0261825953414</v>
      </c>
      <c r="T202" s="23" t="n">
        <f aca="false">IFERROR(G202*'Weights &amp; Assumptions'!$F$10+I202*'Weights &amp; Assumptions'!$F$12+J202*'Weights &amp; Assumptions'!$F$13+K202*'Weights &amp; Assumptions'!$F$14+L202*'Weights &amp; Assumptions'!$F$15+M202*'Weights &amp; Assumptions'!$F$16+N202*'Weights &amp; Assumptions'!$F$17+O202*'Weights &amp; Assumptions'!$F$18+P202*'Weights &amp; Assumptions'!$F$19+Q202*'Weights &amp; Assumptions'!$F$20,"")</f>
        <v>119.990512510818</v>
      </c>
      <c r="U202" s="23" t="n">
        <f aca="false">IFERROR(R202*'Weights &amp; Assumptions'!$B$25/'Weights &amp; Assumptions'!$B$28+S202*'Weights &amp; Assumptions'!$B$26/'Weights &amp; Assumptions'!$B$28+T202*'Weights &amp; Assumptions'!$B$27/'Weights &amp; Assumptions'!$B$28,"")</f>
        <v>108.724303465591</v>
      </c>
      <c r="V202" s="30" t="n">
        <f aca="false">IF(ISNUMBER(Tabelle1!E203),Tabelle1!E203*'Weights &amp; Assumptions'!$F$6+Tabelle1!F203*'Weights &amp; Assumptions'!$F$7,"")</f>
        <v>209.482192116542</v>
      </c>
      <c r="W202" s="30" t="n">
        <f aca="false">IF(ISNUMBER(Tabelle1!G203),Tabelle1!G203*'Weights &amp; Assumptions'!$F$8+Tabelle1!H203*'Weights &amp; Assumptions'!$F$9+Tabelle1!J203*'Weights &amp; Assumptions'!$F$11,"")</f>
        <v>69.9206376914312</v>
      </c>
      <c r="X202" s="30" t="n">
        <f aca="false">IF(ISNUMBER(Tabelle1!I203),Tabelle1!I203*'Weights &amp; Assumptions'!$F$10+Tabelle1!K203*'Weights &amp; Assumptions'!$F$12+Tabelle1!L203*'Weights &amp; Assumptions'!$F$13+Tabelle1!M203*'Weights &amp; Assumptions'!$F$14+Tabelle1!N203*'Weights &amp; Assumptions'!$F$15+Tabelle1!O203*'Weights &amp; Assumptions'!$F$16+Tabelle1!P203*'Weights &amp; Assumptions'!$F$17+Tabelle1!Q203*'Weights &amp; Assumptions'!$F$18+Tabelle1!R203*'Weights &amp; Assumptions'!$F$19+Tabelle1!S203*'Weights &amp; Assumptions'!$F$20,"")</f>
        <v>118.074831822902</v>
      </c>
      <c r="Y202" s="23" t="n">
        <f aca="false">IFERROR(V202*'Weights &amp; Assumptions'!$B$25/'Weights &amp; Assumptions'!$B$28+W202*'Weights &amp; Assumptions'!$B$26/'Weights &amp; Assumptions'!$B$28+X202*'Weights &amp; Assumptions'!$B$27/'Weights &amp; Assumptions'!$B$28,"")</f>
        <v>112.938944035622</v>
      </c>
    </row>
    <row r="203" customFormat="false" ht="15" hidden="false" customHeight="false" outlineLevel="0" collapsed="false">
      <c r="A203" s="20" t="n">
        <v>43982</v>
      </c>
      <c r="B203" s="30" t="n">
        <f aca="false">IF(ISNUMBER(Tabelle1!D204),Tabelle1!D204,"")</f>
        <v>117.20962</v>
      </c>
      <c r="C203" s="23" t="n">
        <f aca="false">IF(ISNUMBER(Tabelle1!E204),Tabelle1!E204/'SF Workings'!F203,"")</f>
        <v>132.842277402547</v>
      </c>
      <c r="D203" s="23" t="n">
        <f aca="false">IF(ISNUMBER(Tabelle1!F204),Tabelle1!F204/'SF Workings'!J203,"")</f>
        <v>180.245833268527</v>
      </c>
      <c r="E203" s="23" t="n">
        <f aca="false">IF(ISNUMBER(Tabelle1!G204),Tabelle1!G204/'SF Workings'!N203,"")</f>
        <v>72.1829241343654</v>
      </c>
      <c r="F203" s="23" t="n">
        <f aca="false">IF(ISNUMBER(Tabelle1!H204),Tabelle1!H204/'SF Workings'!R203,"")</f>
        <v>92.9803706122617</v>
      </c>
      <c r="G203" s="23" t="n">
        <f aca="false">IF(ISNUMBER(Tabelle1!I204),Tabelle1!I204/'SF Workings'!V203,"")</f>
        <v>131.744874371111</v>
      </c>
      <c r="H203" s="23" t="n">
        <f aca="false">IF(ISNUMBER(Tabelle1!J204),Tabelle1!J204/'SF Workings'!Z203,"")</f>
        <v>79.4980494072325</v>
      </c>
      <c r="I203" s="23" t="n">
        <f aca="false">IF(ISNUMBER(Tabelle1!K204),Tabelle1!K204/'SF Workings'!AD203,"")</f>
        <v>116.076169394122</v>
      </c>
      <c r="J203" s="23" t="n">
        <f aca="false">IF(ISNUMBER(Tabelle1!L204),Tabelle1!L204/'SF Workings'!AH203,"")</f>
        <v>49.2386173146703</v>
      </c>
      <c r="K203" s="23" t="n">
        <f aca="false">IF(ISNUMBER(Tabelle1!M204),Tabelle1!M204/'SF Workings'!AL203,"")</f>
        <v>153.856461796996</v>
      </c>
      <c r="L203" s="23" t="n">
        <f aca="false">IF(ISNUMBER(Tabelle1!N204),Tabelle1!N204/'SF Workings'!AP203,"")</f>
        <v>162.551185904226</v>
      </c>
      <c r="M203" s="23" t="n">
        <f aca="false">IF(ISNUMBER(Tabelle1!O204),Tabelle1!O204/'SF Workings'!AT203,"")</f>
        <v>122.643265205988</v>
      </c>
      <c r="N203" s="23" t="n">
        <f aca="false">IF(ISNUMBER(Tabelle1!P204),Tabelle1!P204/'SF Workings'!AX203,"")</f>
        <v>137.938082815274</v>
      </c>
      <c r="O203" s="23" t="n">
        <f aca="false">IF(ISNUMBER(Tabelle1!Q204),Tabelle1!Q204/'SF Workings'!BB203,"")</f>
        <v>150.307555403979</v>
      </c>
      <c r="P203" s="23" t="n">
        <f aca="false">IF(ISNUMBER(Tabelle1!R204),Tabelle1!R204/'SF Workings'!BF203,"")</f>
        <v>147.171703359189</v>
      </c>
      <c r="Q203" s="23" t="n">
        <f aca="false">IF(ISNUMBER(Tabelle1!S204),Tabelle1!S204/'SF Workings'!BJ203,"")</f>
        <v>48.0309959440292</v>
      </c>
      <c r="R203" s="23" t="n">
        <f aca="false">IFERROR(C203*'Weights &amp; Assumptions'!$F$6+D203*'Weights &amp; Assumptions'!$F$7,"")</f>
        <v>133.423091164364</v>
      </c>
      <c r="S203" s="23" t="n">
        <f aca="false">IFERROR(E203*'Weights &amp; Assumptions'!$F$8+F203*'Weights &amp; Assumptions'!$F$9+H203*'Weights &amp; Assumptions'!$F$11,"")</f>
        <v>87.6885172083244</v>
      </c>
      <c r="T203" s="23" t="n">
        <f aca="false">IFERROR(G203*'Weights &amp; Assumptions'!$F$10+I203*'Weights &amp; Assumptions'!$F$12+J203*'Weights &amp; Assumptions'!$F$13+K203*'Weights &amp; Assumptions'!$F$14+L203*'Weights &amp; Assumptions'!$F$15+M203*'Weights &amp; Assumptions'!$F$16+N203*'Weights &amp; Assumptions'!$F$17+O203*'Weights &amp; Assumptions'!$F$18+P203*'Weights &amp; Assumptions'!$F$19+Q203*'Weights &amp; Assumptions'!$F$20,"")</f>
        <v>126.900791951495</v>
      </c>
      <c r="U203" s="23" t="n">
        <f aca="false">IFERROR(R203*'Weights &amp; Assumptions'!$B$25/'Weights &amp; Assumptions'!$B$28+S203*'Weights &amp; Assumptions'!$B$26/'Weights &amp; Assumptions'!$B$28+T203*'Weights &amp; Assumptions'!$B$27/'Weights &amp; Assumptions'!$B$28,"")</f>
        <v>117.020789462604</v>
      </c>
      <c r="V203" s="30" t="n">
        <f aca="false">IF(ISNUMBER(Tabelle1!E204),Tabelle1!E204*'Weights &amp; Assumptions'!$F$6+Tabelle1!F204*'Weights &amp; Assumptions'!$F$7,"")</f>
        <v>292.760144789216</v>
      </c>
      <c r="W203" s="30" t="n">
        <f aca="false">IF(ISNUMBER(Tabelle1!G204),Tabelle1!G204*'Weights &amp; Assumptions'!$F$8+Tabelle1!H204*'Weights &amp; Assumptions'!$F$9+Tabelle1!J204*'Weights &amp; Assumptions'!$F$11,"")</f>
        <v>87.165674836491</v>
      </c>
      <c r="X203" s="30" t="n">
        <f aca="false">IF(ISNUMBER(Tabelle1!I204),Tabelle1!I204*'Weights &amp; Assumptions'!$F$10+Tabelle1!K204*'Weights &amp; Assumptions'!$F$12+Tabelle1!L204*'Weights &amp; Assumptions'!$F$13+Tabelle1!M204*'Weights &amp; Assumptions'!$F$14+Tabelle1!N204*'Weights &amp; Assumptions'!$F$15+Tabelle1!O204*'Weights &amp; Assumptions'!$F$16+Tabelle1!P204*'Weights &amp; Assumptions'!$F$17+Tabelle1!Q204*'Weights &amp; Assumptions'!$F$18+Tabelle1!R204*'Weights &amp; Assumptions'!$F$19+Tabelle1!S204*'Weights &amp; Assumptions'!$F$20,"")</f>
        <v>127.845057167259</v>
      </c>
      <c r="Y203" s="23" t="n">
        <f aca="false">IFERROR(V203*'Weights &amp; Assumptions'!$B$25/'Weights &amp; Assumptions'!$B$28+W203*'Weights &amp; Assumptions'!$B$26/'Weights &amp; Assumptions'!$B$28+X203*'Weights &amp; Assumptions'!$B$27/'Weights &amp; Assumptions'!$B$28,"")</f>
        <v>130.864211904886</v>
      </c>
    </row>
    <row r="204" customFormat="false" ht="15" hidden="false" customHeight="false" outlineLevel="0" collapsed="false">
      <c r="A204" s="20" t="n">
        <v>44012</v>
      </c>
      <c r="B204" s="30" t="n">
        <f aca="false">IF(ISNUMBER(Tabelle1!D205),Tabelle1!D205,"")</f>
        <v>124.34497</v>
      </c>
      <c r="C204" s="23" t="n">
        <f aca="false">IF(ISNUMBER(Tabelle1!E205),Tabelle1!E205/'SF Workings'!F204,"")</f>
        <v>132.125127018538</v>
      </c>
      <c r="D204" s="23" t="n">
        <f aca="false">IF(ISNUMBER(Tabelle1!F205),Tabelle1!F205/'SF Workings'!J204,"")</f>
        <v>74.0252261759812</v>
      </c>
      <c r="E204" s="23" t="n">
        <f aca="false">IF(ISNUMBER(Tabelle1!G205),Tabelle1!G205/'SF Workings'!N204,"")</f>
        <v>76.4784284208686</v>
      </c>
      <c r="F204" s="23" t="n">
        <f aca="false">IF(ISNUMBER(Tabelle1!H205),Tabelle1!H205/'SF Workings'!R204,"")</f>
        <v>110.488622359806</v>
      </c>
      <c r="G204" s="23" t="n">
        <f aca="false">IF(ISNUMBER(Tabelle1!I205),Tabelle1!I205/'SF Workings'!V204,"")</f>
        <v>137.103383309898</v>
      </c>
      <c r="H204" s="23" t="n">
        <f aca="false">IF(ISNUMBER(Tabelle1!J205),Tabelle1!J205/'SF Workings'!Z204,"")</f>
        <v>98.8706277688109</v>
      </c>
      <c r="I204" s="23" t="n">
        <f aca="false">IF(ISNUMBER(Tabelle1!K205),Tabelle1!K205/'SF Workings'!AD204,"")</f>
        <v>129.089262312782</v>
      </c>
      <c r="J204" s="23" t="n">
        <f aca="false">IF(ISNUMBER(Tabelle1!L205),Tabelle1!L205/'SF Workings'!AH204,"")</f>
        <v>62.0715738394536</v>
      </c>
      <c r="K204" s="23" t="n">
        <f aca="false">IF(ISNUMBER(Tabelle1!M205),Tabelle1!M205/'SF Workings'!AL204,"")</f>
        <v>155.338062879568</v>
      </c>
      <c r="L204" s="23" t="n">
        <f aca="false">IF(ISNUMBER(Tabelle1!N205),Tabelle1!N205/'SF Workings'!AP204,"")</f>
        <v>169.989378824613</v>
      </c>
      <c r="M204" s="23" t="n">
        <f aca="false">IF(ISNUMBER(Tabelle1!O205),Tabelle1!O205/'SF Workings'!AT204,"")</f>
        <v>127.360538016877</v>
      </c>
      <c r="N204" s="23" t="n">
        <f aca="false">IF(ISNUMBER(Tabelle1!P205),Tabelle1!P205/'SF Workings'!AX204,"")</f>
        <v>137.98873565521</v>
      </c>
      <c r="O204" s="23" t="n">
        <f aca="false">IF(ISNUMBER(Tabelle1!Q205),Tabelle1!Q205/'SF Workings'!BB204,"")</f>
        <v>149.88506909479</v>
      </c>
      <c r="P204" s="23" t="n">
        <f aca="false">IF(ISNUMBER(Tabelle1!R205),Tabelle1!R205/'SF Workings'!BF204,"")</f>
        <v>150.075300781303</v>
      </c>
      <c r="Q204" s="23" t="n">
        <f aca="false">IF(ISNUMBER(Tabelle1!S205),Tabelle1!S205/'SF Workings'!BJ204,"")</f>
        <v>61.3782045296437</v>
      </c>
      <c r="R204" s="23" t="n">
        <f aca="false">IFERROR(C204*'Weights &amp; Assumptions'!$F$6+D204*'Weights &amp; Assumptions'!$F$7,"")</f>
        <v>131.41325590775</v>
      </c>
      <c r="S204" s="23" t="n">
        <f aca="false">IFERROR(E204*'Weights &amp; Assumptions'!$F$8+F204*'Weights &amp; Assumptions'!$F$9+H204*'Weights &amp; Assumptions'!$F$11,"")</f>
        <v>104.007580444935</v>
      </c>
      <c r="T204" s="23" t="n">
        <f aca="false">IFERROR(G204*'Weights &amp; Assumptions'!$F$10+I204*'Weights &amp; Assumptions'!$F$12+J204*'Weights &amp; Assumptions'!$F$13+K204*'Weights &amp; Assumptions'!$F$14+L204*'Weights &amp; Assumptions'!$F$15+M204*'Weights &amp; Assumptions'!$F$16+N204*'Weights &amp; Assumptions'!$F$17+O204*'Weights &amp; Assumptions'!$F$18+P204*'Weights &amp; Assumptions'!$F$19+Q204*'Weights &amp; Assumptions'!$F$20,"")</f>
        <v>132.961749683477</v>
      </c>
      <c r="U204" s="23" t="n">
        <f aca="false">IFERROR(R204*'Weights &amp; Assumptions'!$B$25/'Weights &amp; Assumptions'!$B$28+S204*'Weights &amp; Assumptions'!$B$26/'Weights &amp; Assumptions'!$B$28+T204*'Weights &amp; Assumptions'!$B$27/'Weights &amp; Assumptions'!$B$28,"")</f>
        <v>125.132410390304</v>
      </c>
      <c r="V204" s="30" t="n">
        <f aca="false">IF(ISNUMBER(Tabelle1!E205),Tabelle1!E205*'Weights &amp; Assumptions'!$F$6+Tabelle1!F205*'Weights &amp; Assumptions'!$F$7,"")</f>
        <v>199.521268633747</v>
      </c>
      <c r="W204" s="30" t="n">
        <f aca="false">IF(ISNUMBER(Tabelle1!G205),Tabelle1!G205*'Weights &amp; Assumptions'!$F$8+Tabelle1!H205*'Weights &amp; Assumptions'!$F$9+Tabelle1!J205*'Weights &amp; Assumptions'!$F$11,"")</f>
        <v>105.081304364541</v>
      </c>
      <c r="X204" s="30" t="n">
        <f aca="false">IF(ISNUMBER(Tabelle1!I205),Tabelle1!I205*'Weights &amp; Assumptions'!$F$10+Tabelle1!K205*'Weights &amp; Assumptions'!$F$12+Tabelle1!L205*'Weights &amp; Assumptions'!$F$13+Tabelle1!M205*'Weights &amp; Assumptions'!$F$14+Tabelle1!N205*'Weights &amp; Assumptions'!$F$15+Tabelle1!O205*'Weights &amp; Assumptions'!$F$16+Tabelle1!P205*'Weights &amp; Assumptions'!$F$17+Tabelle1!Q205*'Weights &amp; Assumptions'!$F$18+Tabelle1!R205*'Weights &amp; Assumptions'!$F$19+Tabelle1!S205*'Weights &amp; Assumptions'!$F$20,"")</f>
        <v>135.110876113448</v>
      </c>
      <c r="Y204" s="23" t="n">
        <f aca="false">IFERROR(V204*'Weights &amp; Assumptions'!$B$25/'Weights &amp; Assumptions'!$B$28+W204*'Weights &amp; Assumptions'!$B$26/'Weights &amp; Assumptions'!$B$28+X204*'Weights &amp; Assumptions'!$B$27/'Weights &amp; Assumptions'!$B$28,"")</f>
        <v>132.529573958572</v>
      </c>
    </row>
    <row r="205" customFormat="false" ht="15" hidden="false" customHeight="false" outlineLevel="0" collapsed="false">
      <c r="A205" s="20" t="n">
        <v>44043</v>
      </c>
      <c r="B205" s="30" t="n">
        <f aca="false">IF(ISNUMBER(Tabelle1!D206),Tabelle1!D206,"")</f>
        <v>126.15819</v>
      </c>
      <c r="C205" s="23" t="n">
        <f aca="false">IF(ISNUMBER(Tabelle1!E206),Tabelle1!E206/'SF Workings'!F205,"")</f>
        <v>128.636729899584</v>
      </c>
      <c r="D205" s="23" t="n">
        <f aca="false">IF(ISNUMBER(Tabelle1!F206),Tabelle1!F206/'SF Workings'!J205,"")</f>
        <v>57.5458894485469</v>
      </c>
      <c r="E205" s="23" t="n">
        <f aca="false">IF(ISNUMBER(Tabelle1!G206),Tabelle1!G206/'SF Workings'!N205,"")</f>
        <v>77.7874258692533</v>
      </c>
      <c r="F205" s="23" t="n">
        <f aca="false">IF(ISNUMBER(Tabelle1!H206),Tabelle1!H206/'SF Workings'!R205,"")</f>
        <v>110.816138005193</v>
      </c>
      <c r="G205" s="23" t="n">
        <f aca="false">IF(ISNUMBER(Tabelle1!I206),Tabelle1!I206/'SF Workings'!V205,"")</f>
        <v>146.062375041131</v>
      </c>
      <c r="H205" s="23" t="n">
        <f aca="false">IF(ISNUMBER(Tabelle1!J206),Tabelle1!J206/'SF Workings'!Z205,"")</f>
        <v>113.821284036421</v>
      </c>
      <c r="I205" s="23" t="n">
        <f aca="false">IF(ISNUMBER(Tabelle1!K206),Tabelle1!K206/'SF Workings'!AD205,"")</f>
        <v>134.927265827001</v>
      </c>
      <c r="J205" s="23" t="n">
        <f aca="false">IF(ISNUMBER(Tabelle1!L206),Tabelle1!L206/'SF Workings'!AH205,"")</f>
        <v>61.2335491044991</v>
      </c>
      <c r="K205" s="23" t="n">
        <f aca="false">IF(ISNUMBER(Tabelle1!M206),Tabelle1!M206/'SF Workings'!AL205,"")</f>
        <v>149.372776877576</v>
      </c>
      <c r="L205" s="23" t="n">
        <f aca="false">IF(ISNUMBER(Tabelle1!N206),Tabelle1!N206/'SF Workings'!AP205,"")</f>
        <v>166.486276188996</v>
      </c>
      <c r="M205" s="23" t="n">
        <f aca="false">IF(ISNUMBER(Tabelle1!O206),Tabelle1!O206/'SF Workings'!AT205,"")</f>
        <v>130.197863905604</v>
      </c>
      <c r="N205" s="23" t="n">
        <f aca="false">IF(ISNUMBER(Tabelle1!P206),Tabelle1!P206/'SF Workings'!AX205,"")</f>
        <v>141.439085511041</v>
      </c>
      <c r="O205" s="23" t="n">
        <f aca="false">IF(ISNUMBER(Tabelle1!Q206),Tabelle1!Q206/'SF Workings'!BB205,"")</f>
        <v>152.606874743956</v>
      </c>
      <c r="P205" s="23" t="n">
        <f aca="false">IF(ISNUMBER(Tabelle1!R206),Tabelle1!R206/'SF Workings'!BF205,"")</f>
        <v>163.740769185605</v>
      </c>
      <c r="Q205" s="23" t="n">
        <f aca="false">IF(ISNUMBER(Tabelle1!S206),Tabelle1!S206/'SF Workings'!BJ205,"")</f>
        <v>59.2404419142404</v>
      </c>
      <c r="R205" s="23" t="n">
        <f aca="false">IFERROR(C205*'Weights &amp; Assumptions'!$F$6+D205*'Weights &amp; Assumptions'!$F$7,"")</f>
        <v>127.765686837122</v>
      </c>
      <c r="S205" s="23" t="n">
        <f aca="false">IFERROR(E205*'Weights &amp; Assumptions'!$F$8+F205*'Weights &amp; Assumptions'!$F$9+H205*'Weights &amp; Assumptions'!$F$11,"")</f>
        <v>107.498628338212</v>
      </c>
      <c r="T205" s="23" t="n">
        <f aca="false">IFERROR(G205*'Weights &amp; Assumptions'!$F$10+I205*'Weights &amp; Assumptions'!$F$12+J205*'Weights &amp; Assumptions'!$F$13+K205*'Weights &amp; Assumptions'!$F$14+L205*'Weights &amp; Assumptions'!$F$15+M205*'Weights &amp; Assumptions'!$F$16+N205*'Weights &amp; Assumptions'!$F$17+O205*'Weights &amp; Assumptions'!$F$18+P205*'Weights &amp; Assumptions'!$F$19+Q205*'Weights &amp; Assumptions'!$F$20,"")</f>
        <v>135.211641786355</v>
      </c>
      <c r="U205" s="23" t="n">
        <f aca="false">IFERROR(R205*'Weights &amp; Assumptions'!$B$25/'Weights &amp; Assumptions'!$B$28+S205*'Weights &amp; Assumptions'!$B$26/'Weights &amp; Assumptions'!$B$28+T205*'Weights &amp; Assumptions'!$B$27/'Weights &amp; Assumptions'!$B$28,"")</f>
        <v>127.217545598248</v>
      </c>
      <c r="V205" s="30" t="n">
        <f aca="false">IF(ISNUMBER(Tabelle1!E206),Tabelle1!E206*'Weights &amp; Assumptions'!$F$6+Tabelle1!F206*'Weights &amp; Assumptions'!$F$7,"")</f>
        <v>116.679606230081</v>
      </c>
      <c r="W205" s="30" t="n">
        <f aca="false">IF(ISNUMBER(Tabelle1!G206),Tabelle1!G206*'Weights &amp; Assumptions'!$F$8+Tabelle1!H206*'Weights &amp; Assumptions'!$F$9+Tabelle1!J206*'Weights &amp; Assumptions'!$F$11,"")</f>
        <v>110.368342713242</v>
      </c>
      <c r="X205" s="30" t="n">
        <f aca="false">IF(ISNUMBER(Tabelle1!I206),Tabelle1!I206*'Weights &amp; Assumptions'!$F$10+Tabelle1!K206*'Weights &amp; Assumptions'!$F$12+Tabelle1!L206*'Weights &amp; Assumptions'!$F$13+Tabelle1!M206*'Weights &amp; Assumptions'!$F$14+Tabelle1!N206*'Weights &amp; Assumptions'!$F$15+Tabelle1!O206*'Weights &amp; Assumptions'!$F$16+Tabelle1!P206*'Weights &amp; Assumptions'!$F$17+Tabelle1!Q206*'Weights &amp; Assumptions'!$F$18+Tabelle1!R206*'Weights &amp; Assumptions'!$F$19+Tabelle1!S206*'Weights &amp; Assumptions'!$F$20,"")</f>
        <v>136.155228702919</v>
      </c>
      <c r="Y205" s="23" t="n">
        <f aca="false">IFERROR(V205*'Weights &amp; Assumptions'!$B$25/'Weights &amp; Assumptions'!$B$28+W205*'Weights &amp; Assumptions'!$B$26/'Weights &amp; Assumptions'!$B$28+X205*'Weights &amp; Assumptions'!$B$27/'Weights &amp; Assumptions'!$B$28,"")</f>
        <v>127.664024335631</v>
      </c>
    </row>
    <row r="206" customFormat="false" ht="15" hidden="false" customHeight="false" outlineLevel="0" collapsed="false">
      <c r="A206" s="20" t="n">
        <v>44074</v>
      </c>
      <c r="B206" s="30" t="n">
        <f aca="false">IF(ISNUMBER(Tabelle1!D207),Tabelle1!D207,"")</f>
        <v>128.84416</v>
      </c>
      <c r="C206" s="23" t="n">
        <f aca="false">IF(ISNUMBER(Tabelle1!E207),Tabelle1!E207/'SF Workings'!F206,"")</f>
        <v>122.832086608433</v>
      </c>
      <c r="D206" s="23" t="n">
        <f aca="false">IF(ISNUMBER(Tabelle1!F207),Tabelle1!F207/'SF Workings'!J206,"")</f>
        <v>164.046682606295</v>
      </c>
      <c r="E206" s="23" t="n">
        <f aca="false">IF(ISNUMBER(Tabelle1!G207),Tabelle1!G207/'SF Workings'!N206,"")</f>
        <v>79.149233050465</v>
      </c>
      <c r="F206" s="23" t="n">
        <f aca="false">IF(ISNUMBER(Tabelle1!H207),Tabelle1!H207/'SF Workings'!R206,"")</f>
        <v>107.579561240206</v>
      </c>
      <c r="G206" s="23" t="n">
        <f aca="false">IF(ISNUMBER(Tabelle1!I207),Tabelle1!I207/'SF Workings'!V206,"")</f>
        <v>140.529338181707</v>
      </c>
      <c r="H206" s="23" t="n">
        <f aca="false">IF(ISNUMBER(Tabelle1!J207),Tabelle1!J207/'SF Workings'!Z206,"")</f>
        <v>108.59917978173</v>
      </c>
      <c r="I206" s="23" t="n">
        <f aca="false">IF(ISNUMBER(Tabelle1!K207),Tabelle1!K207/'SF Workings'!AD206,"")</f>
        <v>130.407647893036</v>
      </c>
      <c r="J206" s="23" t="n">
        <f aca="false">IF(ISNUMBER(Tabelle1!L207),Tabelle1!L207/'SF Workings'!AH206,"")</f>
        <v>71.381521280013</v>
      </c>
      <c r="K206" s="23" t="n">
        <f aca="false">IF(ISNUMBER(Tabelle1!M207),Tabelle1!M207/'SF Workings'!AL206,"")</f>
        <v>150.675366516373</v>
      </c>
      <c r="L206" s="23" t="n">
        <f aca="false">IF(ISNUMBER(Tabelle1!N207),Tabelle1!N207/'SF Workings'!AP206,"")</f>
        <v>166.916903105403</v>
      </c>
      <c r="M206" s="23" t="n">
        <f aca="false">IF(ISNUMBER(Tabelle1!O207),Tabelle1!O207/'SF Workings'!AT206,"")</f>
        <v>133.12247513515</v>
      </c>
      <c r="N206" s="23" t="n">
        <f aca="false">IF(ISNUMBER(Tabelle1!P207),Tabelle1!P207/'SF Workings'!AX206,"")</f>
        <v>140.947532903032</v>
      </c>
      <c r="O206" s="23" t="n">
        <f aca="false">IF(ISNUMBER(Tabelle1!Q207),Tabelle1!Q207/'SF Workings'!BB206,"")</f>
        <v>152.035963646387</v>
      </c>
      <c r="P206" s="23" t="n">
        <f aca="false">IF(ISNUMBER(Tabelle1!R207),Tabelle1!R207/'SF Workings'!BF206,"")</f>
        <v>162.406915597568</v>
      </c>
      <c r="Q206" s="23" t="n">
        <f aca="false">IF(ISNUMBER(Tabelle1!S207),Tabelle1!S207/'SF Workings'!BJ206,"")</f>
        <v>68.7718732187382</v>
      </c>
      <c r="R206" s="23" t="n">
        <f aca="false">IFERROR(C206*'Weights &amp; Assumptions'!$F$6+D206*'Weights &amp; Assumptions'!$F$7,"")</f>
        <v>123.337069918355</v>
      </c>
      <c r="S206" s="23" t="n">
        <f aca="false">IFERROR(E206*'Weights &amp; Assumptions'!$F$8+F206*'Weights &amp; Assumptions'!$F$9+H206*'Weights &amp; Assumptions'!$F$11,"")</f>
        <v>104.397455810414</v>
      </c>
      <c r="T206" s="23" t="n">
        <f aca="false">IFERROR(G206*'Weights &amp; Assumptions'!$F$10+I206*'Weights &amp; Assumptions'!$F$12+J206*'Weights &amp; Assumptions'!$F$13+K206*'Weights &amp; Assumptions'!$F$14+L206*'Weights &amp; Assumptions'!$F$15+M206*'Weights &amp; Assumptions'!$F$16+N206*'Weights &amp; Assumptions'!$F$17+O206*'Weights &amp; Assumptions'!$F$18+P206*'Weights &amp; Assumptions'!$F$19+Q206*'Weights &amp; Assumptions'!$F$20,"")</f>
        <v>135.76581077144</v>
      </c>
      <c r="U206" s="23" t="n">
        <f aca="false">IFERROR(R206*'Weights &amp; Assumptions'!$B$25/'Weights &amp; Assumptions'!$B$28+S206*'Weights &amp; Assumptions'!$B$26/'Weights &amp; Assumptions'!$B$28+T206*'Weights &amp; Assumptions'!$B$27/'Weights &amp; Assumptions'!$B$28,"")</f>
        <v>126.38163553895</v>
      </c>
      <c r="V206" s="30" t="n">
        <f aca="false">IF(ISNUMBER(Tabelle1!E207),Tabelle1!E207*'Weights &amp; Assumptions'!$F$6+Tabelle1!F207*'Weights &amp; Assumptions'!$F$7,"")</f>
        <v>78.1328097070357</v>
      </c>
      <c r="W206" s="30" t="n">
        <f aca="false">IF(ISNUMBER(Tabelle1!G207),Tabelle1!G207*'Weights &amp; Assumptions'!$F$8+Tabelle1!H207*'Weights &amp; Assumptions'!$F$9+Tabelle1!J207*'Weights &amp; Assumptions'!$F$11,"")</f>
        <v>111.100998431509</v>
      </c>
      <c r="X206" s="30" t="n">
        <f aca="false">IF(ISNUMBER(Tabelle1!I207),Tabelle1!I207*'Weights &amp; Assumptions'!$F$10+Tabelle1!K207*'Weights &amp; Assumptions'!$F$12+Tabelle1!L207*'Weights &amp; Assumptions'!$F$13+Tabelle1!M207*'Weights &amp; Assumptions'!$F$14+Tabelle1!N207*'Weights &amp; Assumptions'!$F$15+Tabelle1!O207*'Weights &amp; Assumptions'!$F$16+Tabelle1!P207*'Weights &amp; Assumptions'!$F$17+Tabelle1!Q207*'Weights &amp; Assumptions'!$F$18+Tabelle1!R207*'Weights &amp; Assumptions'!$F$19+Tabelle1!S207*'Weights &amp; Assumptions'!$F$20,"")</f>
        <v>137.125135805104</v>
      </c>
      <c r="Y206" s="23" t="n">
        <f aca="false">IFERROR(V206*'Weights &amp; Assumptions'!$B$25/'Weights &amp; Assumptions'!$B$28+W206*'Weights &amp; Assumptions'!$B$26/'Weights &amp; Assumptions'!$B$28+X206*'Weights &amp; Assumptions'!$B$27/'Weights &amp; Assumptions'!$B$28,"")</f>
        <v>125.255357830594</v>
      </c>
    </row>
    <row r="207" customFormat="false" ht="15" hidden="false" customHeight="false" outlineLevel="0" collapsed="false">
      <c r="A207" s="20" t="n">
        <v>44104</v>
      </c>
      <c r="B207" s="30" t="n">
        <f aca="false">IF(ISNUMBER(Tabelle1!D208),Tabelle1!D208,"")</f>
        <v>130.79655</v>
      </c>
      <c r="C207" s="23" t="n">
        <f aca="false">IF(ISNUMBER(Tabelle1!E208),Tabelle1!E208/'SF Workings'!F207,"")</f>
        <v>129.349839646502</v>
      </c>
      <c r="D207" s="23" t="n">
        <f aca="false">IF(ISNUMBER(Tabelle1!F208),Tabelle1!F208/'SF Workings'!J207,"")</f>
        <v>179.944672762628</v>
      </c>
      <c r="E207" s="23" t="n">
        <f aca="false">IF(ISNUMBER(Tabelle1!G208),Tabelle1!G208/'SF Workings'!N207,"")</f>
        <v>77.1119001818575</v>
      </c>
      <c r="F207" s="23" t="n">
        <f aca="false">IF(ISNUMBER(Tabelle1!H208),Tabelle1!H208/'SF Workings'!R207,"")</f>
        <v>114.913481320522</v>
      </c>
      <c r="G207" s="23" t="n">
        <f aca="false">IF(ISNUMBER(Tabelle1!I208),Tabelle1!I208/'SF Workings'!V207,"")</f>
        <v>142.258354671562</v>
      </c>
      <c r="H207" s="23" t="n">
        <f aca="false">IF(ISNUMBER(Tabelle1!J208),Tabelle1!J208/'SF Workings'!Z207,"")</f>
        <v>111.748439189866</v>
      </c>
      <c r="I207" s="23" t="n">
        <f aca="false">IF(ISNUMBER(Tabelle1!K208),Tabelle1!K208/'SF Workings'!AD207,"")</f>
        <v>140.563411014695</v>
      </c>
      <c r="J207" s="23" t="n">
        <f aca="false">IF(ISNUMBER(Tabelle1!L208),Tabelle1!L208/'SF Workings'!AH207,"")</f>
        <v>66.2366348795311</v>
      </c>
      <c r="K207" s="23" t="n">
        <f aca="false">IF(ISNUMBER(Tabelle1!M208),Tabelle1!M208/'SF Workings'!AL207,"")</f>
        <v>154.078584077749</v>
      </c>
      <c r="L207" s="23" t="n">
        <f aca="false">IF(ISNUMBER(Tabelle1!N208),Tabelle1!N208/'SF Workings'!AP207,"")</f>
        <v>168.910588618826</v>
      </c>
      <c r="M207" s="23" t="n">
        <f aca="false">IF(ISNUMBER(Tabelle1!O208),Tabelle1!O208/'SF Workings'!AT207,"")</f>
        <v>135.821183178168</v>
      </c>
      <c r="N207" s="23" t="n">
        <f aca="false">IF(ISNUMBER(Tabelle1!P208),Tabelle1!P208/'SF Workings'!AX207,"")</f>
        <v>141.04385205474</v>
      </c>
      <c r="O207" s="23" t="n">
        <f aca="false">IF(ISNUMBER(Tabelle1!Q208),Tabelle1!Q208/'SF Workings'!BB207,"")</f>
        <v>153.374554385903</v>
      </c>
      <c r="P207" s="23" t="n">
        <f aca="false">IF(ISNUMBER(Tabelle1!R208),Tabelle1!R208/'SF Workings'!BF207,"")</f>
        <v>168.325815424491</v>
      </c>
      <c r="Q207" s="23" t="n">
        <f aca="false">IF(ISNUMBER(Tabelle1!S208),Tabelle1!S208/'SF Workings'!BJ207,"")</f>
        <v>72.9380396078459</v>
      </c>
      <c r="R207" s="23" t="n">
        <f aca="false">IFERROR(C207*'Weights &amp; Assumptions'!$F$6+D207*'Weights &amp; Assumptions'!$F$7,"")</f>
        <v>129.96975464684</v>
      </c>
      <c r="S207" s="23" t="n">
        <f aca="false">IFERROR(E207*'Weights &amp; Assumptions'!$F$8+F207*'Weights &amp; Assumptions'!$F$9+H207*'Weights &amp; Assumptions'!$F$11,"")</f>
        <v>109.740706103859</v>
      </c>
      <c r="T207" s="23" t="n">
        <f aca="false">IFERROR(G207*'Weights &amp; Assumptions'!$F$10+I207*'Weights &amp; Assumptions'!$F$12+J207*'Weights &amp; Assumptions'!$F$13+K207*'Weights &amp; Assumptions'!$F$14+L207*'Weights &amp; Assumptions'!$F$15+M207*'Weights &amp; Assumptions'!$F$16+N207*'Weights &amp; Assumptions'!$F$17+O207*'Weights &amp; Assumptions'!$F$18+P207*'Weights &amp; Assumptions'!$F$19+Q207*'Weights &amp; Assumptions'!$F$20,"")</f>
        <v>139.606338555889</v>
      </c>
      <c r="U207" s="23" t="n">
        <f aca="false">IFERROR(R207*'Weights &amp; Assumptions'!$B$25/'Weights &amp; Assumptions'!$B$28+S207*'Weights &amp; Assumptions'!$B$26/'Weights &amp; Assumptions'!$B$28+T207*'Weights &amp; Assumptions'!$B$27/'Weights &amp; Assumptions'!$B$28,"")</f>
        <v>130.856027779579</v>
      </c>
      <c r="V207" s="30" t="n">
        <f aca="false">IF(ISNUMBER(Tabelle1!E208),Tabelle1!E208*'Weights &amp; Assumptions'!$F$6+Tabelle1!F208*'Weights &amp; Assumptions'!$F$7,"")</f>
        <v>75.7926148968427</v>
      </c>
      <c r="W207" s="30" t="n">
        <f aca="false">IF(ISNUMBER(Tabelle1!G208),Tabelle1!G208*'Weights &amp; Assumptions'!$F$8+Tabelle1!H208*'Weights &amp; Assumptions'!$F$9+Tabelle1!J208*'Weights &amp; Assumptions'!$F$11,"")</f>
        <v>113.630467634572</v>
      </c>
      <c r="X207" s="30" t="n">
        <f aca="false">IF(ISNUMBER(Tabelle1!I208),Tabelle1!I208*'Weights &amp; Assumptions'!$F$10+Tabelle1!K208*'Weights &amp; Assumptions'!$F$12+Tabelle1!L208*'Weights &amp; Assumptions'!$F$13+Tabelle1!M208*'Weights &amp; Assumptions'!$F$14+Tabelle1!N208*'Weights &amp; Assumptions'!$F$15+Tabelle1!O208*'Weights &amp; Assumptions'!$F$16+Tabelle1!P208*'Weights &amp; Assumptions'!$F$17+Tabelle1!Q208*'Weights &amp; Assumptions'!$F$18+Tabelle1!R208*'Weights &amp; Assumptions'!$F$19+Tabelle1!S208*'Weights &amp; Assumptions'!$F$20,"")</f>
        <v>138.826240372803</v>
      </c>
      <c r="Y207" s="23" t="n">
        <f aca="false">IFERROR(V207*'Weights &amp; Assumptions'!$B$25/'Weights &amp; Assumptions'!$B$28+W207*'Weights &amp; Assumptions'!$B$26/'Weights &amp; Assumptions'!$B$28+X207*'Weights &amp; Assumptions'!$B$27/'Weights &amp; Assumptions'!$B$28,"")</f>
        <v>126.837670643879</v>
      </c>
    </row>
    <row r="208" customFormat="false" ht="15" hidden="false" customHeight="false" outlineLevel="0" collapsed="false">
      <c r="A208" s="20" t="n">
        <v>44135</v>
      </c>
      <c r="B208" s="30" t="n">
        <f aca="false">IF(ISNUMBER(Tabelle1!D209),Tabelle1!D209,"")</f>
        <v>133.39866</v>
      </c>
      <c r="C208" s="23" t="n">
        <f aca="false">IF(ISNUMBER(Tabelle1!E209),Tabelle1!E209/'SF Workings'!F208,"")</f>
        <v>124.357051887556</v>
      </c>
      <c r="D208" s="23" t="n">
        <f aca="false">IF(ISNUMBER(Tabelle1!F209),Tabelle1!F209/'SF Workings'!J208,"")</f>
        <v>164.414291323851</v>
      </c>
      <c r="E208" s="23" t="n">
        <f aca="false">IF(ISNUMBER(Tabelle1!G209),Tabelle1!G209/'SF Workings'!N208,"")</f>
        <v>77.8454540604288</v>
      </c>
      <c r="F208" s="23" t="n">
        <f aca="false">IF(ISNUMBER(Tabelle1!H209),Tabelle1!H209/'SF Workings'!R208,"")</f>
        <v>117.289812789544</v>
      </c>
      <c r="G208" s="23" t="n">
        <f aca="false">IF(ISNUMBER(Tabelle1!I209),Tabelle1!I209/'SF Workings'!V208,"")</f>
        <v>142.511304443044</v>
      </c>
      <c r="H208" s="23" t="n">
        <f aca="false">IF(ISNUMBER(Tabelle1!J209),Tabelle1!J209/'SF Workings'!Z208,"")</f>
        <v>132.103274142139</v>
      </c>
      <c r="I208" s="23" t="n">
        <f aca="false">IF(ISNUMBER(Tabelle1!K209),Tabelle1!K209/'SF Workings'!AD208,"")</f>
        <v>140.810770701536</v>
      </c>
      <c r="J208" s="23" t="n">
        <f aca="false">IF(ISNUMBER(Tabelle1!L209),Tabelle1!L209/'SF Workings'!AH208,"")</f>
        <v>71.9982382602224</v>
      </c>
      <c r="K208" s="23" t="n">
        <f aca="false">IF(ISNUMBER(Tabelle1!M209),Tabelle1!M209/'SF Workings'!AL208,"")</f>
        <v>152.867778305511</v>
      </c>
      <c r="L208" s="23" t="n">
        <f aca="false">IF(ISNUMBER(Tabelle1!N209),Tabelle1!N209/'SF Workings'!AP208,"")</f>
        <v>170.108941544605</v>
      </c>
      <c r="M208" s="23" t="n">
        <f aca="false">IF(ISNUMBER(Tabelle1!O209),Tabelle1!O209/'SF Workings'!AT208,"")</f>
        <v>136.397228019985</v>
      </c>
      <c r="N208" s="23" t="n">
        <f aca="false">IF(ISNUMBER(Tabelle1!P209),Tabelle1!P209/'SF Workings'!AX208,"")</f>
        <v>142.520020237636</v>
      </c>
      <c r="O208" s="23" t="n">
        <f aca="false">IF(ISNUMBER(Tabelle1!Q209),Tabelle1!Q209/'SF Workings'!BB208,"")</f>
        <v>154.70474200487</v>
      </c>
      <c r="P208" s="23" t="n">
        <f aca="false">IF(ISNUMBER(Tabelle1!R209),Tabelle1!R209/'SF Workings'!BF208,"")</f>
        <v>175.712665035932</v>
      </c>
      <c r="Q208" s="23" t="n">
        <f aca="false">IF(ISNUMBER(Tabelle1!S209),Tabelle1!S209/'SF Workings'!BJ208,"")</f>
        <v>102.102450901851</v>
      </c>
      <c r="R208" s="23" t="n">
        <f aca="false">IFERROR(C208*'Weights &amp; Assumptions'!$F$6+D208*'Weights &amp; Assumptions'!$F$7,"")</f>
        <v>124.847854644859</v>
      </c>
      <c r="S208" s="23" t="n">
        <f aca="false">IFERROR(E208*'Weights &amp; Assumptions'!$F$8+F208*'Weights &amp; Assumptions'!$F$9+H208*'Weights &amp; Assumptions'!$F$11,"")</f>
        <v>115.666240593981</v>
      </c>
      <c r="T208" s="23" t="n">
        <f aca="false">IFERROR(G208*'Weights &amp; Assumptions'!$F$10+I208*'Weights &amp; Assumptions'!$F$12+J208*'Weights &amp; Assumptions'!$F$13+K208*'Weights &amp; Assumptions'!$F$14+L208*'Weights &amp; Assumptions'!$F$15+M208*'Weights &amp; Assumptions'!$F$16+N208*'Weights &amp; Assumptions'!$F$17+O208*'Weights &amp; Assumptions'!$F$18+P208*'Weights &amp; Assumptions'!$F$19+Q208*'Weights &amp; Assumptions'!$F$20,"")</f>
        <v>142.338252466869</v>
      </c>
      <c r="U208" s="23" t="n">
        <f aca="false">IFERROR(R208*'Weights &amp; Assumptions'!$B$25/'Weights &amp; Assumptions'!$B$28+S208*'Weights &amp; Assumptions'!$B$26/'Weights &amp; Assumptions'!$B$28+T208*'Weights &amp; Assumptions'!$B$27/'Weights &amp; Assumptions'!$B$28,"")</f>
        <v>133.778239666016</v>
      </c>
      <c r="V208" s="30" t="n">
        <f aca="false">IF(ISNUMBER(Tabelle1!E209),Tabelle1!E209*'Weights &amp; Assumptions'!$F$6+Tabelle1!F209*'Weights &amp; Assumptions'!$F$7,"")</f>
        <v>74.4215208736487</v>
      </c>
      <c r="W208" s="30" t="n">
        <f aca="false">IF(ISNUMBER(Tabelle1!G209),Tabelle1!G209*'Weights &amp; Assumptions'!$F$8+Tabelle1!H209*'Weights &amp; Assumptions'!$F$9+Tabelle1!J209*'Weights &amp; Assumptions'!$F$11,"")</f>
        <v>122.916758620101</v>
      </c>
      <c r="X208" s="30" t="n">
        <f aca="false">IF(ISNUMBER(Tabelle1!I209),Tabelle1!I209*'Weights &amp; Assumptions'!$F$10+Tabelle1!K209*'Weights &amp; Assumptions'!$F$12+Tabelle1!L209*'Weights &amp; Assumptions'!$F$13+Tabelle1!M209*'Weights &amp; Assumptions'!$F$14+Tabelle1!N209*'Weights &amp; Assumptions'!$F$15+Tabelle1!O209*'Weights &amp; Assumptions'!$F$16+Tabelle1!P209*'Weights &amp; Assumptions'!$F$17+Tabelle1!Q209*'Weights &amp; Assumptions'!$F$18+Tabelle1!R209*'Weights &amp; Assumptions'!$F$19+Tabelle1!S209*'Weights &amp; Assumptions'!$F$20,"")</f>
        <v>143.226953238519</v>
      </c>
      <c r="Y208" s="23" t="n">
        <f aca="false">IFERROR(V208*'Weights &amp; Assumptions'!$B$25/'Weights &amp; Assumptions'!$B$28+W208*'Weights &amp; Assumptions'!$B$26/'Weights &amp; Assumptions'!$B$28+X208*'Weights &amp; Assumptions'!$B$27/'Weights &amp; Assumptions'!$B$28,"")</f>
        <v>132.053284672471</v>
      </c>
    </row>
    <row r="209" customFormat="false" ht="15" hidden="false" customHeight="false" outlineLevel="0" collapsed="false">
      <c r="A209" s="20" t="n">
        <v>44165</v>
      </c>
      <c r="B209" s="30" t="n">
        <f aca="false">IF(ISNUMBER(Tabelle1!D210),Tabelle1!D210,"")</f>
        <v>134.87132</v>
      </c>
      <c r="C209" s="23" t="n">
        <f aca="false">IF(ISNUMBER(Tabelle1!E210),Tabelle1!E210/'SF Workings'!F209,"")</f>
        <v>124.802112178609</v>
      </c>
      <c r="D209" s="23" t="n">
        <f aca="false">IF(ISNUMBER(Tabelle1!F210),Tabelle1!F210/'SF Workings'!J209,"")</f>
        <v>145.576851663549</v>
      </c>
      <c r="E209" s="23" t="n">
        <f aca="false">IF(ISNUMBER(Tabelle1!G210),Tabelle1!G210/'SF Workings'!N209,"")</f>
        <v>78.1060434365567</v>
      </c>
      <c r="F209" s="23" t="n">
        <f aca="false">IF(ISNUMBER(Tabelle1!H210),Tabelle1!H210/'SF Workings'!R209,"")</f>
        <v>116.230115990977</v>
      </c>
      <c r="G209" s="23" t="n">
        <f aca="false">IF(ISNUMBER(Tabelle1!I210),Tabelle1!I210/'SF Workings'!V209,"")</f>
        <v>147.23943996181</v>
      </c>
      <c r="H209" s="23" t="n">
        <f aca="false">IF(ISNUMBER(Tabelle1!J210),Tabelle1!J210/'SF Workings'!Z209,"")</f>
        <v>134.705840017315</v>
      </c>
      <c r="I209" s="23" t="n">
        <f aca="false">IF(ISNUMBER(Tabelle1!K210),Tabelle1!K210/'SF Workings'!AD209,"")</f>
        <v>137.767979831125</v>
      </c>
      <c r="J209" s="23" t="n">
        <f aca="false">IF(ISNUMBER(Tabelle1!L210),Tabelle1!L210/'SF Workings'!AH209,"")</f>
        <v>73.7861375791836</v>
      </c>
      <c r="K209" s="23" t="n">
        <f aca="false">IF(ISNUMBER(Tabelle1!M210),Tabelle1!M210/'SF Workings'!AL209,"")</f>
        <v>154.399451540403</v>
      </c>
      <c r="L209" s="23" t="n">
        <f aca="false">IF(ISNUMBER(Tabelle1!N210),Tabelle1!N210/'SF Workings'!AP209,"")</f>
        <v>169.559734518849</v>
      </c>
      <c r="M209" s="23" t="n">
        <f aca="false">IF(ISNUMBER(Tabelle1!O210),Tabelle1!O210/'SF Workings'!AT209,"")</f>
        <v>137.785936282662</v>
      </c>
      <c r="N209" s="23" t="n">
        <f aca="false">IF(ISNUMBER(Tabelle1!P210),Tabelle1!P210/'SF Workings'!AX209,"")</f>
        <v>142.338356564324</v>
      </c>
      <c r="O209" s="23" t="n">
        <f aca="false">IF(ISNUMBER(Tabelle1!Q210),Tabelle1!Q210/'SF Workings'!BB209,"")</f>
        <v>154.740854627522</v>
      </c>
      <c r="P209" s="23" t="n">
        <f aca="false">IF(ISNUMBER(Tabelle1!R210),Tabelle1!R210/'SF Workings'!BF209,"")</f>
        <v>176.083075768227</v>
      </c>
      <c r="Q209" s="23" t="n">
        <f aca="false">IF(ISNUMBER(Tabelle1!S210),Tabelle1!S210/'SF Workings'!BJ209,"")</f>
        <v>105.490259652552</v>
      </c>
      <c r="R209" s="23" t="n">
        <f aca="false">IFERROR(C209*'Weights &amp; Assumptions'!$F$6+D209*'Weights &amp; Assumptions'!$F$7,"")</f>
        <v>125.056655416359</v>
      </c>
      <c r="S209" s="23" t="n">
        <f aca="false">IFERROR(E209*'Weights &amp; Assumptions'!$F$8+F209*'Weights &amp; Assumptions'!$F$9+H209*'Weights &amp; Assumptions'!$F$11,"")</f>
        <v>115.527118752295</v>
      </c>
      <c r="T209" s="23" t="n">
        <f aca="false">IFERROR(G209*'Weights &amp; Assumptions'!$F$10+I209*'Weights &amp; Assumptions'!$F$12+J209*'Weights &amp; Assumptions'!$F$13+K209*'Weights &amp; Assumptions'!$F$14+L209*'Weights &amp; Assumptions'!$F$15+M209*'Weights &amp; Assumptions'!$F$16+N209*'Weights &amp; Assumptions'!$F$17+O209*'Weights &amp; Assumptions'!$F$18+P209*'Weights &amp; Assumptions'!$F$19+Q209*'Weights &amp; Assumptions'!$F$20,"")</f>
        <v>142.599738481274</v>
      </c>
      <c r="U209" s="23" t="n">
        <f aca="false">IFERROR(R209*'Weights &amp; Assumptions'!$B$25/'Weights &amp; Assumptions'!$B$28+S209*'Weights &amp; Assumptions'!$B$26/'Weights &amp; Assumptions'!$B$28+T209*'Weights &amp; Assumptions'!$B$27/'Weights &amp; Assumptions'!$B$28,"")</f>
        <v>133.928776717878</v>
      </c>
      <c r="V209" s="30" t="n">
        <f aca="false">IF(ISNUMBER(Tabelle1!E210),Tabelle1!E210*'Weights &amp; Assumptions'!$F$6+Tabelle1!F210*'Weights &amp; Assumptions'!$F$7,"")</f>
        <v>86.962314391366</v>
      </c>
      <c r="W209" s="30" t="n">
        <f aca="false">IF(ISNUMBER(Tabelle1!G210),Tabelle1!G210*'Weights &amp; Assumptions'!$F$8+Tabelle1!H210*'Weights &amp; Assumptions'!$F$9+Tabelle1!J210*'Weights &amp; Assumptions'!$F$11,"")</f>
        <v>121.552403410299</v>
      </c>
      <c r="X209" s="30" t="n">
        <f aca="false">IF(ISNUMBER(Tabelle1!I210),Tabelle1!I210*'Weights &amp; Assumptions'!$F$10+Tabelle1!K210*'Weights &amp; Assumptions'!$F$12+Tabelle1!L210*'Weights &amp; Assumptions'!$F$13+Tabelle1!M210*'Weights &amp; Assumptions'!$F$14+Tabelle1!N210*'Weights &amp; Assumptions'!$F$15+Tabelle1!O210*'Weights &amp; Assumptions'!$F$16+Tabelle1!P210*'Weights &amp; Assumptions'!$F$17+Tabelle1!Q210*'Weights &amp; Assumptions'!$F$18+Tabelle1!R210*'Weights &amp; Assumptions'!$F$19+Tabelle1!S210*'Weights &amp; Assumptions'!$F$20,"")</f>
        <v>143.863326911962</v>
      </c>
      <c r="Y209" s="23" t="n">
        <f aca="false">IFERROR(V209*'Weights &amp; Assumptions'!$B$25/'Weights &amp; Assumptions'!$B$28+W209*'Weights &amp; Assumptions'!$B$26/'Weights &amp; Assumptions'!$B$28+X209*'Weights &amp; Assumptions'!$B$27/'Weights &amp; Assumptions'!$B$28,"")</f>
        <v>133.156420318569</v>
      </c>
    </row>
    <row r="210" customFormat="false" ht="15" hidden="false" customHeight="false" outlineLevel="0" collapsed="false">
      <c r="A210" s="20" t="n">
        <v>44196</v>
      </c>
      <c r="B210" s="30" t="n">
        <f aca="false">IF(ISNUMBER(Tabelle1!D211),Tabelle1!D211,"")</f>
        <v>136.95759</v>
      </c>
      <c r="C210" s="23" t="n">
        <f aca="false">IF(ISNUMBER(Tabelle1!E211),Tabelle1!E211/'SF Workings'!F210,"")</f>
        <v>131.59524940278</v>
      </c>
      <c r="D210" s="23" t="n">
        <f aca="false">IF(ISNUMBER(Tabelle1!F211),Tabelle1!F211/'SF Workings'!J210,"")</f>
        <v>166.495275470056</v>
      </c>
      <c r="E210" s="23" t="n">
        <f aca="false">IF(ISNUMBER(Tabelle1!G211),Tabelle1!G211/'SF Workings'!N210,"")</f>
        <v>79.8259972645391</v>
      </c>
      <c r="F210" s="23" t="n">
        <f aca="false">IF(ISNUMBER(Tabelle1!H211),Tabelle1!H211/'SF Workings'!R210,"")</f>
        <v>119.390510289775</v>
      </c>
      <c r="G210" s="23" t="n">
        <f aca="false">IF(ISNUMBER(Tabelle1!I211),Tabelle1!I211/'SF Workings'!V210,"")</f>
        <v>146.450552822755</v>
      </c>
      <c r="H210" s="23" t="n">
        <f aca="false">IF(ISNUMBER(Tabelle1!J211),Tabelle1!J211/'SF Workings'!Z210,"")</f>
        <v>142.366218098321</v>
      </c>
      <c r="I210" s="23" t="n">
        <f aca="false">IF(ISNUMBER(Tabelle1!K211),Tabelle1!K211/'SF Workings'!AD210,"")</f>
        <v>150.864686052302</v>
      </c>
      <c r="J210" s="23" t="n">
        <f aca="false">IF(ISNUMBER(Tabelle1!L211),Tabelle1!L211/'SF Workings'!AH210,"")</f>
        <v>82.7804585403102</v>
      </c>
      <c r="K210" s="23" t="n">
        <f aca="false">IF(ISNUMBER(Tabelle1!M211),Tabelle1!M211/'SF Workings'!AL210,"")</f>
        <v>153.078916236838</v>
      </c>
      <c r="L210" s="23" t="n">
        <f aca="false">IF(ISNUMBER(Tabelle1!N211),Tabelle1!N211/'SF Workings'!AP210,"")</f>
        <v>171.09687854269</v>
      </c>
      <c r="M210" s="23" t="n">
        <f aca="false">IF(ISNUMBER(Tabelle1!O211),Tabelle1!O211/'SF Workings'!AT210,"")</f>
        <v>138.604886429976</v>
      </c>
      <c r="N210" s="23" t="n">
        <f aca="false">IF(ISNUMBER(Tabelle1!P211),Tabelle1!P211/'SF Workings'!AX210,"")</f>
        <v>142.931351343457</v>
      </c>
      <c r="O210" s="23" t="n">
        <f aca="false">IF(ISNUMBER(Tabelle1!Q211),Tabelle1!Q211/'SF Workings'!BB210,"")</f>
        <v>155.451857672166</v>
      </c>
      <c r="P210" s="23" t="n">
        <f aca="false">IF(ISNUMBER(Tabelle1!R211),Tabelle1!R211/'SF Workings'!BF210,"")</f>
        <v>176.75676996063</v>
      </c>
      <c r="Q210" s="23" t="n">
        <f aca="false">IF(ISNUMBER(Tabelle1!S211),Tabelle1!S211/'SF Workings'!BJ210,"")</f>
        <v>110.754227849685</v>
      </c>
      <c r="R210" s="23" t="n">
        <f aca="false">IFERROR(C210*'Weights &amp; Assumptions'!$F$6+D210*'Weights &amp; Assumptions'!$F$7,"")</f>
        <v>132.022863219029</v>
      </c>
      <c r="S210" s="23" t="n">
        <f aca="false">IFERROR(E210*'Weights &amp; Assumptions'!$F$8+F210*'Weights &amp; Assumptions'!$F$9+H210*'Weights &amp; Assumptions'!$F$11,"")</f>
        <v>119.452980663796</v>
      </c>
      <c r="T210" s="23" t="n">
        <f aca="false">IFERROR(G210*'Weights &amp; Assumptions'!$F$10+I210*'Weights &amp; Assumptions'!$F$12+J210*'Weights &amp; Assumptions'!$F$13+K210*'Weights &amp; Assumptions'!$F$14+L210*'Weights &amp; Assumptions'!$F$15+M210*'Weights &amp; Assumptions'!$F$16+N210*'Weights &amp; Assumptions'!$F$17+O210*'Weights &amp; Assumptions'!$F$18+P210*'Weights &amp; Assumptions'!$F$19+Q210*'Weights &amp; Assumptions'!$F$20,"")</f>
        <v>146.200129925877</v>
      </c>
      <c r="U210" s="23" t="n">
        <f aca="false">IFERROR(R210*'Weights &amp; Assumptions'!$B$25/'Weights &amp; Assumptions'!$B$28+S210*'Weights &amp; Assumptions'!$B$26/'Weights &amp; Assumptions'!$B$28+T210*'Weights &amp; Assumptions'!$B$27/'Weights &amp; Assumptions'!$B$28,"")</f>
        <v>137.898111238469</v>
      </c>
      <c r="V210" s="30" t="n">
        <f aca="false">IF(ISNUMBER(Tabelle1!E211),Tabelle1!E211*'Weights &amp; Assumptions'!$F$6+Tabelle1!F211*'Weights &amp; Assumptions'!$F$7,"")</f>
        <v>112.143373099367</v>
      </c>
      <c r="W210" s="30" t="n">
        <f aca="false">IF(ISNUMBER(Tabelle1!G211),Tabelle1!G211*'Weights &amp; Assumptions'!$F$8+Tabelle1!H211*'Weights &amp; Assumptions'!$F$9+Tabelle1!J211*'Weights &amp; Assumptions'!$F$11,"")</f>
        <v>117.802988130251</v>
      </c>
      <c r="X210" s="30" t="n">
        <f aca="false">IF(ISNUMBER(Tabelle1!I211),Tabelle1!I211*'Weights &amp; Assumptions'!$F$10+Tabelle1!K211*'Weights &amp; Assumptions'!$F$12+Tabelle1!L211*'Weights &amp; Assumptions'!$F$13+Tabelle1!M211*'Weights &amp; Assumptions'!$F$14+Tabelle1!N211*'Weights &amp; Assumptions'!$F$15+Tabelle1!O211*'Weights &amp; Assumptions'!$F$16+Tabelle1!P211*'Weights &amp; Assumptions'!$F$17+Tabelle1!Q211*'Weights &amp; Assumptions'!$F$18+Tabelle1!R211*'Weights &amp; Assumptions'!$F$19+Tabelle1!S211*'Weights &amp; Assumptions'!$F$20,"")</f>
        <v>145.533958670098</v>
      </c>
      <c r="Y210" s="23" t="n">
        <f aca="false">IFERROR(V210*'Weights &amp; Assumptions'!$B$25/'Weights &amp; Assumptions'!$B$28+W210*'Weights &amp; Assumptions'!$B$26/'Weights &amp; Assumptions'!$B$28+X210*'Weights &amp; Assumptions'!$B$27/'Weights &amp; Assumptions'!$B$28,"")</f>
        <v>135.358311277407</v>
      </c>
    </row>
    <row r="211" customFormat="false" ht="15" hidden="false" customHeight="false" outlineLevel="0" collapsed="false">
      <c r="A211" s="20" t="n">
        <v>44227</v>
      </c>
      <c r="B211" s="30" t="n">
        <f aca="false">IF(ISNUMBER(Tabelle1!D212),Tabelle1!D212,"")</f>
        <v>139.84977</v>
      </c>
      <c r="C211" s="23" t="n">
        <f aca="false">IF(ISNUMBER(Tabelle1!E212),Tabelle1!E212/'SF Workings'!F211,"")</f>
        <v>127.397983442848</v>
      </c>
      <c r="D211" s="23" t="n">
        <f aca="false">IF(ISNUMBER(Tabelle1!F212),Tabelle1!F212/'SF Workings'!J211,"")</f>
        <v>159.892841962262</v>
      </c>
      <c r="E211" s="23" t="n">
        <f aca="false">IF(ISNUMBER(Tabelle1!G212),Tabelle1!G212/'SF Workings'!N211,"")</f>
        <v>78.4954872152107</v>
      </c>
      <c r="F211" s="23" t="n">
        <f aca="false">IF(ISNUMBER(Tabelle1!H212),Tabelle1!H212/'SF Workings'!R211,"")</f>
        <v>121.907147568236</v>
      </c>
      <c r="G211" s="23" t="n">
        <f aca="false">IF(ISNUMBER(Tabelle1!I212),Tabelle1!I212/'SF Workings'!V211,"")</f>
        <v>139.842564766721</v>
      </c>
      <c r="H211" s="23" t="n">
        <f aca="false">IF(ISNUMBER(Tabelle1!J212),Tabelle1!J212/'SF Workings'!Z211,"")</f>
        <v>141.318418066207</v>
      </c>
      <c r="I211" s="23" t="n">
        <f aca="false">IF(ISNUMBER(Tabelle1!K212),Tabelle1!K212/'SF Workings'!AD211,"")</f>
        <v>147.938531925108</v>
      </c>
      <c r="J211" s="23" t="n">
        <f aca="false">IF(ISNUMBER(Tabelle1!L212),Tabelle1!L212/'SF Workings'!AH211,"")</f>
        <v>94.3550570311958</v>
      </c>
      <c r="K211" s="23" t="n">
        <f aca="false">IF(ISNUMBER(Tabelle1!M212),Tabelle1!M212/'SF Workings'!AL211,"")</f>
        <v>159.347439653368</v>
      </c>
      <c r="L211" s="23" t="n">
        <f aca="false">IF(ISNUMBER(Tabelle1!N212),Tabelle1!N212/'SF Workings'!AP211,"")</f>
        <v>163.796942915805</v>
      </c>
      <c r="M211" s="23" t="n">
        <f aca="false">IF(ISNUMBER(Tabelle1!O212),Tabelle1!O212/'SF Workings'!AT211,"")</f>
        <v>141.916051519463</v>
      </c>
      <c r="N211" s="23" t="n">
        <f aca="false">IF(ISNUMBER(Tabelle1!P212),Tabelle1!P212/'SF Workings'!AX211,"")</f>
        <v>145.576315013476</v>
      </c>
      <c r="O211" s="23" t="n">
        <f aca="false">IF(ISNUMBER(Tabelle1!Q212),Tabelle1!Q212/'SF Workings'!BB211,"")</f>
        <v>156.35577937668</v>
      </c>
      <c r="P211" s="23" t="n">
        <f aca="false">IF(ISNUMBER(Tabelle1!R212),Tabelle1!R212/'SF Workings'!BF211,"")</f>
        <v>175.927854663541</v>
      </c>
      <c r="Q211" s="23" t="n">
        <f aca="false">IF(ISNUMBER(Tabelle1!S212),Tabelle1!S212/'SF Workings'!BJ211,"")</f>
        <v>115.570791066525</v>
      </c>
      <c r="R211" s="23" t="n">
        <f aca="false">IFERROR(C211*'Weights &amp; Assumptions'!$F$6+D211*'Weights &amp; Assumptions'!$F$7,"")</f>
        <v>127.796127857789</v>
      </c>
      <c r="S211" s="23" t="n">
        <f aca="false">IFERROR(E211*'Weights &amp; Assumptions'!$F$8+F211*'Weights &amp; Assumptions'!$F$9+H211*'Weights &amp; Assumptions'!$F$11,"")</f>
        <v>120.767720886205</v>
      </c>
      <c r="T211" s="23" t="n">
        <f aca="false">IFERROR(G211*'Weights &amp; Assumptions'!$F$10+I211*'Weights &amp; Assumptions'!$F$12+J211*'Weights &amp; Assumptions'!$F$13+K211*'Weights &amp; Assumptions'!$F$14+L211*'Weights &amp; Assumptions'!$F$15+M211*'Weights &amp; Assumptions'!$F$16+N211*'Weights &amp; Assumptions'!$F$17+O211*'Weights &amp; Assumptions'!$F$18+P211*'Weights &amp; Assumptions'!$F$19+Q211*'Weights &amp; Assumptions'!$F$20,"")</f>
        <v>147.510306628159</v>
      </c>
      <c r="U211" s="23" t="n">
        <f aca="false">IFERROR(R211*'Weights &amp; Assumptions'!$B$25/'Weights &amp; Assumptions'!$B$28+S211*'Weights &amp; Assumptions'!$B$26/'Weights &amp; Assumptions'!$B$28+T211*'Weights &amp; Assumptions'!$B$27/'Weights &amp; Assumptions'!$B$28,"")</f>
        <v>138.74494993053</v>
      </c>
      <c r="V211" s="30" t="n">
        <f aca="false">IF(ISNUMBER(Tabelle1!E212),Tabelle1!E212*'Weights &amp; Assumptions'!$F$6+Tabelle1!F212*'Weights &amp; Assumptions'!$F$7,"")</f>
        <v>87.4593402849787</v>
      </c>
      <c r="W211" s="30" t="n">
        <f aca="false">IF(ISNUMBER(Tabelle1!G212),Tabelle1!G212*'Weights &amp; Assumptions'!$F$8+Tabelle1!H212*'Weights &amp; Assumptions'!$F$9+Tabelle1!J212*'Weights &amp; Assumptions'!$F$11,"")</f>
        <v>111.250268533345</v>
      </c>
      <c r="X211" s="30" t="n">
        <f aca="false">IF(ISNUMBER(Tabelle1!I212),Tabelle1!I212*'Weights &amp; Assumptions'!$F$10+Tabelle1!K212*'Weights &amp; Assumptions'!$F$12+Tabelle1!L212*'Weights &amp; Assumptions'!$F$13+Tabelle1!M212*'Weights &amp; Assumptions'!$F$14+Tabelle1!N212*'Weights &amp; Assumptions'!$F$15+Tabelle1!O212*'Weights &amp; Assumptions'!$F$16+Tabelle1!P212*'Weights &amp; Assumptions'!$F$17+Tabelle1!Q212*'Weights &amp; Assumptions'!$F$18+Tabelle1!R212*'Weights &amp; Assumptions'!$F$19+Tabelle1!S212*'Weights &amp; Assumptions'!$F$20,"")</f>
        <v>146.095920832673</v>
      </c>
      <c r="Y211" s="23" t="n">
        <f aca="false">IFERROR(V211*'Weights &amp; Assumptions'!$B$25/'Weights &amp; Assumptions'!$B$28+W211*'Weights &amp; Assumptions'!$B$26/'Weights &amp; Assumptions'!$B$28+X211*'Weights &amp; Assumptions'!$B$27/'Weights &amp; Assumptions'!$B$28,"")</f>
        <v>131.910195291459</v>
      </c>
    </row>
    <row r="212" customFormat="false" ht="15" hidden="false" customHeight="false" outlineLevel="0" collapsed="false">
      <c r="A212" s="20" t="n">
        <v>44255</v>
      </c>
      <c r="B212" s="30" t="n">
        <f aca="false">IF(ISNUMBER(Tabelle1!D213),Tabelle1!D213,"")</f>
        <v>138.24268</v>
      </c>
      <c r="C212" s="23" t="n">
        <f aca="false">IF(ISNUMBER(Tabelle1!E213),Tabelle1!E213/'SF Workings'!F212,"")</f>
        <v>118.670460807273</v>
      </c>
      <c r="D212" s="23" t="n">
        <f aca="false">IF(ISNUMBER(Tabelle1!F213),Tabelle1!F213/'SF Workings'!J212,"")</f>
        <v>157.284067414273</v>
      </c>
      <c r="E212" s="23" t="n">
        <f aca="false">IF(ISNUMBER(Tabelle1!G213),Tabelle1!G213/'SF Workings'!N212,"")</f>
        <v>80.8833111145558</v>
      </c>
      <c r="F212" s="23" t="n">
        <f aca="false">IF(ISNUMBER(Tabelle1!H213),Tabelle1!H213/'SF Workings'!R212,"")</f>
        <v>118.894793545377</v>
      </c>
      <c r="G212" s="23" t="n">
        <f aca="false">IF(ISNUMBER(Tabelle1!I213),Tabelle1!I213/'SF Workings'!V212,"")</f>
        <v>130.727953264</v>
      </c>
      <c r="H212" s="23" t="n">
        <f aca="false">IF(ISNUMBER(Tabelle1!J213),Tabelle1!J213/'SF Workings'!Z212,"")</f>
        <v>139.966829701218</v>
      </c>
      <c r="I212" s="23" t="n">
        <f aca="false">IF(ISNUMBER(Tabelle1!K213),Tabelle1!K213/'SF Workings'!AD212,"")</f>
        <v>144.812463975787</v>
      </c>
      <c r="J212" s="23" t="n">
        <f aca="false">IF(ISNUMBER(Tabelle1!L213),Tabelle1!L213/'SF Workings'!AH212,"")</f>
        <v>98.1719318384028</v>
      </c>
      <c r="K212" s="23" t="n">
        <f aca="false">IF(ISNUMBER(Tabelle1!M213),Tabelle1!M213/'SF Workings'!AL212,"")</f>
        <v>159.960323101527</v>
      </c>
      <c r="L212" s="23" t="n">
        <f aca="false">IF(ISNUMBER(Tabelle1!N213),Tabelle1!N213/'SF Workings'!AP212,"")</f>
        <v>166.992157867191</v>
      </c>
      <c r="M212" s="23" t="n">
        <f aca="false">IF(ISNUMBER(Tabelle1!O213),Tabelle1!O213/'SF Workings'!AT212,"")</f>
        <v>141.108548210856</v>
      </c>
      <c r="N212" s="23" t="n">
        <f aca="false">IF(ISNUMBER(Tabelle1!P213),Tabelle1!P213/'SF Workings'!AX212,"")</f>
        <v>146.164758621559</v>
      </c>
      <c r="O212" s="23" t="n">
        <f aca="false">IF(ISNUMBER(Tabelle1!Q213),Tabelle1!Q213/'SF Workings'!BB212,"")</f>
        <v>157.060381581019</v>
      </c>
      <c r="P212" s="23" t="n">
        <f aca="false">IF(ISNUMBER(Tabelle1!R213),Tabelle1!R213/'SF Workings'!BF212,"")</f>
        <v>177.458622419309</v>
      </c>
      <c r="Q212" s="23" t="n">
        <f aca="false">IF(ISNUMBER(Tabelle1!S213),Tabelle1!S213/'SF Workings'!BJ212,"")</f>
        <v>113.799816501173</v>
      </c>
      <c r="R212" s="23" t="n">
        <f aca="false">IFERROR(C212*'Weights &amp; Assumptions'!$F$6+D212*'Weights &amp; Assumptions'!$F$7,"")</f>
        <v>119.14357540176</v>
      </c>
      <c r="S212" s="23" t="n">
        <f aca="false">IFERROR(E212*'Weights &amp; Assumptions'!$F$8+F212*'Weights &amp; Assumptions'!$F$9+H212*'Weights &amp; Assumptions'!$F$11,"")</f>
        <v>118.746112447243</v>
      </c>
      <c r="T212" s="23" t="n">
        <f aca="false">IFERROR(G212*'Weights &amp; Assumptions'!$F$10+I212*'Weights &amp; Assumptions'!$F$12+J212*'Weights &amp; Assumptions'!$F$13+K212*'Weights &amp; Assumptions'!$F$14+L212*'Weights &amp; Assumptions'!$F$15+M212*'Weights &amp; Assumptions'!$F$16+N212*'Weights &amp; Assumptions'!$F$17+O212*'Weights &amp; Assumptions'!$F$18+P212*'Weights &amp; Assumptions'!$F$19+Q212*'Weights &amp; Assumptions'!$F$20,"")</f>
        <v>147.084021520218</v>
      </c>
      <c r="U212" s="23" t="n">
        <f aca="false">IFERROR(R212*'Weights &amp; Assumptions'!$B$25/'Weights &amp; Assumptions'!$B$28+S212*'Weights &amp; Assumptions'!$B$26/'Weights &amp; Assumptions'!$B$28+T212*'Weights &amp; Assumptions'!$B$27/'Weights &amp; Assumptions'!$B$28,"")</f>
        <v>137.20424980511</v>
      </c>
      <c r="V212" s="30" t="n">
        <f aca="false">IF(ISNUMBER(Tabelle1!E213),Tabelle1!E213*'Weights &amp; Assumptions'!$F$6+Tabelle1!F213*'Weights &amp; Assumptions'!$F$7,"")</f>
        <v>72.8850921992587</v>
      </c>
      <c r="W212" s="30" t="n">
        <f aca="false">IF(ISNUMBER(Tabelle1!G213),Tabelle1!G213*'Weights &amp; Assumptions'!$F$8+Tabelle1!H213*'Weights &amp; Assumptions'!$F$9+Tabelle1!J213*'Weights &amp; Assumptions'!$F$11,"")</f>
        <v>108.165571304387</v>
      </c>
      <c r="X212" s="30" t="n">
        <f aca="false">IF(ISNUMBER(Tabelle1!I213),Tabelle1!I213*'Weights &amp; Assumptions'!$F$10+Tabelle1!K213*'Weights &amp; Assumptions'!$F$12+Tabelle1!L213*'Weights &amp; Assumptions'!$F$13+Tabelle1!M213*'Weights &amp; Assumptions'!$F$14+Tabelle1!N213*'Weights &amp; Assumptions'!$F$15+Tabelle1!O213*'Weights &amp; Assumptions'!$F$16+Tabelle1!P213*'Weights &amp; Assumptions'!$F$17+Tabelle1!Q213*'Weights &amp; Assumptions'!$F$18+Tabelle1!R213*'Weights &amp; Assumptions'!$F$19+Tabelle1!S213*'Weights &amp; Assumptions'!$F$20,"")</f>
        <v>143.673930209649</v>
      </c>
      <c r="Y212" s="23" t="n">
        <f aca="false">IFERROR(V212*'Weights &amp; Assumptions'!$B$25/'Weights &amp; Assumptions'!$B$28+W212*'Weights &amp; Assumptions'!$B$26/'Weights &amp; Assumptions'!$B$28+X212*'Weights &amp; Assumptions'!$B$27/'Weights &amp; Assumptions'!$B$28,"")</f>
        <v>128.29239489144</v>
      </c>
    </row>
    <row r="213" customFormat="false" ht="15" hidden="false" customHeight="false" outlineLevel="0" collapsed="false">
      <c r="A213" s="20" t="n">
        <v>44286</v>
      </c>
      <c r="B213" s="30" t="n">
        <f aca="false">IF(ISNUMBER(Tabelle1!D214),Tabelle1!D214,"")</f>
        <v>140.89139</v>
      </c>
      <c r="C213" s="23" t="n">
        <f aca="false">IF(ISNUMBER(Tabelle1!E214),Tabelle1!E214/'SF Workings'!F213,"")</f>
        <v>125.597366921506</v>
      </c>
      <c r="D213" s="23" t="n">
        <f aca="false">IF(ISNUMBER(Tabelle1!F214),Tabelle1!F214/'SF Workings'!J213,"")</f>
        <v>176.10540890738</v>
      </c>
      <c r="E213" s="23" t="n">
        <f aca="false">IF(ISNUMBER(Tabelle1!G214),Tabelle1!G214/'SF Workings'!N213,"")</f>
        <v>83.3043138999815</v>
      </c>
      <c r="F213" s="23" t="n">
        <f aca="false">IF(ISNUMBER(Tabelle1!H214),Tabelle1!H214/'SF Workings'!R213,"")</f>
        <v>130.264272415845</v>
      </c>
      <c r="G213" s="23" t="n">
        <f aca="false">IF(ISNUMBER(Tabelle1!I214),Tabelle1!I214/'SF Workings'!V213,"")</f>
        <v>142.983864372552</v>
      </c>
      <c r="H213" s="23" t="n">
        <f aca="false">IF(ISNUMBER(Tabelle1!J214),Tabelle1!J214/'SF Workings'!Z213,"")</f>
        <v>149.503911340519</v>
      </c>
      <c r="I213" s="23" t="n">
        <f aca="false">IF(ISNUMBER(Tabelle1!K214),Tabelle1!K214/'SF Workings'!AD213,"")</f>
        <v>149.916090716557</v>
      </c>
      <c r="J213" s="23" t="n">
        <f aca="false">IF(ISNUMBER(Tabelle1!L214),Tabelle1!L214/'SF Workings'!AH213,"")</f>
        <v>97.4246524203803</v>
      </c>
      <c r="K213" s="23" t="n">
        <f aca="false">IF(ISNUMBER(Tabelle1!M214),Tabelle1!M214/'SF Workings'!AL213,"")</f>
        <v>166.283438400426</v>
      </c>
      <c r="L213" s="23" t="n">
        <f aca="false">IF(ISNUMBER(Tabelle1!N214),Tabelle1!N214/'SF Workings'!AP213,"")</f>
        <v>173.937119889956</v>
      </c>
      <c r="M213" s="23" t="n">
        <f aca="false">IF(ISNUMBER(Tabelle1!O214),Tabelle1!O214/'SF Workings'!AT213,"")</f>
        <v>144.203240234894</v>
      </c>
      <c r="N213" s="23" t="n">
        <f aca="false">IF(ISNUMBER(Tabelle1!P214),Tabelle1!P214/'SF Workings'!AX213,"")</f>
        <v>148.131620499443</v>
      </c>
      <c r="O213" s="23" t="n">
        <f aca="false">IF(ISNUMBER(Tabelle1!Q214),Tabelle1!Q214/'SF Workings'!BB213,"")</f>
        <v>159.661895129244</v>
      </c>
      <c r="P213" s="23" t="n">
        <f aca="false">IF(ISNUMBER(Tabelle1!R214),Tabelle1!R214/'SF Workings'!BF213,"")</f>
        <v>180.192750051815</v>
      </c>
      <c r="Q213" s="23" t="n">
        <f aca="false">IF(ISNUMBER(Tabelle1!S214),Tabelle1!S214/'SF Workings'!BJ213,"")</f>
        <v>115.711352199042</v>
      </c>
      <c r="R213" s="23" t="n">
        <f aca="false">IFERROR(C213*'Weights &amp; Assumptions'!$F$6+D213*'Weights &amp; Assumptions'!$F$7,"")</f>
        <v>126.21621851042</v>
      </c>
      <c r="S213" s="23" t="n">
        <f aca="false">IFERROR(E213*'Weights &amp; Assumptions'!$F$8+F213*'Weights &amp; Assumptions'!$F$9+H213*'Weights &amp; Assumptions'!$F$11,"")</f>
        <v>128.665432151672</v>
      </c>
      <c r="T213" s="23" t="n">
        <f aca="false">IFERROR(G213*'Weights &amp; Assumptions'!$F$10+I213*'Weights &amp; Assumptions'!$F$12+J213*'Weights &amp; Assumptions'!$F$13+K213*'Weights &amp; Assumptions'!$F$14+L213*'Weights &amp; Assumptions'!$F$15+M213*'Weights &amp; Assumptions'!$F$16+N213*'Weights &amp; Assumptions'!$F$17+O213*'Weights &amp; Assumptions'!$F$18+P213*'Weights &amp; Assumptions'!$F$19+Q213*'Weights &amp; Assumptions'!$F$20,"")</f>
        <v>151.197533781225</v>
      </c>
      <c r="U213" s="23" t="n">
        <f aca="false">IFERROR(R213*'Weights &amp; Assumptions'!$B$25/'Weights &amp; Assumptions'!$B$28+S213*'Weights &amp; Assumptions'!$B$26/'Weights &amp; Assumptions'!$B$28+T213*'Weights &amp; Assumptions'!$B$27/'Weights &amp; Assumptions'!$B$28,"")</f>
        <v>143.109901222826</v>
      </c>
      <c r="V213" s="30" t="n">
        <f aca="false">IF(ISNUMBER(Tabelle1!E214),Tabelle1!E214*'Weights &amp; Assumptions'!$F$6+Tabelle1!F214*'Weights &amp; Assumptions'!$F$7,"")</f>
        <v>147.657047640076</v>
      </c>
      <c r="W213" s="30" t="n">
        <f aca="false">IF(ISNUMBER(Tabelle1!G214),Tabelle1!G214*'Weights &amp; Assumptions'!$F$8+Tabelle1!H214*'Weights &amp; Assumptions'!$F$9+Tabelle1!J214*'Weights &amp; Assumptions'!$F$11,"")</f>
        <v>128.891430378011</v>
      </c>
      <c r="X213" s="30" t="n">
        <f aca="false">IF(ISNUMBER(Tabelle1!I214),Tabelle1!I214*'Weights &amp; Assumptions'!$F$10+Tabelle1!K214*'Weights &amp; Assumptions'!$F$12+Tabelle1!L214*'Weights &amp; Assumptions'!$F$13+Tabelle1!M214*'Weights &amp; Assumptions'!$F$14+Tabelle1!N214*'Weights &amp; Assumptions'!$F$15+Tabelle1!O214*'Weights &amp; Assumptions'!$F$16+Tabelle1!P214*'Weights &amp; Assumptions'!$F$17+Tabelle1!Q214*'Weights &amp; Assumptions'!$F$18+Tabelle1!R214*'Weights &amp; Assumptions'!$F$19+Tabelle1!S214*'Weights &amp; Assumptions'!$F$20,"")</f>
        <v>153.277078252415</v>
      </c>
      <c r="Y213" s="23" t="n">
        <f aca="false">IFERROR(V213*'Weights &amp; Assumptions'!$B$25/'Weights &amp; Assumptions'!$B$28+W213*'Weights &amp; Assumptions'!$B$26/'Weights &amp; Assumptions'!$B$28+X213*'Weights &amp; Assumptions'!$B$27/'Weights &amp; Assumptions'!$B$28,"")</f>
        <v>146.320983264733</v>
      </c>
    </row>
    <row r="214" customFormat="false" ht="15" hidden="false" customHeight="false" outlineLevel="0" collapsed="false">
      <c r="A214" s="20" t="n">
        <v>44316</v>
      </c>
      <c r="B214" s="30" t="n">
        <f aca="false">IF(ISNUMBER(Tabelle1!D215),Tabelle1!D215,"")</f>
        <v>139.31159</v>
      </c>
      <c r="C214" s="23" t="n">
        <f aca="false">IF(ISNUMBER(Tabelle1!E215),Tabelle1!E215/'SF Workings'!F214,"")</f>
        <v>129.802517232408</v>
      </c>
      <c r="D214" s="23" t="n">
        <f aca="false">IF(ISNUMBER(Tabelle1!F215),Tabelle1!F215/'SF Workings'!J214,"")</f>
        <v>160.241137815209</v>
      </c>
      <c r="E214" s="23" t="n">
        <f aca="false">IF(ISNUMBER(Tabelle1!G215),Tabelle1!G215/'SF Workings'!N214,"")</f>
        <v>85.4729356002573</v>
      </c>
      <c r="F214" s="23" t="n">
        <f aca="false">IF(ISNUMBER(Tabelle1!H215),Tabelle1!H215/'SF Workings'!R214,"")</f>
        <v>130.373579898227</v>
      </c>
      <c r="G214" s="23" t="n">
        <f aca="false">IF(ISNUMBER(Tabelle1!I215),Tabelle1!I215/'SF Workings'!V214,"")</f>
        <v>147.542105154092</v>
      </c>
      <c r="H214" s="23" t="n">
        <f aca="false">IF(ISNUMBER(Tabelle1!J215),Tabelle1!J215/'SF Workings'!Z214,"")</f>
        <v>151.327762240506</v>
      </c>
      <c r="I214" s="23" t="n">
        <f aca="false">IF(ISNUMBER(Tabelle1!K215),Tabelle1!K215/'SF Workings'!AD214,"")</f>
        <v>155.868459307013</v>
      </c>
      <c r="J214" s="23" t="n">
        <f aca="false">IF(ISNUMBER(Tabelle1!L215),Tabelle1!L215/'SF Workings'!AH214,"")</f>
        <v>126.094228889245</v>
      </c>
      <c r="K214" s="23" t="n">
        <f aca="false">IF(ISNUMBER(Tabelle1!M215),Tabelle1!M215/'SF Workings'!AL214,"")</f>
        <v>169.828238227267</v>
      </c>
      <c r="L214" s="23" t="n">
        <f aca="false">IF(ISNUMBER(Tabelle1!N215),Tabelle1!N215/'SF Workings'!AP214,"")</f>
        <v>169.456682140932</v>
      </c>
      <c r="M214" s="23" t="n">
        <f aca="false">IF(ISNUMBER(Tabelle1!O215),Tabelle1!O215/'SF Workings'!AT214,"")</f>
        <v>145.68316077487</v>
      </c>
      <c r="N214" s="23" t="n">
        <f aca="false">IF(ISNUMBER(Tabelle1!P215),Tabelle1!P215/'SF Workings'!AX214,"")</f>
        <v>148.393570896379</v>
      </c>
      <c r="O214" s="23" t="n">
        <f aca="false">IF(ISNUMBER(Tabelle1!Q215),Tabelle1!Q215/'SF Workings'!BB214,"")</f>
        <v>158.395558861047</v>
      </c>
      <c r="P214" s="23" t="n">
        <f aca="false">IF(ISNUMBER(Tabelle1!R215),Tabelle1!R215/'SF Workings'!BF214,"")</f>
        <v>185.556945553946</v>
      </c>
      <c r="Q214" s="23" t="n">
        <f aca="false">IF(ISNUMBER(Tabelle1!S215),Tabelle1!S215/'SF Workings'!BJ214,"")</f>
        <v>115.392515325688</v>
      </c>
      <c r="R214" s="23" t="n">
        <f aca="false">IFERROR(C214*'Weights &amp; Assumptions'!$F$6+D214*'Weights &amp; Assumptions'!$F$7,"")</f>
        <v>130.175467518569</v>
      </c>
      <c r="S214" s="23" t="n">
        <f aca="false">IFERROR(E214*'Weights &amp; Assumptions'!$F$8+F214*'Weights &amp; Assumptions'!$F$9+H214*'Weights &amp; Assumptions'!$F$11,"")</f>
        <v>129.377796922854</v>
      </c>
      <c r="T214" s="23" t="n">
        <f aca="false">IFERROR(G214*'Weights &amp; Assumptions'!$F$10+I214*'Weights &amp; Assumptions'!$F$12+J214*'Weights &amp; Assumptions'!$F$13+K214*'Weights &amp; Assumptions'!$F$14+L214*'Weights &amp; Assumptions'!$F$15+M214*'Weights &amp; Assumptions'!$F$16+N214*'Weights &amp; Assumptions'!$F$17+O214*'Weights &amp; Assumptions'!$F$18+P214*'Weights &amp; Assumptions'!$F$19+Q214*'Weights &amp; Assumptions'!$F$20,"")</f>
        <v>154.659898080892</v>
      </c>
      <c r="U214" s="23" t="n">
        <f aca="false">IFERROR(R214*'Weights &amp; Assumptions'!$B$25/'Weights &amp; Assumptions'!$B$28+S214*'Weights &amp; Assumptions'!$B$26/'Weights &amp; Assumptions'!$B$28+T214*'Weights &amp; Assumptions'!$B$27/'Weights &amp; Assumptions'!$B$28,"")</f>
        <v>145.882681650972</v>
      </c>
      <c r="V214" s="30" t="n">
        <f aca="false">IF(ISNUMBER(Tabelle1!E215),Tabelle1!E215*'Weights &amp; Assumptions'!$F$6+Tabelle1!F215*'Weights &amp; Assumptions'!$F$7,"")</f>
        <v>206.79452692602</v>
      </c>
      <c r="W214" s="30" t="n">
        <f aca="false">IF(ISNUMBER(Tabelle1!G215),Tabelle1!G215*'Weights &amp; Assumptions'!$F$8+Tabelle1!H215*'Weights &amp; Assumptions'!$F$9+Tabelle1!J215*'Weights &amp; Assumptions'!$F$11,"")</f>
        <v>121.503552191352</v>
      </c>
      <c r="X214" s="30" t="n">
        <f aca="false">IF(ISNUMBER(Tabelle1!I215),Tabelle1!I215*'Weights &amp; Assumptions'!$F$10+Tabelle1!K215*'Weights &amp; Assumptions'!$F$12+Tabelle1!L215*'Weights &amp; Assumptions'!$F$13+Tabelle1!M215*'Weights &amp; Assumptions'!$F$14+Tabelle1!N215*'Weights &amp; Assumptions'!$F$15+Tabelle1!O215*'Weights &amp; Assumptions'!$F$16+Tabelle1!P215*'Weights &amp; Assumptions'!$F$17+Tabelle1!Q215*'Weights &amp; Assumptions'!$F$18+Tabelle1!R215*'Weights &amp; Assumptions'!$F$19+Tabelle1!S215*'Weights &amp; Assumptions'!$F$20,"")</f>
        <v>151.131071852479</v>
      </c>
      <c r="Y214" s="23" t="n">
        <f aca="false">IFERROR(V214*'Weights &amp; Assumptions'!$B$25/'Weights &amp; Assumptions'!$B$28+W214*'Weights &amp; Assumptions'!$B$26/'Weights &amp; Assumptions'!$B$28+X214*'Weights &amp; Assumptions'!$B$27/'Weights &amp; Assumptions'!$B$28,"")</f>
        <v>147.922807039886</v>
      </c>
    </row>
    <row r="215" customFormat="false" ht="15" hidden="false" customHeight="false" outlineLevel="0" collapsed="false">
      <c r="A215" s="20" t="n">
        <v>44347</v>
      </c>
      <c r="B215" s="30" t="n">
        <f aca="false">IF(ISNUMBER(Tabelle1!D216),Tabelle1!D216,"")</f>
        <v>138.85916</v>
      </c>
      <c r="C215" s="23" t="n">
        <f aca="false">IF(ISNUMBER(Tabelle1!E216),Tabelle1!E216/'SF Workings'!F215,"")</f>
        <v>129.53926126675</v>
      </c>
      <c r="D215" s="23" t="n">
        <f aca="false">IF(ISNUMBER(Tabelle1!F216),Tabelle1!F216/'SF Workings'!J215,"")</f>
        <v>182.388247561362</v>
      </c>
      <c r="E215" s="23" t="n">
        <f aca="false">IF(ISNUMBER(Tabelle1!G216),Tabelle1!G216/'SF Workings'!N215,"")</f>
        <v>87.0330020346853</v>
      </c>
      <c r="F215" s="23" t="n">
        <f aca="false">IF(ISNUMBER(Tabelle1!H216),Tabelle1!H216/'SF Workings'!R215,"")</f>
        <v>122.12249159849</v>
      </c>
      <c r="G215" s="23" t="n">
        <f aca="false">IF(ISNUMBER(Tabelle1!I216),Tabelle1!I216/'SF Workings'!V215,"")</f>
        <v>146.514085515747</v>
      </c>
      <c r="H215" s="23" t="n">
        <f aca="false">IF(ISNUMBER(Tabelle1!J216),Tabelle1!J216/'SF Workings'!Z215,"")</f>
        <v>132.992825844294</v>
      </c>
      <c r="I215" s="23" t="n">
        <f aca="false">IF(ISNUMBER(Tabelle1!K216),Tabelle1!K216/'SF Workings'!AD215,"")</f>
        <v>145.718049083502</v>
      </c>
      <c r="J215" s="23" t="n">
        <f aca="false">IF(ISNUMBER(Tabelle1!L216),Tabelle1!L216/'SF Workings'!AH215,"")</f>
        <v>105.359323227183</v>
      </c>
      <c r="K215" s="23" t="n">
        <f aca="false">IF(ISNUMBER(Tabelle1!M216),Tabelle1!M216/'SF Workings'!AL215,"")</f>
        <v>166.42276405351</v>
      </c>
      <c r="L215" s="23" t="n">
        <f aca="false">IF(ISNUMBER(Tabelle1!N216),Tabelle1!N216/'SF Workings'!AP215,"")</f>
        <v>164.86288055935</v>
      </c>
      <c r="M215" s="23" t="n">
        <f aca="false">IF(ISNUMBER(Tabelle1!O216),Tabelle1!O216/'SF Workings'!AT215,"")</f>
        <v>142.138920153431</v>
      </c>
      <c r="N215" s="23" t="n">
        <f aca="false">IF(ISNUMBER(Tabelle1!P216),Tabelle1!P216/'SF Workings'!AX215,"")</f>
        <v>149.012993581159</v>
      </c>
      <c r="O215" s="23" t="n">
        <f aca="false">IF(ISNUMBER(Tabelle1!Q216),Tabelle1!Q216/'SF Workings'!BB215,"")</f>
        <v>158.018093382829</v>
      </c>
      <c r="P215" s="23" t="n">
        <f aca="false">IF(ISNUMBER(Tabelle1!R216),Tabelle1!R216/'SF Workings'!BF215,"")</f>
        <v>183.72251667473</v>
      </c>
      <c r="Q215" s="23" t="n">
        <f aca="false">IF(ISNUMBER(Tabelle1!S216),Tabelle1!S216/'SF Workings'!BJ215,"")</f>
        <v>118.027351543613</v>
      </c>
      <c r="R215" s="23" t="n">
        <f aca="false">IFERROR(C215*'Weights &amp; Assumptions'!$F$6+D215*'Weights &amp; Assumptions'!$F$7,"")</f>
        <v>130.18679535944</v>
      </c>
      <c r="S215" s="23" t="n">
        <f aca="false">IFERROR(E215*'Weights &amp; Assumptions'!$F$8+F215*'Weights &amp; Assumptions'!$F$9+H215*'Weights &amp; Assumptions'!$F$11,"")</f>
        <v>120.197434297232</v>
      </c>
      <c r="T215" s="23" t="n">
        <f aca="false">IFERROR(G215*'Weights &amp; Assumptions'!$F$10+I215*'Weights &amp; Assumptions'!$F$12+J215*'Weights &amp; Assumptions'!$F$13+K215*'Weights &amp; Assumptions'!$F$14+L215*'Weights &amp; Assumptions'!$F$15+M215*'Weights &amp; Assumptions'!$F$16+N215*'Weights &amp; Assumptions'!$F$17+O215*'Weights &amp; Assumptions'!$F$18+P215*'Weights &amp; Assumptions'!$F$19+Q215*'Weights &amp; Assumptions'!$F$20,"")</f>
        <v>150.067515120217</v>
      </c>
      <c r="U215" s="23" t="n">
        <f aca="false">IFERROR(R215*'Weights &amp; Assumptions'!$B$25/'Weights &amp; Assumptions'!$B$28+S215*'Weights &amp; Assumptions'!$B$26/'Weights &amp; Assumptions'!$B$28+T215*'Weights &amp; Assumptions'!$B$27/'Weights &amp; Assumptions'!$B$28,"")</f>
        <v>140.456529921252</v>
      </c>
      <c r="V215" s="30" t="n">
        <f aca="false">IF(ISNUMBER(Tabelle1!E216),Tabelle1!E216*'Weights &amp; Assumptions'!$F$6+Tabelle1!F216*'Weights &amp; Assumptions'!$F$7,"")</f>
        <v>280.530597089904</v>
      </c>
      <c r="W215" s="30" t="n">
        <f aca="false">IF(ISNUMBER(Tabelle1!G216),Tabelle1!G216*'Weights &amp; Assumptions'!$F$8+Tabelle1!H216*'Weights &amp; Assumptions'!$F$9+Tabelle1!J216*'Weights &amp; Assumptions'!$F$11,"")</f>
        <v>118.798022673644</v>
      </c>
      <c r="X215" s="30" t="n">
        <f aca="false">IF(ISNUMBER(Tabelle1!I216),Tabelle1!I216*'Weights &amp; Assumptions'!$F$10+Tabelle1!K216*'Weights &amp; Assumptions'!$F$12+Tabelle1!L216*'Weights &amp; Assumptions'!$F$13+Tabelle1!M216*'Weights &amp; Assumptions'!$F$14+Tabelle1!N216*'Weights &amp; Assumptions'!$F$15+Tabelle1!O216*'Weights &amp; Assumptions'!$F$16+Tabelle1!P216*'Weights &amp; Assumptions'!$F$17+Tabelle1!Q216*'Weights &amp; Assumptions'!$F$18+Tabelle1!R216*'Weights &amp; Assumptions'!$F$19+Tabelle1!S216*'Weights &amp; Assumptions'!$F$20,"")</f>
        <v>150.506482623938</v>
      </c>
      <c r="Y215" s="23" t="n">
        <f aca="false">IFERROR(V215*'Weights &amp; Assumptions'!$B$25/'Weights &amp; Assumptions'!$B$28+W215*'Weights &amp; Assumptions'!$B$26/'Weights &amp; Assumptions'!$B$28+X215*'Weights &amp; Assumptions'!$B$27/'Weights &amp; Assumptions'!$B$28,"")</f>
        <v>152.983780644089</v>
      </c>
    </row>
    <row r="216" customFormat="false" ht="15" hidden="false" customHeight="false" outlineLevel="0" collapsed="false">
      <c r="A216" s="20" t="n">
        <v>44377</v>
      </c>
      <c r="B216" s="30" t="n">
        <f aca="false">IF(ISNUMBER(Tabelle1!D217),Tabelle1!D217,"")</f>
        <v>141.52411</v>
      </c>
      <c r="C216" s="23" t="n">
        <f aca="false">IF(ISNUMBER(Tabelle1!E217),Tabelle1!E217/'SF Workings'!F216,"")</f>
        <v>128.827031050566</v>
      </c>
      <c r="D216" s="23" t="n">
        <f aca="false">IF(ISNUMBER(Tabelle1!F217),Tabelle1!F217/'SF Workings'!J216,"")</f>
        <v>168.081983817308</v>
      </c>
      <c r="E216" s="23" t="n">
        <f aca="false">IF(ISNUMBER(Tabelle1!G217),Tabelle1!G217/'SF Workings'!N216,"")</f>
        <v>88.3386868808534</v>
      </c>
      <c r="F216" s="23" t="n">
        <f aca="false">IF(ISNUMBER(Tabelle1!H217),Tabelle1!H217/'SF Workings'!R216,"")</f>
        <v>129.585554949759</v>
      </c>
      <c r="G216" s="23" t="n">
        <f aca="false">IF(ISNUMBER(Tabelle1!I217),Tabelle1!I217/'SF Workings'!V216,"")</f>
        <v>150.125228197615</v>
      </c>
      <c r="H216" s="23" t="n">
        <f aca="false">IF(ISNUMBER(Tabelle1!J217),Tabelle1!J217/'SF Workings'!Z216,"")</f>
        <v>141.100631619734</v>
      </c>
      <c r="I216" s="23" t="n">
        <f aca="false">IF(ISNUMBER(Tabelle1!K217),Tabelle1!K217/'SF Workings'!AD216,"")</f>
        <v>150.799545379083</v>
      </c>
      <c r="J216" s="23" t="n">
        <f aca="false">IF(ISNUMBER(Tabelle1!L217),Tabelle1!L217/'SF Workings'!AH216,"")</f>
        <v>96.1985915968256</v>
      </c>
      <c r="K216" s="23" t="n">
        <f aca="false">IF(ISNUMBER(Tabelle1!M217),Tabelle1!M217/'SF Workings'!AL216,"")</f>
        <v>170.231764557909</v>
      </c>
      <c r="L216" s="23" t="n">
        <f aca="false">IF(ISNUMBER(Tabelle1!N217),Tabelle1!N217/'SF Workings'!AP216,"")</f>
        <v>167.742160071941</v>
      </c>
      <c r="M216" s="23" t="n">
        <f aca="false">IF(ISNUMBER(Tabelle1!O217),Tabelle1!O217/'SF Workings'!AT216,"")</f>
        <v>143.547521561219</v>
      </c>
      <c r="N216" s="23" t="n">
        <f aca="false">IF(ISNUMBER(Tabelle1!P217),Tabelle1!P217/'SF Workings'!AX216,"")</f>
        <v>148.993810652418</v>
      </c>
      <c r="O216" s="23" t="n">
        <f aca="false">IF(ISNUMBER(Tabelle1!Q217),Tabelle1!Q217/'SF Workings'!BB216,"")</f>
        <v>157.961696945341</v>
      </c>
      <c r="P216" s="23" t="n">
        <f aca="false">IF(ISNUMBER(Tabelle1!R217),Tabelle1!R217/'SF Workings'!BF216,"")</f>
        <v>183.775708874904</v>
      </c>
      <c r="Q216" s="23" t="n">
        <f aca="false">IF(ISNUMBER(Tabelle1!S217),Tabelle1!S217/'SF Workings'!BJ216,"")</f>
        <v>121.875900496414</v>
      </c>
      <c r="R216" s="23" t="n">
        <f aca="false">IFERROR(C216*'Weights &amp; Assumptions'!$F$6+D216*'Weights &amp; Assumptions'!$F$7,"")</f>
        <v>129.308003761788</v>
      </c>
      <c r="S216" s="23" t="n">
        <f aca="false">IFERROR(E216*'Weights &amp; Assumptions'!$F$8+F216*'Weights &amp; Assumptions'!$F$9+H216*'Weights &amp; Assumptions'!$F$11,"")</f>
        <v>127.059635835968</v>
      </c>
      <c r="T216" s="23" t="n">
        <f aca="false">IFERROR(G216*'Weights &amp; Assumptions'!$F$10+I216*'Weights &amp; Assumptions'!$F$12+J216*'Weights &amp; Assumptions'!$F$13+K216*'Weights &amp; Assumptions'!$F$14+L216*'Weights &amp; Assumptions'!$F$15+M216*'Weights &amp; Assumptions'!$F$16+N216*'Weights &amp; Assumptions'!$F$17+O216*'Weights &amp; Assumptions'!$F$18+P216*'Weights &amp; Assumptions'!$F$19+Q216*'Weights &amp; Assumptions'!$F$20,"")</f>
        <v>152.045690624749</v>
      </c>
      <c r="U216" s="23" t="n">
        <f aca="false">IFERROR(R216*'Weights &amp; Assumptions'!$B$25/'Weights &amp; Assumptions'!$B$28+S216*'Weights &amp; Assumptions'!$B$26/'Weights &amp; Assumptions'!$B$28+T216*'Weights &amp; Assumptions'!$B$27/'Weights &amp; Assumptions'!$B$28,"")</f>
        <v>143.493751345815</v>
      </c>
      <c r="V216" s="30" t="n">
        <f aca="false">IF(ISNUMBER(Tabelle1!E217),Tabelle1!E217*'Weights &amp; Assumptions'!$F$6+Tabelle1!F217*'Weights &amp; Assumptions'!$F$7,"")</f>
        <v>192.790154565738</v>
      </c>
      <c r="W216" s="30" t="n">
        <f aca="false">IF(ISNUMBER(Tabelle1!G217),Tabelle1!G217*'Weights &amp; Assumptions'!$F$8+Tabelle1!H217*'Weights &amp; Assumptions'!$F$9+Tabelle1!J217*'Weights &amp; Assumptions'!$F$11,"")</f>
        <v>128.169020865906</v>
      </c>
      <c r="X216" s="30" t="n">
        <f aca="false">IF(ISNUMBER(Tabelle1!I217),Tabelle1!I217*'Weights &amp; Assumptions'!$F$10+Tabelle1!K217*'Weights &amp; Assumptions'!$F$12+Tabelle1!L217*'Weights &amp; Assumptions'!$F$13+Tabelle1!M217*'Weights &amp; Assumptions'!$F$14+Tabelle1!N217*'Weights &amp; Assumptions'!$F$15+Tabelle1!O217*'Weights &amp; Assumptions'!$F$16+Tabelle1!P217*'Weights &amp; Assumptions'!$F$17+Tabelle1!Q217*'Weights &amp; Assumptions'!$F$18+Tabelle1!R217*'Weights &amp; Assumptions'!$F$19+Tabelle1!S217*'Weights &amp; Assumptions'!$F$20,"")</f>
        <v>154.235975099595</v>
      </c>
      <c r="Y216" s="23" t="n">
        <f aca="false">IFERROR(V216*'Weights &amp; Assumptions'!$B$25/'Weights &amp; Assumptions'!$B$28+W216*'Weights &amp; Assumptions'!$B$26/'Weights &amp; Assumptions'!$B$28+X216*'Weights &amp; Assumptions'!$B$27/'Weights &amp; Assumptions'!$B$28,"")</f>
        <v>150.539044368931</v>
      </c>
    </row>
    <row r="217" customFormat="false" ht="15" hidden="false" customHeight="false" outlineLevel="0" collapsed="false">
      <c r="A217" s="20" t="n">
        <v>44408</v>
      </c>
      <c r="B217" s="30" t="n">
        <f aca="false">IF(ISNUMBER(Tabelle1!D218),Tabelle1!D218,"")</f>
        <v>141.37917</v>
      </c>
      <c r="C217" s="23" t="n">
        <f aca="false">IF(ISNUMBER(Tabelle1!E218),Tabelle1!E218/'SF Workings'!F217,"")</f>
        <v>126.779551012441</v>
      </c>
      <c r="D217" s="23" t="n">
        <f aca="false">IF(ISNUMBER(Tabelle1!F218),Tabelle1!F218/'SF Workings'!J217,"")</f>
        <v>205.662144177511</v>
      </c>
      <c r="E217" s="23" t="n">
        <f aca="false">IF(ISNUMBER(Tabelle1!G218),Tabelle1!G218/'SF Workings'!N217,"")</f>
        <v>87.4327819887825</v>
      </c>
      <c r="F217" s="23" t="n">
        <f aca="false">IF(ISNUMBER(Tabelle1!H218),Tabelle1!H218/'SF Workings'!R217,"")</f>
        <v>124.471030059825</v>
      </c>
      <c r="G217" s="23" t="n">
        <f aca="false">IF(ISNUMBER(Tabelle1!I218),Tabelle1!I218/'SF Workings'!V217,"")</f>
        <v>150.379118894671</v>
      </c>
      <c r="H217" s="23" t="n">
        <f aca="false">IF(ISNUMBER(Tabelle1!J218),Tabelle1!J218/'SF Workings'!Z217,"")</f>
        <v>139.734042161828</v>
      </c>
      <c r="I217" s="23" t="n">
        <f aca="false">IF(ISNUMBER(Tabelle1!K218),Tabelle1!K218/'SF Workings'!AD217,"")</f>
        <v>149.627715163563</v>
      </c>
      <c r="J217" s="23" t="n">
        <f aca="false">IF(ISNUMBER(Tabelle1!L218),Tabelle1!L218/'SF Workings'!AH217,"")</f>
        <v>109.682998479678</v>
      </c>
      <c r="K217" s="23" t="n">
        <f aca="false">IF(ISNUMBER(Tabelle1!M218),Tabelle1!M218/'SF Workings'!AL217,"")</f>
        <v>167.266569332805</v>
      </c>
      <c r="L217" s="23" t="n">
        <f aca="false">IF(ISNUMBER(Tabelle1!N218),Tabelle1!N218/'SF Workings'!AP217,"")</f>
        <v>162.187215937263</v>
      </c>
      <c r="M217" s="23" t="n">
        <f aca="false">IF(ISNUMBER(Tabelle1!O218),Tabelle1!O218/'SF Workings'!AT217,"")</f>
        <v>143.851260470624</v>
      </c>
      <c r="N217" s="23" t="n">
        <f aca="false">IF(ISNUMBER(Tabelle1!P218),Tabelle1!P218/'SF Workings'!AX217,"")</f>
        <v>151.183091873476</v>
      </c>
      <c r="O217" s="23" t="n">
        <f aca="false">IF(ISNUMBER(Tabelle1!Q218),Tabelle1!Q218/'SF Workings'!BB217,"")</f>
        <v>157.925136480368</v>
      </c>
      <c r="P217" s="23" t="n">
        <f aca="false">IF(ISNUMBER(Tabelle1!R218),Tabelle1!R218/'SF Workings'!BF217,"")</f>
        <v>181.576636367673</v>
      </c>
      <c r="Q217" s="23" t="n">
        <f aca="false">IF(ISNUMBER(Tabelle1!S218),Tabelle1!S218/'SF Workings'!BJ217,"")</f>
        <v>117.581802114138</v>
      </c>
      <c r="R217" s="23" t="n">
        <f aca="false">IFERROR(C217*'Weights &amp; Assumptions'!$F$6+D217*'Weights &amp; Assumptions'!$F$7,"")</f>
        <v>127.746062803406</v>
      </c>
      <c r="S217" s="23" t="n">
        <f aca="false">IFERROR(E217*'Weights &amp; Assumptions'!$F$8+F217*'Weights &amp; Assumptions'!$F$9+H217*'Weights &amp; Assumptions'!$F$11,"")</f>
        <v>123.228394003443</v>
      </c>
      <c r="T217" s="23" t="n">
        <f aca="false">IFERROR(G217*'Weights &amp; Assumptions'!$F$10+I217*'Weights &amp; Assumptions'!$F$12+J217*'Weights &amp; Assumptions'!$F$13+K217*'Weights &amp; Assumptions'!$F$14+L217*'Weights &amp; Assumptions'!$F$15+M217*'Weights &amp; Assumptions'!$F$16+N217*'Weights &amp; Assumptions'!$F$17+O217*'Weights &amp; Assumptions'!$F$18+P217*'Weights &amp; Assumptions'!$F$19+Q217*'Weights &amp; Assumptions'!$F$20,"")</f>
        <v>151.459568299434</v>
      </c>
      <c r="U217" s="23" t="n">
        <f aca="false">IFERROR(R217*'Weights &amp; Assumptions'!$B$25/'Weights &amp; Assumptions'!$B$28+S217*'Weights &amp; Assumptions'!$B$26/'Weights &amp; Assumptions'!$B$28+T217*'Weights &amp; Assumptions'!$B$27/'Weights &amp; Assumptions'!$B$28,"")</f>
        <v>141.962823061861</v>
      </c>
      <c r="V217" s="30" t="n">
        <f aca="false">IF(ISNUMBER(Tabelle1!E218),Tabelle1!E218*'Weights &amp; Assumptions'!$F$6+Tabelle1!F218*'Weights &amp; Assumptions'!$F$7,"")</f>
        <v>117.737055034267</v>
      </c>
      <c r="W217" s="30" t="n">
        <f aca="false">IF(ISNUMBER(Tabelle1!G218),Tabelle1!G218*'Weights &amp; Assumptions'!$F$8+Tabelle1!H218*'Weights &amp; Assumptions'!$F$9+Tabelle1!J218*'Weights &amp; Assumptions'!$F$11,"")</f>
        <v>127.23341815838</v>
      </c>
      <c r="X217" s="30" t="n">
        <f aca="false">IF(ISNUMBER(Tabelle1!I218),Tabelle1!I218*'Weights &amp; Assumptions'!$F$10+Tabelle1!K218*'Weights &amp; Assumptions'!$F$12+Tabelle1!L218*'Weights &amp; Assumptions'!$F$13+Tabelle1!M218*'Weights &amp; Assumptions'!$F$14+Tabelle1!N218*'Weights &amp; Assumptions'!$F$15+Tabelle1!O218*'Weights &amp; Assumptions'!$F$16+Tabelle1!P218*'Weights &amp; Assumptions'!$F$17+Tabelle1!Q218*'Weights &amp; Assumptions'!$F$18+Tabelle1!R218*'Weights &amp; Assumptions'!$F$19+Tabelle1!S218*'Weights &amp; Assumptions'!$F$20,"")</f>
        <v>152.561256455736</v>
      </c>
      <c r="Y217" s="23" t="n">
        <f aca="false">IFERROR(V217*'Weights &amp; Assumptions'!$B$25/'Weights &amp; Assumptions'!$B$28+W217*'Weights &amp; Assumptions'!$B$26/'Weights &amp; Assumptions'!$B$28+X217*'Weights &amp; Assumptions'!$B$27/'Weights &amp; Assumptions'!$B$28,"")</f>
        <v>142.904362341705</v>
      </c>
    </row>
    <row r="218" customFormat="false" ht="15" hidden="false" customHeight="false" outlineLevel="0" collapsed="false">
      <c r="A218" s="20" t="n">
        <v>44439</v>
      </c>
      <c r="B218" s="30" t="n">
        <f aca="false">IF(ISNUMBER(Tabelle1!D219),Tabelle1!D219,"")</f>
        <v>143.3159</v>
      </c>
      <c r="C218" s="23" t="n">
        <f aca="false">IF(ISNUMBER(Tabelle1!E219),Tabelle1!E219/'SF Workings'!F218,"")</f>
        <v>126.391213195493</v>
      </c>
      <c r="D218" s="23" t="n">
        <f aca="false">IF(ISNUMBER(Tabelle1!F219),Tabelle1!F219/'SF Workings'!J218,"")</f>
        <v>167.509546082709</v>
      </c>
      <c r="E218" s="23" t="n">
        <f aca="false">IF(ISNUMBER(Tabelle1!G219),Tabelle1!G219/'SF Workings'!N218,"")</f>
        <v>88.3655851660305</v>
      </c>
      <c r="F218" s="23" t="n">
        <f aca="false">IF(ISNUMBER(Tabelle1!H219),Tabelle1!H219/'SF Workings'!R218,"")</f>
        <v>122.812624983627</v>
      </c>
      <c r="G218" s="23" t="n">
        <f aca="false">IF(ISNUMBER(Tabelle1!I219),Tabelle1!I219/'SF Workings'!V218,"")</f>
        <v>153.335921198068</v>
      </c>
      <c r="H218" s="23" t="n">
        <f aca="false">IF(ISNUMBER(Tabelle1!J219),Tabelle1!J219/'SF Workings'!Z218,"")</f>
        <v>139.751405173991</v>
      </c>
      <c r="I218" s="23" t="n">
        <f aca="false">IF(ISNUMBER(Tabelle1!K219),Tabelle1!K219/'SF Workings'!AD218,"")</f>
        <v>148.673371003143</v>
      </c>
      <c r="J218" s="23" t="n">
        <f aca="false">IF(ISNUMBER(Tabelle1!L219),Tabelle1!L219/'SF Workings'!AH218,"")</f>
        <v>113.659418764917</v>
      </c>
      <c r="K218" s="23" t="n">
        <f aca="false">IF(ISNUMBER(Tabelle1!M219),Tabelle1!M219/'SF Workings'!AL218,"")</f>
        <v>171.253919816761</v>
      </c>
      <c r="L218" s="23" t="n">
        <f aca="false">IF(ISNUMBER(Tabelle1!N219),Tabelle1!N219/'SF Workings'!AP218,"")</f>
        <v>164.939316316071</v>
      </c>
      <c r="M218" s="23" t="n">
        <f aca="false">IF(ISNUMBER(Tabelle1!O219),Tabelle1!O219/'SF Workings'!AT218,"")</f>
        <v>143.699387136647</v>
      </c>
      <c r="N218" s="23" t="n">
        <f aca="false">IF(ISNUMBER(Tabelle1!P219),Tabelle1!P219/'SF Workings'!AX218,"")</f>
        <v>152.043987777767</v>
      </c>
      <c r="O218" s="23" t="n">
        <f aca="false">IF(ISNUMBER(Tabelle1!Q219),Tabelle1!Q219/'SF Workings'!BB218,"")</f>
        <v>160.606011804596</v>
      </c>
      <c r="P218" s="23" t="n">
        <f aca="false">IF(ISNUMBER(Tabelle1!R219),Tabelle1!R219/'SF Workings'!BF218,"")</f>
        <v>182.36067014757</v>
      </c>
      <c r="Q218" s="23" t="n">
        <f aca="false">IF(ISNUMBER(Tabelle1!S219),Tabelle1!S219/'SF Workings'!BJ218,"")</f>
        <v>122.029424251145</v>
      </c>
      <c r="R218" s="23" t="n">
        <f aca="false">IFERROR(C218*'Weights &amp; Assumptions'!$F$6+D218*'Weights &amp; Assumptions'!$F$7,"")</f>
        <v>126.895017038213</v>
      </c>
      <c r="S218" s="23" t="n">
        <f aca="false">IFERROR(E218*'Weights &amp; Assumptions'!$F$8+F218*'Weights &amp; Assumptions'!$F$9+H218*'Weights &amp; Assumptions'!$F$11,"")</f>
        <v>122.228475328459</v>
      </c>
      <c r="T218" s="23" t="n">
        <f aca="false">IFERROR(G218*'Weights &amp; Assumptions'!$F$10+I218*'Weights &amp; Assumptions'!$F$12+J218*'Weights &amp; Assumptions'!$F$13+K218*'Weights &amp; Assumptions'!$F$14+L218*'Weights &amp; Assumptions'!$F$15+M218*'Weights &amp; Assumptions'!$F$16+N218*'Weights &amp; Assumptions'!$F$17+O218*'Weights &amp; Assumptions'!$F$18+P218*'Weights &amp; Assumptions'!$F$19+Q218*'Weights &amp; Assumptions'!$F$20,"")</f>
        <v>152.874361719367</v>
      </c>
      <c r="U218" s="23" t="n">
        <f aca="false">IFERROR(R218*'Weights &amp; Assumptions'!$B$25/'Weights &amp; Assumptions'!$B$28+S218*'Weights &amp; Assumptions'!$B$26/'Weights &amp; Assumptions'!$B$28+T218*'Weights &amp; Assumptions'!$B$27/'Weights &amp; Assumptions'!$B$28,"")</f>
        <v>142.545396561907</v>
      </c>
      <c r="V218" s="30" t="n">
        <f aca="false">IF(ISNUMBER(Tabelle1!E219),Tabelle1!E219*'Weights &amp; Assumptions'!$F$6+Tabelle1!F219*'Weights &amp; Assumptions'!$F$7,"")</f>
        <v>80.9904363639289</v>
      </c>
      <c r="W218" s="30" t="n">
        <f aca="false">IF(ISNUMBER(Tabelle1!G219),Tabelle1!G219*'Weights &amp; Assumptions'!$F$8+Tabelle1!H219*'Weights &amp; Assumptions'!$F$9+Tabelle1!J219*'Weights &amp; Assumptions'!$F$11,"")</f>
        <v>130.028119565618</v>
      </c>
      <c r="X218" s="30" t="n">
        <f aca="false">IF(ISNUMBER(Tabelle1!I219),Tabelle1!I219*'Weights &amp; Assumptions'!$F$10+Tabelle1!K219*'Weights &amp; Assumptions'!$F$12+Tabelle1!L219*'Weights &amp; Assumptions'!$F$13+Tabelle1!M219*'Weights &amp; Assumptions'!$F$14+Tabelle1!N219*'Weights &amp; Assumptions'!$F$15+Tabelle1!O219*'Weights &amp; Assumptions'!$F$16+Tabelle1!P219*'Weights &amp; Assumptions'!$F$17+Tabelle1!Q219*'Weights &amp; Assumptions'!$F$18+Tabelle1!R219*'Weights &amp; Assumptions'!$F$19+Tabelle1!S219*'Weights &amp; Assumptions'!$F$20,"")</f>
        <v>154.059261246418</v>
      </c>
      <c r="Y218" s="23" t="n">
        <f aca="false">IFERROR(V218*'Weights &amp; Assumptions'!$B$25/'Weights &amp; Assumptions'!$B$28+W218*'Weights &amp; Assumptions'!$B$26/'Weights &amp; Assumptions'!$B$28+X218*'Weights &amp; Assumptions'!$B$27/'Weights &amp; Assumptions'!$B$28,"")</f>
        <v>141.538425678149</v>
      </c>
    </row>
    <row r="219" customFormat="false" ht="15" hidden="false" customHeight="false" outlineLevel="0" collapsed="false">
      <c r="A219" s="20" t="n">
        <v>44469</v>
      </c>
      <c r="B219" s="30" t="n">
        <f aca="false">IF(ISNUMBER(Tabelle1!D220),Tabelle1!D220,"")</f>
        <v>144.17735</v>
      </c>
      <c r="C219" s="23" t="n">
        <f aca="false">IF(ISNUMBER(Tabelle1!E220),Tabelle1!E220/'SF Workings'!F219,"")</f>
        <v>128.041891641027</v>
      </c>
      <c r="D219" s="23" t="n">
        <f aca="false">IF(ISNUMBER(Tabelle1!F220),Tabelle1!F220/'SF Workings'!J219,"")</f>
        <v>157.728862506666</v>
      </c>
      <c r="E219" s="23" t="n">
        <f aca="false">IF(ISNUMBER(Tabelle1!G220),Tabelle1!G220/'SF Workings'!N219,"")</f>
        <v>90.3486443570837</v>
      </c>
      <c r="F219" s="23" t="n">
        <f aca="false">IF(ISNUMBER(Tabelle1!H220),Tabelle1!H220/'SF Workings'!R219,"")</f>
        <v>127.373151344714</v>
      </c>
      <c r="G219" s="23" t="n">
        <f aca="false">IF(ISNUMBER(Tabelle1!I220),Tabelle1!I220/'SF Workings'!V219,"")</f>
        <v>148.812732581938</v>
      </c>
      <c r="H219" s="23" t="n">
        <f aca="false">IF(ISNUMBER(Tabelle1!J220),Tabelle1!J220/'SF Workings'!Z219,"")</f>
        <v>143.218511317589</v>
      </c>
      <c r="I219" s="23" t="n">
        <f aca="false">IF(ISNUMBER(Tabelle1!K220),Tabelle1!K220/'SF Workings'!AD219,"")</f>
        <v>153.06320833298</v>
      </c>
      <c r="J219" s="23" t="n">
        <f aca="false">IF(ISNUMBER(Tabelle1!L220),Tabelle1!L220/'SF Workings'!AH219,"")</f>
        <v>125.842709303505</v>
      </c>
      <c r="K219" s="23" t="n">
        <f aca="false">IF(ISNUMBER(Tabelle1!M220),Tabelle1!M220/'SF Workings'!AL219,"")</f>
        <v>172.956639213682</v>
      </c>
      <c r="L219" s="23" t="n">
        <f aca="false">IF(ISNUMBER(Tabelle1!N220),Tabelle1!N220/'SF Workings'!AP219,"")</f>
        <v>164.72064047415</v>
      </c>
      <c r="M219" s="23" t="n">
        <f aca="false">IF(ISNUMBER(Tabelle1!O220),Tabelle1!O220/'SF Workings'!AT219,"")</f>
        <v>146.232154265248</v>
      </c>
      <c r="N219" s="23" t="n">
        <f aca="false">IF(ISNUMBER(Tabelle1!P220),Tabelle1!P220/'SF Workings'!AX219,"")</f>
        <v>153.08397727234</v>
      </c>
      <c r="O219" s="23" t="n">
        <f aca="false">IF(ISNUMBER(Tabelle1!Q220),Tabelle1!Q220/'SF Workings'!BB219,"")</f>
        <v>161.619920275768</v>
      </c>
      <c r="P219" s="23" t="n">
        <f aca="false">IF(ISNUMBER(Tabelle1!R220),Tabelle1!R220/'SF Workings'!BF219,"")</f>
        <v>181.743893768664</v>
      </c>
      <c r="Q219" s="23" t="n">
        <f aca="false">IF(ISNUMBER(Tabelle1!S220),Tabelle1!S220/'SF Workings'!BJ219,"")</f>
        <v>121.947260786112</v>
      </c>
      <c r="R219" s="23" t="n">
        <f aca="false">IFERROR(C219*'Weights &amp; Assumptions'!$F$6+D219*'Weights &amp; Assumptions'!$F$7,"")</f>
        <v>128.405632312173</v>
      </c>
      <c r="S219" s="23" t="n">
        <f aca="false">IFERROR(E219*'Weights &amp; Assumptions'!$F$8+F219*'Weights &amp; Assumptions'!$F$9+H219*'Weights &amp; Assumptions'!$F$11,"")</f>
        <v>126.253472757932</v>
      </c>
      <c r="T219" s="23" t="n">
        <f aca="false">IFERROR(G219*'Weights &amp; Assumptions'!$F$10+I219*'Weights &amp; Assumptions'!$F$12+J219*'Weights &amp; Assumptions'!$F$13+K219*'Weights &amp; Assumptions'!$F$14+L219*'Weights &amp; Assumptions'!$F$15+M219*'Weights &amp; Assumptions'!$F$16+N219*'Weights &amp; Assumptions'!$F$17+O219*'Weights &amp; Assumptions'!$F$18+P219*'Weights &amp; Assumptions'!$F$19+Q219*'Weights &amp; Assumptions'!$F$20,"")</f>
        <v>155.080566192581</v>
      </c>
      <c r="U219" s="23" t="n">
        <f aca="false">IFERROR(R219*'Weights &amp; Assumptions'!$B$25/'Weights &amp; Assumptions'!$B$28+S219*'Weights &amp; Assumptions'!$B$26/'Weights &amp; Assumptions'!$B$28+T219*'Weights &amp; Assumptions'!$B$27/'Weights &amp; Assumptions'!$B$28,"")</f>
        <v>145.17688934048</v>
      </c>
      <c r="V219" s="30" t="n">
        <f aca="false">IF(ISNUMBER(Tabelle1!E220),Tabelle1!E220*'Weights &amp; Assumptions'!$F$6+Tabelle1!F220*'Weights &amp; Assumptions'!$F$7,"")</f>
        <v>75.9642801162084</v>
      </c>
      <c r="W219" s="30" t="n">
        <f aca="false">IF(ISNUMBER(Tabelle1!G220),Tabelle1!G220*'Weights &amp; Assumptions'!$F$8+Tabelle1!H220*'Weights &amp; Assumptions'!$F$9+Tabelle1!J220*'Weights &amp; Assumptions'!$F$11,"")</f>
        <v>130.688859033875</v>
      </c>
      <c r="X219" s="30" t="n">
        <f aca="false">IF(ISNUMBER(Tabelle1!I220),Tabelle1!I220*'Weights &amp; Assumptions'!$F$10+Tabelle1!K220*'Weights &amp; Assumptions'!$F$12+Tabelle1!L220*'Weights &amp; Assumptions'!$F$13+Tabelle1!M220*'Weights &amp; Assumptions'!$F$14+Tabelle1!N220*'Weights &amp; Assumptions'!$F$15+Tabelle1!O220*'Weights &amp; Assumptions'!$F$16+Tabelle1!P220*'Weights &amp; Assumptions'!$F$17+Tabelle1!Q220*'Weights &amp; Assumptions'!$F$18+Tabelle1!R220*'Weights &amp; Assumptions'!$F$19+Tabelle1!S220*'Weights &amp; Assumptions'!$F$20,"")</f>
        <v>154.119761294405</v>
      </c>
      <c r="Y219" s="23" t="n">
        <f aca="false">IFERROR(V219*'Weights &amp; Assumptions'!$B$25/'Weights &amp; Assumptions'!$B$28+W219*'Weights &amp; Assumptions'!$B$26/'Weights &amp; Assumptions'!$B$28+X219*'Weights &amp; Assumptions'!$B$27/'Weights &amp; Assumptions'!$B$28,"")</f>
        <v>141.33176517675</v>
      </c>
    </row>
    <row r="220" customFormat="false" ht="15" hidden="false" customHeight="false" outlineLevel="0" collapsed="false">
      <c r="A220" s="20" t="n">
        <v>44500</v>
      </c>
      <c r="B220" s="30" t="n">
        <f aca="false">IF(ISNUMBER(Tabelle1!D221),Tabelle1!D221,"")</f>
        <v>143.35586</v>
      </c>
      <c r="C220" s="23" t="n">
        <f aca="false">IF(ISNUMBER(Tabelle1!E221),Tabelle1!E221/'SF Workings'!F220,"")</f>
        <v>128.598067284651</v>
      </c>
      <c r="D220" s="23" t="n">
        <f aca="false">IF(ISNUMBER(Tabelle1!F221),Tabelle1!F221/'SF Workings'!J220,"")</f>
        <v>128.817481191906</v>
      </c>
      <c r="E220" s="23" t="n">
        <f aca="false">IF(ISNUMBER(Tabelle1!G221),Tabelle1!G221/'SF Workings'!N220,"")</f>
        <v>89.9400642402689</v>
      </c>
      <c r="F220" s="23" t="n">
        <f aca="false">IF(ISNUMBER(Tabelle1!H221),Tabelle1!H221/'SF Workings'!R220,"")</f>
        <v>122.483385886587</v>
      </c>
      <c r="G220" s="23" t="n">
        <f aca="false">IF(ISNUMBER(Tabelle1!I221),Tabelle1!I221/'SF Workings'!V220,"")</f>
        <v>139.206960885598</v>
      </c>
      <c r="H220" s="23" t="n">
        <f aca="false">IF(ISNUMBER(Tabelle1!J221),Tabelle1!J221/'SF Workings'!Z220,"")</f>
        <v>138.69542699802</v>
      </c>
      <c r="I220" s="23" t="n">
        <f aca="false">IF(ISNUMBER(Tabelle1!K221),Tabelle1!K221/'SF Workings'!AD220,"")</f>
        <v>146.716805811311</v>
      </c>
      <c r="J220" s="23" t="n">
        <f aca="false">IF(ISNUMBER(Tabelle1!L221),Tabelle1!L221/'SF Workings'!AH220,"")</f>
        <v>109.166243763063</v>
      </c>
      <c r="K220" s="23" t="n">
        <f aca="false">IF(ISNUMBER(Tabelle1!M221),Tabelle1!M221/'SF Workings'!AL220,"")</f>
        <v>172.012529346334</v>
      </c>
      <c r="L220" s="23" t="n">
        <f aca="false">IF(ISNUMBER(Tabelle1!N221),Tabelle1!N221/'SF Workings'!AP220,"")</f>
        <v>165.36779805613</v>
      </c>
      <c r="M220" s="23" t="n">
        <f aca="false">IF(ISNUMBER(Tabelle1!O221),Tabelle1!O221/'SF Workings'!AT220,"")</f>
        <v>144.621345420195</v>
      </c>
      <c r="N220" s="23" t="n">
        <f aca="false">IF(ISNUMBER(Tabelle1!P221),Tabelle1!P221/'SF Workings'!AX220,"")</f>
        <v>159.147910557535</v>
      </c>
      <c r="O220" s="23" t="n">
        <f aca="false">IF(ISNUMBER(Tabelle1!Q221),Tabelle1!Q221/'SF Workings'!BB220,"")</f>
        <v>162.622958818465</v>
      </c>
      <c r="P220" s="23" t="n">
        <f aca="false">IF(ISNUMBER(Tabelle1!R221),Tabelle1!R221/'SF Workings'!BF220,"")</f>
        <v>180.271874938097</v>
      </c>
      <c r="Q220" s="23" t="n">
        <f aca="false">IF(ISNUMBER(Tabelle1!S221),Tabelle1!S221/'SF Workings'!BJ220,"")</f>
        <v>119.268761657692</v>
      </c>
      <c r="R220" s="23" t="n">
        <f aca="false">IFERROR(C220*'Weights &amp; Assumptions'!$F$6+D220*'Weights &amp; Assumptions'!$F$7,"")</f>
        <v>128.600755661388</v>
      </c>
      <c r="S220" s="23" t="n">
        <f aca="false">IFERROR(E220*'Weights &amp; Assumptions'!$F$8+F220*'Weights &amp; Assumptions'!$F$9+H220*'Weights &amp; Assumptions'!$F$11,"")</f>
        <v>121.975138905109</v>
      </c>
      <c r="T220" s="23" t="n">
        <f aca="false">IFERROR(G220*'Weights &amp; Assumptions'!$F$10+I220*'Weights &amp; Assumptions'!$F$12+J220*'Weights &amp; Assumptions'!$F$13+K220*'Weights &amp; Assumptions'!$F$14+L220*'Weights &amp; Assumptions'!$F$15+M220*'Weights &amp; Assumptions'!$F$16+N220*'Weights &amp; Assumptions'!$F$17+O220*'Weights &amp; Assumptions'!$F$18+P220*'Weights &amp; Assumptions'!$F$19+Q220*'Weights &amp; Assumptions'!$F$20,"")</f>
        <v>152.709797494847</v>
      </c>
      <c r="U220" s="23" t="n">
        <f aca="false">IFERROR(R220*'Weights &amp; Assumptions'!$B$25/'Weights &amp; Assumptions'!$B$28+S220*'Weights &amp; Assumptions'!$B$26/'Weights &amp; Assumptions'!$B$28+T220*'Weights &amp; Assumptions'!$B$27/'Weights &amp; Assumptions'!$B$28,"")</f>
        <v>142.514146224415</v>
      </c>
      <c r="V220" s="30" t="n">
        <f aca="false">IF(ISNUMBER(Tabelle1!E221),Tabelle1!E221*'Weights &amp; Assumptions'!$F$6+Tabelle1!F221*'Weights &amp; Assumptions'!$F$7,"")</f>
        <v>76.1485423779216</v>
      </c>
      <c r="W220" s="30" t="n">
        <f aca="false">IF(ISNUMBER(Tabelle1!G221),Tabelle1!G221*'Weights &amp; Assumptions'!$F$8+Tabelle1!H221*'Weights &amp; Assumptions'!$F$9+Tabelle1!J221*'Weights &amp; Assumptions'!$F$11,"")</f>
        <v>130.18155190743</v>
      </c>
      <c r="X220" s="30" t="n">
        <f aca="false">IF(ISNUMBER(Tabelle1!I221),Tabelle1!I221*'Weights &amp; Assumptions'!$F$10+Tabelle1!K221*'Weights &amp; Assumptions'!$F$12+Tabelle1!L221*'Weights &amp; Assumptions'!$F$13+Tabelle1!M221*'Weights &amp; Assumptions'!$F$14+Tabelle1!N221*'Weights &amp; Assumptions'!$F$15+Tabelle1!O221*'Weights &amp; Assumptions'!$F$16+Tabelle1!P221*'Weights &amp; Assumptions'!$F$17+Tabelle1!Q221*'Weights &amp; Assumptions'!$F$18+Tabelle1!R221*'Weights &amp; Assumptions'!$F$19+Tabelle1!S221*'Weights &amp; Assumptions'!$F$20,"")</f>
        <v>153.994373557352</v>
      </c>
      <c r="Y220" s="23" t="n">
        <f aca="false">IFERROR(V220*'Weights &amp; Assumptions'!$B$25/'Weights &amp; Assumptions'!$B$28+W220*'Weights &amp; Assumptions'!$B$26/'Weights &amp; Assumptions'!$B$28+X220*'Weights &amp; Assumptions'!$B$27/'Weights &amp; Assumptions'!$B$28,"")</f>
        <v>141.130798295213</v>
      </c>
    </row>
    <row r="221" customFormat="false" ht="15" hidden="false" customHeight="false" outlineLevel="0" collapsed="false">
      <c r="A221" s="20" t="n">
        <v>44530</v>
      </c>
      <c r="B221" s="30" t="n">
        <f aca="false">IF(ISNUMBER(Tabelle1!D222),Tabelle1!D222,"")</f>
        <v>145.71357</v>
      </c>
      <c r="C221" s="23" t="n">
        <f aca="false">IF(ISNUMBER(Tabelle1!E222),Tabelle1!E222/'SF Workings'!F221,"")</f>
        <v>132.846086752887</v>
      </c>
      <c r="D221" s="23" t="n">
        <f aca="false">IF(ISNUMBER(Tabelle1!F222),Tabelle1!F222/'SF Workings'!J221,"")</f>
        <v>152.623592243551</v>
      </c>
      <c r="E221" s="23" t="n">
        <f aca="false">IF(ISNUMBER(Tabelle1!G222),Tabelle1!G222/'SF Workings'!N221,"")</f>
        <v>92.4606014555418</v>
      </c>
      <c r="F221" s="23" t="n">
        <f aca="false">IF(ISNUMBER(Tabelle1!H222),Tabelle1!H222/'SF Workings'!R221,"")</f>
        <v>129.376062203118</v>
      </c>
      <c r="G221" s="23" t="n">
        <f aca="false">IF(ISNUMBER(Tabelle1!I222),Tabelle1!I222/'SF Workings'!V221,"")</f>
        <v>147.519319987435</v>
      </c>
      <c r="H221" s="23" t="n">
        <f aca="false">IF(ISNUMBER(Tabelle1!J222),Tabelle1!J222/'SF Workings'!Z221,"")</f>
        <v>142.571753939993</v>
      </c>
      <c r="I221" s="23" t="n">
        <f aca="false">IF(ISNUMBER(Tabelle1!K222),Tabelle1!K222/'SF Workings'!AD221,"")</f>
        <v>152.790712791869</v>
      </c>
      <c r="J221" s="23" t="n">
        <f aca="false">IF(ISNUMBER(Tabelle1!L222),Tabelle1!L222/'SF Workings'!AH221,"")</f>
        <v>112.384516569068</v>
      </c>
      <c r="K221" s="23" t="n">
        <f aca="false">IF(ISNUMBER(Tabelle1!M222),Tabelle1!M222/'SF Workings'!AL221,"")</f>
        <v>176.160269499589</v>
      </c>
      <c r="L221" s="23" t="n">
        <f aca="false">IF(ISNUMBER(Tabelle1!N222),Tabelle1!N222/'SF Workings'!AP221,"")</f>
        <v>172.929691201878</v>
      </c>
      <c r="M221" s="23" t="n">
        <f aca="false">IF(ISNUMBER(Tabelle1!O222),Tabelle1!O222/'SF Workings'!AT221,"")</f>
        <v>147.550103022467</v>
      </c>
      <c r="N221" s="23" t="n">
        <f aca="false">IF(ISNUMBER(Tabelle1!P222),Tabelle1!P222/'SF Workings'!AX221,"")</f>
        <v>159.43607398787</v>
      </c>
      <c r="O221" s="23" t="n">
        <f aca="false">IF(ISNUMBER(Tabelle1!Q222),Tabelle1!Q222/'SF Workings'!BB221,"")</f>
        <v>162.839336529987</v>
      </c>
      <c r="P221" s="23" t="n">
        <f aca="false">IF(ISNUMBER(Tabelle1!R222),Tabelle1!R222/'SF Workings'!BF221,"")</f>
        <v>180.705486825495</v>
      </c>
      <c r="Q221" s="23" t="n">
        <f aca="false">IF(ISNUMBER(Tabelle1!S222),Tabelle1!S222/'SF Workings'!BJ221,"")</f>
        <v>122.006895169465</v>
      </c>
      <c r="R221" s="23" t="n">
        <f aca="false">IFERROR(C221*'Weights &amp; Assumptions'!$F$6+D221*'Weights &amp; Assumptions'!$F$7,"")</f>
        <v>133.088411345495</v>
      </c>
      <c r="S221" s="23" t="n">
        <f aca="false">IFERROR(E221*'Weights &amp; Assumptions'!$F$8+F221*'Weights &amp; Assumptions'!$F$9+H221*'Weights &amp; Assumptions'!$F$11,"")</f>
        <v>127.717415012676</v>
      </c>
      <c r="T221" s="23" t="n">
        <f aca="false">IFERROR(G221*'Weights &amp; Assumptions'!$F$10+I221*'Weights &amp; Assumptions'!$F$12+J221*'Weights &amp; Assumptions'!$F$13+K221*'Weights &amp; Assumptions'!$F$14+L221*'Weights &amp; Assumptions'!$F$15+M221*'Weights &amp; Assumptions'!$F$16+N221*'Weights &amp; Assumptions'!$F$17+O221*'Weights &amp; Assumptions'!$F$18+P221*'Weights &amp; Assumptions'!$F$19+Q221*'Weights &amp; Assumptions'!$F$20,"")</f>
        <v>156.33426873934</v>
      </c>
      <c r="U221" s="23" t="n">
        <f aca="false">IFERROR(R221*'Weights &amp; Assumptions'!$B$25/'Weights &amp; Assumptions'!$B$28+S221*'Weights &amp; Assumptions'!$B$26/'Weights &amp; Assumptions'!$B$28+T221*'Weights &amp; Assumptions'!$B$27/'Weights &amp; Assumptions'!$B$28,"")</f>
        <v>146.774200668988</v>
      </c>
      <c r="V221" s="30" t="n">
        <f aca="false">IF(ISNUMBER(Tabelle1!E222),Tabelle1!E222*'Weights &amp; Assumptions'!$F$6+Tabelle1!F222*'Weights &amp; Assumptions'!$F$7,"")</f>
        <v>92.5020834496609</v>
      </c>
      <c r="W221" s="30" t="n">
        <f aca="false">IF(ISNUMBER(Tabelle1!G222),Tabelle1!G222*'Weights &amp; Assumptions'!$F$8+Tabelle1!H222*'Weights &amp; Assumptions'!$F$9+Tabelle1!J222*'Weights &amp; Assumptions'!$F$11,"")</f>
        <v>133.550300527456</v>
      </c>
      <c r="X221" s="30" t="n">
        <f aca="false">IF(ISNUMBER(Tabelle1!I222),Tabelle1!I222*'Weights &amp; Assumptions'!$F$10+Tabelle1!K222*'Weights &amp; Assumptions'!$F$12+Tabelle1!L222*'Weights &amp; Assumptions'!$F$13+Tabelle1!M222*'Weights &amp; Assumptions'!$F$14+Tabelle1!N222*'Weights &amp; Assumptions'!$F$15+Tabelle1!O222*'Weights &amp; Assumptions'!$F$16+Tabelle1!P222*'Weights &amp; Assumptions'!$F$17+Tabelle1!Q222*'Weights &amp; Assumptions'!$F$18+Tabelle1!R222*'Weights &amp; Assumptions'!$F$19+Tabelle1!S222*'Weights &amp; Assumptions'!$F$20,"")</f>
        <v>157.418338358139</v>
      </c>
      <c r="Y221" s="23" t="n">
        <f aca="false">IFERROR(V221*'Weights &amp; Assumptions'!$B$25/'Weights &amp; Assumptions'!$B$28+W221*'Weights &amp; Assumptions'!$B$26/'Weights &amp; Assumptions'!$B$28+X221*'Weights &amp; Assumptions'!$B$27/'Weights &amp; Assumptions'!$B$28,"")</f>
        <v>145.624882358115</v>
      </c>
    </row>
    <row r="222" customFormat="false" ht="15" hidden="false" customHeight="false" outlineLevel="0" collapsed="false">
      <c r="A222" s="20" t="n">
        <v>44561</v>
      </c>
      <c r="B222" s="30" t="n">
        <f aca="false">IF(ISNUMBER(Tabelle1!D223),Tabelle1!D223,"")</f>
        <v>149.7204</v>
      </c>
      <c r="C222" s="23" t="n">
        <f aca="false">IF(ISNUMBER(Tabelle1!E223),Tabelle1!E223/'SF Workings'!F222,"")</f>
        <v>148.461146095985</v>
      </c>
      <c r="D222" s="23" t="n">
        <f aca="false">IF(ISNUMBER(Tabelle1!F223),Tabelle1!F223/'SF Workings'!J222,"")</f>
        <v>169.440107877263</v>
      </c>
      <c r="E222" s="23" t="n">
        <f aca="false">IF(ISNUMBER(Tabelle1!G223),Tabelle1!G223/'SF Workings'!N222,"")</f>
        <v>91.3348250300659</v>
      </c>
      <c r="F222" s="23" t="n">
        <f aca="false">IF(ISNUMBER(Tabelle1!H223),Tabelle1!H223/'SF Workings'!R222,"")</f>
        <v>132.351645338298</v>
      </c>
      <c r="G222" s="23" t="n">
        <f aca="false">IF(ISNUMBER(Tabelle1!I223),Tabelle1!I223/'SF Workings'!V222,"")</f>
        <v>151.391387334019</v>
      </c>
      <c r="H222" s="23" t="n">
        <f aca="false">IF(ISNUMBER(Tabelle1!J223),Tabelle1!J223/'SF Workings'!Z222,"")</f>
        <v>147.397414724509</v>
      </c>
      <c r="I222" s="23" t="n">
        <f aca="false">IF(ISNUMBER(Tabelle1!K223),Tabelle1!K223/'SF Workings'!AD222,"")</f>
        <v>161.61706094459</v>
      </c>
      <c r="J222" s="23" t="n">
        <f aca="false">IF(ISNUMBER(Tabelle1!L223),Tabelle1!L223/'SF Workings'!AH222,"")</f>
        <v>115.572553362328</v>
      </c>
      <c r="K222" s="23" t="n">
        <f aca="false">IF(ISNUMBER(Tabelle1!M223),Tabelle1!M223/'SF Workings'!AL222,"")</f>
        <v>179.105207603706</v>
      </c>
      <c r="L222" s="23" t="n">
        <f aca="false">IF(ISNUMBER(Tabelle1!N223),Tabelle1!N223/'SF Workings'!AP222,"")</f>
        <v>170.989271808623</v>
      </c>
      <c r="M222" s="23" t="n">
        <f aca="false">IF(ISNUMBER(Tabelle1!O223),Tabelle1!O223/'SF Workings'!AT222,"")</f>
        <v>147.439908036936</v>
      </c>
      <c r="N222" s="23" t="n">
        <f aca="false">IF(ISNUMBER(Tabelle1!P223),Tabelle1!P223/'SF Workings'!AX222,"")</f>
        <v>159.590164162125</v>
      </c>
      <c r="O222" s="23" t="n">
        <f aca="false">IF(ISNUMBER(Tabelle1!Q223),Tabelle1!Q223/'SF Workings'!BB222,"")</f>
        <v>163.876203537314</v>
      </c>
      <c r="P222" s="23" t="n">
        <f aca="false">IF(ISNUMBER(Tabelle1!R223),Tabelle1!R223/'SF Workings'!BF222,"")</f>
        <v>180.474693346864</v>
      </c>
      <c r="Q222" s="23" t="n">
        <f aca="false">IF(ISNUMBER(Tabelle1!S223),Tabelle1!S223/'SF Workings'!BJ222,"")</f>
        <v>124.754868263248</v>
      </c>
      <c r="R222" s="23" t="n">
        <f aca="false">IFERROR(C222*'Weights &amp; Assumptions'!$F$6+D222*'Weights &amp; Assumptions'!$F$7,"")</f>
        <v>148.718191574718</v>
      </c>
      <c r="S222" s="23" t="n">
        <f aca="false">IFERROR(E222*'Weights &amp; Assumptions'!$F$8+F222*'Weights &amp; Assumptions'!$F$9+H222*'Weights &amp; Assumptions'!$F$11,"")</f>
        <v>130.588720082774</v>
      </c>
      <c r="T222" s="23" t="n">
        <f aca="false">IFERROR(G222*'Weights &amp; Assumptions'!$F$10+I222*'Weights &amp; Assumptions'!$F$12+J222*'Weights &amp; Assumptions'!$F$13+K222*'Weights &amp; Assumptions'!$F$14+L222*'Weights &amp; Assumptions'!$F$15+M222*'Weights &amp; Assumptions'!$F$16+N222*'Weights &amp; Assumptions'!$F$17+O222*'Weights &amp; Assumptions'!$F$18+P222*'Weights &amp; Assumptions'!$F$19+Q222*'Weights &amp; Assumptions'!$F$20,"")</f>
        <v>158.872390400232</v>
      </c>
      <c r="U222" s="23" t="n">
        <f aca="false">IFERROR(R222*'Weights &amp; Assumptions'!$B$25/'Weights &amp; Assumptions'!$B$28+S222*'Weights &amp; Assumptions'!$B$26/'Weights &amp; Assumptions'!$B$28+T222*'Weights &amp; Assumptions'!$B$27/'Weights &amp; Assumptions'!$B$28,"")</f>
        <v>150.49932266723</v>
      </c>
      <c r="V222" s="30" t="n">
        <f aca="false">IF(ISNUMBER(Tabelle1!E223),Tabelle1!E223*'Weights &amp; Assumptions'!$F$6+Tabelle1!F223*'Weights &amp; Assumptions'!$F$7,"")</f>
        <v>129.159068976651</v>
      </c>
      <c r="W222" s="30" t="n">
        <f aca="false">IF(ISNUMBER(Tabelle1!G223),Tabelle1!G223*'Weights &amp; Assumptions'!$F$8+Tabelle1!H223*'Weights &amp; Assumptions'!$F$9+Tabelle1!J223*'Weights &amp; Assumptions'!$F$11,"")</f>
        <v>128.6488732548</v>
      </c>
      <c r="X222" s="30" t="n">
        <f aca="false">IF(ISNUMBER(Tabelle1!I223),Tabelle1!I223*'Weights &amp; Assumptions'!$F$10+Tabelle1!K223*'Weights &amp; Assumptions'!$F$12+Tabelle1!L223*'Weights &amp; Assumptions'!$F$13+Tabelle1!M223*'Weights &amp; Assumptions'!$F$14+Tabelle1!N223*'Weights &amp; Assumptions'!$F$15+Tabelle1!O223*'Weights &amp; Assumptions'!$F$16+Tabelle1!P223*'Weights &amp; Assumptions'!$F$17+Tabelle1!Q223*'Weights &amp; Assumptions'!$F$18+Tabelle1!R223*'Weights &amp; Assumptions'!$F$19+Tabelle1!S223*'Weights &amp; Assumptions'!$F$20,"")</f>
        <v>158.286694812753</v>
      </c>
      <c r="Y222" s="23" t="n">
        <f aca="false">IFERROR(V222*'Weights &amp; Assumptions'!$B$25/'Weights &amp; Assumptions'!$B$28+W222*'Weights &amp; Assumptions'!$B$26/'Weights &amp; Assumptions'!$B$28+X222*'Weights &amp; Assumptions'!$B$27/'Weights &amp; Assumptions'!$B$28,"")</f>
        <v>147.961648294523</v>
      </c>
    </row>
    <row r="223" customFormat="false" ht="15" hidden="false" customHeight="false" outlineLevel="0" collapsed="false">
      <c r="A223" s="20" t="n">
        <v>44592</v>
      </c>
      <c r="B223" s="30" t="n">
        <f aca="false">IF(ISNUMBER(Tabelle1!D224),Tabelle1!D224,"")</f>
        <v>148.52455</v>
      </c>
      <c r="C223" s="23" t="n">
        <f aca="false">IF(ISNUMBER(Tabelle1!E224),Tabelle1!E224/'SF Workings'!F223,"")</f>
        <v>146.064293270862</v>
      </c>
      <c r="D223" s="23" t="n">
        <f aca="false">IF(ISNUMBER(Tabelle1!F224),Tabelle1!F224/'SF Workings'!J223,"")</f>
        <v>134.223282518629</v>
      </c>
      <c r="E223" s="23" t="n">
        <f aca="false">IF(ISNUMBER(Tabelle1!G224),Tabelle1!G224/'SF Workings'!N223,"")</f>
        <v>92.2046142400545</v>
      </c>
      <c r="F223" s="23" t="n">
        <f aca="false">IF(ISNUMBER(Tabelle1!H224),Tabelle1!H224/'SF Workings'!R223,"")</f>
        <v>121.08324232351</v>
      </c>
      <c r="G223" s="23" t="n">
        <f aca="false">IF(ISNUMBER(Tabelle1!I224),Tabelle1!I224/'SF Workings'!V223,"")</f>
        <v>151.844248068803</v>
      </c>
      <c r="H223" s="23" t="n">
        <f aca="false">IF(ISNUMBER(Tabelle1!J224),Tabelle1!J224/'SF Workings'!Z223,"")</f>
        <v>141.746268381009</v>
      </c>
      <c r="I223" s="23" t="n">
        <f aca="false">IF(ISNUMBER(Tabelle1!K224),Tabelle1!K224/'SF Workings'!AD223,"")</f>
        <v>151.338783392177</v>
      </c>
      <c r="J223" s="23" t="n">
        <f aca="false">IF(ISNUMBER(Tabelle1!L224),Tabelle1!L224/'SF Workings'!AH223,"")</f>
        <v>139.396518781612</v>
      </c>
      <c r="K223" s="23" t="n">
        <f aca="false">IF(ISNUMBER(Tabelle1!M224),Tabelle1!M224/'SF Workings'!AL223,"")</f>
        <v>172.604013781599</v>
      </c>
      <c r="L223" s="23" t="n">
        <f aca="false">IF(ISNUMBER(Tabelle1!N224),Tabelle1!N224/'SF Workings'!AP223,"")</f>
        <v>169.861723117255</v>
      </c>
      <c r="M223" s="23" t="n">
        <f aca="false">IF(ISNUMBER(Tabelle1!O224),Tabelle1!O224/'SF Workings'!AT223,"")</f>
        <v>147.629935629418</v>
      </c>
      <c r="N223" s="23" t="n">
        <f aca="false">IF(ISNUMBER(Tabelle1!P224),Tabelle1!P224/'SF Workings'!AX223,"")</f>
        <v>159.872287659748</v>
      </c>
      <c r="O223" s="23" t="n">
        <f aca="false">IF(ISNUMBER(Tabelle1!Q224),Tabelle1!Q224/'SF Workings'!BB223,"")</f>
        <v>163.742430007696</v>
      </c>
      <c r="P223" s="23" t="n">
        <f aca="false">IF(ISNUMBER(Tabelle1!R224),Tabelle1!R224/'SF Workings'!BF223,"")</f>
        <v>180.769857581043</v>
      </c>
      <c r="Q223" s="23" t="n">
        <f aca="false">IF(ISNUMBER(Tabelle1!S224),Tabelle1!S224/'SF Workings'!BJ223,"")</f>
        <v>119.813304655098</v>
      </c>
      <c r="R223" s="23" t="n">
        <f aca="false">IFERROR(C223*'Weights &amp; Assumptions'!$F$6+D223*'Weights &amp; Assumptions'!$F$7,"")</f>
        <v>145.919210863581</v>
      </c>
      <c r="S223" s="23" t="n">
        <f aca="false">IFERROR(E223*'Weights &amp; Assumptions'!$F$8+F223*'Weights &amp; Assumptions'!$F$9+H223*'Weights &amp; Assumptions'!$F$11,"")</f>
        <v>121.939796647992</v>
      </c>
      <c r="T223" s="23" t="n">
        <f aca="false">IFERROR(G223*'Weights &amp; Assumptions'!$F$10+I223*'Weights &amp; Assumptions'!$F$12+J223*'Weights &amp; Assumptions'!$F$13+K223*'Weights &amp; Assumptions'!$F$14+L223*'Weights &amp; Assumptions'!$F$15+M223*'Weights &amp; Assumptions'!$F$16+N223*'Weights &amp; Assumptions'!$F$17+O223*'Weights &amp; Assumptions'!$F$18+P223*'Weights &amp; Assumptions'!$F$19+Q223*'Weights &amp; Assumptions'!$F$20,"")</f>
        <v>156.681591548421</v>
      </c>
      <c r="U223" s="23" t="n">
        <f aca="false">IFERROR(R223*'Weights &amp; Assumptions'!$B$25/'Weights &amp; Assumptions'!$B$28+S223*'Weights &amp; Assumptions'!$B$26/'Weights &amp; Assumptions'!$B$28+T223*'Weights &amp; Assumptions'!$B$27/'Weights &amp; Assumptions'!$B$28,"")</f>
        <v>146.540168713095</v>
      </c>
      <c r="V223" s="30" t="n">
        <f aca="false">IF(ISNUMBER(Tabelle1!E224),Tabelle1!E224*'Weights &amp; Assumptions'!$F$6+Tabelle1!F224*'Weights &amp; Assumptions'!$F$7,"")</f>
        <v>103.066282846808</v>
      </c>
      <c r="W223" s="30" t="n">
        <f aca="false">IF(ISNUMBER(Tabelle1!G224),Tabelle1!G224*'Weights &amp; Assumptions'!$F$8+Tabelle1!H224*'Weights &amp; Assumptions'!$F$9+Tabelle1!J224*'Weights &amp; Assumptions'!$F$11,"")</f>
        <v>112.614570162983</v>
      </c>
      <c r="X223" s="30" t="n">
        <f aca="false">IF(ISNUMBER(Tabelle1!I224),Tabelle1!I224*'Weights &amp; Assumptions'!$F$10+Tabelle1!K224*'Weights &amp; Assumptions'!$F$12+Tabelle1!L224*'Weights &amp; Assumptions'!$F$13+Tabelle1!M224*'Weights &amp; Assumptions'!$F$14+Tabelle1!N224*'Weights &amp; Assumptions'!$F$15+Tabelle1!O224*'Weights &amp; Assumptions'!$F$16+Tabelle1!P224*'Weights &amp; Assumptions'!$F$17+Tabelle1!Q224*'Weights &amp; Assumptions'!$F$18+Tabelle1!R224*'Weights &amp; Assumptions'!$F$19+Tabelle1!S224*'Weights &amp; Assumptions'!$F$20,"")</f>
        <v>156.111873483912</v>
      </c>
      <c r="Y223" s="23" t="n">
        <f aca="false">IFERROR(V223*'Weights &amp; Assumptions'!$B$25/'Weights &amp; Assumptions'!$B$28+W223*'Weights &amp; Assumptions'!$B$26/'Weights &amp; Assumptions'!$B$28+X223*'Weights &amp; Assumptions'!$B$27/'Weights &amp; Assumptions'!$B$28,"")</f>
        <v>140.094611513897</v>
      </c>
    </row>
    <row r="224" customFormat="false" ht="15" hidden="false" customHeight="false" outlineLevel="0" collapsed="false">
      <c r="A224" s="20" t="n">
        <v>44620</v>
      </c>
      <c r="B224" s="30" t="n">
        <f aca="false">IF(ISNUMBER(Tabelle1!D225),Tabelle1!D225,"")</f>
        <v>150.70923</v>
      </c>
      <c r="C224" s="23" t="n">
        <f aca="false">IF(ISNUMBER(Tabelle1!E225),Tabelle1!E225/'SF Workings'!F224,"")</f>
        <v>129.21378554792</v>
      </c>
      <c r="D224" s="23" t="n">
        <f aca="false">IF(ISNUMBER(Tabelle1!F225),Tabelle1!F225/'SF Workings'!J224,"")</f>
        <v>155.261414564204</v>
      </c>
      <c r="E224" s="23" t="n">
        <f aca="false">IF(ISNUMBER(Tabelle1!G225),Tabelle1!G225/'SF Workings'!N224,"")</f>
        <v>90.1928507441079</v>
      </c>
      <c r="F224" s="23" t="n">
        <f aca="false">IF(ISNUMBER(Tabelle1!H225),Tabelle1!H225/'SF Workings'!R224,"")</f>
        <v>130.400663223741</v>
      </c>
      <c r="G224" s="23" t="n">
        <f aca="false">IF(ISNUMBER(Tabelle1!I225),Tabelle1!I225/'SF Workings'!V224,"")</f>
        <v>138.762210574064</v>
      </c>
      <c r="H224" s="23" t="n">
        <f aca="false">IF(ISNUMBER(Tabelle1!J225),Tabelle1!J225/'SF Workings'!Z224,"")</f>
        <v>148.134343218083</v>
      </c>
      <c r="I224" s="23" t="n">
        <f aca="false">IF(ISNUMBER(Tabelle1!K225),Tabelle1!K225/'SF Workings'!AD224,"")</f>
        <v>153.806880487815</v>
      </c>
      <c r="J224" s="23" t="n">
        <f aca="false">IF(ISNUMBER(Tabelle1!L225),Tabelle1!L225/'SF Workings'!AH224,"")</f>
        <v>141.871956298378</v>
      </c>
      <c r="K224" s="23" t="n">
        <f aca="false">IF(ISNUMBER(Tabelle1!M225),Tabelle1!M225/'SF Workings'!AL224,"")</f>
        <v>178.96385596174</v>
      </c>
      <c r="L224" s="23" t="n">
        <f aca="false">IF(ISNUMBER(Tabelle1!N225),Tabelle1!N225/'SF Workings'!AP224,"")</f>
        <v>169.757670144607</v>
      </c>
      <c r="M224" s="23" t="n">
        <f aca="false">IF(ISNUMBER(Tabelle1!O225),Tabelle1!O225/'SF Workings'!AT224,"")</f>
        <v>149.121490598805</v>
      </c>
      <c r="N224" s="23" t="n">
        <f aca="false">IF(ISNUMBER(Tabelle1!P225),Tabelle1!P225/'SF Workings'!AX224,"")</f>
        <v>160.024467100566</v>
      </c>
      <c r="O224" s="23" t="n">
        <f aca="false">IF(ISNUMBER(Tabelle1!Q225),Tabelle1!Q225/'SF Workings'!BB224,"")</f>
        <v>164.320765705776</v>
      </c>
      <c r="P224" s="23" t="n">
        <f aca="false">IF(ISNUMBER(Tabelle1!R225),Tabelle1!R225/'SF Workings'!BF224,"")</f>
        <v>181.279994482009</v>
      </c>
      <c r="Q224" s="23" t="n">
        <f aca="false">IF(ISNUMBER(Tabelle1!S225),Tabelle1!S225/'SF Workings'!BJ224,"")</f>
        <v>123.755244089068</v>
      </c>
      <c r="R224" s="23" t="n">
        <f aca="false">IFERROR(C224*'Weights &amp; Assumptions'!$F$6+D224*'Weights &amp; Assumptions'!$F$7,"")</f>
        <v>129.532935053036</v>
      </c>
      <c r="S224" s="23" t="n">
        <f aca="false">IFERROR(E224*'Weights &amp; Assumptions'!$F$8+F224*'Weights &amp; Assumptions'!$F$9+H224*'Weights &amp; Assumptions'!$F$11,"")</f>
        <v>129.294286913819</v>
      </c>
      <c r="T224" s="23" t="n">
        <f aca="false">IFERROR(G224*'Weights &amp; Assumptions'!$F$10+I224*'Weights &amp; Assumptions'!$F$12+J224*'Weights &amp; Assumptions'!$F$13+K224*'Weights &amp; Assumptions'!$F$14+L224*'Weights &amp; Assumptions'!$F$15+M224*'Weights &amp; Assumptions'!$F$16+N224*'Weights &amp; Assumptions'!$F$17+O224*'Weights &amp; Assumptions'!$F$18+P224*'Weights &amp; Assumptions'!$F$19+Q224*'Weights &amp; Assumptions'!$F$20,"")</f>
        <v>158.461591025309</v>
      </c>
      <c r="U224" s="23" t="n">
        <f aca="false">IFERROR(R224*'Weights &amp; Assumptions'!$B$25/'Weights &amp; Assumptions'!$B$28+S224*'Weights &amp; Assumptions'!$B$26/'Weights &amp; Assumptions'!$B$28+T224*'Weights &amp; Assumptions'!$B$27/'Weights &amp; Assumptions'!$B$28,"")</f>
        <v>148.278357052328</v>
      </c>
      <c r="V224" s="30" t="n">
        <f aca="false">IF(ISNUMBER(Tabelle1!E225),Tabelle1!E225*'Weights &amp; Assumptions'!$F$6+Tabelle1!F225*'Weights &amp; Assumptions'!$F$7,"")</f>
        <v>79.7492601268161</v>
      </c>
      <c r="W224" s="30" t="n">
        <f aca="false">IF(ISNUMBER(Tabelle1!G225),Tabelle1!G225*'Weights &amp; Assumptions'!$F$8+Tabelle1!H225*'Weights &amp; Assumptions'!$F$9+Tabelle1!J225*'Weights &amp; Assumptions'!$F$11,"")</f>
        <v>118.375372905896</v>
      </c>
      <c r="X224" s="30" t="n">
        <f aca="false">IF(ISNUMBER(Tabelle1!I225),Tabelle1!I225*'Weights &amp; Assumptions'!$F$10+Tabelle1!K225*'Weights &amp; Assumptions'!$F$12+Tabelle1!L225*'Weights &amp; Assumptions'!$F$13+Tabelle1!M225*'Weights &amp; Assumptions'!$F$14+Tabelle1!N225*'Weights &amp; Assumptions'!$F$15+Tabelle1!O225*'Weights &amp; Assumptions'!$F$16+Tabelle1!P225*'Weights &amp; Assumptions'!$F$17+Tabelle1!Q225*'Weights &amp; Assumptions'!$F$18+Tabelle1!R225*'Weights &amp; Assumptions'!$F$19+Tabelle1!S225*'Weights &amp; Assumptions'!$F$20,"")</f>
        <v>155.657383999336</v>
      </c>
      <c r="Y224" s="23" t="n">
        <f aca="false">IFERROR(V224*'Weights &amp; Assumptions'!$B$25/'Weights &amp; Assumptions'!$B$28+W224*'Weights &amp; Assumptions'!$B$26/'Weights &amp; Assumptions'!$B$28+X224*'Weights &amp; Assumptions'!$B$27/'Weights &amp; Assumptions'!$B$28,"")</f>
        <v>139.374691237748</v>
      </c>
    </row>
    <row r="225" customFormat="false" ht="15" hidden="false" customHeight="false" outlineLevel="0" collapsed="false">
      <c r="A225" s="20" t="n">
        <v>44651</v>
      </c>
      <c r="B225" s="30" t="n">
        <f aca="false">IF(ISNUMBER(Tabelle1!D226),Tabelle1!D226,"")</f>
        <v>150.34672</v>
      </c>
      <c r="C225" s="23" t="n">
        <f aca="false">IF(ISNUMBER(Tabelle1!E226),Tabelle1!E226/'SF Workings'!F225,"")</f>
        <v>126.462654537681</v>
      </c>
      <c r="D225" s="23" t="n">
        <f aca="false">IF(ISNUMBER(Tabelle1!F226),Tabelle1!F226/'SF Workings'!J225,"")</f>
        <v>168.679189710721</v>
      </c>
      <c r="E225" s="23" t="n">
        <f aca="false">IF(ISNUMBER(Tabelle1!G226),Tabelle1!G226/'SF Workings'!N225,"")</f>
        <v>94.4849840722469</v>
      </c>
      <c r="F225" s="23" t="n">
        <f aca="false">IF(ISNUMBER(Tabelle1!H226),Tabelle1!H226/'SF Workings'!R225,"")</f>
        <v>135.360123784607</v>
      </c>
      <c r="G225" s="23" t="n">
        <f aca="false">IF(ISNUMBER(Tabelle1!I226),Tabelle1!I226/'SF Workings'!V225,"")</f>
        <v>144.042635336969</v>
      </c>
      <c r="H225" s="23" t="n">
        <f aca="false">IF(ISNUMBER(Tabelle1!J226),Tabelle1!J226/'SF Workings'!Z225,"")</f>
        <v>154.092829605056</v>
      </c>
      <c r="I225" s="23" t="n">
        <f aca="false">IF(ISNUMBER(Tabelle1!K226),Tabelle1!K226/'SF Workings'!AD225,"")</f>
        <v>157.301879915134</v>
      </c>
      <c r="J225" s="23" t="n">
        <f aca="false">IF(ISNUMBER(Tabelle1!L226),Tabelle1!L226/'SF Workings'!AH225,"")</f>
        <v>138.999147457885</v>
      </c>
      <c r="K225" s="23" t="n">
        <f aca="false">IF(ISNUMBER(Tabelle1!M226),Tabelle1!M226/'SF Workings'!AL225,"")</f>
        <v>183.324167345689</v>
      </c>
      <c r="L225" s="23" t="n">
        <f aca="false">IF(ISNUMBER(Tabelle1!N226),Tabelle1!N226/'SF Workings'!AP225,"")</f>
        <v>174.825500196635</v>
      </c>
      <c r="M225" s="23" t="n">
        <f aca="false">IF(ISNUMBER(Tabelle1!O226),Tabelle1!O226/'SF Workings'!AT225,"")</f>
        <v>150.734125349411</v>
      </c>
      <c r="N225" s="23" t="n">
        <f aca="false">IF(ISNUMBER(Tabelle1!P226),Tabelle1!P226/'SF Workings'!AX225,"")</f>
        <v>160.495444552323</v>
      </c>
      <c r="O225" s="23" t="n">
        <f aca="false">IF(ISNUMBER(Tabelle1!Q226),Tabelle1!Q226/'SF Workings'!BB225,"")</f>
        <v>165.172574328282</v>
      </c>
      <c r="P225" s="23" t="n">
        <f aca="false">IF(ISNUMBER(Tabelle1!R226),Tabelle1!R226/'SF Workings'!BF225,"")</f>
        <v>183.15011197119</v>
      </c>
      <c r="Q225" s="23" t="n">
        <f aca="false">IF(ISNUMBER(Tabelle1!S226),Tabelle1!S226/'SF Workings'!BJ225,"")</f>
        <v>129.843314462436</v>
      </c>
      <c r="R225" s="23" t="n">
        <f aca="false">IFERROR(C225*'Weights &amp; Assumptions'!$F$6+D225*'Weights &amp; Assumptions'!$F$7,"")</f>
        <v>126.979914143143</v>
      </c>
      <c r="S225" s="23" t="n">
        <f aca="false">IFERROR(E225*'Weights &amp; Assumptions'!$F$8+F225*'Weights &amp; Assumptions'!$F$9+H225*'Weights &amp; Assumptions'!$F$11,"")</f>
        <v>134.382190807027</v>
      </c>
      <c r="T225" s="23" t="n">
        <f aca="false">IFERROR(G225*'Weights &amp; Assumptions'!$F$10+I225*'Weights &amp; Assumptions'!$F$12+J225*'Weights &amp; Assumptions'!$F$13+K225*'Weights &amp; Assumptions'!$F$14+L225*'Weights &amp; Assumptions'!$F$15+M225*'Weights &amp; Assumptions'!$F$16+N225*'Weights &amp; Assumptions'!$F$17+O225*'Weights &amp; Assumptions'!$F$18+P225*'Weights &amp; Assumptions'!$F$19+Q225*'Weights &amp; Assumptions'!$F$20,"")</f>
        <v>161.115202089612</v>
      </c>
      <c r="U225" s="23" t="n">
        <f aca="false">IFERROR(R225*'Weights &amp; Assumptions'!$B$25/'Weights &amp; Assumptions'!$B$28+S225*'Weights &amp; Assumptions'!$B$26/'Weights &amp; Assumptions'!$B$28+T225*'Weights &amp; Assumptions'!$B$27/'Weights &amp; Assumptions'!$B$28,"")</f>
        <v>151.142448346881</v>
      </c>
      <c r="V225" s="30" t="n">
        <f aca="false">IF(ISNUMBER(Tabelle1!E226),Tabelle1!E226*'Weights &amp; Assumptions'!$F$6+Tabelle1!F226*'Weights &amp; Assumptions'!$F$7,"")</f>
        <v>150.16015638729</v>
      </c>
      <c r="W225" s="30" t="n">
        <f aca="false">IF(ISNUMBER(Tabelle1!G226),Tabelle1!G226*'Weights &amp; Assumptions'!$F$8+Tabelle1!H226*'Weights &amp; Assumptions'!$F$9+Tabelle1!J226*'Weights &amp; Assumptions'!$F$11,"")</f>
        <v>134.363651053295</v>
      </c>
      <c r="X225" s="30" t="n">
        <f aca="false">IF(ISNUMBER(Tabelle1!I226),Tabelle1!I226*'Weights &amp; Assumptions'!$F$10+Tabelle1!K226*'Weights &amp; Assumptions'!$F$12+Tabelle1!L226*'Weights &amp; Assumptions'!$F$13+Tabelle1!M226*'Weights &amp; Assumptions'!$F$14+Tabelle1!N226*'Weights &amp; Assumptions'!$F$15+Tabelle1!O226*'Weights &amp; Assumptions'!$F$16+Tabelle1!P226*'Weights &amp; Assumptions'!$F$17+Tabelle1!Q226*'Weights &amp; Assumptions'!$F$18+Tabelle1!R226*'Weights &amp; Assumptions'!$F$19+Tabelle1!S226*'Weights &amp; Assumptions'!$F$20,"")</f>
        <v>162.977642262948</v>
      </c>
      <c r="Y225" s="23" t="n">
        <f aca="false">IFERROR(V225*'Weights &amp; Assumptions'!$B$25/'Weights &amp; Assumptions'!$B$28+W225*'Weights &amp; Assumptions'!$B$26/'Weights &amp; Assumptions'!$B$28+X225*'Weights &amp; Assumptions'!$B$27/'Weights &amp; Assumptions'!$B$28,"")</f>
        <v>154.293284434721</v>
      </c>
    </row>
    <row r="226" customFormat="false" ht="15" hidden="false" customHeight="false" outlineLevel="0" collapsed="false">
      <c r="A226" s="20" t="n">
        <v>44681</v>
      </c>
      <c r="B226" s="30" t="n">
        <f aca="false">IF(ISNUMBER(Tabelle1!D227),Tabelle1!D227,"")</f>
        <v>152.0977</v>
      </c>
      <c r="C226" s="23" t="n">
        <f aca="false">IF(ISNUMBER(Tabelle1!E227),Tabelle1!E227/'SF Workings'!F226,"")</f>
        <v>128.342527594587</v>
      </c>
      <c r="D226" s="23" t="n">
        <f aca="false">IF(ISNUMBER(Tabelle1!F227),Tabelle1!F227/'SF Workings'!J226,"")</f>
        <v>245.337739106838</v>
      </c>
      <c r="E226" s="23" t="n">
        <f aca="false">IF(ISNUMBER(Tabelle1!G227),Tabelle1!G227/'SF Workings'!N226,"")</f>
        <v>98.6158588610378</v>
      </c>
      <c r="F226" s="23" t="n">
        <f aca="false">IF(ISNUMBER(Tabelle1!H227),Tabelle1!H227/'SF Workings'!R226,"")</f>
        <v>136.264460600168</v>
      </c>
      <c r="G226" s="23" t="n">
        <f aca="false">IF(ISNUMBER(Tabelle1!I227),Tabelle1!I227/'SF Workings'!V226,"")</f>
        <v>152.444558087685</v>
      </c>
      <c r="H226" s="23" t="n">
        <f aca="false">IF(ISNUMBER(Tabelle1!J227),Tabelle1!J227/'SF Workings'!Z226,"")</f>
        <v>166.497838050092</v>
      </c>
      <c r="I226" s="23" t="n">
        <f aca="false">IF(ISNUMBER(Tabelle1!K227),Tabelle1!K227/'SF Workings'!AD226,"")</f>
        <v>165.343535881951</v>
      </c>
      <c r="J226" s="23" t="n">
        <f aca="false">IF(ISNUMBER(Tabelle1!L227),Tabelle1!L227/'SF Workings'!AH226,"")</f>
        <v>146.306197648445</v>
      </c>
      <c r="K226" s="23" t="n">
        <f aca="false">IF(ISNUMBER(Tabelle1!M227),Tabelle1!M227/'SF Workings'!AL226,"")</f>
        <v>188.607016981933</v>
      </c>
      <c r="L226" s="23" t="n">
        <f aca="false">IF(ISNUMBER(Tabelle1!N227),Tabelle1!N227/'SF Workings'!AP226,"")</f>
        <v>173.140951400394</v>
      </c>
      <c r="M226" s="23" t="n">
        <f aca="false">IF(ISNUMBER(Tabelle1!O227),Tabelle1!O227/'SF Workings'!AT226,"")</f>
        <v>153.209879122421</v>
      </c>
      <c r="N226" s="23" t="n">
        <f aca="false">IF(ISNUMBER(Tabelle1!P227),Tabelle1!P227/'SF Workings'!AX226,"")</f>
        <v>163.274862451227</v>
      </c>
      <c r="O226" s="23" t="n">
        <f aca="false">IF(ISNUMBER(Tabelle1!Q227),Tabelle1!Q227/'SF Workings'!BB226,"")</f>
        <v>167.374203662006</v>
      </c>
      <c r="P226" s="23" t="n">
        <f aca="false">IF(ISNUMBER(Tabelle1!R227),Tabelle1!R227/'SF Workings'!BF226,"")</f>
        <v>189.200168571267</v>
      </c>
      <c r="Q226" s="23" t="n">
        <f aca="false">IF(ISNUMBER(Tabelle1!S227),Tabelle1!S227/'SF Workings'!BJ226,"")</f>
        <v>137.47437968484</v>
      </c>
      <c r="R226" s="23" t="n">
        <f aca="false">IFERROR(C226*'Weights &amp; Assumptions'!$F$6+D226*'Weights &amp; Assumptions'!$F$7,"")</f>
        <v>129.776015603486</v>
      </c>
      <c r="S226" s="23" t="n">
        <f aca="false">IFERROR(E226*'Weights &amp; Assumptions'!$F$8+F226*'Weights &amp; Assumptions'!$F$9+H226*'Weights &amp; Assumptions'!$F$11,"")</f>
        <v>138.067630394526</v>
      </c>
      <c r="T226" s="23" t="n">
        <f aca="false">IFERROR(G226*'Weights &amp; Assumptions'!$F$10+I226*'Weights &amp; Assumptions'!$F$12+J226*'Weights &amp; Assumptions'!$F$13+K226*'Weights &amp; Assumptions'!$F$14+L226*'Weights &amp; Assumptions'!$F$15+M226*'Weights &amp; Assumptions'!$F$16+N226*'Weights &amp; Assumptions'!$F$17+O226*'Weights &amp; Assumptions'!$F$18+P226*'Weights &amp; Assumptions'!$F$19+Q226*'Weights &amp; Assumptions'!$F$20,"")</f>
        <v>165.760295852984</v>
      </c>
      <c r="U226" s="23" t="n">
        <f aca="false">IFERROR(R226*'Weights &amp; Assumptions'!$B$25/'Weights &amp; Assumptions'!$B$28+S226*'Weights &amp; Assumptions'!$B$26/'Weights &amp; Assumptions'!$B$28+T226*'Weights &amp; Assumptions'!$B$27/'Weights &amp; Assumptions'!$B$28,"")</f>
        <v>155.377221308538</v>
      </c>
      <c r="V226" s="30" t="n">
        <f aca="false">IF(ISNUMBER(Tabelle1!E227),Tabelle1!E227*'Weights &amp; Assumptions'!$F$6+Tabelle1!F227*'Weights &amp; Assumptions'!$F$7,"")</f>
        <v>203.011993524749</v>
      </c>
      <c r="W226" s="30" t="n">
        <f aca="false">IF(ISNUMBER(Tabelle1!G227),Tabelle1!G227*'Weights &amp; Assumptions'!$F$8+Tabelle1!H227*'Weights &amp; Assumptions'!$F$9+Tabelle1!J227*'Weights &amp; Assumptions'!$F$11,"")</f>
        <v>129.72205637595</v>
      </c>
      <c r="X226" s="30" t="n">
        <f aca="false">IF(ISNUMBER(Tabelle1!I227),Tabelle1!I227*'Weights &amp; Assumptions'!$F$10+Tabelle1!K227*'Weights &amp; Assumptions'!$F$12+Tabelle1!L227*'Weights &amp; Assumptions'!$F$13+Tabelle1!M227*'Weights &amp; Assumptions'!$F$14+Tabelle1!N227*'Weights &amp; Assumptions'!$F$15+Tabelle1!O227*'Weights &amp; Assumptions'!$F$16+Tabelle1!P227*'Weights &amp; Assumptions'!$F$17+Tabelle1!Q227*'Weights &amp; Assumptions'!$F$18+Tabelle1!R227*'Weights &amp; Assumptions'!$F$19+Tabelle1!S227*'Weights &amp; Assumptions'!$F$20,"")</f>
        <v>161.746144711089</v>
      </c>
      <c r="Y226" s="23" t="n">
        <f aca="false">IFERROR(V226*'Weights &amp; Assumptions'!$B$25/'Weights &amp; Assumptions'!$B$28+W226*'Weights &amp; Assumptions'!$B$26/'Weights &amp; Assumptions'!$B$28+X226*'Weights &amp; Assumptions'!$B$27/'Weights &amp; Assumptions'!$B$28,"")</f>
        <v>156.692619277551</v>
      </c>
    </row>
    <row r="227" customFormat="false" ht="15" hidden="false" customHeight="false" outlineLevel="0" collapsed="false">
      <c r="A227" s="20" t="n">
        <v>44712</v>
      </c>
      <c r="B227" s="30" t="n">
        <f aca="false">IF(ISNUMBER(Tabelle1!D228),Tabelle1!D228,"")</f>
        <v>152.12668</v>
      </c>
      <c r="C227" s="23" t="n">
        <f aca="false">IF(ISNUMBER(Tabelle1!E228),Tabelle1!E228/'SF Workings'!F227,"")</f>
        <v>127.175387828136</v>
      </c>
      <c r="D227" s="23" t="n">
        <f aca="false">IF(ISNUMBER(Tabelle1!F228),Tabelle1!F228/'SF Workings'!J227,"")</f>
        <v>197.822913338001</v>
      </c>
      <c r="E227" s="23" t="n">
        <f aca="false">IF(ISNUMBER(Tabelle1!G228),Tabelle1!G228/'SF Workings'!N227,"")</f>
        <v>100.12676128569</v>
      </c>
      <c r="F227" s="23" t="n">
        <f aca="false">IF(ISNUMBER(Tabelle1!H228),Tabelle1!H228/'SF Workings'!R227,"")</f>
        <v>135.680631490432</v>
      </c>
      <c r="G227" s="23" t="n">
        <f aca="false">IF(ISNUMBER(Tabelle1!I228),Tabelle1!I228/'SF Workings'!V227,"")</f>
        <v>155.690119942717</v>
      </c>
      <c r="H227" s="23" t="n">
        <f aca="false">IF(ISNUMBER(Tabelle1!J228),Tabelle1!J228/'SF Workings'!Z227,"")</f>
        <v>157.031272999156</v>
      </c>
      <c r="I227" s="23" t="n">
        <f aca="false">IF(ISNUMBER(Tabelle1!K228),Tabelle1!K228/'SF Workings'!AD227,"")</f>
        <v>163.088015736172</v>
      </c>
      <c r="J227" s="23" t="n">
        <f aca="false">IF(ISNUMBER(Tabelle1!L228),Tabelle1!L228/'SF Workings'!AH227,"")</f>
        <v>159.225674307398</v>
      </c>
      <c r="K227" s="23" t="n">
        <f aca="false">IF(ISNUMBER(Tabelle1!M228),Tabelle1!M228/'SF Workings'!AL227,"")</f>
        <v>185.978841078649</v>
      </c>
      <c r="L227" s="23" t="n">
        <f aca="false">IF(ISNUMBER(Tabelle1!N228),Tabelle1!N228/'SF Workings'!AP227,"")</f>
        <v>168.222997298957</v>
      </c>
      <c r="M227" s="23" t="n">
        <f aca="false">IF(ISNUMBER(Tabelle1!O228),Tabelle1!O228/'SF Workings'!AT227,"")</f>
        <v>153.341828329091</v>
      </c>
      <c r="N227" s="23" t="n">
        <f aca="false">IF(ISNUMBER(Tabelle1!P228),Tabelle1!P228/'SF Workings'!AX227,"")</f>
        <v>162.976205246081</v>
      </c>
      <c r="O227" s="23" t="n">
        <f aca="false">IF(ISNUMBER(Tabelle1!Q228),Tabelle1!Q228/'SF Workings'!BB227,"")</f>
        <v>167.074078250173</v>
      </c>
      <c r="P227" s="23" t="n">
        <f aca="false">IF(ISNUMBER(Tabelle1!R228),Tabelle1!R228/'SF Workings'!BF227,"")</f>
        <v>185.386942785446</v>
      </c>
      <c r="Q227" s="23" t="n">
        <f aca="false">IF(ISNUMBER(Tabelle1!S228),Tabelle1!S228/'SF Workings'!BJ227,"")</f>
        <v>134.312462595362</v>
      </c>
      <c r="R227" s="23" t="n">
        <f aca="false">IFERROR(C227*'Weights &amp; Assumptions'!$F$6+D227*'Weights &amp; Assumptions'!$F$7,"")</f>
        <v>128.040999158444</v>
      </c>
      <c r="S227" s="23" t="n">
        <f aca="false">IFERROR(E227*'Weights &amp; Assumptions'!$F$8+F227*'Weights &amp; Assumptions'!$F$9+H227*'Weights &amp; Assumptions'!$F$11,"")</f>
        <v>135.883423737133</v>
      </c>
      <c r="T227" s="23" t="n">
        <f aca="false">IFERROR(G227*'Weights &amp; Assumptions'!$F$10+I227*'Weights &amp; Assumptions'!$F$12+J227*'Weights &amp; Assumptions'!$F$13+K227*'Weights &amp; Assumptions'!$F$14+L227*'Weights &amp; Assumptions'!$F$15+M227*'Weights &amp; Assumptions'!$F$16+N227*'Weights &amp; Assumptions'!$F$17+O227*'Weights &amp; Assumptions'!$F$18+P227*'Weights &amp; Assumptions'!$F$19+Q227*'Weights &amp; Assumptions'!$F$20,"")</f>
        <v>164.765928128734</v>
      </c>
      <c r="U227" s="23" t="n">
        <f aca="false">IFERROR(R227*'Weights &amp; Assumptions'!$B$25/'Weights &amp; Assumptions'!$B$28+S227*'Weights &amp; Assumptions'!$B$26/'Weights &amp; Assumptions'!$B$28+T227*'Weights &amp; Assumptions'!$B$27/'Weights &amp; Assumptions'!$B$28,"")</f>
        <v>154.004313583621</v>
      </c>
      <c r="V227" s="30" t="n">
        <f aca="false">IF(ISNUMBER(Tabelle1!E228),Tabelle1!E228*'Weights &amp; Assumptions'!$F$6+Tabelle1!F228*'Weights &amp; Assumptions'!$F$7,"")</f>
        <v>270.764627551638</v>
      </c>
      <c r="W227" s="30" t="n">
        <f aca="false">IF(ISNUMBER(Tabelle1!G228),Tabelle1!G228*'Weights &amp; Assumptions'!$F$8+Tabelle1!H228*'Weights &amp; Assumptions'!$F$9+Tabelle1!J228*'Weights &amp; Assumptions'!$F$11,"")</f>
        <v>133.773538438842</v>
      </c>
      <c r="X227" s="30" t="n">
        <f aca="false">IF(ISNUMBER(Tabelle1!I228),Tabelle1!I228*'Weights &amp; Assumptions'!$F$10+Tabelle1!K228*'Weights &amp; Assumptions'!$F$12+Tabelle1!L228*'Weights &amp; Assumptions'!$F$13+Tabelle1!M228*'Weights &amp; Assumptions'!$F$14+Tabelle1!N228*'Weights &amp; Assumptions'!$F$15+Tabelle1!O228*'Weights &amp; Assumptions'!$F$16+Tabelle1!P228*'Weights &amp; Assumptions'!$F$17+Tabelle1!Q228*'Weights &amp; Assumptions'!$F$18+Tabelle1!R228*'Weights &amp; Assumptions'!$F$19+Tabelle1!S228*'Weights &amp; Assumptions'!$F$20,"")</f>
        <v>164.661270759417</v>
      </c>
      <c r="Y227" s="23" t="n">
        <f aca="false">IFERROR(V227*'Weights &amp; Assumptions'!$B$25/'Weights &amp; Assumptions'!$B$28+W227*'Weights &amp; Assumptions'!$B$26/'Weights &amp; Assumptions'!$B$28+X227*'Weights &amp; Assumptions'!$B$27/'Weights &amp; Assumptions'!$B$28,"")</f>
        <v>165.349843117274</v>
      </c>
    </row>
    <row r="228" customFormat="false" ht="15" hidden="false" customHeight="false" outlineLevel="0" collapsed="false">
      <c r="A228" s="20" t="n">
        <v>44742</v>
      </c>
      <c r="B228" s="30" t="n">
        <f aca="false">IF(ISNUMBER(Tabelle1!D229),Tabelle1!D229,"")</f>
        <v>154.30297</v>
      </c>
      <c r="C228" s="23" t="n">
        <f aca="false">IF(ISNUMBER(Tabelle1!E229),Tabelle1!E229/'SF Workings'!F228,"")</f>
        <v>129.50182503735</v>
      </c>
      <c r="D228" s="23" t="n">
        <f aca="false">IF(ISNUMBER(Tabelle1!F229),Tabelle1!F229/'SF Workings'!J228,"")</f>
        <v>185.762560128791</v>
      </c>
      <c r="E228" s="23" t="n">
        <f aca="false">IF(ISNUMBER(Tabelle1!G229),Tabelle1!G229/'SF Workings'!N228,"")</f>
        <v>97.8026436417725</v>
      </c>
      <c r="F228" s="23" t="n">
        <f aca="false">IF(ISNUMBER(Tabelle1!H229),Tabelle1!H229/'SF Workings'!R228,"")</f>
        <v>138.463942811945</v>
      </c>
      <c r="G228" s="23" t="n">
        <f aca="false">IF(ISNUMBER(Tabelle1!I229),Tabelle1!I229/'SF Workings'!V228,"")</f>
        <v>158.398228256659</v>
      </c>
      <c r="H228" s="23" t="n">
        <f aca="false">IF(ISNUMBER(Tabelle1!J229),Tabelle1!J229/'SF Workings'!Z228,"")</f>
        <v>156.113508758657</v>
      </c>
      <c r="I228" s="23" t="n">
        <f aca="false">IF(ISNUMBER(Tabelle1!K229),Tabelle1!K229/'SF Workings'!AD228,"")</f>
        <v>166.685854343049</v>
      </c>
      <c r="J228" s="23" t="n">
        <f aca="false">IF(ISNUMBER(Tabelle1!L229),Tabelle1!L229/'SF Workings'!AH228,"")</f>
        <v>169.206664487432</v>
      </c>
      <c r="K228" s="23" t="n">
        <f aca="false">IF(ISNUMBER(Tabelle1!M229),Tabelle1!M229/'SF Workings'!AL228,"")</f>
        <v>187.076302326461</v>
      </c>
      <c r="L228" s="23" t="n">
        <f aca="false">IF(ISNUMBER(Tabelle1!N229),Tabelle1!N229/'SF Workings'!AP228,"")</f>
        <v>172.093258580177</v>
      </c>
      <c r="M228" s="23" t="n">
        <f aca="false">IF(ISNUMBER(Tabelle1!O229),Tabelle1!O229/'SF Workings'!AT228,"")</f>
        <v>152.170471213484</v>
      </c>
      <c r="N228" s="23" t="n">
        <f aca="false">IF(ISNUMBER(Tabelle1!P229),Tabelle1!P229/'SF Workings'!AX228,"")</f>
        <v>163.576521650772</v>
      </c>
      <c r="O228" s="23" t="n">
        <f aca="false">IF(ISNUMBER(Tabelle1!Q229),Tabelle1!Q229/'SF Workings'!BB228,"")</f>
        <v>167.335744081612</v>
      </c>
      <c r="P228" s="23" t="n">
        <f aca="false">IF(ISNUMBER(Tabelle1!R229),Tabelle1!R229/'SF Workings'!BF228,"")</f>
        <v>185.348245204692</v>
      </c>
      <c r="Q228" s="23" t="n">
        <f aca="false">IF(ISNUMBER(Tabelle1!S229),Tabelle1!S229/'SF Workings'!BJ228,"")</f>
        <v>131.503277572546</v>
      </c>
      <c r="R228" s="23" t="n">
        <f aca="false">IFERROR(C228*'Weights &amp; Assumptions'!$F$6+D228*'Weights &amp; Assumptions'!$F$7,"")</f>
        <v>130.191161704065</v>
      </c>
      <c r="S228" s="23" t="n">
        <f aca="false">IFERROR(E228*'Weights &amp; Assumptions'!$F$8+F228*'Weights &amp; Assumptions'!$F$9+H228*'Weights &amp; Assumptions'!$F$11,"")</f>
        <v>137.285898287306</v>
      </c>
      <c r="T228" s="23" t="n">
        <f aca="false">IFERROR(G228*'Weights &amp; Assumptions'!$F$10+I228*'Weights &amp; Assumptions'!$F$12+J228*'Weights &amp; Assumptions'!$F$13+K228*'Weights &amp; Assumptions'!$F$14+L228*'Weights &amp; Assumptions'!$F$15+M228*'Weights &amp; Assumptions'!$F$16+N228*'Weights &amp; Assumptions'!$F$17+O228*'Weights &amp; Assumptions'!$F$18+P228*'Weights &amp; Assumptions'!$F$19+Q228*'Weights &amp; Assumptions'!$F$20,"")</f>
        <v>166.175973184044</v>
      </c>
      <c r="U228" s="23" t="n">
        <f aca="false">IFERROR(R228*'Weights &amp; Assumptions'!$B$25/'Weights &amp; Assumptions'!$B$28+S228*'Weights &amp; Assumptions'!$B$26/'Weights &amp; Assumptions'!$B$28+T228*'Weights &amp; Assumptions'!$B$27/'Weights &amp; Assumptions'!$B$28,"")</f>
        <v>155.474441982734</v>
      </c>
      <c r="V228" s="30" t="n">
        <f aca="false">IF(ISNUMBER(Tabelle1!E229),Tabelle1!E229*'Weights &amp; Assumptions'!$F$6+Tabelle1!F229*'Weights &amp; Assumptions'!$F$7,"")</f>
        <v>190.733445314001</v>
      </c>
      <c r="W228" s="30" t="n">
        <f aca="false">IF(ISNUMBER(Tabelle1!G229),Tabelle1!G229*'Weights &amp; Assumptions'!$F$8+Tabelle1!H229*'Weights &amp; Assumptions'!$F$9+Tabelle1!J229*'Weights &amp; Assumptions'!$F$11,"")</f>
        <v>137.816453702457</v>
      </c>
      <c r="X228" s="30" t="n">
        <f aca="false">IF(ISNUMBER(Tabelle1!I229),Tabelle1!I229*'Weights &amp; Assumptions'!$F$10+Tabelle1!K229*'Weights &amp; Assumptions'!$F$12+Tabelle1!L229*'Weights &amp; Assumptions'!$F$13+Tabelle1!M229*'Weights &amp; Assumptions'!$F$14+Tabelle1!N229*'Weights &amp; Assumptions'!$F$15+Tabelle1!O229*'Weights &amp; Assumptions'!$F$16+Tabelle1!P229*'Weights &amp; Assumptions'!$F$17+Tabelle1!Q229*'Weights &amp; Assumptions'!$F$18+Tabelle1!R229*'Weights &amp; Assumptions'!$F$19+Tabelle1!S229*'Weights &amp; Assumptions'!$F$20,"")</f>
        <v>168.087227962235</v>
      </c>
      <c r="Y228" s="23" t="n">
        <f aca="false">IFERROR(V228*'Weights &amp; Assumptions'!$B$25/'Weights &amp; Assumptions'!$B$28+W228*'Weights &amp; Assumptions'!$B$26/'Weights &amp; Assumptions'!$B$28+X228*'Weights &amp; Assumptions'!$B$27/'Weights &amp; Assumptions'!$B$28,"")</f>
        <v>161.937736793636</v>
      </c>
    </row>
    <row r="229" customFormat="false" ht="15" hidden="false" customHeight="false" outlineLevel="0" collapsed="false">
      <c r="A229" s="20" t="n">
        <v>44773</v>
      </c>
      <c r="B229" s="30" t="n">
        <f aca="false">IF(ISNUMBER(Tabelle1!D230),Tabelle1!D230,"")</f>
        <v>152.5582</v>
      </c>
      <c r="C229" s="23" t="n">
        <f aca="false">IF(ISNUMBER(Tabelle1!E230),Tabelle1!E230/'SF Workings'!F229,"")</f>
        <v>117.336655986734</v>
      </c>
      <c r="D229" s="23" t="n">
        <f aca="false">IF(ISNUMBER(Tabelle1!F230),Tabelle1!F230/'SF Workings'!J229,"")</f>
        <v>197.586940552814</v>
      </c>
      <c r="E229" s="23" t="n">
        <f aca="false">IF(ISNUMBER(Tabelle1!G230),Tabelle1!G230/'SF Workings'!N229,"")</f>
        <v>97.6631567923343</v>
      </c>
      <c r="F229" s="23" t="n">
        <f aca="false">IF(ISNUMBER(Tabelle1!H230),Tabelle1!H230/'SF Workings'!R229,"")</f>
        <v>131.582298293949</v>
      </c>
      <c r="G229" s="23" t="n">
        <f aca="false">IF(ISNUMBER(Tabelle1!I230),Tabelle1!I230/'SF Workings'!V229,"")</f>
        <v>145.923291985008</v>
      </c>
      <c r="H229" s="23" t="n">
        <f aca="false">IF(ISNUMBER(Tabelle1!J230),Tabelle1!J230/'SF Workings'!Z229,"")</f>
        <v>148.701352671318</v>
      </c>
      <c r="I229" s="23" t="n">
        <f aca="false">IF(ISNUMBER(Tabelle1!K230),Tabelle1!K230/'SF Workings'!AD229,"")</f>
        <v>159.804699406451</v>
      </c>
      <c r="J229" s="23" t="n">
        <f aca="false">IF(ISNUMBER(Tabelle1!L230),Tabelle1!L230/'SF Workings'!AH229,"")</f>
        <v>141.891086405213</v>
      </c>
      <c r="K229" s="23" t="n">
        <f aca="false">IF(ISNUMBER(Tabelle1!M230),Tabelle1!M230/'SF Workings'!AL229,"")</f>
        <v>184.182775505028</v>
      </c>
      <c r="L229" s="23" t="n">
        <f aca="false">IF(ISNUMBER(Tabelle1!N230),Tabelle1!N230/'SF Workings'!AP229,"")</f>
        <v>166.067769903953</v>
      </c>
      <c r="M229" s="23" t="n">
        <f aca="false">IF(ISNUMBER(Tabelle1!O230),Tabelle1!O230/'SF Workings'!AT229,"")</f>
        <v>152.737873685268</v>
      </c>
      <c r="N229" s="23" t="n">
        <f aca="false">IF(ISNUMBER(Tabelle1!P230),Tabelle1!P230/'SF Workings'!AX229,"")</f>
        <v>162.668671747112</v>
      </c>
      <c r="O229" s="23" t="n">
        <f aca="false">IF(ISNUMBER(Tabelle1!Q230),Tabelle1!Q230/'SF Workings'!BB229,"")</f>
        <v>167.249386903941</v>
      </c>
      <c r="P229" s="23" t="n">
        <f aca="false">IF(ISNUMBER(Tabelle1!R230),Tabelle1!R230/'SF Workings'!BF229,"")</f>
        <v>183.575969061929</v>
      </c>
      <c r="Q229" s="23" t="n">
        <f aca="false">IF(ISNUMBER(Tabelle1!S230),Tabelle1!S230/'SF Workings'!BJ229,"")</f>
        <v>131.747804438558</v>
      </c>
      <c r="R229" s="23" t="n">
        <f aca="false">IFERROR(C229*'Weights &amp; Assumptions'!$F$6+D229*'Weights &amp; Assumptions'!$F$7,"")</f>
        <v>118.319925465452</v>
      </c>
      <c r="S229" s="23" t="n">
        <f aca="false">IFERROR(E229*'Weights &amp; Assumptions'!$F$8+F229*'Weights &amp; Assumptions'!$F$9+H229*'Weights &amp; Assumptions'!$F$11,"")</f>
        <v>131.098733859299</v>
      </c>
      <c r="T229" s="23" t="n">
        <f aca="false">IFERROR(G229*'Weights &amp; Assumptions'!$F$10+I229*'Weights &amp; Assumptions'!$F$12+J229*'Weights &amp; Assumptions'!$F$13+K229*'Weights &amp; Assumptions'!$F$14+L229*'Weights &amp; Assumptions'!$F$15+M229*'Weights &amp; Assumptions'!$F$16+N229*'Weights &amp; Assumptions'!$F$17+O229*'Weights &amp; Assumptions'!$F$18+P229*'Weights &amp; Assumptions'!$F$19+Q229*'Weights &amp; Assumptions'!$F$20,"")</f>
        <v>162.173063475353</v>
      </c>
      <c r="U229" s="23" t="n">
        <f aca="false">IFERROR(R229*'Weights &amp; Assumptions'!$B$25/'Weights &amp; Assumptions'!$B$28+S229*'Weights &amp; Assumptions'!$B$26/'Weights &amp; Assumptions'!$B$28+T229*'Weights &amp; Assumptions'!$B$27/'Weights &amp; Assumptions'!$B$28,"")</f>
        <v>150.230541645386</v>
      </c>
      <c r="V229" s="30" t="n">
        <f aca="false">IF(ISNUMBER(Tabelle1!E230),Tabelle1!E230*'Weights &amp; Assumptions'!$F$6+Tabelle1!F230*'Weights &amp; Assumptions'!$F$7,"")</f>
        <v>110.432442616894</v>
      </c>
      <c r="W229" s="30" t="n">
        <f aca="false">IF(ISNUMBER(Tabelle1!G230),Tabelle1!G230*'Weights &amp; Assumptions'!$F$8+Tabelle1!H230*'Weights &amp; Assumptions'!$F$9+Tabelle1!J230*'Weights &amp; Assumptions'!$F$11,"")</f>
        <v>135.730160763168</v>
      </c>
      <c r="X229" s="30" t="n">
        <f aca="false">IF(ISNUMBER(Tabelle1!I230),Tabelle1!I230*'Weights &amp; Assumptions'!$F$10+Tabelle1!K230*'Weights &amp; Assumptions'!$F$12+Tabelle1!L230*'Weights &amp; Assumptions'!$F$13+Tabelle1!M230*'Weights &amp; Assumptions'!$F$14+Tabelle1!N230*'Weights &amp; Assumptions'!$F$15+Tabelle1!O230*'Weights &amp; Assumptions'!$F$16+Tabelle1!P230*'Weights &amp; Assumptions'!$F$17+Tabelle1!Q230*'Weights &amp; Assumptions'!$F$18+Tabelle1!R230*'Weights &amp; Assumptions'!$F$19+Tabelle1!S230*'Weights &amp; Assumptions'!$F$20,"")</f>
        <v>163.146910015872</v>
      </c>
      <c r="Y229" s="23" t="n">
        <f aca="false">IFERROR(V229*'Weights &amp; Assumptions'!$B$25/'Weights &amp; Assumptions'!$B$28+W229*'Weights &amp; Assumptions'!$B$26/'Weights &amp; Assumptions'!$B$28+X229*'Weights &amp; Assumptions'!$B$27/'Weights &amp; Assumptions'!$B$28,"")</f>
        <v>151.43352978561</v>
      </c>
    </row>
    <row r="230" customFormat="false" ht="15" hidden="false" customHeight="false" outlineLevel="0" collapsed="false">
      <c r="A230" s="20" t="n">
        <v>44804</v>
      </c>
      <c r="B230" s="30" t="n">
        <f aca="false">IF(ISNUMBER(Tabelle1!D231),Tabelle1!D231,"")</f>
        <v>151.72301</v>
      </c>
      <c r="C230" s="23" t="n">
        <f aca="false">IF(ISNUMBER(Tabelle1!E231),Tabelle1!E231/'SF Workings'!F230,"")</f>
        <v>120.808796945183</v>
      </c>
      <c r="D230" s="23" t="n">
        <f aca="false">IF(ISNUMBER(Tabelle1!F231),Tabelle1!F231/'SF Workings'!J230,"")</f>
        <v>175.093613098636</v>
      </c>
      <c r="E230" s="23" t="n">
        <f aca="false">IF(ISNUMBER(Tabelle1!G231),Tabelle1!G231/'SF Workings'!N230,"")</f>
        <v>99.7158448618157</v>
      </c>
      <c r="F230" s="23" t="n">
        <f aca="false">IF(ISNUMBER(Tabelle1!H231),Tabelle1!H231/'SF Workings'!R230,"")</f>
        <v>133.082378962335</v>
      </c>
      <c r="G230" s="23" t="n">
        <f aca="false">IF(ISNUMBER(Tabelle1!I231),Tabelle1!I231/'SF Workings'!V230,"")</f>
        <v>145.686056450013</v>
      </c>
      <c r="H230" s="23" t="n">
        <f aca="false">IF(ISNUMBER(Tabelle1!J231),Tabelle1!J231/'SF Workings'!Z230,"")</f>
        <v>149.929846355047</v>
      </c>
      <c r="I230" s="23" t="n">
        <f aca="false">IF(ISNUMBER(Tabelle1!K231),Tabelle1!K231/'SF Workings'!AD230,"")</f>
        <v>161.788377435523</v>
      </c>
      <c r="J230" s="23" t="n">
        <f aca="false">IF(ISNUMBER(Tabelle1!L231),Tabelle1!L231/'SF Workings'!AH230,"")</f>
        <v>142.803700029938</v>
      </c>
      <c r="K230" s="23" t="n">
        <f aca="false">IF(ISNUMBER(Tabelle1!M231),Tabelle1!M231/'SF Workings'!AL230,"")</f>
        <v>183.515004125808</v>
      </c>
      <c r="L230" s="23" t="n">
        <f aca="false">IF(ISNUMBER(Tabelle1!N231),Tabelle1!N231/'SF Workings'!AP230,"")</f>
        <v>164.51661380209</v>
      </c>
      <c r="M230" s="23" t="n">
        <f aca="false">IF(ISNUMBER(Tabelle1!O231),Tabelle1!O231/'SF Workings'!AT230,"")</f>
        <v>153.2092085527</v>
      </c>
      <c r="N230" s="23" t="n">
        <f aca="false">IF(ISNUMBER(Tabelle1!P231),Tabelle1!P231/'SF Workings'!AX230,"")</f>
        <v>162.685744672598</v>
      </c>
      <c r="O230" s="23" t="n">
        <f aca="false">IF(ISNUMBER(Tabelle1!Q231),Tabelle1!Q231/'SF Workings'!BB230,"")</f>
        <v>167.471703477931</v>
      </c>
      <c r="P230" s="23" t="n">
        <f aca="false">IF(ISNUMBER(Tabelle1!R231),Tabelle1!R231/'SF Workings'!BF230,"")</f>
        <v>183.69307407478</v>
      </c>
      <c r="Q230" s="23" t="n">
        <f aca="false">IF(ISNUMBER(Tabelle1!S231),Tabelle1!S231/'SF Workings'!BJ230,"")</f>
        <v>133.127531928047</v>
      </c>
      <c r="R230" s="23" t="n">
        <f aca="false">IFERROR(C230*'Weights &amp; Assumptions'!$F$6+D230*'Weights &amp; Assumptions'!$F$7,"")</f>
        <v>121.473923594516</v>
      </c>
      <c r="S230" s="23" t="n">
        <f aca="false">IFERROR(E230*'Weights &amp; Assumptions'!$F$8+F230*'Weights &amp; Assumptions'!$F$9+H230*'Weights &amp; Assumptions'!$F$11,"")</f>
        <v>132.608216601993</v>
      </c>
      <c r="T230" s="23" t="n">
        <f aca="false">IFERROR(G230*'Weights &amp; Assumptions'!$F$10+I230*'Weights &amp; Assumptions'!$F$12+J230*'Weights &amp; Assumptions'!$F$13+K230*'Weights &amp; Assumptions'!$F$14+L230*'Weights &amp; Assumptions'!$F$15+M230*'Weights &amp; Assumptions'!$F$16+N230*'Weights &amp; Assumptions'!$F$17+O230*'Weights &amp; Assumptions'!$F$18+P230*'Weights &amp; Assumptions'!$F$19+Q230*'Weights &amp; Assumptions'!$F$20,"")</f>
        <v>162.595565868477</v>
      </c>
      <c r="U230" s="23" t="n">
        <f aca="false">IFERROR(R230*'Weights &amp; Assumptions'!$B$25/'Weights &amp; Assumptions'!$B$28+S230*'Weights &amp; Assumptions'!$B$26/'Weights &amp; Assumptions'!$B$28+T230*'Weights &amp; Assumptions'!$B$27/'Weights &amp; Assumptions'!$B$28,"")</f>
        <v>151.171265866405</v>
      </c>
      <c r="V230" s="30" t="n">
        <f aca="false">IF(ISNUMBER(Tabelle1!E231),Tabelle1!E231*'Weights &amp; Assumptions'!$F$6+Tabelle1!F231*'Weights &amp; Assumptions'!$F$7,"")</f>
        <v>79.1440192125243</v>
      </c>
      <c r="W230" s="30" t="n">
        <f aca="false">IF(ISNUMBER(Tabelle1!G231),Tabelle1!G231*'Weights &amp; Assumptions'!$F$8+Tabelle1!H231*'Weights &amp; Assumptions'!$F$9+Tabelle1!J231*'Weights &amp; Assumptions'!$F$11,"")</f>
        <v>141.075520828376</v>
      </c>
      <c r="X230" s="30" t="n">
        <f aca="false">IF(ISNUMBER(Tabelle1!I231),Tabelle1!I231*'Weights &amp; Assumptions'!$F$10+Tabelle1!K231*'Weights &amp; Assumptions'!$F$12+Tabelle1!L231*'Weights &amp; Assumptions'!$F$13+Tabelle1!M231*'Weights &amp; Assumptions'!$F$14+Tabelle1!N231*'Weights &amp; Assumptions'!$F$15+Tabelle1!O231*'Weights &amp; Assumptions'!$F$16+Tabelle1!P231*'Weights &amp; Assumptions'!$F$17+Tabelle1!Q231*'Weights &amp; Assumptions'!$F$18+Tabelle1!R231*'Weights &amp; Assumptions'!$F$19+Tabelle1!S231*'Weights &amp; Assumptions'!$F$20,"")</f>
        <v>163.804075757348</v>
      </c>
      <c r="Y230" s="23" t="n">
        <f aca="false">IFERROR(V230*'Weights &amp; Assumptions'!$B$25/'Weights &amp; Assumptions'!$B$28+W230*'Weights &amp; Assumptions'!$B$26/'Weights &amp; Assumptions'!$B$28+X230*'Weights &amp; Assumptions'!$B$27/'Weights &amp; Assumptions'!$B$28,"")</f>
        <v>150.657106777516</v>
      </c>
    </row>
    <row r="231" customFormat="false" ht="15" hidden="false" customHeight="false" outlineLevel="0" collapsed="false">
      <c r="A231" s="20" t="n">
        <v>44834</v>
      </c>
      <c r="B231" s="30" t="n">
        <f aca="false">IF(ISNUMBER(Tabelle1!D232),Tabelle1!D232,"")</f>
        <v>150.78775</v>
      </c>
      <c r="C231" s="23" t="n">
        <f aca="false">IF(ISNUMBER(Tabelle1!E232),Tabelle1!E232/'SF Workings'!F231,"")</f>
        <v>121.954558285614</v>
      </c>
      <c r="D231" s="23" t="n">
        <f aca="false">IF(ISNUMBER(Tabelle1!F232),Tabelle1!F232/'SF Workings'!J231,"")</f>
        <v>155.54782864196</v>
      </c>
      <c r="E231" s="23" t="n">
        <f aca="false">IF(ISNUMBER(Tabelle1!G232),Tabelle1!G232/'SF Workings'!N231,"")</f>
        <v>99.2550563564811</v>
      </c>
      <c r="F231" s="23" t="n">
        <f aca="false">IF(ISNUMBER(Tabelle1!H232),Tabelle1!H232/'SF Workings'!R231,"")</f>
        <v>132.384113222057</v>
      </c>
      <c r="G231" s="23" t="n">
        <f aca="false">IF(ISNUMBER(Tabelle1!I232),Tabelle1!I232/'SF Workings'!V231,"")</f>
        <v>143.044082667894</v>
      </c>
      <c r="H231" s="23" t="n">
        <f aca="false">IF(ISNUMBER(Tabelle1!J232),Tabelle1!J232/'SF Workings'!Z231,"")</f>
        <v>152.315050493932</v>
      </c>
      <c r="I231" s="23" t="n">
        <f aca="false">IF(ISNUMBER(Tabelle1!K232),Tabelle1!K232/'SF Workings'!AD231,"")</f>
        <v>164.089229361548</v>
      </c>
      <c r="J231" s="23" t="n">
        <f aca="false">IF(ISNUMBER(Tabelle1!L232),Tabelle1!L232/'SF Workings'!AH231,"")</f>
        <v>139.683186197813</v>
      </c>
      <c r="K231" s="23" t="n">
        <f aca="false">IF(ISNUMBER(Tabelle1!M232),Tabelle1!M232/'SF Workings'!AL231,"")</f>
        <v>182.410947641825</v>
      </c>
      <c r="L231" s="23" t="n">
        <f aca="false">IF(ISNUMBER(Tabelle1!N232),Tabelle1!N232/'SF Workings'!AP231,"")</f>
        <v>161.485946251762</v>
      </c>
      <c r="M231" s="23" t="n">
        <f aca="false">IF(ISNUMBER(Tabelle1!O232),Tabelle1!O232/'SF Workings'!AT231,"")</f>
        <v>152.366605165157</v>
      </c>
      <c r="N231" s="23" t="n">
        <f aca="false">IF(ISNUMBER(Tabelle1!P232),Tabelle1!P232/'SF Workings'!AX231,"")</f>
        <v>162.76270734123</v>
      </c>
      <c r="O231" s="23" t="n">
        <f aca="false">IF(ISNUMBER(Tabelle1!Q232),Tabelle1!Q232/'SF Workings'!BB231,"")</f>
        <v>167.506815408162</v>
      </c>
      <c r="P231" s="23" t="n">
        <f aca="false">IF(ISNUMBER(Tabelle1!R232),Tabelle1!R232/'SF Workings'!BF231,"")</f>
        <v>183.098459002914</v>
      </c>
      <c r="Q231" s="23" t="n">
        <f aca="false">IF(ISNUMBER(Tabelle1!S232),Tabelle1!S232/'SF Workings'!BJ231,"")</f>
        <v>131.727929581562</v>
      </c>
      <c r="R231" s="23" t="n">
        <f aca="false">IFERROR(C231*'Weights &amp; Assumptions'!$F$6+D231*'Weights &amp; Assumptions'!$F$7,"")</f>
        <v>122.366161030829</v>
      </c>
      <c r="S231" s="23" t="n">
        <f aca="false">IFERROR(E231*'Weights &amp; Assumptions'!$F$8+F231*'Weights &amp; Assumptions'!$F$9+H231*'Weights &amp; Assumptions'!$F$11,"")</f>
        <v>132.580664702468</v>
      </c>
      <c r="T231" s="23" t="n">
        <f aca="false">IFERROR(G231*'Weights &amp; Assumptions'!$F$10+I231*'Weights &amp; Assumptions'!$F$12+J231*'Weights &amp; Assumptions'!$F$13+K231*'Weights &amp; Assumptions'!$F$14+L231*'Weights &amp; Assumptions'!$F$15+M231*'Weights &amp; Assumptions'!$F$16+N231*'Weights &amp; Assumptions'!$F$17+O231*'Weights &amp; Assumptions'!$F$18+P231*'Weights &amp; Assumptions'!$F$19+Q231*'Weights &amp; Assumptions'!$F$20,"")</f>
        <v>162.169072209826</v>
      </c>
      <c r="U231" s="23" t="n">
        <f aca="false">IFERROR(R231*'Weights &amp; Assumptions'!$B$25/'Weights &amp; Assumptions'!$B$28+S231*'Weights &amp; Assumptions'!$B$26/'Weights &amp; Assumptions'!$B$28+T231*'Weights &amp; Assumptions'!$B$27/'Weights &amp; Assumptions'!$B$28,"")</f>
        <v>150.961500426599</v>
      </c>
      <c r="V231" s="30" t="n">
        <f aca="false">IF(ISNUMBER(Tabelle1!E232),Tabelle1!E232*'Weights &amp; Assumptions'!$F$6+Tabelle1!F232*'Weights &amp; Assumptions'!$F$7,"")</f>
        <v>74.2548610203692</v>
      </c>
      <c r="W231" s="30" t="n">
        <f aca="false">IF(ISNUMBER(Tabelle1!G232),Tabelle1!G232*'Weights &amp; Assumptions'!$F$8+Tabelle1!H232*'Weights &amp; Assumptions'!$F$9+Tabelle1!J232*'Weights &amp; Assumptions'!$F$11,"")</f>
        <v>137.432021678262</v>
      </c>
      <c r="X231" s="30" t="n">
        <f aca="false">IF(ISNUMBER(Tabelle1!I232),Tabelle1!I232*'Weights &amp; Assumptions'!$F$10+Tabelle1!K232*'Weights &amp; Assumptions'!$F$12+Tabelle1!L232*'Weights &amp; Assumptions'!$F$13+Tabelle1!M232*'Weights &amp; Assumptions'!$F$14+Tabelle1!N232*'Weights &amp; Assumptions'!$F$15+Tabelle1!O232*'Weights &amp; Assumptions'!$F$16+Tabelle1!P232*'Weights &amp; Assumptions'!$F$17+Tabelle1!Q232*'Weights &amp; Assumptions'!$F$18+Tabelle1!R232*'Weights &amp; Assumptions'!$F$19+Tabelle1!S232*'Weights &amp; Assumptions'!$F$20,"")</f>
        <v>161.233705739707</v>
      </c>
      <c r="Y231" s="23" t="n">
        <f aca="false">IFERROR(V231*'Weights &amp; Assumptions'!$B$25/'Weights &amp; Assumptions'!$B$28+W231*'Weights &amp; Assumptions'!$B$26/'Weights &amp; Assumptions'!$B$28+X231*'Weights &amp; Assumptions'!$B$27/'Weights &amp; Assumptions'!$B$28,"")</f>
        <v>147.606824720421</v>
      </c>
    </row>
    <row r="232" customFormat="false" ht="15" hidden="false" customHeight="false" outlineLevel="0" collapsed="false">
      <c r="A232" s="20" t="n">
        <v>44865</v>
      </c>
      <c r="B232" s="30" t="n">
        <f aca="false">IF(ISNUMBER(Tabelle1!D233),Tabelle1!D233,"")</f>
        <v>149.08576</v>
      </c>
      <c r="C232" s="23" t="n">
        <f aca="false">IF(ISNUMBER(Tabelle1!E233),Tabelle1!E233/'SF Workings'!F232,"")</f>
        <v>109.681738135397</v>
      </c>
      <c r="D232" s="23" t="n">
        <f aca="false">IF(ISNUMBER(Tabelle1!F233),Tabelle1!F233/'SF Workings'!J232,"")</f>
        <v>97.6018139578166</v>
      </c>
      <c r="E232" s="23" t="n">
        <f aca="false">IF(ISNUMBER(Tabelle1!G233),Tabelle1!G233/'SF Workings'!N232,"")</f>
        <v>100.795895259935</v>
      </c>
      <c r="F232" s="23" t="n">
        <f aca="false">IF(ISNUMBER(Tabelle1!H233),Tabelle1!H233/'SF Workings'!R232,"")</f>
        <v>126.285298718695</v>
      </c>
      <c r="G232" s="23" t="n">
        <f aca="false">IF(ISNUMBER(Tabelle1!I233),Tabelle1!I233/'SF Workings'!V232,"")</f>
        <v>148.055905600875</v>
      </c>
      <c r="H232" s="23" t="n">
        <f aca="false">IF(ISNUMBER(Tabelle1!J233),Tabelle1!J233/'SF Workings'!Z232,"")</f>
        <v>143.674629918194</v>
      </c>
      <c r="I232" s="23" t="n">
        <f aca="false">IF(ISNUMBER(Tabelle1!K233),Tabelle1!K233/'SF Workings'!AD232,"")</f>
        <v>153.556584680879</v>
      </c>
      <c r="J232" s="23" t="n">
        <f aca="false">IF(ISNUMBER(Tabelle1!L233),Tabelle1!L233/'SF Workings'!AH232,"")</f>
        <v>143.603774612898</v>
      </c>
      <c r="K232" s="23" t="n">
        <f aca="false">IF(ISNUMBER(Tabelle1!M233),Tabelle1!M233/'SF Workings'!AL232,"")</f>
        <v>182.429118049099</v>
      </c>
      <c r="L232" s="23" t="n">
        <f aca="false">IF(ISNUMBER(Tabelle1!N233),Tabelle1!N233/'SF Workings'!AP232,"")</f>
        <v>160.136255378437</v>
      </c>
      <c r="M232" s="23" t="n">
        <f aca="false">IF(ISNUMBER(Tabelle1!O233),Tabelle1!O233/'SF Workings'!AT232,"")</f>
        <v>150.024704969341</v>
      </c>
      <c r="N232" s="23" t="n">
        <f aca="false">IF(ISNUMBER(Tabelle1!P233),Tabelle1!P233/'SF Workings'!AX232,"")</f>
        <v>161.150447407143</v>
      </c>
      <c r="O232" s="23" t="n">
        <f aca="false">IF(ISNUMBER(Tabelle1!Q233),Tabelle1!Q233/'SF Workings'!BB232,"")</f>
        <v>166.889435277537</v>
      </c>
      <c r="P232" s="23" t="n">
        <f aca="false">IF(ISNUMBER(Tabelle1!R233),Tabelle1!R233/'SF Workings'!BF232,"")</f>
        <v>182.097208021836</v>
      </c>
      <c r="Q232" s="23" t="n">
        <f aca="false">IF(ISNUMBER(Tabelle1!S233),Tabelle1!S233/'SF Workings'!BJ232,"")</f>
        <v>129.384447702632</v>
      </c>
      <c r="R232" s="23" t="n">
        <f aca="false">IFERROR(C232*'Weights &amp; Assumptions'!$F$6+D232*'Weights &amp; Assumptions'!$F$7,"")</f>
        <v>109.533728432836</v>
      </c>
      <c r="S232" s="23" t="n">
        <f aca="false">IFERROR(E232*'Weights &amp; Assumptions'!$F$8+F232*'Weights &amp; Assumptions'!$F$9+H232*'Weights &amp; Assumptions'!$F$11,"")</f>
        <v>126.864530740007</v>
      </c>
      <c r="T232" s="23" t="n">
        <f aca="false">IFERROR(G232*'Weights &amp; Assumptions'!$F$10+I232*'Weights &amp; Assumptions'!$F$12+J232*'Weights &amp; Assumptions'!$F$13+K232*'Weights &amp; Assumptions'!$F$14+L232*'Weights &amp; Assumptions'!$F$15+M232*'Weights &amp; Assumptions'!$F$16+N232*'Weights &amp; Assumptions'!$F$17+O232*'Weights &amp; Assumptions'!$F$18+P232*'Weights &amp; Assumptions'!$F$19+Q232*'Weights &amp; Assumptions'!$F$20,"")</f>
        <v>159.375010687025</v>
      </c>
      <c r="U232" s="23" t="n">
        <f aca="false">IFERROR(R232*'Weights &amp; Assumptions'!$B$25/'Weights &amp; Assumptions'!$B$28+S232*'Weights &amp; Assumptions'!$B$26/'Weights &amp; Assumptions'!$B$28+T232*'Weights &amp; Assumptions'!$B$27/'Weights &amp; Assumptions'!$B$28,"")</f>
        <v>146.548181111724</v>
      </c>
      <c r="V232" s="30" t="n">
        <f aca="false">IF(ISNUMBER(Tabelle1!E233),Tabelle1!E233*'Weights &amp; Assumptions'!$F$6+Tabelle1!F233*'Weights &amp; Assumptions'!$F$7,"")</f>
        <v>64.7757441715832</v>
      </c>
      <c r="W232" s="30" t="n">
        <f aca="false">IF(ISNUMBER(Tabelle1!G233),Tabelle1!G233*'Weights &amp; Assumptions'!$F$8+Tabelle1!H233*'Weights &amp; Assumptions'!$F$9+Tabelle1!J233*'Weights &amp; Assumptions'!$F$11,"")</f>
        <v>135.750431098722</v>
      </c>
      <c r="X232" s="30" t="n">
        <f aca="false">IF(ISNUMBER(Tabelle1!I233),Tabelle1!I233*'Weights &amp; Assumptions'!$F$10+Tabelle1!K233*'Weights &amp; Assumptions'!$F$12+Tabelle1!L233*'Weights &amp; Assumptions'!$F$13+Tabelle1!M233*'Weights &amp; Assumptions'!$F$14+Tabelle1!N233*'Weights &amp; Assumptions'!$F$15+Tabelle1!O233*'Weights &amp; Assumptions'!$F$16+Tabelle1!P233*'Weights &amp; Assumptions'!$F$17+Tabelle1!Q233*'Weights &amp; Assumptions'!$F$18+Tabelle1!R233*'Weights &amp; Assumptions'!$F$19+Tabelle1!S233*'Weights &amp; Assumptions'!$F$20,"")</f>
        <v>160.878895668558</v>
      </c>
      <c r="Y232" s="23" t="n">
        <f aca="false">IFERROR(V232*'Weights &amp; Assumptions'!$B$25/'Weights &amp; Assumptions'!$B$28+W232*'Weights &amp; Assumptions'!$B$26/'Weights &amp; Assumptions'!$B$28+X232*'Weights &amp; Assumptions'!$B$27/'Weights &amp; Assumptions'!$B$28,"")</f>
        <v>146.133663603793</v>
      </c>
    </row>
    <row r="233" customFormat="false" ht="15" hidden="false" customHeight="false" outlineLevel="0" collapsed="false">
      <c r="A233" s="20" t="n">
        <v>44895</v>
      </c>
      <c r="B233" s="30" t="n">
        <f aca="false">IF(ISNUMBER(Tabelle1!D234),Tabelle1!D234,"")</f>
        <v>148.32757</v>
      </c>
      <c r="C233" s="23" t="n">
        <f aca="false">IF(ISNUMBER(Tabelle1!E234),Tabelle1!E234/'SF Workings'!F233,"")</f>
        <v>108.96218360713</v>
      </c>
      <c r="D233" s="23" t="n">
        <f aca="false">IF(ISNUMBER(Tabelle1!F234),Tabelle1!F234/'SF Workings'!J233,"")</f>
        <v>131.095115379034</v>
      </c>
      <c r="E233" s="23" t="n">
        <f aca="false">IF(ISNUMBER(Tabelle1!G234),Tabelle1!G234/'SF Workings'!N233,"")</f>
        <v>99.6587952178013</v>
      </c>
      <c r="F233" s="23" t="n">
        <f aca="false">IF(ISNUMBER(Tabelle1!H234),Tabelle1!H234/'SF Workings'!R233,"")</f>
        <v>131.412149966156</v>
      </c>
      <c r="G233" s="23" t="n">
        <f aca="false">IF(ISNUMBER(Tabelle1!I234),Tabelle1!I234/'SF Workings'!V233,"")</f>
        <v>153.209824861779</v>
      </c>
      <c r="H233" s="23" t="n">
        <f aca="false">IF(ISNUMBER(Tabelle1!J234),Tabelle1!J234/'SF Workings'!Z233,"")</f>
        <v>147.184732118542</v>
      </c>
      <c r="I233" s="23" t="n">
        <f aca="false">IF(ISNUMBER(Tabelle1!K234),Tabelle1!K234/'SF Workings'!AD233,"")</f>
        <v>157.846834230979</v>
      </c>
      <c r="J233" s="23" t="n">
        <f aca="false">IF(ISNUMBER(Tabelle1!L234),Tabelle1!L234/'SF Workings'!AH233,"")</f>
        <v>141.128792934517</v>
      </c>
      <c r="K233" s="23" t="n">
        <f aca="false">IF(ISNUMBER(Tabelle1!M234),Tabelle1!M234/'SF Workings'!AL233,"")</f>
        <v>181.360974564109</v>
      </c>
      <c r="L233" s="23" t="n">
        <f aca="false">IF(ISNUMBER(Tabelle1!N234),Tabelle1!N234/'SF Workings'!AP233,"")</f>
        <v>164.315674300604</v>
      </c>
      <c r="M233" s="23" t="n">
        <f aca="false">IF(ISNUMBER(Tabelle1!O234),Tabelle1!O234/'SF Workings'!AT233,"")</f>
        <v>152.332122464526</v>
      </c>
      <c r="N233" s="23" t="n">
        <f aca="false">IF(ISNUMBER(Tabelle1!P234),Tabelle1!P234/'SF Workings'!AX233,"")</f>
        <v>161.479520879759</v>
      </c>
      <c r="O233" s="23" t="n">
        <f aca="false">IF(ISNUMBER(Tabelle1!Q234),Tabelle1!Q234/'SF Workings'!BB233,"")</f>
        <v>167.287083314508</v>
      </c>
      <c r="P233" s="23" t="n">
        <f aca="false">IF(ISNUMBER(Tabelle1!R234),Tabelle1!R234/'SF Workings'!BF233,"")</f>
        <v>181.764367015506</v>
      </c>
      <c r="Q233" s="23" t="n">
        <f aca="false">IF(ISNUMBER(Tabelle1!S234),Tabelle1!S234/'SF Workings'!BJ233,"")</f>
        <v>127.783899206245</v>
      </c>
      <c r="R233" s="23" t="n">
        <f aca="false">IFERROR(C233*'Weights &amp; Assumptions'!$F$6+D233*'Weights &amp; Assumptions'!$F$7,"")</f>
        <v>109.2333681444</v>
      </c>
      <c r="S233" s="23" t="n">
        <f aca="false">IFERROR(E233*'Weights &amp; Assumptions'!$F$8+F233*'Weights &amp; Assumptions'!$F$9+H233*'Weights &amp; Assumptions'!$F$11,"")</f>
        <v>130.906673541978</v>
      </c>
      <c r="T233" s="23" t="n">
        <f aca="false">IFERROR(G233*'Weights &amp; Assumptions'!$F$10+I233*'Weights &amp; Assumptions'!$F$12+J233*'Weights &amp; Assumptions'!$F$13+K233*'Weights &amp; Assumptions'!$F$14+L233*'Weights &amp; Assumptions'!$F$15+M233*'Weights &amp; Assumptions'!$F$16+N233*'Weights &amp; Assumptions'!$F$17+O233*'Weights &amp; Assumptions'!$F$18+P233*'Weights &amp; Assumptions'!$F$19+Q233*'Weights &amp; Assumptions'!$F$20,"")</f>
        <v>160.860442017909</v>
      </c>
      <c r="U233" s="23" t="n">
        <f aca="false">IFERROR(R233*'Weights &amp; Assumptions'!$B$25/'Weights &amp; Assumptions'!$B$28+S233*'Weights &amp; Assumptions'!$B$26/'Weights &amp; Assumptions'!$B$28+T233*'Weights &amp; Assumptions'!$B$27/'Weights &amp; Assumptions'!$B$28,"")</f>
        <v>148.563657280835</v>
      </c>
      <c r="V233" s="30" t="n">
        <f aca="false">IF(ISNUMBER(Tabelle1!E234),Tabelle1!E234*'Weights &amp; Assumptions'!$F$6+Tabelle1!F234*'Weights &amp; Assumptions'!$F$7,"")</f>
        <v>75.347423106876</v>
      </c>
      <c r="W233" s="30" t="n">
        <f aca="false">IF(ISNUMBER(Tabelle1!G234),Tabelle1!G234*'Weights &amp; Assumptions'!$F$8+Tabelle1!H234*'Weights &amp; Assumptions'!$F$9+Tabelle1!J234*'Weights &amp; Assumptions'!$F$11,"")</f>
        <v>136.718223725773</v>
      </c>
      <c r="X233" s="30" t="n">
        <f aca="false">IF(ISNUMBER(Tabelle1!I234),Tabelle1!I234*'Weights &amp; Assumptions'!$F$10+Tabelle1!K234*'Weights &amp; Assumptions'!$F$12+Tabelle1!L234*'Weights &amp; Assumptions'!$F$13+Tabelle1!M234*'Weights &amp; Assumptions'!$F$14+Tabelle1!N234*'Weights &amp; Assumptions'!$F$15+Tabelle1!O234*'Weights &amp; Assumptions'!$F$16+Tabelle1!P234*'Weights &amp; Assumptions'!$F$17+Tabelle1!Q234*'Weights &amp; Assumptions'!$F$18+Tabelle1!R234*'Weights &amp; Assumptions'!$F$19+Tabelle1!S234*'Weights &amp; Assumptions'!$F$20,"")</f>
        <v>161.913996461043</v>
      </c>
      <c r="Y233" s="23" t="n">
        <f aca="false">IFERROR(V233*'Weights &amp; Assumptions'!$B$25/'Weights &amp; Assumptions'!$B$28+W233*'Weights &amp; Assumptions'!$B$26/'Weights &amp; Assumptions'!$B$28+X233*'Weights &amp; Assumptions'!$B$27/'Weights &amp; Assumptions'!$B$28,"")</f>
        <v>147.950992821844</v>
      </c>
    </row>
    <row r="234" customFormat="false" ht="15" hidden="false" customHeight="false" outlineLevel="0" collapsed="false">
      <c r="A234" s="20" t="n">
        <v>44926</v>
      </c>
      <c r="B234" s="30" t="n">
        <f aca="false">IF(ISNUMBER(Tabelle1!D235),Tabelle1!D235,"")</f>
        <v>148.48524</v>
      </c>
      <c r="C234" s="23" t="n">
        <f aca="false">IF(ISNUMBER(Tabelle1!E235),Tabelle1!E235/'SF Workings'!F234,"")</f>
        <v>105.664192486891</v>
      </c>
      <c r="D234" s="23" t="n">
        <f aca="false">IF(ISNUMBER(Tabelle1!F235),Tabelle1!F235/'SF Workings'!J234,"")</f>
        <v>185.497625752057</v>
      </c>
      <c r="E234" s="23" t="n">
        <f aca="false">IF(ISNUMBER(Tabelle1!G235),Tabelle1!G235/'SF Workings'!N234,"")</f>
        <v>100.990214736115</v>
      </c>
      <c r="F234" s="23" t="n">
        <f aca="false">IF(ISNUMBER(Tabelle1!H235),Tabelle1!H235/'SF Workings'!R234,"")</f>
        <v>130.617887831392</v>
      </c>
      <c r="G234" s="23" t="n">
        <f aca="false">IF(ISNUMBER(Tabelle1!I235),Tabelle1!I235/'SF Workings'!V234,"")</f>
        <v>158.075024174557</v>
      </c>
      <c r="H234" s="23" t="n">
        <f aca="false">IF(ISNUMBER(Tabelle1!J235),Tabelle1!J235/'SF Workings'!Z234,"")</f>
        <v>144.771594938091</v>
      </c>
      <c r="I234" s="23" t="n">
        <f aca="false">IF(ISNUMBER(Tabelle1!K235),Tabelle1!K235/'SF Workings'!AD234,"")</f>
        <v>158.482550964695</v>
      </c>
      <c r="J234" s="23" t="n">
        <f aca="false">IF(ISNUMBER(Tabelle1!L235),Tabelle1!L235/'SF Workings'!AH234,"")</f>
        <v>139.16313662712</v>
      </c>
      <c r="K234" s="23" t="n">
        <f aca="false">IF(ISNUMBER(Tabelle1!M235),Tabelle1!M235/'SF Workings'!AL234,"")</f>
        <v>180.43210799048</v>
      </c>
      <c r="L234" s="23" t="n">
        <f aca="false">IF(ISNUMBER(Tabelle1!N235),Tabelle1!N235/'SF Workings'!AP234,"")</f>
        <v>166.067255285402</v>
      </c>
      <c r="M234" s="23" t="n">
        <f aca="false">IF(ISNUMBER(Tabelle1!O235),Tabelle1!O235/'SF Workings'!AT234,"")</f>
        <v>150.656107560724</v>
      </c>
      <c r="N234" s="23" t="n">
        <f aca="false">IF(ISNUMBER(Tabelle1!P235),Tabelle1!P235/'SF Workings'!AX234,"")</f>
        <v>161.348364534894</v>
      </c>
      <c r="O234" s="23" t="n">
        <f aca="false">IF(ISNUMBER(Tabelle1!Q235),Tabelle1!Q235/'SF Workings'!BB234,"")</f>
        <v>167.62942027548</v>
      </c>
      <c r="P234" s="23" t="n">
        <f aca="false">IF(ISNUMBER(Tabelle1!R235),Tabelle1!R235/'SF Workings'!BF234,"")</f>
        <v>181.609397449684</v>
      </c>
      <c r="Q234" s="23" t="n">
        <f aca="false">IF(ISNUMBER(Tabelle1!S235),Tabelle1!S235/'SF Workings'!BJ234,"")</f>
        <v>126.404090348448</v>
      </c>
      <c r="R234" s="23" t="n">
        <f aca="false">IFERROR(C234*'Weights &amp; Assumptions'!$F$6+D234*'Weights &amp; Assumptions'!$F$7,"")</f>
        <v>106.642354480152</v>
      </c>
      <c r="S234" s="23" t="n">
        <f aca="false">IFERROR(E234*'Weights &amp; Assumptions'!$F$8+F234*'Weights &amp; Assumptions'!$F$9+H234*'Weights &amp; Assumptions'!$F$11,"")</f>
        <v>130.028963019288</v>
      </c>
      <c r="T234" s="23" t="n">
        <f aca="false">IFERROR(G234*'Weights &amp; Assumptions'!$F$10+I234*'Weights &amp; Assumptions'!$F$12+J234*'Weights &amp; Assumptions'!$F$13+K234*'Weights &amp; Assumptions'!$F$14+L234*'Weights &amp; Assumptions'!$F$15+M234*'Weights &amp; Assumptions'!$F$16+N234*'Weights &amp; Assumptions'!$F$17+O234*'Weights &amp; Assumptions'!$F$18+P234*'Weights &amp; Assumptions'!$F$19+Q234*'Weights &amp; Assumptions'!$F$20,"")</f>
        <v>160.617914106576</v>
      </c>
      <c r="U234" s="23" t="n">
        <f aca="false">IFERROR(R234*'Weights &amp; Assumptions'!$B$25/'Weights &amp; Assumptions'!$B$28+S234*'Weights &amp; Assumptions'!$B$26/'Weights &amp; Assumptions'!$B$28+T234*'Weights &amp; Assumptions'!$B$27/'Weights &amp; Assumptions'!$B$28,"")</f>
        <v>147.955183308591</v>
      </c>
      <c r="V234" s="30" t="n">
        <f aca="false">IF(ISNUMBER(Tabelle1!E235),Tabelle1!E235*'Weights &amp; Assumptions'!$F$6+Tabelle1!F235*'Weights &amp; Assumptions'!$F$7,"")</f>
        <v>92.3344764826403</v>
      </c>
      <c r="W234" s="30" t="n">
        <f aca="false">IF(ISNUMBER(Tabelle1!G235),Tabelle1!G235*'Weights &amp; Assumptions'!$F$8+Tabelle1!H235*'Weights &amp; Assumptions'!$F$9+Tabelle1!J235*'Weights &amp; Assumptions'!$F$11,"")</f>
        <v>128.245571672358</v>
      </c>
      <c r="X234" s="30" t="n">
        <f aca="false">IF(ISNUMBER(Tabelle1!I235),Tabelle1!I235*'Weights &amp; Assumptions'!$F$10+Tabelle1!K235*'Weights &amp; Assumptions'!$F$12+Tabelle1!L235*'Weights &amp; Assumptions'!$F$13+Tabelle1!M235*'Weights &amp; Assumptions'!$F$14+Tabelle1!N235*'Weights &amp; Assumptions'!$F$15+Tabelle1!O235*'Weights &amp; Assumptions'!$F$16+Tabelle1!P235*'Weights &amp; Assumptions'!$F$17+Tabelle1!Q235*'Weights &amp; Assumptions'!$F$18+Tabelle1!R235*'Weights &amp; Assumptions'!$F$19+Tabelle1!S235*'Weights &amp; Assumptions'!$F$20,"")</f>
        <v>160.551825310428</v>
      </c>
      <c r="Y234" s="23" t="n">
        <f aca="false">IFERROR(V234*'Weights &amp; Assumptions'!$B$25/'Weights &amp; Assumptions'!$B$28+W234*'Weights &amp; Assumptions'!$B$26/'Weights &amp; Assumptions'!$B$28+X234*'Weights &amp; Assumptions'!$B$27/'Weights &amp; Assumptions'!$B$28,"")</f>
        <v>146.237535800078</v>
      </c>
    </row>
    <row r="235" customFormat="false" ht="15" hidden="false" customHeight="false" outlineLevel="0" collapsed="false">
      <c r="A235" s="20" t="n">
        <v>44957</v>
      </c>
      <c r="B235" s="30" t="n">
        <f aca="false">IF(ISNUMBER(Tabelle1!D236),Tabelle1!D236,"")</f>
        <v>149.95773</v>
      </c>
      <c r="C235" s="23" t="n">
        <f aca="false">IF(ISNUMBER(Tabelle1!E236),Tabelle1!E236/'SF Workings'!F235,"")</f>
        <v>113.491824728275</v>
      </c>
      <c r="D235" s="23" t="n">
        <f aca="false">IF(ISNUMBER(Tabelle1!F236),Tabelle1!F236/'SF Workings'!J235,"")</f>
        <v>216.85332579057</v>
      </c>
      <c r="E235" s="23" t="n">
        <f aca="false">IF(ISNUMBER(Tabelle1!G236),Tabelle1!G236/'SF Workings'!N235,"")</f>
        <v>103.214003460792</v>
      </c>
      <c r="F235" s="23" t="n">
        <f aca="false">IF(ISNUMBER(Tabelle1!H236),Tabelle1!H236/'SF Workings'!R235,"")</f>
        <v>130.474706679527</v>
      </c>
      <c r="G235" s="23" t="n">
        <f aca="false">IF(ISNUMBER(Tabelle1!I236),Tabelle1!I236/'SF Workings'!V235,"")</f>
        <v>153.575730267381</v>
      </c>
      <c r="H235" s="23" t="n">
        <f aca="false">IF(ISNUMBER(Tabelle1!J236),Tabelle1!J236/'SF Workings'!Z235,"")</f>
        <v>149.681047762508</v>
      </c>
      <c r="I235" s="23" t="n">
        <f aca="false">IF(ISNUMBER(Tabelle1!K236),Tabelle1!K236/'SF Workings'!AD235,"")</f>
        <v>158.734196408101</v>
      </c>
      <c r="J235" s="23" t="n">
        <f aca="false">IF(ISNUMBER(Tabelle1!L236),Tabelle1!L236/'SF Workings'!AH235,"")</f>
        <v>148.124068856162</v>
      </c>
      <c r="K235" s="23" t="n">
        <f aca="false">IF(ISNUMBER(Tabelle1!M236),Tabelle1!M236/'SF Workings'!AL235,"")</f>
        <v>179.362398454427</v>
      </c>
      <c r="L235" s="23" t="n">
        <f aca="false">IF(ISNUMBER(Tabelle1!N236),Tabelle1!N236/'SF Workings'!AP235,"")</f>
        <v>166.271749741221</v>
      </c>
      <c r="M235" s="23" t="n">
        <f aca="false">IF(ISNUMBER(Tabelle1!O236),Tabelle1!O236/'SF Workings'!AT235,"")</f>
        <v>151.937212313657</v>
      </c>
      <c r="N235" s="23" t="n">
        <f aca="false">IF(ISNUMBER(Tabelle1!P236),Tabelle1!P236/'SF Workings'!AX235,"")</f>
        <v>162.6639419188</v>
      </c>
      <c r="O235" s="23" t="n">
        <f aca="false">IF(ISNUMBER(Tabelle1!Q236),Tabelle1!Q236/'SF Workings'!BB235,"")</f>
        <v>168.068147439631</v>
      </c>
      <c r="P235" s="23" t="n">
        <f aca="false">IF(ISNUMBER(Tabelle1!R236),Tabelle1!R236/'SF Workings'!BF235,"")</f>
        <v>182.021298069812</v>
      </c>
      <c r="Q235" s="23" t="n">
        <f aca="false">IF(ISNUMBER(Tabelle1!S236),Tabelle1!S236/'SF Workings'!BJ235,"")</f>
        <v>125.109642610913</v>
      </c>
      <c r="R235" s="23" t="n">
        <f aca="false">IFERROR(C235*'Weights &amp; Assumptions'!$F$6+D235*'Weights &amp; Assumptions'!$F$7,"")</f>
        <v>114.758265212799</v>
      </c>
      <c r="S235" s="23" t="n">
        <f aca="false">IFERROR(E235*'Weights &amp; Assumptions'!$F$8+F235*'Weights &amp; Assumptions'!$F$9+H235*'Weights &amp; Assumptions'!$F$11,"")</f>
        <v>131.220975641308</v>
      </c>
      <c r="T235" s="23" t="n">
        <f aca="false">IFERROR(G235*'Weights &amp; Assumptions'!$F$10+I235*'Weights &amp; Assumptions'!$F$12+J235*'Weights &amp; Assumptions'!$F$13+K235*'Weights &amp; Assumptions'!$F$14+L235*'Weights &amp; Assumptions'!$F$15+M235*'Weights &amp; Assumptions'!$F$16+N235*'Weights &amp; Assumptions'!$F$17+O235*'Weights &amp; Assumptions'!$F$18+P235*'Weights &amp; Assumptions'!$F$19+Q235*'Weights &amp; Assumptions'!$F$20,"")</f>
        <v>161.196969521319</v>
      </c>
      <c r="U235" s="23" t="n">
        <f aca="false">IFERROR(R235*'Weights &amp; Assumptions'!$B$25/'Weights &amp; Assumptions'!$B$28+S235*'Weights &amp; Assumptions'!$B$26/'Weights &amp; Assumptions'!$B$28+T235*'Weights &amp; Assumptions'!$B$27/'Weights &amp; Assumptions'!$B$28,"")</f>
        <v>149.329583185318</v>
      </c>
      <c r="V235" s="30" t="n">
        <f aca="false">IF(ISNUMBER(Tabelle1!E236),Tabelle1!E236*'Weights &amp; Assumptions'!$F$6+Tabelle1!F236*'Weights &amp; Assumptions'!$F$7,"")</f>
        <v>82.3195025339388</v>
      </c>
      <c r="W235" s="30" t="n">
        <f aca="false">IF(ISNUMBER(Tabelle1!G236),Tabelle1!G236*'Weights &amp; Assumptions'!$F$8+Tabelle1!H236*'Weights &amp; Assumptions'!$F$9+Tabelle1!J236*'Weights &amp; Assumptions'!$F$11,"")</f>
        <v>121.15018138381</v>
      </c>
      <c r="X235" s="30" t="n">
        <f aca="false">IF(ISNUMBER(Tabelle1!I236),Tabelle1!I236*'Weights &amp; Assumptions'!$F$10+Tabelle1!K236*'Weights &amp; Assumptions'!$F$12+Tabelle1!L236*'Weights &amp; Assumptions'!$F$13+Tabelle1!M236*'Weights &amp; Assumptions'!$F$14+Tabelle1!N236*'Weights &amp; Assumptions'!$F$15+Tabelle1!O236*'Weights &amp; Assumptions'!$F$16+Tabelle1!P236*'Weights &amp; Assumptions'!$F$17+Tabelle1!Q236*'Weights &amp; Assumptions'!$F$18+Tabelle1!R236*'Weights &amp; Assumptions'!$F$19+Tabelle1!S236*'Weights &amp; Assumptions'!$F$20,"")</f>
        <v>161.054919205008</v>
      </c>
      <c r="Y235" s="23" t="n">
        <f aca="false">IFERROR(V235*'Weights &amp; Assumptions'!$B$25/'Weights &amp; Assumptions'!$B$28+W235*'Weights &amp; Assumptions'!$B$26/'Weights &amp; Assumptions'!$B$28+X235*'Weights &amp; Assumptions'!$B$27/'Weights &amp; Assumptions'!$B$28,"")</f>
        <v>143.837585373619</v>
      </c>
    </row>
    <row r="236" customFormat="false" ht="15" hidden="false" customHeight="false" outlineLevel="0" collapsed="false">
      <c r="A236" s="20" t="n">
        <v>44985</v>
      </c>
      <c r="B236" s="30" t="n">
        <f aca="false">IF(ISNUMBER(Tabelle1!D237),Tabelle1!D237,"")</f>
        <v>150.15642</v>
      </c>
      <c r="C236" s="23" t="n">
        <f aca="false">IF(ISNUMBER(Tabelle1!E237),Tabelle1!E237/'SF Workings'!F236,"")</f>
        <v>115.754259685386</v>
      </c>
      <c r="D236" s="23" t="n">
        <f aca="false">IF(ISNUMBER(Tabelle1!F237),Tabelle1!F237/'SF Workings'!J236,"")</f>
        <v>127.58670936328</v>
      </c>
      <c r="E236" s="23" t="n">
        <f aca="false">IF(ISNUMBER(Tabelle1!G237),Tabelle1!G237/'SF Workings'!N236,"")</f>
        <v>100.220525865247</v>
      </c>
      <c r="F236" s="23" t="n">
        <f aca="false">IF(ISNUMBER(Tabelle1!H237),Tabelle1!H237/'SF Workings'!R236,"")</f>
        <v>127.573908057309</v>
      </c>
      <c r="G236" s="23" t="n">
        <f aca="false">IF(ISNUMBER(Tabelle1!I237),Tabelle1!I237/'SF Workings'!V236,"")</f>
        <v>146.840764200388</v>
      </c>
      <c r="H236" s="23" t="n">
        <f aca="false">IF(ISNUMBER(Tabelle1!J237),Tabelle1!J237/'SF Workings'!Z236,"")</f>
        <v>148.169933291791</v>
      </c>
      <c r="I236" s="23" t="n">
        <f aca="false">IF(ISNUMBER(Tabelle1!K237),Tabelle1!K237/'SF Workings'!AD236,"")</f>
        <v>155.22761897356</v>
      </c>
      <c r="J236" s="23" t="n">
        <f aca="false">IF(ISNUMBER(Tabelle1!L237),Tabelle1!L237/'SF Workings'!AH236,"")</f>
        <v>147.058870116827</v>
      </c>
      <c r="K236" s="23" t="n">
        <f aca="false">IF(ISNUMBER(Tabelle1!M237),Tabelle1!M237/'SF Workings'!AL236,"")</f>
        <v>178.719043284633</v>
      </c>
      <c r="L236" s="23" t="n">
        <f aca="false">IF(ISNUMBER(Tabelle1!N237),Tabelle1!N237/'SF Workings'!AP236,"")</f>
        <v>163.542510457278</v>
      </c>
      <c r="M236" s="23" t="n">
        <f aca="false">IF(ISNUMBER(Tabelle1!O237),Tabelle1!O237/'SF Workings'!AT236,"")</f>
        <v>151.003430502072</v>
      </c>
      <c r="N236" s="23" t="n">
        <f aca="false">IF(ISNUMBER(Tabelle1!P237),Tabelle1!P237/'SF Workings'!AX236,"")</f>
        <v>162.703232387015</v>
      </c>
      <c r="O236" s="23" t="n">
        <f aca="false">IF(ISNUMBER(Tabelle1!Q237),Tabelle1!Q237/'SF Workings'!BB236,"")</f>
        <v>168.187114618275</v>
      </c>
      <c r="P236" s="23" t="n">
        <f aca="false">IF(ISNUMBER(Tabelle1!R237),Tabelle1!R237/'SF Workings'!BF236,"")</f>
        <v>181.765180821866</v>
      </c>
      <c r="Q236" s="23" t="n">
        <f aca="false">IF(ISNUMBER(Tabelle1!S237),Tabelle1!S237/'SF Workings'!BJ236,"")</f>
        <v>127.049750279201</v>
      </c>
      <c r="R236" s="23" t="n">
        <f aca="false">IFERROR(C236*'Weights &amp; Assumptions'!$F$6+D236*'Weights &amp; Assumptions'!$F$7,"")</f>
        <v>115.899237197798</v>
      </c>
      <c r="S236" s="23" t="n">
        <f aca="false">IFERROR(E236*'Weights &amp; Assumptions'!$F$8+F236*'Weights &amp; Assumptions'!$F$9+H236*'Weights &amp; Assumptions'!$F$11,"")</f>
        <v>128.598615393092</v>
      </c>
      <c r="T236" s="23" t="n">
        <f aca="false">IFERROR(G236*'Weights &amp; Assumptions'!$F$10+I236*'Weights &amp; Assumptions'!$F$12+J236*'Weights &amp; Assumptions'!$F$13+K236*'Weights &amp; Assumptions'!$F$14+L236*'Weights &amp; Assumptions'!$F$15+M236*'Weights &amp; Assumptions'!$F$16+N236*'Weights &amp; Assumptions'!$F$17+O236*'Weights &amp; Assumptions'!$F$18+P236*'Weights &amp; Assumptions'!$F$19+Q236*'Weights &amp; Assumptions'!$F$20,"")</f>
        <v>159.850678966666</v>
      </c>
      <c r="U236" s="23" t="n">
        <f aca="false">IFERROR(R236*'Weights &amp; Assumptions'!$B$25/'Weights &amp; Assumptions'!$B$28+S236*'Weights &amp; Assumptions'!$B$26/'Weights &amp; Assumptions'!$B$28+T236*'Weights &amp; Assumptions'!$B$27/'Weights &amp; Assumptions'!$B$28,"")</f>
        <v>147.852646805523</v>
      </c>
      <c r="V236" s="30" t="n">
        <f aca="false">IF(ISNUMBER(Tabelle1!E237),Tabelle1!E237*'Weights &amp; Assumptions'!$F$6+Tabelle1!F237*'Weights &amp; Assumptions'!$F$7,"")</f>
        <v>70.0217748036376</v>
      </c>
      <c r="W236" s="30" t="n">
        <f aca="false">IF(ISNUMBER(Tabelle1!G237),Tabelle1!G237*'Weights &amp; Assumptions'!$F$8+Tabelle1!H237*'Weights &amp; Assumptions'!$F$9+Tabelle1!J237*'Weights &amp; Assumptions'!$F$11,"")</f>
        <v>118.334274323438</v>
      </c>
      <c r="X236" s="30" t="n">
        <f aca="false">IF(ISNUMBER(Tabelle1!I237),Tabelle1!I237*'Weights &amp; Assumptions'!$F$10+Tabelle1!K237*'Weights &amp; Assumptions'!$F$12+Tabelle1!L237*'Weights &amp; Assumptions'!$F$13+Tabelle1!M237*'Weights &amp; Assumptions'!$F$14+Tabelle1!N237*'Weights &amp; Assumptions'!$F$15+Tabelle1!O237*'Weights &amp; Assumptions'!$F$16+Tabelle1!P237*'Weights &amp; Assumptions'!$F$17+Tabelle1!Q237*'Weights &amp; Assumptions'!$F$18+Tabelle1!R237*'Weights &amp; Assumptions'!$F$19+Tabelle1!S237*'Weights &amp; Assumptions'!$F$20,"")</f>
        <v>157.526501995223</v>
      </c>
      <c r="Y236" s="23" t="n">
        <f aca="false">IFERROR(V236*'Weights &amp; Assumptions'!$B$25/'Weights &amp; Assumptions'!$B$28+W236*'Weights &amp; Assumptions'!$B$26/'Weights &amp; Assumptions'!$B$28+X236*'Weights &amp; Assumptions'!$B$27/'Weights &amp; Assumptions'!$B$28,"")</f>
        <v>139.762884608331</v>
      </c>
    </row>
    <row r="237" customFormat="false" ht="15" hidden="false" customHeight="false" outlineLevel="0" collapsed="false">
      <c r="A237" s="20" t="n">
        <v>45016</v>
      </c>
      <c r="B237" s="30" t="n">
        <f aca="false">IF(ISNUMBER(Tabelle1!D238),Tabelle1!D238,"")</f>
        <v>150.75596</v>
      </c>
      <c r="C237" s="23" t="n">
        <f aca="false">IF(ISNUMBER(Tabelle1!E238),Tabelle1!E238/'SF Workings'!F237,"")</f>
        <v>105.473080865123</v>
      </c>
      <c r="D237" s="23" t="n">
        <f aca="false">IF(ISNUMBER(Tabelle1!F238),Tabelle1!F238/'SF Workings'!J237,"")</f>
        <v>160.381325855304</v>
      </c>
      <c r="E237" s="23" t="n">
        <f aca="false">IF(ISNUMBER(Tabelle1!G238),Tabelle1!G238/'SF Workings'!N237,"")</f>
        <v>103.268211043393</v>
      </c>
      <c r="F237" s="23" t="n">
        <f aca="false">IF(ISNUMBER(Tabelle1!H238),Tabelle1!H238/'SF Workings'!R237,"")</f>
        <v>140.334863207587</v>
      </c>
      <c r="G237" s="23" t="n">
        <f aca="false">IF(ISNUMBER(Tabelle1!I238),Tabelle1!I238/'SF Workings'!V237,"")</f>
        <v>162.421300738793</v>
      </c>
      <c r="H237" s="23" t="n">
        <f aca="false">IF(ISNUMBER(Tabelle1!J238),Tabelle1!J238/'SF Workings'!Z237,"")</f>
        <v>160.896366294505</v>
      </c>
      <c r="I237" s="23" t="n">
        <f aca="false">IF(ISNUMBER(Tabelle1!K238),Tabelle1!K238/'SF Workings'!AD237,"")</f>
        <v>166.388928409949</v>
      </c>
      <c r="J237" s="23" t="n">
        <f aca="false">IF(ISNUMBER(Tabelle1!L238),Tabelle1!L238/'SF Workings'!AH237,"")</f>
        <v>148.736389356035</v>
      </c>
      <c r="K237" s="23" t="n">
        <f aca="false">IF(ISNUMBER(Tabelle1!M238),Tabelle1!M238/'SF Workings'!AL237,"")</f>
        <v>181.757246312374</v>
      </c>
      <c r="L237" s="23" t="n">
        <f aca="false">IF(ISNUMBER(Tabelle1!N238),Tabelle1!N238/'SF Workings'!AP237,"")</f>
        <v>169.839383343472</v>
      </c>
      <c r="M237" s="23" t="n">
        <f aca="false">IF(ISNUMBER(Tabelle1!O238),Tabelle1!O238/'SF Workings'!AT237,"")</f>
        <v>155.103922131825</v>
      </c>
      <c r="N237" s="23" t="n">
        <f aca="false">IF(ISNUMBER(Tabelle1!P238),Tabelle1!P238/'SF Workings'!AX237,"")</f>
        <v>163.150494578376</v>
      </c>
      <c r="O237" s="23" t="n">
        <f aca="false">IF(ISNUMBER(Tabelle1!Q238),Tabelle1!Q238/'SF Workings'!BB237,"")</f>
        <v>169.413783958799</v>
      </c>
      <c r="P237" s="23" t="n">
        <f aca="false">IF(ISNUMBER(Tabelle1!R238),Tabelle1!R238/'SF Workings'!BF237,"")</f>
        <v>185.174859412253</v>
      </c>
      <c r="Q237" s="23" t="n">
        <f aca="false">IF(ISNUMBER(Tabelle1!S238),Tabelle1!S238/'SF Workings'!BJ237,"")</f>
        <v>130.773173602781</v>
      </c>
      <c r="R237" s="23" t="n">
        <f aca="false">IFERROR(C237*'Weights &amp; Assumptions'!$F$6+D237*'Weights &amp; Assumptions'!$F$7,"")</f>
        <v>106.145846098552</v>
      </c>
      <c r="S237" s="23" t="n">
        <f aca="false">IFERROR(E237*'Weights &amp; Assumptions'!$F$8+F237*'Weights &amp; Assumptions'!$F$9+H237*'Weights &amp; Assumptions'!$F$11,"")</f>
        <v>140.192636582435</v>
      </c>
      <c r="T237" s="23" t="n">
        <f aca="false">IFERROR(G237*'Weights &amp; Assumptions'!$F$10+I237*'Weights &amp; Assumptions'!$F$12+J237*'Weights &amp; Assumptions'!$F$13+K237*'Weights &amp; Assumptions'!$F$14+L237*'Weights &amp; Assumptions'!$F$15+M237*'Weights &amp; Assumptions'!$F$16+N237*'Weights &amp; Assumptions'!$F$17+O237*'Weights &amp; Assumptions'!$F$18+P237*'Weights &amp; Assumptions'!$F$19+Q237*'Weights &amp; Assumptions'!$F$20,"")</f>
        <v>164.985902891068</v>
      </c>
      <c r="U237" s="23" t="n">
        <f aca="false">IFERROR(R237*'Weights &amp; Assumptions'!$B$25/'Weights &amp; Assumptions'!$B$28+S237*'Weights &amp; Assumptions'!$B$26/'Weights &amp; Assumptions'!$B$28+T237*'Weights &amp; Assumptions'!$B$27/'Weights &amp; Assumptions'!$B$28,"")</f>
        <v>153.456210555245</v>
      </c>
      <c r="V237" s="30" t="n">
        <f aca="false">IF(ISNUMBER(Tabelle1!E238),Tabelle1!E238*'Weights &amp; Assumptions'!$F$6+Tabelle1!F238*'Weights &amp; Assumptions'!$F$7,"")</f>
        <v>123.382499426824</v>
      </c>
      <c r="W237" s="30" t="n">
        <f aca="false">IF(ISNUMBER(Tabelle1!G238),Tabelle1!G238*'Weights &amp; Assumptions'!$F$8+Tabelle1!H238*'Weights &amp; Assumptions'!$F$9+Tabelle1!J238*'Weights &amp; Assumptions'!$F$11,"")</f>
        <v>139.772320417309</v>
      </c>
      <c r="X237" s="30" t="n">
        <f aca="false">IF(ISNUMBER(Tabelle1!I238),Tabelle1!I238*'Weights &amp; Assumptions'!$F$10+Tabelle1!K238*'Weights &amp; Assumptions'!$F$12+Tabelle1!L238*'Weights &amp; Assumptions'!$F$13+Tabelle1!M238*'Weights &amp; Assumptions'!$F$14+Tabelle1!N238*'Weights &amp; Assumptions'!$F$15+Tabelle1!O238*'Weights &amp; Assumptions'!$F$16+Tabelle1!P238*'Weights &amp; Assumptions'!$F$17+Tabelle1!Q238*'Weights &amp; Assumptions'!$F$18+Tabelle1!R238*'Weights &amp; Assumptions'!$F$19+Tabelle1!S238*'Weights &amp; Assumptions'!$F$20,"")</f>
        <v>166.570635951878</v>
      </c>
      <c r="Y237" s="23" t="n">
        <f aca="false">IFERROR(V237*'Weights &amp; Assumptions'!$B$25/'Weights &amp; Assumptions'!$B$28+W237*'Weights &amp; Assumptions'!$B$26/'Weights &amp; Assumptions'!$B$28+X237*'Weights &amp; Assumptions'!$B$27/'Weights &amp; Assumptions'!$B$28,"")</f>
        <v>155.82097513829</v>
      </c>
    </row>
    <row r="238" customFormat="false" ht="15" hidden="false" customHeight="false" outlineLevel="0" collapsed="false">
      <c r="A238" s="20" t="n">
        <v>45046</v>
      </c>
      <c r="B238" s="30" t="n">
        <f aca="false">IF(ISNUMBER(Tabelle1!D239),Tabelle1!D239,"")</f>
        <v>147.35749</v>
      </c>
      <c r="C238" s="23" t="n">
        <f aca="false">IF(ISNUMBER(Tabelle1!E239),Tabelle1!E239/'SF Workings'!F238,"")</f>
        <v>76.3742957987232</v>
      </c>
      <c r="D238" s="23" t="n">
        <f aca="false">IF(ISNUMBER(Tabelle1!F239),Tabelle1!F239/'SF Workings'!J238,"")</f>
        <v>76.3885896532111</v>
      </c>
      <c r="E238" s="23" t="n">
        <f aca="false">IF(ISNUMBER(Tabelle1!G239),Tabelle1!G239/'SF Workings'!N238,"")</f>
        <v>105.701491123368</v>
      </c>
      <c r="F238" s="23" t="n">
        <f aca="false">IF(ISNUMBER(Tabelle1!H239),Tabelle1!H239/'SF Workings'!R238,"")</f>
        <v>138.523794785002</v>
      </c>
      <c r="G238" s="23" t="n">
        <f aca="false">IF(ISNUMBER(Tabelle1!I239),Tabelle1!I239/'SF Workings'!V238,"")</f>
        <v>147.178234055174</v>
      </c>
      <c r="H238" s="23" t="n">
        <f aca="false">IF(ISNUMBER(Tabelle1!J239),Tabelle1!J239/'SF Workings'!Z238,"")</f>
        <v>168.770400844515</v>
      </c>
      <c r="I238" s="23" t="n">
        <f aca="false">IF(ISNUMBER(Tabelle1!K239),Tabelle1!K239/'SF Workings'!AD238,"")</f>
        <v>167.663514704199</v>
      </c>
      <c r="J238" s="23" t="n">
        <f aca="false">IF(ISNUMBER(Tabelle1!L239),Tabelle1!L239/'SF Workings'!AH238,"")</f>
        <v>150.47177185552</v>
      </c>
      <c r="K238" s="23" t="n">
        <f aca="false">IF(ISNUMBER(Tabelle1!M239),Tabelle1!M239/'SF Workings'!AL238,"")</f>
        <v>182.522949732324</v>
      </c>
      <c r="L238" s="23" t="n">
        <f aca="false">IF(ISNUMBER(Tabelle1!N239),Tabelle1!N239/'SF Workings'!AP238,"")</f>
        <v>165.405469886599</v>
      </c>
      <c r="M238" s="23" t="n">
        <f aca="false">IF(ISNUMBER(Tabelle1!O239),Tabelle1!O239/'SF Workings'!AT238,"")</f>
        <v>156.08552865174</v>
      </c>
      <c r="N238" s="23" t="n">
        <f aca="false">IF(ISNUMBER(Tabelle1!P239),Tabelle1!P239/'SF Workings'!AX238,"")</f>
        <v>166.658235590809</v>
      </c>
      <c r="O238" s="23" t="n">
        <f aca="false">IF(ISNUMBER(Tabelle1!Q239),Tabelle1!Q239/'SF Workings'!BB238,"")</f>
        <v>171.975417612276</v>
      </c>
      <c r="P238" s="23" t="n">
        <f aca="false">IF(ISNUMBER(Tabelle1!R239),Tabelle1!R239/'SF Workings'!BF238,"")</f>
        <v>192.900120347934</v>
      </c>
      <c r="Q238" s="23" t="n">
        <f aca="false">IF(ISNUMBER(Tabelle1!S239),Tabelle1!S239/'SF Workings'!BJ238,"")</f>
        <v>141.71305606799</v>
      </c>
      <c r="R238" s="23" t="n">
        <f aca="false">IFERROR(C238*'Weights &amp; Assumptions'!$F$6+D238*'Weights &amp; Assumptions'!$F$7,"")</f>
        <v>76.374470934686</v>
      </c>
      <c r="S238" s="23" t="n">
        <f aca="false">IFERROR(E238*'Weights &amp; Assumptions'!$F$8+F238*'Weights &amp; Assumptions'!$F$9+H238*'Weights &amp; Assumptions'!$F$11,"")</f>
        <v>140.905969344912</v>
      </c>
      <c r="T238" s="23" t="n">
        <f aca="false">IFERROR(G238*'Weights &amp; Assumptions'!$F$10+I238*'Weights &amp; Assumptions'!$F$12+J238*'Weights &amp; Assumptions'!$F$13+K238*'Weights &amp; Assumptions'!$F$14+L238*'Weights &amp; Assumptions'!$F$15+M238*'Weights &amp; Assumptions'!$F$16+N238*'Weights &amp; Assumptions'!$F$17+O238*'Weights &amp; Assumptions'!$F$18+P238*'Weights &amp; Assumptions'!$F$19+Q238*'Weights &amp; Assumptions'!$F$20,"")</f>
        <v>166.549225329289</v>
      </c>
      <c r="U238" s="23" t="n">
        <f aca="false">IFERROR(R238*'Weights &amp; Assumptions'!$B$25/'Weights &amp; Assumptions'!$B$28+S238*'Weights &amp; Assumptions'!$B$26/'Weights &amp; Assumptions'!$B$28+T238*'Weights &amp; Assumptions'!$B$27/'Weights &amp; Assumptions'!$B$28,"")</f>
        <v>152.164498685427</v>
      </c>
      <c r="V238" s="30" t="n">
        <f aca="false">IF(ISNUMBER(Tabelle1!E239),Tabelle1!E239*'Weights &amp; Assumptions'!$F$6+Tabelle1!F239*'Weights &amp; Assumptions'!$F$7,"")</f>
        <v>121.10092197292</v>
      </c>
      <c r="W238" s="30" t="n">
        <f aca="false">IF(ISNUMBER(Tabelle1!G239),Tabelle1!G239*'Weights &amp; Assumptions'!$F$8+Tabelle1!H239*'Weights &amp; Assumptions'!$F$9+Tabelle1!J239*'Weights &amp; Assumptions'!$F$11,"")</f>
        <v>131.720936053144</v>
      </c>
      <c r="X238" s="30" t="n">
        <f aca="false">IF(ISNUMBER(Tabelle1!I239),Tabelle1!I239*'Weights &amp; Assumptions'!$F$10+Tabelle1!K239*'Weights &amp; Assumptions'!$F$12+Tabelle1!L239*'Weights &amp; Assumptions'!$F$13+Tabelle1!M239*'Weights &amp; Assumptions'!$F$14+Tabelle1!N239*'Weights &amp; Assumptions'!$F$15+Tabelle1!O239*'Weights &amp; Assumptions'!$F$16+Tabelle1!P239*'Weights &amp; Assumptions'!$F$17+Tabelle1!Q239*'Weights &amp; Assumptions'!$F$18+Tabelle1!R239*'Weights &amp; Assumptions'!$F$19+Tabelle1!S239*'Weights &amp; Assumptions'!$F$20,"")</f>
        <v>161.897797826935</v>
      </c>
      <c r="Y238" s="23" t="n">
        <f aca="false">IFERROR(V238*'Weights &amp; Assumptions'!$B$25/'Weights &amp; Assumptions'!$B$28+W238*'Weights &amp; Assumptions'!$B$26/'Weights &amp; Assumptions'!$B$28+X238*'Weights &amp; Assumptions'!$B$27/'Weights &amp; Assumptions'!$B$28,"")</f>
        <v>150.450351311637</v>
      </c>
    </row>
    <row r="239" customFormat="false" ht="15" hidden="false" customHeight="false" outlineLevel="0" collapsed="false">
      <c r="A239" s="20" t="n">
        <v>45077</v>
      </c>
      <c r="B239" s="30" t="n">
        <f aca="false">IF(ISNUMBER(Tabelle1!D240),Tabelle1!D240,"")</f>
        <v>145.55273</v>
      </c>
      <c r="C239" s="23" t="n">
        <f aca="false">IF(ISNUMBER(Tabelle1!E240),Tabelle1!E240/'SF Workings'!F239,"")</f>
        <v>64.3459775211134</v>
      </c>
      <c r="D239" s="23" t="n">
        <f aca="false">IF(ISNUMBER(Tabelle1!F240),Tabelle1!F240/'SF Workings'!J239,"")</f>
        <v>159.460270416452</v>
      </c>
      <c r="E239" s="23" t="n">
        <f aca="false">IF(ISNUMBER(Tabelle1!G240),Tabelle1!G240/'SF Workings'!N239,"")</f>
        <v>106.835394244126</v>
      </c>
      <c r="F239" s="23" t="n">
        <f aca="false">IF(ISNUMBER(Tabelle1!H240),Tabelle1!H240/'SF Workings'!R239,"")</f>
        <v>135.788316348753</v>
      </c>
      <c r="G239" s="23" t="n">
        <f aca="false">IF(ISNUMBER(Tabelle1!I240),Tabelle1!I240/'SF Workings'!V239,"")</f>
        <v>143.267297526891</v>
      </c>
      <c r="H239" s="23" t="n">
        <f aca="false">IF(ISNUMBER(Tabelle1!J240),Tabelle1!J240/'SF Workings'!Z239,"")</f>
        <v>160.650578545071</v>
      </c>
      <c r="I239" s="23" t="n">
        <f aca="false">IF(ISNUMBER(Tabelle1!K240),Tabelle1!K240/'SF Workings'!AD239,"")</f>
        <v>167.454513623654</v>
      </c>
      <c r="J239" s="23" t="n">
        <f aca="false">IF(ISNUMBER(Tabelle1!L240),Tabelle1!L240/'SF Workings'!AH239,"")</f>
        <v>163.554201797604</v>
      </c>
      <c r="K239" s="23" t="n">
        <f aca="false">IF(ISNUMBER(Tabelle1!M240),Tabelle1!M240/'SF Workings'!AL239,"")</f>
        <v>179.42674167644</v>
      </c>
      <c r="L239" s="23" t="n">
        <f aca="false">IF(ISNUMBER(Tabelle1!N240),Tabelle1!N240/'SF Workings'!AP239,"")</f>
        <v>164.099185489982</v>
      </c>
      <c r="M239" s="23" t="n">
        <f aca="false">IF(ISNUMBER(Tabelle1!O240),Tabelle1!O240/'SF Workings'!AT239,"")</f>
        <v>155.992796206764</v>
      </c>
      <c r="N239" s="23" t="n">
        <f aca="false">IF(ISNUMBER(Tabelle1!P240),Tabelle1!P240/'SF Workings'!AX239,"")</f>
        <v>166.728392785024</v>
      </c>
      <c r="O239" s="23" t="n">
        <f aca="false">IF(ISNUMBER(Tabelle1!Q240),Tabelle1!Q240/'SF Workings'!BB239,"")</f>
        <v>171.671844910187</v>
      </c>
      <c r="P239" s="23" t="n">
        <f aca="false">IF(ISNUMBER(Tabelle1!R240),Tabelle1!R240/'SF Workings'!BF239,"")</f>
        <v>188.689403083442</v>
      </c>
      <c r="Q239" s="23" t="n">
        <f aca="false">IF(ISNUMBER(Tabelle1!S240),Tabelle1!S240/'SF Workings'!BJ239,"")</f>
        <v>140.5152065012</v>
      </c>
      <c r="R239" s="23" t="n">
        <f aca="false">IFERROR(C239*'Weights &amp; Assumptions'!$F$6+D239*'Weights &amp; Assumptions'!$F$7,"")</f>
        <v>65.5113687929267</v>
      </c>
      <c r="S239" s="23" t="n">
        <f aca="false">IFERROR(E239*'Weights &amp; Assumptions'!$F$8+F239*'Weights &amp; Assumptions'!$F$9+H239*'Weights &amp; Assumptions'!$F$11,"")</f>
        <v>137.510800204932</v>
      </c>
      <c r="T239" s="23" t="n">
        <f aca="false">IFERROR(G239*'Weights &amp; Assumptions'!$F$10+I239*'Weights &amp; Assumptions'!$F$12+J239*'Weights &amp; Assumptions'!$F$13+K239*'Weights &amp; Assumptions'!$F$14+L239*'Weights &amp; Assumptions'!$F$15+M239*'Weights &amp; Assumptions'!$F$16+N239*'Weights &amp; Assumptions'!$F$17+O239*'Weights &amp; Assumptions'!$F$18+P239*'Weights &amp; Assumptions'!$F$19+Q239*'Weights &amp; Assumptions'!$F$20,"")</f>
        <v>166.049980408189</v>
      </c>
      <c r="U239" s="23" t="n">
        <f aca="false">IFERROR(R239*'Weights &amp; Assumptions'!$B$25/'Weights &amp; Assumptions'!$B$28+S239*'Weights &amp; Assumptions'!$B$26/'Weights &amp; Assumptions'!$B$28+T239*'Weights &amp; Assumptions'!$B$27/'Weights &amp; Assumptions'!$B$28,"")</f>
        <v>150.025640682447</v>
      </c>
      <c r="V239" s="30" t="n">
        <f aca="false">IF(ISNUMBER(Tabelle1!E240),Tabelle1!E240*'Weights &amp; Assumptions'!$F$6+Tabelle1!F240*'Weights &amp; Assumptions'!$F$7,"")</f>
        <v>138.586541374835</v>
      </c>
      <c r="W239" s="30" t="n">
        <f aca="false">IF(ISNUMBER(Tabelle1!G240),Tabelle1!G240*'Weights &amp; Assumptions'!$F$8+Tabelle1!H240*'Weights &amp; Assumptions'!$F$9+Tabelle1!J240*'Weights &amp; Assumptions'!$F$11,"")</f>
        <v>134.45715621011</v>
      </c>
      <c r="X239" s="30" t="n">
        <f aca="false">IF(ISNUMBER(Tabelle1!I240),Tabelle1!I240*'Weights &amp; Assumptions'!$F$10+Tabelle1!K240*'Weights &amp; Assumptions'!$F$12+Tabelle1!L240*'Weights &amp; Assumptions'!$F$13+Tabelle1!M240*'Weights &amp; Assumptions'!$F$14+Tabelle1!N240*'Weights &amp; Assumptions'!$F$15+Tabelle1!O240*'Weights &amp; Assumptions'!$F$16+Tabelle1!P240*'Weights &amp; Assumptions'!$F$17+Tabelle1!Q240*'Weights &amp; Assumptions'!$F$18+Tabelle1!R240*'Weights &amp; Assumptions'!$F$19+Tabelle1!S240*'Weights &amp; Assumptions'!$F$20,"")</f>
        <v>165.256051042983</v>
      </c>
      <c r="Y239" s="23" t="n">
        <f aca="false">IFERROR(V239*'Weights &amp; Assumptions'!$B$25/'Weights &amp; Assumptions'!$B$28+W239*'Weights &amp; Assumptions'!$B$26/'Weights &amp; Assumptions'!$B$28+X239*'Weights &amp; Assumptions'!$B$27/'Weights &amp; Assumptions'!$B$28,"")</f>
        <v>154.828492851264</v>
      </c>
    </row>
    <row r="240" customFormat="false" ht="15" hidden="false" customHeight="false" outlineLevel="0" collapsed="false">
      <c r="A240" s="20" t="n">
        <v>45107</v>
      </c>
      <c r="B240" s="30" t="n">
        <f aca="false">IF(ISNUMBER(Tabelle1!D241),Tabelle1!D241,"")</f>
        <v>146.06327</v>
      </c>
      <c r="C240" s="23" t="n">
        <f aca="false">IF(ISNUMBER(Tabelle1!E241),Tabelle1!E241/'SF Workings'!F240,"")</f>
        <v>71.8792908187545</v>
      </c>
      <c r="D240" s="23" t="n">
        <f aca="false">IF(ISNUMBER(Tabelle1!F241),Tabelle1!F241/'SF Workings'!J240,"")</f>
        <v>199.704174369386</v>
      </c>
      <c r="E240" s="23" t="n">
        <f aca="false">IF(ISNUMBER(Tabelle1!G241),Tabelle1!G241/'SF Workings'!N240,"")</f>
        <v>106.858723491451</v>
      </c>
      <c r="F240" s="23" t="n">
        <f aca="false">IF(ISNUMBER(Tabelle1!H241),Tabelle1!H241/'SF Workings'!R240,"")</f>
        <v>131.540864584422</v>
      </c>
      <c r="G240" s="23" t="n">
        <f aca="false">IF(ISNUMBER(Tabelle1!I241),Tabelle1!I241/'SF Workings'!V240,"")</f>
        <v>147.255894883292</v>
      </c>
      <c r="H240" s="23" t="n">
        <f aca="false">IF(ISNUMBER(Tabelle1!J241),Tabelle1!J241/'SF Workings'!Z240,"")</f>
        <v>158.0433784165</v>
      </c>
      <c r="I240" s="23" t="n">
        <f aca="false">IF(ISNUMBER(Tabelle1!K241),Tabelle1!K241/'SF Workings'!AD240,"")</f>
        <v>168.593280432326</v>
      </c>
      <c r="J240" s="23" t="n">
        <f aca="false">IF(ISNUMBER(Tabelle1!L241),Tabelle1!L241/'SF Workings'!AH240,"")</f>
        <v>170.546786637849</v>
      </c>
      <c r="K240" s="23" t="n">
        <f aca="false">IF(ISNUMBER(Tabelle1!M241),Tabelle1!M241/'SF Workings'!AL240,"")</f>
        <v>180.364335898691</v>
      </c>
      <c r="L240" s="23" t="n">
        <f aca="false">IF(ISNUMBER(Tabelle1!N241),Tabelle1!N241/'SF Workings'!AP240,"")</f>
        <v>165.110151768369</v>
      </c>
      <c r="M240" s="23" t="n">
        <f aca="false">IF(ISNUMBER(Tabelle1!O241),Tabelle1!O241/'SF Workings'!AT240,"")</f>
        <v>155.143776111022</v>
      </c>
      <c r="N240" s="23" t="n">
        <f aca="false">IF(ISNUMBER(Tabelle1!P241),Tabelle1!P241/'SF Workings'!AX240,"")</f>
        <v>167.222645803822</v>
      </c>
      <c r="O240" s="23" t="n">
        <f aca="false">IF(ISNUMBER(Tabelle1!Q241),Tabelle1!Q241/'SF Workings'!BB240,"")</f>
        <v>172.079123256108</v>
      </c>
      <c r="P240" s="23" t="n">
        <f aca="false">IF(ISNUMBER(Tabelle1!R241),Tabelle1!R241/'SF Workings'!BF240,"")</f>
        <v>188.515679895282</v>
      </c>
      <c r="Q240" s="23" t="n">
        <f aca="false">IF(ISNUMBER(Tabelle1!S241),Tabelle1!S241/'SF Workings'!BJ240,"")</f>
        <v>135.735982824961</v>
      </c>
      <c r="R240" s="23" t="n">
        <f aca="false">IFERROR(C240*'Weights &amp; Assumptions'!$F$6+D240*'Weights &amp; Assumptions'!$F$7,"")</f>
        <v>73.4454697712109</v>
      </c>
      <c r="S240" s="23" t="n">
        <f aca="false">IFERROR(E240*'Weights &amp; Assumptions'!$F$8+F240*'Weights &amp; Assumptions'!$F$9+H240*'Weights &amp; Assumptions'!$F$11,"")</f>
        <v>134.114973065434</v>
      </c>
      <c r="T240" s="23" t="n">
        <f aca="false">IFERROR(G240*'Weights &amp; Assumptions'!$F$10+I240*'Weights &amp; Assumptions'!$F$12+J240*'Weights &amp; Assumptions'!$F$13+K240*'Weights &amp; Assumptions'!$F$14+L240*'Weights &amp; Assumptions'!$F$15+M240*'Weights &amp; Assumptions'!$F$16+N240*'Weights &amp; Assumptions'!$F$17+O240*'Weights &amp; Assumptions'!$F$18+P240*'Weights &amp; Assumptions'!$F$19+Q240*'Weights &amp; Assumptions'!$F$20,"")</f>
        <v>166.564095625344</v>
      </c>
      <c r="U240" s="23" t="n">
        <f aca="false">IFERROR(R240*'Weights &amp; Assumptions'!$B$25/'Weights &amp; Assumptions'!$B$28+S240*'Weights &amp; Assumptions'!$B$26/'Weights &amp; Assumptions'!$B$28+T240*'Weights &amp; Assumptions'!$B$27/'Weights &amp; Assumptions'!$B$28,"")</f>
        <v>150.122576907708</v>
      </c>
      <c r="V240" s="30" t="n">
        <f aca="false">IF(ISNUMBER(Tabelle1!E241),Tabelle1!E241*'Weights &amp; Assumptions'!$F$6+Tabelle1!F241*'Weights &amp; Assumptions'!$F$7,"")</f>
        <v>108.142035791826</v>
      </c>
      <c r="W240" s="30" t="n">
        <f aca="false">IF(ISNUMBER(Tabelle1!G241),Tabelle1!G241*'Weights &amp; Assumptions'!$F$8+Tabelle1!H241*'Weights &amp; Assumptions'!$F$9+Tabelle1!J241*'Weights &amp; Assumptions'!$F$11,"")</f>
        <v>134.108611905136</v>
      </c>
      <c r="X240" s="30" t="n">
        <f aca="false">IF(ISNUMBER(Tabelle1!I241),Tabelle1!I241*'Weights &amp; Assumptions'!$F$10+Tabelle1!K241*'Weights &amp; Assumptions'!$F$12+Tabelle1!L241*'Weights &amp; Assumptions'!$F$13+Tabelle1!M241*'Weights &amp; Assumptions'!$F$14+Tabelle1!N241*'Weights &amp; Assumptions'!$F$15+Tabelle1!O241*'Weights &amp; Assumptions'!$F$16+Tabelle1!P241*'Weights &amp; Assumptions'!$F$17+Tabelle1!Q241*'Weights &amp; Assumptions'!$F$18+Tabelle1!R241*'Weights &amp; Assumptions'!$F$19+Tabelle1!S241*'Weights &amp; Assumptions'!$F$20,"")</f>
        <v>168.326616437003</v>
      </c>
      <c r="Y240" s="23" t="n">
        <f aca="false">IFERROR(V240*'Weights &amp; Assumptions'!$B$25/'Weights &amp; Assumptions'!$B$28+W240*'Weights &amp; Assumptions'!$B$26/'Weights &amp; Assumptions'!$B$28+X240*'Weights &amp; Assumptions'!$B$27/'Weights &amp; Assumptions'!$B$28,"")</f>
        <v>154.17791490459</v>
      </c>
    </row>
    <row r="241" customFormat="false" ht="15" hidden="false" customHeight="false" outlineLevel="0" collapsed="false">
      <c r="A241" s="20" t="n">
        <v>45138</v>
      </c>
      <c r="B241" s="30" t="n">
        <f aca="false">IF(ISNUMBER(Tabelle1!D242),Tabelle1!D242,"")</f>
        <v>148.72466</v>
      </c>
      <c r="C241" s="23" t="n">
        <f aca="false">IF(ISNUMBER(Tabelle1!E242),Tabelle1!E242/'SF Workings'!F241,"")</f>
        <v>101.640599353572</v>
      </c>
      <c r="D241" s="23" t="n">
        <f aca="false">IF(ISNUMBER(Tabelle1!F242),Tabelle1!F242/'SF Workings'!J241,"")</f>
        <v>238.39044466881</v>
      </c>
      <c r="E241" s="23" t="n">
        <f aca="false">IF(ISNUMBER(Tabelle1!G242),Tabelle1!G242/'SF Workings'!N241,"")</f>
        <v>105.516106921281</v>
      </c>
      <c r="F241" s="23" t="n">
        <f aca="false">IF(ISNUMBER(Tabelle1!H242),Tabelle1!H242/'SF Workings'!R241,"")</f>
        <v>127.451062641638</v>
      </c>
      <c r="G241" s="23" t="n">
        <f aca="false">IF(ISNUMBER(Tabelle1!I242),Tabelle1!I242/'SF Workings'!V241,"")</f>
        <v>144.95663990151</v>
      </c>
      <c r="H241" s="23" t="n">
        <f aca="false">IF(ISNUMBER(Tabelle1!J242),Tabelle1!J242/'SF Workings'!Z241,"")</f>
        <v>147.752055190989</v>
      </c>
      <c r="I241" s="23" t="n">
        <f aca="false">IF(ISNUMBER(Tabelle1!K242),Tabelle1!K242/'SF Workings'!AD241,"")</f>
        <v>157.976693155311</v>
      </c>
      <c r="J241" s="23" t="n">
        <f aca="false">IF(ISNUMBER(Tabelle1!L242),Tabelle1!L242/'SF Workings'!AH241,"")</f>
        <v>154.866709473135</v>
      </c>
      <c r="K241" s="23" t="n">
        <f aca="false">IF(ISNUMBER(Tabelle1!M242),Tabelle1!M242/'SF Workings'!AL241,"")</f>
        <v>183.044892059512</v>
      </c>
      <c r="L241" s="23" t="n">
        <f aca="false">IF(ISNUMBER(Tabelle1!N242),Tabelle1!N242/'SF Workings'!AP241,"")</f>
        <v>164.586337204561</v>
      </c>
      <c r="M241" s="23" t="n">
        <f aca="false">IF(ISNUMBER(Tabelle1!O242),Tabelle1!O242/'SF Workings'!AT241,"")</f>
        <v>153.030121130924</v>
      </c>
      <c r="N241" s="23" t="n">
        <f aca="false">IF(ISNUMBER(Tabelle1!P242),Tabelle1!P242/'SF Workings'!AX241,"")</f>
        <v>166.448853523724</v>
      </c>
      <c r="O241" s="23" t="n">
        <f aca="false">IF(ISNUMBER(Tabelle1!Q242),Tabelle1!Q242/'SF Workings'!BB241,"")</f>
        <v>171.115240662813</v>
      </c>
      <c r="P241" s="23" t="n">
        <f aca="false">IF(ISNUMBER(Tabelle1!R242),Tabelle1!R242/'SF Workings'!BF241,"")</f>
        <v>186.361564551076</v>
      </c>
      <c r="Q241" s="23" t="n">
        <f aca="false">IF(ISNUMBER(Tabelle1!S242),Tabelle1!S242/'SF Workings'!BJ241,"")</f>
        <v>136.834505929855</v>
      </c>
      <c r="R241" s="23" t="n">
        <f aca="false">IFERROR(C241*'Weights &amp; Assumptions'!$F$6+D241*'Weights &amp; Assumptions'!$F$7,"")</f>
        <v>103.316131718908</v>
      </c>
      <c r="S241" s="23" t="n">
        <f aca="false">IFERROR(E241*'Weights &amp; Assumptions'!$F$8+F241*'Weights &amp; Assumptions'!$F$9+H241*'Weights &amp; Assumptions'!$F$11,"")</f>
        <v>129.061255408337</v>
      </c>
      <c r="T241" s="23" t="n">
        <f aca="false">IFERROR(G241*'Weights &amp; Assumptions'!$F$10+I241*'Weights &amp; Assumptions'!$F$12+J241*'Weights &amp; Assumptions'!$F$13+K241*'Weights &amp; Assumptions'!$F$14+L241*'Weights &amp; Assumptions'!$F$15+M241*'Weights &amp; Assumptions'!$F$16+N241*'Weights &amp; Assumptions'!$F$17+O241*'Weights &amp; Assumptions'!$F$18+P241*'Weights &amp; Assumptions'!$F$19+Q241*'Weights &amp; Assumptions'!$F$20,"")</f>
        <v>163.284014078458</v>
      </c>
      <c r="U241" s="23" t="n">
        <f aca="false">IFERROR(R241*'Weights &amp; Assumptions'!$B$25/'Weights &amp; Assumptions'!$B$28+S241*'Weights &amp; Assumptions'!$B$26/'Weights &amp; Assumptions'!$B$28+T241*'Weights &amp; Assumptions'!$B$27/'Weights &amp; Assumptions'!$B$28,"")</f>
        <v>149.152229504138</v>
      </c>
      <c r="V241" s="30" t="n">
        <f aca="false">IF(ISNUMBER(Tabelle1!E242),Tabelle1!E242*'Weights &amp; Assumptions'!$F$6+Tabelle1!F242*'Weights &amp; Assumptions'!$F$7,"")</f>
        <v>96.1196634398875</v>
      </c>
      <c r="W241" s="30" t="n">
        <f aca="false">IF(ISNUMBER(Tabelle1!G242),Tabelle1!G242*'Weights &amp; Assumptions'!$F$8+Tabelle1!H242*'Weights &amp; Assumptions'!$F$9+Tabelle1!J242*'Weights &amp; Assumptions'!$F$11,"")</f>
        <v>133.960299412902</v>
      </c>
      <c r="X241" s="30" t="n">
        <f aca="false">IF(ISNUMBER(Tabelle1!I242),Tabelle1!I242*'Weights &amp; Assumptions'!$F$10+Tabelle1!K242*'Weights &amp; Assumptions'!$F$12+Tabelle1!L242*'Weights &amp; Assumptions'!$F$13+Tabelle1!M242*'Weights &amp; Assumptions'!$F$14+Tabelle1!N242*'Weights &amp; Assumptions'!$F$15+Tabelle1!O242*'Weights &amp; Assumptions'!$F$16+Tabelle1!P242*'Weights &amp; Assumptions'!$F$17+Tabelle1!Q242*'Weights &amp; Assumptions'!$F$18+Tabelle1!R242*'Weights &amp; Assumptions'!$F$19+Tabelle1!S242*'Weights &amp; Assumptions'!$F$20,"")</f>
        <v>164.011035318349</v>
      </c>
      <c r="Y241" s="23" t="n">
        <f aca="false">IFERROR(V241*'Weights &amp; Assumptions'!$B$25/'Weights &amp; Assumptions'!$B$28+W241*'Weights &amp; Assumptions'!$B$26/'Weights &amp; Assumptions'!$B$28+X241*'Weights &amp; Assumptions'!$B$27/'Weights &amp; Assumptions'!$B$28,"")</f>
        <v>150.323877110186</v>
      </c>
    </row>
    <row r="242" customFormat="false" ht="15" hidden="false" customHeight="false" outlineLevel="0" collapsed="false">
      <c r="A242" s="20" t="n">
        <v>45169</v>
      </c>
      <c r="B242" s="30" t="n">
        <f aca="false">IF(ISNUMBER(Tabelle1!D243),Tabelle1!D243,"")</f>
        <v>150.05695</v>
      </c>
      <c r="C242" s="23" t="n">
        <f aca="false">IF(ISNUMBER(Tabelle1!E243),Tabelle1!E243/'SF Workings'!F242,"")</f>
        <v>118.695027135587</v>
      </c>
      <c r="D242" s="23" t="n">
        <f aca="false">IF(ISNUMBER(Tabelle1!F243),Tabelle1!F243/'SF Workings'!J242,"")</f>
        <v>141.67516950985</v>
      </c>
      <c r="E242" s="23" t="n">
        <f aca="false">IF(ISNUMBER(Tabelle1!G243),Tabelle1!G243/'SF Workings'!N242,"")</f>
        <v>106.429674804523</v>
      </c>
      <c r="F242" s="23" t="n">
        <f aca="false">IF(ISNUMBER(Tabelle1!H243),Tabelle1!H243/'SF Workings'!R242,"")</f>
        <v>129.793830219517</v>
      </c>
      <c r="G242" s="23" t="n">
        <f aca="false">IF(ISNUMBER(Tabelle1!I243),Tabelle1!I243/'SF Workings'!V242,"")</f>
        <v>147.657435033466</v>
      </c>
      <c r="H242" s="23" t="n">
        <f aca="false">IF(ISNUMBER(Tabelle1!J243),Tabelle1!J243/'SF Workings'!Z242,"")</f>
        <v>153.18896323437</v>
      </c>
      <c r="I242" s="23" t="n">
        <f aca="false">IF(ISNUMBER(Tabelle1!K243),Tabelle1!K243/'SF Workings'!AD242,"")</f>
        <v>163.874274183863</v>
      </c>
      <c r="J242" s="23" t="n">
        <f aca="false">IF(ISNUMBER(Tabelle1!L243),Tabelle1!L243/'SF Workings'!AH242,"")</f>
        <v>154.209187702261</v>
      </c>
      <c r="K242" s="23" t="n">
        <f aca="false">IF(ISNUMBER(Tabelle1!M243),Tabelle1!M243/'SF Workings'!AL242,"")</f>
        <v>184.704423548265</v>
      </c>
      <c r="L242" s="23" t="n">
        <f aca="false">IF(ISNUMBER(Tabelle1!N243),Tabelle1!N243/'SF Workings'!AP242,"")</f>
        <v>164.164329359304</v>
      </c>
      <c r="M242" s="23" t="n">
        <f aca="false">IF(ISNUMBER(Tabelle1!O243),Tabelle1!O243/'SF Workings'!AT242,"")</f>
        <v>155.29969486271</v>
      </c>
      <c r="N242" s="23" t="n">
        <f aca="false">IF(ISNUMBER(Tabelle1!P243),Tabelle1!P243/'SF Workings'!AX242,"")</f>
        <v>166.623541164178</v>
      </c>
      <c r="O242" s="23" t="n">
        <f aca="false">IF(ISNUMBER(Tabelle1!Q243),Tabelle1!Q243/'SF Workings'!BB242,"")</f>
        <v>171.355138410549</v>
      </c>
      <c r="P242" s="23" t="n">
        <f aca="false">IF(ISNUMBER(Tabelle1!R243),Tabelle1!R243/'SF Workings'!BF242,"")</f>
        <v>186.984587696261</v>
      </c>
      <c r="Q242" s="23" t="n">
        <f aca="false">IF(ISNUMBER(Tabelle1!S243),Tabelle1!S243/'SF Workings'!BJ242,"")</f>
        <v>135.528717637121</v>
      </c>
      <c r="R242" s="23" t="n">
        <f aca="false">IFERROR(C242*'Weights &amp; Assumptions'!$F$6+D242*'Weights &amp; Assumptions'!$F$7,"")</f>
        <v>118.976592151031</v>
      </c>
      <c r="S242" s="23" t="n">
        <f aca="false">IFERROR(E242*'Weights &amp; Assumptions'!$F$8+F242*'Weights &amp; Assumptions'!$F$9+H242*'Weights &amp; Assumptions'!$F$11,"")</f>
        <v>131.877962354979</v>
      </c>
      <c r="T242" s="23" t="n">
        <f aca="false">IFERROR(G242*'Weights &amp; Assumptions'!$F$10+I242*'Weights &amp; Assumptions'!$F$12+J242*'Weights &amp; Assumptions'!$F$13+K242*'Weights &amp; Assumptions'!$F$14+L242*'Weights &amp; Assumptions'!$F$15+M242*'Weights &amp; Assumptions'!$F$16+N242*'Weights &amp; Assumptions'!$F$17+O242*'Weights &amp; Assumptions'!$F$18+P242*'Weights &amp; Assumptions'!$F$19+Q242*'Weights &amp; Assumptions'!$F$20,"")</f>
        <v>165.210625470605</v>
      </c>
      <c r="U242" s="23" t="n">
        <f aca="false">IFERROR(R242*'Weights &amp; Assumptions'!$B$25/'Weights &amp; Assumptions'!$B$28+S242*'Weights &amp; Assumptions'!$B$26/'Weights &amp; Assumptions'!$B$28+T242*'Weights &amp; Assumptions'!$B$27/'Weights &amp; Assumptions'!$B$28,"")</f>
        <v>152.467814216301</v>
      </c>
      <c r="V242" s="30" t="n">
        <f aca="false">IF(ISNUMBER(Tabelle1!E243),Tabelle1!E243*'Weights &amp; Assumptions'!$F$6+Tabelle1!F243*'Weights &amp; Assumptions'!$F$7,"")</f>
        <v>76.239482954792</v>
      </c>
      <c r="W242" s="30" t="n">
        <f aca="false">IF(ISNUMBER(Tabelle1!G243),Tabelle1!G243*'Weights &amp; Assumptions'!$F$8+Tabelle1!H243*'Weights &amp; Assumptions'!$F$9+Tabelle1!J243*'Weights &amp; Assumptions'!$F$11,"")</f>
        <v>139.913658166728</v>
      </c>
      <c r="X242" s="30" t="n">
        <f aca="false">IF(ISNUMBER(Tabelle1!I243),Tabelle1!I243*'Weights &amp; Assumptions'!$F$10+Tabelle1!K243*'Weights &amp; Assumptions'!$F$12+Tabelle1!L243*'Weights &amp; Assumptions'!$F$13+Tabelle1!M243*'Weights &amp; Assumptions'!$F$14+Tabelle1!N243*'Weights &amp; Assumptions'!$F$15+Tabelle1!O243*'Weights &amp; Assumptions'!$F$16+Tabelle1!P243*'Weights &amp; Assumptions'!$F$17+Tabelle1!Q243*'Weights &amp; Assumptions'!$F$18+Tabelle1!R243*'Weights &amp; Assumptions'!$F$19+Tabelle1!S243*'Weights &amp; Assumptions'!$F$20,"")</f>
        <v>166.147513246086</v>
      </c>
      <c r="Y242" s="23" t="n">
        <f aca="false">IFERROR(V242*'Weights &amp; Assumptions'!$B$25/'Weights &amp; Assumptions'!$B$28+W242*'Weights &amp; Assumptions'!$B$26/'Weights &amp; Assumptions'!$B$28+X242*'Weights &amp; Assumptions'!$B$27/'Weights &amp; Assumptions'!$B$28,"")</f>
        <v>151.628114360421</v>
      </c>
    </row>
    <row r="243" customFormat="false" ht="15" hidden="false" customHeight="false" outlineLevel="0" collapsed="false">
      <c r="A243" s="20" t="n">
        <v>45199</v>
      </c>
      <c r="B243" s="30" t="n">
        <f aca="false">IF(ISNUMBER(Tabelle1!D244),Tabelle1!D244,"")</f>
        <v>149.69825</v>
      </c>
      <c r="C243" s="23" t="n">
        <f aca="false">IF(ISNUMBER(Tabelle1!E244),Tabelle1!E244/'SF Workings'!F243,"")</f>
        <v>120.179278803722</v>
      </c>
      <c r="D243" s="23" t="n">
        <f aca="false">IF(ISNUMBER(Tabelle1!F244),Tabelle1!F244/'SF Workings'!J243,"")</f>
        <v>173.623844846917</v>
      </c>
      <c r="E243" s="23" t="n">
        <f aca="false">IF(ISNUMBER(Tabelle1!G244),Tabelle1!G244/'SF Workings'!N243,"")</f>
        <v>107.090338692732</v>
      </c>
      <c r="F243" s="23" t="n">
        <f aca="false">IF(ISNUMBER(Tabelle1!H244),Tabelle1!H244/'SF Workings'!R243,"")</f>
        <v>127.689525868476</v>
      </c>
      <c r="G243" s="23" t="n">
        <f aca="false">IF(ISNUMBER(Tabelle1!I244),Tabelle1!I244/'SF Workings'!V243,"")</f>
        <v>153.909018147754</v>
      </c>
      <c r="H243" s="23" t="n">
        <f aca="false">IF(ISNUMBER(Tabelle1!J244),Tabelle1!J244/'SF Workings'!Z243,"")</f>
        <v>151.535634698644</v>
      </c>
      <c r="I243" s="23" t="n">
        <f aca="false">IF(ISNUMBER(Tabelle1!K244),Tabelle1!K244/'SF Workings'!AD243,"")</f>
        <v>160.337533697919</v>
      </c>
      <c r="J243" s="23" t="n">
        <f aca="false">IF(ISNUMBER(Tabelle1!L244),Tabelle1!L244/'SF Workings'!AH243,"")</f>
        <v>153.247564956714</v>
      </c>
      <c r="K243" s="23" t="n">
        <f aca="false">IF(ISNUMBER(Tabelle1!M244),Tabelle1!M244/'SF Workings'!AL243,"")</f>
        <v>183.025511118142</v>
      </c>
      <c r="L243" s="23" t="n">
        <f aca="false">IF(ISNUMBER(Tabelle1!N244),Tabelle1!N244/'SF Workings'!AP243,"")</f>
        <v>159.946247424844</v>
      </c>
      <c r="M243" s="23" t="n">
        <f aca="false">IF(ISNUMBER(Tabelle1!O244),Tabelle1!O244/'SF Workings'!AT243,"")</f>
        <v>153.683372819763</v>
      </c>
      <c r="N243" s="23" t="n">
        <f aca="false">IF(ISNUMBER(Tabelle1!P244),Tabelle1!P244/'SF Workings'!AX243,"")</f>
        <v>166.970648331585</v>
      </c>
      <c r="O243" s="23" t="n">
        <f aca="false">IF(ISNUMBER(Tabelle1!Q244),Tabelle1!Q244/'SF Workings'!BB243,"")</f>
        <v>171.105673403884</v>
      </c>
      <c r="P243" s="23" t="n">
        <f aca="false">IF(ISNUMBER(Tabelle1!R244),Tabelle1!R244/'SF Workings'!BF243,"")</f>
        <v>185.958617238623</v>
      </c>
      <c r="Q243" s="23" t="n">
        <f aca="false">IF(ISNUMBER(Tabelle1!S244),Tabelle1!S244/'SF Workings'!BJ243,"")</f>
        <v>135.106556575948</v>
      </c>
      <c r="R243" s="23" t="n">
        <f aca="false">IFERROR(C243*'Weights &amp; Assumptions'!$F$6+D243*'Weights &amp; Assumptions'!$F$7,"")</f>
        <v>120.834110258561</v>
      </c>
      <c r="S243" s="23" t="n">
        <f aca="false">IFERROR(E243*'Weights &amp; Assumptions'!$F$8+F243*'Weights &amp; Assumptions'!$F$9+H243*'Weights &amp; Assumptions'!$F$11,"")</f>
        <v>130.19773779108</v>
      </c>
      <c r="T243" s="23" t="n">
        <f aca="false">IFERROR(G243*'Weights &amp; Assumptions'!$F$10+I243*'Weights &amp; Assumptions'!$F$12+J243*'Weights &amp; Assumptions'!$F$13+K243*'Weights &amp; Assumptions'!$F$14+L243*'Weights &amp; Assumptions'!$F$15+M243*'Weights &amp; Assumptions'!$F$16+N243*'Weights &amp; Assumptions'!$F$17+O243*'Weights &amp; Assumptions'!$F$18+P243*'Weights &amp; Assumptions'!$F$19+Q243*'Weights &amp; Assumptions'!$F$20,"")</f>
        <v>163.643871503998</v>
      </c>
      <c r="U243" s="23" t="n">
        <f aca="false">IFERROR(R243*'Weights &amp; Assumptions'!$B$25/'Weights &amp; Assumptions'!$B$28+S243*'Weights &amp; Assumptions'!$B$26/'Weights &amp; Assumptions'!$B$28+T243*'Weights &amp; Assumptions'!$B$27/'Weights &amp; Assumptions'!$B$28,"")</f>
        <v>151.158185712444</v>
      </c>
      <c r="V243" s="30" t="n">
        <f aca="false">IF(ISNUMBER(Tabelle1!E244),Tabelle1!E244*'Weights &amp; Assumptions'!$F$6+Tabelle1!F244*'Weights &amp; Assumptions'!$F$7,"")</f>
        <v>73.2329804607812</v>
      </c>
      <c r="W243" s="30" t="n">
        <f aca="false">IF(ISNUMBER(Tabelle1!G244),Tabelle1!G244*'Weights &amp; Assumptions'!$F$8+Tabelle1!H244*'Weights &amp; Assumptions'!$F$9+Tabelle1!J244*'Weights &amp; Assumptions'!$F$11,"")</f>
        <v>135.538019993005</v>
      </c>
      <c r="X243" s="30" t="n">
        <f aca="false">IF(ISNUMBER(Tabelle1!I244),Tabelle1!I244*'Weights &amp; Assumptions'!$F$10+Tabelle1!K244*'Weights &amp; Assumptions'!$F$12+Tabelle1!L244*'Weights &amp; Assumptions'!$F$13+Tabelle1!M244*'Weights &amp; Assumptions'!$F$14+Tabelle1!N244*'Weights &amp; Assumptions'!$F$15+Tabelle1!O244*'Weights &amp; Assumptions'!$F$16+Tabelle1!P244*'Weights &amp; Assumptions'!$F$17+Tabelle1!Q244*'Weights &amp; Assumptions'!$F$18+Tabelle1!R244*'Weights &amp; Assumptions'!$F$19+Tabelle1!S244*'Weights &amp; Assumptions'!$F$20,"")</f>
        <v>162.970938182604</v>
      </c>
      <c r="Y243" s="23" t="n">
        <f aca="false">IFERROR(V243*'Weights &amp; Assumptions'!$B$25/'Weights &amp; Assumptions'!$B$28+W243*'Weights &amp; Assumptions'!$B$26/'Weights &amp; Assumptions'!$B$28+X243*'Weights &amp; Assumptions'!$B$27/'Weights &amp; Assumptions'!$B$28,"")</f>
        <v>148.146956700607</v>
      </c>
    </row>
    <row r="244" customFormat="false" ht="15" hidden="false" customHeight="false" outlineLevel="0" collapsed="false">
      <c r="A244" s="20" t="n">
        <v>45230</v>
      </c>
      <c r="B244" s="30" t="n">
        <f aca="false">IF(ISNUMBER(Tabelle1!D245),Tabelle1!D245,"")</f>
        <v>148.01321</v>
      </c>
      <c r="C244" s="23" t="n">
        <f aca="false">IF(ISNUMBER(Tabelle1!E245),Tabelle1!E245/'SF Workings'!F244,"")</f>
        <v>113.798427210957</v>
      </c>
      <c r="D244" s="23" t="n">
        <f aca="false">IF(ISNUMBER(Tabelle1!F245),Tabelle1!F245/'SF Workings'!J244,"")</f>
        <v>133.110426084226</v>
      </c>
      <c r="E244" s="23" t="n">
        <f aca="false">IF(ISNUMBER(Tabelle1!G245),Tabelle1!G245/'SF Workings'!N244,"")</f>
        <v>107.031438152027</v>
      </c>
      <c r="F244" s="23" t="n">
        <f aca="false">IF(ISNUMBER(Tabelle1!H245),Tabelle1!H245/'SF Workings'!R244,"")</f>
        <v>124.602520316049</v>
      </c>
      <c r="G244" s="23" t="n">
        <f aca="false">IF(ISNUMBER(Tabelle1!I245),Tabelle1!I245/'SF Workings'!V244,"")</f>
        <v>148.636835361115</v>
      </c>
      <c r="H244" s="23" t="n">
        <f aca="false">IF(ISNUMBER(Tabelle1!J245),Tabelle1!J245/'SF Workings'!Z244,"")</f>
        <v>146.917674659005</v>
      </c>
      <c r="I244" s="23" t="n">
        <f aca="false">IF(ISNUMBER(Tabelle1!K245),Tabelle1!K245/'SF Workings'!AD244,"")</f>
        <v>154.366888022054</v>
      </c>
      <c r="J244" s="23" t="n">
        <f aca="false">IF(ISNUMBER(Tabelle1!L245),Tabelle1!L245/'SF Workings'!AH244,"")</f>
        <v>152.789840350557</v>
      </c>
      <c r="K244" s="23" t="n">
        <f aca="false">IF(ISNUMBER(Tabelle1!M245),Tabelle1!M245/'SF Workings'!AL244,"")</f>
        <v>181.04680319976</v>
      </c>
      <c r="L244" s="23" t="n">
        <f aca="false">IF(ISNUMBER(Tabelle1!N245),Tabelle1!N245/'SF Workings'!AP244,"")</f>
        <v>165.391231109141</v>
      </c>
      <c r="M244" s="23" t="n">
        <f aca="false">IF(ISNUMBER(Tabelle1!O245),Tabelle1!O245/'SF Workings'!AT244,"")</f>
        <v>154.261334723362</v>
      </c>
      <c r="N244" s="23" t="n">
        <f aca="false">IF(ISNUMBER(Tabelle1!P245),Tabelle1!P245/'SF Workings'!AX244,"")</f>
        <v>165.489984426627</v>
      </c>
      <c r="O244" s="23" t="n">
        <f aca="false">IF(ISNUMBER(Tabelle1!Q245),Tabelle1!Q245/'SF Workings'!BB244,"")</f>
        <v>170.582833109336</v>
      </c>
      <c r="P244" s="23" t="n">
        <f aca="false">IF(ISNUMBER(Tabelle1!R245),Tabelle1!R245/'SF Workings'!BF244,"")</f>
        <v>185.33812018685</v>
      </c>
      <c r="Q244" s="23" t="n">
        <f aca="false">IF(ISNUMBER(Tabelle1!S245),Tabelle1!S245/'SF Workings'!BJ244,"")</f>
        <v>128.703449143096</v>
      </c>
      <c r="R244" s="23" t="n">
        <f aca="false">IFERROR(C244*'Weights &amp; Assumptions'!$F$6+D244*'Weights &amp; Assumptions'!$F$7,"")</f>
        <v>114.035048167104</v>
      </c>
      <c r="S244" s="23" t="n">
        <f aca="false">IFERROR(E244*'Weights &amp; Assumptions'!$F$8+F244*'Weights &amp; Assumptions'!$F$9+H244*'Weights &amp; Assumptions'!$F$11,"")</f>
        <v>127.153347061245</v>
      </c>
      <c r="T244" s="23" t="n">
        <f aca="false">IFERROR(G244*'Weights &amp; Assumptions'!$F$10+I244*'Weights &amp; Assumptions'!$F$12+J244*'Weights &amp; Assumptions'!$F$13+K244*'Weights &amp; Assumptions'!$F$14+L244*'Weights &amp; Assumptions'!$F$15+M244*'Weights &amp; Assumptions'!$F$16+N244*'Weights &amp; Assumptions'!$F$17+O244*'Weights &amp; Assumptions'!$F$18+P244*'Weights &amp; Assumptions'!$F$19+Q244*'Weights &amp; Assumptions'!$F$20,"")</f>
        <v>161.929105758544</v>
      </c>
      <c r="U244" s="23" t="n">
        <f aca="false">IFERROR(R244*'Weights &amp; Assumptions'!$B$25/'Weights &amp; Assumptions'!$B$28+S244*'Weights &amp; Assumptions'!$B$26/'Weights &amp; Assumptions'!$B$28+T244*'Weights &amp; Assumptions'!$B$27/'Weights &amp; Assumptions'!$B$28,"")</f>
        <v>148.663272762962</v>
      </c>
      <c r="V244" s="30" t="n">
        <f aca="false">IF(ISNUMBER(Tabelle1!E245),Tabelle1!E245*'Weights &amp; Assumptions'!$F$6+Tabelle1!F245*'Weights &amp; Assumptions'!$F$7,"")</f>
        <v>65.6971874879918</v>
      </c>
      <c r="W244" s="30" t="n">
        <f aca="false">IF(ISNUMBER(Tabelle1!G245),Tabelle1!G245*'Weights &amp; Assumptions'!$F$8+Tabelle1!H245*'Weights &amp; Assumptions'!$F$9+Tabelle1!J245*'Weights &amp; Assumptions'!$F$11,"")</f>
        <v>136.122959215848</v>
      </c>
      <c r="X244" s="30" t="n">
        <f aca="false">IF(ISNUMBER(Tabelle1!I245),Tabelle1!I245*'Weights &amp; Assumptions'!$F$10+Tabelle1!K245*'Weights &amp; Assumptions'!$F$12+Tabelle1!L245*'Weights &amp; Assumptions'!$F$13+Tabelle1!M245*'Weights &amp; Assumptions'!$F$14+Tabelle1!N245*'Weights &amp; Assumptions'!$F$15+Tabelle1!O245*'Weights &amp; Assumptions'!$F$16+Tabelle1!P245*'Weights &amp; Assumptions'!$F$17+Tabelle1!Q245*'Weights &amp; Assumptions'!$F$18+Tabelle1!R245*'Weights &amp; Assumptions'!$F$19+Tabelle1!S245*'Weights &amp; Assumptions'!$F$20,"")</f>
        <v>163.564368897895</v>
      </c>
      <c r="Y244" s="23" t="n">
        <f aca="false">IFERROR(V244*'Weights &amp; Assumptions'!$B$25/'Weights &amp; Assumptions'!$B$28+W244*'Weights &amp; Assumptions'!$B$26/'Weights &amp; Assumptions'!$B$28+X244*'Weights &amp; Assumptions'!$B$27/'Weights &amp; Assumptions'!$B$28,"")</f>
        <v>148.056080747169</v>
      </c>
    </row>
    <row r="245" customFormat="false" ht="15" hidden="false" customHeight="false" outlineLevel="0" collapsed="false">
      <c r="A245" s="20" t="n">
        <v>45260</v>
      </c>
      <c r="B245" s="30" t="n">
        <f aca="false">IF(ISNUMBER(Tabelle1!D246),Tabelle1!D246,"")</f>
        <v>146.3883</v>
      </c>
      <c r="C245" s="23" t="n">
        <f aca="false">IF(ISNUMBER(Tabelle1!E246),Tabelle1!E246/'SF Workings'!F245,"")</f>
        <v>114.655840140855</v>
      </c>
      <c r="D245" s="23" t="n">
        <f aca="false">IF(ISNUMBER(Tabelle1!F246),Tabelle1!F246/'SF Workings'!J245,"")</f>
        <v>98.8166789924097</v>
      </c>
      <c r="E245" s="23" t="n">
        <f aca="false">IF(ISNUMBER(Tabelle1!G246),Tabelle1!G246/'SF Workings'!N245,"")</f>
        <v>108.336748913645</v>
      </c>
      <c r="F245" s="23" t="n">
        <f aca="false">IF(ISNUMBER(Tabelle1!H246),Tabelle1!H246/'SF Workings'!R245,"")</f>
        <v>124.496556662038</v>
      </c>
      <c r="G245" s="23" t="n">
        <f aca="false">IF(ISNUMBER(Tabelle1!I246),Tabelle1!I246/'SF Workings'!V245,"")</f>
        <v>149.783975245181</v>
      </c>
      <c r="H245" s="23" t="n">
        <f aca="false">IF(ISNUMBER(Tabelle1!J246),Tabelle1!J246/'SF Workings'!Z245,"")</f>
        <v>145.827401297778</v>
      </c>
      <c r="I245" s="23" t="n">
        <f aca="false">IF(ISNUMBER(Tabelle1!K246),Tabelle1!K246/'SF Workings'!AD245,"")</f>
        <v>154.097649140033</v>
      </c>
      <c r="J245" s="23" t="n">
        <f aca="false">IF(ISNUMBER(Tabelle1!L246),Tabelle1!L246/'SF Workings'!AH245,"")</f>
        <v>150.745657733802</v>
      </c>
      <c r="K245" s="23" t="n">
        <f aca="false">IF(ISNUMBER(Tabelle1!M246),Tabelle1!M246/'SF Workings'!AL245,"")</f>
        <v>181.296839990935</v>
      </c>
      <c r="L245" s="23" t="n">
        <f aca="false">IF(ISNUMBER(Tabelle1!N246),Tabelle1!N246/'SF Workings'!AP245,"")</f>
        <v>159.137720670918</v>
      </c>
      <c r="M245" s="23" t="n">
        <f aca="false">IF(ISNUMBER(Tabelle1!O246),Tabelle1!O246/'SF Workings'!AT245,"")</f>
        <v>153.840116764125</v>
      </c>
      <c r="N245" s="23" t="n">
        <f aca="false">IF(ISNUMBER(Tabelle1!P246),Tabelle1!P246/'SF Workings'!AX245,"")</f>
        <v>165.516958986272</v>
      </c>
      <c r="O245" s="23" t="n">
        <f aca="false">IF(ISNUMBER(Tabelle1!Q246),Tabelle1!Q246/'SF Workings'!BB245,"")</f>
        <v>170.746039067429</v>
      </c>
      <c r="P245" s="23" t="n">
        <f aca="false">IF(ISNUMBER(Tabelle1!R246),Tabelle1!R246/'SF Workings'!BF245,"")</f>
        <v>185.308755952787</v>
      </c>
      <c r="Q245" s="23" t="n">
        <f aca="false">IF(ISNUMBER(Tabelle1!S246),Tabelle1!S246/'SF Workings'!BJ245,"")</f>
        <v>127.48251523473</v>
      </c>
      <c r="R245" s="23" t="n">
        <f aca="false">IFERROR(C245*'Weights &amp; Assumptions'!$F$6+D245*'Weights &amp; Assumptions'!$F$7,"")</f>
        <v>114.461770253004</v>
      </c>
      <c r="S245" s="23" t="n">
        <f aca="false">IFERROR(E245*'Weights &amp; Assumptions'!$F$8+F245*'Weights &amp; Assumptions'!$F$9+H245*'Weights &amp; Assumptions'!$F$11,"")</f>
        <v>127.010831379337</v>
      </c>
      <c r="T245" s="23" t="n">
        <f aca="false">IFERROR(G245*'Weights &amp; Assumptions'!$F$10+I245*'Weights &amp; Assumptions'!$F$12+J245*'Weights &amp; Assumptions'!$F$13+K245*'Weights &amp; Assumptions'!$F$14+L245*'Weights &amp; Assumptions'!$F$15+M245*'Weights &amp; Assumptions'!$F$16+N245*'Weights &amp; Assumptions'!$F$17+O245*'Weights &amp; Assumptions'!$F$18+P245*'Weights &amp; Assumptions'!$F$19+Q245*'Weights &amp; Assumptions'!$F$20,"")</f>
        <v>161.231006414596</v>
      </c>
      <c r="U245" s="23" t="n">
        <f aca="false">IFERROR(R245*'Weights &amp; Assumptions'!$B$25/'Weights &amp; Assumptions'!$B$28+S245*'Weights &amp; Assumptions'!$B$26/'Weights &amp; Assumptions'!$B$28+T245*'Weights &amp; Assumptions'!$B$27/'Weights &amp; Assumptions'!$B$28,"")</f>
        <v>148.207286273817</v>
      </c>
      <c r="V245" s="30" t="n">
        <f aca="false">IF(ISNUMBER(Tabelle1!E246),Tabelle1!E246*'Weights &amp; Assumptions'!$F$6+Tabelle1!F246*'Weights &amp; Assumptions'!$F$7,"")</f>
        <v>78.5658185659289</v>
      </c>
      <c r="W245" s="30" t="n">
        <f aca="false">IF(ISNUMBER(Tabelle1!G246),Tabelle1!G246*'Weights &amp; Assumptions'!$F$8+Tabelle1!H246*'Weights &amp; Assumptions'!$F$9+Tabelle1!J246*'Weights &amp; Assumptions'!$F$11,"")</f>
        <v>133.009284920201</v>
      </c>
      <c r="X245" s="30" t="n">
        <f aca="false">IF(ISNUMBER(Tabelle1!I246),Tabelle1!I246*'Weights &amp; Assumptions'!$F$10+Tabelle1!K246*'Weights &amp; Assumptions'!$F$12+Tabelle1!L246*'Weights &amp; Assumptions'!$F$13+Tabelle1!M246*'Weights &amp; Assumptions'!$F$14+Tabelle1!N246*'Weights &amp; Assumptions'!$F$15+Tabelle1!O246*'Weights &amp; Assumptions'!$F$16+Tabelle1!P246*'Weights &amp; Assumptions'!$F$17+Tabelle1!Q246*'Weights &amp; Assumptions'!$F$18+Tabelle1!R246*'Weights &amp; Assumptions'!$F$19+Tabelle1!S246*'Weights &amp; Assumptions'!$F$20,"")</f>
        <v>162.436068475537</v>
      </c>
      <c r="Y245" s="23" t="n">
        <f aca="false">IFERROR(V245*'Weights &amp; Assumptions'!$B$25/'Weights &amp; Assumptions'!$B$28+W245*'Weights &amp; Assumptions'!$B$26/'Weights &amp; Assumptions'!$B$28+X245*'Weights &amp; Assumptions'!$B$27/'Weights &amp; Assumptions'!$B$28,"")</f>
        <v>147.574188932162</v>
      </c>
    </row>
    <row r="246" customFormat="false" ht="15" hidden="false" customHeight="false" outlineLevel="0" collapsed="false">
      <c r="A246" s="20" t="n">
        <v>45291</v>
      </c>
      <c r="B246" s="30" t="n">
        <f aca="false">IF(ISNUMBER(Tabelle1!D247),Tabelle1!D247,"")</f>
        <v>142.86747</v>
      </c>
      <c r="C246" s="23" t="n">
        <f aca="false">IF(ISNUMBER(Tabelle1!E247),Tabelle1!E247/'SF Workings'!F246,"")</f>
        <v>113.007099060429</v>
      </c>
      <c r="D246" s="23" t="n">
        <f aca="false">IF(ISNUMBER(Tabelle1!F247),Tabelle1!F247/'SF Workings'!J246,"")</f>
        <v>196.289998339628</v>
      </c>
      <c r="E246" s="23" t="n">
        <f aca="false">IF(ISNUMBER(Tabelle1!G247),Tabelle1!G247/'SF Workings'!N246,"")</f>
        <v>108.869526472849</v>
      </c>
      <c r="F246" s="23" t="n">
        <f aca="false">IF(ISNUMBER(Tabelle1!H247),Tabelle1!H247/'SF Workings'!R246,"")</f>
        <v>113.743211606902</v>
      </c>
      <c r="G246" s="23" t="n">
        <f aca="false">IF(ISNUMBER(Tabelle1!I247),Tabelle1!I247/'SF Workings'!V246,"")</f>
        <v>138.420616015782</v>
      </c>
      <c r="H246" s="23" t="n">
        <f aca="false">IF(ISNUMBER(Tabelle1!J247),Tabelle1!J247/'SF Workings'!Z246,"")</f>
        <v>134.083302632921</v>
      </c>
      <c r="I246" s="23" t="n">
        <f aca="false">IF(ISNUMBER(Tabelle1!K247),Tabelle1!K247/'SF Workings'!AD246,"")</f>
        <v>141.337662427259</v>
      </c>
      <c r="J246" s="23" t="n">
        <f aca="false">IF(ISNUMBER(Tabelle1!L247),Tabelle1!L247/'SF Workings'!AH246,"")</f>
        <v>150.096820057623</v>
      </c>
      <c r="K246" s="23" t="n">
        <f aca="false">IF(ISNUMBER(Tabelle1!M247),Tabelle1!M247/'SF Workings'!AL246,"")</f>
        <v>179.194897893458</v>
      </c>
      <c r="L246" s="23" t="n">
        <f aca="false">IF(ISNUMBER(Tabelle1!N247),Tabelle1!N247/'SF Workings'!AP246,"")</f>
        <v>147.984021848883</v>
      </c>
      <c r="M246" s="23" t="n">
        <f aca="false">IF(ISNUMBER(Tabelle1!O247),Tabelle1!O247/'SF Workings'!AT246,"")</f>
        <v>150.412810052084</v>
      </c>
      <c r="N246" s="23" t="n">
        <f aca="false">IF(ISNUMBER(Tabelle1!P247),Tabelle1!P247/'SF Workings'!AX246,"")</f>
        <v>165.450169436275</v>
      </c>
      <c r="O246" s="23" t="n">
        <f aca="false">IF(ISNUMBER(Tabelle1!Q247),Tabelle1!Q247/'SF Workings'!BB246,"")</f>
        <v>170.942650583567</v>
      </c>
      <c r="P246" s="23" t="n">
        <f aca="false">IF(ISNUMBER(Tabelle1!R247),Tabelle1!R247/'SF Workings'!BF246,"")</f>
        <v>184.733955350114</v>
      </c>
      <c r="Q246" s="23" t="n">
        <f aca="false">IF(ISNUMBER(Tabelle1!S247),Tabelle1!S247/'SF Workings'!BJ246,"")</f>
        <v>126.171623733691</v>
      </c>
      <c r="R246" s="23" t="n">
        <f aca="false">IFERROR(C246*'Weights &amp; Assumptions'!$F$6+D246*'Weights &amp; Assumptions'!$F$7,"")</f>
        <v>114.027525759265</v>
      </c>
      <c r="S246" s="23" t="n">
        <f aca="false">IFERROR(E246*'Weights &amp; Assumptions'!$F$8+F246*'Weights &amp; Assumptions'!$F$9+H246*'Weights &amp; Assumptions'!$F$11,"")</f>
        <v>117.398626131538</v>
      </c>
      <c r="T246" s="23" t="n">
        <f aca="false">IFERROR(G246*'Weights &amp; Assumptions'!$F$10+I246*'Weights &amp; Assumptions'!$F$12+J246*'Weights &amp; Assumptions'!$F$13+K246*'Weights &amp; Assumptions'!$F$14+L246*'Weights &amp; Assumptions'!$F$15+M246*'Weights &amp; Assumptions'!$F$16+N246*'Weights &amp; Assumptions'!$F$17+O246*'Weights &amp; Assumptions'!$F$18+P246*'Weights &amp; Assumptions'!$F$19+Q246*'Weights &amp; Assumptions'!$F$20,"")</f>
        <v>156.321723941782</v>
      </c>
      <c r="U246" s="23" t="n">
        <f aca="false">IFERROR(R246*'Weights &amp; Assumptions'!$B$25/'Weights &amp; Assumptions'!$B$28+S246*'Weights &amp; Assumptions'!$B$26/'Weights &amp; Assumptions'!$B$28+T246*'Weights &amp; Assumptions'!$B$27/'Weights &amp; Assumptions'!$B$28,"")</f>
        <v>142.422873894266</v>
      </c>
      <c r="V246" s="30" t="n">
        <f aca="false">IF(ISNUMBER(Tabelle1!E247),Tabelle1!E247*'Weights &amp; Assumptions'!$F$6+Tabelle1!F247*'Weights &amp; Assumptions'!$F$7,"")</f>
        <v>101.194782155397</v>
      </c>
      <c r="W246" s="30" t="n">
        <f aca="false">IF(ISNUMBER(Tabelle1!G247),Tabelle1!G247*'Weights &amp; Assumptions'!$F$8+Tabelle1!H247*'Weights &amp; Assumptions'!$F$9+Tabelle1!J247*'Weights &amp; Assumptions'!$F$11,"")</f>
        <v>116.84019996969</v>
      </c>
      <c r="X246" s="30" t="n">
        <f aca="false">IF(ISNUMBER(Tabelle1!I247),Tabelle1!I247*'Weights &amp; Assumptions'!$F$10+Tabelle1!K247*'Weights &amp; Assumptions'!$F$12+Tabelle1!L247*'Weights &amp; Assumptions'!$F$13+Tabelle1!M247*'Weights &amp; Assumptions'!$F$14+Tabelle1!N247*'Weights &amp; Assumptions'!$F$15+Tabelle1!O247*'Weights &amp; Assumptions'!$F$16+Tabelle1!P247*'Weights &amp; Assumptions'!$F$17+Tabelle1!Q247*'Weights &amp; Assumptions'!$F$18+Tabelle1!R247*'Weights &amp; Assumptions'!$F$19+Tabelle1!S247*'Weights &amp; Assumptions'!$F$20,"")</f>
        <v>156.917752234955</v>
      </c>
      <c r="Y246" s="23" t="n">
        <f aca="false">IFERROR(V246*'Weights &amp; Assumptions'!$B$25/'Weights &amp; Assumptions'!$B$28+W246*'Weights &amp; Assumptions'!$B$26/'Weights &amp; Assumptions'!$B$28+X246*'Weights &amp; Assumptions'!$B$27/'Weights &amp; Assumptions'!$B$28,"")</f>
        <v>141.585227444085</v>
      </c>
    </row>
    <row r="247" customFormat="false" ht="15" hidden="false" customHeight="false" outlineLevel="0" collapsed="false">
      <c r="A247" s="20" t="n">
        <v>45322</v>
      </c>
      <c r="B247" s="30" t="n">
        <f aca="false">IF(ISNUMBER(Tabelle1!D248),Tabelle1!D248,"")</f>
        <v>143.55367</v>
      </c>
      <c r="C247" s="23" t="n">
        <f aca="false">IF(ISNUMBER(Tabelle1!E248),Tabelle1!E248/'SF Workings'!F247,"")</f>
        <v>119.510073030577</v>
      </c>
      <c r="D247" s="23" t="n">
        <f aca="false">IF(ISNUMBER(Tabelle1!F248),Tabelle1!F248/'SF Workings'!J247,"")</f>
        <v>186.903928706707</v>
      </c>
      <c r="E247" s="23" t="n">
        <f aca="false">IF(ISNUMBER(Tabelle1!G248),Tabelle1!G248/'SF Workings'!N247,"")</f>
        <v>110.406936329909</v>
      </c>
      <c r="F247" s="23" t="n">
        <f aca="false">IF(ISNUMBER(Tabelle1!H248),Tabelle1!H248/'SF Workings'!R247,"")</f>
        <v>115.690738887397</v>
      </c>
      <c r="G247" s="23" t="n">
        <f aca="false">IF(ISNUMBER(Tabelle1!I248),Tabelle1!I248/'SF Workings'!V247,"")</f>
        <v>144.370348090419</v>
      </c>
      <c r="H247" s="23" t="n">
        <f aca="false">IF(ISNUMBER(Tabelle1!J248),Tabelle1!J248/'SF Workings'!Z247,"")</f>
        <v>125.418909758808</v>
      </c>
      <c r="I247" s="23" t="n">
        <f aca="false">IF(ISNUMBER(Tabelle1!K248),Tabelle1!K248/'SF Workings'!AD247,"")</f>
        <v>145.772918190812</v>
      </c>
      <c r="J247" s="23" t="n">
        <f aca="false">IF(ISNUMBER(Tabelle1!L248),Tabelle1!L248/'SF Workings'!AH247,"")</f>
        <v>142.600895907146</v>
      </c>
      <c r="K247" s="23" t="n">
        <f aca="false">IF(ISNUMBER(Tabelle1!M248),Tabelle1!M248/'SF Workings'!AL247,"")</f>
        <v>179.306226907363</v>
      </c>
      <c r="L247" s="23" t="n">
        <f aca="false">IF(ISNUMBER(Tabelle1!N248),Tabelle1!N248/'SF Workings'!AP247,"")</f>
        <v>147.765217099931</v>
      </c>
      <c r="M247" s="23" t="n">
        <f aca="false">IF(ISNUMBER(Tabelle1!O248),Tabelle1!O248/'SF Workings'!AT247,"")</f>
        <v>150.109550109651</v>
      </c>
      <c r="N247" s="23" t="n">
        <f aca="false">IF(ISNUMBER(Tabelle1!P248),Tabelle1!P248/'SF Workings'!AX247,"")</f>
        <v>163.41864237751</v>
      </c>
      <c r="O247" s="23" t="n">
        <f aca="false">IF(ISNUMBER(Tabelle1!Q248),Tabelle1!Q248/'SF Workings'!BB247,"")</f>
        <v>170.661825821727</v>
      </c>
      <c r="P247" s="23" t="n">
        <f aca="false">IF(ISNUMBER(Tabelle1!R248),Tabelle1!R248/'SF Workings'!BF247,"")</f>
        <v>184.686950962611</v>
      </c>
      <c r="Q247" s="23" t="n">
        <f aca="false">IF(ISNUMBER(Tabelle1!S248),Tabelle1!S248/'SF Workings'!BJ247,"")</f>
        <v>122.080911371937</v>
      </c>
      <c r="R247" s="23" t="n">
        <f aca="false">IFERROR(C247*'Weights &amp; Assumptions'!$F$6+D247*'Weights &amp; Assumptions'!$F$7,"")</f>
        <v>120.335818655004</v>
      </c>
      <c r="S247" s="23" t="n">
        <f aca="false">IFERROR(E247*'Weights &amp; Assumptions'!$F$8+F247*'Weights &amp; Assumptions'!$F$9+H247*'Weights &amp; Assumptions'!$F$11,"")</f>
        <v>117.086472724758</v>
      </c>
      <c r="T247" s="23" t="n">
        <f aca="false">IFERROR(G247*'Weights &amp; Assumptions'!$F$10+I247*'Weights &amp; Assumptions'!$F$12+J247*'Weights &amp; Assumptions'!$F$13+K247*'Weights &amp; Assumptions'!$F$14+L247*'Weights &amp; Assumptions'!$F$15+M247*'Weights &amp; Assumptions'!$F$16+N247*'Weights &amp; Assumptions'!$F$17+O247*'Weights &amp; Assumptions'!$F$18+P247*'Weights &amp; Assumptions'!$F$19+Q247*'Weights &amp; Assumptions'!$F$20,"")</f>
        <v>156.540892714568</v>
      </c>
      <c r="U247" s="23" t="n">
        <f aca="false">IFERROR(R247*'Weights &amp; Assumptions'!$B$25/'Weights &amp; Assumptions'!$B$28+S247*'Weights &amp; Assumptions'!$B$26/'Weights &amp; Assumptions'!$B$28+T247*'Weights &amp; Assumptions'!$B$27/'Weights &amp; Assumptions'!$B$28,"")</f>
        <v>143.011637399557</v>
      </c>
      <c r="V247" s="30" t="n">
        <f aca="false">IF(ISNUMBER(Tabelle1!E248),Tabelle1!E248*'Weights &amp; Assumptions'!$F$6+Tabelle1!F248*'Weights &amp; Assumptions'!$F$7,"")</f>
        <v>90.1841450285455</v>
      </c>
      <c r="W247" s="30" t="n">
        <f aca="false">IF(ISNUMBER(Tabelle1!G248),Tabelle1!G248*'Weights &amp; Assumptions'!$F$8+Tabelle1!H248*'Weights &amp; Assumptions'!$F$9+Tabelle1!J248*'Weights &amp; Assumptions'!$F$11,"")</f>
        <v>108.32557798577</v>
      </c>
      <c r="X247" s="30" t="n">
        <f aca="false">IF(ISNUMBER(Tabelle1!I248),Tabelle1!I248*'Weights &amp; Assumptions'!$F$10+Tabelle1!K248*'Weights &amp; Assumptions'!$F$12+Tabelle1!L248*'Weights &amp; Assumptions'!$F$13+Tabelle1!M248*'Weights &amp; Assumptions'!$F$14+Tabelle1!N248*'Weights &amp; Assumptions'!$F$15+Tabelle1!O248*'Weights &amp; Assumptions'!$F$16+Tabelle1!P248*'Weights &amp; Assumptions'!$F$17+Tabelle1!Q248*'Weights &amp; Assumptions'!$F$18+Tabelle1!R248*'Weights &amp; Assumptions'!$F$19+Tabelle1!S248*'Weights &amp; Assumptions'!$F$20,"")</f>
        <v>157.181769134367</v>
      </c>
      <c r="Y247" s="23" t="n">
        <f aca="false">IFERROR(V247*'Weights &amp; Assumptions'!$B$25/'Weights &amp; Assumptions'!$B$28+W247*'Weights &amp; Assumptions'!$B$26/'Weights &amp; Assumptions'!$B$28+X247*'Weights &amp; Assumptions'!$B$27/'Weights &amp; Assumptions'!$B$28,"")</f>
        <v>138.568898062154</v>
      </c>
    </row>
    <row r="248" customFormat="false" ht="15" hidden="false" customHeight="false" outlineLevel="0" collapsed="false">
      <c r="A248" s="20" t="n">
        <v>45351</v>
      </c>
      <c r="B248" s="30" t="n">
        <f aca="false">IF(ISNUMBER(Tabelle1!D249),Tabelle1!D249,"")</f>
        <v>143.80882</v>
      </c>
      <c r="C248" s="23" t="n">
        <f aca="false">IF(ISNUMBER(Tabelle1!E249),Tabelle1!E249/'SF Workings'!F248,"")</f>
        <v>116.663848293439</v>
      </c>
      <c r="D248" s="23" t="n">
        <f aca="false">IF(ISNUMBER(Tabelle1!F249),Tabelle1!F249/'SF Workings'!J248,"")</f>
        <v>160.416684559147</v>
      </c>
      <c r="E248" s="23" t="n">
        <f aca="false">IF(ISNUMBER(Tabelle1!G249),Tabelle1!G249/'SF Workings'!N248,"")</f>
        <v>111.331151544626</v>
      </c>
      <c r="F248" s="23" t="n">
        <f aca="false">IF(ISNUMBER(Tabelle1!H249),Tabelle1!H249/'SF Workings'!R248,"")</f>
        <v>116.497277705088</v>
      </c>
      <c r="G248" s="23" t="n">
        <f aca="false">IF(ISNUMBER(Tabelle1!I249),Tabelle1!I249/'SF Workings'!V248,"")</f>
        <v>159.806866460701</v>
      </c>
      <c r="H248" s="23" t="n">
        <f aca="false">IF(ISNUMBER(Tabelle1!J249),Tabelle1!J249/'SF Workings'!Z248,"")</f>
        <v>122.218318686504</v>
      </c>
      <c r="I248" s="23" t="n">
        <f aca="false">IF(ISNUMBER(Tabelle1!K249),Tabelle1!K249/'SF Workings'!AD248,"")</f>
        <v>147.827175655159</v>
      </c>
      <c r="J248" s="23" t="n">
        <f aca="false">IF(ISNUMBER(Tabelle1!L249),Tabelle1!L249/'SF Workings'!AH248,"")</f>
        <v>140.815600730846</v>
      </c>
      <c r="K248" s="23" t="n">
        <f aca="false">IF(ISNUMBER(Tabelle1!M249),Tabelle1!M249/'SF Workings'!AL248,"")</f>
        <v>177.815573318251</v>
      </c>
      <c r="L248" s="23" t="n">
        <f aca="false">IF(ISNUMBER(Tabelle1!N249),Tabelle1!N249/'SF Workings'!AP248,"")</f>
        <v>144.999124895599</v>
      </c>
      <c r="M248" s="23" t="n">
        <f aca="false">IF(ISNUMBER(Tabelle1!O249),Tabelle1!O249/'SF Workings'!AT248,"")</f>
        <v>150.25636006547</v>
      </c>
      <c r="N248" s="23" t="n">
        <f aca="false">IF(ISNUMBER(Tabelle1!P249),Tabelle1!P249/'SF Workings'!AX248,"")</f>
        <v>163.191875083637</v>
      </c>
      <c r="O248" s="23" t="n">
        <f aca="false">IF(ISNUMBER(Tabelle1!Q249),Tabelle1!Q249/'SF Workings'!BB248,"")</f>
        <v>171.015775959414</v>
      </c>
      <c r="P248" s="23" t="n">
        <f aca="false">IF(ISNUMBER(Tabelle1!R249),Tabelle1!R249/'SF Workings'!BF248,"")</f>
        <v>183.937876223431</v>
      </c>
      <c r="Q248" s="23" t="n">
        <f aca="false">IF(ISNUMBER(Tabelle1!S249),Tabelle1!S249/'SF Workings'!BJ248,"")</f>
        <v>122.289024623846</v>
      </c>
      <c r="R248" s="23" t="n">
        <f aca="false">IFERROR(C248*'Weights &amp; Assumptions'!$F$6+D248*'Weights &amp; Assumptions'!$F$7,"")</f>
        <v>117.199931482926</v>
      </c>
      <c r="S248" s="23" t="n">
        <f aca="false">IFERROR(E248*'Weights &amp; Assumptions'!$F$8+F248*'Weights &amp; Assumptions'!$F$9+H248*'Weights &amp; Assumptions'!$F$11,"")</f>
        <v>117.072282035945</v>
      </c>
      <c r="T248" s="23" t="n">
        <f aca="false">IFERROR(G248*'Weights &amp; Assumptions'!$F$10+I248*'Weights &amp; Assumptions'!$F$12+J248*'Weights &amp; Assumptions'!$F$13+K248*'Weights &amp; Assumptions'!$F$14+L248*'Weights &amp; Assumptions'!$F$15+M248*'Weights &amp; Assumptions'!$F$16+N248*'Weights &amp; Assumptions'!$F$17+O248*'Weights &amp; Assumptions'!$F$18+P248*'Weights &amp; Assumptions'!$F$19+Q248*'Weights &amp; Assumptions'!$F$20,"")</f>
        <v>156.876910976959</v>
      </c>
      <c r="U248" s="23" t="n">
        <f aca="false">IFERROR(R248*'Weights &amp; Assumptions'!$B$25/'Weights &amp; Assumptions'!$B$28+S248*'Weights &amp; Assumptions'!$B$26/'Weights &amp; Assumptions'!$B$28+T248*'Weights &amp; Assumptions'!$B$27/'Weights &amp; Assumptions'!$B$28,"")</f>
        <v>142.963233229049</v>
      </c>
      <c r="V248" s="30" t="n">
        <f aca="false">IF(ISNUMBER(Tabelle1!E249),Tabelle1!E249*'Weights &amp; Assumptions'!$F$6+Tabelle1!F249*'Weights &amp; Assumptions'!$F$7,"")</f>
        <v>71.9573917903243</v>
      </c>
      <c r="W248" s="30" t="n">
        <f aca="false">IF(ISNUMBER(Tabelle1!G249),Tabelle1!G249*'Weights &amp; Assumptions'!$F$8+Tabelle1!H249*'Weights &amp; Assumptions'!$F$9+Tabelle1!J249*'Weights &amp; Assumptions'!$F$11,"")</f>
        <v>107.63073973379</v>
      </c>
      <c r="X248" s="30" t="n">
        <f aca="false">IF(ISNUMBER(Tabelle1!I249),Tabelle1!I249*'Weights &amp; Assumptions'!$F$10+Tabelle1!K249*'Weights &amp; Assumptions'!$F$12+Tabelle1!L249*'Weights &amp; Assumptions'!$F$13+Tabelle1!M249*'Weights &amp; Assumptions'!$F$14+Tabelle1!N249*'Weights &amp; Assumptions'!$F$15+Tabelle1!O249*'Weights &amp; Assumptions'!$F$16+Tabelle1!P249*'Weights &amp; Assumptions'!$F$17+Tabelle1!Q249*'Weights &amp; Assumptions'!$F$18+Tabelle1!R249*'Weights &amp; Assumptions'!$F$19+Tabelle1!S249*'Weights &amp; Assumptions'!$F$20,"")</f>
        <v>155.07879885563</v>
      </c>
      <c r="Y248" s="23" t="n">
        <f aca="false">IFERROR(V248*'Weights &amp; Assumptions'!$B$25/'Weights &amp; Assumptions'!$B$28+W248*'Weights &amp; Assumptions'!$B$26/'Weights &amp; Assumptions'!$B$28+X248*'Weights &amp; Assumptions'!$B$27/'Weights &amp; Assumptions'!$B$28,"")</f>
        <v>135.487575878328</v>
      </c>
    </row>
    <row r="249" customFormat="false" ht="15" hidden="false" customHeight="false" outlineLevel="0" collapsed="false">
      <c r="A249" s="20" t="n">
        <v>45382</v>
      </c>
      <c r="B249" s="30" t="n">
        <f aca="false">IF(ISNUMBER(Tabelle1!D250),Tabelle1!D250,"")</f>
        <v>142.11453</v>
      </c>
      <c r="C249" s="23" t="n">
        <f aca="false">IF(ISNUMBER(Tabelle1!E250),Tabelle1!E250/'SF Workings'!F249,"")</f>
        <v>117.068535336759</v>
      </c>
      <c r="D249" s="23" t="n">
        <f aca="false">IF(ISNUMBER(Tabelle1!F250),Tabelle1!F250/'SF Workings'!J249,"")</f>
        <v>166.947868834405</v>
      </c>
      <c r="E249" s="23" t="n">
        <f aca="false">IF(ISNUMBER(Tabelle1!G250),Tabelle1!G250/'SF Workings'!N249,"")</f>
        <v>109.918913783329</v>
      </c>
      <c r="F249" s="23" t="n">
        <f aca="false">IF(ISNUMBER(Tabelle1!H250),Tabelle1!H250/'SF Workings'!R249,"")</f>
        <v>111.804925460787</v>
      </c>
      <c r="G249" s="23" t="n">
        <f aca="false">IF(ISNUMBER(Tabelle1!I250),Tabelle1!I250/'SF Workings'!V249,"")</f>
        <v>149.071139588242</v>
      </c>
      <c r="H249" s="23" t="n">
        <f aca="false">IF(ISNUMBER(Tabelle1!J250),Tabelle1!J250/'SF Workings'!Z249,"")</f>
        <v>118.26936194759</v>
      </c>
      <c r="I249" s="23" t="n">
        <f aca="false">IF(ISNUMBER(Tabelle1!K250),Tabelle1!K250/'SF Workings'!AD249,"")</f>
        <v>141.804173545585</v>
      </c>
      <c r="J249" s="23" t="n">
        <f aca="false">IF(ISNUMBER(Tabelle1!L250),Tabelle1!L250/'SF Workings'!AH249,"")</f>
        <v>147.858132855834</v>
      </c>
      <c r="K249" s="23" t="n">
        <f aca="false">IF(ISNUMBER(Tabelle1!M250),Tabelle1!M250/'SF Workings'!AL249,"")</f>
        <v>180.339787112785</v>
      </c>
      <c r="L249" s="23" t="n">
        <f aca="false">IF(ISNUMBER(Tabelle1!N250),Tabelle1!N250/'SF Workings'!AP249,"")</f>
        <v>142.873774940165</v>
      </c>
      <c r="M249" s="23" t="n">
        <f aca="false">IF(ISNUMBER(Tabelle1!O250),Tabelle1!O250/'SF Workings'!AT249,"")</f>
        <v>149.934753965619</v>
      </c>
      <c r="N249" s="23" t="n">
        <f aca="false">IF(ISNUMBER(Tabelle1!P250),Tabelle1!P250/'SF Workings'!AX249,"")</f>
        <v>162.169617372768</v>
      </c>
      <c r="O249" s="23" t="n">
        <f aca="false">IF(ISNUMBER(Tabelle1!Q250),Tabelle1!Q250/'SF Workings'!BB249,"")</f>
        <v>170.563470370154</v>
      </c>
      <c r="P249" s="23" t="n">
        <f aca="false">IF(ISNUMBER(Tabelle1!R250),Tabelle1!R250/'SF Workings'!BF249,"")</f>
        <v>186.503674176315</v>
      </c>
      <c r="Q249" s="23" t="n">
        <f aca="false">IF(ISNUMBER(Tabelle1!S250),Tabelle1!S250/'SF Workings'!BJ249,"")</f>
        <v>125.362361354747</v>
      </c>
      <c r="R249" s="23" t="n">
        <f aca="false">IFERROR(C249*'Weights &amp; Assumptions'!$F$6+D249*'Weights &amp; Assumptions'!$F$7,"")</f>
        <v>117.67968365246</v>
      </c>
      <c r="S249" s="23" t="n">
        <f aca="false">IFERROR(E249*'Weights &amp; Assumptions'!$F$8+F249*'Weights &amp; Assumptions'!$F$9+H249*'Weights &amp; Assumptions'!$F$11,"")</f>
        <v>112.926434788099</v>
      </c>
      <c r="T249" s="23" t="n">
        <f aca="false">IFERROR(G249*'Weights &amp; Assumptions'!$F$10+I249*'Weights &amp; Assumptions'!$F$12+J249*'Weights &amp; Assumptions'!$F$13+K249*'Weights &amp; Assumptions'!$F$14+L249*'Weights &amp; Assumptions'!$F$15+M249*'Weights &amp; Assumptions'!$F$16+N249*'Weights &amp; Assumptions'!$F$17+O249*'Weights &amp; Assumptions'!$F$18+P249*'Weights &amp; Assumptions'!$F$19+Q249*'Weights &amp; Assumptions'!$F$20,"")</f>
        <v>156.042378693566</v>
      </c>
      <c r="U249" s="23" t="n">
        <f aca="false">IFERROR(R249*'Weights &amp; Assumptions'!$B$25/'Weights &amp; Assumptions'!$B$28+S249*'Weights &amp; Assumptions'!$B$26/'Weights &amp; Assumptions'!$B$28+T249*'Weights &amp; Assumptions'!$B$27/'Weights &amp; Assumptions'!$B$28,"")</f>
        <v>141.358434013357</v>
      </c>
      <c r="V249" s="30" t="n">
        <f aca="false">IF(ISNUMBER(Tabelle1!E250),Tabelle1!E250*'Weights &amp; Assumptions'!$F$6+Tabelle1!F250*'Weights &amp; Assumptions'!$F$7,"")</f>
        <v>137.217784607096</v>
      </c>
      <c r="W249" s="30" t="n">
        <f aca="false">IF(ISNUMBER(Tabelle1!G250),Tabelle1!G250*'Weights &amp; Assumptions'!$F$8+Tabelle1!H250*'Weights &amp; Assumptions'!$F$9+Tabelle1!J250*'Weights &amp; Assumptions'!$F$11,"")</f>
        <v>112.780761010537</v>
      </c>
      <c r="X249" s="30" t="n">
        <f aca="false">IF(ISNUMBER(Tabelle1!I250),Tabelle1!I250*'Weights &amp; Assumptions'!$F$10+Tabelle1!K250*'Weights &amp; Assumptions'!$F$12+Tabelle1!L250*'Weights &amp; Assumptions'!$F$13+Tabelle1!M250*'Weights &amp; Assumptions'!$F$14+Tabelle1!N250*'Weights &amp; Assumptions'!$F$15+Tabelle1!O250*'Weights &amp; Assumptions'!$F$16+Tabelle1!P250*'Weights &amp; Assumptions'!$F$17+Tabelle1!Q250*'Weights &amp; Assumptions'!$F$18+Tabelle1!R250*'Weights &amp; Assumptions'!$F$19+Tabelle1!S250*'Weights &amp; Assumptions'!$F$20,"")</f>
        <v>157.518386218495</v>
      </c>
      <c r="Y249" s="23" t="n">
        <f aca="false">IFERROR(V249*'Weights &amp; Assumptions'!$B$25/'Weights &amp; Assumptions'!$B$28+W249*'Weights &amp; Assumptions'!$B$26/'Weights &amp; Assumptions'!$B$28+X249*'Weights &amp; Assumptions'!$B$27/'Weights &amp; Assumptions'!$B$28,"")</f>
        <v>143.918632822154</v>
      </c>
    </row>
    <row r="250" customFormat="false" ht="15" hidden="false" customHeight="false" outlineLevel="0" collapsed="false">
      <c r="A250" s="20" t="n">
        <v>45412</v>
      </c>
      <c r="B250" s="30" t="n">
        <f aca="false">IF(ISNUMBER(Tabelle1!D251),Tabelle1!D251,"")</f>
        <v>141.05612</v>
      </c>
      <c r="C250" s="23" t="n">
        <f aca="false">IF(ISNUMBER(Tabelle1!E251),Tabelle1!E251/'SF Workings'!F250,"")</f>
        <v>126.256277884678</v>
      </c>
      <c r="D250" s="23" t="n">
        <f aca="false">IF(ISNUMBER(Tabelle1!F251),Tabelle1!F251/'SF Workings'!J250,"")</f>
        <v>207.480179277126</v>
      </c>
      <c r="E250" s="23" t="n">
        <f aca="false">IF(ISNUMBER(Tabelle1!G251),Tabelle1!G251/'SF Workings'!N250,"")</f>
        <v>115.273962095832</v>
      </c>
      <c r="F250" s="23" t="n">
        <f aca="false">IF(ISNUMBER(Tabelle1!H251),Tabelle1!H251/'SF Workings'!R250,"")</f>
        <v>117.082217476749</v>
      </c>
      <c r="G250" s="23" t="n">
        <f aca="false">IF(ISNUMBER(Tabelle1!I251),Tabelle1!I251/'SF Workings'!V250,"")</f>
        <v>150.767746781578</v>
      </c>
      <c r="H250" s="23" t="n">
        <f aca="false">IF(ISNUMBER(Tabelle1!J251),Tabelle1!J251/'SF Workings'!Z250,"")</f>
        <v>129.244681617613</v>
      </c>
      <c r="I250" s="23" t="n">
        <f aca="false">IF(ISNUMBER(Tabelle1!K251),Tabelle1!K251/'SF Workings'!AD250,"")</f>
        <v>142.894942942145</v>
      </c>
      <c r="J250" s="23" t="n">
        <f aca="false">IF(ISNUMBER(Tabelle1!L251),Tabelle1!L251/'SF Workings'!AH250,"")</f>
        <v>152.040710745008</v>
      </c>
      <c r="K250" s="23" t="n">
        <f aca="false">IF(ISNUMBER(Tabelle1!M251),Tabelle1!M251/'SF Workings'!AL250,"")</f>
        <v>184.972644888093</v>
      </c>
      <c r="L250" s="23" t="n">
        <f aca="false">IF(ISNUMBER(Tabelle1!N251),Tabelle1!N251/'SF Workings'!AP250,"")</f>
        <v>149.686233461575</v>
      </c>
      <c r="M250" s="23" t="n">
        <f aca="false">IF(ISNUMBER(Tabelle1!O251),Tabelle1!O251/'SF Workings'!AT250,"")</f>
        <v>154.099462106033</v>
      </c>
      <c r="N250" s="23" t="n">
        <f aca="false">IF(ISNUMBER(Tabelle1!P251),Tabelle1!P251/'SF Workings'!AX250,"")</f>
        <v>165.678478927197</v>
      </c>
      <c r="O250" s="23" t="n">
        <f aca="false">IF(ISNUMBER(Tabelle1!Q251),Tabelle1!Q251/'SF Workings'!BB250,"")</f>
        <v>173.256626474718</v>
      </c>
      <c r="P250" s="23" t="n">
        <f aca="false">IF(ISNUMBER(Tabelle1!R251),Tabelle1!R251/'SF Workings'!BF250,"")</f>
        <v>195.4389515252</v>
      </c>
      <c r="Q250" s="23" t="n">
        <f aca="false">IF(ISNUMBER(Tabelle1!S251),Tabelle1!S251/'SF Workings'!BJ250,"")</f>
        <v>140.632408655587</v>
      </c>
      <c r="R250" s="23" t="n">
        <f aca="false">IFERROR(C250*'Weights &amp; Assumptions'!$F$6+D250*'Weights &amp; Assumptions'!$F$7,"")</f>
        <v>127.251476638345</v>
      </c>
      <c r="S250" s="23" t="n">
        <f aca="false">IFERROR(E250*'Weights &amp; Assumptions'!$F$8+F250*'Weights &amp; Assumptions'!$F$9+H250*'Weights &amp; Assumptions'!$F$11,"")</f>
        <v>119.400044467277</v>
      </c>
      <c r="T250" s="23" t="n">
        <f aca="false">IFERROR(G250*'Weights &amp; Assumptions'!$F$10+I250*'Weights &amp; Assumptions'!$F$12+J250*'Weights &amp; Assumptions'!$F$13+K250*'Weights &amp; Assumptions'!$F$14+L250*'Weights &amp; Assumptions'!$F$15+M250*'Weights &amp; Assumptions'!$F$16+N250*'Weights &amp; Assumptions'!$F$17+O250*'Weights &amp; Assumptions'!$F$18+P250*'Weights &amp; Assumptions'!$F$19+Q250*'Weights &amp; Assumptions'!$F$20,"")</f>
        <v>160.567750109375</v>
      </c>
      <c r="U250" s="23" t="n">
        <f aca="false">IFERROR(R250*'Weights &amp; Assumptions'!$B$25/'Weights &amp; Assumptions'!$B$28+S250*'Weights &amp; Assumptions'!$B$26/'Weights &amp; Assumptions'!$B$28+T250*'Weights &amp; Assumptions'!$B$27/'Weights &amp; Assumptions'!$B$28,"")</f>
        <v>146.825274984897</v>
      </c>
      <c r="V250" s="30" t="n">
        <f aca="false">IF(ISNUMBER(Tabelle1!E251),Tabelle1!E251*'Weights &amp; Assumptions'!$F$6+Tabelle1!F251*'Weights &amp; Assumptions'!$F$7,"")</f>
        <v>199.715704078378</v>
      </c>
      <c r="W250" s="30" t="n">
        <f aca="false">IF(ISNUMBER(Tabelle1!G251),Tabelle1!G251*'Weights &amp; Assumptions'!$F$8+Tabelle1!H251*'Weights &amp; Assumptions'!$F$9+Tabelle1!J251*'Weights &amp; Assumptions'!$F$11,"")</f>
        <v>110.969528302635</v>
      </c>
      <c r="X250" s="30" t="n">
        <f aca="false">IF(ISNUMBER(Tabelle1!I251),Tabelle1!I251*'Weights &amp; Assumptions'!$F$10+Tabelle1!K251*'Weights &amp; Assumptions'!$F$12+Tabelle1!L251*'Weights &amp; Assumptions'!$F$13+Tabelle1!M251*'Weights &amp; Assumptions'!$F$14+Tabelle1!N251*'Weights &amp; Assumptions'!$F$15+Tabelle1!O251*'Weights &amp; Assumptions'!$F$16+Tabelle1!P251*'Weights &amp; Assumptions'!$F$17+Tabelle1!Q251*'Weights &amp; Assumptions'!$F$18+Tabelle1!R251*'Weights &amp; Assumptions'!$F$19+Tabelle1!S251*'Weights &amp; Assumptions'!$F$20,"")</f>
        <v>155.303398046781</v>
      </c>
      <c r="Y250" s="23" t="n">
        <f aca="false">IFERROR(V250*'Weights &amp; Assumptions'!$B$25/'Weights &amp; Assumptions'!$B$28+W250*'Weights &amp; Assumptions'!$B$26/'Weights &amp; Assumptions'!$B$28+X250*'Weights &amp; Assumptions'!$B$27/'Weights &amp; Assumptions'!$B$28,"")</f>
        <v>147.240477086356</v>
      </c>
    </row>
    <row r="251" customFormat="false" ht="15" hidden="false" customHeight="false" outlineLevel="0" collapsed="false">
      <c r="A251" s="20" t="n">
        <v>45443</v>
      </c>
      <c r="B251" s="30" t="n">
        <f aca="false">IF(ISNUMBER(Tabelle1!D252),Tabelle1!D252,"")</f>
        <v>142.8362</v>
      </c>
      <c r="C251" s="23" t="n">
        <f aca="false">IF(ISNUMBER(Tabelle1!E252),Tabelle1!E252/'SF Workings'!F251,"")</f>
        <v>129.156959584606</v>
      </c>
      <c r="D251" s="23" t="n">
        <f aca="false">IF(ISNUMBER(Tabelle1!F252),Tabelle1!F252/'SF Workings'!J251,"")</f>
        <v>144.486501116437</v>
      </c>
      <c r="E251" s="23" t="n">
        <f aca="false">IF(ISNUMBER(Tabelle1!G252),Tabelle1!G252/'SF Workings'!N251,"")</f>
        <v>114.9765032389</v>
      </c>
      <c r="F251" s="23" t="n">
        <f aca="false">IF(ISNUMBER(Tabelle1!H252),Tabelle1!H252/'SF Workings'!R251,"")</f>
        <v>116.792091239912</v>
      </c>
      <c r="G251" s="23" t="n">
        <f aca="false">IF(ISNUMBER(Tabelle1!I252),Tabelle1!I252/'SF Workings'!V251,"")</f>
        <v>159.920755209275</v>
      </c>
      <c r="H251" s="23" t="n">
        <f aca="false">IF(ISNUMBER(Tabelle1!J252),Tabelle1!J252/'SF Workings'!Z251,"")</f>
        <v>128.45116479071</v>
      </c>
      <c r="I251" s="23" t="n">
        <f aca="false">IF(ISNUMBER(Tabelle1!K252),Tabelle1!K252/'SF Workings'!AD251,"")</f>
        <v>146.348712159053</v>
      </c>
      <c r="J251" s="23" t="n">
        <f aca="false">IF(ISNUMBER(Tabelle1!L252),Tabelle1!L252/'SF Workings'!AH251,"")</f>
        <v>160.815752405018</v>
      </c>
      <c r="K251" s="23" t="n">
        <f aca="false">IF(ISNUMBER(Tabelle1!M252),Tabelle1!M252/'SF Workings'!AL251,"")</f>
        <v>184.974324361073</v>
      </c>
      <c r="L251" s="23" t="n">
        <f aca="false">IF(ISNUMBER(Tabelle1!N252),Tabelle1!N252/'SF Workings'!AP251,"")</f>
        <v>150.670953018047</v>
      </c>
      <c r="M251" s="23" t="n">
        <f aca="false">IF(ISNUMBER(Tabelle1!O252),Tabelle1!O252/'SF Workings'!AT251,"")</f>
        <v>155.242212692468</v>
      </c>
      <c r="N251" s="23" t="n">
        <f aca="false">IF(ISNUMBER(Tabelle1!P252),Tabelle1!P252/'SF Workings'!AX251,"")</f>
        <v>165.274392274754</v>
      </c>
      <c r="O251" s="23" t="n">
        <f aca="false">IF(ISNUMBER(Tabelle1!Q252),Tabelle1!Q252/'SF Workings'!BB251,"")</f>
        <v>172.504704594772</v>
      </c>
      <c r="P251" s="23" t="n">
        <f aca="false">IF(ISNUMBER(Tabelle1!R252),Tabelle1!R252/'SF Workings'!BF251,"")</f>
        <v>189.000855253515</v>
      </c>
      <c r="Q251" s="23" t="n">
        <f aca="false">IF(ISNUMBER(Tabelle1!S252),Tabelle1!S252/'SF Workings'!BJ251,"")</f>
        <v>137.009910509922</v>
      </c>
      <c r="R251" s="23" t="n">
        <f aca="false">IFERROR(C251*'Weights &amp; Assumptions'!$F$6+D251*'Weights &amp; Assumptions'!$F$7,"")</f>
        <v>129.344785339898</v>
      </c>
      <c r="S251" s="23" t="n">
        <f aca="false">IFERROR(E251*'Weights &amp; Assumptions'!$F$8+F251*'Weights &amp; Assumptions'!$F$9+H251*'Weights &amp; Assumptions'!$F$11,"")</f>
        <v>119.004174583129</v>
      </c>
      <c r="T251" s="23" t="n">
        <f aca="false">IFERROR(G251*'Weights &amp; Assumptions'!$F$10+I251*'Weights &amp; Assumptions'!$F$12+J251*'Weights &amp; Assumptions'!$F$13+K251*'Weights &amp; Assumptions'!$F$14+L251*'Weights &amp; Assumptions'!$F$15+M251*'Weights &amp; Assumptions'!$F$16+N251*'Weights &amp; Assumptions'!$F$17+O251*'Weights &amp; Assumptions'!$F$18+P251*'Weights &amp; Assumptions'!$F$19+Q251*'Weights &amp; Assumptions'!$F$20,"")</f>
        <v>161.48782850227</v>
      </c>
      <c r="U251" s="23" t="n">
        <f aca="false">IFERROR(R251*'Weights &amp; Assumptions'!$B$25/'Weights &amp; Assumptions'!$B$28+S251*'Weights &amp; Assumptions'!$B$26/'Weights &amp; Assumptions'!$B$28+T251*'Weights &amp; Assumptions'!$B$27/'Weights &amp; Assumptions'!$B$28,"")</f>
        <v>147.493854742981</v>
      </c>
      <c r="V251" s="30" t="n">
        <f aca="false">IF(ISNUMBER(Tabelle1!E252),Tabelle1!E252*'Weights &amp; Assumptions'!$F$6+Tabelle1!F252*'Weights &amp; Assumptions'!$F$7,"")</f>
        <v>269.762240275205</v>
      </c>
      <c r="W251" s="30" t="n">
        <f aca="false">IF(ISNUMBER(Tabelle1!G252),Tabelle1!G252*'Weights &amp; Assumptions'!$F$8+Tabelle1!H252*'Weights &amp; Assumptions'!$F$9+Tabelle1!J252*'Weights &amp; Assumptions'!$F$11,"")</f>
        <v>115.379751716582</v>
      </c>
      <c r="X251" s="30" t="n">
        <f aca="false">IF(ISNUMBER(Tabelle1!I252),Tabelle1!I252*'Weights &amp; Assumptions'!$F$10+Tabelle1!K252*'Weights &amp; Assumptions'!$F$12+Tabelle1!L252*'Weights &amp; Assumptions'!$F$13+Tabelle1!M252*'Weights &amp; Assumptions'!$F$14+Tabelle1!N252*'Weights &amp; Assumptions'!$F$15+Tabelle1!O252*'Weights &amp; Assumptions'!$F$16+Tabelle1!P252*'Weights &amp; Assumptions'!$F$17+Tabelle1!Q252*'Weights &amp; Assumptions'!$F$18+Tabelle1!R252*'Weights &amp; Assumptions'!$F$19+Tabelle1!S252*'Weights &amp; Assumptions'!$F$20,"")</f>
        <v>160.076523741208</v>
      </c>
      <c r="Y251" s="23" t="n">
        <f aca="false">IFERROR(V251*'Weights &amp; Assumptions'!$B$25/'Weights &amp; Assumptions'!$B$28+W251*'Weights &amp; Assumptions'!$B$26/'Weights &amp; Assumptions'!$B$28+X251*'Weights &amp; Assumptions'!$B$27/'Weights &amp; Assumptions'!$B$28,"")</f>
        <v>157.393594186742</v>
      </c>
    </row>
    <row r="252" customFormat="false" ht="15" hidden="false" customHeight="false" outlineLevel="0" collapsed="false">
      <c r="A252" s="20" t="n">
        <v>45473</v>
      </c>
      <c r="B252" s="30" t="n">
        <f aca="false">IF(ISNUMBER(Tabelle1!D253),Tabelle1!D253,"")</f>
        <v>143.71875</v>
      </c>
      <c r="C252" s="23" t="n">
        <f aca="false">IF(ISNUMBER(Tabelle1!E253),Tabelle1!E253/'SF Workings'!F252,"")</f>
        <v>128.412309240083</v>
      </c>
      <c r="D252" s="23" t="n">
        <f aca="false">IF(ISNUMBER(Tabelle1!F253),Tabelle1!F253/'SF Workings'!J252,"")</f>
        <v>271.213656652847</v>
      </c>
      <c r="E252" s="23" t="n">
        <f aca="false">IF(ISNUMBER(Tabelle1!G253),Tabelle1!G253/'SF Workings'!N252,"")</f>
        <v>110.873634748701</v>
      </c>
      <c r="F252" s="23" t="n">
        <f aca="false">IF(ISNUMBER(Tabelle1!H253),Tabelle1!H253/'SF Workings'!R252,"")</f>
        <v>105.495670069344</v>
      </c>
      <c r="G252" s="23" t="n">
        <f aca="false">IF(ISNUMBER(Tabelle1!I253),Tabelle1!I253/'SF Workings'!V252,"")</f>
        <v>140.48934076494</v>
      </c>
      <c r="H252" s="23" t="n">
        <f aca="false">IF(ISNUMBER(Tabelle1!J253),Tabelle1!J253/'SF Workings'!Z252,"")</f>
        <v>120.963059214685</v>
      </c>
      <c r="I252" s="23" t="n">
        <f aca="false">IF(ISNUMBER(Tabelle1!K253),Tabelle1!K253/'SF Workings'!AD252,"")</f>
        <v>136.735724851248</v>
      </c>
      <c r="J252" s="23" t="n">
        <f aca="false">IF(ISNUMBER(Tabelle1!L253),Tabelle1!L253/'SF Workings'!AH252,"")</f>
        <v>164.387632568228</v>
      </c>
      <c r="K252" s="23" t="n">
        <f aca="false">IF(ISNUMBER(Tabelle1!M253),Tabelle1!M253/'SF Workings'!AL252,"")</f>
        <v>181.748318876594</v>
      </c>
      <c r="L252" s="23" t="n">
        <f aca="false">IF(ISNUMBER(Tabelle1!N253),Tabelle1!N253/'SF Workings'!AP252,"")</f>
        <v>148.08962530302</v>
      </c>
      <c r="M252" s="23" t="n">
        <f aca="false">IF(ISNUMBER(Tabelle1!O253),Tabelle1!O253/'SF Workings'!AT252,"")</f>
        <v>152.823365589706</v>
      </c>
      <c r="N252" s="23" t="n">
        <f aca="false">IF(ISNUMBER(Tabelle1!P253),Tabelle1!P253/'SF Workings'!AX252,"")</f>
        <v>164.878374871205</v>
      </c>
      <c r="O252" s="23" t="n">
        <f aca="false">IF(ISNUMBER(Tabelle1!Q253),Tabelle1!Q253/'SF Workings'!BB252,"")</f>
        <v>172.576339646875</v>
      </c>
      <c r="P252" s="23" t="n">
        <f aca="false">IF(ISNUMBER(Tabelle1!R253),Tabelle1!R253/'SF Workings'!BF252,"")</f>
        <v>187.862688901947</v>
      </c>
      <c r="Q252" s="23" t="n">
        <f aca="false">IF(ISNUMBER(Tabelle1!S253),Tabelle1!S253/'SF Workings'!BJ252,"")</f>
        <v>132.748521408203</v>
      </c>
      <c r="R252" s="23" t="n">
        <f aca="false">IFERROR(C252*'Weights &amp; Assumptions'!$F$6+D252*'Weights &amp; Assumptions'!$F$7,"")</f>
        <v>130.161987851068</v>
      </c>
      <c r="S252" s="23" t="n">
        <f aca="false">IFERROR(E252*'Weights &amp; Assumptions'!$F$8+F252*'Weights &amp; Assumptions'!$F$9+H252*'Weights &amp; Assumptions'!$F$11,"")</f>
        <v>109.360009207928</v>
      </c>
      <c r="T252" s="23" t="n">
        <f aca="false">IFERROR(G252*'Weights &amp; Assumptions'!$F$10+I252*'Weights &amp; Assumptions'!$F$12+J252*'Weights &amp; Assumptions'!$F$13+K252*'Weights &amp; Assumptions'!$F$14+L252*'Weights &amp; Assumptions'!$F$15+M252*'Weights &amp; Assumptions'!$F$16+N252*'Weights &amp; Assumptions'!$F$17+O252*'Weights &amp; Assumptions'!$F$18+P252*'Weights &amp; Assumptions'!$F$19+Q252*'Weights &amp; Assumptions'!$F$20,"")</f>
        <v>157.639675539243</v>
      </c>
      <c r="U252" s="23" t="n">
        <f aca="false">IFERROR(R252*'Weights &amp; Assumptions'!$B$25/'Weights &amp; Assumptions'!$B$28+S252*'Weights &amp; Assumptions'!$B$26/'Weights &amp; Assumptions'!$B$28+T252*'Weights &amp; Assumptions'!$B$27/'Weights &amp; Assumptions'!$B$28,"")</f>
        <v>142.495868040642</v>
      </c>
      <c r="V252" s="30" t="n">
        <f aca="false">IF(ISNUMBER(Tabelle1!E253),Tabelle1!E253*'Weights &amp; Assumptions'!$F$6+Tabelle1!F253*'Weights &amp; Assumptions'!$F$7,"")</f>
        <v>189.491251315956</v>
      </c>
      <c r="W252" s="30" t="n">
        <f aca="false">IF(ISNUMBER(Tabelle1!G253),Tabelle1!G253*'Weights &amp; Assumptions'!$F$8+Tabelle1!H253*'Weights &amp; Assumptions'!$F$9+Tabelle1!J253*'Weights &amp; Assumptions'!$F$11,"")</f>
        <v>109.425560748125</v>
      </c>
      <c r="X252" s="30" t="n">
        <f aca="false">IF(ISNUMBER(Tabelle1!I253),Tabelle1!I253*'Weights &amp; Assumptions'!$F$10+Tabelle1!K253*'Weights &amp; Assumptions'!$F$12+Tabelle1!L253*'Weights &amp; Assumptions'!$F$13+Tabelle1!M253*'Weights &amp; Assumptions'!$F$14+Tabelle1!N253*'Weights &amp; Assumptions'!$F$15+Tabelle1!O253*'Weights &amp; Assumptions'!$F$16+Tabelle1!P253*'Weights &amp; Assumptions'!$F$17+Tabelle1!Q253*'Weights &amp; Assumptions'!$F$18+Tabelle1!R253*'Weights &amp; Assumptions'!$F$19+Tabelle1!S253*'Weights &amp; Assumptions'!$F$20,"")</f>
        <v>159.345419504878</v>
      </c>
      <c r="Y252" s="23" t="n">
        <f aca="false">IFERROR(V252*'Weights &amp; Assumptions'!$B$25/'Weights &amp; Assumptions'!$B$28+W252*'Weights &amp; Assumptions'!$B$26/'Weights &amp; Assumptions'!$B$28+X252*'Weights &amp; Assumptions'!$B$27/'Weights &amp; Assumptions'!$B$28,"")</f>
        <v>148.600117429385</v>
      </c>
    </row>
    <row r="253" customFormat="false" ht="15" hidden="false" customHeight="false" outlineLevel="0" collapsed="false">
      <c r="A253" s="20" t="n">
        <v>45504</v>
      </c>
      <c r="B253" s="30" t="n">
        <f aca="false">IF(ISNUMBER(Tabelle1!D254),Tabelle1!D254,"")</f>
        <v>147.28294</v>
      </c>
      <c r="C253" s="23" t="n">
        <f aca="false">IF(ISNUMBER(Tabelle1!E254),Tabelle1!E254/'SF Workings'!F253,"")</f>
        <v>127.126830903008</v>
      </c>
      <c r="D253" s="23" t="n">
        <f aca="false">IF(ISNUMBER(Tabelle1!F254),Tabelle1!F254/'SF Workings'!J253,"")</f>
        <v>229.149614189279</v>
      </c>
      <c r="E253" s="23" t="n">
        <f aca="false">IF(ISNUMBER(Tabelle1!G254),Tabelle1!G254/'SF Workings'!N253,"")</f>
        <v>111.77498362346</v>
      </c>
      <c r="F253" s="23" t="n">
        <f aca="false">IF(ISNUMBER(Tabelle1!H254),Tabelle1!H254/'SF Workings'!R253,"")</f>
        <v>120.209904000853</v>
      </c>
      <c r="G253" s="23" t="n">
        <f aca="false">IF(ISNUMBER(Tabelle1!I254),Tabelle1!I254/'SF Workings'!V253,"")</f>
        <v>150.850853131735</v>
      </c>
      <c r="H253" s="23" t="n">
        <f aca="false">IF(ISNUMBER(Tabelle1!J254),Tabelle1!J254/'SF Workings'!Z253,"")</f>
        <v>127.900539966015</v>
      </c>
      <c r="I253" s="23" t="n">
        <f aca="false">IF(ISNUMBER(Tabelle1!K254),Tabelle1!K254/'SF Workings'!AD253,"")</f>
        <v>150.235545668966</v>
      </c>
      <c r="J253" s="23" t="n">
        <f aca="false">IF(ISNUMBER(Tabelle1!L254),Tabelle1!L254/'SF Workings'!AH253,"")</f>
        <v>168.845782424682</v>
      </c>
      <c r="K253" s="23" t="n">
        <f aca="false">IF(ISNUMBER(Tabelle1!M254),Tabelle1!M254/'SF Workings'!AL253,"")</f>
        <v>185.509296686239</v>
      </c>
      <c r="L253" s="23" t="n">
        <f aca="false">IF(ISNUMBER(Tabelle1!N254),Tabelle1!N254/'SF Workings'!AP253,"")</f>
        <v>161.117753189668</v>
      </c>
      <c r="M253" s="23" t="n">
        <f aca="false">IF(ISNUMBER(Tabelle1!O254),Tabelle1!O254/'SF Workings'!AT253,"")</f>
        <v>153.330937026265</v>
      </c>
      <c r="N253" s="23" t="n">
        <f aca="false">IF(ISNUMBER(Tabelle1!P254),Tabelle1!P254/'SF Workings'!AX253,"")</f>
        <v>163.716978455664</v>
      </c>
      <c r="O253" s="23" t="n">
        <f aca="false">IF(ISNUMBER(Tabelle1!Q254),Tabelle1!Q254/'SF Workings'!BB253,"")</f>
        <v>171.897645100146</v>
      </c>
      <c r="P253" s="23" t="n">
        <f aca="false">IF(ISNUMBER(Tabelle1!R254),Tabelle1!R254/'SF Workings'!BF253,"")</f>
        <v>184.956310497198</v>
      </c>
      <c r="Q253" s="23" t="n">
        <f aca="false">IF(ISNUMBER(Tabelle1!S254),Tabelle1!S254/'SF Workings'!BJ253,"")</f>
        <v>133.82638670684</v>
      </c>
      <c r="R253" s="23" t="n">
        <f aca="false">IFERROR(C253*'Weights &amp; Assumptions'!$F$6+D253*'Weights &amp; Assumptions'!$F$7,"")</f>
        <v>128.376868700153</v>
      </c>
      <c r="S253" s="23" t="n">
        <f aca="false">IFERROR(E253*'Weights &amp; Assumptions'!$F$8+F253*'Weights &amp; Assumptions'!$F$9+H253*'Weights &amp; Assumptions'!$F$11,"")</f>
        <v>120.804934944903</v>
      </c>
      <c r="T253" s="23" t="n">
        <f aca="false">IFERROR(G253*'Weights &amp; Assumptions'!$F$10+I253*'Weights &amp; Assumptions'!$F$12+J253*'Weights &amp; Assumptions'!$F$13+K253*'Weights &amp; Assumptions'!$F$14+L253*'Weights &amp; Assumptions'!$F$15+M253*'Weights &amp; Assumptions'!$F$16+N253*'Weights &amp; Assumptions'!$F$17+O253*'Weights &amp; Assumptions'!$F$18+P253*'Weights &amp; Assumptions'!$F$19+Q253*'Weights &amp; Assumptions'!$F$20,"")</f>
        <v>162.22022219469</v>
      </c>
      <c r="U253" s="23" t="n">
        <f aca="false">IFERROR(R253*'Weights &amp; Assumptions'!$B$25/'Weights &amp; Assumptions'!$B$28+S253*'Weights &amp; Assumptions'!$B$26/'Weights &amp; Assumptions'!$B$28+T253*'Weights &amp; Assumptions'!$B$27/'Weights &amp; Assumptions'!$B$28,"")</f>
        <v>148.367688343323</v>
      </c>
      <c r="V253" s="30" t="n">
        <f aca="false">IF(ISNUMBER(Tabelle1!E254),Tabelle1!E254*'Weights &amp; Assumptions'!$F$6+Tabelle1!F254*'Weights &amp; Assumptions'!$F$7,"")</f>
        <v>119.253061420007</v>
      </c>
      <c r="W253" s="30" t="n">
        <f aca="false">IF(ISNUMBER(Tabelle1!G254),Tabelle1!G254*'Weights &amp; Assumptions'!$F$8+Tabelle1!H254*'Weights &amp; Assumptions'!$F$9+Tabelle1!J254*'Weights &amp; Assumptions'!$F$11,"")</f>
        <v>125.591850996924</v>
      </c>
      <c r="X253" s="30" t="n">
        <f aca="false">IF(ISNUMBER(Tabelle1!I254),Tabelle1!I254*'Weights &amp; Assumptions'!$F$10+Tabelle1!K254*'Weights &amp; Assumptions'!$F$12+Tabelle1!L254*'Weights &amp; Assumptions'!$F$13+Tabelle1!M254*'Weights &amp; Assumptions'!$F$14+Tabelle1!N254*'Weights &amp; Assumptions'!$F$15+Tabelle1!O254*'Weights &amp; Assumptions'!$F$16+Tabelle1!P254*'Weights &amp; Assumptions'!$F$17+Tabelle1!Q254*'Weights &amp; Assumptions'!$F$18+Tabelle1!R254*'Weights &amp; Assumptions'!$F$19+Tabelle1!S254*'Weights &amp; Assumptions'!$F$20,"")</f>
        <v>162.670843343105</v>
      </c>
      <c r="Y253" s="23" t="n">
        <f aca="false">IFERROR(V253*'Weights &amp; Assumptions'!$B$25/'Weights &amp; Assumptions'!$B$28+W253*'Weights &amp; Assumptions'!$B$26/'Weights &amp; Assumptions'!$B$28+X253*'Weights &amp; Assumptions'!$B$27/'Weights &amp; Assumptions'!$B$28,"")</f>
        <v>149.168103540743</v>
      </c>
    </row>
    <row r="254" customFormat="false" ht="15" hidden="false" customHeight="false" outlineLevel="0" collapsed="false">
      <c r="A254" s="20" t="n">
        <v>45535</v>
      </c>
      <c r="B254" s="30" t="n">
        <f aca="false">IF(ISNUMBER(Tabelle1!D255),Tabelle1!D255,"")</f>
        <v>147.7746</v>
      </c>
      <c r="C254" s="23" t="n">
        <f aca="false">IF(ISNUMBER(Tabelle1!E255),Tabelle1!E255/'SF Workings'!F254,"")</f>
        <v>123.604205385068</v>
      </c>
      <c r="D254" s="23" t="n">
        <f aca="false">IF(ISNUMBER(Tabelle1!F255),Tabelle1!F255/'SF Workings'!J254,"")</f>
        <v>173.640515728595</v>
      </c>
      <c r="E254" s="23" t="n">
        <f aca="false">IF(ISNUMBER(Tabelle1!G255),Tabelle1!G255/'SF Workings'!N254,"")</f>
        <v>113.00673531674</v>
      </c>
      <c r="F254" s="23" t="n">
        <f aca="false">IF(ISNUMBER(Tabelle1!H255),Tabelle1!H255/'SF Workings'!R254,"")</f>
        <v>121.117424847718</v>
      </c>
      <c r="G254" s="23" t="n">
        <f aca="false">IF(ISNUMBER(Tabelle1!I255),Tabelle1!I255/'SF Workings'!V254,"")</f>
        <v>150.16646299119</v>
      </c>
      <c r="H254" s="23" t="n">
        <f aca="false">IF(ISNUMBER(Tabelle1!J255),Tabelle1!J255/'SF Workings'!Z254,"")</f>
        <v>127.342723865097</v>
      </c>
      <c r="I254" s="23" t="n">
        <f aca="false">IF(ISNUMBER(Tabelle1!K255),Tabelle1!K255/'SF Workings'!AD254,"")</f>
        <v>152.339034204268</v>
      </c>
      <c r="J254" s="23" t="n">
        <f aca="false">IF(ISNUMBER(Tabelle1!L255),Tabelle1!L255/'SF Workings'!AH254,"")</f>
        <v>165.701625012447</v>
      </c>
      <c r="K254" s="23" t="n">
        <f aca="false">IF(ISNUMBER(Tabelle1!M255),Tabelle1!M255/'SF Workings'!AL254,"")</f>
        <v>180.829943150763</v>
      </c>
      <c r="L254" s="23" t="n">
        <f aca="false">IF(ISNUMBER(Tabelle1!N255),Tabelle1!N255/'SF Workings'!AP254,"")</f>
        <v>159.146005689634</v>
      </c>
      <c r="M254" s="23" t="n">
        <f aca="false">IF(ISNUMBER(Tabelle1!O255),Tabelle1!O255/'SF Workings'!AT254,"")</f>
        <v>153.436089082906</v>
      </c>
      <c r="N254" s="23" t="n">
        <f aca="false">IF(ISNUMBER(Tabelle1!P255),Tabelle1!P255/'SF Workings'!AX254,"")</f>
        <v>163.455200124704</v>
      </c>
      <c r="O254" s="23" t="n">
        <f aca="false">IF(ISNUMBER(Tabelle1!Q255),Tabelle1!Q255/'SF Workings'!BB254,"")</f>
        <v>171.552444059713</v>
      </c>
      <c r="P254" s="23" t="n">
        <f aca="false">IF(ISNUMBER(Tabelle1!R255),Tabelle1!R255/'SF Workings'!BF254,"")</f>
        <v>184.493840220786</v>
      </c>
      <c r="Q254" s="23" t="n">
        <f aca="false">IF(ISNUMBER(Tabelle1!S255),Tabelle1!S255/'SF Workings'!BJ254,"")</f>
        <v>130.069274276182</v>
      </c>
      <c r="R254" s="23" t="n">
        <f aca="false">IFERROR(C254*'Weights &amp; Assumptions'!$F$6+D254*'Weights &amp; Assumptions'!$F$7,"")</f>
        <v>124.217277065181</v>
      </c>
      <c r="S254" s="23" t="n">
        <f aca="false">IFERROR(E254*'Weights &amp; Assumptions'!$F$8+F254*'Weights &amp; Assumptions'!$F$9+H254*'Weights &amp; Assumptions'!$F$11,"")</f>
        <v>121.445903916669</v>
      </c>
      <c r="T254" s="23" t="n">
        <f aca="false">IFERROR(G254*'Weights &amp; Assumptions'!$F$10+I254*'Weights &amp; Assumptions'!$F$12+J254*'Weights &amp; Assumptions'!$F$13+K254*'Weights &amp; Assumptions'!$F$14+L254*'Weights &amp; Assumptions'!$F$15+M254*'Weights &amp; Assumptions'!$F$16+N254*'Weights &amp; Assumptions'!$F$17+O254*'Weights &amp; Assumptions'!$F$18+P254*'Weights &amp; Assumptions'!$F$19+Q254*'Weights &amp; Assumptions'!$F$20,"")</f>
        <v>161.381921004468</v>
      </c>
      <c r="U254" s="23" t="n">
        <f aca="false">IFERROR(R254*'Weights &amp; Assumptions'!$B$25/'Weights &amp; Assumptions'!$B$28+S254*'Weights &amp; Assumptions'!$B$26/'Weights &amp; Assumptions'!$B$28+T254*'Weights &amp; Assumptions'!$B$27/'Weights &amp; Assumptions'!$B$28,"")</f>
        <v>147.644091897023</v>
      </c>
      <c r="V254" s="30" t="n">
        <f aca="false">IF(ISNUMBER(Tabelle1!E255),Tabelle1!E255*'Weights &amp; Assumptions'!$F$6+Tabelle1!F255*'Weights &amp; Assumptions'!$F$7,"")</f>
        <v>81.3208183588992</v>
      </c>
      <c r="W254" s="30" t="n">
        <f aca="false">IF(ISNUMBER(Tabelle1!G255),Tabelle1!G255*'Weights &amp; Assumptions'!$F$8+Tabelle1!H255*'Weights &amp; Assumptions'!$F$9+Tabelle1!J255*'Weights &amp; Assumptions'!$F$11,"")</f>
        <v>129.128339766507</v>
      </c>
      <c r="X254" s="30" t="n">
        <f aca="false">IF(ISNUMBER(Tabelle1!I255),Tabelle1!I255*'Weights &amp; Assumptions'!$F$10+Tabelle1!K255*'Weights &amp; Assumptions'!$F$12+Tabelle1!L255*'Weights &amp; Assumptions'!$F$13+Tabelle1!M255*'Weights &amp; Assumptions'!$F$14+Tabelle1!N255*'Weights &amp; Assumptions'!$F$15+Tabelle1!O255*'Weights &amp; Assumptions'!$F$16+Tabelle1!P255*'Weights &amp; Assumptions'!$F$17+Tabelle1!Q255*'Weights &amp; Assumptions'!$F$18+Tabelle1!R255*'Weights &amp; Assumptions'!$F$19+Tabelle1!S255*'Weights &amp; Assumptions'!$F$20,"")</f>
        <v>162.857382553266</v>
      </c>
      <c r="Y254" s="23" t="n">
        <f aca="false">IFERROR(V254*'Weights &amp; Assumptions'!$B$25/'Weights &amp; Assumptions'!$B$28+W254*'Weights &amp; Assumptions'!$B$26/'Weights &amp; Assumptions'!$B$28+X254*'Weights &amp; Assumptions'!$B$27/'Weights &amp; Assumptions'!$B$28,"")</f>
        <v>147.047255301279</v>
      </c>
    </row>
    <row r="255" customFormat="false" ht="15" hidden="false" customHeight="false" outlineLevel="0" collapsed="false">
      <c r="A255" s="20" t="n">
        <v>45565</v>
      </c>
      <c r="B255" s="30" t="n">
        <f aca="false">IF(ISNUMBER(Tabelle1!D256),Tabelle1!D256,"")</f>
        <v>147.82665</v>
      </c>
      <c r="C255" s="23" t="n">
        <f aca="false">IF(ISNUMBER(Tabelle1!E256),Tabelle1!E256/'SF Workings'!F255,"")</f>
        <v>122.78643696226</v>
      </c>
      <c r="D255" s="23" t="n">
        <f aca="false">IF(ISNUMBER(Tabelle1!F256),Tabelle1!F256/'SF Workings'!J255,"")</f>
        <v>135.177694864131</v>
      </c>
      <c r="E255" s="23" t="n">
        <f aca="false">IF(ISNUMBER(Tabelle1!G256),Tabelle1!G256/'SF Workings'!N255,"")</f>
        <v>115.511901318803</v>
      </c>
      <c r="F255" s="23" t="n">
        <f aca="false">IF(ISNUMBER(Tabelle1!H256),Tabelle1!H256/'SF Workings'!R255,"")</f>
        <v>118.421635610922</v>
      </c>
      <c r="G255" s="23" t="n">
        <f aca="false">IF(ISNUMBER(Tabelle1!I256),Tabelle1!I256/'SF Workings'!V255,"")</f>
        <v>146.445548294275</v>
      </c>
      <c r="H255" s="23" t="n">
        <f aca="false">IF(ISNUMBER(Tabelle1!J256),Tabelle1!J256/'SF Workings'!Z255,"")</f>
        <v>127.25895656177</v>
      </c>
      <c r="I255" s="23" t="n">
        <f aca="false">IF(ISNUMBER(Tabelle1!K256),Tabelle1!K256/'SF Workings'!AD255,"")</f>
        <v>148.954701212979</v>
      </c>
      <c r="J255" s="23" t="n">
        <f aca="false">IF(ISNUMBER(Tabelle1!L256),Tabelle1!L256/'SF Workings'!AH255,"")</f>
        <v>162.277678157422</v>
      </c>
      <c r="K255" s="23" t="n">
        <f aca="false">IF(ISNUMBER(Tabelle1!M256),Tabelle1!M256/'SF Workings'!AL255,"")</f>
        <v>181.902334355584</v>
      </c>
      <c r="L255" s="23" t="n">
        <f aca="false">IF(ISNUMBER(Tabelle1!N256),Tabelle1!N256/'SF Workings'!AP255,"")</f>
        <v>159.042282251202</v>
      </c>
      <c r="M255" s="23" t="n">
        <f aca="false">IF(ISNUMBER(Tabelle1!O256),Tabelle1!O256/'SF Workings'!AT255,"")</f>
        <v>152.343419832447</v>
      </c>
      <c r="N255" s="23" t="n">
        <f aca="false">IF(ISNUMBER(Tabelle1!P256),Tabelle1!P256/'SF Workings'!AX255,"")</f>
        <v>163.064359590107</v>
      </c>
      <c r="O255" s="23" t="n">
        <f aca="false">IF(ISNUMBER(Tabelle1!Q256),Tabelle1!Q256/'SF Workings'!BB255,"")</f>
        <v>170.907370414589</v>
      </c>
      <c r="P255" s="23" t="n">
        <f aca="false">IF(ISNUMBER(Tabelle1!R256),Tabelle1!R256/'SF Workings'!BF255,"")</f>
        <v>183.227940386937</v>
      </c>
      <c r="Q255" s="23" t="n">
        <f aca="false">IF(ISNUMBER(Tabelle1!S256),Tabelle1!S256/'SF Workings'!BJ255,"")</f>
        <v>127.261922362275</v>
      </c>
      <c r="R255" s="23" t="n">
        <f aca="false">IFERROR(C255*'Weights &amp; Assumptions'!$F$6+D255*'Weights &amp; Assumptions'!$F$7,"")</f>
        <v>122.938261292401</v>
      </c>
      <c r="S255" s="23" t="n">
        <f aca="false">IFERROR(E255*'Weights &amp; Assumptions'!$F$8+F255*'Weights &amp; Assumptions'!$F$9+H255*'Weights &amp; Assumptions'!$F$11,"")</f>
        <v>119.915242681294</v>
      </c>
      <c r="T255" s="23" t="n">
        <f aca="false">IFERROR(G255*'Weights &amp; Assumptions'!$F$10+I255*'Weights &amp; Assumptions'!$F$12+J255*'Weights &amp; Assumptions'!$F$13+K255*'Weights &amp; Assumptions'!$F$14+L255*'Weights &amp; Assumptions'!$F$15+M255*'Weights &amp; Assumptions'!$F$16+N255*'Weights &amp; Assumptions'!$F$17+O255*'Weights &amp; Assumptions'!$F$18+P255*'Weights &amp; Assumptions'!$F$19+Q255*'Weights &amp; Assumptions'!$F$20,"")</f>
        <v>160.02260152354</v>
      </c>
      <c r="U255" s="23" t="n">
        <f aca="false">IFERROR(R255*'Weights &amp; Assumptions'!$B$25/'Weights &amp; Assumptions'!$B$28+S255*'Weights &amp; Assumptions'!$B$26/'Weights &amp; Assumptions'!$B$28+T255*'Weights &amp; Assumptions'!$B$27/'Weights &amp; Assumptions'!$B$28,"")</f>
        <v>146.245947198504</v>
      </c>
      <c r="V255" s="30" t="n">
        <f aca="false">IF(ISNUMBER(Tabelle1!E256),Tabelle1!E256*'Weights &amp; Assumptions'!$F$6+Tabelle1!F256*'Weights &amp; Assumptions'!$F$7,"")</f>
        <v>75.8078484029988</v>
      </c>
      <c r="W255" s="30" t="n">
        <f aca="false">IF(ISNUMBER(Tabelle1!G256),Tabelle1!G256*'Weights &amp; Assumptions'!$F$8+Tabelle1!H256*'Weights &amp; Assumptions'!$F$9+Tabelle1!J256*'Weights &amp; Assumptions'!$F$11,"")</f>
        <v>125.96642874984</v>
      </c>
      <c r="X255" s="30" t="n">
        <f aca="false">IF(ISNUMBER(Tabelle1!I256),Tabelle1!I256*'Weights &amp; Assumptions'!$F$10+Tabelle1!K256*'Weights &amp; Assumptions'!$F$12+Tabelle1!L256*'Weights &amp; Assumptions'!$F$13+Tabelle1!M256*'Weights &amp; Assumptions'!$F$14+Tabelle1!N256*'Weights &amp; Assumptions'!$F$15+Tabelle1!O256*'Weights &amp; Assumptions'!$F$16+Tabelle1!P256*'Weights &amp; Assumptions'!$F$17+Tabelle1!Q256*'Weights &amp; Assumptions'!$F$18+Tabelle1!R256*'Weights &amp; Assumptions'!$F$19+Tabelle1!S256*'Weights &amp; Assumptions'!$F$20,"")</f>
        <v>160.269322952676</v>
      </c>
      <c r="Y255" s="23" t="n">
        <f aca="false">IFERROR(V255*'Weights &amp; Assumptions'!$B$25/'Weights &amp; Assumptions'!$B$28+W255*'Weights &amp; Assumptions'!$B$26/'Weights &amp; Assumptions'!$B$28+X255*'Weights &amp; Assumptions'!$B$27/'Weights &amp; Assumptions'!$B$28,"")</f>
        <v>144.061196172108</v>
      </c>
    </row>
    <row r="256" customFormat="false" ht="15" hidden="false" customHeight="false" outlineLevel="0" collapsed="false">
      <c r="A256" s="20" t="n">
        <v>45596</v>
      </c>
      <c r="B256" s="30" t="n">
        <f aca="false">IF(ISNUMBER(Tabelle1!D257),Tabelle1!D257,"")</f>
        <v>149.04702</v>
      </c>
      <c r="C256" s="23" t="n">
        <f aca="false">IF(ISNUMBER(Tabelle1!E257),Tabelle1!E257/'SF Workings'!F256,"")</f>
        <v>119.119276398546</v>
      </c>
      <c r="D256" s="23" t="n">
        <f aca="false">IF(ISNUMBER(Tabelle1!F257),Tabelle1!F257/'SF Workings'!J256,"")</f>
        <v>105.601923224624</v>
      </c>
      <c r="E256" s="23" t="n">
        <f aca="false">IF(ISNUMBER(Tabelle1!G257),Tabelle1!G257/'SF Workings'!N256,"")</f>
        <v>116.174793497335</v>
      </c>
      <c r="F256" s="23" t="n">
        <f aca="false">IF(ISNUMBER(Tabelle1!H257),Tabelle1!H257/'SF Workings'!R256,"")</f>
        <v>123.402990791267</v>
      </c>
      <c r="G256" s="23" t="n">
        <f aca="false">IF(ISNUMBER(Tabelle1!I257),Tabelle1!I257/'SF Workings'!V256,"")</f>
        <v>148.345912006312</v>
      </c>
      <c r="H256" s="23" t="n">
        <f aca="false">IF(ISNUMBER(Tabelle1!J257),Tabelle1!J257/'SF Workings'!Z256,"")</f>
        <v>125.87536785589</v>
      </c>
      <c r="I256" s="23" t="n">
        <f aca="false">IF(ISNUMBER(Tabelle1!K257),Tabelle1!K257/'SF Workings'!AD256,"")</f>
        <v>155.445331900475</v>
      </c>
      <c r="J256" s="23" t="n">
        <f aca="false">IF(ISNUMBER(Tabelle1!L257),Tabelle1!L257/'SF Workings'!AH256,"")</f>
        <v>177.424215649798</v>
      </c>
      <c r="K256" s="23" t="n">
        <f aca="false">IF(ISNUMBER(Tabelle1!M257),Tabelle1!M257/'SF Workings'!AL256,"")</f>
        <v>184.31625238162</v>
      </c>
      <c r="L256" s="23" t="n">
        <f aca="false">IF(ISNUMBER(Tabelle1!N257),Tabelle1!N257/'SF Workings'!AP256,"")</f>
        <v>166.053383552934</v>
      </c>
      <c r="M256" s="23" t="n">
        <f aca="false">IF(ISNUMBER(Tabelle1!O257),Tabelle1!O257/'SF Workings'!AT256,"")</f>
        <v>155.269622281371</v>
      </c>
      <c r="N256" s="23" t="n">
        <f aca="false">IF(ISNUMBER(Tabelle1!P257),Tabelle1!P257/'SF Workings'!AX256,"")</f>
        <v>161.512726790894</v>
      </c>
      <c r="O256" s="23" t="n">
        <f aca="false">IF(ISNUMBER(Tabelle1!Q257),Tabelle1!Q257/'SF Workings'!BB256,"")</f>
        <v>171.429050362415</v>
      </c>
      <c r="P256" s="23" t="n">
        <f aca="false">IF(ISNUMBER(Tabelle1!R257),Tabelle1!R257/'SF Workings'!BF256,"")</f>
        <v>183.347000284188</v>
      </c>
      <c r="Q256" s="23" t="n">
        <f aca="false">IF(ISNUMBER(Tabelle1!S257),Tabelle1!S257/'SF Workings'!BJ256,"")</f>
        <v>122.404213254677</v>
      </c>
      <c r="R256" s="23" t="n">
        <f aca="false">IFERROR(C256*'Weights &amp; Assumptions'!$F$6+D256*'Weights &amp; Assumptions'!$F$7,"")</f>
        <v>118.953654545853</v>
      </c>
      <c r="S256" s="23" t="n">
        <f aca="false">IFERROR(E256*'Weights &amp; Assumptions'!$F$8+F256*'Weights &amp; Assumptions'!$F$9+H256*'Weights &amp; Assumptions'!$F$11,"")</f>
        <v>123.055015130224</v>
      </c>
      <c r="T256" s="23" t="n">
        <f aca="false">IFERROR(G256*'Weights &amp; Assumptions'!$F$10+I256*'Weights &amp; Assumptions'!$F$12+J256*'Weights &amp; Assumptions'!$F$13+K256*'Weights &amp; Assumptions'!$F$14+L256*'Weights &amp; Assumptions'!$F$15+M256*'Weights &amp; Assumptions'!$F$16+N256*'Weights &amp; Assumptions'!$F$17+O256*'Weights &amp; Assumptions'!$F$18+P256*'Weights &amp; Assumptions'!$F$19+Q256*'Weights &amp; Assumptions'!$F$20,"")</f>
        <v>163.223726715062</v>
      </c>
      <c r="U256" s="23" t="n">
        <f aca="false">IFERROR(R256*'Weights &amp; Assumptions'!$B$25/'Weights &amp; Assumptions'!$B$28+S256*'Weights &amp; Assumptions'!$B$26/'Weights &amp; Assumptions'!$B$28+T256*'Weights &amp; Assumptions'!$B$27/'Weights &amp; Assumptions'!$B$28,"")</f>
        <v>148.827868734492</v>
      </c>
      <c r="V256" s="30" t="n">
        <f aca="false">IF(ISNUMBER(Tabelle1!E257),Tabelle1!E257*'Weights &amp; Assumptions'!$F$6+Tabelle1!F257*'Weights &amp; Assumptions'!$F$7,"")</f>
        <v>67.8970126426383</v>
      </c>
      <c r="W256" s="30" t="n">
        <f aca="false">IF(ISNUMBER(Tabelle1!G257),Tabelle1!G257*'Weights &amp; Assumptions'!$F$8+Tabelle1!H257*'Weights &amp; Assumptions'!$F$9+Tabelle1!J257*'Weights &amp; Assumptions'!$F$11,"")</f>
        <v>131.153546857264</v>
      </c>
      <c r="X256" s="30" t="n">
        <f aca="false">IF(ISNUMBER(Tabelle1!I257),Tabelle1!I257*'Weights &amp; Assumptions'!$F$10+Tabelle1!K257*'Weights &amp; Assumptions'!$F$12+Tabelle1!L257*'Weights &amp; Assumptions'!$F$13+Tabelle1!M257*'Weights &amp; Assumptions'!$F$14+Tabelle1!N257*'Weights &amp; Assumptions'!$F$15+Tabelle1!O257*'Weights &amp; Assumptions'!$F$16+Tabelle1!P257*'Weights &amp; Assumptions'!$F$17+Tabelle1!Q257*'Weights &amp; Assumptions'!$F$18+Tabelle1!R257*'Weights &amp; Assumptions'!$F$19+Tabelle1!S257*'Weights &amp; Assumptions'!$F$20,"")</f>
        <v>164.617595317103</v>
      </c>
      <c r="Y256" s="23" t="n">
        <f aca="false">IFERROR(V256*'Weights &amp; Assumptions'!$B$25/'Weights &amp; Assumptions'!$B$28+W256*'Weights &amp; Assumptions'!$B$26/'Weights &amp; Assumptions'!$B$28+X256*'Weights &amp; Assumptions'!$B$27/'Weights &amp; Assumptions'!$B$28,"")</f>
        <v>147.603982899014</v>
      </c>
    </row>
    <row r="257" customFormat="false" ht="15" hidden="false" customHeight="false" outlineLevel="0" collapsed="false">
      <c r="A257" s="20" t="n">
        <v>45626</v>
      </c>
      <c r="B257" s="30" t="n">
        <f aca="false">IF(ISNUMBER(Tabelle1!D258),Tabelle1!D258,"")</f>
        <v>150.80206</v>
      </c>
      <c r="C257" s="23" t="n">
        <f aca="false">IF(ISNUMBER(Tabelle1!E258),Tabelle1!E258/'SF Workings'!F257,"")</f>
        <v>117.986341108476</v>
      </c>
      <c r="D257" s="23" t="n">
        <f aca="false">IF(ISNUMBER(Tabelle1!F258),Tabelle1!F258/'SF Workings'!J257,"")</f>
        <v>252.424130758321</v>
      </c>
      <c r="E257" s="23" t="n">
        <f aca="false">IF(ISNUMBER(Tabelle1!G258),Tabelle1!G258/'SF Workings'!N257,"")</f>
        <v>117.395458662547</v>
      </c>
      <c r="F257" s="23" t="n">
        <f aca="false">IF(ISNUMBER(Tabelle1!H258),Tabelle1!H258/'SF Workings'!R257,"")</f>
        <v>123.279696178982</v>
      </c>
      <c r="G257" s="23" t="n">
        <f aca="false">IF(ISNUMBER(Tabelle1!I258),Tabelle1!I258/'SF Workings'!V257,"")</f>
        <v>143.6516015797</v>
      </c>
      <c r="H257" s="23" t="n">
        <f aca="false">IF(ISNUMBER(Tabelle1!J258),Tabelle1!J258/'SF Workings'!Z257,"")</f>
        <v>126.888231596629</v>
      </c>
      <c r="I257" s="23" t="n">
        <f aca="false">IF(ISNUMBER(Tabelle1!K258),Tabelle1!K258/'SF Workings'!AD257,"")</f>
        <v>156.458660965566</v>
      </c>
      <c r="J257" s="23" t="n">
        <f aca="false">IF(ISNUMBER(Tabelle1!L258),Tabelle1!L258/'SF Workings'!AH257,"")</f>
        <v>180.332512127902</v>
      </c>
      <c r="K257" s="23" t="n">
        <f aca="false">IF(ISNUMBER(Tabelle1!M258),Tabelle1!M258/'SF Workings'!AL257,"")</f>
        <v>184.25542997472</v>
      </c>
      <c r="L257" s="23" t="n">
        <f aca="false">IF(ISNUMBER(Tabelle1!N258),Tabelle1!N258/'SF Workings'!AP257,"")</f>
        <v>170.955758266054</v>
      </c>
      <c r="M257" s="23" t="n">
        <f aca="false">IF(ISNUMBER(Tabelle1!O258),Tabelle1!O258/'SF Workings'!AT257,"")</f>
        <v>156.190829279241</v>
      </c>
      <c r="N257" s="23" t="n">
        <f aca="false">IF(ISNUMBER(Tabelle1!P258),Tabelle1!P258/'SF Workings'!AX257,"")</f>
        <v>161.84943815005</v>
      </c>
      <c r="O257" s="23" t="n">
        <f aca="false">IF(ISNUMBER(Tabelle1!Q258),Tabelle1!Q258/'SF Workings'!BB257,"")</f>
        <v>171.784191737887</v>
      </c>
      <c r="P257" s="23" t="n">
        <f aca="false">IF(ISNUMBER(Tabelle1!R258),Tabelle1!R258/'SF Workings'!BF257,"")</f>
        <v>184.181084359736</v>
      </c>
      <c r="Q257" s="23" t="n">
        <f aca="false">IF(ISNUMBER(Tabelle1!S258),Tabelle1!S258/'SF Workings'!BJ257,"")</f>
        <v>122.514860290255</v>
      </c>
      <c r="R257" s="23" t="n">
        <f aca="false">IFERROR(C257*'Weights &amp; Assumptions'!$F$6+D257*'Weights &amp; Assumptions'!$F$7,"")</f>
        <v>119.63354492917</v>
      </c>
      <c r="S257" s="23" t="n">
        <f aca="false">IFERROR(E257*'Weights &amp; Assumptions'!$F$8+F257*'Weights &amp; Assumptions'!$F$9+H257*'Weights &amp; Assumptions'!$F$11,"")</f>
        <v>123.328874855809</v>
      </c>
      <c r="T257" s="23" t="n">
        <f aca="false">IFERROR(G257*'Weights &amp; Assumptions'!$F$10+I257*'Weights &amp; Assumptions'!$F$12+J257*'Weights &amp; Assumptions'!$F$13+K257*'Weights &amp; Assumptions'!$F$14+L257*'Weights &amp; Assumptions'!$F$15+M257*'Weights &amp; Assumptions'!$F$16+N257*'Weights &amp; Assumptions'!$F$17+O257*'Weights &amp; Assumptions'!$F$18+P257*'Weights &amp; Assumptions'!$F$19+Q257*'Weights &amp; Assumptions'!$F$20,"")</f>
        <v>164.110074093296</v>
      </c>
      <c r="U257" s="23" t="n">
        <f aca="false">IFERROR(R257*'Weights &amp; Assumptions'!$B$25/'Weights &amp; Assumptions'!$B$28+S257*'Weights &amp; Assumptions'!$B$26/'Weights &amp; Assumptions'!$B$28+T257*'Weights &amp; Assumptions'!$B$27/'Weights &amp; Assumptions'!$B$28,"")</f>
        <v>149.534023033165</v>
      </c>
      <c r="V257" s="30" t="n">
        <f aca="false">IF(ISNUMBER(Tabelle1!E258),Tabelle1!E258*'Weights &amp; Assumptions'!$F$6+Tabelle1!F258*'Weights &amp; Assumptions'!$F$7,"")</f>
        <v>81.8367346829001</v>
      </c>
      <c r="W257" s="30" t="n">
        <f aca="false">IF(ISNUMBER(Tabelle1!G258),Tabelle1!G258*'Weights &amp; Assumptions'!$F$8+Tabelle1!H258*'Weights &amp; Assumptions'!$F$9+Tabelle1!J258*'Weights &amp; Assumptions'!$F$11,"")</f>
        <v>128.196607556126</v>
      </c>
      <c r="X257" s="30" t="n">
        <f aca="false">IF(ISNUMBER(Tabelle1!I258),Tabelle1!I258*'Weights &amp; Assumptions'!$F$10+Tabelle1!K258*'Weights &amp; Assumptions'!$F$12+Tabelle1!L258*'Weights &amp; Assumptions'!$F$13+Tabelle1!M258*'Weights &amp; Assumptions'!$F$14+Tabelle1!N258*'Weights &amp; Assumptions'!$F$15+Tabelle1!O258*'Weights &amp; Assumptions'!$F$16+Tabelle1!P258*'Weights &amp; Assumptions'!$F$17+Tabelle1!Q258*'Weights &amp; Assumptions'!$F$18+Tabelle1!R258*'Weights &amp; Assumptions'!$F$19+Tabelle1!S258*'Weights &amp; Assumptions'!$F$20,"")</f>
        <v>164.552816387694</v>
      </c>
      <c r="Y257" s="23" t="n">
        <f aca="false">IFERROR(V257*'Weights &amp; Assumptions'!$B$25/'Weights &amp; Assumptions'!$B$28+W257*'Weights &amp; Assumptions'!$B$26/'Weights &amp; Assumptions'!$B$28+X257*'Weights &amp; Assumptions'!$B$27/'Weights &amp; Assumptions'!$B$28,"")</f>
        <v>147.945117291905</v>
      </c>
    </row>
    <row r="258" customFormat="false" ht="15" hidden="false" customHeight="false" outlineLevel="0" collapsed="false">
      <c r="A258" s="20" t="n">
        <v>45657</v>
      </c>
      <c r="B258" s="30" t="n">
        <f aca="false">IF(ISNUMBER(Tabelle1!D259),Tabelle1!D259,"")</f>
        <v>151.48527</v>
      </c>
      <c r="C258" s="23" t="n">
        <f aca="false">IF(ISNUMBER(Tabelle1!E259),Tabelle1!E259/'SF Workings'!F258,"")</f>
        <v>120.938154662725</v>
      </c>
      <c r="D258" s="23" t="n">
        <f aca="false">IF(ISNUMBER(Tabelle1!F259),Tabelle1!F259/'SF Workings'!J258,"")</f>
        <v>165.732442981575</v>
      </c>
      <c r="E258" s="23" t="n">
        <f aca="false">IF(ISNUMBER(Tabelle1!G259),Tabelle1!G259/'SF Workings'!N258,"")</f>
        <v>117.732591539334</v>
      </c>
      <c r="F258" s="23" t="n">
        <f aca="false">IF(ISNUMBER(Tabelle1!H259),Tabelle1!H259/'SF Workings'!R258,"")</f>
        <v>124.12659436341</v>
      </c>
      <c r="G258" s="23" t="n">
        <f aca="false">IF(ISNUMBER(Tabelle1!I259),Tabelle1!I259/'SF Workings'!V258,"")</f>
        <v>143.148927421289</v>
      </c>
      <c r="H258" s="23" t="n">
        <f aca="false">IF(ISNUMBER(Tabelle1!J259),Tabelle1!J259/'SF Workings'!Z258,"")</f>
        <v>127.159763022886</v>
      </c>
      <c r="I258" s="23" t="n">
        <f aca="false">IF(ISNUMBER(Tabelle1!K259),Tabelle1!K259/'SF Workings'!AD258,"")</f>
        <v>155.468970998389</v>
      </c>
      <c r="J258" s="23" t="n">
        <f aca="false">IF(ISNUMBER(Tabelle1!L259),Tabelle1!L259/'SF Workings'!AH258,"")</f>
        <v>182.913386476041</v>
      </c>
      <c r="K258" s="23" t="n">
        <f aca="false">IF(ISNUMBER(Tabelle1!M259),Tabelle1!M259/'SF Workings'!AL258,"")</f>
        <v>186.47787248253</v>
      </c>
      <c r="L258" s="23" t="n">
        <f aca="false">IF(ISNUMBER(Tabelle1!N259),Tabelle1!N259/'SF Workings'!AP258,"")</f>
        <v>172.923485858012</v>
      </c>
      <c r="M258" s="23" t="n">
        <f aca="false">IF(ISNUMBER(Tabelle1!O259),Tabelle1!O259/'SF Workings'!AT258,"")</f>
        <v>158.051282332621</v>
      </c>
      <c r="N258" s="23" t="n">
        <f aca="false">IF(ISNUMBER(Tabelle1!P259),Tabelle1!P259/'SF Workings'!AX258,"")</f>
        <v>161.754128316576</v>
      </c>
      <c r="O258" s="23" t="n">
        <f aca="false">IF(ISNUMBER(Tabelle1!Q259),Tabelle1!Q259/'SF Workings'!BB258,"")</f>
        <v>171.910496226529</v>
      </c>
      <c r="P258" s="23" t="n">
        <f aca="false">IF(ISNUMBER(Tabelle1!R259),Tabelle1!R259/'SF Workings'!BF258,"")</f>
        <v>184.638690094523</v>
      </c>
      <c r="Q258" s="23" t="n">
        <f aca="false">IF(ISNUMBER(Tabelle1!S259),Tabelle1!S259/'SF Workings'!BJ258,"")</f>
        <v>123.837896394191</v>
      </c>
      <c r="R258" s="23" t="n">
        <f aca="false">IFERROR(C258*'Weights &amp; Assumptions'!$F$6+D258*'Weights &amp; Assumptions'!$F$7,"")</f>
        <v>121.486998280701</v>
      </c>
      <c r="S258" s="23" t="n">
        <f aca="false">IFERROR(E258*'Weights &amp; Assumptions'!$F$8+F258*'Weights &amp; Assumptions'!$F$9+H258*'Weights &amp; Assumptions'!$F$11,"")</f>
        <v>123.995045745282</v>
      </c>
      <c r="T258" s="23" t="n">
        <f aca="false">IFERROR(G258*'Weights &amp; Assumptions'!$F$10+I258*'Weights &amp; Assumptions'!$F$12+J258*'Weights &amp; Assumptions'!$F$13+K258*'Weights &amp; Assumptions'!$F$14+L258*'Weights &amp; Assumptions'!$F$15+M258*'Weights &amp; Assumptions'!$F$16+N258*'Weights &amp; Assumptions'!$F$17+O258*'Weights &amp; Assumptions'!$F$18+P258*'Weights &amp; Assumptions'!$F$19+Q258*'Weights &amp; Assumptions'!$F$20,"")</f>
        <v>164.974699199695</v>
      </c>
      <c r="U258" s="23" t="n">
        <f aca="false">IFERROR(R258*'Weights &amp; Assumptions'!$B$25/'Weights &amp; Assumptions'!$B$28+S258*'Weights &amp; Assumptions'!$B$26/'Weights &amp; Assumptions'!$B$28+T258*'Weights &amp; Assumptions'!$B$27/'Weights &amp; Assumptions'!$B$28,"")</f>
        <v>150.42883920932</v>
      </c>
      <c r="V258" s="30" t="n">
        <f aca="false">IF(ISNUMBER(Tabelle1!E259),Tabelle1!E259*'Weights &amp; Assumptions'!$F$6+Tabelle1!F259*'Weights &amp; Assumptions'!$F$7,"")</f>
        <v>110.5422365619</v>
      </c>
      <c r="W258" s="30" t="n">
        <f aca="false">IF(ISNUMBER(Tabelle1!G259),Tabelle1!G259*'Weights &amp; Assumptions'!$F$8+Tabelle1!H259*'Weights &amp; Assumptions'!$F$9+Tabelle1!J259*'Weights &amp; Assumptions'!$F$11,"")</f>
        <v>121.905911137606</v>
      </c>
      <c r="X258" s="30" t="n">
        <f aca="false">IF(ISNUMBER(Tabelle1!I259),Tabelle1!I259*'Weights &amp; Assumptions'!$F$10+Tabelle1!K259*'Weights &amp; Assumptions'!$F$12+Tabelle1!L259*'Weights &amp; Assumptions'!$F$13+Tabelle1!M259*'Weights &amp; Assumptions'!$F$14+Tabelle1!N259*'Weights &amp; Assumptions'!$F$15+Tabelle1!O259*'Weights &amp; Assumptions'!$F$16+Tabelle1!P259*'Weights &amp; Assumptions'!$F$17+Tabelle1!Q259*'Weights &amp; Assumptions'!$F$18+Tabelle1!R259*'Weights &amp; Assumptions'!$F$19+Tabelle1!S259*'Weights &amp; Assumptions'!$F$20,"")</f>
        <v>164.218532540654</v>
      </c>
      <c r="Y258" s="23" t="n">
        <f aca="false">IFERROR(V258*'Weights &amp; Assumptions'!$B$25/'Weights &amp; Assumptions'!$B$28+W258*'Weights &amp; Assumptions'!$B$26/'Weights &amp; Assumptions'!$B$28+X258*'Weights &amp; Assumptions'!$B$27/'Weights &amp; Assumptions'!$B$28,"")</f>
        <v>148.463381483787</v>
      </c>
    </row>
    <row r="259" customFormat="false" ht="15" hidden="false" customHeight="false" outlineLevel="0" collapsed="false">
      <c r="A259" s="20" t="n">
        <v>45688</v>
      </c>
      <c r="B259" s="30" t="n">
        <f aca="false">IF(ISNUMBER(Tabelle1!D260),Tabelle1!D260,"")</f>
        <v>151.93093</v>
      </c>
      <c r="C259" s="23" t="n">
        <f aca="false">IF(ISNUMBER(Tabelle1!E260),Tabelle1!E260/'SF Workings'!F259,"")</f>
        <v>120.369380239196</v>
      </c>
      <c r="D259" s="23" t="n">
        <f aca="false">IF(ISNUMBER(Tabelle1!F260),Tabelle1!F260/'SF Workings'!J259,"")</f>
        <v>178.329853316734</v>
      </c>
      <c r="E259" s="23" t="n">
        <f aca="false">IF(ISNUMBER(Tabelle1!G260),Tabelle1!G260/'SF Workings'!N259,"")</f>
        <v>120.697735143697</v>
      </c>
      <c r="F259" s="23" t="n">
        <f aca="false">IF(ISNUMBER(Tabelle1!H260),Tabelle1!H260/'SF Workings'!R259,"")</f>
        <v>125.044005085206</v>
      </c>
      <c r="G259" s="23" t="n">
        <f aca="false">IF(ISNUMBER(Tabelle1!I260),Tabelle1!I260/'SF Workings'!V259,"")</f>
        <v>153.190397955135</v>
      </c>
      <c r="H259" s="23" t="n">
        <f aca="false">IF(ISNUMBER(Tabelle1!J260),Tabelle1!J260/'SF Workings'!Z259,"")</f>
        <v>132.022914757025</v>
      </c>
      <c r="I259" s="23" t="n">
        <f aca="false">IF(ISNUMBER(Tabelle1!K260),Tabelle1!K260/'SF Workings'!AD259,"")</f>
        <v>161.244041428476</v>
      </c>
      <c r="J259" s="23" t="n">
        <f aca="false">IF(ISNUMBER(Tabelle1!L260),Tabelle1!L260/'SF Workings'!AH259,"")</f>
        <v>161.520655433779</v>
      </c>
      <c r="K259" s="23" t="n">
        <f aca="false">IF(ISNUMBER(Tabelle1!M260),Tabelle1!M260/'SF Workings'!AL259,"")</f>
        <v>186.668322680719</v>
      </c>
      <c r="L259" s="23" t="n">
        <f aca="false">IF(ISNUMBER(Tabelle1!N260),Tabelle1!N260/'SF Workings'!AP259,"")</f>
        <v>185.440545009773</v>
      </c>
      <c r="M259" s="23" t="n">
        <f aca="false">IF(ISNUMBER(Tabelle1!O260),Tabelle1!O260/'SF Workings'!AT259,"")</f>
        <v>157.289919033819</v>
      </c>
      <c r="N259" s="23" t="n">
        <f aca="false">IF(ISNUMBER(Tabelle1!P260),Tabelle1!P260/'SF Workings'!AX259,"")</f>
        <v>161.899558534175</v>
      </c>
      <c r="O259" s="23" t="n">
        <f aca="false">IF(ISNUMBER(Tabelle1!Q260),Tabelle1!Q260/'SF Workings'!BB259,"")</f>
        <v>172.02523641588</v>
      </c>
      <c r="P259" s="23" t="n">
        <f aca="false">IF(ISNUMBER(Tabelle1!R260),Tabelle1!R260/'SF Workings'!BF259,"")</f>
        <v>186.432930067956</v>
      </c>
      <c r="Q259" s="23" t="n">
        <f aca="false">IF(ISNUMBER(Tabelle1!S260),Tabelle1!S260/'SF Workings'!BJ259,"")</f>
        <v>125.387537287106</v>
      </c>
      <c r="R259" s="23" t="n">
        <f aca="false">IFERROR(C259*'Weights &amp; Assumptions'!$F$6+D259*'Weights &amp; Assumptions'!$F$7,"")</f>
        <v>121.079543006311</v>
      </c>
      <c r="S259" s="23" t="n">
        <f aca="false">IFERROR(E259*'Weights &amp; Assumptions'!$F$8+F259*'Weights &amp; Assumptions'!$F$9+H259*'Weights &amp; Assumptions'!$F$11,"")</f>
        <v>125.978942127628</v>
      </c>
      <c r="T259" s="23" t="n">
        <f aca="false">IFERROR(G259*'Weights &amp; Assumptions'!$F$10+I259*'Weights &amp; Assumptions'!$F$12+J259*'Weights &amp; Assumptions'!$F$13+K259*'Weights &amp; Assumptions'!$F$14+L259*'Weights &amp; Assumptions'!$F$15+M259*'Weights &amp; Assumptions'!$F$16+N259*'Weights &amp; Assumptions'!$F$17+O259*'Weights &amp; Assumptions'!$F$18+P259*'Weights &amp; Assumptions'!$F$19+Q259*'Weights &amp; Assumptions'!$F$20,"")</f>
        <v>166.497352965443</v>
      </c>
      <c r="U259" s="23" t="n">
        <f aca="false">IFERROR(R259*'Weights &amp; Assumptions'!$B$25/'Weights &amp; Assumptions'!$B$28+S259*'Weights &amp; Assumptions'!$B$26/'Weights &amp; Assumptions'!$B$28+T259*'Weights &amp; Assumptions'!$B$27/'Weights &amp; Assumptions'!$B$28,"")</f>
        <v>151.912207689183</v>
      </c>
      <c r="V259" s="30" t="n">
        <f aca="false">IF(ISNUMBER(Tabelle1!E260),Tabelle1!E260*'Weights &amp; Assumptions'!$F$6+Tabelle1!F260*'Weights &amp; Assumptions'!$F$7,"")</f>
        <v>92.6883842080547</v>
      </c>
      <c r="W259" s="30" t="n">
        <f aca="false">IF(ISNUMBER(Tabelle1!G260),Tabelle1!G260*'Weights &amp; Assumptions'!$F$8+Tabelle1!H260*'Weights &amp; Assumptions'!$F$9+Tabelle1!J260*'Weights &amp; Assumptions'!$F$11,"")</f>
        <v>114.369437824593</v>
      </c>
      <c r="X259" s="30" t="n">
        <f aca="false">IF(ISNUMBER(Tabelle1!I260),Tabelle1!I260*'Weights &amp; Assumptions'!$F$10+Tabelle1!K260*'Weights &amp; Assumptions'!$F$12+Tabelle1!L260*'Weights &amp; Assumptions'!$F$13+Tabelle1!M260*'Weights &amp; Assumptions'!$F$14+Tabelle1!N260*'Weights &amp; Assumptions'!$F$15+Tabelle1!O260*'Weights &amp; Assumptions'!$F$16+Tabelle1!P260*'Weights &amp; Assumptions'!$F$17+Tabelle1!Q260*'Weights &amp; Assumptions'!$F$18+Tabelle1!R260*'Weights &amp; Assumptions'!$F$19+Tabelle1!S260*'Weights &amp; Assumptions'!$F$20,"")</f>
        <v>165.15030141311</v>
      </c>
      <c r="Y259" s="23" t="n">
        <f aca="false">IFERROR(V259*'Weights &amp; Assumptions'!$B$25/'Weights &amp; Assumptions'!$B$28+W259*'Weights &amp; Assumptions'!$B$26/'Weights &amp; Assumptions'!$B$28+X259*'Weights &amp; Assumptions'!$B$27/'Weights &amp; Assumptions'!$B$28,"")</f>
        <v>145.567167580225</v>
      </c>
    </row>
    <row r="260" customFormat="false" ht="15" hidden="false" customHeight="false" outlineLevel="0" collapsed="false">
      <c r="A260" s="20" t="n">
        <v>45716</v>
      </c>
      <c r="B260" s="30" t="n">
        <f aca="false">IF(ISNUMBER(Tabelle1!D261),Tabelle1!D261,"")</f>
        <v>153.54265</v>
      </c>
      <c r="C260" s="23" t="n">
        <f aca="false">IF(ISNUMBER(Tabelle1!E261),Tabelle1!E261/'SF Workings'!F260,"")</f>
        <v>121.323279519294</v>
      </c>
      <c r="D260" s="23" t="n">
        <f aca="false">IF(ISNUMBER(Tabelle1!F261),Tabelle1!F261/'SF Workings'!J260,"")</f>
        <v>217.646303991089</v>
      </c>
      <c r="E260" s="23" t="n">
        <f aca="false">IF(ISNUMBER(Tabelle1!G261),Tabelle1!G261/'SF Workings'!N260,"")</f>
        <v>119.551530654965</v>
      </c>
      <c r="F260" s="23" t="n">
        <f aca="false">IF(ISNUMBER(Tabelle1!H261),Tabelle1!H261/'SF Workings'!R260,"")</f>
        <v>124.656038225467</v>
      </c>
      <c r="G260" s="23" t="n">
        <f aca="false">IF(ISNUMBER(Tabelle1!I261),Tabelle1!I261/'SF Workings'!V260,"")</f>
        <v>160.532300736957</v>
      </c>
      <c r="H260" s="23" t="n">
        <f aca="false">IF(ISNUMBER(Tabelle1!J261),Tabelle1!J261/'SF Workings'!Z260,"")</f>
        <v>131.463104142061</v>
      </c>
      <c r="I260" s="23" t="n">
        <f aca="false">IF(ISNUMBER(Tabelle1!K261),Tabelle1!K261/'SF Workings'!AD260,"")</f>
        <v>160.06002341601</v>
      </c>
      <c r="J260" s="23" t="n">
        <f aca="false">IF(ISNUMBER(Tabelle1!L261),Tabelle1!L261/'SF Workings'!AH260,"")</f>
        <v>160.735975821486</v>
      </c>
      <c r="K260" s="23" t="n">
        <f aca="false">IF(ISNUMBER(Tabelle1!M261),Tabelle1!M261/'SF Workings'!AL260,"")</f>
        <v>185.925992431971</v>
      </c>
      <c r="L260" s="23" t="n">
        <f aca="false">IF(ISNUMBER(Tabelle1!N261),Tabelle1!N261/'SF Workings'!AP260,"")</f>
        <v>187.901993552375</v>
      </c>
      <c r="M260" s="23" t="n">
        <f aca="false">IF(ISNUMBER(Tabelle1!O261),Tabelle1!O261/'SF Workings'!AT260,"")</f>
        <v>158.435714967686</v>
      </c>
      <c r="N260" s="23" t="n">
        <f aca="false">IF(ISNUMBER(Tabelle1!P261),Tabelle1!P261/'SF Workings'!AX260,"")</f>
        <v>162.023023521065</v>
      </c>
      <c r="O260" s="23" t="n">
        <f aca="false">IF(ISNUMBER(Tabelle1!Q261),Tabelle1!Q261/'SF Workings'!BB260,"")</f>
        <v>171.804098137675</v>
      </c>
      <c r="P260" s="23" t="n">
        <f aca="false">IF(ISNUMBER(Tabelle1!R261),Tabelle1!R261/'SF Workings'!BF260,"")</f>
        <v>185.445807955984</v>
      </c>
      <c r="Q260" s="23" t="n">
        <f aca="false">IF(ISNUMBER(Tabelle1!S261),Tabelle1!S261/'SF Workings'!BJ260,"")</f>
        <v>126.998469994622</v>
      </c>
      <c r="R260" s="23" t="n">
        <f aca="false">IFERROR(C260*'Weights &amp; Assumptions'!$F$6+D260*'Weights &amp; Assumptions'!$F$7,"")</f>
        <v>122.503480817932</v>
      </c>
      <c r="S260" s="23" t="n">
        <f aca="false">IFERROR(E260*'Weights &amp; Assumptions'!$F$8+F260*'Weights &amp; Assumptions'!$F$9+H260*'Weights &amp; Assumptions'!$F$11,"")</f>
        <v>125.464644319143</v>
      </c>
      <c r="T260" s="23" t="n">
        <f aca="false">IFERROR(G260*'Weights &amp; Assumptions'!$F$10+I260*'Weights &amp; Assumptions'!$F$12+J260*'Weights &amp; Assumptions'!$F$13+K260*'Weights &amp; Assumptions'!$F$14+L260*'Weights &amp; Assumptions'!$F$15+M260*'Weights &amp; Assumptions'!$F$16+N260*'Weights &amp; Assumptions'!$F$17+O260*'Weights &amp; Assumptions'!$F$18+P260*'Weights &amp; Assumptions'!$F$19+Q260*'Weights &amp; Assumptions'!$F$20,"")</f>
        <v>166.752731864867</v>
      </c>
      <c r="U260" s="23" t="n">
        <f aca="false">IFERROR(R260*'Weights &amp; Assumptions'!$B$25/'Weights &amp; Assumptions'!$B$28+S260*'Weights &amp; Assumptions'!$B$26/'Weights &amp; Assumptions'!$B$28+T260*'Weights &amp; Assumptions'!$B$27/'Weights &amp; Assumptions'!$B$28,"")</f>
        <v>152.06095917234</v>
      </c>
      <c r="V260" s="30" t="n">
        <f aca="false">IF(ISNUMBER(Tabelle1!E261),Tabelle1!E261*'Weights &amp; Assumptions'!$F$6+Tabelle1!F261*'Weights &amp; Assumptions'!$F$7,"")</f>
        <v>76.9187753410567</v>
      </c>
      <c r="W260" s="30" t="n">
        <f aca="false">IF(ISNUMBER(Tabelle1!G261),Tabelle1!G261*'Weights &amp; Assumptions'!$F$8+Tabelle1!H261*'Weights &amp; Assumptions'!$F$9+Tabelle1!J261*'Weights &amp; Assumptions'!$F$11,"")</f>
        <v>112.96369267936</v>
      </c>
      <c r="X260" s="30" t="n">
        <f aca="false">IF(ISNUMBER(Tabelle1!I261),Tabelle1!I261*'Weights &amp; Assumptions'!$F$10+Tabelle1!K261*'Weights &amp; Assumptions'!$F$12+Tabelle1!L261*'Weights &amp; Assumptions'!$F$13+Tabelle1!M261*'Weights &amp; Assumptions'!$F$14+Tabelle1!N261*'Weights &amp; Assumptions'!$F$15+Tabelle1!O261*'Weights &amp; Assumptions'!$F$16+Tabelle1!P261*'Weights &amp; Assumptions'!$F$17+Tabelle1!Q261*'Weights &amp; Assumptions'!$F$18+Tabelle1!R261*'Weights &amp; Assumptions'!$F$19+Tabelle1!S261*'Weights &amp; Assumptions'!$F$20,"")</f>
        <v>162.371615488424</v>
      </c>
      <c r="Y260" s="23" t="n">
        <f aca="false">IFERROR(V260*'Weights &amp; Assumptions'!$B$25/'Weights &amp; Assumptions'!$B$28+W260*'Weights &amp; Assumptions'!$B$26/'Weights &amp; Assumptions'!$B$28+X260*'Weights &amp; Assumptions'!$B$27/'Weights &amp; Assumptions'!$B$28,"")</f>
        <v>142.063621345667</v>
      </c>
    </row>
    <row r="261" customFormat="false" ht="15" hidden="false" customHeight="false" outlineLevel="0" collapsed="false">
      <c r="A261" s="20" t="n">
        <v>45747</v>
      </c>
      <c r="B261" s="30" t="n">
        <f aca="false">IF(ISNUMBER(Tabelle1!D262),Tabelle1!D262,"")</f>
        <v>149.34718</v>
      </c>
      <c r="C261" s="23" t="n">
        <f aca="false">IF(ISNUMBER(Tabelle1!E262),Tabelle1!E262/'SF Workings'!F261,"")</f>
        <v>124.312070768916</v>
      </c>
      <c r="D261" s="23" t="n">
        <f aca="false">IF(ISNUMBER(Tabelle1!F262),Tabelle1!F262/'SF Workings'!J261,"")</f>
        <v>173.449722180952</v>
      </c>
      <c r="E261" s="23" t="n">
        <f aca="false">IF(ISNUMBER(Tabelle1!G262),Tabelle1!G262/'SF Workings'!N261,"")</f>
        <v>117.229825335597</v>
      </c>
      <c r="F261" s="23" t="n">
        <f aca="false">IF(ISNUMBER(Tabelle1!H262),Tabelle1!H262/'SF Workings'!R261,"")</f>
        <v>115.189300503408</v>
      </c>
      <c r="G261" s="23" t="n">
        <f aca="false">IF(ISNUMBER(Tabelle1!I262),Tabelle1!I262/'SF Workings'!V261,"")</f>
        <v>143.667468278693</v>
      </c>
      <c r="H261" s="23" t="n">
        <f aca="false">IF(ISNUMBER(Tabelle1!J262),Tabelle1!J262/'SF Workings'!Z261,"")</f>
        <v>129.454336718655</v>
      </c>
      <c r="I261" s="23" t="n">
        <f aca="false">IF(ISNUMBER(Tabelle1!K262),Tabelle1!K262/'SF Workings'!AD261,"")</f>
        <v>151.268800691018</v>
      </c>
      <c r="J261" s="23" t="n">
        <f aca="false">IF(ISNUMBER(Tabelle1!L262),Tabelle1!L262/'SF Workings'!AH261,"")</f>
        <v>164.027881715879</v>
      </c>
      <c r="K261" s="23" t="n">
        <f aca="false">IF(ISNUMBER(Tabelle1!M262),Tabelle1!M262/'SF Workings'!AL261,"")</f>
        <v>183.013966498561</v>
      </c>
      <c r="L261" s="23" t="n">
        <f aca="false">IF(ISNUMBER(Tabelle1!N262),Tabelle1!N262/'SF Workings'!AP261,"")</f>
        <v>184.397017082366</v>
      </c>
      <c r="M261" s="23" t="n">
        <f aca="false">IF(ISNUMBER(Tabelle1!O262),Tabelle1!O262/'SF Workings'!AT261,"")</f>
        <v>156.546111910589</v>
      </c>
      <c r="N261" s="23" t="n">
        <f aca="false">IF(ISNUMBER(Tabelle1!P262),Tabelle1!P262/'SF Workings'!AX261,"")</f>
        <v>161.195409906966</v>
      </c>
      <c r="O261" s="23" t="n">
        <f aca="false">IF(ISNUMBER(Tabelle1!Q262),Tabelle1!Q262/'SF Workings'!BB261,"")</f>
        <v>171.666276477716</v>
      </c>
      <c r="P261" s="23" t="n">
        <f aca="false">IF(ISNUMBER(Tabelle1!R262),Tabelle1!R262/'SF Workings'!BF261,"")</f>
        <v>185.612973158958</v>
      </c>
      <c r="Q261" s="23" t="n">
        <f aca="false">IF(ISNUMBER(Tabelle1!S262),Tabelle1!S262/'SF Workings'!BJ261,"")</f>
        <v>128.996262322623</v>
      </c>
      <c r="R261" s="23" t="n">
        <f aca="false">IFERROR(C261*'Weights &amp; Assumptions'!$F$6+D261*'Weights &amp; Assumptions'!$F$7,"")</f>
        <v>124.914131598365</v>
      </c>
      <c r="S261" s="23" t="n">
        <f aca="false">IFERROR(E261*'Weights &amp; Assumptions'!$F$8+F261*'Weights &amp; Assumptions'!$F$9+H261*'Weights &amp; Assumptions'!$F$11,"")</f>
        <v>118.404678456905</v>
      </c>
      <c r="T261" s="23" t="n">
        <f aca="false">IFERROR(G261*'Weights &amp; Assumptions'!$F$10+I261*'Weights &amp; Assumptions'!$F$12+J261*'Weights &amp; Assumptions'!$F$13+K261*'Weights &amp; Assumptions'!$F$14+L261*'Weights &amp; Assumptions'!$F$15+M261*'Weights &amp; Assumptions'!$F$16+N261*'Weights &amp; Assumptions'!$F$17+O261*'Weights &amp; Assumptions'!$F$18+P261*'Weights &amp; Assumptions'!$F$19+Q261*'Weights &amp; Assumptions'!$F$20,"")</f>
        <v>163.59676564425</v>
      </c>
      <c r="U261" s="23" t="n">
        <f aca="false">IFERROR(R261*'Weights &amp; Assumptions'!$B$25/'Weights &amp; Assumptions'!$B$28+S261*'Weights &amp; Assumptions'!$B$26/'Weights &amp; Assumptions'!$B$28+T261*'Weights &amp; Assumptions'!$B$27/'Weights &amp; Assumptions'!$B$28,"")</f>
        <v>148.333895050223</v>
      </c>
      <c r="V261" s="30" t="n">
        <f aca="false">IF(ISNUMBER(Tabelle1!E262),Tabelle1!E262*'Weights &amp; Assumptions'!$F$6+Tabelle1!F262*'Weights &amp; Assumptions'!$F$7,"")</f>
        <v>147.800061111429</v>
      </c>
      <c r="W261" s="30" t="n">
        <f aca="false">IF(ISNUMBER(Tabelle1!G262),Tabelle1!G262*'Weights &amp; Assumptions'!$F$8+Tabelle1!H262*'Weights &amp; Assumptions'!$F$9+Tabelle1!J262*'Weights &amp; Assumptions'!$F$11,"")</f>
        <v>119.487906491625</v>
      </c>
      <c r="X261" s="30" t="n">
        <f aca="false">IF(ISNUMBER(Tabelle1!I262),Tabelle1!I262*'Weights &amp; Assumptions'!$F$10+Tabelle1!K262*'Weights &amp; Assumptions'!$F$12+Tabelle1!L262*'Weights &amp; Assumptions'!$F$13+Tabelle1!M262*'Weights &amp; Assumptions'!$F$14+Tabelle1!N262*'Weights &amp; Assumptions'!$F$15+Tabelle1!O262*'Weights &amp; Assumptions'!$F$16+Tabelle1!P262*'Weights &amp; Assumptions'!$F$17+Tabelle1!Q262*'Weights &amp; Assumptions'!$F$18+Tabelle1!R262*'Weights &amp; Assumptions'!$F$19+Tabelle1!S262*'Weights &amp; Assumptions'!$F$20,"")</f>
        <v>165.007625047517</v>
      </c>
      <c r="Y261" s="23" t="n">
        <f aca="false">IFERROR(V261*'Weights &amp; Assumptions'!$B$25/'Weights &amp; Assumptions'!$B$28+W261*'Weights &amp; Assumptions'!$B$26/'Weights &amp; Assumptions'!$B$28+X261*'Weights &amp; Assumptions'!$B$27/'Weights &amp; Assumptions'!$B$28,"")</f>
        <v>151.459407803204</v>
      </c>
    </row>
    <row r="262" customFormat="false" ht="15" hidden="false" customHeight="false" outlineLevel="0" collapsed="false">
      <c r="A262" s="20" t="n">
        <v>45777</v>
      </c>
      <c r="B262" s="30" t="n">
        <f aca="false">IF(ISNUMBER(Tabelle1!D263),Tabelle1!D263,"")</f>
        <v>152.3841</v>
      </c>
      <c r="C262" s="23" t="n">
        <f aca="false">IF(ISNUMBER(Tabelle1!E263),Tabelle1!E263/'SF Workings'!F262,"")</f>
        <v>136.456078830322</v>
      </c>
      <c r="D262" s="23" t="n">
        <f aca="false">IF(ISNUMBER(Tabelle1!F263),Tabelle1!F263/'SF Workings'!J262,"")</f>
        <v>170.1646655696</v>
      </c>
      <c r="E262" s="23" t="n">
        <f aca="false">IF(ISNUMBER(Tabelle1!G263),Tabelle1!G263/'SF Workings'!N262,"")</f>
        <v>118.17264807324</v>
      </c>
      <c r="F262" s="23" t="n">
        <f aca="false">IF(ISNUMBER(Tabelle1!H263),Tabelle1!H263/'SF Workings'!R262,"")</f>
        <v>121.504511124954</v>
      </c>
      <c r="G262" s="23" t="n">
        <f aca="false">IF(ISNUMBER(Tabelle1!I263),Tabelle1!I263/'SF Workings'!V262,"")</f>
        <v>143.208346383304</v>
      </c>
      <c r="H262" s="23" t="n">
        <f aca="false">IF(ISNUMBER(Tabelle1!J263),Tabelle1!J263/'SF Workings'!Z262,"")</f>
        <v>136.647840533333</v>
      </c>
      <c r="I262" s="23" t="n">
        <f aca="false">IF(ISNUMBER(Tabelle1!K263),Tabelle1!K263/'SF Workings'!AD262,"")</f>
        <v>158.482671505961</v>
      </c>
      <c r="J262" s="23" t="n">
        <f aca="false">IF(ISNUMBER(Tabelle1!L263),Tabelle1!L263/'SF Workings'!AH262,"")</f>
        <v>159.78613720182</v>
      </c>
      <c r="K262" s="23" t="n">
        <f aca="false">IF(ISNUMBER(Tabelle1!M263),Tabelle1!M263/'SF Workings'!AL262,"")</f>
        <v>185.002866735466</v>
      </c>
      <c r="L262" s="23" t="n">
        <f aca="false">IF(ISNUMBER(Tabelle1!N263),Tabelle1!N263/'SF Workings'!AP262,"")</f>
        <v>190.875775678209</v>
      </c>
      <c r="M262" s="23" t="n">
        <f aca="false">IF(ISNUMBER(Tabelle1!O263),Tabelle1!O263/'SF Workings'!AT262,"")</f>
        <v>160.033104814451</v>
      </c>
      <c r="N262" s="23" t="n">
        <f aca="false">IF(ISNUMBER(Tabelle1!P263),Tabelle1!P263/'SF Workings'!AX262,"")</f>
        <v>162.115065888359</v>
      </c>
      <c r="O262" s="23" t="n">
        <f aca="false">IF(ISNUMBER(Tabelle1!Q263),Tabelle1!Q263/'SF Workings'!BB262,"")</f>
        <v>172.538586046313</v>
      </c>
      <c r="P262" s="23" t="n">
        <f aca="false">IF(ISNUMBER(Tabelle1!R263),Tabelle1!R263/'SF Workings'!BF262,"")</f>
        <v>186.309468693829</v>
      </c>
      <c r="Q262" s="23" t="n">
        <f aca="false">IF(ISNUMBER(Tabelle1!S263),Tabelle1!S263/'SF Workings'!BJ262,"")</f>
        <v>132.385781242431</v>
      </c>
      <c r="R262" s="23" t="n">
        <f aca="false">IFERROR(C262*'Weights &amp; Assumptions'!$F$6+D262*'Weights &amp; Assumptions'!$F$7,"")</f>
        <v>136.869094493639</v>
      </c>
      <c r="S262" s="23" t="n">
        <f aca="false">IFERROR(E262*'Weights &amp; Assumptions'!$F$8+F262*'Weights &amp; Assumptions'!$F$9+H262*'Weights &amp; Assumptions'!$F$11,"")</f>
        <v>124.261407489037</v>
      </c>
      <c r="T262" s="23" t="n">
        <f aca="false">IFERROR(G262*'Weights &amp; Assumptions'!$F$10+I262*'Weights &amp; Assumptions'!$F$12+J262*'Weights &amp; Assumptions'!$F$13+K262*'Weights &amp; Assumptions'!$F$14+L262*'Weights &amp; Assumptions'!$F$15+M262*'Weights &amp; Assumptions'!$F$16+N262*'Weights &amp; Assumptions'!$F$17+O262*'Weights &amp; Assumptions'!$F$18+P262*'Weights &amp; Assumptions'!$F$19+Q262*'Weights &amp; Assumptions'!$F$20,"")</f>
        <v>166.73529921407</v>
      </c>
      <c r="U262" s="23" t="n">
        <f aca="false">IFERROR(R262*'Weights &amp; Assumptions'!$B$25/'Weights &amp; Assumptions'!$B$28+S262*'Weights &amp; Assumptions'!$B$26/'Weights &amp; Assumptions'!$B$28+T262*'Weights &amp; Assumptions'!$B$27/'Weights &amp; Assumptions'!$B$28,"")</f>
        <v>152.934950032782</v>
      </c>
      <c r="V262" s="30" t="n">
        <f aca="false">IF(ISNUMBER(Tabelle1!E263),Tabelle1!E263*'Weights &amp; Assumptions'!$F$6+Tabelle1!F263*'Weights &amp; Assumptions'!$F$7,"")</f>
        <v>213.222425821504</v>
      </c>
      <c r="W262" s="30" t="n">
        <f aca="false">IF(ISNUMBER(Tabelle1!G263),Tabelle1!G263*'Weights &amp; Assumptions'!$F$8+Tabelle1!H263*'Weights &amp; Assumptions'!$F$9+Tabelle1!J263*'Weights &amp; Assumptions'!$F$11,"")</f>
        <v>121.527131231056</v>
      </c>
      <c r="X262" s="30" t="n">
        <f aca="false">IF(ISNUMBER(Tabelle1!I263),Tabelle1!I263*'Weights &amp; Assumptions'!$F$10+Tabelle1!K263*'Weights &amp; Assumptions'!$F$12+Tabelle1!L263*'Weights &amp; Assumptions'!$F$13+Tabelle1!M263*'Weights &amp; Assumptions'!$F$14+Tabelle1!N263*'Weights &amp; Assumptions'!$F$15+Tabelle1!O263*'Weights &amp; Assumptions'!$F$16+Tabelle1!P263*'Weights &amp; Assumptions'!$F$17+Tabelle1!Q263*'Weights &amp; Assumptions'!$F$18+Tabelle1!R263*'Weights &amp; Assumptions'!$F$19+Tabelle1!S263*'Weights &amp; Assumptions'!$F$20,"")</f>
        <v>165.823232013295</v>
      </c>
      <c r="Y262" s="23" t="n">
        <f aca="false">IFERROR(V262*'Weights &amp; Assumptions'!$B$25/'Weights &amp; Assumptions'!$B$28+W262*'Weights &amp; Assumptions'!$B$26/'Weights &amp; Assumptions'!$B$28+X262*'Weights &amp; Assumptions'!$B$27/'Weights &amp; Assumptions'!$B$28,"")</f>
        <v>158.020956849736</v>
      </c>
    </row>
    <row r="263" customFormat="false" ht="15" hidden="false" customHeight="false" outlineLevel="0" collapsed="false">
      <c r="A263" s="20" t="n">
        <v>45808</v>
      </c>
      <c r="B263" s="30" t="n">
        <f aca="false">IF(ISNUMBER(Tabelle1!D264),Tabelle1!D264,"")</f>
        <v>152.27052</v>
      </c>
      <c r="C263" s="23" t="n">
        <f aca="false">IF(ISNUMBER(Tabelle1!E264),Tabelle1!E264/'SF Workings'!F263,"")</f>
        <v>138.431371998338</v>
      </c>
      <c r="D263" s="23" t="n">
        <f aca="false">IF(ISNUMBER(Tabelle1!F264),Tabelle1!F264/'SF Workings'!J263,"")</f>
        <v>161.638167130792</v>
      </c>
      <c r="E263" s="23" t="n">
        <f aca="false">IF(ISNUMBER(Tabelle1!G264),Tabelle1!G264/'SF Workings'!N263,"")</f>
        <v>118.189876029755</v>
      </c>
      <c r="F263" s="23" t="n">
        <f aca="false">IF(ISNUMBER(Tabelle1!H264),Tabelle1!H264/'SF Workings'!R263,"")</f>
        <v>120.622148649545</v>
      </c>
      <c r="G263" s="23" t="n">
        <f aca="false">IF(ISNUMBER(Tabelle1!I264),Tabelle1!I264/'SF Workings'!V263,"")</f>
        <v>144.215077161987</v>
      </c>
      <c r="H263" s="23" t="n">
        <f aca="false">IF(ISNUMBER(Tabelle1!J264),Tabelle1!J264/'SF Workings'!Z263,"")</f>
        <v>131.646031327357</v>
      </c>
      <c r="I263" s="23" t="n">
        <f aca="false">IF(ISNUMBER(Tabelle1!K264),Tabelle1!K264/'SF Workings'!AD263,"")</f>
        <v>156.690443852516</v>
      </c>
      <c r="J263" s="23" t="n">
        <f aca="false">IF(ISNUMBER(Tabelle1!L264),Tabelle1!L264/'SF Workings'!AH263,"")</f>
        <v>177.072024133455</v>
      </c>
      <c r="K263" s="23" t="n">
        <f aca="false">IF(ISNUMBER(Tabelle1!M264),Tabelle1!M264/'SF Workings'!AL263,"")</f>
        <v>185.413795624188</v>
      </c>
      <c r="L263" s="23" t="n">
        <f aca="false">IF(ISNUMBER(Tabelle1!N264),Tabelle1!N264/'SF Workings'!AP263,"")</f>
        <v>189.875649886181</v>
      </c>
      <c r="M263" s="23" t="n">
        <f aca="false">IF(ISNUMBER(Tabelle1!O264),Tabelle1!O264/'SF Workings'!AT263,"")</f>
        <v>158.405315064864</v>
      </c>
      <c r="N263" s="23" t="n">
        <f aca="false">IF(ISNUMBER(Tabelle1!P264),Tabelle1!P264/'SF Workings'!AX263,"")</f>
        <v>162.033319870027</v>
      </c>
      <c r="O263" s="23" t="n">
        <f aca="false">IF(ISNUMBER(Tabelle1!Q264),Tabelle1!Q264/'SF Workings'!BB263,"")</f>
        <v>172.536253338523</v>
      </c>
      <c r="P263" s="23" t="n">
        <f aca="false">IF(ISNUMBER(Tabelle1!R264),Tabelle1!R264/'SF Workings'!BF263,"")</f>
        <v>185.366956848972</v>
      </c>
      <c r="Q263" s="23" t="n">
        <f aca="false">IF(ISNUMBER(Tabelle1!S264),Tabelle1!S264/'SF Workings'!BJ263,"")</f>
        <v>129.36442063574</v>
      </c>
      <c r="R263" s="23" t="n">
        <f aca="false">IFERROR(C263*'Weights &amp; Assumptions'!$F$6+D263*'Weights &amp; Assumptions'!$F$7,"")</f>
        <v>138.715714084799</v>
      </c>
      <c r="S263" s="23" t="n">
        <f aca="false">IFERROR(E263*'Weights &amp; Assumptions'!$F$8+F263*'Weights &amp; Assumptions'!$F$9+H263*'Weights &amp; Assumptions'!$F$11,"")</f>
        <v>122.628276000926</v>
      </c>
      <c r="T263" s="23" t="n">
        <f aca="false">IFERROR(G263*'Weights &amp; Assumptions'!$F$10+I263*'Weights &amp; Assumptions'!$F$12+J263*'Weights &amp; Assumptions'!$F$13+K263*'Weights &amp; Assumptions'!$F$14+L263*'Weights &amp; Assumptions'!$F$15+M263*'Weights &amp; Assumptions'!$F$16+N263*'Weights &amp; Assumptions'!$F$17+O263*'Weights &amp; Assumptions'!$F$18+P263*'Weights &amp; Assumptions'!$F$19+Q263*'Weights &amp; Assumptions'!$F$20,"")</f>
        <v>166.616922080789</v>
      </c>
      <c r="U263" s="23" t="n">
        <f aca="false">IFERROR(R263*'Weights &amp; Assumptions'!$B$25/'Weights &amp; Assumptions'!$B$28+S263*'Weights &amp; Assumptions'!$B$26/'Weights &amp; Assumptions'!$B$28+T263*'Weights &amp; Assumptions'!$B$27/'Weights &amp; Assumptions'!$B$28,"")</f>
        <v>152.57863811702</v>
      </c>
      <c r="V263" s="30" t="n">
        <f aca="false">IF(ISNUMBER(Tabelle1!E264),Tabelle1!E264*'Weights &amp; Assumptions'!$F$6+Tabelle1!F264*'Weights &amp; Assumptions'!$F$7,"")</f>
        <v>282.895986311725</v>
      </c>
      <c r="W263" s="30" t="n">
        <f aca="false">IF(ISNUMBER(Tabelle1!G264),Tabelle1!G264*'Weights &amp; Assumptions'!$F$8+Tabelle1!H264*'Weights &amp; Assumptions'!$F$9+Tabelle1!J264*'Weights &amp; Assumptions'!$F$11,"")</f>
        <v>121.803367847908</v>
      </c>
      <c r="X263" s="30" t="n">
        <f aca="false">IF(ISNUMBER(Tabelle1!I264),Tabelle1!I264*'Weights &amp; Assumptions'!$F$10+Tabelle1!K264*'Weights &amp; Assumptions'!$F$12+Tabelle1!L264*'Weights &amp; Assumptions'!$F$13+Tabelle1!M264*'Weights &amp; Assumptions'!$F$14+Tabelle1!N264*'Weights &amp; Assumptions'!$F$15+Tabelle1!O264*'Weights &amp; Assumptions'!$F$16+Tabelle1!P264*'Weights &amp; Assumptions'!$F$17+Tabelle1!Q264*'Weights &amp; Assumptions'!$F$18+Tabelle1!R264*'Weights &amp; Assumptions'!$F$19+Tabelle1!S264*'Weights &amp; Assumptions'!$F$20,"")</f>
        <v>167.515986067415</v>
      </c>
      <c r="Y263" s="23" t="n">
        <f aca="false">IFERROR(V263*'Weights &amp; Assumptions'!$B$25/'Weights &amp; Assumptions'!$B$28+W263*'Weights &amp; Assumptions'!$B$26/'Weights &amp; Assumptions'!$B$28+X263*'Weights &amp; Assumptions'!$B$27/'Weights &amp; Assumptions'!$B$28,"")</f>
        <v>165.040680406829</v>
      </c>
    </row>
    <row r="264" customFormat="false" ht="15" hidden="false" customHeight="false" outlineLevel="0" collapsed="false">
      <c r="A264" s="20" t="n">
        <v>45838</v>
      </c>
      <c r="B264" s="30" t="n">
        <f aca="false">IF(ISNUMBER(Tabelle1!D265),Tabelle1!D265,"")</f>
        <v>151.5483</v>
      </c>
      <c r="C264" s="23" t="n">
        <f aca="false">IF(ISNUMBER(Tabelle1!E265),Tabelle1!E265/'SF Workings'!F264,"")</f>
        <v>137.034144907872</v>
      </c>
      <c r="D264" s="23" t="n">
        <f aca="false">IF(ISNUMBER(Tabelle1!F265),Tabelle1!F265/'SF Workings'!J264,"")</f>
        <v>79.9105170849261</v>
      </c>
      <c r="E264" s="23" t="n">
        <f aca="false">IF(ISNUMBER(Tabelle1!G265),Tabelle1!G265/'SF Workings'!N264,"")</f>
        <v>122.518831801561</v>
      </c>
      <c r="F264" s="23" t="n">
        <f aca="false">IF(ISNUMBER(Tabelle1!H265),Tabelle1!H265/'SF Workings'!R264,"")</f>
        <v>115.23703993302</v>
      </c>
      <c r="G264" s="23" t="n">
        <f aca="false">IF(ISNUMBER(Tabelle1!I265),Tabelle1!I265/'SF Workings'!V264,"")</f>
        <v>151.940801939677</v>
      </c>
      <c r="H264" s="23" t="n">
        <f aca="false">IF(ISNUMBER(Tabelle1!J265),Tabelle1!J265/'SF Workings'!Z264,"")</f>
        <v>130.886818483172</v>
      </c>
      <c r="I264" s="23" t="n">
        <f aca="false">IF(ISNUMBER(Tabelle1!K265),Tabelle1!K265/'SF Workings'!AD264,"")</f>
        <v>150.742658478016</v>
      </c>
      <c r="J264" s="23" t="n">
        <f aca="false">IF(ISNUMBER(Tabelle1!L265),Tabelle1!L265/'SF Workings'!AH264,"")</f>
        <v>183.972047540833</v>
      </c>
      <c r="K264" s="23" t="n">
        <f aca="false">IF(ISNUMBER(Tabelle1!M265),Tabelle1!M265/'SF Workings'!AL264,"")</f>
        <v>184.294748309854</v>
      </c>
      <c r="L264" s="23" t="n">
        <f aca="false">IF(ISNUMBER(Tabelle1!N265),Tabelle1!N265/'SF Workings'!AP264,"")</f>
        <v>190.647318664001</v>
      </c>
      <c r="M264" s="23" t="n">
        <f aca="false">IF(ISNUMBER(Tabelle1!O265),Tabelle1!O265/'SF Workings'!AT264,"")</f>
        <v>159.385886875371</v>
      </c>
      <c r="N264" s="23" t="n">
        <f aca="false">IF(ISNUMBER(Tabelle1!P265),Tabelle1!P265/'SF Workings'!AX264,"")</f>
        <v>162.267996087797</v>
      </c>
      <c r="O264" s="23" t="n">
        <f aca="false">IF(ISNUMBER(Tabelle1!Q265),Tabelle1!Q265/'SF Workings'!BB264,"")</f>
        <v>172.802140597181</v>
      </c>
      <c r="P264" s="23" t="n">
        <f aca="false">IF(ISNUMBER(Tabelle1!R265),Tabelle1!R265/'SF Workings'!BF264,"")</f>
        <v>185.48495921688</v>
      </c>
      <c r="Q264" s="23" t="n">
        <f aca="false">IF(ISNUMBER(Tabelle1!S265),Tabelle1!S265/'SF Workings'!BJ264,"")</f>
        <v>126.245341215267</v>
      </c>
      <c r="R264" s="23" t="n">
        <f aca="false">IFERROR(C264*'Weights &amp; Assumptions'!$F$6+D264*'Weights &amp; Assumptions'!$F$7,"")</f>
        <v>136.334235617136</v>
      </c>
      <c r="S264" s="23" t="n">
        <f aca="false">IFERROR(E264*'Weights &amp; Assumptions'!$F$8+F264*'Weights &amp; Assumptions'!$F$9+H264*'Weights &amp; Assumptions'!$F$11,"")</f>
        <v>119.366687697252</v>
      </c>
      <c r="T264" s="23" t="n">
        <f aca="false">IFERROR(G264*'Weights &amp; Assumptions'!$F$10+I264*'Weights &amp; Assumptions'!$F$12+J264*'Weights &amp; Assumptions'!$F$13+K264*'Weights &amp; Assumptions'!$F$14+L264*'Weights &amp; Assumptions'!$F$15+M264*'Weights &amp; Assumptions'!$F$16+N264*'Weights &amp; Assumptions'!$F$17+O264*'Weights &amp; Assumptions'!$F$18+P264*'Weights &amp; Assumptions'!$F$19+Q264*'Weights &amp; Assumptions'!$F$20,"")</f>
        <v>165.923934480277</v>
      </c>
      <c r="U264" s="23" t="n">
        <f aca="false">IFERROR(R264*'Weights &amp; Assumptions'!$B$25/'Weights &amp; Assumptions'!$B$28+S264*'Weights &amp; Assumptions'!$B$26/'Weights &amp; Assumptions'!$B$28+T264*'Weights &amp; Assumptions'!$B$27/'Weights &amp; Assumptions'!$B$28,"")</f>
        <v>151.060948931883</v>
      </c>
      <c r="V264" s="30" t="n">
        <f aca="false">IF(ISNUMBER(Tabelle1!E265),Tabelle1!E265*'Weights &amp; Assumptions'!$F$6+Tabelle1!F265*'Weights &amp; Assumptions'!$F$7,"")</f>
        <v>196.585170655892</v>
      </c>
      <c r="W264" s="30" t="n">
        <f aca="false">IF(ISNUMBER(Tabelle1!G265),Tabelle1!G265*'Weights &amp; Assumptions'!$F$8+Tabelle1!H265*'Weights &amp; Assumptions'!$F$9+Tabelle1!J265*'Weights &amp; Assumptions'!$F$11,"")</f>
        <v>119.081929253078</v>
      </c>
      <c r="X264" s="30" t="n">
        <f aca="false">IF(ISNUMBER(Tabelle1!I265),Tabelle1!I265*'Weights &amp; Assumptions'!$F$10+Tabelle1!K265*'Weights &amp; Assumptions'!$F$12+Tabelle1!L265*'Weights &amp; Assumptions'!$F$13+Tabelle1!M265*'Weights &amp; Assumptions'!$F$14+Tabelle1!N265*'Weights &amp; Assumptions'!$F$15+Tabelle1!O265*'Weights &amp; Assumptions'!$F$16+Tabelle1!P265*'Weights &amp; Assumptions'!$F$17+Tabelle1!Q265*'Weights &amp; Assumptions'!$F$18+Tabelle1!R265*'Weights &amp; Assumptions'!$F$19+Tabelle1!S265*'Weights &amp; Assumptions'!$F$20,"")</f>
        <v>168.796962371379</v>
      </c>
      <c r="Y264" s="23" t="n">
        <f aca="false">IFERROR(V264*'Weights &amp; Assumptions'!$B$25/'Weights &amp; Assumptions'!$B$28+W264*'Weights &amp; Assumptions'!$B$26/'Weights &amp; Assumptions'!$B$28+X264*'Weights &amp; Assumptions'!$B$27/'Weights &amp; Assumptions'!$B$28,"")</f>
        <v>157.908320435189</v>
      </c>
    </row>
    <row r="265" customFormat="false" ht="15" hidden="false" customHeight="false" outlineLevel="0" collapsed="false">
      <c r="A265" s="20" t="n">
        <v>45869</v>
      </c>
      <c r="B265" s="30" t="n">
        <f aca="false">IF(ISNUMBER(Tabelle1!D266),Tabelle1!D266,"")</f>
        <v>151.2933</v>
      </c>
      <c r="C265" s="23" t="n">
        <f aca="false">IF(ISNUMBER(Tabelle1!E266),Tabelle1!E266/'SF Workings'!F265,"")</f>
        <v>129.148365103262</v>
      </c>
      <c r="D265" s="23" t="n">
        <f aca="false">IF(ISNUMBER(Tabelle1!F266),Tabelle1!F266/'SF Workings'!J265,"")</f>
        <v>51.1883469638338</v>
      </c>
      <c r="E265" s="23" t="n">
        <f aca="false">IF(ISNUMBER(Tabelle1!G266),Tabelle1!G266/'SF Workings'!N265,"")</f>
        <v>126.838001100443</v>
      </c>
      <c r="F265" s="23" t="n">
        <f aca="false">IF(ISNUMBER(Tabelle1!H266),Tabelle1!H266/'SF Workings'!R265,"")</f>
        <v>119.484670373642</v>
      </c>
      <c r="G265" s="23" t="n">
        <f aca="false">IF(ISNUMBER(Tabelle1!I266),Tabelle1!I266/'SF Workings'!V265,"")</f>
        <v>148.312959415131</v>
      </c>
      <c r="H265" s="23" t="n">
        <f aca="false">IF(ISNUMBER(Tabelle1!J266),Tabelle1!J266/'SF Workings'!Z265,"")</f>
        <v>130.650825677165</v>
      </c>
      <c r="I265" s="23" t="n">
        <f aca="false">IF(ISNUMBER(Tabelle1!K266),Tabelle1!K266/'SF Workings'!AD265,"")</f>
        <v>152.467284321548</v>
      </c>
      <c r="J265" s="23" t="n">
        <f aca="false">IF(ISNUMBER(Tabelle1!L266),Tabelle1!L266/'SF Workings'!AH265,"")</f>
        <v>177.195722052702</v>
      </c>
      <c r="K265" s="23" t="n">
        <f aca="false">IF(ISNUMBER(Tabelle1!M266),Tabelle1!M266/'SF Workings'!AL265,"")</f>
        <v>186.463014806304</v>
      </c>
      <c r="L265" s="23" t="n">
        <f aca="false">IF(ISNUMBER(Tabelle1!N266),Tabelle1!N266/'SF Workings'!AP265,"")</f>
        <v>195.802317021861</v>
      </c>
      <c r="M265" s="23" t="n">
        <f aca="false">IF(ISNUMBER(Tabelle1!O266),Tabelle1!O266/'SF Workings'!AT265,"")</f>
        <v>159.068442519202</v>
      </c>
      <c r="N265" s="23" t="n">
        <f aca="false">IF(ISNUMBER(Tabelle1!P266),Tabelle1!P266/'SF Workings'!AX265,"")</f>
        <v>161.715394821175</v>
      </c>
      <c r="O265" s="23" t="n">
        <f aca="false">IF(ISNUMBER(Tabelle1!Q266),Tabelle1!Q266/'SF Workings'!BB265,"")</f>
        <v>173.020076389459</v>
      </c>
      <c r="P265" s="23" t="n">
        <f aca="false">IF(ISNUMBER(Tabelle1!R266),Tabelle1!R266/'SF Workings'!BF265,"")</f>
        <v>185.272959847222</v>
      </c>
      <c r="Q265" s="23" t="n">
        <f aca="false">IF(ISNUMBER(Tabelle1!S266),Tabelle1!S266/'SF Workings'!BJ265,"")</f>
        <v>127.96614431497</v>
      </c>
      <c r="R265" s="23" t="n">
        <f aca="false">IFERROR(C265*'Weights &amp; Assumptions'!$F$6+D265*'Weights &amp; Assumptions'!$F$7,"")</f>
        <v>128.19315719576</v>
      </c>
      <c r="S265" s="23" t="n">
        <f aca="false">IFERROR(E265*'Weights &amp; Assumptions'!$F$8+F265*'Weights &amp; Assumptions'!$F$9+H265*'Weights &amp; Assumptions'!$F$11,"")</f>
        <v>122.688815094666</v>
      </c>
      <c r="T265" s="23" t="n">
        <f aca="false">IFERROR(G265*'Weights &amp; Assumptions'!$F$10+I265*'Weights &amp; Assumptions'!$F$12+J265*'Weights &amp; Assumptions'!$F$13+K265*'Weights &amp; Assumptions'!$F$14+L265*'Weights &amp; Assumptions'!$F$15+M265*'Weights &amp; Assumptions'!$F$16+N265*'Weights &amp; Assumptions'!$F$17+O265*'Weights &amp; Assumptions'!$F$18+P265*'Weights &amp; Assumptions'!$F$19+Q265*'Weights &amp; Assumptions'!$F$20,"")</f>
        <v>166.541735608922</v>
      </c>
      <c r="U265" s="23" t="n">
        <f aca="false">IFERROR(R265*'Weights &amp; Assumptions'!$B$25/'Weights &amp; Assumptions'!$B$28+S265*'Weights &amp; Assumptions'!$B$26/'Weights &amp; Assumptions'!$B$28+T265*'Weights &amp; Assumptions'!$B$27/'Weights &amp; Assumptions'!$B$28,"")</f>
        <v>151.66300037164</v>
      </c>
      <c r="V265" s="30" t="n">
        <f aca="false">IF(ISNUMBER(Tabelle1!E266),Tabelle1!E266*'Weights &amp; Assumptions'!$F$6+Tabelle1!F266*'Weights &amp; Assumptions'!$F$7,"")</f>
        <v>118.370493248948</v>
      </c>
      <c r="W265" s="30" t="n">
        <f aca="false">IF(ISNUMBER(Tabelle1!G266),Tabelle1!G266*'Weights &amp; Assumptions'!$F$8+Tabelle1!H266*'Weights &amp; Assumptions'!$F$9+Tabelle1!J266*'Weights &amp; Assumptions'!$F$11,"")</f>
        <v>126.738832411495</v>
      </c>
      <c r="X265" s="30" t="n">
        <f aca="false">IF(ISNUMBER(Tabelle1!I266),Tabelle1!I266*'Weights &amp; Assumptions'!$F$10+Tabelle1!K266*'Weights &amp; Assumptions'!$F$12+Tabelle1!L266*'Weights &amp; Assumptions'!$F$13+Tabelle1!M266*'Weights &amp; Assumptions'!$F$14+Tabelle1!N266*'Weights &amp; Assumptions'!$F$15+Tabelle1!O266*'Weights &amp; Assumptions'!$F$16+Tabelle1!P266*'Weights &amp; Assumptions'!$F$17+Tabelle1!Q266*'Weights &amp; Assumptions'!$F$18+Tabelle1!R266*'Weights &amp; Assumptions'!$F$19+Tabelle1!S266*'Weights &amp; Assumptions'!$F$20,"")</f>
        <v>167.291989684135</v>
      </c>
      <c r="Y265" s="23" t="n">
        <f aca="false">IFERROR(V265*'Weights &amp; Assumptions'!$B$25/'Weights &amp; Assumptions'!$B$28+W265*'Weights &amp; Assumptions'!$B$26/'Weights &amp; Assumptions'!$B$28+X265*'Weights &amp; Assumptions'!$B$27/'Weights &amp; Assumptions'!$B$28,"")</f>
        <v>152.403642512795</v>
      </c>
    </row>
    <row r="266" customFormat="false" ht="15" hidden="false" customHeight="false" outlineLevel="0" collapsed="false">
      <c r="A266" s="20" t="n">
        <v>45900</v>
      </c>
      <c r="B266" s="30" t="n">
        <f aca="false">IF(ISNUMBER(Tabelle1!D267),Tabelle1!D267,"")</f>
        <v>152.17594</v>
      </c>
      <c r="C266" s="23" t="n">
        <f aca="false">IF(ISNUMBER(Tabelle1!E267),Tabelle1!E267/'SF Workings'!F266,"")</f>
        <v>121.177017994522</v>
      </c>
      <c r="D266" s="23" t="n">
        <f aca="false">IF(ISNUMBER(Tabelle1!F267),Tabelle1!F267/'SF Workings'!J266,"")</f>
        <v>180.213446613871</v>
      </c>
      <c r="E266" s="23" t="n">
        <f aca="false">IF(ISNUMBER(Tabelle1!G267),Tabelle1!G267/'SF Workings'!N266,"")</f>
        <v>124.498330827368</v>
      </c>
      <c r="F266" s="23" t="n">
        <f aca="false">IF(ISNUMBER(Tabelle1!H267),Tabelle1!H267/'SF Workings'!R266,"")</f>
        <v>115.846726538663</v>
      </c>
      <c r="G266" s="23" t="n">
        <f aca="false">IF(ISNUMBER(Tabelle1!I267),Tabelle1!I267/'SF Workings'!V266,"")</f>
        <v>147.750171341486</v>
      </c>
      <c r="H266" s="23" t="n">
        <f aca="false">IF(ISNUMBER(Tabelle1!J267),Tabelle1!J267/'SF Workings'!Z266,"")</f>
        <v>127.064957739852</v>
      </c>
      <c r="I266" s="23" t="n">
        <f aca="false">IF(ISNUMBER(Tabelle1!K267),Tabelle1!K267/'SF Workings'!AD266,"")</f>
        <v>147.781998745274</v>
      </c>
      <c r="J266" s="23" t="n">
        <f aca="false">IF(ISNUMBER(Tabelle1!L267),Tabelle1!L267/'SF Workings'!AH266,"")</f>
        <v>181.390365180169</v>
      </c>
      <c r="K266" s="23" t="n">
        <f aca="false">IF(ISNUMBER(Tabelle1!M267),Tabelle1!M267/'SF Workings'!AL266,"")</f>
        <v>186.050243355778</v>
      </c>
      <c r="L266" s="23" t="n">
        <f aca="false">IF(ISNUMBER(Tabelle1!N267),Tabelle1!N267/'SF Workings'!AP266,"")</f>
        <v>198.963361834738</v>
      </c>
      <c r="M266" s="23" t="n">
        <f aca="false">IF(ISNUMBER(Tabelle1!O267),Tabelle1!O267/'SF Workings'!AT266,"")</f>
        <v>157.693849040289</v>
      </c>
      <c r="N266" s="23" t="n">
        <f aca="false">IF(ISNUMBER(Tabelle1!P267),Tabelle1!P267/'SF Workings'!AX266,"")</f>
        <v>161.71258011657</v>
      </c>
      <c r="O266" s="23" t="n">
        <f aca="false">IF(ISNUMBER(Tabelle1!Q267),Tabelle1!Q267/'SF Workings'!BB266,"")</f>
        <v>172.30830607009</v>
      </c>
      <c r="P266" s="23" t="n">
        <f aca="false">IF(ISNUMBER(Tabelle1!R267),Tabelle1!R267/'SF Workings'!BF266,"")</f>
        <v>185.371458132145</v>
      </c>
      <c r="Q266" s="23" t="n">
        <f aca="false">IF(ISNUMBER(Tabelle1!S267),Tabelle1!S267/'SF Workings'!BJ266,"")</f>
        <v>127.722677979314</v>
      </c>
      <c r="R266" s="23" t="n">
        <f aca="false">IFERROR(C266*'Weights &amp; Assumptions'!$F$6+D266*'Weights &amp; Assumptions'!$F$7,"")</f>
        <v>121.900363945353</v>
      </c>
      <c r="S266" s="23" t="n">
        <f aca="false">IFERROR(E266*'Weights &amp; Assumptions'!$F$8+F266*'Weights &amp; Assumptions'!$F$9+H266*'Weights &amp; Assumptions'!$F$11,"")</f>
        <v>119.216730788163</v>
      </c>
      <c r="T266" s="23" t="n">
        <f aca="false">IFERROR(G266*'Weights &amp; Assumptions'!$F$10+I266*'Weights &amp; Assumptions'!$F$12+J266*'Weights &amp; Assumptions'!$F$13+K266*'Weights &amp; Assumptions'!$F$14+L266*'Weights &amp; Assumptions'!$F$15+M266*'Weights &amp; Assumptions'!$F$16+N266*'Weights &amp; Assumptions'!$F$17+O266*'Weights &amp; Assumptions'!$F$18+P266*'Weights &amp; Assumptions'!$F$19+Q266*'Weights &amp; Assumptions'!$F$20,"")</f>
        <v>165.609643596274</v>
      </c>
      <c r="U266" s="23" t="n">
        <f aca="false">IFERROR(R266*'Weights &amp; Assumptions'!$B$25/'Weights &amp; Assumptions'!$B$28+S266*'Weights &amp; Assumptions'!$B$26/'Weights &amp; Assumptions'!$B$28+T266*'Weights &amp; Assumptions'!$B$27/'Weights &amp; Assumptions'!$B$28,"")</f>
        <v>149.605712744037</v>
      </c>
      <c r="V266" s="30" t="n">
        <f aca="false">IF(ISNUMBER(Tabelle1!E267),Tabelle1!E267*'Weights &amp; Assumptions'!$F$6+Tabelle1!F267*'Weights &amp; Assumptions'!$F$7,"")</f>
        <v>80.9536657846748</v>
      </c>
      <c r="W266" s="30" t="n">
        <f aca="false">IF(ISNUMBER(Tabelle1!G267),Tabelle1!G267*'Weights &amp; Assumptions'!$F$8+Tabelle1!H267*'Weights &amp; Assumptions'!$F$9+Tabelle1!J267*'Weights &amp; Assumptions'!$F$11,"")</f>
        <v>126.218539047902</v>
      </c>
      <c r="X266" s="30" t="n">
        <f aca="false">IF(ISNUMBER(Tabelle1!I267),Tabelle1!I267*'Weights &amp; Assumptions'!$F$10+Tabelle1!K267*'Weights &amp; Assumptions'!$F$12+Tabelle1!L267*'Weights &amp; Assumptions'!$F$13+Tabelle1!M267*'Weights &amp; Assumptions'!$F$14+Tabelle1!N267*'Weights &amp; Assumptions'!$F$15+Tabelle1!O267*'Weights &amp; Assumptions'!$F$16+Tabelle1!P267*'Weights &amp; Assumptions'!$F$17+Tabelle1!Q267*'Weights &amp; Assumptions'!$F$18+Tabelle1!R267*'Weights &amp; Assumptions'!$F$19+Tabelle1!S267*'Weights &amp; Assumptions'!$F$20,"")</f>
        <v>166.951957908681</v>
      </c>
      <c r="Y266" s="23" t="n">
        <f aca="false">IFERROR(V266*'Weights &amp; Assumptions'!$B$25/'Weights &amp; Assumptions'!$B$28+W266*'Weights &amp; Assumptions'!$B$26/'Weights &amp; Assumptions'!$B$28+X266*'Weights &amp; Assumptions'!$B$27/'Weights &amp; Assumptions'!$B$28,"")</f>
        <v>148.904902018676</v>
      </c>
    </row>
    <row r="267" customFormat="false" ht="15" hidden="false" customHeight="false" outlineLevel="0" collapsed="false">
      <c r="A267" s="20" t="n">
        <v>45930</v>
      </c>
      <c r="B267" s="30" t="n">
        <f aca="false">IF(ISNUMBER(Tabelle1!D268),Tabelle1!D268,"")</f>
        <v>153.27772</v>
      </c>
      <c r="C267" s="23" t="n">
        <f aca="false">IF(ISNUMBER(Tabelle1!E268),Tabelle1!E268/'SF Workings'!F267,"")</f>
        <v>122.988480518613</v>
      </c>
      <c r="D267" s="23" t="n">
        <f aca="false">IF(ISNUMBER(Tabelle1!F268),Tabelle1!F268/'SF Workings'!J267,"")</f>
        <v>216.365942513446</v>
      </c>
      <c r="E267" s="23" t="n">
        <f aca="false">IF(ISNUMBER(Tabelle1!G268),Tabelle1!G268/'SF Workings'!N267,"")</f>
        <v>125.253080014566</v>
      </c>
      <c r="F267" s="23" t="n">
        <f aca="false">IF(ISNUMBER(Tabelle1!H268),Tabelle1!H268/'SF Workings'!R267,"")</f>
        <v>118.497589984266</v>
      </c>
      <c r="G267" s="23" t="n">
        <f aca="false">IF(ISNUMBER(Tabelle1!I268),Tabelle1!I268/'SF Workings'!V267,"")</f>
        <v>149.416937667582</v>
      </c>
      <c r="H267" s="23" t="n">
        <f aca="false">IF(ISNUMBER(Tabelle1!J268),Tabelle1!J268/'SF Workings'!Z267,"")</f>
        <v>129.986055938458</v>
      </c>
      <c r="I267" s="23" t="n">
        <f aca="false">IF(ISNUMBER(Tabelle1!K268),Tabelle1!K268/'SF Workings'!AD267,"")</f>
        <v>150.87543525317</v>
      </c>
      <c r="J267" s="23" t="n">
        <f aca="false">IF(ISNUMBER(Tabelle1!L268),Tabelle1!L268/'SF Workings'!AH267,"")</f>
        <v>175.724309226877</v>
      </c>
      <c r="K267" s="23" t="n">
        <f aca="false">IF(ISNUMBER(Tabelle1!M268),Tabelle1!M268/'SF Workings'!AL267,"")</f>
        <v>187.733993728183</v>
      </c>
      <c r="L267" s="23" t="n">
        <f aca="false">IF(ISNUMBER(Tabelle1!N268),Tabelle1!N268/'SF Workings'!AP267,"")</f>
        <v>219.877718665605</v>
      </c>
      <c r="M267" s="23" t="n">
        <f aca="false">IF(ISNUMBER(Tabelle1!O268),Tabelle1!O268/'SF Workings'!AT267,"")</f>
        <v>160.465556034682</v>
      </c>
      <c r="N267" s="23" t="n">
        <f aca="false">IF(ISNUMBER(Tabelle1!P268),Tabelle1!P268/'SF Workings'!AX267,"")</f>
        <v>161.421463817623</v>
      </c>
      <c r="O267" s="23" t="n">
        <f aca="false">IF(ISNUMBER(Tabelle1!Q268),Tabelle1!Q268/'SF Workings'!BB267,"")</f>
        <v>172.428018019264</v>
      </c>
      <c r="P267" s="23" t="n">
        <f aca="false">IF(ISNUMBER(Tabelle1!R268),Tabelle1!R268/'SF Workings'!BF267,"")</f>
        <v>185.625499439784</v>
      </c>
      <c r="Q267" s="23" t="n">
        <f aca="false">IF(ISNUMBER(Tabelle1!S268),Tabelle1!S268/'SF Workings'!BJ267,"")</f>
        <v>129.291337141305</v>
      </c>
      <c r="R267" s="23" t="n">
        <f aca="false">IFERROR(C267*'Weights &amp; Assumptions'!$F$6+D267*'Weights &amp; Assumptions'!$F$7,"")</f>
        <v>124.132591207767</v>
      </c>
      <c r="S267" s="23" t="n">
        <f aca="false">IFERROR(E267*'Weights &amp; Assumptions'!$F$8+F267*'Weights &amp; Assumptions'!$F$9+H267*'Weights &amp; Assumptions'!$F$11,"")</f>
        <v>121.697498816787</v>
      </c>
      <c r="T267" s="23" t="n">
        <f aca="false">IFERROR(G267*'Weights &amp; Assumptions'!$F$10+I267*'Weights &amp; Assumptions'!$F$12+J267*'Weights &amp; Assumptions'!$F$13+K267*'Weights &amp; Assumptions'!$F$14+L267*'Weights &amp; Assumptions'!$F$15+M267*'Weights &amp; Assumptions'!$F$16+N267*'Weights &amp; Assumptions'!$F$17+O267*'Weights &amp; Assumptions'!$F$18+P267*'Weights &amp; Assumptions'!$F$19+Q267*'Weights &amp; Assumptions'!$F$20,"")</f>
        <v>168.511182211951</v>
      </c>
      <c r="U267" s="23" t="n">
        <f aca="false">IFERROR(R267*'Weights &amp; Assumptions'!$B$25/'Weights &amp; Assumptions'!$B$28+S267*'Weights &amp; Assumptions'!$B$26/'Weights &amp; Assumptions'!$B$28+T267*'Weights &amp; Assumptions'!$B$27/'Weights &amp; Assumptions'!$B$28,"")</f>
        <v>152.339205330988</v>
      </c>
      <c r="V267" s="30" t="n">
        <f aca="false">IF(ISNUMBER(Tabelle1!E268),Tabelle1!E268*'Weights &amp; Assumptions'!$F$6+Tabelle1!F268*'Weights &amp; Assumptions'!$F$7,"")</f>
        <v>78.0870369808465</v>
      </c>
      <c r="W267" s="30" t="n">
        <f aca="false">IF(ISNUMBER(Tabelle1!G268),Tabelle1!G268*'Weights &amp; Assumptions'!$F$8+Tabelle1!H268*'Weights &amp; Assumptions'!$F$9+Tabelle1!J268*'Weights &amp; Assumptions'!$F$11,"")</f>
        <v>127.136575486014</v>
      </c>
      <c r="X267" s="30" t="n">
        <f aca="false">IF(ISNUMBER(Tabelle1!I268),Tabelle1!I268*'Weights &amp; Assumptions'!$F$10+Tabelle1!K268*'Weights &amp; Assumptions'!$F$12+Tabelle1!L268*'Weights &amp; Assumptions'!$F$13+Tabelle1!M268*'Weights &amp; Assumptions'!$F$14+Tabelle1!N268*'Weights &amp; Assumptions'!$F$15+Tabelle1!O268*'Weights &amp; Assumptions'!$F$16+Tabelle1!P268*'Weights &amp; Assumptions'!$F$17+Tabelle1!Q268*'Weights &amp; Assumptions'!$F$18+Tabelle1!R268*'Weights &amp; Assumptions'!$F$19+Tabelle1!S268*'Weights &amp; Assumptions'!$F$20,"")</f>
        <v>168.176024946023</v>
      </c>
      <c r="Y267" s="23" t="n">
        <f aca="false">IFERROR(V267*'Weights &amp; Assumptions'!$B$25/'Weights &amp; Assumptions'!$B$28+W267*'Weights &amp; Assumptions'!$B$26/'Weights &amp; Assumptions'!$B$28+X267*'Weights &amp; Assumptions'!$B$27/'Weights &amp; Assumptions'!$B$28,"")</f>
        <v>149.704377388545</v>
      </c>
    </row>
    <row r="268" customFormat="false" ht="15" hidden="false" customHeight="false" outlineLevel="0" collapsed="false">
      <c r="A268" s="20" t="n">
        <v>45961</v>
      </c>
      <c r="B268" s="30" t="n">
        <f aca="false">IF(ISNUMBER(Tabelle1!D269),Tabelle1!D269,"")</f>
        <v>153.09073</v>
      </c>
      <c r="C268" s="23" t="n">
        <f aca="false">IF(ISNUMBER(Tabelle1!E269),Tabelle1!E269/'SF Workings'!F268,"")</f>
        <v>125.602038389251</v>
      </c>
      <c r="D268" s="23" t="n">
        <f aca="false">IF(ISNUMBER(Tabelle1!F269),Tabelle1!F269/'SF Workings'!J268,"")</f>
        <v>203.303383344798</v>
      </c>
      <c r="E268" s="23" t="n">
        <f aca="false">IF(ISNUMBER(Tabelle1!G269),Tabelle1!G269/'SF Workings'!N268,"")</f>
        <v>126.122911537058</v>
      </c>
      <c r="F268" s="23" t="n">
        <f aca="false">IF(ISNUMBER(Tabelle1!H269),Tabelle1!H269/'SF Workings'!R268,"")</f>
        <v>120.344199062979</v>
      </c>
      <c r="G268" s="23" t="n">
        <f aca="false">IF(ISNUMBER(Tabelle1!I269),Tabelle1!I269/'SF Workings'!V268,"")</f>
        <v>152.597789862082</v>
      </c>
      <c r="H268" s="23" t="n">
        <f aca="false">IF(ISNUMBER(Tabelle1!J269),Tabelle1!J269/'SF Workings'!Z268,"")</f>
        <v>132.312040278133</v>
      </c>
      <c r="I268" s="23" t="n">
        <f aca="false">IF(ISNUMBER(Tabelle1!K269),Tabelle1!K269/'SF Workings'!AD268,"")</f>
        <v>156.377482464894</v>
      </c>
      <c r="J268" s="23" t="n">
        <f aca="false">IF(ISNUMBER(Tabelle1!L269),Tabelle1!L269/'SF Workings'!AH268,"")</f>
        <v>180.185649891373</v>
      </c>
      <c r="K268" s="23" t="n">
        <f aca="false">IF(ISNUMBER(Tabelle1!M269),Tabelle1!M269/'SF Workings'!AL268,"")</f>
        <v>189.146770218697</v>
      </c>
      <c r="L268" s="23" t="n">
        <f aca="false">IF(ISNUMBER(Tabelle1!N269),Tabelle1!N269/'SF Workings'!AP268,"")</f>
        <v>204.685256412446</v>
      </c>
      <c r="M268" s="23" t="n">
        <f aca="false">IF(ISNUMBER(Tabelle1!O269),Tabelle1!O269/'SF Workings'!AT268,"")</f>
        <v>161.49809113715</v>
      </c>
      <c r="N268" s="23" t="n">
        <f aca="false">IF(ISNUMBER(Tabelle1!P269),Tabelle1!P269/'SF Workings'!AX268,"")</f>
        <v>159.701764717742</v>
      </c>
      <c r="O268" s="23" t="n">
        <f aca="false">IF(ISNUMBER(Tabelle1!Q269),Tabelle1!Q269/'SF Workings'!BB268,"")</f>
        <v>172.166772660981</v>
      </c>
      <c r="P268" s="23" t="n">
        <f aca="false">IF(ISNUMBER(Tabelle1!R269),Tabelle1!R269/'SF Workings'!BF268,"")</f>
        <v>185.56959176113</v>
      </c>
      <c r="Q268" s="23" t="n">
        <f aca="false">IF(ISNUMBER(Tabelle1!S269),Tabelle1!S269/'SF Workings'!BJ268,"")</f>
        <v>129.035091215024</v>
      </c>
      <c r="R268" s="23" t="n">
        <f aca="false">IFERROR(C268*'Weights &amp; Assumptions'!$F$6+D268*'Weights &amp; Assumptions'!$F$7,"")</f>
        <v>126.554076894326</v>
      </c>
      <c r="S268" s="23" t="n">
        <f aca="false">IFERROR(E268*'Weights &amp; Assumptions'!$F$8+F268*'Weights &amp; Assumptions'!$F$9+H268*'Weights &amp; Assumptions'!$F$11,"")</f>
        <v>123.527348082029</v>
      </c>
      <c r="T268" s="23" t="n">
        <f aca="false">IFERROR(G268*'Weights &amp; Assumptions'!$F$10+I268*'Weights &amp; Assumptions'!$F$12+J268*'Weights &amp; Assumptions'!$F$13+K268*'Weights &amp; Assumptions'!$F$14+L268*'Weights &amp; Assumptions'!$F$15+M268*'Weights &amp; Assumptions'!$F$16+N268*'Weights &amp; Assumptions'!$F$17+O268*'Weights &amp; Assumptions'!$F$18+P268*'Weights &amp; Assumptions'!$F$19+Q268*'Weights &amp; Assumptions'!$F$20,"")</f>
        <v>168.989963193893</v>
      </c>
      <c r="U268" s="23" t="n">
        <f aca="false">IFERROR(R268*'Weights &amp; Assumptions'!$B$25/'Weights &amp; Assumptions'!$B$28+S268*'Weights &amp; Assumptions'!$B$26/'Weights &amp; Assumptions'!$B$28+T268*'Weights &amp; Assumptions'!$B$27/'Weights &amp; Assumptions'!$B$28,"")</f>
        <v>153.340253511576</v>
      </c>
      <c r="V268" s="30" t="n">
        <f aca="false">IF(ISNUMBER(Tabelle1!E269),Tabelle1!E269*'Weights &amp; Assumptions'!$F$6+Tabelle1!F269*'Weights &amp; Assumptions'!$F$7,"")</f>
        <v>72.2775019366873</v>
      </c>
      <c r="W268" s="30" t="n">
        <f aca="false">IF(ISNUMBER(Tabelle1!G269),Tabelle1!G269*'Weights &amp; Assumptions'!$F$8+Tabelle1!H269*'Weights &amp; Assumptions'!$F$9+Tabelle1!J269*'Weights &amp; Assumptions'!$F$11,"")</f>
        <v>130.655941951316</v>
      </c>
      <c r="X268" s="30" t="n">
        <f aca="false">IF(ISNUMBER(Tabelle1!I269),Tabelle1!I269*'Weights &amp; Assumptions'!$F$10+Tabelle1!K269*'Weights &amp; Assumptions'!$F$12+Tabelle1!L269*'Weights &amp; Assumptions'!$F$13+Tabelle1!M269*'Weights &amp; Assumptions'!$F$14+Tabelle1!N269*'Weights &amp; Assumptions'!$F$15+Tabelle1!O269*'Weights &amp; Assumptions'!$F$16+Tabelle1!P269*'Weights &amp; Assumptions'!$F$17+Tabelle1!Q269*'Weights &amp; Assumptions'!$F$18+Tabelle1!R269*'Weights &amp; Assumptions'!$F$19+Tabelle1!S269*'Weights &amp; Assumptions'!$F$20,"")</f>
        <v>169.784407128516</v>
      </c>
      <c r="Y268" s="23" t="n">
        <f aca="false">IFERROR(V268*'Weights &amp; Assumptions'!$B$25/'Weights &amp; Assumptions'!$B$28+W268*'Weights &amp; Assumptions'!$B$26/'Weights &amp; Assumptions'!$B$28+X268*'Weights &amp; Assumptions'!$B$27/'Weights &amp; Assumptions'!$B$28,"")</f>
        <v>151.198554244732</v>
      </c>
    </row>
    <row r="269" customFormat="false" ht="15" hidden="false" customHeight="false" outlineLevel="0" collapsed="false">
      <c r="A269" s="20" t="n">
        <v>45991</v>
      </c>
      <c r="B269" s="30" t="n">
        <f aca="false">IF(ISNUMBER(Tabelle1!D270),Tabelle1!D270,"")</f>
        <v>153.01279</v>
      </c>
      <c r="C269" s="23" t="n">
        <f aca="false">IF(ISNUMBER(Tabelle1!E270),Tabelle1!E270/'SF Workings'!F269,"")</f>
        <v>131.086736868504</v>
      </c>
      <c r="D269" s="23" t="n">
        <f aca="false">IF(ISNUMBER(Tabelle1!F270),Tabelle1!F270/'SF Workings'!J269,"")</f>
        <v>211.26719156899</v>
      </c>
      <c r="E269" s="23" t="n">
        <f aca="false">IF(ISNUMBER(Tabelle1!G270),Tabelle1!G270/'SF Workings'!N269,"")</f>
        <v>125.946403381004</v>
      </c>
      <c r="F269" s="23" t="n">
        <f aca="false">IF(ISNUMBER(Tabelle1!H270),Tabelle1!H270/'SF Workings'!R269,"")</f>
        <v>112.984435751445</v>
      </c>
      <c r="G269" s="23" t="n">
        <f aca="false">IF(ISNUMBER(Tabelle1!I270),Tabelle1!I270/'SF Workings'!V269,"")</f>
        <v>147.273160143127</v>
      </c>
      <c r="H269" s="23" t="n">
        <f aca="false">IF(ISNUMBER(Tabelle1!J270),Tabelle1!J270/'SF Workings'!Z269,"")</f>
        <v>124.547551042243</v>
      </c>
      <c r="I269" s="23" t="n">
        <f aca="false">IF(ISNUMBER(Tabelle1!K270),Tabelle1!K270/'SF Workings'!AD269,"")</f>
        <v>146.839545721873</v>
      </c>
      <c r="J269" s="23" t="n">
        <f aca="false">IF(ISNUMBER(Tabelle1!L270),Tabelle1!L270/'SF Workings'!AH269,"")</f>
        <v>183.508056933607</v>
      </c>
      <c r="K269" s="23" t="n">
        <f aca="false">IF(ISNUMBER(Tabelle1!M270),Tabelle1!M270/'SF Workings'!AL269,"")</f>
        <v>187.541447303341</v>
      </c>
      <c r="L269" s="23" t="n">
        <f aca="false">IF(ISNUMBER(Tabelle1!N270),Tabelle1!N270/'SF Workings'!AP269,"")</f>
        <v>195.542937367161</v>
      </c>
      <c r="M269" s="23" t="n">
        <f aca="false">IF(ISNUMBER(Tabelle1!O270),Tabelle1!O270/'SF Workings'!AT269,"")</f>
        <v>157.090201133052</v>
      </c>
      <c r="N269" s="23" t="n">
        <f aca="false">IF(ISNUMBER(Tabelle1!P270),Tabelle1!P270/'SF Workings'!AX269,"")</f>
        <v>159.762777262861</v>
      </c>
      <c r="O269" s="23" t="n">
        <f aca="false">IF(ISNUMBER(Tabelle1!Q270),Tabelle1!Q270/'SF Workings'!BB269,"")</f>
        <v>172.145090574676</v>
      </c>
      <c r="P269" s="23" t="n">
        <f aca="false">IF(ISNUMBER(Tabelle1!R270),Tabelle1!R270/'SF Workings'!BF269,"")</f>
        <v>185.297323910914</v>
      </c>
      <c r="Q269" s="23" t="n">
        <f aca="false">IF(ISNUMBER(Tabelle1!S270),Tabelle1!S270/'SF Workings'!BJ269,"")</f>
        <v>127.371603896832</v>
      </c>
      <c r="R269" s="23" t="n">
        <f aca="false">IFERROR(C269*'Weights &amp; Assumptions'!$F$6+D269*'Weights &amp; Assumptions'!$F$7,"")</f>
        <v>132.069150754299</v>
      </c>
      <c r="S269" s="23" t="n">
        <f aca="false">IFERROR(E269*'Weights &amp; Assumptions'!$F$8+F269*'Weights &amp; Assumptions'!$F$9+H269*'Weights &amp; Assumptions'!$F$11,"")</f>
        <v>116.940935010626</v>
      </c>
      <c r="T269" s="23" t="n">
        <f aca="false">IFERROR(G269*'Weights &amp; Assumptions'!$F$10+I269*'Weights &amp; Assumptions'!$F$12+J269*'Weights &amp; Assumptions'!$F$13+K269*'Weights &amp; Assumptions'!$F$14+L269*'Weights &amp; Assumptions'!$F$15+M269*'Weights &amp; Assumptions'!$F$16+N269*'Weights &amp; Assumptions'!$F$17+O269*'Weights &amp; Assumptions'!$F$18+P269*'Weights &amp; Assumptions'!$F$19+Q269*'Weights &amp; Assumptions'!$F$20,"")</f>
        <v>165.117068559913</v>
      </c>
      <c r="U269" s="23" t="n">
        <f aca="false">IFERROR(R269*'Weights &amp; Assumptions'!$B$25/'Weights &amp; Assumptions'!$B$28+S269*'Weights &amp; Assumptions'!$B$26/'Weights &amp; Assumptions'!$B$28+T269*'Weights &amp; Assumptions'!$B$27/'Weights &amp; Assumptions'!$B$28,"")</f>
        <v>149.533445294191</v>
      </c>
      <c r="V269" s="30" t="n">
        <f aca="false">IF(ISNUMBER(Tabelle1!E270),Tabelle1!E270*'Weights &amp; Assumptions'!$F$6+Tabelle1!F270*'Weights &amp; Assumptions'!$F$7,"")</f>
        <v>90.7110586304096</v>
      </c>
      <c r="W269" s="30" t="n">
        <f aca="false">IF(ISNUMBER(Tabelle1!G270),Tabelle1!G270*'Weights &amp; Assumptions'!$F$8+Tabelle1!H270*'Weights &amp; Assumptions'!$F$9+Tabelle1!J270*'Weights &amp; Assumptions'!$F$11,"")</f>
        <v>121.279246814243</v>
      </c>
      <c r="X269" s="30" t="n">
        <f aca="false">IF(ISNUMBER(Tabelle1!I270),Tabelle1!I270*'Weights &amp; Assumptions'!$F$10+Tabelle1!K270*'Weights &amp; Assumptions'!$F$12+Tabelle1!L270*'Weights &amp; Assumptions'!$F$13+Tabelle1!M270*'Weights &amp; Assumptions'!$F$14+Tabelle1!N270*'Weights &amp; Assumptions'!$F$15+Tabelle1!O270*'Weights &amp; Assumptions'!$F$16+Tabelle1!P270*'Weights &amp; Assumptions'!$F$17+Tabelle1!Q270*'Weights &amp; Assumptions'!$F$18+Tabelle1!R270*'Weights &amp; Assumptions'!$F$19+Tabelle1!S270*'Weights &amp; Assumptions'!$F$20,"")</f>
        <v>165.322022743628</v>
      </c>
      <c r="Y269" s="23" t="n">
        <f aca="false">IFERROR(V269*'Weights &amp; Assumptions'!$B$25/'Weights &amp; Assumptions'!$B$28+W269*'Weights &amp; Assumptions'!$B$26/'Weights &amp; Assumptions'!$B$28+X269*'Weights &amp; Assumptions'!$B$27/'Weights &amp; Assumptions'!$B$28,"")</f>
        <v>147.350357297305</v>
      </c>
    </row>
    <row r="270" customFormat="false" ht="15" hidden="false" customHeight="false" outlineLevel="0" collapsed="false">
      <c r="A270" s="20" t="n">
        <v>46022</v>
      </c>
      <c r="B270" s="30" t="n">
        <f aca="false">IF(ISNUMBER(Tabelle1!D271),Tabelle1!D271,"")</f>
        <v>155.94782</v>
      </c>
      <c r="C270" s="23" t="n">
        <f aca="false">IF(ISNUMBER(Tabelle1!E271),Tabelle1!E271/'SF Workings'!F270,"")</f>
        <v>158.308443806308</v>
      </c>
      <c r="D270" s="23" t="n">
        <f aca="false">IF(ISNUMBER(Tabelle1!F271),Tabelle1!F271/'SF Workings'!J270,"")</f>
        <v>197.284853461524</v>
      </c>
      <c r="E270" s="23" t="n">
        <f aca="false">IF(ISNUMBER(Tabelle1!G271),Tabelle1!G271/'SF Workings'!N270,"")</f>
        <v>129.19747460266</v>
      </c>
      <c r="F270" s="23" t="n">
        <f aca="false">IF(ISNUMBER(Tabelle1!H271),Tabelle1!H271/'SF Workings'!R270,"")</f>
        <v>118.866801497436</v>
      </c>
      <c r="G270" s="23" t="n">
        <f aca="false">IF(ISNUMBER(Tabelle1!I271),Tabelle1!I271/'SF Workings'!V270,"")</f>
        <v>158.109574097581</v>
      </c>
      <c r="H270" s="23" t="n">
        <f aca="false">IF(ISNUMBER(Tabelle1!J271),Tabelle1!J271/'SF Workings'!Z270,"")</f>
        <v>128.789309959604</v>
      </c>
      <c r="I270" s="23" t="n">
        <f aca="false">IF(ISNUMBER(Tabelle1!K271),Tabelle1!K271/'SF Workings'!AD270,"")</f>
        <v>154.813400443845</v>
      </c>
      <c r="J270" s="23" t="n">
        <f aca="false">IF(ISNUMBER(Tabelle1!L271),Tabelle1!L271/'SF Workings'!AH270,"")</f>
        <v>187.186662488473</v>
      </c>
      <c r="K270" s="23" t="n">
        <f aca="false">IF(ISNUMBER(Tabelle1!M271),Tabelle1!M271/'SF Workings'!AL270,"")</f>
        <v>188.905637960586</v>
      </c>
      <c r="L270" s="23" t="n">
        <f aca="false">IF(ISNUMBER(Tabelle1!N271),Tabelle1!N271/'SF Workings'!AP270,"")</f>
        <v>198.541767126965</v>
      </c>
      <c r="M270" s="23" t="n">
        <f aca="false">IF(ISNUMBER(Tabelle1!O271),Tabelle1!O271/'SF Workings'!AT270,"")</f>
        <v>160.400258366417</v>
      </c>
      <c r="N270" s="23" t="n">
        <f aca="false">IF(ISNUMBER(Tabelle1!P271),Tabelle1!P271/'SF Workings'!AX270,"")</f>
        <v>159.50671458524</v>
      </c>
      <c r="O270" s="23" t="n">
        <f aca="false">IF(ISNUMBER(Tabelle1!Q271),Tabelle1!Q271/'SF Workings'!BB270,"")</f>
        <v>172.106986231521</v>
      </c>
      <c r="P270" s="23" t="n">
        <f aca="false">IF(ISNUMBER(Tabelle1!R271),Tabelle1!R271/'SF Workings'!BF270,"")</f>
        <v>185.104304215943</v>
      </c>
      <c r="Q270" s="23" t="n">
        <f aca="false">IF(ISNUMBER(Tabelle1!S271),Tabelle1!S271/'SF Workings'!BJ270,"")</f>
        <v>129.439475856338</v>
      </c>
      <c r="R270" s="23" t="n">
        <f aca="false">IFERROR(C270*'Weights &amp; Assumptions'!$F$6+D270*'Weights &amp; Assumptions'!$F$7,"")</f>
        <v>158.786003658104</v>
      </c>
      <c r="S270" s="23" t="n">
        <f aca="false">IFERROR(E270*'Weights &amp; Assumptions'!$F$8+F270*'Weights &amp; Assumptions'!$F$9+H270*'Weights &amp; Assumptions'!$F$11,"")</f>
        <v>122.167353067354</v>
      </c>
      <c r="T270" s="23" t="n">
        <f aca="false">IFERROR(G270*'Weights &amp; Assumptions'!$F$10+I270*'Weights &amp; Assumptions'!$F$12+J270*'Weights &amp; Assumptions'!$F$13+K270*'Weights &amp; Assumptions'!$F$14+L270*'Weights &amp; Assumptions'!$F$15+M270*'Weights &amp; Assumptions'!$F$16+N270*'Weights &amp; Assumptions'!$F$17+O270*'Weights &amp; Assumptions'!$F$18+P270*'Weights &amp; Assumptions'!$F$19+Q270*'Weights &amp; Assumptions'!$F$20,"")</f>
        <v>168.393780716533</v>
      </c>
      <c r="U270" s="23" t="n">
        <f aca="false">IFERROR(R270*'Weights &amp; Assumptions'!$B$25/'Weights &amp; Assumptions'!$B$28+S270*'Weights &amp; Assumptions'!$B$26/'Weights &amp; Assumptions'!$B$28+T270*'Weights &amp; Assumptions'!$B$27/'Weights &amp; Assumptions'!$B$28,"")</f>
        <v>155.295265622969</v>
      </c>
      <c r="V270" s="30" t="n">
        <f aca="false">IF(ISNUMBER(Tabelle1!E271),Tabelle1!E271*'Weights &amp; Assumptions'!$F$6+Tabelle1!F271*'Weights &amp; Assumptions'!$F$7,"")</f>
        <v>145.750437088593</v>
      </c>
      <c r="W270" s="30" t="n">
        <f aca="false">IF(ISNUMBER(Tabelle1!G271),Tabelle1!G271*'Weights &amp; Assumptions'!$F$8+Tabelle1!H271*'Weights &amp; Assumptions'!$F$9+Tabelle1!J271*'Weights &amp; Assumptions'!$F$11,"")</f>
        <v>119.833503345129</v>
      </c>
      <c r="X270" s="30" t="n">
        <f aca="false">IF(ISNUMBER(Tabelle1!I271),Tabelle1!I271*'Weights &amp; Assumptions'!$F$10+Tabelle1!K271*'Weights &amp; Assumptions'!$F$12+Tabelle1!L271*'Weights &amp; Assumptions'!$F$13+Tabelle1!M271*'Weights &amp; Assumptions'!$F$14+Tabelle1!N271*'Weights &amp; Assumptions'!$F$15+Tabelle1!O271*'Weights &amp; Assumptions'!$F$16+Tabelle1!P271*'Weights &amp; Assumptions'!$F$17+Tabelle1!Q271*'Weights &amp; Assumptions'!$F$18+Tabelle1!R271*'Weights &amp; Assumptions'!$F$19+Tabelle1!S271*'Weights &amp; Assumptions'!$F$20,"")</f>
        <v>167.23700081737</v>
      </c>
      <c r="Y270" s="23" t="n">
        <f aca="false">IFERROR(V270*'Weights &amp; Assumptions'!$B$25/'Weights &amp; Assumptions'!$B$28+W270*'Weights &amp; Assumptions'!$B$26/'Weights &amp; Assumptions'!$B$28+X270*'Weights &amp; Assumptions'!$B$27/'Weights &amp; Assumptions'!$B$28,"")</f>
        <v>152.828842209456</v>
      </c>
    </row>
    <row r="271" customFormat="false" ht="15" hidden="false" customHeight="false" outlineLevel="0" collapsed="false">
      <c r="A271" s="20" t="n">
        <v>46053</v>
      </c>
      <c r="B271" s="30" t="n">
        <f aca="false">IF(ISNUMBER(Tabelle1!D272),Tabelle1!D272,"")</f>
        <v>156.30087</v>
      </c>
      <c r="C271" s="23" t="n">
        <f aca="false">IF(ISNUMBER(Tabelle1!E272),Tabelle1!E272/'SF Workings'!F271,"")</f>
        <v>145.190463330161</v>
      </c>
      <c r="D271" s="23" t="n">
        <f aca="false">IF(ISNUMBER(Tabelle1!F272),Tabelle1!F272/'SF Workings'!J271,"")</f>
        <v>250.088120374256</v>
      </c>
      <c r="E271" s="23" t="n">
        <f aca="false">IF(ISNUMBER(Tabelle1!G272),Tabelle1!G272/'SF Workings'!N271,"")</f>
        <v>132.134976179963</v>
      </c>
      <c r="F271" s="23" t="n">
        <f aca="false">IF(ISNUMBER(Tabelle1!H272),Tabelle1!H272/'SF Workings'!R271,"")</f>
        <v>122.69691733883</v>
      </c>
      <c r="G271" s="23" t="n">
        <f aca="false">IF(ISNUMBER(Tabelle1!I272),Tabelle1!I272/'SF Workings'!V271,"")</f>
        <v>148.032742453665</v>
      </c>
      <c r="H271" s="23" t="n">
        <f aca="false">IF(ISNUMBER(Tabelle1!J272),Tabelle1!J272/'SF Workings'!Z271,"")</f>
        <v>133.073636993124</v>
      </c>
      <c r="I271" s="23" t="n">
        <f aca="false">IF(ISNUMBER(Tabelle1!K272),Tabelle1!K272/'SF Workings'!AD271,"")</f>
        <v>159.082077160881</v>
      </c>
      <c r="J271" s="23" t="n">
        <f aca="false">IF(ISNUMBER(Tabelle1!L272),Tabelle1!L272/'SF Workings'!AH271,"")</f>
        <v>166.953057460724</v>
      </c>
      <c r="K271" s="23" t="n">
        <f aca="false">IF(ISNUMBER(Tabelle1!M272),Tabelle1!M272/'SF Workings'!AL271,"")</f>
        <v>191.907667089559</v>
      </c>
      <c r="L271" s="23" t="n">
        <f aca="false">IF(ISNUMBER(Tabelle1!N272),Tabelle1!N272/'SF Workings'!AP271,"")</f>
        <v>197.478079210733</v>
      </c>
      <c r="M271" s="23" t="n">
        <f aca="false">IF(ISNUMBER(Tabelle1!O272),Tabelle1!O272/'SF Workings'!AT271,"")</f>
        <v>158.152517976457</v>
      </c>
      <c r="N271" s="23" t="n">
        <f aca="false">IF(ISNUMBER(Tabelle1!P272),Tabelle1!P272/'SF Workings'!AX271,"")</f>
        <v>159.913433092471</v>
      </c>
      <c r="O271" s="23" t="n">
        <f aca="false">IF(ISNUMBER(Tabelle1!Q272),Tabelle1!Q272/'SF Workings'!BB271,"")</f>
        <v>171.622346193719</v>
      </c>
      <c r="P271" s="23" t="n">
        <f aca="false">IF(ISNUMBER(Tabelle1!R272),Tabelle1!R272/'SF Workings'!BF271,"")</f>
        <v>186.518077298757</v>
      </c>
      <c r="Q271" s="23" t="n">
        <f aca="false">IF(ISNUMBER(Tabelle1!S272),Tabelle1!S272/'SF Workings'!BJ271,"")</f>
        <v>128.678242284119</v>
      </c>
      <c r="R271" s="23" t="n">
        <f aca="false">IFERROR(C271*'Weights &amp; Assumptions'!$F$6+D271*'Weights &amp; Assumptions'!$F$7,"")</f>
        <v>146.475725620734</v>
      </c>
      <c r="S271" s="23" t="n">
        <f aca="false">IFERROR(E271*'Weights &amp; Assumptions'!$F$8+F271*'Weights &amp; Assumptions'!$F$9+H271*'Weights &amp; Assumptions'!$F$11,"")</f>
        <v>125.985515729668</v>
      </c>
      <c r="T271" s="23" t="n">
        <f aca="false">IFERROR(G271*'Weights &amp; Assumptions'!$F$10+I271*'Weights &amp; Assumptions'!$F$12+J271*'Weights &amp; Assumptions'!$F$13+K271*'Weights &amp; Assumptions'!$F$14+L271*'Weights &amp; Assumptions'!$F$15+M271*'Weights &amp; Assumptions'!$F$16+N271*'Weights &amp; Assumptions'!$F$17+O271*'Weights &amp; Assumptions'!$F$18+P271*'Weights &amp; Assumptions'!$F$19+Q271*'Weights &amp; Assumptions'!$F$20,"")</f>
        <v>167.991428134378</v>
      </c>
      <c r="U271" s="23" t="n">
        <f aca="false">IFERROR(R271*'Weights &amp; Assumptions'!$B$25/'Weights &amp; Assumptions'!$B$28+S271*'Weights &amp; Assumptions'!$B$26/'Weights &amp; Assumptions'!$B$28+T271*'Weights &amp; Assumptions'!$B$27/'Weights &amp; Assumptions'!$B$28,"")</f>
        <v>155.016136913528</v>
      </c>
      <c r="V271" s="30" t="n">
        <f aca="false">IF(ISNUMBER(Tabelle1!E272),Tabelle1!E272*'Weights &amp; Assumptions'!$F$6+Tabelle1!F272*'Weights &amp; Assumptions'!$F$7,"")</f>
        <v>115.026880544451</v>
      </c>
      <c r="W271" s="30" t="n">
        <f aca="false">IF(ISNUMBER(Tabelle1!G272),Tabelle1!G272*'Weights &amp; Assumptions'!$F$8+Tabelle1!H272*'Weights &amp; Assumptions'!$F$9+Tabelle1!J272*'Weights &amp; Assumptions'!$F$11,"")</f>
        <v>114.084743112689</v>
      </c>
      <c r="X271" s="30" t="n">
        <f aca="false">IF(ISNUMBER(Tabelle1!I272),Tabelle1!I272*'Weights &amp; Assumptions'!$F$10+Tabelle1!K272*'Weights &amp; Assumptions'!$F$12+Tabelle1!L272*'Weights &amp; Assumptions'!$F$13+Tabelle1!M272*'Weights &amp; Assumptions'!$F$14+Tabelle1!N272*'Weights &amp; Assumptions'!$F$15+Tabelle1!O272*'Weights &amp; Assumptions'!$F$16+Tabelle1!P272*'Weights &amp; Assumptions'!$F$17+Tabelle1!Q272*'Weights &amp; Assumptions'!$F$18+Tabelle1!R272*'Weights &amp; Assumptions'!$F$19+Tabelle1!S272*'Weights &amp; Assumptions'!$F$20,"")</f>
        <v>166.299133136209</v>
      </c>
      <c r="Y271" s="23" t="n">
        <f aca="false">IFERROR(V271*'Weights &amp; Assumptions'!$B$25/'Weights &amp; Assumptions'!$B$28+W271*'Weights &amp; Assumptions'!$B$26/'Weights &amp; Assumptions'!$B$28+X271*'Weights &amp; Assumptions'!$B$27/'Weights &amp; Assumptions'!$B$28,"")</f>
        <v>148.11263007824</v>
      </c>
    </row>
    <row r="272" customFormat="false" ht="15" hidden="false" customHeight="false" outlineLevel="0" collapsed="false">
      <c r="A272" s="20" t="n">
        <v>46081</v>
      </c>
      <c r="B272" s="30" t="n">
        <f aca="false">IF(ISNUMBER(Tabelle1!D273),Tabelle1!D273,"")</f>
        <v>152.46233</v>
      </c>
      <c r="C272" s="23" t="n">
        <f aca="false">IF(ISNUMBER(Tabelle1!E273),Tabelle1!E273/'SF Workings'!F272,"")</f>
        <v>127.691571314723</v>
      </c>
      <c r="D272" s="23" t="n">
        <f aca="false">IF(ISNUMBER(Tabelle1!F273),Tabelle1!F273/'SF Workings'!J272,"")</f>
        <v>239.701503801841</v>
      </c>
      <c r="E272" s="23" t="n">
        <f aca="false">IF(ISNUMBER(Tabelle1!G273),Tabelle1!G273/'SF Workings'!N272,"")</f>
        <v>131.672090429956</v>
      </c>
      <c r="F272" s="23" t="n">
        <f aca="false">IF(ISNUMBER(Tabelle1!H273),Tabelle1!H273/'SF Workings'!R272,"")</f>
        <v>113.332904771616</v>
      </c>
      <c r="G272" s="23" t="n">
        <f aca="false">IF(ISNUMBER(Tabelle1!I273),Tabelle1!I273/'SF Workings'!V272,"")</f>
        <v>147.784274351582</v>
      </c>
      <c r="H272" s="23" t="n">
        <f aca="false">IF(ISNUMBER(Tabelle1!J273),Tabelle1!J273/'SF Workings'!Z272,"")</f>
        <v>131.840476585654</v>
      </c>
      <c r="I272" s="23" t="n">
        <f aca="false">IF(ISNUMBER(Tabelle1!K273),Tabelle1!K273/'SF Workings'!AD272,"")</f>
        <v>153.663542036049</v>
      </c>
      <c r="J272" s="23" t="n">
        <f aca="false">IF(ISNUMBER(Tabelle1!L273),Tabelle1!L273/'SF Workings'!AH272,"")</f>
        <v>168.755697767393</v>
      </c>
      <c r="K272" s="23" t="n">
        <f aca="false">IF(ISNUMBER(Tabelle1!M273),Tabelle1!M273/'SF Workings'!AL272,"")</f>
        <v>184.654878762072</v>
      </c>
      <c r="L272" s="23" t="n">
        <f aca="false">IF(ISNUMBER(Tabelle1!N273),Tabelle1!N273/'SF Workings'!AP272,"")</f>
        <v>199.654539422566</v>
      </c>
      <c r="M272" s="23" t="n">
        <f aca="false">IF(ISNUMBER(Tabelle1!O273),Tabelle1!O273/'SF Workings'!AT272,"")</f>
        <v>158.16397637287</v>
      </c>
      <c r="N272" s="23" t="n">
        <f aca="false">IF(ISNUMBER(Tabelle1!P273),Tabelle1!P273/'SF Workings'!AX272,"")</f>
        <v>160.028497006465</v>
      </c>
      <c r="O272" s="23" t="n">
        <f aca="false">IF(ISNUMBER(Tabelle1!Q273),Tabelle1!Q273/'SF Workings'!BB272,"")</f>
        <v>172.568125394821</v>
      </c>
      <c r="P272" s="23" t="n">
        <f aca="false">IF(ISNUMBER(Tabelle1!R273),Tabelle1!R273/'SF Workings'!BF272,"")</f>
        <v>186.23720038397</v>
      </c>
      <c r="Q272" s="23" t="n">
        <f aca="false">IF(ISNUMBER(Tabelle1!S273),Tabelle1!S273/'SF Workings'!BJ272,"")</f>
        <v>128.530069388474</v>
      </c>
      <c r="R272" s="23" t="n">
        <f aca="false">IFERROR(C272*'Weights &amp; Assumptions'!$F$6+D272*'Weights &amp; Assumptions'!$F$7,"")</f>
        <v>129.063977014259</v>
      </c>
      <c r="S272" s="23" t="n">
        <f aca="false">IFERROR(E272*'Weights &amp; Assumptions'!$F$8+F272*'Weights &amp; Assumptions'!$F$9+H272*'Weights &amp; Assumptions'!$F$11,"")</f>
        <v>119.378125856441</v>
      </c>
      <c r="T272" s="23" t="n">
        <f aca="false">IFERROR(G272*'Weights &amp; Assumptions'!$F$10+I272*'Weights &amp; Assumptions'!$F$12+J272*'Weights &amp; Assumptions'!$F$13+K272*'Weights &amp; Assumptions'!$F$14+L272*'Weights &amp; Assumptions'!$F$15+M272*'Weights &amp; Assumptions'!$F$16+N272*'Weights &amp; Assumptions'!$F$17+O272*'Weights &amp; Assumptions'!$F$18+P272*'Weights &amp; Assumptions'!$F$19+Q272*'Weights &amp; Assumptions'!$F$20,"")</f>
        <v>166.130159258652</v>
      </c>
      <c r="U272" s="23" t="n">
        <f aca="false">IFERROR(R272*'Weights &amp; Assumptions'!$B$25/'Weights &amp; Assumptions'!$B$28+S272*'Weights &amp; Assumptions'!$B$26/'Weights &amp; Assumptions'!$B$28+T272*'Weights &amp; Assumptions'!$B$27/'Weights &amp; Assumptions'!$B$28,"")</f>
        <v>150.588093368048</v>
      </c>
      <c r="V272" s="30" t="n">
        <f aca="false">IF(ISNUMBER(Tabelle1!E273),Tabelle1!E273*'Weights &amp; Assumptions'!$F$6+Tabelle1!F273*'Weights &amp; Assumptions'!$F$7,"")</f>
        <v>82.8265879115863</v>
      </c>
      <c r="W272" s="30" t="n">
        <f aca="false">IF(ISNUMBER(Tabelle1!G273),Tabelle1!G273*'Weights &amp; Assumptions'!$F$8+Tabelle1!H273*'Weights &amp; Assumptions'!$F$9+Tabelle1!J273*'Weights &amp; Assumptions'!$F$11,"")</f>
        <v>108.12092619251</v>
      </c>
      <c r="X272" s="30" t="n">
        <f aca="false">IF(ISNUMBER(Tabelle1!I273),Tabelle1!I273*'Weights &amp; Assumptions'!$F$10+Tabelle1!K273*'Weights &amp; Assumptions'!$F$12+Tabelle1!L273*'Weights &amp; Assumptions'!$F$13+Tabelle1!M273*'Weights &amp; Assumptions'!$F$14+Tabelle1!N273*'Weights &amp; Assumptions'!$F$15+Tabelle1!O273*'Weights &amp; Assumptions'!$F$16+Tabelle1!P273*'Weights &amp; Assumptions'!$F$17+Tabelle1!Q273*'Weights &amp; Assumptions'!$F$18+Tabelle1!R273*'Weights &amp; Assumptions'!$F$19+Tabelle1!S273*'Weights &amp; Assumptions'!$F$20,"")</f>
        <v>161.82816357181</v>
      </c>
      <c r="Y272" s="23" t="n">
        <f aca="false">IFERROR(V272*'Weights &amp; Assumptions'!$B$25/'Weights &amp; Assumptions'!$B$28+W272*'Weights &amp; Assumptions'!$B$26/'Weights &amp; Assumptions'!$B$28+X272*'Weights &amp; Assumptions'!$B$27/'Weights &amp; Assumptions'!$B$28,"")</f>
        <v>140.918173042894</v>
      </c>
    </row>
    <row r="273" customFormat="false" ht="15" hidden="false" customHeight="false" outlineLevel="0" collapsed="false">
      <c r="A273" s="20" t="n">
        <v>46112</v>
      </c>
      <c r="B273" s="30" t="n">
        <f aca="false">IF(ISNUMBER(Tabelle1!D274),Tabelle1!D274,"")</f>
        <v>156.73111</v>
      </c>
      <c r="C273" s="23" t="n">
        <f aca="false">IF(ISNUMBER(Tabelle1!E274),Tabelle1!E274/'SF Workings'!F273,"")</f>
        <v>148.668023697493</v>
      </c>
      <c r="D273" s="23" t="n">
        <f aca="false">IF(ISNUMBER(Tabelle1!F274),Tabelle1!F274/'SF Workings'!J273,"")</f>
        <v>222.069301117851</v>
      </c>
      <c r="E273" s="23" t="n">
        <f aca="false">IF(ISNUMBER(Tabelle1!G274),Tabelle1!G274/'SF Workings'!N273,"")</f>
        <v>136.929022172274</v>
      </c>
      <c r="F273" s="23" t="n">
        <f aca="false">IF(ISNUMBER(Tabelle1!H274),Tabelle1!H274/'SF Workings'!R273,"")</f>
        <v>122.411617923976</v>
      </c>
      <c r="G273" s="23" t="n">
        <f aca="false">IF(ISNUMBER(Tabelle1!I274),Tabelle1!I274/'SF Workings'!V273,"")</f>
        <v>150.91506337005</v>
      </c>
      <c r="H273" s="23" t="n">
        <f aca="false">IF(ISNUMBER(Tabelle1!J274),Tabelle1!J274/'SF Workings'!Z273,"")</f>
        <v>141.724182915628</v>
      </c>
      <c r="I273" s="23" t="n">
        <f aca="false">IF(ISNUMBER(Tabelle1!K274),Tabelle1!K274/'SF Workings'!AD273,"")</f>
        <v>158.673014031765</v>
      </c>
      <c r="J273" s="23" t="n">
        <f aca="false">IF(ISNUMBER(Tabelle1!L274),Tabelle1!L274/'SF Workings'!AH273,"")</f>
        <v>169.81990867723</v>
      </c>
      <c r="K273" s="23" t="n">
        <f aca="false">IF(ISNUMBER(Tabelle1!M274),Tabelle1!M274/'SF Workings'!AL273,"")</f>
        <v>193.158607148035</v>
      </c>
      <c r="L273" s="23" t="n">
        <f aca="false">IF(ISNUMBER(Tabelle1!N274),Tabelle1!N274/'SF Workings'!AP273,"")</f>
        <v>202.964117806405</v>
      </c>
      <c r="M273" s="23" t="n">
        <f aca="false">IF(ISNUMBER(Tabelle1!O274),Tabelle1!O274/'SF Workings'!AT273,"")</f>
        <v>161.260022103804</v>
      </c>
      <c r="N273" s="23" t="n">
        <f aca="false">IF(ISNUMBER(Tabelle1!P274),Tabelle1!P274/'SF Workings'!AX273,"")</f>
        <v>159.747050969826</v>
      </c>
      <c r="O273" s="23" t="n">
        <f aca="false">IF(ISNUMBER(Tabelle1!Q274),Tabelle1!Q274/'SF Workings'!BB273,"")</f>
        <v>172.482056114036</v>
      </c>
      <c r="P273" s="23" t="n">
        <f aca="false">IF(ISNUMBER(Tabelle1!R274),Tabelle1!R274/'SF Workings'!BF273,"")</f>
        <v>186.410431671814</v>
      </c>
      <c r="Q273" s="23" t="n">
        <f aca="false">IF(ISNUMBER(Tabelle1!S274),Tabelle1!S274/'SF Workings'!BJ273,"")</f>
        <v>129.242649818157</v>
      </c>
      <c r="R273" s="23" t="n">
        <f aca="false">IFERROR(C273*'Weights &amp; Assumptions'!$F$6+D273*'Weights &amp; Assumptions'!$F$7,"")</f>
        <v>149.567375471466</v>
      </c>
      <c r="S273" s="23" t="n">
        <f aca="false">IFERROR(E273*'Weights &amp; Assumptions'!$F$8+F273*'Weights &amp; Assumptions'!$F$9+H273*'Weights &amp; Assumptions'!$F$11,"")</f>
        <v>128.168226155559</v>
      </c>
      <c r="T273" s="23" t="n">
        <f aca="false">IFERROR(G273*'Weights &amp; Assumptions'!$F$10+I273*'Weights &amp; Assumptions'!$F$12+J273*'Weights &amp; Assumptions'!$F$13+K273*'Weights &amp; Assumptions'!$F$14+L273*'Weights &amp; Assumptions'!$F$15+M273*'Weights &amp; Assumptions'!$F$16+N273*'Weights &amp; Assumptions'!$F$17+O273*'Weights &amp; Assumptions'!$F$18+P273*'Weights &amp; Assumptions'!$F$19+Q273*'Weights &amp; Assumptions'!$F$20,"")</f>
        <v>169.429399147482</v>
      </c>
      <c r="U273" s="23" t="n">
        <f aca="false">IFERROR(R273*'Weights &amp; Assumptions'!$B$25/'Weights &amp; Assumptions'!$B$28+S273*'Weights &amp; Assumptions'!$B$26/'Weights &amp; Assumptions'!$B$28+T273*'Weights &amp; Assumptions'!$B$27/'Weights &amp; Assumptions'!$B$28,"")</f>
        <v>156.790892176388</v>
      </c>
      <c r="V273" s="30" t="n">
        <f aca="false">IF(ISNUMBER(Tabelle1!E274),Tabelle1!E274*'Weights &amp; Assumptions'!$F$6+Tabelle1!F274*'Weights &amp; Assumptions'!$F$7,"")</f>
        <v>177.711267243775</v>
      </c>
      <c r="W273" s="30" t="n">
        <f aca="false">IF(ISNUMBER(Tabelle1!G274),Tabelle1!G274*'Weights &amp; Assumptions'!$F$8+Tabelle1!H274*'Weights &amp; Assumptions'!$F$9+Tabelle1!J274*'Weights &amp; Assumptions'!$F$11,"")</f>
        <v>128.136742597229</v>
      </c>
      <c r="X273" s="30" t="n">
        <f aca="false">IF(ISNUMBER(Tabelle1!I274),Tabelle1!I274*'Weights &amp; Assumptions'!$F$10+Tabelle1!K274*'Weights &amp; Assumptions'!$F$12+Tabelle1!L274*'Weights &amp; Assumptions'!$F$13+Tabelle1!M274*'Weights &amp; Assumptions'!$F$14+Tabelle1!N274*'Weights &amp; Assumptions'!$F$15+Tabelle1!O274*'Weights &amp; Assumptions'!$F$16+Tabelle1!P274*'Weights &amp; Assumptions'!$F$17+Tabelle1!Q274*'Weights &amp; Assumptions'!$F$18+Tabelle1!R274*'Weights &amp; Assumptions'!$F$19+Tabelle1!S274*'Weights &amp; Assumptions'!$F$20,"")</f>
        <v>170.25502593842</v>
      </c>
      <c r="Y273" s="23" t="n">
        <f aca="false">IFERROR(V273*'Weights &amp; Assumptions'!$B$25/'Weights &amp; Assumptions'!$B$28+W273*'Weights &amp; Assumptions'!$B$26/'Weights &amp; Assumptions'!$B$28+X273*'Weights &amp; Assumptions'!$B$27/'Weights &amp; Assumptions'!$B$28,"")</f>
        <v>159.680623519463</v>
      </c>
    </row>
    <row r="274" customFormat="false" ht="15" hidden="false" customHeight="false" outlineLevel="0" collapsed="false">
      <c r="A274" s="20" t="n">
        <v>46142</v>
      </c>
      <c r="B274" s="30" t="n">
        <f aca="false">IF(ISNUMBER(Tabelle1!D275),Tabelle1!D275,"")</f>
        <v>154.3364</v>
      </c>
      <c r="C274" s="23" t="n">
        <f aca="false">IF(ISNUMBER(Tabelle1!E275),Tabelle1!E275/'SF Workings'!F274,"")</f>
        <v>153.120702019231</v>
      </c>
      <c r="D274" s="23" t="n">
        <f aca="false">IF(ISNUMBER(Tabelle1!F275),Tabelle1!F275/'SF Workings'!J274,"")</f>
        <v>118.271137082007</v>
      </c>
      <c r="E274" s="23" t="n">
        <f aca="false">IF(ISNUMBER(Tabelle1!G275),Tabelle1!G275/'SF Workings'!N274,"")</f>
        <v>138.557076976632</v>
      </c>
      <c r="F274" s="23" t="n">
        <f aca="false">IF(ISNUMBER(Tabelle1!H275),Tabelle1!H275/'SF Workings'!R274,"")</f>
        <v>118.723014890916</v>
      </c>
      <c r="G274" s="23" t="n">
        <f aca="false">IF(ISNUMBER(Tabelle1!I275),Tabelle1!I275/'SF Workings'!V274,"")</f>
        <v>153.877017853864</v>
      </c>
      <c r="H274" s="23" t="n">
        <f aca="false">IF(ISNUMBER(Tabelle1!J275),Tabelle1!J275/'SF Workings'!Z274,"")</f>
        <v>133.750525800011</v>
      </c>
      <c r="I274" s="23" t="n">
        <f aca="false">IF(ISNUMBER(Tabelle1!K275),Tabelle1!K275/'SF Workings'!AD274,"")</f>
        <v>153.950938940246</v>
      </c>
      <c r="J274" s="23" t="n">
        <f aca="false">IF(ISNUMBER(Tabelle1!L275),Tabelle1!L275/'SF Workings'!AH274,"")</f>
        <v>170.743072933007</v>
      </c>
      <c r="K274" s="23" t="n">
        <f aca="false">IF(ISNUMBER(Tabelle1!M275),Tabelle1!M275/'SF Workings'!AL274,"")</f>
        <v>189.40099626643</v>
      </c>
      <c r="L274" s="23" t="n">
        <f aca="false">IF(ISNUMBER(Tabelle1!N275),Tabelle1!N275/'SF Workings'!AP274,"")</f>
        <v>199.575975823063</v>
      </c>
      <c r="M274" s="23" t="n">
        <f aca="false">IF(ISNUMBER(Tabelle1!O275),Tabelle1!O275/'SF Workings'!AT274,"")</f>
        <v>159.685533258944</v>
      </c>
      <c r="N274" s="23" t="n">
        <f aca="false">IF(ISNUMBER(Tabelle1!P275),Tabelle1!P275/'SF Workings'!AX274,"")</f>
        <v>159.872707052882</v>
      </c>
      <c r="O274" s="23" t="n">
        <f aca="false">IF(ISNUMBER(Tabelle1!Q275),Tabelle1!Q275/'SF Workings'!BB274,"")</f>
        <v>172.417864737142</v>
      </c>
      <c r="P274" s="23" t="n">
        <f aca="false">IF(ISNUMBER(Tabelle1!R275),Tabelle1!R275/'SF Workings'!BF274,"")</f>
        <v>186.815033229707</v>
      </c>
      <c r="Q274" s="23" t="n">
        <f aca="false">IF(ISNUMBER(Tabelle1!S275),Tabelle1!S275/'SF Workings'!BJ274,"")</f>
        <v>127.70908237834</v>
      </c>
      <c r="R274" s="23" t="n">
        <f aca="false">IFERROR(C274*'Weights &amp; Assumptions'!$F$6+D274*'Weights &amp; Assumptions'!$F$7,"")</f>
        <v>152.69370647978</v>
      </c>
      <c r="S274" s="23" t="n">
        <f aca="false">IFERROR(E274*'Weights &amp; Assumptions'!$F$8+F274*'Weights &amp; Assumptions'!$F$9+H274*'Weights &amp; Assumptions'!$F$11,"")</f>
        <v>124.221741915986</v>
      </c>
      <c r="T274" s="23" t="n">
        <f aca="false">IFERROR(G274*'Weights &amp; Assumptions'!$F$10+I274*'Weights &amp; Assumptions'!$F$12+J274*'Weights &amp; Assumptions'!$F$13+K274*'Weights &amp; Assumptions'!$F$14+L274*'Weights &amp; Assumptions'!$F$15+M274*'Weights &amp; Assumptions'!$F$16+N274*'Weights &amp; Assumptions'!$F$17+O274*'Weights &amp; Assumptions'!$F$18+P274*'Weights &amp; Assumptions'!$F$19+Q274*'Weights &amp; Assumptions'!$F$20,"")</f>
        <v>167.421591800834</v>
      </c>
      <c r="U274" s="23" t="n">
        <f aca="false">IFERROR(R274*'Weights &amp; Assumptions'!$B$25/'Weights &amp; Assumptions'!$B$28+S274*'Weights &amp; Assumptions'!$B$26/'Weights &amp; Assumptions'!$B$28+T274*'Weights &amp; Assumptions'!$B$27/'Weights &amp; Assumptions'!$B$28,"")</f>
        <v>154.698315259386</v>
      </c>
      <c r="V274" s="30" t="n">
        <f aca="false">IF(ISNUMBER(Tabelle1!E275),Tabelle1!E275*'Weights &amp; Assumptions'!$F$6+Tabelle1!F275*'Weights &amp; Assumptions'!$F$7,"")</f>
        <v>235.834460550887</v>
      </c>
      <c r="W274" s="30" t="n">
        <f aca="false">IF(ISNUMBER(Tabelle1!G275),Tabelle1!G275*'Weights &amp; Assumptions'!$F$8+Tabelle1!H275*'Weights &amp; Assumptions'!$F$9+Tabelle1!J275*'Weights &amp; Assumptions'!$F$11,"")</f>
        <v>121.284250420618</v>
      </c>
      <c r="X274" s="30" t="n">
        <f aca="false">IF(ISNUMBER(Tabelle1!I275),Tabelle1!I275*'Weights &amp; Assumptions'!$F$10+Tabelle1!K275*'Weights &amp; Assumptions'!$F$12+Tabelle1!L275*'Weights &amp; Assumptions'!$F$13+Tabelle1!M275*'Weights &amp; Assumptions'!$F$14+Tabelle1!N275*'Weights &amp; Assumptions'!$F$15+Tabelle1!O275*'Weights &amp; Assumptions'!$F$16+Tabelle1!P275*'Weights &amp; Assumptions'!$F$17+Tabelle1!Q275*'Weights &amp; Assumptions'!$F$18+Tabelle1!R275*'Weights &amp; Assumptions'!$F$19+Tabelle1!S275*'Weights &amp; Assumptions'!$F$20,"")</f>
        <v>165.914373682333</v>
      </c>
      <c r="Y274" s="23" t="n">
        <f aca="false">IFERROR(V274*'Weights &amp; Assumptions'!$B$25/'Weights &amp; Assumptions'!$B$28+W274*'Weights &amp; Assumptions'!$B$26/'Weights &amp; Assumptions'!$B$28+X274*'Weights &amp; Assumptions'!$B$27/'Weights &amp; Assumptions'!$B$28,"")</f>
        <v>159.912797776334</v>
      </c>
    </row>
    <row r="275" customFormat="false" ht="15" hidden="false" customHeight="false" outlineLevel="0" collapsed="false">
      <c r="A275" s="20" t="n">
        <v>46173</v>
      </c>
      <c r="B275" s="30" t="n">
        <f aca="false">IF(ISNUMBER(Tabelle1!D276),Tabelle1!D276,"")</f>
        <v>153.62027</v>
      </c>
      <c r="C275" s="23" t="n">
        <f aca="false">IF(ISNUMBER(Tabelle1!E276),Tabelle1!E276/'SF Workings'!F275,"")</f>
        <v>147.633885728318</v>
      </c>
      <c r="D275" s="23" t="n">
        <f aca="false">IF(ISNUMBER(Tabelle1!F276),Tabelle1!F276/'SF Workings'!J275,"")</f>
        <v>115.84881802586</v>
      </c>
      <c r="E275" s="23" t="n">
        <f aca="false">IF(ISNUMBER(Tabelle1!G276),Tabelle1!G276/'SF Workings'!N275,"")</f>
        <v>136.714158527118</v>
      </c>
      <c r="F275" s="23" t="n">
        <f aca="false">IF(ISNUMBER(Tabelle1!H276),Tabelle1!H276/'SF Workings'!R275,"")</f>
        <v>113.078652866481</v>
      </c>
      <c r="G275" s="23" t="n">
        <f aca="false">IF(ISNUMBER(Tabelle1!I276),Tabelle1!I276/'SF Workings'!V275,"")</f>
        <v>155.535001461178</v>
      </c>
      <c r="H275" s="23" t="n">
        <f aca="false">IF(ISNUMBER(Tabelle1!J276),Tabelle1!J276/'SF Workings'!Z275,"")</f>
        <v>132.061225195866</v>
      </c>
      <c r="I275" s="23" t="n">
        <f aca="false">IF(ISNUMBER(Tabelle1!K276),Tabelle1!K276/'SF Workings'!AD275,"")</f>
        <v>148.766832749392</v>
      </c>
      <c r="J275" s="23" t="n">
        <f aca="false">IF(ISNUMBER(Tabelle1!L276),Tabelle1!L276/'SF Workings'!AH275,"")</f>
        <v>172.597178847519</v>
      </c>
      <c r="K275" s="23" t="n">
        <f aca="false">IF(ISNUMBER(Tabelle1!M276),Tabelle1!M276/'SF Workings'!AL275,"")</f>
        <v>186.373293842507</v>
      </c>
      <c r="L275" s="23" t="n">
        <f aca="false">IF(ISNUMBER(Tabelle1!N276),Tabelle1!N276/'SF Workings'!AP275,"")</f>
        <v>193.19039547072</v>
      </c>
      <c r="M275" s="23" t="n">
        <f aca="false">IF(ISNUMBER(Tabelle1!O276),Tabelle1!O276/'SF Workings'!AT275,"")</f>
        <v>158.383154589003</v>
      </c>
      <c r="N275" s="23" t="n">
        <f aca="false">IF(ISNUMBER(Tabelle1!P276),Tabelle1!P276/'SF Workings'!AX275,"")</f>
        <v>159.52310177106</v>
      </c>
      <c r="O275" s="23" t="n">
        <f aca="false">IF(ISNUMBER(Tabelle1!Q276),Tabelle1!Q276/'SF Workings'!BB275,"")</f>
        <v>172.08517879881</v>
      </c>
      <c r="P275" s="23" t="n">
        <f aca="false">IF(ISNUMBER(Tabelle1!R276),Tabelle1!R276/'SF Workings'!BF275,"")</f>
        <v>187.037076542947</v>
      </c>
      <c r="Q275" s="23" t="n">
        <f aca="false">IF(ISNUMBER(Tabelle1!S276),Tabelle1!S276/'SF Workings'!BJ275,"")</f>
        <v>126.677328588095</v>
      </c>
      <c r="R275" s="23" t="n">
        <f aca="false">IFERROR(C275*'Weights &amp; Assumptions'!$F$6+D275*'Weights &amp; Assumptions'!$F$7,"")</f>
        <v>147.24443805072</v>
      </c>
      <c r="S275" s="23" t="n">
        <f aca="false">IFERROR(E275*'Weights &amp; Assumptions'!$F$8+F275*'Weights &amp; Assumptions'!$F$9+H275*'Weights &amp; Assumptions'!$F$11,"")</f>
        <v>119.855196252247</v>
      </c>
      <c r="T275" s="23" t="n">
        <f aca="false">IFERROR(G275*'Weights &amp; Assumptions'!$F$10+I275*'Weights &amp; Assumptions'!$F$12+J275*'Weights &amp; Assumptions'!$F$13+K275*'Weights &amp; Assumptions'!$F$14+L275*'Weights &amp; Assumptions'!$F$15+M275*'Weights &amp; Assumptions'!$F$16+N275*'Weights &amp; Assumptions'!$F$17+O275*'Weights &amp; Assumptions'!$F$18+P275*'Weights &amp; Assumptions'!$F$19+Q275*'Weights &amp; Assumptions'!$F$20,"")</f>
        <v>165.209614312207</v>
      </c>
      <c r="U275" s="23" t="n">
        <f aca="false">IFERROR(R275*'Weights &amp; Assumptions'!$B$25/'Weights &amp; Assumptions'!$B$28+S275*'Weights &amp; Assumptions'!$B$26/'Weights &amp; Assumptions'!$B$28+T275*'Weights &amp; Assumptions'!$B$27/'Weights &amp; Assumptions'!$B$28,"")</f>
        <v>151.641789052674</v>
      </c>
      <c r="V275" s="30" t="n">
        <f aca="false">IF(ISNUMBER(Tabelle1!E276),Tabelle1!E276*'Weights &amp; Assumptions'!$F$6+Tabelle1!F276*'Weights &amp; Assumptions'!$F$7,"")</f>
        <v>295.276272064099</v>
      </c>
      <c r="W275" s="30" t="n">
        <f aca="false">IF(ISNUMBER(Tabelle1!G276),Tabelle1!G276*'Weights &amp; Assumptions'!$F$8+Tabelle1!H276*'Weights &amp; Assumptions'!$F$9+Tabelle1!J276*'Weights &amp; Assumptions'!$F$11,"")</f>
        <v>120.05250657699</v>
      </c>
      <c r="X275" s="30" t="n">
        <f aca="false">IF(ISNUMBER(Tabelle1!I276),Tabelle1!I276*'Weights &amp; Assumptions'!$F$10+Tabelle1!K276*'Weights &amp; Assumptions'!$F$12+Tabelle1!L276*'Weights &amp; Assumptions'!$F$13+Tabelle1!M276*'Weights &amp; Assumptions'!$F$14+Tabelle1!N276*'Weights &amp; Assumptions'!$F$15+Tabelle1!O276*'Weights &amp; Assumptions'!$F$16+Tabelle1!P276*'Weights &amp; Assumptions'!$F$17+Tabelle1!Q276*'Weights &amp; Assumptions'!$F$18+Tabelle1!R276*'Weights &amp; Assumptions'!$F$19+Tabelle1!S276*'Weights &amp; Assumptions'!$F$20,"")</f>
        <v>166.612626900919</v>
      </c>
      <c r="Y275" s="23" t="n">
        <f aca="false">IFERROR(V275*'Weights &amp; Assumptions'!$B$25/'Weights &amp; Assumptions'!$B$28+W275*'Weights &amp; Assumptions'!$B$26/'Weights &amp; Assumptions'!$B$28+X275*'Weights &amp; Assumptions'!$B$27/'Weights &amp; Assumptions'!$B$28,"")</f>
        <v>165.026464489781</v>
      </c>
    </row>
    <row r="276" customFormat="false" ht="15" hidden="false" customHeight="false" outlineLevel="0" collapsed="false">
      <c r="A276" s="20" t="n">
        <v>46203</v>
      </c>
      <c r="B276" s="30" t="str">
        <f aca="false">IF(ISNUMBER(Tabelle1!D277),Tabelle1!D277,"")</f>
        <v/>
      </c>
      <c r="C276" s="23" t="str">
        <f aca="false">IF(ISNUMBER(Tabelle1!E277),Tabelle1!E277/'SF Workings'!F276,"")</f>
        <v/>
      </c>
      <c r="D276" s="23" t="str">
        <f aca="false">IF(ISNUMBER(Tabelle1!F277),Tabelle1!F277/'SF Workings'!J276,"")</f>
        <v/>
      </c>
      <c r="E276" s="23" t="str">
        <f aca="false">IF(ISNUMBER(Tabelle1!G277),Tabelle1!G277/'SF Workings'!N276,"")</f>
        <v/>
      </c>
      <c r="F276" s="23" t="str">
        <f aca="false">IF(ISNUMBER(Tabelle1!H277),Tabelle1!H277/'SF Workings'!R276,"")</f>
        <v/>
      </c>
      <c r="G276" s="23" t="str">
        <f aca="false">IF(ISNUMBER(Tabelle1!I277),Tabelle1!I277/'SF Workings'!V276,"")</f>
        <v/>
      </c>
      <c r="H276" s="23" t="str">
        <f aca="false">IF(ISNUMBER(Tabelle1!J277),Tabelle1!J277/'SF Workings'!Z276,"")</f>
        <v/>
      </c>
      <c r="I276" s="23" t="str">
        <f aca="false">IF(ISNUMBER(Tabelle1!K277),Tabelle1!K277/'SF Workings'!AD276,"")</f>
        <v/>
      </c>
      <c r="J276" s="23" t="str">
        <f aca="false">IF(ISNUMBER(Tabelle1!L277),Tabelle1!L277/'SF Workings'!AH276,"")</f>
        <v/>
      </c>
      <c r="K276" s="23" t="str">
        <f aca="false">IF(ISNUMBER(Tabelle1!M277),Tabelle1!M277/'SF Workings'!AL276,"")</f>
        <v/>
      </c>
      <c r="L276" s="23" t="str">
        <f aca="false">IF(ISNUMBER(Tabelle1!N277),Tabelle1!N277/'SF Workings'!AP276,"")</f>
        <v/>
      </c>
      <c r="M276" s="23" t="str">
        <f aca="false">IF(ISNUMBER(Tabelle1!O277),Tabelle1!O277/'SF Workings'!AT276,"")</f>
        <v/>
      </c>
      <c r="N276" s="23" t="str">
        <f aca="false">IF(ISNUMBER(Tabelle1!P277),Tabelle1!P277/'SF Workings'!AX276,"")</f>
        <v/>
      </c>
      <c r="O276" s="23" t="str">
        <f aca="false">IF(ISNUMBER(Tabelle1!Q277),Tabelle1!Q277/'SF Workings'!BB276,"")</f>
        <v/>
      </c>
      <c r="P276" s="23" t="str">
        <f aca="false">IF(ISNUMBER(Tabelle1!R277),Tabelle1!R277/'SF Workings'!BF276,"")</f>
        <v/>
      </c>
      <c r="Q276" s="23" t="str">
        <f aca="false">IF(ISNUMBER(Tabelle1!S277),Tabelle1!S277/'SF Workings'!BJ276,"")</f>
        <v/>
      </c>
      <c r="R276" s="23" t="str">
        <f aca="false">IFERROR(C276*'Weights &amp; Assumptions'!$F$6+D276*'Weights &amp; Assumptions'!$F$7,"")</f>
        <v/>
      </c>
      <c r="S276" s="23" t="str">
        <f aca="false">IFERROR(E276*'Weights &amp; Assumptions'!$F$8+F276*'Weights &amp; Assumptions'!$F$9+H276*'Weights &amp; Assumptions'!$F$11,"")</f>
        <v/>
      </c>
      <c r="T276" s="23" t="str">
        <f aca="false">IFERROR(G276*'Weights &amp; Assumptions'!$F$10+I276*'Weights &amp; Assumptions'!$F$12+J276*'Weights &amp; Assumptions'!$F$13+K276*'Weights &amp; Assumptions'!$F$14+L276*'Weights &amp; Assumptions'!$F$15+M276*'Weights &amp; Assumptions'!$F$16+N276*'Weights &amp; Assumptions'!$F$17+O276*'Weights &amp; Assumptions'!$F$18+P276*'Weights &amp; Assumptions'!$F$19+Q276*'Weights &amp; Assumptions'!$F$20,"")</f>
        <v/>
      </c>
      <c r="U276" s="23" t="str">
        <f aca="false">IFERROR(R276*'Weights &amp; Assumptions'!$B$25/'Weights &amp; Assumptions'!$B$28+S276*'Weights &amp; Assumptions'!$B$26/'Weights &amp; Assumptions'!$B$28+T276*'Weights &amp; Assumptions'!$B$27/'Weights &amp; Assumptions'!$B$28,"")</f>
        <v/>
      </c>
      <c r="V276" s="30" t="str">
        <f aca="false">IF(ISNUMBER(Tabelle1!E277),Tabelle1!E277*'Weights &amp; Assumptions'!$F$6+Tabelle1!F277*'Weights &amp; Assumptions'!$F$7,"")</f>
        <v/>
      </c>
      <c r="W276" s="30" t="str">
        <f aca="false">IF(ISNUMBER(Tabelle1!G277),Tabelle1!G277*'Weights &amp; Assumptions'!$F$8+Tabelle1!H277*'Weights &amp; Assumptions'!$F$9+Tabelle1!J277*'Weights &amp; Assumptions'!$F$11,"")</f>
        <v/>
      </c>
      <c r="X276" s="30" t="str">
        <f aca="false">IF(ISNUMBER(Tabelle1!I277),Tabelle1!I277*'Weights &amp; Assumptions'!$F$10+Tabelle1!K277*'Weights &amp; Assumptions'!$F$12+Tabelle1!L277*'Weights &amp; Assumptions'!$F$13+Tabelle1!M277*'Weights &amp; Assumptions'!$F$14+Tabelle1!N277*'Weights &amp; Assumptions'!$F$15+Tabelle1!O277*'Weights &amp; Assumptions'!$F$16+Tabelle1!P277*'Weights &amp; Assumptions'!$F$17+Tabelle1!Q277*'Weights &amp; Assumptions'!$F$18+Tabelle1!R277*'Weights &amp; Assumptions'!$F$19+Tabelle1!S277*'Weights &amp; Assumptions'!$F$20,"")</f>
        <v/>
      </c>
      <c r="Y276" s="23" t="str">
        <f aca="false">IFERROR(V276*'Weights &amp; Assumptions'!$B$25/'Weights &amp; Assumptions'!$B$28+W276*'Weights &amp; Assumptions'!$B$26/'Weights &amp; Assumptions'!$B$28+X276*'Weights &amp; Assumptions'!$B$27/'Weights &amp; Assumptions'!$B$28,"")</f>
        <v/>
      </c>
    </row>
    <row r="277" customFormat="false" ht="15" hidden="false" customHeight="false" outlineLevel="0" collapsed="false">
      <c r="A277" s="20" t="n">
        <v>46234</v>
      </c>
      <c r="B277" s="30" t="str">
        <f aca="false">IF(ISNUMBER(Tabelle1!D278),Tabelle1!D278,"")</f>
        <v/>
      </c>
      <c r="C277" s="23" t="str">
        <f aca="false">IF(ISNUMBER(Tabelle1!E278),Tabelle1!E278/'SF Workings'!F277,"")</f>
        <v/>
      </c>
      <c r="D277" s="23" t="str">
        <f aca="false">IF(ISNUMBER(Tabelle1!F278),Tabelle1!F278/'SF Workings'!J277,"")</f>
        <v/>
      </c>
      <c r="E277" s="23" t="str">
        <f aca="false">IF(ISNUMBER(Tabelle1!G278),Tabelle1!G278/'SF Workings'!N277,"")</f>
        <v/>
      </c>
      <c r="F277" s="23" t="str">
        <f aca="false">IF(ISNUMBER(Tabelle1!H278),Tabelle1!H278/'SF Workings'!R277,"")</f>
        <v/>
      </c>
      <c r="G277" s="23" t="str">
        <f aca="false">IF(ISNUMBER(Tabelle1!I278),Tabelle1!I278/'SF Workings'!V277,"")</f>
        <v/>
      </c>
      <c r="H277" s="23" t="str">
        <f aca="false">IF(ISNUMBER(Tabelle1!J278),Tabelle1!J278/'SF Workings'!Z277,"")</f>
        <v/>
      </c>
      <c r="I277" s="23" t="str">
        <f aca="false">IF(ISNUMBER(Tabelle1!K278),Tabelle1!K278/'SF Workings'!AD277,"")</f>
        <v/>
      </c>
      <c r="J277" s="23" t="str">
        <f aca="false">IF(ISNUMBER(Tabelle1!L278),Tabelle1!L278/'SF Workings'!AH277,"")</f>
        <v/>
      </c>
      <c r="K277" s="23" t="str">
        <f aca="false">IF(ISNUMBER(Tabelle1!M278),Tabelle1!M278/'SF Workings'!AL277,"")</f>
        <v/>
      </c>
      <c r="L277" s="23" t="str">
        <f aca="false">IF(ISNUMBER(Tabelle1!N278),Tabelle1!N278/'SF Workings'!AP277,"")</f>
        <v/>
      </c>
      <c r="M277" s="23" t="str">
        <f aca="false">IF(ISNUMBER(Tabelle1!O278),Tabelle1!O278/'SF Workings'!AT277,"")</f>
        <v/>
      </c>
      <c r="N277" s="23" t="str">
        <f aca="false">IF(ISNUMBER(Tabelle1!P278),Tabelle1!P278/'SF Workings'!AX277,"")</f>
        <v/>
      </c>
      <c r="O277" s="23" t="str">
        <f aca="false">IF(ISNUMBER(Tabelle1!Q278),Tabelle1!Q278/'SF Workings'!BB277,"")</f>
        <v/>
      </c>
      <c r="P277" s="23" t="str">
        <f aca="false">IF(ISNUMBER(Tabelle1!R278),Tabelle1!R278/'SF Workings'!BF277,"")</f>
        <v/>
      </c>
      <c r="Q277" s="23" t="str">
        <f aca="false">IF(ISNUMBER(Tabelle1!S278),Tabelle1!S278/'SF Workings'!BJ277,"")</f>
        <v/>
      </c>
      <c r="R277" s="23" t="str">
        <f aca="false">IFERROR(C277*'Weights &amp; Assumptions'!$F$6+D277*'Weights &amp; Assumptions'!$F$7,"")</f>
        <v/>
      </c>
      <c r="S277" s="23" t="str">
        <f aca="false">IFERROR(E277*'Weights &amp; Assumptions'!$F$8+F277*'Weights &amp; Assumptions'!$F$9+H277*'Weights &amp; Assumptions'!$F$11,"")</f>
        <v/>
      </c>
      <c r="T277" s="23" t="str">
        <f aca="false">IFERROR(G277*'Weights &amp; Assumptions'!$F$10+I277*'Weights &amp; Assumptions'!$F$12+J277*'Weights &amp; Assumptions'!$F$13+K277*'Weights &amp; Assumptions'!$F$14+L277*'Weights &amp; Assumptions'!$F$15+M277*'Weights &amp; Assumptions'!$F$16+N277*'Weights &amp; Assumptions'!$F$17+O277*'Weights &amp; Assumptions'!$F$18+P277*'Weights &amp; Assumptions'!$F$19+Q277*'Weights &amp; Assumptions'!$F$20,"")</f>
        <v/>
      </c>
      <c r="U277" s="23" t="str">
        <f aca="false">IFERROR(R277*'Weights &amp; Assumptions'!$B$25/'Weights &amp; Assumptions'!$B$28+S277*'Weights &amp; Assumptions'!$B$26/'Weights &amp; Assumptions'!$B$28+T277*'Weights &amp; Assumptions'!$B$27/'Weights &amp; Assumptions'!$B$28,"")</f>
        <v/>
      </c>
      <c r="V277" s="30" t="str">
        <f aca="false">IF(ISNUMBER(Tabelle1!E278),Tabelle1!E278*'Weights &amp; Assumptions'!$F$6+Tabelle1!F278*'Weights &amp; Assumptions'!$F$7,"")</f>
        <v/>
      </c>
      <c r="W277" s="30" t="str">
        <f aca="false">IF(ISNUMBER(Tabelle1!G278),Tabelle1!G278*'Weights &amp; Assumptions'!$F$8+Tabelle1!H278*'Weights &amp; Assumptions'!$F$9+Tabelle1!J278*'Weights &amp; Assumptions'!$F$11,"")</f>
        <v/>
      </c>
      <c r="X277" s="30" t="str">
        <f aca="false">IF(ISNUMBER(Tabelle1!I278),Tabelle1!I278*'Weights &amp; Assumptions'!$F$10+Tabelle1!K278*'Weights &amp; Assumptions'!$F$12+Tabelle1!L278*'Weights &amp; Assumptions'!$F$13+Tabelle1!M278*'Weights &amp; Assumptions'!$F$14+Tabelle1!N278*'Weights &amp; Assumptions'!$F$15+Tabelle1!O278*'Weights &amp; Assumptions'!$F$16+Tabelle1!P278*'Weights &amp; Assumptions'!$F$17+Tabelle1!Q278*'Weights &amp; Assumptions'!$F$18+Tabelle1!R278*'Weights &amp; Assumptions'!$F$19+Tabelle1!S278*'Weights &amp; Assumptions'!$F$20,"")</f>
        <v/>
      </c>
      <c r="Y277" s="23" t="str">
        <f aca="false">IFERROR(V277*'Weights &amp; Assumptions'!$B$25/'Weights &amp; Assumptions'!$B$28+W277*'Weights &amp; Assumptions'!$B$26/'Weights &amp; Assumptions'!$B$28+X277*'Weights &amp; Assumptions'!$B$27/'Weights &amp; Assumptions'!$B$28,"")</f>
        <v/>
      </c>
    </row>
    <row r="278" customFormat="false" ht="15" hidden="false" customHeight="false" outlineLevel="0" collapsed="false">
      <c r="A278" s="20" t="n">
        <v>46265</v>
      </c>
      <c r="B278" s="30" t="str">
        <f aca="false">IF(ISNUMBER(Tabelle1!D279),Tabelle1!D279,"")</f>
        <v/>
      </c>
      <c r="C278" s="23" t="str">
        <f aca="false">IF(ISNUMBER(Tabelle1!E279),Tabelle1!E279/'SF Workings'!F278,"")</f>
        <v/>
      </c>
      <c r="D278" s="23" t="str">
        <f aca="false">IF(ISNUMBER(Tabelle1!F279),Tabelle1!F279/'SF Workings'!J278,"")</f>
        <v/>
      </c>
      <c r="E278" s="23" t="str">
        <f aca="false">IF(ISNUMBER(Tabelle1!G279),Tabelle1!G279/'SF Workings'!N278,"")</f>
        <v/>
      </c>
      <c r="F278" s="23" t="str">
        <f aca="false">IF(ISNUMBER(Tabelle1!H279),Tabelle1!H279/'SF Workings'!R278,"")</f>
        <v/>
      </c>
      <c r="G278" s="23" t="str">
        <f aca="false">IF(ISNUMBER(Tabelle1!I279),Tabelle1!I279/'SF Workings'!V278,"")</f>
        <v/>
      </c>
      <c r="H278" s="23" t="str">
        <f aca="false">IF(ISNUMBER(Tabelle1!J279),Tabelle1!J279/'SF Workings'!Z278,"")</f>
        <v/>
      </c>
      <c r="I278" s="23" t="str">
        <f aca="false">IF(ISNUMBER(Tabelle1!K279),Tabelle1!K279/'SF Workings'!AD278,"")</f>
        <v/>
      </c>
      <c r="J278" s="23" t="str">
        <f aca="false">IF(ISNUMBER(Tabelle1!L279),Tabelle1!L279/'SF Workings'!AH278,"")</f>
        <v/>
      </c>
      <c r="K278" s="23" t="str">
        <f aca="false">IF(ISNUMBER(Tabelle1!M279),Tabelle1!M279/'SF Workings'!AL278,"")</f>
        <v/>
      </c>
      <c r="L278" s="23" t="str">
        <f aca="false">IF(ISNUMBER(Tabelle1!N279),Tabelle1!N279/'SF Workings'!AP278,"")</f>
        <v/>
      </c>
      <c r="M278" s="23" t="str">
        <f aca="false">IF(ISNUMBER(Tabelle1!O279),Tabelle1!O279/'SF Workings'!AT278,"")</f>
        <v/>
      </c>
      <c r="N278" s="23" t="str">
        <f aca="false">IF(ISNUMBER(Tabelle1!P279),Tabelle1!P279/'SF Workings'!AX278,"")</f>
        <v/>
      </c>
      <c r="O278" s="23" t="str">
        <f aca="false">IF(ISNUMBER(Tabelle1!Q279),Tabelle1!Q279/'SF Workings'!BB278,"")</f>
        <v/>
      </c>
      <c r="P278" s="23" t="str">
        <f aca="false">IF(ISNUMBER(Tabelle1!R279),Tabelle1!R279/'SF Workings'!BF278,"")</f>
        <v/>
      </c>
      <c r="Q278" s="23" t="str">
        <f aca="false">IF(ISNUMBER(Tabelle1!S279),Tabelle1!S279/'SF Workings'!BJ278,"")</f>
        <v/>
      </c>
      <c r="R278" s="23" t="str">
        <f aca="false">IFERROR(C278*'Weights &amp; Assumptions'!$F$6+D278*'Weights &amp; Assumptions'!$F$7,"")</f>
        <v/>
      </c>
      <c r="S278" s="23" t="str">
        <f aca="false">IFERROR(E278*'Weights &amp; Assumptions'!$F$8+F278*'Weights &amp; Assumptions'!$F$9+H278*'Weights &amp; Assumptions'!$F$11,"")</f>
        <v/>
      </c>
      <c r="T278" s="23" t="str">
        <f aca="false">IFERROR(G278*'Weights &amp; Assumptions'!$F$10+I278*'Weights &amp; Assumptions'!$F$12+J278*'Weights &amp; Assumptions'!$F$13+K278*'Weights &amp; Assumptions'!$F$14+L278*'Weights &amp; Assumptions'!$F$15+M278*'Weights &amp; Assumptions'!$F$16+N278*'Weights &amp; Assumptions'!$F$17+O278*'Weights &amp; Assumptions'!$F$18+P278*'Weights &amp; Assumptions'!$F$19+Q278*'Weights &amp; Assumptions'!$F$20,"")</f>
        <v/>
      </c>
      <c r="U278" s="23" t="str">
        <f aca="false">IFERROR(R278*'Weights &amp; Assumptions'!$B$25/'Weights &amp; Assumptions'!$B$28+S278*'Weights &amp; Assumptions'!$B$26/'Weights &amp; Assumptions'!$B$28+T278*'Weights &amp; Assumptions'!$B$27/'Weights &amp; Assumptions'!$B$28,"")</f>
        <v/>
      </c>
      <c r="V278" s="30" t="str">
        <f aca="false">IF(ISNUMBER(Tabelle1!E279),Tabelle1!E279*'Weights &amp; Assumptions'!$F$6+Tabelle1!F279*'Weights &amp; Assumptions'!$F$7,"")</f>
        <v/>
      </c>
      <c r="W278" s="30" t="str">
        <f aca="false">IF(ISNUMBER(Tabelle1!G279),Tabelle1!G279*'Weights &amp; Assumptions'!$F$8+Tabelle1!H279*'Weights &amp; Assumptions'!$F$9+Tabelle1!J279*'Weights &amp; Assumptions'!$F$11,"")</f>
        <v/>
      </c>
      <c r="X278" s="30" t="str">
        <f aca="false">IF(ISNUMBER(Tabelle1!I279),Tabelle1!I279*'Weights &amp; Assumptions'!$F$10+Tabelle1!K279*'Weights &amp; Assumptions'!$F$12+Tabelle1!L279*'Weights &amp; Assumptions'!$F$13+Tabelle1!M279*'Weights &amp; Assumptions'!$F$14+Tabelle1!N279*'Weights &amp; Assumptions'!$F$15+Tabelle1!O279*'Weights &amp; Assumptions'!$F$16+Tabelle1!P279*'Weights &amp; Assumptions'!$F$17+Tabelle1!Q279*'Weights &amp; Assumptions'!$F$18+Tabelle1!R279*'Weights &amp; Assumptions'!$F$19+Tabelle1!S279*'Weights &amp; Assumptions'!$F$20,"")</f>
        <v/>
      </c>
      <c r="Y278" s="23" t="str">
        <f aca="false">IFERROR(V278*'Weights &amp; Assumptions'!$B$25/'Weights &amp; Assumptions'!$B$28+W278*'Weights &amp; Assumptions'!$B$26/'Weights &amp; Assumptions'!$B$28+X278*'Weights &amp; Assumptions'!$B$27/'Weights &amp; Assumptions'!$B$28,"")</f>
        <v/>
      </c>
    </row>
    <row r="279" customFormat="false" ht="15" hidden="false" customHeight="false" outlineLevel="0" collapsed="false">
      <c r="A279" s="20" t="n">
        <v>46295</v>
      </c>
      <c r="B279" s="30" t="str">
        <f aca="false">IF(ISNUMBER(Tabelle1!D280),Tabelle1!D280,"")</f>
        <v/>
      </c>
      <c r="C279" s="23" t="str">
        <f aca="false">IF(ISNUMBER(Tabelle1!E280),Tabelle1!E280/'SF Workings'!F279,"")</f>
        <v/>
      </c>
      <c r="D279" s="23" t="str">
        <f aca="false">IF(ISNUMBER(Tabelle1!F280),Tabelle1!F280/'SF Workings'!J279,"")</f>
        <v/>
      </c>
      <c r="E279" s="23" t="str">
        <f aca="false">IF(ISNUMBER(Tabelle1!G280),Tabelle1!G280/'SF Workings'!N279,"")</f>
        <v/>
      </c>
      <c r="F279" s="23" t="str">
        <f aca="false">IF(ISNUMBER(Tabelle1!H280),Tabelle1!H280/'SF Workings'!R279,"")</f>
        <v/>
      </c>
      <c r="G279" s="23" t="str">
        <f aca="false">IF(ISNUMBER(Tabelle1!I280),Tabelle1!I280/'SF Workings'!V279,"")</f>
        <v/>
      </c>
      <c r="H279" s="23" t="str">
        <f aca="false">IF(ISNUMBER(Tabelle1!J280),Tabelle1!J280/'SF Workings'!Z279,"")</f>
        <v/>
      </c>
      <c r="I279" s="23" t="str">
        <f aca="false">IF(ISNUMBER(Tabelle1!K280),Tabelle1!K280/'SF Workings'!AD279,"")</f>
        <v/>
      </c>
      <c r="J279" s="23" t="str">
        <f aca="false">IF(ISNUMBER(Tabelle1!L280),Tabelle1!L280/'SF Workings'!AH279,"")</f>
        <v/>
      </c>
      <c r="K279" s="23" t="str">
        <f aca="false">IF(ISNUMBER(Tabelle1!M280),Tabelle1!M280/'SF Workings'!AL279,"")</f>
        <v/>
      </c>
      <c r="L279" s="23" t="str">
        <f aca="false">IF(ISNUMBER(Tabelle1!N280),Tabelle1!N280/'SF Workings'!AP279,"")</f>
        <v/>
      </c>
      <c r="M279" s="23" t="str">
        <f aca="false">IF(ISNUMBER(Tabelle1!O280),Tabelle1!O280/'SF Workings'!AT279,"")</f>
        <v/>
      </c>
      <c r="N279" s="23" t="str">
        <f aca="false">IF(ISNUMBER(Tabelle1!P280),Tabelle1!P280/'SF Workings'!AX279,"")</f>
        <v/>
      </c>
      <c r="O279" s="23" t="str">
        <f aca="false">IF(ISNUMBER(Tabelle1!Q280),Tabelle1!Q280/'SF Workings'!BB279,"")</f>
        <v/>
      </c>
      <c r="P279" s="23" t="str">
        <f aca="false">IF(ISNUMBER(Tabelle1!R280),Tabelle1!R280/'SF Workings'!BF279,"")</f>
        <v/>
      </c>
      <c r="Q279" s="23" t="str">
        <f aca="false">IF(ISNUMBER(Tabelle1!S280),Tabelle1!S280/'SF Workings'!BJ279,"")</f>
        <v/>
      </c>
      <c r="R279" s="23" t="str">
        <f aca="false">IFERROR(C279*'Weights &amp; Assumptions'!$F$6+D279*'Weights &amp; Assumptions'!$F$7,"")</f>
        <v/>
      </c>
      <c r="S279" s="23" t="str">
        <f aca="false">IFERROR(E279*'Weights &amp; Assumptions'!$F$8+F279*'Weights &amp; Assumptions'!$F$9+H279*'Weights &amp; Assumptions'!$F$11,"")</f>
        <v/>
      </c>
      <c r="T279" s="23" t="str">
        <f aca="false">IFERROR(G279*'Weights &amp; Assumptions'!$F$10+I279*'Weights &amp; Assumptions'!$F$12+J279*'Weights &amp; Assumptions'!$F$13+K279*'Weights &amp; Assumptions'!$F$14+L279*'Weights &amp; Assumptions'!$F$15+M279*'Weights &amp; Assumptions'!$F$16+N279*'Weights &amp; Assumptions'!$F$17+O279*'Weights &amp; Assumptions'!$F$18+P279*'Weights &amp; Assumptions'!$F$19+Q279*'Weights &amp; Assumptions'!$F$20,"")</f>
        <v/>
      </c>
      <c r="U279" s="23" t="str">
        <f aca="false">IFERROR(R279*'Weights &amp; Assumptions'!$B$25/'Weights &amp; Assumptions'!$B$28+S279*'Weights &amp; Assumptions'!$B$26/'Weights &amp; Assumptions'!$B$28+T279*'Weights &amp; Assumptions'!$B$27/'Weights &amp; Assumptions'!$B$28,"")</f>
        <v/>
      </c>
      <c r="V279" s="30" t="str">
        <f aca="false">IF(ISNUMBER(Tabelle1!E280),Tabelle1!E280*'Weights &amp; Assumptions'!$F$6+Tabelle1!F280*'Weights &amp; Assumptions'!$F$7,"")</f>
        <v/>
      </c>
      <c r="W279" s="30" t="str">
        <f aca="false">IF(ISNUMBER(Tabelle1!G280),Tabelle1!G280*'Weights &amp; Assumptions'!$F$8+Tabelle1!H280*'Weights &amp; Assumptions'!$F$9+Tabelle1!J280*'Weights &amp; Assumptions'!$F$11,"")</f>
        <v/>
      </c>
      <c r="X279" s="30" t="str">
        <f aca="false">IF(ISNUMBER(Tabelle1!I280),Tabelle1!I280*'Weights &amp; Assumptions'!$F$10+Tabelle1!K280*'Weights &amp; Assumptions'!$F$12+Tabelle1!L280*'Weights &amp; Assumptions'!$F$13+Tabelle1!M280*'Weights &amp; Assumptions'!$F$14+Tabelle1!N280*'Weights &amp; Assumptions'!$F$15+Tabelle1!O280*'Weights &amp; Assumptions'!$F$16+Tabelle1!P280*'Weights &amp; Assumptions'!$F$17+Tabelle1!Q280*'Weights &amp; Assumptions'!$F$18+Tabelle1!R280*'Weights &amp; Assumptions'!$F$19+Tabelle1!S280*'Weights &amp; Assumptions'!$F$20,"")</f>
        <v/>
      </c>
      <c r="Y279" s="23" t="str">
        <f aca="false">IFERROR(V279*'Weights &amp; Assumptions'!$B$25/'Weights &amp; Assumptions'!$B$28+W279*'Weights &amp; Assumptions'!$B$26/'Weights &amp; Assumptions'!$B$28+X279*'Weights &amp; Assumptions'!$B$27/'Weights &amp; Assumptions'!$B$28,"")</f>
        <v/>
      </c>
    </row>
    <row r="280" customFormat="false" ht="15" hidden="false" customHeight="false" outlineLevel="0" collapsed="false">
      <c r="A280" s="20" t="n">
        <v>46326</v>
      </c>
      <c r="B280" s="30" t="str">
        <f aca="false">IF(ISNUMBER(Tabelle1!D281),Tabelle1!D281,"")</f>
        <v/>
      </c>
      <c r="C280" s="23" t="str">
        <f aca="false">IF(ISNUMBER(Tabelle1!E281),Tabelle1!E281/'SF Workings'!F280,"")</f>
        <v/>
      </c>
      <c r="D280" s="23" t="str">
        <f aca="false">IF(ISNUMBER(Tabelle1!F281),Tabelle1!F281/'SF Workings'!J280,"")</f>
        <v/>
      </c>
      <c r="E280" s="23" t="str">
        <f aca="false">IF(ISNUMBER(Tabelle1!G281),Tabelle1!G281/'SF Workings'!N280,"")</f>
        <v/>
      </c>
      <c r="F280" s="23" t="str">
        <f aca="false">IF(ISNUMBER(Tabelle1!H281),Tabelle1!H281/'SF Workings'!R280,"")</f>
        <v/>
      </c>
      <c r="G280" s="23" t="str">
        <f aca="false">IF(ISNUMBER(Tabelle1!I281),Tabelle1!I281/'SF Workings'!V280,"")</f>
        <v/>
      </c>
      <c r="H280" s="23" t="str">
        <f aca="false">IF(ISNUMBER(Tabelle1!J281),Tabelle1!J281/'SF Workings'!Z280,"")</f>
        <v/>
      </c>
      <c r="I280" s="23" t="str">
        <f aca="false">IF(ISNUMBER(Tabelle1!K281),Tabelle1!K281/'SF Workings'!AD280,"")</f>
        <v/>
      </c>
      <c r="J280" s="23" t="str">
        <f aca="false">IF(ISNUMBER(Tabelle1!L281),Tabelle1!L281/'SF Workings'!AH280,"")</f>
        <v/>
      </c>
      <c r="K280" s="23" t="str">
        <f aca="false">IF(ISNUMBER(Tabelle1!M281),Tabelle1!M281/'SF Workings'!AL280,"")</f>
        <v/>
      </c>
      <c r="L280" s="23" t="str">
        <f aca="false">IF(ISNUMBER(Tabelle1!N281),Tabelle1!N281/'SF Workings'!AP280,"")</f>
        <v/>
      </c>
      <c r="M280" s="23" t="str">
        <f aca="false">IF(ISNUMBER(Tabelle1!O281),Tabelle1!O281/'SF Workings'!AT280,"")</f>
        <v/>
      </c>
      <c r="N280" s="23" t="str">
        <f aca="false">IF(ISNUMBER(Tabelle1!P281),Tabelle1!P281/'SF Workings'!AX280,"")</f>
        <v/>
      </c>
      <c r="O280" s="23" t="str">
        <f aca="false">IF(ISNUMBER(Tabelle1!Q281),Tabelle1!Q281/'SF Workings'!BB280,"")</f>
        <v/>
      </c>
      <c r="P280" s="23" t="str">
        <f aca="false">IF(ISNUMBER(Tabelle1!R281),Tabelle1!R281/'SF Workings'!BF280,"")</f>
        <v/>
      </c>
      <c r="Q280" s="23" t="str">
        <f aca="false">IF(ISNUMBER(Tabelle1!S281),Tabelle1!S281/'SF Workings'!BJ280,"")</f>
        <v/>
      </c>
      <c r="R280" s="23" t="str">
        <f aca="false">IFERROR(C280*'Weights &amp; Assumptions'!$F$6+D280*'Weights &amp; Assumptions'!$F$7,"")</f>
        <v/>
      </c>
      <c r="S280" s="23" t="str">
        <f aca="false">IFERROR(E280*'Weights &amp; Assumptions'!$F$8+F280*'Weights &amp; Assumptions'!$F$9+H280*'Weights &amp; Assumptions'!$F$11,"")</f>
        <v/>
      </c>
      <c r="T280" s="23" t="str">
        <f aca="false">IFERROR(G280*'Weights &amp; Assumptions'!$F$10+I280*'Weights &amp; Assumptions'!$F$12+J280*'Weights &amp; Assumptions'!$F$13+K280*'Weights &amp; Assumptions'!$F$14+L280*'Weights &amp; Assumptions'!$F$15+M280*'Weights &amp; Assumptions'!$F$16+N280*'Weights &amp; Assumptions'!$F$17+O280*'Weights &amp; Assumptions'!$F$18+P280*'Weights &amp; Assumptions'!$F$19+Q280*'Weights &amp; Assumptions'!$F$20,"")</f>
        <v/>
      </c>
      <c r="U280" s="23" t="str">
        <f aca="false">IFERROR(R280*'Weights &amp; Assumptions'!$B$25/'Weights &amp; Assumptions'!$B$28+S280*'Weights &amp; Assumptions'!$B$26/'Weights &amp; Assumptions'!$B$28+T280*'Weights &amp; Assumptions'!$B$27/'Weights &amp; Assumptions'!$B$28,"")</f>
        <v/>
      </c>
      <c r="V280" s="30" t="str">
        <f aca="false">IF(ISNUMBER(Tabelle1!E281),Tabelle1!E281*'Weights &amp; Assumptions'!$F$6+Tabelle1!F281*'Weights &amp; Assumptions'!$F$7,"")</f>
        <v/>
      </c>
      <c r="W280" s="30" t="str">
        <f aca="false">IF(ISNUMBER(Tabelle1!G281),Tabelle1!G281*'Weights &amp; Assumptions'!$F$8+Tabelle1!H281*'Weights &amp; Assumptions'!$F$9+Tabelle1!J281*'Weights &amp; Assumptions'!$F$11,"")</f>
        <v/>
      </c>
      <c r="X280" s="30" t="str">
        <f aca="false">IF(ISNUMBER(Tabelle1!I281),Tabelle1!I281*'Weights &amp; Assumptions'!$F$10+Tabelle1!K281*'Weights &amp; Assumptions'!$F$12+Tabelle1!L281*'Weights &amp; Assumptions'!$F$13+Tabelle1!M281*'Weights &amp; Assumptions'!$F$14+Tabelle1!N281*'Weights &amp; Assumptions'!$F$15+Tabelle1!O281*'Weights &amp; Assumptions'!$F$16+Tabelle1!P281*'Weights &amp; Assumptions'!$F$17+Tabelle1!Q281*'Weights &amp; Assumptions'!$F$18+Tabelle1!R281*'Weights &amp; Assumptions'!$F$19+Tabelle1!S281*'Weights &amp; Assumptions'!$F$20,"")</f>
        <v/>
      </c>
      <c r="Y280" s="23" t="str">
        <f aca="false">IFERROR(V280*'Weights &amp; Assumptions'!$B$25/'Weights &amp; Assumptions'!$B$28+W280*'Weights &amp; Assumptions'!$B$26/'Weights &amp; Assumptions'!$B$28+X280*'Weights &amp; Assumptions'!$B$27/'Weights &amp; Assumptions'!$B$28,"")</f>
        <v/>
      </c>
    </row>
    <row r="281" customFormat="false" ht="15" hidden="false" customHeight="false" outlineLevel="0" collapsed="false">
      <c r="A281" s="20" t="n">
        <v>46356</v>
      </c>
      <c r="B281" s="30" t="str">
        <f aca="false">IF(ISNUMBER(Tabelle1!D282),Tabelle1!D282,"")</f>
        <v/>
      </c>
      <c r="C281" s="23" t="str">
        <f aca="false">IF(ISNUMBER(Tabelle1!E282),Tabelle1!E282/'SF Workings'!F281,"")</f>
        <v/>
      </c>
      <c r="D281" s="23" t="str">
        <f aca="false">IF(ISNUMBER(Tabelle1!F282),Tabelle1!F282/'SF Workings'!J281,"")</f>
        <v/>
      </c>
      <c r="E281" s="23" t="str">
        <f aca="false">IF(ISNUMBER(Tabelle1!G282),Tabelle1!G282/'SF Workings'!N281,"")</f>
        <v/>
      </c>
      <c r="F281" s="23" t="str">
        <f aca="false">IF(ISNUMBER(Tabelle1!H282),Tabelle1!H282/'SF Workings'!R281,"")</f>
        <v/>
      </c>
      <c r="G281" s="23" t="str">
        <f aca="false">IF(ISNUMBER(Tabelle1!I282),Tabelle1!I282/'SF Workings'!V281,"")</f>
        <v/>
      </c>
      <c r="H281" s="23" t="str">
        <f aca="false">IF(ISNUMBER(Tabelle1!J282),Tabelle1!J282/'SF Workings'!Z281,"")</f>
        <v/>
      </c>
      <c r="I281" s="23" t="str">
        <f aca="false">IF(ISNUMBER(Tabelle1!K282),Tabelle1!K282/'SF Workings'!AD281,"")</f>
        <v/>
      </c>
      <c r="J281" s="23" t="str">
        <f aca="false">IF(ISNUMBER(Tabelle1!L282),Tabelle1!L282/'SF Workings'!AH281,"")</f>
        <v/>
      </c>
      <c r="K281" s="23" t="str">
        <f aca="false">IF(ISNUMBER(Tabelle1!M282),Tabelle1!M282/'SF Workings'!AL281,"")</f>
        <v/>
      </c>
      <c r="L281" s="23" t="str">
        <f aca="false">IF(ISNUMBER(Tabelle1!N282),Tabelle1!N282/'SF Workings'!AP281,"")</f>
        <v/>
      </c>
      <c r="M281" s="23" t="str">
        <f aca="false">IF(ISNUMBER(Tabelle1!O282),Tabelle1!O282/'SF Workings'!AT281,"")</f>
        <v/>
      </c>
      <c r="N281" s="23" t="str">
        <f aca="false">IF(ISNUMBER(Tabelle1!P282),Tabelle1!P282/'SF Workings'!AX281,"")</f>
        <v/>
      </c>
      <c r="O281" s="23" t="str">
        <f aca="false">IF(ISNUMBER(Tabelle1!Q282),Tabelle1!Q282/'SF Workings'!BB281,"")</f>
        <v/>
      </c>
      <c r="P281" s="23" t="str">
        <f aca="false">IF(ISNUMBER(Tabelle1!R282),Tabelle1!R282/'SF Workings'!BF281,"")</f>
        <v/>
      </c>
      <c r="Q281" s="23" t="str">
        <f aca="false">IF(ISNUMBER(Tabelle1!S282),Tabelle1!S282/'SF Workings'!BJ281,"")</f>
        <v/>
      </c>
      <c r="R281" s="23" t="str">
        <f aca="false">IFERROR(C281*'Weights &amp; Assumptions'!$F$6+D281*'Weights &amp; Assumptions'!$F$7,"")</f>
        <v/>
      </c>
      <c r="S281" s="23" t="str">
        <f aca="false">IFERROR(E281*'Weights &amp; Assumptions'!$F$8+F281*'Weights &amp; Assumptions'!$F$9+H281*'Weights &amp; Assumptions'!$F$11,"")</f>
        <v/>
      </c>
      <c r="T281" s="23" t="str">
        <f aca="false">IFERROR(G281*'Weights &amp; Assumptions'!$F$10+I281*'Weights &amp; Assumptions'!$F$12+J281*'Weights &amp; Assumptions'!$F$13+K281*'Weights &amp; Assumptions'!$F$14+L281*'Weights &amp; Assumptions'!$F$15+M281*'Weights &amp; Assumptions'!$F$16+N281*'Weights &amp; Assumptions'!$F$17+O281*'Weights &amp; Assumptions'!$F$18+P281*'Weights &amp; Assumptions'!$F$19+Q281*'Weights &amp; Assumptions'!$F$20,"")</f>
        <v/>
      </c>
      <c r="U281" s="23" t="str">
        <f aca="false">IFERROR(R281*'Weights &amp; Assumptions'!$B$25/'Weights &amp; Assumptions'!$B$28+S281*'Weights &amp; Assumptions'!$B$26/'Weights &amp; Assumptions'!$B$28+T281*'Weights &amp; Assumptions'!$B$27/'Weights &amp; Assumptions'!$B$28,"")</f>
        <v/>
      </c>
      <c r="V281" s="30" t="str">
        <f aca="false">IF(ISNUMBER(Tabelle1!E282),Tabelle1!E282*'Weights &amp; Assumptions'!$F$6+Tabelle1!F282*'Weights &amp; Assumptions'!$F$7,"")</f>
        <v/>
      </c>
      <c r="W281" s="30" t="str">
        <f aca="false">IF(ISNUMBER(Tabelle1!G282),Tabelle1!G282*'Weights &amp; Assumptions'!$F$8+Tabelle1!H282*'Weights &amp; Assumptions'!$F$9+Tabelle1!J282*'Weights &amp; Assumptions'!$F$11,"")</f>
        <v/>
      </c>
      <c r="X281" s="30" t="str">
        <f aca="false">IF(ISNUMBER(Tabelle1!I282),Tabelle1!I282*'Weights &amp; Assumptions'!$F$10+Tabelle1!K282*'Weights &amp; Assumptions'!$F$12+Tabelle1!L282*'Weights &amp; Assumptions'!$F$13+Tabelle1!M282*'Weights &amp; Assumptions'!$F$14+Tabelle1!N282*'Weights &amp; Assumptions'!$F$15+Tabelle1!O282*'Weights &amp; Assumptions'!$F$16+Tabelle1!P282*'Weights &amp; Assumptions'!$F$17+Tabelle1!Q282*'Weights &amp; Assumptions'!$F$18+Tabelle1!R282*'Weights &amp; Assumptions'!$F$19+Tabelle1!S282*'Weights &amp; Assumptions'!$F$20,"")</f>
        <v/>
      </c>
      <c r="Y281" s="23" t="str">
        <f aca="false">IFERROR(V281*'Weights &amp; Assumptions'!$B$25/'Weights &amp; Assumptions'!$B$28+W281*'Weights &amp; Assumptions'!$B$26/'Weights &amp; Assumptions'!$B$28+X281*'Weights &amp; Assumptions'!$B$27/'Weights &amp; Assumptions'!$B$28,"")</f>
        <v/>
      </c>
    </row>
    <row r="282" customFormat="false" ht="15" hidden="false" customHeight="false" outlineLevel="0" collapsed="false">
      <c r="A282" s="20" t="n">
        <v>46387</v>
      </c>
      <c r="B282" s="30" t="str">
        <f aca="false">IF(ISNUMBER(Tabelle1!D283),Tabelle1!D283,"")</f>
        <v/>
      </c>
      <c r="C282" s="23" t="str">
        <f aca="false">IF(ISNUMBER(Tabelle1!E283),Tabelle1!E283/'SF Workings'!F282,"")</f>
        <v/>
      </c>
      <c r="D282" s="23" t="str">
        <f aca="false">IF(ISNUMBER(Tabelle1!F283),Tabelle1!F283/'SF Workings'!J282,"")</f>
        <v/>
      </c>
      <c r="E282" s="23" t="str">
        <f aca="false">IF(ISNUMBER(Tabelle1!G283),Tabelle1!G283/'SF Workings'!N282,"")</f>
        <v/>
      </c>
      <c r="F282" s="23" t="str">
        <f aca="false">IF(ISNUMBER(Tabelle1!H283),Tabelle1!H283/'SF Workings'!R282,"")</f>
        <v/>
      </c>
      <c r="G282" s="23" t="str">
        <f aca="false">IF(ISNUMBER(Tabelle1!I283),Tabelle1!I283/'SF Workings'!V282,"")</f>
        <v/>
      </c>
      <c r="H282" s="23" t="str">
        <f aca="false">IF(ISNUMBER(Tabelle1!J283),Tabelle1!J283/'SF Workings'!Z282,"")</f>
        <v/>
      </c>
      <c r="I282" s="23" t="str">
        <f aca="false">IF(ISNUMBER(Tabelle1!K283),Tabelle1!K283/'SF Workings'!AD282,"")</f>
        <v/>
      </c>
      <c r="J282" s="23" t="str">
        <f aca="false">IF(ISNUMBER(Tabelle1!L283),Tabelle1!L283/'SF Workings'!AH282,"")</f>
        <v/>
      </c>
      <c r="K282" s="23" t="str">
        <f aca="false">IF(ISNUMBER(Tabelle1!M283),Tabelle1!M283/'SF Workings'!AL282,"")</f>
        <v/>
      </c>
      <c r="L282" s="23" t="str">
        <f aca="false">IF(ISNUMBER(Tabelle1!N283),Tabelle1!N283/'SF Workings'!AP282,"")</f>
        <v/>
      </c>
      <c r="M282" s="23" t="str">
        <f aca="false">IF(ISNUMBER(Tabelle1!O283),Tabelle1!O283/'SF Workings'!AT282,"")</f>
        <v/>
      </c>
      <c r="N282" s="23" t="str">
        <f aca="false">IF(ISNUMBER(Tabelle1!P283),Tabelle1!P283/'SF Workings'!AX282,"")</f>
        <v/>
      </c>
      <c r="O282" s="23" t="str">
        <f aca="false">IF(ISNUMBER(Tabelle1!Q283),Tabelle1!Q283/'SF Workings'!BB282,"")</f>
        <v/>
      </c>
      <c r="P282" s="23" t="str">
        <f aca="false">IF(ISNUMBER(Tabelle1!R283),Tabelle1!R283/'SF Workings'!BF282,"")</f>
        <v/>
      </c>
      <c r="Q282" s="23" t="str">
        <f aca="false">IF(ISNUMBER(Tabelle1!S283),Tabelle1!S283/'SF Workings'!BJ282,"")</f>
        <v/>
      </c>
      <c r="R282" s="23" t="str">
        <f aca="false">IFERROR(C282*'Weights &amp; Assumptions'!$F$6+D282*'Weights &amp; Assumptions'!$F$7,"")</f>
        <v/>
      </c>
      <c r="S282" s="23" t="str">
        <f aca="false">IFERROR(E282*'Weights &amp; Assumptions'!$F$8+F282*'Weights &amp; Assumptions'!$F$9+H282*'Weights &amp; Assumptions'!$F$11,"")</f>
        <v/>
      </c>
      <c r="T282" s="23" t="str">
        <f aca="false">IFERROR(G282*'Weights &amp; Assumptions'!$F$10+I282*'Weights &amp; Assumptions'!$F$12+J282*'Weights &amp; Assumptions'!$F$13+K282*'Weights &amp; Assumptions'!$F$14+L282*'Weights &amp; Assumptions'!$F$15+M282*'Weights &amp; Assumptions'!$F$16+N282*'Weights &amp; Assumptions'!$F$17+O282*'Weights &amp; Assumptions'!$F$18+P282*'Weights &amp; Assumptions'!$F$19+Q282*'Weights &amp; Assumptions'!$F$20,"")</f>
        <v/>
      </c>
      <c r="U282" s="23" t="str">
        <f aca="false">IFERROR(R282*'Weights &amp; Assumptions'!$B$25/'Weights &amp; Assumptions'!$B$28+S282*'Weights &amp; Assumptions'!$B$26/'Weights &amp; Assumptions'!$B$28+T282*'Weights &amp; Assumptions'!$B$27/'Weights &amp; Assumptions'!$B$28,"")</f>
        <v/>
      </c>
      <c r="V282" s="30" t="str">
        <f aca="false">IF(ISNUMBER(Tabelle1!E283),Tabelle1!E283*'Weights &amp; Assumptions'!$F$6+Tabelle1!F283*'Weights &amp; Assumptions'!$F$7,"")</f>
        <v/>
      </c>
      <c r="W282" s="30" t="str">
        <f aca="false">IF(ISNUMBER(Tabelle1!G283),Tabelle1!G283*'Weights &amp; Assumptions'!$F$8+Tabelle1!H283*'Weights &amp; Assumptions'!$F$9+Tabelle1!J283*'Weights &amp; Assumptions'!$F$11,"")</f>
        <v/>
      </c>
      <c r="X282" s="30" t="str">
        <f aca="false">IF(ISNUMBER(Tabelle1!I283),Tabelle1!I283*'Weights &amp; Assumptions'!$F$10+Tabelle1!K283*'Weights &amp; Assumptions'!$F$12+Tabelle1!L283*'Weights &amp; Assumptions'!$F$13+Tabelle1!M283*'Weights &amp; Assumptions'!$F$14+Tabelle1!N283*'Weights &amp; Assumptions'!$F$15+Tabelle1!O283*'Weights &amp; Assumptions'!$F$16+Tabelle1!P283*'Weights &amp; Assumptions'!$F$17+Tabelle1!Q283*'Weights &amp; Assumptions'!$F$18+Tabelle1!R283*'Weights &amp; Assumptions'!$F$19+Tabelle1!S283*'Weights &amp; Assumptions'!$F$20,"")</f>
        <v/>
      </c>
      <c r="Y282" s="23" t="str">
        <f aca="false">IFERROR(V282*'Weights &amp; Assumptions'!$B$25/'Weights &amp; Assumptions'!$B$28+W282*'Weights &amp; Assumptions'!$B$26/'Weights &amp; Assumptions'!$B$28+X282*'Weights &amp; Assumptions'!$B$27/'Weights &amp; Assumptions'!$B$28,"")</f>
        <v/>
      </c>
    </row>
    <row r="283" customFormat="false" ht="15" hidden="false" customHeight="false" outlineLevel="0" collapsed="false">
      <c r="A283" s="20" t="n">
        <v>46418</v>
      </c>
      <c r="B283" s="30" t="str">
        <f aca="false">IF(ISNUMBER(Tabelle1!D284),Tabelle1!D284,"")</f>
        <v/>
      </c>
      <c r="C283" s="23" t="str">
        <f aca="false">IF(ISNUMBER(Tabelle1!E284),Tabelle1!E284/'SF Workings'!F283,"")</f>
        <v/>
      </c>
      <c r="D283" s="23" t="str">
        <f aca="false">IF(ISNUMBER(Tabelle1!F284),Tabelle1!F284/'SF Workings'!J283,"")</f>
        <v/>
      </c>
      <c r="E283" s="23" t="str">
        <f aca="false">IF(ISNUMBER(Tabelle1!G284),Tabelle1!G284/'SF Workings'!N283,"")</f>
        <v/>
      </c>
      <c r="F283" s="23" t="str">
        <f aca="false">IF(ISNUMBER(Tabelle1!H284),Tabelle1!H284/'SF Workings'!R283,"")</f>
        <v/>
      </c>
      <c r="G283" s="23" t="str">
        <f aca="false">IF(ISNUMBER(Tabelle1!I284),Tabelle1!I284/'SF Workings'!V283,"")</f>
        <v/>
      </c>
      <c r="H283" s="23" t="str">
        <f aca="false">IF(ISNUMBER(Tabelle1!J284),Tabelle1!J284/'SF Workings'!Z283,"")</f>
        <v/>
      </c>
      <c r="I283" s="23" t="str">
        <f aca="false">IF(ISNUMBER(Tabelle1!K284),Tabelle1!K284/'SF Workings'!AD283,"")</f>
        <v/>
      </c>
      <c r="J283" s="23" t="str">
        <f aca="false">IF(ISNUMBER(Tabelle1!L284),Tabelle1!L284/'SF Workings'!AH283,"")</f>
        <v/>
      </c>
      <c r="K283" s="23" t="str">
        <f aca="false">IF(ISNUMBER(Tabelle1!M284),Tabelle1!M284/'SF Workings'!AL283,"")</f>
        <v/>
      </c>
      <c r="L283" s="23" t="str">
        <f aca="false">IF(ISNUMBER(Tabelle1!N284),Tabelle1!N284/'SF Workings'!AP283,"")</f>
        <v/>
      </c>
      <c r="M283" s="23" t="str">
        <f aca="false">IF(ISNUMBER(Tabelle1!O284),Tabelle1!O284/'SF Workings'!AT283,"")</f>
        <v/>
      </c>
      <c r="N283" s="23" t="str">
        <f aca="false">IF(ISNUMBER(Tabelle1!P284),Tabelle1!P284/'SF Workings'!AX283,"")</f>
        <v/>
      </c>
      <c r="O283" s="23" t="str">
        <f aca="false">IF(ISNUMBER(Tabelle1!Q284),Tabelle1!Q284/'SF Workings'!BB283,"")</f>
        <v/>
      </c>
      <c r="P283" s="23" t="str">
        <f aca="false">IF(ISNUMBER(Tabelle1!R284),Tabelle1!R284/'SF Workings'!BF283,"")</f>
        <v/>
      </c>
      <c r="Q283" s="23" t="str">
        <f aca="false">IF(ISNUMBER(Tabelle1!S284),Tabelle1!S284/'SF Workings'!BJ283,"")</f>
        <v/>
      </c>
      <c r="R283" s="23" t="str">
        <f aca="false">IFERROR(C283*'Weights &amp; Assumptions'!$F$6+D283*'Weights &amp; Assumptions'!$F$7,"")</f>
        <v/>
      </c>
      <c r="S283" s="23" t="str">
        <f aca="false">IFERROR(E283*'Weights &amp; Assumptions'!$F$8+F283*'Weights &amp; Assumptions'!$F$9+H283*'Weights &amp; Assumptions'!$F$11,"")</f>
        <v/>
      </c>
      <c r="T283" s="23" t="str">
        <f aca="false">IFERROR(G283*'Weights &amp; Assumptions'!$F$10+I283*'Weights &amp; Assumptions'!$F$12+J283*'Weights &amp; Assumptions'!$F$13+K283*'Weights &amp; Assumptions'!$F$14+L283*'Weights &amp; Assumptions'!$F$15+M283*'Weights &amp; Assumptions'!$F$16+N283*'Weights &amp; Assumptions'!$F$17+O283*'Weights &amp; Assumptions'!$F$18+P283*'Weights &amp; Assumptions'!$F$19+Q283*'Weights &amp; Assumptions'!$F$20,"")</f>
        <v/>
      </c>
      <c r="U283" s="23" t="str">
        <f aca="false">IFERROR(R283*'Weights &amp; Assumptions'!$B$25/'Weights &amp; Assumptions'!$B$28+S283*'Weights &amp; Assumptions'!$B$26/'Weights &amp; Assumptions'!$B$28+T283*'Weights &amp; Assumptions'!$B$27/'Weights &amp; Assumptions'!$B$28,"")</f>
        <v/>
      </c>
      <c r="V283" s="30" t="str">
        <f aca="false">IF(ISNUMBER(Tabelle1!E284),Tabelle1!E284*'Weights &amp; Assumptions'!$F$6+Tabelle1!F284*'Weights &amp; Assumptions'!$F$7,"")</f>
        <v/>
      </c>
      <c r="W283" s="30" t="str">
        <f aca="false">IF(ISNUMBER(Tabelle1!G284),Tabelle1!G284*'Weights &amp; Assumptions'!$F$8+Tabelle1!H284*'Weights &amp; Assumptions'!$F$9+Tabelle1!J284*'Weights &amp; Assumptions'!$F$11,"")</f>
        <v/>
      </c>
      <c r="X283" s="30" t="str">
        <f aca="false">IF(ISNUMBER(Tabelle1!I284),Tabelle1!I284*'Weights &amp; Assumptions'!$F$10+Tabelle1!K284*'Weights &amp; Assumptions'!$F$12+Tabelle1!L284*'Weights &amp; Assumptions'!$F$13+Tabelle1!M284*'Weights &amp; Assumptions'!$F$14+Tabelle1!N284*'Weights &amp; Assumptions'!$F$15+Tabelle1!O284*'Weights &amp; Assumptions'!$F$16+Tabelle1!P284*'Weights &amp; Assumptions'!$F$17+Tabelle1!Q284*'Weights &amp; Assumptions'!$F$18+Tabelle1!R284*'Weights &amp; Assumptions'!$F$19+Tabelle1!S284*'Weights &amp; Assumptions'!$F$20,"")</f>
        <v/>
      </c>
      <c r="Y283" s="23" t="str">
        <f aca="false">IFERROR(V283*'Weights &amp; Assumptions'!$B$25/'Weights &amp; Assumptions'!$B$28+W283*'Weights &amp; Assumptions'!$B$26/'Weights &amp; Assumptions'!$B$28+X283*'Weights &amp; Assumptions'!$B$27/'Weights &amp; Assumptions'!$B$28,"")</f>
        <v/>
      </c>
    </row>
    <row r="284" customFormat="false" ht="15" hidden="false" customHeight="false" outlineLevel="0" collapsed="false">
      <c r="A284" s="20" t="n">
        <v>46446</v>
      </c>
      <c r="B284" s="30" t="str">
        <f aca="false">IF(ISNUMBER(Tabelle1!D285),Tabelle1!D285,"")</f>
        <v/>
      </c>
      <c r="C284" s="23" t="str">
        <f aca="false">IF(ISNUMBER(Tabelle1!E285),Tabelle1!E285/'SF Workings'!F284,"")</f>
        <v/>
      </c>
      <c r="D284" s="23" t="str">
        <f aca="false">IF(ISNUMBER(Tabelle1!F285),Tabelle1!F285/'SF Workings'!J284,"")</f>
        <v/>
      </c>
      <c r="E284" s="23" t="str">
        <f aca="false">IF(ISNUMBER(Tabelle1!G285),Tabelle1!G285/'SF Workings'!N284,"")</f>
        <v/>
      </c>
      <c r="F284" s="23" t="str">
        <f aca="false">IF(ISNUMBER(Tabelle1!H285),Tabelle1!H285/'SF Workings'!R284,"")</f>
        <v/>
      </c>
      <c r="G284" s="23" t="str">
        <f aca="false">IF(ISNUMBER(Tabelle1!I285),Tabelle1!I285/'SF Workings'!V284,"")</f>
        <v/>
      </c>
      <c r="H284" s="23" t="str">
        <f aca="false">IF(ISNUMBER(Tabelle1!J285),Tabelle1!J285/'SF Workings'!Z284,"")</f>
        <v/>
      </c>
      <c r="I284" s="23" t="str">
        <f aca="false">IF(ISNUMBER(Tabelle1!K285),Tabelle1!K285/'SF Workings'!AD284,"")</f>
        <v/>
      </c>
      <c r="J284" s="23" t="str">
        <f aca="false">IF(ISNUMBER(Tabelle1!L285),Tabelle1!L285/'SF Workings'!AH284,"")</f>
        <v/>
      </c>
      <c r="K284" s="23" t="str">
        <f aca="false">IF(ISNUMBER(Tabelle1!M285),Tabelle1!M285/'SF Workings'!AL284,"")</f>
        <v/>
      </c>
      <c r="L284" s="23" t="str">
        <f aca="false">IF(ISNUMBER(Tabelle1!N285),Tabelle1!N285/'SF Workings'!AP284,"")</f>
        <v/>
      </c>
      <c r="M284" s="23" t="str">
        <f aca="false">IF(ISNUMBER(Tabelle1!O285),Tabelle1!O285/'SF Workings'!AT284,"")</f>
        <v/>
      </c>
      <c r="N284" s="23" t="str">
        <f aca="false">IF(ISNUMBER(Tabelle1!P285),Tabelle1!P285/'SF Workings'!AX284,"")</f>
        <v/>
      </c>
      <c r="O284" s="23" t="str">
        <f aca="false">IF(ISNUMBER(Tabelle1!Q285),Tabelle1!Q285/'SF Workings'!BB284,"")</f>
        <v/>
      </c>
      <c r="P284" s="23" t="str">
        <f aca="false">IF(ISNUMBER(Tabelle1!R285),Tabelle1!R285/'SF Workings'!BF284,"")</f>
        <v/>
      </c>
      <c r="Q284" s="23" t="str">
        <f aca="false">IF(ISNUMBER(Tabelle1!S285),Tabelle1!S285/'SF Workings'!BJ284,"")</f>
        <v/>
      </c>
      <c r="R284" s="23" t="str">
        <f aca="false">IFERROR(C284*'Weights &amp; Assumptions'!$F$6+D284*'Weights &amp; Assumptions'!$F$7,"")</f>
        <v/>
      </c>
      <c r="S284" s="23" t="str">
        <f aca="false">IFERROR(E284*'Weights &amp; Assumptions'!$F$8+F284*'Weights &amp; Assumptions'!$F$9+H284*'Weights &amp; Assumptions'!$F$11,"")</f>
        <v/>
      </c>
      <c r="T284" s="23" t="str">
        <f aca="false">IFERROR(G284*'Weights &amp; Assumptions'!$F$10+I284*'Weights &amp; Assumptions'!$F$12+J284*'Weights &amp; Assumptions'!$F$13+K284*'Weights &amp; Assumptions'!$F$14+L284*'Weights &amp; Assumptions'!$F$15+M284*'Weights &amp; Assumptions'!$F$16+N284*'Weights &amp; Assumptions'!$F$17+O284*'Weights &amp; Assumptions'!$F$18+P284*'Weights &amp; Assumptions'!$F$19+Q284*'Weights &amp; Assumptions'!$F$20,"")</f>
        <v/>
      </c>
      <c r="U284" s="23" t="str">
        <f aca="false">IFERROR(R284*'Weights &amp; Assumptions'!$B$25/'Weights &amp; Assumptions'!$B$28+S284*'Weights &amp; Assumptions'!$B$26/'Weights &amp; Assumptions'!$B$28+T284*'Weights &amp; Assumptions'!$B$27/'Weights &amp; Assumptions'!$B$28,"")</f>
        <v/>
      </c>
      <c r="V284" s="30" t="str">
        <f aca="false">IF(ISNUMBER(Tabelle1!E285),Tabelle1!E285*'Weights &amp; Assumptions'!$F$6+Tabelle1!F285*'Weights &amp; Assumptions'!$F$7,"")</f>
        <v/>
      </c>
      <c r="W284" s="30" t="str">
        <f aca="false">IF(ISNUMBER(Tabelle1!G285),Tabelle1!G285*'Weights &amp; Assumptions'!$F$8+Tabelle1!H285*'Weights &amp; Assumptions'!$F$9+Tabelle1!J285*'Weights &amp; Assumptions'!$F$11,"")</f>
        <v/>
      </c>
      <c r="X284" s="30" t="str">
        <f aca="false">IF(ISNUMBER(Tabelle1!I285),Tabelle1!I285*'Weights &amp; Assumptions'!$F$10+Tabelle1!K285*'Weights &amp; Assumptions'!$F$12+Tabelle1!L285*'Weights &amp; Assumptions'!$F$13+Tabelle1!M285*'Weights &amp; Assumptions'!$F$14+Tabelle1!N285*'Weights &amp; Assumptions'!$F$15+Tabelle1!O285*'Weights &amp; Assumptions'!$F$16+Tabelle1!P285*'Weights &amp; Assumptions'!$F$17+Tabelle1!Q285*'Weights &amp; Assumptions'!$F$18+Tabelle1!R285*'Weights &amp; Assumptions'!$F$19+Tabelle1!S285*'Weights &amp; Assumptions'!$F$20,"")</f>
        <v/>
      </c>
      <c r="Y284" s="23" t="str">
        <f aca="false">IFERROR(V284*'Weights &amp; Assumptions'!$B$25/'Weights &amp; Assumptions'!$B$28+W284*'Weights &amp; Assumptions'!$B$26/'Weights &amp; Assumptions'!$B$28+X284*'Weights &amp; Assumptions'!$B$27/'Weights &amp; Assumptions'!$B$28,"")</f>
        <v/>
      </c>
    </row>
    <row r="285" customFormat="false" ht="15" hidden="false" customHeight="false" outlineLevel="0" collapsed="false">
      <c r="A285" s="20" t="n">
        <v>46477</v>
      </c>
      <c r="B285" s="30" t="str">
        <f aca="false">IF(ISNUMBER(Tabelle1!D286),Tabelle1!D286,"")</f>
        <v/>
      </c>
      <c r="C285" s="23" t="str">
        <f aca="false">IF(ISNUMBER(Tabelle1!E286),Tabelle1!E286/'SF Workings'!F285,"")</f>
        <v/>
      </c>
      <c r="D285" s="23" t="str">
        <f aca="false">IF(ISNUMBER(Tabelle1!F286),Tabelle1!F286/'SF Workings'!J285,"")</f>
        <v/>
      </c>
      <c r="E285" s="23" t="str">
        <f aca="false">IF(ISNUMBER(Tabelle1!G286),Tabelle1!G286/'SF Workings'!N285,"")</f>
        <v/>
      </c>
      <c r="F285" s="23" t="str">
        <f aca="false">IF(ISNUMBER(Tabelle1!H286),Tabelle1!H286/'SF Workings'!R285,"")</f>
        <v/>
      </c>
      <c r="G285" s="23" t="str">
        <f aca="false">IF(ISNUMBER(Tabelle1!I286),Tabelle1!I286/'SF Workings'!V285,"")</f>
        <v/>
      </c>
      <c r="H285" s="23" t="str">
        <f aca="false">IF(ISNUMBER(Tabelle1!J286),Tabelle1!J286/'SF Workings'!Z285,"")</f>
        <v/>
      </c>
      <c r="I285" s="23" t="str">
        <f aca="false">IF(ISNUMBER(Tabelle1!K286),Tabelle1!K286/'SF Workings'!AD285,"")</f>
        <v/>
      </c>
      <c r="J285" s="23" t="str">
        <f aca="false">IF(ISNUMBER(Tabelle1!L286),Tabelle1!L286/'SF Workings'!AH285,"")</f>
        <v/>
      </c>
      <c r="K285" s="23" t="str">
        <f aca="false">IF(ISNUMBER(Tabelle1!M286),Tabelle1!M286/'SF Workings'!AL285,"")</f>
        <v/>
      </c>
      <c r="L285" s="23" t="str">
        <f aca="false">IF(ISNUMBER(Tabelle1!N286),Tabelle1!N286/'SF Workings'!AP285,"")</f>
        <v/>
      </c>
      <c r="M285" s="23" t="str">
        <f aca="false">IF(ISNUMBER(Tabelle1!O286),Tabelle1!O286/'SF Workings'!AT285,"")</f>
        <v/>
      </c>
      <c r="N285" s="23" t="str">
        <f aca="false">IF(ISNUMBER(Tabelle1!P286),Tabelle1!P286/'SF Workings'!AX285,"")</f>
        <v/>
      </c>
      <c r="O285" s="23" t="str">
        <f aca="false">IF(ISNUMBER(Tabelle1!Q286),Tabelle1!Q286/'SF Workings'!BB285,"")</f>
        <v/>
      </c>
      <c r="P285" s="23" t="str">
        <f aca="false">IF(ISNUMBER(Tabelle1!R286),Tabelle1!R286/'SF Workings'!BF285,"")</f>
        <v/>
      </c>
      <c r="Q285" s="23" t="str">
        <f aca="false">IF(ISNUMBER(Tabelle1!S286),Tabelle1!S286/'SF Workings'!BJ285,"")</f>
        <v/>
      </c>
      <c r="R285" s="23" t="str">
        <f aca="false">IFERROR(C285*'Weights &amp; Assumptions'!$F$6+D285*'Weights &amp; Assumptions'!$F$7,"")</f>
        <v/>
      </c>
      <c r="S285" s="23" t="str">
        <f aca="false">IFERROR(E285*'Weights &amp; Assumptions'!$F$8+F285*'Weights &amp; Assumptions'!$F$9+H285*'Weights &amp; Assumptions'!$F$11,"")</f>
        <v/>
      </c>
      <c r="T285" s="23" t="str">
        <f aca="false">IFERROR(G285*'Weights &amp; Assumptions'!$F$10+I285*'Weights &amp; Assumptions'!$F$12+J285*'Weights &amp; Assumptions'!$F$13+K285*'Weights &amp; Assumptions'!$F$14+L285*'Weights &amp; Assumptions'!$F$15+M285*'Weights &amp; Assumptions'!$F$16+N285*'Weights &amp; Assumptions'!$F$17+O285*'Weights &amp; Assumptions'!$F$18+P285*'Weights &amp; Assumptions'!$F$19+Q285*'Weights &amp; Assumptions'!$F$20,"")</f>
        <v/>
      </c>
      <c r="U285" s="23" t="str">
        <f aca="false">IFERROR(R285*'Weights &amp; Assumptions'!$B$25/'Weights &amp; Assumptions'!$B$28+S285*'Weights &amp; Assumptions'!$B$26/'Weights &amp; Assumptions'!$B$28+T285*'Weights &amp; Assumptions'!$B$27/'Weights &amp; Assumptions'!$B$28,"")</f>
        <v/>
      </c>
      <c r="V285" s="30" t="str">
        <f aca="false">IF(ISNUMBER(Tabelle1!E286),Tabelle1!E286*'Weights &amp; Assumptions'!$F$6+Tabelle1!F286*'Weights &amp; Assumptions'!$F$7,"")</f>
        <v/>
      </c>
      <c r="W285" s="30" t="str">
        <f aca="false">IF(ISNUMBER(Tabelle1!G286),Tabelle1!G286*'Weights &amp; Assumptions'!$F$8+Tabelle1!H286*'Weights &amp; Assumptions'!$F$9+Tabelle1!J286*'Weights &amp; Assumptions'!$F$11,"")</f>
        <v/>
      </c>
      <c r="X285" s="30" t="str">
        <f aca="false">IF(ISNUMBER(Tabelle1!I286),Tabelle1!I286*'Weights &amp; Assumptions'!$F$10+Tabelle1!K286*'Weights &amp; Assumptions'!$F$12+Tabelle1!L286*'Weights &amp; Assumptions'!$F$13+Tabelle1!M286*'Weights &amp; Assumptions'!$F$14+Tabelle1!N286*'Weights &amp; Assumptions'!$F$15+Tabelle1!O286*'Weights &amp; Assumptions'!$F$16+Tabelle1!P286*'Weights &amp; Assumptions'!$F$17+Tabelle1!Q286*'Weights &amp; Assumptions'!$F$18+Tabelle1!R286*'Weights &amp; Assumptions'!$F$19+Tabelle1!S286*'Weights &amp; Assumptions'!$F$20,"")</f>
        <v/>
      </c>
      <c r="Y285" s="23" t="str">
        <f aca="false">IFERROR(V285*'Weights &amp; Assumptions'!$B$25/'Weights &amp; Assumptions'!$B$28+W285*'Weights &amp; Assumptions'!$B$26/'Weights &amp; Assumptions'!$B$28+X285*'Weights &amp; Assumptions'!$B$27/'Weights &amp; Assumptions'!$B$28,"")</f>
        <v/>
      </c>
    </row>
    <row r="286" customFormat="false" ht="15" hidden="false" customHeight="false" outlineLevel="0" collapsed="false">
      <c r="A286" s="20" t="n">
        <v>46507</v>
      </c>
      <c r="B286" s="30" t="str">
        <f aca="false">IF(ISNUMBER(Tabelle1!D287),Tabelle1!D287,"")</f>
        <v/>
      </c>
      <c r="C286" s="23" t="str">
        <f aca="false">IF(ISNUMBER(Tabelle1!E287),Tabelle1!E287/'SF Workings'!F286,"")</f>
        <v/>
      </c>
      <c r="D286" s="23" t="str">
        <f aca="false">IF(ISNUMBER(Tabelle1!F287),Tabelle1!F287/'SF Workings'!J286,"")</f>
        <v/>
      </c>
      <c r="E286" s="23" t="str">
        <f aca="false">IF(ISNUMBER(Tabelle1!G287),Tabelle1!G287/'SF Workings'!N286,"")</f>
        <v/>
      </c>
      <c r="F286" s="23" t="str">
        <f aca="false">IF(ISNUMBER(Tabelle1!H287),Tabelle1!H287/'SF Workings'!R286,"")</f>
        <v/>
      </c>
      <c r="G286" s="23" t="str">
        <f aca="false">IF(ISNUMBER(Tabelle1!I287),Tabelle1!I287/'SF Workings'!V286,"")</f>
        <v/>
      </c>
      <c r="H286" s="23" t="str">
        <f aca="false">IF(ISNUMBER(Tabelle1!J287),Tabelle1!J287/'SF Workings'!Z286,"")</f>
        <v/>
      </c>
      <c r="I286" s="23" t="str">
        <f aca="false">IF(ISNUMBER(Tabelle1!K287),Tabelle1!K287/'SF Workings'!AD286,"")</f>
        <v/>
      </c>
      <c r="J286" s="23" t="str">
        <f aca="false">IF(ISNUMBER(Tabelle1!L287),Tabelle1!L287/'SF Workings'!AH286,"")</f>
        <v/>
      </c>
      <c r="K286" s="23" t="str">
        <f aca="false">IF(ISNUMBER(Tabelle1!M287),Tabelle1!M287/'SF Workings'!AL286,"")</f>
        <v/>
      </c>
      <c r="L286" s="23" t="str">
        <f aca="false">IF(ISNUMBER(Tabelle1!N287),Tabelle1!N287/'SF Workings'!AP286,"")</f>
        <v/>
      </c>
      <c r="M286" s="23" t="str">
        <f aca="false">IF(ISNUMBER(Tabelle1!O287),Tabelle1!O287/'SF Workings'!AT286,"")</f>
        <v/>
      </c>
      <c r="N286" s="23" t="str">
        <f aca="false">IF(ISNUMBER(Tabelle1!P287),Tabelle1!P287/'SF Workings'!AX286,"")</f>
        <v/>
      </c>
      <c r="O286" s="23" t="str">
        <f aca="false">IF(ISNUMBER(Tabelle1!Q287),Tabelle1!Q287/'SF Workings'!BB286,"")</f>
        <v/>
      </c>
      <c r="P286" s="23" t="str">
        <f aca="false">IF(ISNUMBER(Tabelle1!R287),Tabelle1!R287/'SF Workings'!BF286,"")</f>
        <v/>
      </c>
      <c r="Q286" s="23" t="str">
        <f aca="false">IF(ISNUMBER(Tabelle1!S287),Tabelle1!S287/'SF Workings'!BJ286,"")</f>
        <v/>
      </c>
      <c r="R286" s="23" t="str">
        <f aca="false">IFERROR(C286*'Weights &amp; Assumptions'!$F$6+D286*'Weights &amp; Assumptions'!$F$7,"")</f>
        <v/>
      </c>
      <c r="S286" s="23" t="str">
        <f aca="false">IFERROR(E286*'Weights &amp; Assumptions'!$F$8+F286*'Weights &amp; Assumptions'!$F$9+H286*'Weights &amp; Assumptions'!$F$11,"")</f>
        <v/>
      </c>
      <c r="T286" s="23" t="str">
        <f aca="false">IFERROR(G286*'Weights &amp; Assumptions'!$F$10+I286*'Weights &amp; Assumptions'!$F$12+J286*'Weights &amp; Assumptions'!$F$13+K286*'Weights &amp; Assumptions'!$F$14+L286*'Weights &amp; Assumptions'!$F$15+M286*'Weights &amp; Assumptions'!$F$16+N286*'Weights &amp; Assumptions'!$F$17+O286*'Weights &amp; Assumptions'!$F$18+P286*'Weights &amp; Assumptions'!$F$19+Q286*'Weights &amp; Assumptions'!$F$20,"")</f>
        <v/>
      </c>
      <c r="U286" s="23" t="str">
        <f aca="false">IFERROR(R286*'Weights &amp; Assumptions'!$B$25/'Weights &amp; Assumptions'!$B$28+S286*'Weights &amp; Assumptions'!$B$26/'Weights &amp; Assumptions'!$B$28+T286*'Weights &amp; Assumptions'!$B$27/'Weights &amp; Assumptions'!$B$28,"")</f>
        <v/>
      </c>
      <c r="V286" s="30" t="str">
        <f aca="false">IF(ISNUMBER(Tabelle1!E287),Tabelle1!E287*'Weights &amp; Assumptions'!$F$6+Tabelle1!F287*'Weights &amp; Assumptions'!$F$7,"")</f>
        <v/>
      </c>
      <c r="W286" s="30" t="str">
        <f aca="false">IF(ISNUMBER(Tabelle1!G287),Tabelle1!G287*'Weights &amp; Assumptions'!$F$8+Tabelle1!H287*'Weights &amp; Assumptions'!$F$9+Tabelle1!J287*'Weights &amp; Assumptions'!$F$11,"")</f>
        <v/>
      </c>
      <c r="X286" s="30" t="str">
        <f aca="false">IF(ISNUMBER(Tabelle1!I287),Tabelle1!I287*'Weights &amp; Assumptions'!$F$10+Tabelle1!K287*'Weights &amp; Assumptions'!$F$12+Tabelle1!L287*'Weights &amp; Assumptions'!$F$13+Tabelle1!M287*'Weights &amp; Assumptions'!$F$14+Tabelle1!N287*'Weights &amp; Assumptions'!$F$15+Tabelle1!O287*'Weights &amp; Assumptions'!$F$16+Tabelle1!P287*'Weights &amp; Assumptions'!$F$17+Tabelle1!Q287*'Weights &amp; Assumptions'!$F$18+Tabelle1!R287*'Weights &amp; Assumptions'!$F$19+Tabelle1!S287*'Weights &amp; Assumptions'!$F$20,"")</f>
        <v/>
      </c>
      <c r="Y286" s="23" t="str">
        <f aca="false">IFERROR(V286*'Weights &amp; Assumptions'!$B$25/'Weights &amp; Assumptions'!$B$28+W286*'Weights &amp; Assumptions'!$B$26/'Weights &amp; Assumptions'!$B$28+X286*'Weights &amp; Assumptions'!$B$27/'Weights &amp; Assumptions'!$B$28,"")</f>
        <v/>
      </c>
    </row>
    <row r="287" customFormat="false" ht="15" hidden="false" customHeight="false" outlineLevel="0" collapsed="false">
      <c r="A287" s="20" t="n">
        <v>46538</v>
      </c>
      <c r="B287" s="30" t="str">
        <f aca="false">IF(ISNUMBER(Tabelle1!D288),Tabelle1!D288,"")</f>
        <v/>
      </c>
      <c r="C287" s="23" t="str">
        <f aca="false">IF(ISNUMBER(Tabelle1!E288),Tabelle1!E288/'SF Workings'!F287,"")</f>
        <v/>
      </c>
      <c r="D287" s="23" t="str">
        <f aca="false">IF(ISNUMBER(Tabelle1!F288),Tabelle1!F288/'SF Workings'!J287,"")</f>
        <v/>
      </c>
      <c r="E287" s="23" t="str">
        <f aca="false">IF(ISNUMBER(Tabelle1!G288),Tabelle1!G288/'SF Workings'!N287,"")</f>
        <v/>
      </c>
      <c r="F287" s="23" t="str">
        <f aca="false">IF(ISNUMBER(Tabelle1!H288),Tabelle1!H288/'SF Workings'!R287,"")</f>
        <v/>
      </c>
      <c r="G287" s="23" t="str">
        <f aca="false">IF(ISNUMBER(Tabelle1!I288),Tabelle1!I288/'SF Workings'!V287,"")</f>
        <v/>
      </c>
      <c r="H287" s="23" t="str">
        <f aca="false">IF(ISNUMBER(Tabelle1!J288),Tabelle1!J288/'SF Workings'!Z287,"")</f>
        <v/>
      </c>
      <c r="I287" s="23" t="str">
        <f aca="false">IF(ISNUMBER(Tabelle1!K288),Tabelle1!K288/'SF Workings'!AD287,"")</f>
        <v/>
      </c>
      <c r="J287" s="23" t="str">
        <f aca="false">IF(ISNUMBER(Tabelle1!L288),Tabelle1!L288/'SF Workings'!AH287,"")</f>
        <v/>
      </c>
      <c r="K287" s="23" t="str">
        <f aca="false">IF(ISNUMBER(Tabelle1!M288),Tabelle1!M288/'SF Workings'!AL287,"")</f>
        <v/>
      </c>
      <c r="L287" s="23" t="str">
        <f aca="false">IF(ISNUMBER(Tabelle1!N288),Tabelle1!N288/'SF Workings'!AP287,"")</f>
        <v/>
      </c>
      <c r="M287" s="23" t="str">
        <f aca="false">IF(ISNUMBER(Tabelle1!O288),Tabelle1!O288/'SF Workings'!AT287,"")</f>
        <v/>
      </c>
      <c r="N287" s="23" t="str">
        <f aca="false">IF(ISNUMBER(Tabelle1!P288),Tabelle1!P288/'SF Workings'!AX287,"")</f>
        <v/>
      </c>
      <c r="O287" s="23" t="str">
        <f aca="false">IF(ISNUMBER(Tabelle1!Q288),Tabelle1!Q288/'SF Workings'!BB287,"")</f>
        <v/>
      </c>
      <c r="P287" s="23" t="str">
        <f aca="false">IF(ISNUMBER(Tabelle1!R288),Tabelle1!R288/'SF Workings'!BF287,"")</f>
        <v/>
      </c>
      <c r="Q287" s="23" t="str">
        <f aca="false">IF(ISNUMBER(Tabelle1!S288),Tabelle1!S288/'SF Workings'!BJ287,"")</f>
        <v/>
      </c>
      <c r="R287" s="23" t="str">
        <f aca="false">IFERROR(C287*'Weights &amp; Assumptions'!$F$6+D287*'Weights &amp; Assumptions'!$F$7,"")</f>
        <v/>
      </c>
      <c r="S287" s="23" t="str">
        <f aca="false">IFERROR(E287*'Weights &amp; Assumptions'!$F$8+F287*'Weights &amp; Assumptions'!$F$9+H287*'Weights &amp; Assumptions'!$F$11,"")</f>
        <v/>
      </c>
      <c r="T287" s="23" t="str">
        <f aca="false">IFERROR(G287*'Weights &amp; Assumptions'!$F$10+I287*'Weights &amp; Assumptions'!$F$12+J287*'Weights &amp; Assumptions'!$F$13+K287*'Weights &amp; Assumptions'!$F$14+L287*'Weights &amp; Assumptions'!$F$15+M287*'Weights &amp; Assumptions'!$F$16+N287*'Weights &amp; Assumptions'!$F$17+O287*'Weights &amp; Assumptions'!$F$18+P287*'Weights &amp; Assumptions'!$F$19+Q287*'Weights &amp; Assumptions'!$F$20,"")</f>
        <v/>
      </c>
      <c r="U287" s="23" t="str">
        <f aca="false">IFERROR(R287*'Weights &amp; Assumptions'!$B$25/'Weights &amp; Assumptions'!$B$28+S287*'Weights &amp; Assumptions'!$B$26/'Weights &amp; Assumptions'!$B$28+T287*'Weights &amp; Assumptions'!$B$27/'Weights &amp; Assumptions'!$B$28,"")</f>
        <v/>
      </c>
      <c r="V287" s="30" t="str">
        <f aca="false">IF(ISNUMBER(Tabelle1!E288),Tabelle1!E288*'Weights &amp; Assumptions'!$F$6+Tabelle1!F288*'Weights &amp; Assumptions'!$F$7,"")</f>
        <v/>
      </c>
      <c r="W287" s="30" t="str">
        <f aca="false">IF(ISNUMBER(Tabelle1!G288),Tabelle1!G288*'Weights &amp; Assumptions'!$F$8+Tabelle1!H288*'Weights &amp; Assumptions'!$F$9+Tabelle1!J288*'Weights &amp; Assumptions'!$F$11,"")</f>
        <v/>
      </c>
      <c r="X287" s="30" t="str">
        <f aca="false">IF(ISNUMBER(Tabelle1!I288),Tabelle1!I288*'Weights &amp; Assumptions'!$F$10+Tabelle1!K288*'Weights &amp; Assumptions'!$F$12+Tabelle1!L288*'Weights &amp; Assumptions'!$F$13+Tabelle1!M288*'Weights &amp; Assumptions'!$F$14+Tabelle1!N288*'Weights &amp; Assumptions'!$F$15+Tabelle1!O288*'Weights &amp; Assumptions'!$F$16+Tabelle1!P288*'Weights &amp; Assumptions'!$F$17+Tabelle1!Q288*'Weights &amp; Assumptions'!$F$18+Tabelle1!R288*'Weights &amp; Assumptions'!$F$19+Tabelle1!S288*'Weights &amp; Assumptions'!$F$20,"")</f>
        <v/>
      </c>
      <c r="Y287" s="23" t="str">
        <f aca="false">IFERROR(V287*'Weights &amp; Assumptions'!$B$25/'Weights &amp; Assumptions'!$B$28+W287*'Weights &amp; Assumptions'!$B$26/'Weights &amp; Assumptions'!$B$28+X287*'Weights &amp; Assumptions'!$B$27/'Weights &amp; Assumptions'!$B$28,"")</f>
        <v/>
      </c>
    </row>
    <row r="288" customFormat="false" ht="15" hidden="false" customHeight="false" outlineLevel="0" collapsed="false">
      <c r="A288" s="20" t="n">
        <v>46568</v>
      </c>
      <c r="B288" s="30" t="str">
        <f aca="false">IF(ISNUMBER(Tabelle1!D289),Tabelle1!D289,"")</f>
        <v/>
      </c>
      <c r="C288" s="23" t="str">
        <f aca="false">IF(ISNUMBER(Tabelle1!E289),Tabelle1!E289/'SF Workings'!F288,"")</f>
        <v/>
      </c>
      <c r="D288" s="23" t="str">
        <f aca="false">IF(ISNUMBER(Tabelle1!F289),Tabelle1!F289/'SF Workings'!J288,"")</f>
        <v/>
      </c>
      <c r="E288" s="23" t="str">
        <f aca="false">IF(ISNUMBER(Tabelle1!G289),Tabelle1!G289/'SF Workings'!N288,"")</f>
        <v/>
      </c>
      <c r="F288" s="23" t="str">
        <f aca="false">IF(ISNUMBER(Tabelle1!H289),Tabelle1!H289/'SF Workings'!R288,"")</f>
        <v/>
      </c>
      <c r="G288" s="23" t="str">
        <f aca="false">IF(ISNUMBER(Tabelle1!I289),Tabelle1!I289/'SF Workings'!V288,"")</f>
        <v/>
      </c>
      <c r="H288" s="23" t="str">
        <f aca="false">IF(ISNUMBER(Tabelle1!J289),Tabelle1!J289/'SF Workings'!Z288,"")</f>
        <v/>
      </c>
      <c r="I288" s="23" t="str">
        <f aca="false">IF(ISNUMBER(Tabelle1!K289),Tabelle1!K289/'SF Workings'!AD288,"")</f>
        <v/>
      </c>
      <c r="J288" s="23" t="str">
        <f aca="false">IF(ISNUMBER(Tabelle1!L289),Tabelle1!L289/'SF Workings'!AH288,"")</f>
        <v/>
      </c>
      <c r="K288" s="23" t="str">
        <f aca="false">IF(ISNUMBER(Tabelle1!M289),Tabelle1!M289/'SF Workings'!AL288,"")</f>
        <v/>
      </c>
      <c r="L288" s="23" t="str">
        <f aca="false">IF(ISNUMBER(Tabelle1!N289),Tabelle1!N289/'SF Workings'!AP288,"")</f>
        <v/>
      </c>
      <c r="M288" s="23" t="str">
        <f aca="false">IF(ISNUMBER(Tabelle1!O289),Tabelle1!O289/'SF Workings'!AT288,"")</f>
        <v/>
      </c>
      <c r="N288" s="23" t="str">
        <f aca="false">IF(ISNUMBER(Tabelle1!P289),Tabelle1!P289/'SF Workings'!AX288,"")</f>
        <v/>
      </c>
      <c r="O288" s="23" t="str">
        <f aca="false">IF(ISNUMBER(Tabelle1!Q289),Tabelle1!Q289/'SF Workings'!BB288,"")</f>
        <v/>
      </c>
      <c r="P288" s="23" t="str">
        <f aca="false">IF(ISNUMBER(Tabelle1!R289),Tabelle1!R289/'SF Workings'!BF288,"")</f>
        <v/>
      </c>
      <c r="Q288" s="23" t="str">
        <f aca="false">IF(ISNUMBER(Tabelle1!S289),Tabelle1!S289/'SF Workings'!BJ288,"")</f>
        <v/>
      </c>
      <c r="R288" s="23" t="str">
        <f aca="false">IFERROR(C288*'Weights &amp; Assumptions'!$F$6+D288*'Weights &amp; Assumptions'!$F$7,"")</f>
        <v/>
      </c>
      <c r="S288" s="23" t="str">
        <f aca="false">IFERROR(E288*'Weights &amp; Assumptions'!$F$8+F288*'Weights &amp; Assumptions'!$F$9+H288*'Weights &amp; Assumptions'!$F$11,"")</f>
        <v/>
      </c>
      <c r="T288" s="23" t="str">
        <f aca="false">IFERROR(G288*'Weights &amp; Assumptions'!$F$10+I288*'Weights &amp; Assumptions'!$F$12+J288*'Weights &amp; Assumptions'!$F$13+K288*'Weights &amp; Assumptions'!$F$14+L288*'Weights &amp; Assumptions'!$F$15+M288*'Weights &amp; Assumptions'!$F$16+N288*'Weights &amp; Assumptions'!$F$17+O288*'Weights &amp; Assumptions'!$F$18+P288*'Weights &amp; Assumptions'!$F$19+Q288*'Weights &amp; Assumptions'!$F$20,"")</f>
        <v/>
      </c>
      <c r="U288" s="23" t="str">
        <f aca="false">IFERROR(R288*'Weights &amp; Assumptions'!$B$25/'Weights &amp; Assumptions'!$B$28+S288*'Weights &amp; Assumptions'!$B$26/'Weights &amp; Assumptions'!$B$28+T288*'Weights &amp; Assumptions'!$B$27/'Weights &amp; Assumptions'!$B$28,"")</f>
        <v/>
      </c>
      <c r="V288" s="30" t="str">
        <f aca="false">IF(ISNUMBER(Tabelle1!E289),Tabelle1!E289*'Weights &amp; Assumptions'!$F$6+Tabelle1!F289*'Weights &amp; Assumptions'!$F$7,"")</f>
        <v/>
      </c>
      <c r="W288" s="30" t="str">
        <f aca="false">IF(ISNUMBER(Tabelle1!G289),Tabelle1!G289*'Weights &amp; Assumptions'!$F$8+Tabelle1!H289*'Weights &amp; Assumptions'!$F$9+Tabelle1!J289*'Weights &amp; Assumptions'!$F$11,"")</f>
        <v/>
      </c>
      <c r="X288" s="30" t="str">
        <f aca="false">IF(ISNUMBER(Tabelle1!I289),Tabelle1!I289*'Weights &amp; Assumptions'!$F$10+Tabelle1!K289*'Weights &amp; Assumptions'!$F$12+Tabelle1!L289*'Weights &amp; Assumptions'!$F$13+Tabelle1!M289*'Weights &amp; Assumptions'!$F$14+Tabelle1!N289*'Weights &amp; Assumptions'!$F$15+Tabelle1!O289*'Weights &amp; Assumptions'!$F$16+Tabelle1!P289*'Weights &amp; Assumptions'!$F$17+Tabelle1!Q289*'Weights &amp; Assumptions'!$F$18+Tabelle1!R289*'Weights &amp; Assumptions'!$F$19+Tabelle1!S289*'Weights &amp; Assumptions'!$F$20,"")</f>
        <v/>
      </c>
      <c r="Y288" s="23" t="str">
        <f aca="false">IFERROR(V288*'Weights &amp; Assumptions'!$B$25/'Weights &amp; Assumptions'!$B$28+W288*'Weights &amp; Assumptions'!$B$26/'Weights &amp; Assumptions'!$B$28+X288*'Weights &amp; Assumptions'!$B$27/'Weights &amp; Assumptions'!$B$28,"")</f>
        <v/>
      </c>
    </row>
    <row r="289" customFormat="false" ht="15" hidden="false" customHeight="false" outlineLevel="0" collapsed="false">
      <c r="A289" s="20" t="n">
        <v>46599</v>
      </c>
      <c r="B289" s="30" t="str">
        <f aca="false">IF(ISNUMBER(Tabelle1!D290),Tabelle1!D290,"")</f>
        <v/>
      </c>
      <c r="C289" s="23" t="str">
        <f aca="false">IF(ISNUMBER(Tabelle1!E290),Tabelle1!E290/'SF Workings'!F289,"")</f>
        <v/>
      </c>
      <c r="D289" s="23" t="str">
        <f aca="false">IF(ISNUMBER(Tabelle1!F290),Tabelle1!F290/'SF Workings'!J289,"")</f>
        <v/>
      </c>
      <c r="E289" s="23" t="str">
        <f aca="false">IF(ISNUMBER(Tabelle1!G290),Tabelle1!G290/'SF Workings'!N289,"")</f>
        <v/>
      </c>
      <c r="F289" s="23" t="str">
        <f aca="false">IF(ISNUMBER(Tabelle1!H290),Tabelle1!H290/'SF Workings'!R289,"")</f>
        <v/>
      </c>
      <c r="G289" s="23" t="str">
        <f aca="false">IF(ISNUMBER(Tabelle1!I290),Tabelle1!I290/'SF Workings'!V289,"")</f>
        <v/>
      </c>
      <c r="H289" s="23" t="str">
        <f aca="false">IF(ISNUMBER(Tabelle1!J290),Tabelle1!J290/'SF Workings'!Z289,"")</f>
        <v/>
      </c>
      <c r="I289" s="23" t="str">
        <f aca="false">IF(ISNUMBER(Tabelle1!K290),Tabelle1!K290/'SF Workings'!AD289,"")</f>
        <v/>
      </c>
      <c r="J289" s="23" t="str">
        <f aca="false">IF(ISNUMBER(Tabelle1!L290),Tabelle1!L290/'SF Workings'!AH289,"")</f>
        <v/>
      </c>
      <c r="K289" s="23" t="str">
        <f aca="false">IF(ISNUMBER(Tabelle1!M290),Tabelle1!M290/'SF Workings'!AL289,"")</f>
        <v/>
      </c>
      <c r="L289" s="23" t="str">
        <f aca="false">IF(ISNUMBER(Tabelle1!N290),Tabelle1!N290/'SF Workings'!AP289,"")</f>
        <v/>
      </c>
      <c r="M289" s="23" t="str">
        <f aca="false">IF(ISNUMBER(Tabelle1!O290),Tabelle1!O290/'SF Workings'!AT289,"")</f>
        <v/>
      </c>
      <c r="N289" s="23" t="str">
        <f aca="false">IF(ISNUMBER(Tabelle1!P290),Tabelle1!P290/'SF Workings'!AX289,"")</f>
        <v/>
      </c>
      <c r="O289" s="23" t="str">
        <f aca="false">IF(ISNUMBER(Tabelle1!Q290),Tabelle1!Q290/'SF Workings'!BB289,"")</f>
        <v/>
      </c>
      <c r="P289" s="23" t="str">
        <f aca="false">IF(ISNUMBER(Tabelle1!R290),Tabelle1!R290/'SF Workings'!BF289,"")</f>
        <v/>
      </c>
      <c r="Q289" s="23" t="str">
        <f aca="false">IF(ISNUMBER(Tabelle1!S290),Tabelle1!S290/'SF Workings'!BJ289,"")</f>
        <v/>
      </c>
      <c r="R289" s="23" t="str">
        <f aca="false">IFERROR(C289*'Weights &amp; Assumptions'!$F$6+D289*'Weights &amp; Assumptions'!$F$7,"")</f>
        <v/>
      </c>
      <c r="S289" s="23" t="str">
        <f aca="false">IFERROR(E289*'Weights &amp; Assumptions'!$F$8+F289*'Weights &amp; Assumptions'!$F$9+H289*'Weights &amp; Assumptions'!$F$11,"")</f>
        <v/>
      </c>
      <c r="T289" s="23" t="str">
        <f aca="false">IFERROR(G289*'Weights &amp; Assumptions'!$F$10+I289*'Weights &amp; Assumptions'!$F$12+J289*'Weights &amp; Assumptions'!$F$13+K289*'Weights &amp; Assumptions'!$F$14+L289*'Weights &amp; Assumptions'!$F$15+M289*'Weights &amp; Assumptions'!$F$16+N289*'Weights &amp; Assumptions'!$F$17+O289*'Weights &amp; Assumptions'!$F$18+P289*'Weights &amp; Assumptions'!$F$19+Q289*'Weights &amp; Assumptions'!$F$20,"")</f>
        <v/>
      </c>
      <c r="U289" s="23" t="str">
        <f aca="false">IFERROR(R289*'Weights &amp; Assumptions'!$B$25/'Weights &amp; Assumptions'!$B$28+S289*'Weights &amp; Assumptions'!$B$26/'Weights &amp; Assumptions'!$B$28+T289*'Weights &amp; Assumptions'!$B$27/'Weights &amp; Assumptions'!$B$28,"")</f>
        <v/>
      </c>
      <c r="V289" s="30" t="str">
        <f aca="false">IF(ISNUMBER(Tabelle1!E290),Tabelle1!E290*'Weights &amp; Assumptions'!$F$6+Tabelle1!F290*'Weights &amp; Assumptions'!$F$7,"")</f>
        <v/>
      </c>
      <c r="W289" s="30" t="str">
        <f aca="false">IF(ISNUMBER(Tabelle1!G290),Tabelle1!G290*'Weights &amp; Assumptions'!$F$8+Tabelle1!H290*'Weights &amp; Assumptions'!$F$9+Tabelle1!J290*'Weights &amp; Assumptions'!$F$11,"")</f>
        <v/>
      </c>
      <c r="X289" s="30" t="str">
        <f aca="false">IF(ISNUMBER(Tabelle1!I290),Tabelle1!I290*'Weights &amp; Assumptions'!$F$10+Tabelle1!K290*'Weights &amp; Assumptions'!$F$12+Tabelle1!L290*'Weights &amp; Assumptions'!$F$13+Tabelle1!M290*'Weights &amp; Assumptions'!$F$14+Tabelle1!N290*'Weights &amp; Assumptions'!$F$15+Tabelle1!O290*'Weights &amp; Assumptions'!$F$16+Tabelle1!P290*'Weights &amp; Assumptions'!$F$17+Tabelle1!Q290*'Weights &amp; Assumptions'!$F$18+Tabelle1!R290*'Weights &amp; Assumptions'!$F$19+Tabelle1!S290*'Weights &amp; Assumptions'!$F$20,"")</f>
        <v/>
      </c>
      <c r="Y289" s="23" t="str">
        <f aca="false">IFERROR(V289*'Weights &amp; Assumptions'!$B$25/'Weights &amp; Assumptions'!$B$28+W289*'Weights &amp; Assumptions'!$B$26/'Weights &amp; Assumptions'!$B$28+X289*'Weights &amp; Assumptions'!$B$27/'Weights &amp; Assumptions'!$B$28,"")</f>
        <v/>
      </c>
    </row>
    <row r="290" customFormat="false" ht="15" hidden="false" customHeight="false" outlineLevel="0" collapsed="false">
      <c r="A290" s="20" t="n">
        <v>46630</v>
      </c>
      <c r="B290" s="30" t="str">
        <f aca="false">IF(ISNUMBER(Tabelle1!D291),Tabelle1!D291,"")</f>
        <v/>
      </c>
      <c r="C290" s="23" t="str">
        <f aca="false">IF(ISNUMBER(Tabelle1!E291),Tabelle1!E291/'SF Workings'!F290,"")</f>
        <v/>
      </c>
      <c r="D290" s="23" t="str">
        <f aca="false">IF(ISNUMBER(Tabelle1!F291),Tabelle1!F291/'SF Workings'!J290,"")</f>
        <v/>
      </c>
      <c r="E290" s="23" t="str">
        <f aca="false">IF(ISNUMBER(Tabelle1!G291),Tabelle1!G291/'SF Workings'!N290,"")</f>
        <v/>
      </c>
      <c r="F290" s="23" t="str">
        <f aca="false">IF(ISNUMBER(Tabelle1!H291),Tabelle1!H291/'SF Workings'!R290,"")</f>
        <v/>
      </c>
      <c r="G290" s="23" t="str">
        <f aca="false">IF(ISNUMBER(Tabelle1!I291),Tabelle1!I291/'SF Workings'!V290,"")</f>
        <v/>
      </c>
      <c r="H290" s="23" t="str">
        <f aca="false">IF(ISNUMBER(Tabelle1!J291),Tabelle1!J291/'SF Workings'!Z290,"")</f>
        <v/>
      </c>
      <c r="I290" s="23" t="str">
        <f aca="false">IF(ISNUMBER(Tabelle1!K291),Tabelle1!K291/'SF Workings'!AD290,"")</f>
        <v/>
      </c>
      <c r="J290" s="23" t="str">
        <f aca="false">IF(ISNUMBER(Tabelle1!L291),Tabelle1!L291/'SF Workings'!AH290,"")</f>
        <v/>
      </c>
      <c r="K290" s="23" t="str">
        <f aca="false">IF(ISNUMBER(Tabelle1!M291),Tabelle1!M291/'SF Workings'!AL290,"")</f>
        <v/>
      </c>
      <c r="L290" s="23" t="str">
        <f aca="false">IF(ISNUMBER(Tabelle1!N291),Tabelle1!N291/'SF Workings'!AP290,"")</f>
        <v/>
      </c>
      <c r="M290" s="23" t="str">
        <f aca="false">IF(ISNUMBER(Tabelle1!O291),Tabelle1!O291/'SF Workings'!AT290,"")</f>
        <v/>
      </c>
      <c r="N290" s="23" t="str">
        <f aca="false">IF(ISNUMBER(Tabelle1!P291),Tabelle1!P291/'SF Workings'!AX290,"")</f>
        <v/>
      </c>
      <c r="O290" s="23" t="str">
        <f aca="false">IF(ISNUMBER(Tabelle1!Q291),Tabelle1!Q291/'SF Workings'!BB290,"")</f>
        <v/>
      </c>
      <c r="P290" s="23" t="str">
        <f aca="false">IF(ISNUMBER(Tabelle1!R291),Tabelle1!R291/'SF Workings'!BF290,"")</f>
        <v/>
      </c>
      <c r="Q290" s="23" t="str">
        <f aca="false">IF(ISNUMBER(Tabelle1!S291),Tabelle1!S291/'SF Workings'!BJ290,"")</f>
        <v/>
      </c>
      <c r="R290" s="23" t="str">
        <f aca="false">IFERROR(C290*'Weights &amp; Assumptions'!$F$6+D290*'Weights &amp; Assumptions'!$F$7,"")</f>
        <v/>
      </c>
      <c r="S290" s="23" t="str">
        <f aca="false">IFERROR(E290*'Weights &amp; Assumptions'!$F$8+F290*'Weights &amp; Assumptions'!$F$9+H290*'Weights &amp; Assumptions'!$F$11,"")</f>
        <v/>
      </c>
      <c r="T290" s="23" t="str">
        <f aca="false">IFERROR(G290*'Weights &amp; Assumptions'!$F$10+I290*'Weights &amp; Assumptions'!$F$12+J290*'Weights &amp; Assumptions'!$F$13+K290*'Weights &amp; Assumptions'!$F$14+L290*'Weights &amp; Assumptions'!$F$15+M290*'Weights &amp; Assumptions'!$F$16+N290*'Weights &amp; Assumptions'!$F$17+O290*'Weights &amp; Assumptions'!$F$18+P290*'Weights &amp; Assumptions'!$F$19+Q290*'Weights &amp; Assumptions'!$F$20,"")</f>
        <v/>
      </c>
      <c r="U290" s="23" t="str">
        <f aca="false">IFERROR(R290*'Weights &amp; Assumptions'!$B$25/'Weights &amp; Assumptions'!$B$28+S290*'Weights &amp; Assumptions'!$B$26/'Weights &amp; Assumptions'!$B$28+T290*'Weights &amp; Assumptions'!$B$27/'Weights &amp; Assumptions'!$B$28,"")</f>
        <v/>
      </c>
      <c r="V290" s="30" t="str">
        <f aca="false">IF(ISNUMBER(Tabelle1!E291),Tabelle1!E291*'Weights &amp; Assumptions'!$F$6+Tabelle1!F291*'Weights &amp; Assumptions'!$F$7,"")</f>
        <v/>
      </c>
      <c r="W290" s="30" t="str">
        <f aca="false">IF(ISNUMBER(Tabelle1!G291),Tabelle1!G291*'Weights &amp; Assumptions'!$F$8+Tabelle1!H291*'Weights &amp; Assumptions'!$F$9+Tabelle1!J291*'Weights &amp; Assumptions'!$F$11,"")</f>
        <v/>
      </c>
      <c r="X290" s="30" t="str">
        <f aca="false">IF(ISNUMBER(Tabelle1!I291),Tabelle1!I291*'Weights &amp; Assumptions'!$F$10+Tabelle1!K291*'Weights &amp; Assumptions'!$F$12+Tabelle1!L291*'Weights &amp; Assumptions'!$F$13+Tabelle1!M291*'Weights &amp; Assumptions'!$F$14+Tabelle1!N291*'Weights &amp; Assumptions'!$F$15+Tabelle1!O291*'Weights &amp; Assumptions'!$F$16+Tabelle1!P291*'Weights &amp; Assumptions'!$F$17+Tabelle1!Q291*'Weights &amp; Assumptions'!$F$18+Tabelle1!R291*'Weights &amp; Assumptions'!$F$19+Tabelle1!S291*'Weights &amp; Assumptions'!$F$20,"")</f>
        <v/>
      </c>
      <c r="Y290" s="23" t="str">
        <f aca="false">IFERROR(V290*'Weights &amp; Assumptions'!$B$25/'Weights &amp; Assumptions'!$B$28+W290*'Weights &amp; Assumptions'!$B$26/'Weights &amp; Assumptions'!$B$28+X290*'Weights &amp; Assumptions'!$B$27/'Weights &amp; Assumptions'!$B$28,"")</f>
        <v/>
      </c>
    </row>
    <row r="291" customFormat="false" ht="15" hidden="false" customHeight="false" outlineLevel="0" collapsed="false">
      <c r="A291" s="20" t="n">
        <v>46660</v>
      </c>
      <c r="B291" s="30" t="str">
        <f aca="false">IF(ISNUMBER(Tabelle1!D292),Tabelle1!D292,"")</f>
        <v/>
      </c>
      <c r="C291" s="23" t="str">
        <f aca="false">IF(ISNUMBER(Tabelle1!E292),Tabelle1!E292/'SF Workings'!F291,"")</f>
        <v/>
      </c>
      <c r="D291" s="23" t="str">
        <f aca="false">IF(ISNUMBER(Tabelle1!F292),Tabelle1!F292/'SF Workings'!J291,"")</f>
        <v/>
      </c>
      <c r="E291" s="23" t="str">
        <f aca="false">IF(ISNUMBER(Tabelle1!G292),Tabelle1!G292/'SF Workings'!N291,"")</f>
        <v/>
      </c>
      <c r="F291" s="23" t="str">
        <f aca="false">IF(ISNUMBER(Tabelle1!H292),Tabelle1!H292/'SF Workings'!R291,"")</f>
        <v/>
      </c>
      <c r="G291" s="23" t="str">
        <f aca="false">IF(ISNUMBER(Tabelle1!I292),Tabelle1!I292/'SF Workings'!V291,"")</f>
        <v/>
      </c>
      <c r="H291" s="23" t="str">
        <f aca="false">IF(ISNUMBER(Tabelle1!J292),Tabelle1!J292/'SF Workings'!Z291,"")</f>
        <v/>
      </c>
      <c r="I291" s="23" t="str">
        <f aca="false">IF(ISNUMBER(Tabelle1!K292),Tabelle1!K292/'SF Workings'!AD291,"")</f>
        <v/>
      </c>
      <c r="J291" s="23" t="str">
        <f aca="false">IF(ISNUMBER(Tabelle1!L292),Tabelle1!L292/'SF Workings'!AH291,"")</f>
        <v/>
      </c>
      <c r="K291" s="23" t="str">
        <f aca="false">IF(ISNUMBER(Tabelle1!M292),Tabelle1!M292/'SF Workings'!AL291,"")</f>
        <v/>
      </c>
      <c r="L291" s="23" t="str">
        <f aca="false">IF(ISNUMBER(Tabelle1!N292),Tabelle1!N292/'SF Workings'!AP291,"")</f>
        <v/>
      </c>
      <c r="M291" s="23" t="str">
        <f aca="false">IF(ISNUMBER(Tabelle1!O292),Tabelle1!O292/'SF Workings'!AT291,"")</f>
        <v/>
      </c>
      <c r="N291" s="23" t="str">
        <f aca="false">IF(ISNUMBER(Tabelle1!P292),Tabelle1!P292/'SF Workings'!AX291,"")</f>
        <v/>
      </c>
      <c r="O291" s="23" t="str">
        <f aca="false">IF(ISNUMBER(Tabelle1!Q292),Tabelle1!Q292/'SF Workings'!BB291,"")</f>
        <v/>
      </c>
      <c r="P291" s="23" t="str">
        <f aca="false">IF(ISNUMBER(Tabelle1!R292),Tabelle1!R292/'SF Workings'!BF291,"")</f>
        <v/>
      </c>
      <c r="Q291" s="23" t="str">
        <f aca="false">IF(ISNUMBER(Tabelle1!S292),Tabelle1!S292/'SF Workings'!BJ291,"")</f>
        <v/>
      </c>
      <c r="R291" s="23" t="str">
        <f aca="false">IFERROR(C291*'Weights &amp; Assumptions'!$F$6+D291*'Weights &amp; Assumptions'!$F$7,"")</f>
        <v/>
      </c>
      <c r="S291" s="23" t="str">
        <f aca="false">IFERROR(E291*'Weights &amp; Assumptions'!$F$8+F291*'Weights &amp; Assumptions'!$F$9+H291*'Weights &amp; Assumptions'!$F$11,"")</f>
        <v/>
      </c>
      <c r="T291" s="23" t="str">
        <f aca="false">IFERROR(G291*'Weights &amp; Assumptions'!$F$10+I291*'Weights &amp; Assumptions'!$F$12+J291*'Weights &amp; Assumptions'!$F$13+K291*'Weights &amp; Assumptions'!$F$14+L291*'Weights &amp; Assumptions'!$F$15+M291*'Weights &amp; Assumptions'!$F$16+N291*'Weights &amp; Assumptions'!$F$17+O291*'Weights &amp; Assumptions'!$F$18+P291*'Weights &amp; Assumptions'!$F$19+Q291*'Weights &amp; Assumptions'!$F$20,"")</f>
        <v/>
      </c>
      <c r="U291" s="23" t="str">
        <f aca="false">IFERROR(R291*'Weights &amp; Assumptions'!$B$25/'Weights &amp; Assumptions'!$B$28+S291*'Weights &amp; Assumptions'!$B$26/'Weights &amp; Assumptions'!$B$28+T291*'Weights &amp; Assumptions'!$B$27/'Weights &amp; Assumptions'!$B$28,"")</f>
        <v/>
      </c>
      <c r="V291" s="30" t="str">
        <f aca="false">IF(ISNUMBER(Tabelle1!E292),Tabelle1!E292*'Weights &amp; Assumptions'!$F$6+Tabelle1!F292*'Weights &amp; Assumptions'!$F$7,"")</f>
        <v/>
      </c>
      <c r="W291" s="30" t="str">
        <f aca="false">IF(ISNUMBER(Tabelle1!G292),Tabelle1!G292*'Weights &amp; Assumptions'!$F$8+Tabelle1!H292*'Weights &amp; Assumptions'!$F$9+Tabelle1!J292*'Weights &amp; Assumptions'!$F$11,"")</f>
        <v/>
      </c>
      <c r="X291" s="30" t="str">
        <f aca="false">IF(ISNUMBER(Tabelle1!I292),Tabelle1!I292*'Weights &amp; Assumptions'!$F$10+Tabelle1!K292*'Weights &amp; Assumptions'!$F$12+Tabelle1!L292*'Weights &amp; Assumptions'!$F$13+Tabelle1!M292*'Weights &amp; Assumptions'!$F$14+Tabelle1!N292*'Weights &amp; Assumptions'!$F$15+Tabelle1!O292*'Weights &amp; Assumptions'!$F$16+Tabelle1!P292*'Weights &amp; Assumptions'!$F$17+Tabelle1!Q292*'Weights &amp; Assumptions'!$F$18+Tabelle1!R292*'Weights &amp; Assumptions'!$F$19+Tabelle1!S292*'Weights &amp; Assumptions'!$F$20,"")</f>
        <v/>
      </c>
      <c r="Y291" s="23" t="str">
        <f aca="false">IFERROR(V291*'Weights &amp; Assumptions'!$B$25/'Weights &amp; Assumptions'!$B$28+W291*'Weights &amp; Assumptions'!$B$26/'Weights &amp; Assumptions'!$B$28+X291*'Weights &amp; Assumptions'!$B$27/'Weights &amp; Assumptions'!$B$28,"")</f>
        <v/>
      </c>
    </row>
    <row r="292" customFormat="false" ht="15" hidden="false" customHeight="false" outlineLevel="0" collapsed="false">
      <c r="A292" s="20" t="n">
        <v>46691</v>
      </c>
      <c r="B292" s="30" t="str">
        <f aca="false">IF(ISNUMBER(Tabelle1!D293),Tabelle1!D293,"")</f>
        <v/>
      </c>
      <c r="C292" s="23" t="str">
        <f aca="false">IF(ISNUMBER(Tabelle1!E293),Tabelle1!E293/'SF Workings'!F292,"")</f>
        <v/>
      </c>
      <c r="D292" s="23" t="str">
        <f aca="false">IF(ISNUMBER(Tabelle1!F293),Tabelle1!F293/'SF Workings'!J292,"")</f>
        <v/>
      </c>
      <c r="E292" s="23" t="str">
        <f aca="false">IF(ISNUMBER(Tabelle1!G293),Tabelle1!G293/'SF Workings'!N292,"")</f>
        <v/>
      </c>
      <c r="F292" s="23" t="str">
        <f aca="false">IF(ISNUMBER(Tabelle1!H293),Tabelle1!H293/'SF Workings'!R292,"")</f>
        <v/>
      </c>
      <c r="G292" s="23" t="str">
        <f aca="false">IF(ISNUMBER(Tabelle1!I293),Tabelle1!I293/'SF Workings'!V292,"")</f>
        <v/>
      </c>
      <c r="H292" s="23" t="str">
        <f aca="false">IF(ISNUMBER(Tabelle1!J293),Tabelle1!J293/'SF Workings'!Z292,"")</f>
        <v/>
      </c>
      <c r="I292" s="23" t="str">
        <f aca="false">IF(ISNUMBER(Tabelle1!K293),Tabelle1!K293/'SF Workings'!AD292,"")</f>
        <v/>
      </c>
      <c r="J292" s="23" t="str">
        <f aca="false">IF(ISNUMBER(Tabelle1!L293),Tabelle1!L293/'SF Workings'!AH292,"")</f>
        <v/>
      </c>
      <c r="K292" s="23" t="str">
        <f aca="false">IF(ISNUMBER(Tabelle1!M293),Tabelle1!M293/'SF Workings'!AL292,"")</f>
        <v/>
      </c>
      <c r="L292" s="23" t="str">
        <f aca="false">IF(ISNUMBER(Tabelle1!N293),Tabelle1!N293/'SF Workings'!AP292,"")</f>
        <v/>
      </c>
      <c r="M292" s="23" t="str">
        <f aca="false">IF(ISNUMBER(Tabelle1!O293),Tabelle1!O293/'SF Workings'!AT292,"")</f>
        <v/>
      </c>
      <c r="N292" s="23" t="str">
        <f aca="false">IF(ISNUMBER(Tabelle1!P293),Tabelle1!P293/'SF Workings'!AX292,"")</f>
        <v/>
      </c>
      <c r="O292" s="23" t="str">
        <f aca="false">IF(ISNUMBER(Tabelle1!Q293),Tabelle1!Q293/'SF Workings'!BB292,"")</f>
        <v/>
      </c>
      <c r="P292" s="23" t="str">
        <f aca="false">IF(ISNUMBER(Tabelle1!R293),Tabelle1!R293/'SF Workings'!BF292,"")</f>
        <v/>
      </c>
      <c r="Q292" s="23" t="str">
        <f aca="false">IF(ISNUMBER(Tabelle1!S293),Tabelle1!S293/'SF Workings'!BJ292,"")</f>
        <v/>
      </c>
      <c r="R292" s="23" t="str">
        <f aca="false">IFERROR(C292*'Weights &amp; Assumptions'!$F$6+D292*'Weights &amp; Assumptions'!$F$7,"")</f>
        <v/>
      </c>
      <c r="S292" s="23" t="str">
        <f aca="false">IFERROR(E292*'Weights &amp; Assumptions'!$F$8+F292*'Weights &amp; Assumptions'!$F$9+H292*'Weights &amp; Assumptions'!$F$11,"")</f>
        <v/>
      </c>
      <c r="T292" s="23" t="str">
        <f aca="false">IFERROR(G292*'Weights &amp; Assumptions'!$F$10+I292*'Weights &amp; Assumptions'!$F$12+J292*'Weights &amp; Assumptions'!$F$13+K292*'Weights &amp; Assumptions'!$F$14+L292*'Weights &amp; Assumptions'!$F$15+M292*'Weights &amp; Assumptions'!$F$16+N292*'Weights &amp; Assumptions'!$F$17+O292*'Weights &amp; Assumptions'!$F$18+P292*'Weights &amp; Assumptions'!$F$19+Q292*'Weights &amp; Assumptions'!$F$20,"")</f>
        <v/>
      </c>
      <c r="U292" s="23" t="str">
        <f aca="false">IFERROR(R292*'Weights &amp; Assumptions'!$B$25/'Weights &amp; Assumptions'!$B$28+S292*'Weights &amp; Assumptions'!$B$26/'Weights &amp; Assumptions'!$B$28+T292*'Weights &amp; Assumptions'!$B$27/'Weights &amp; Assumptions'!$B$28,"")</f>
        <v/>
      </c>
      <c r="V292" s="30" t="str">
        <f aca="false">IF(ISNUMBER(Tabelle1!E293),Tabelle1!E293*'Weights &amp; Assumptions'!$F$6+Tabelle1!F293*'Weights &amp; Assumptions'!$F$7,"")</f>
        <v/>
      </c>
      <c r="W292" s="30" t="str">
        <f aca="false">IF(ISNUMBER(Tabelle1!G293),Tabelle1!G293*'Weights &amp; Assumptions'!$F$8+Tabelle1!H293*'Weights &amp; Assumptions'!$F$9+Tabelle1!J293*'Weights &amp; Assumptions'!$F$11,"")</f>
        <v/>
      </c>
      <c r="X292" s="30" t="str">
        <f aca="false">IF(ISNUMBER(Tabelle1!I293),Tabelle1!I293*'Weights &amp; Assumptions'!$F$10+Tabelle1!K293*'Weights &amp; Assumptions'!$F$12+Tabelle1!L293*'Weights &amp; Assumptions'!$F$13+Tabelle1!M293*'Weights &amp; Assumptions'!$F$14+Tabelle1!N293*'Weights &amp; Assumptions'!$F$15+Tabelle1!O293*'Weights &amp; Assumptions'!$F$16+Tabelle1!P293*'Weights &amp; Assumptions'!$F$17+Tabelle1!Q293*'Weights &amp; Assumptions'!$F$18+Tabelle1!R293*'Weights &amp; Assumptions'!$F$19+Tabelle1!S293*'Weights &amp; Assumptions'!$F$20,"")</f>
        <v/>
      </c>
      <c r="Y292" s="23" t="str">
        <f aca="false">IFERROR(V292*'Weights &amp; Assumptions'!$B$25/'Weights &amp; Assumptions'!$B$28+W292*'Weights &amp; Assumptions'!$B$26/'Weights &amp; Assumptions'!$B$28+X292*'Weights &amp; Assumptions'!$B$27/'Weights &amp; Assumptions'!$B$28,"")</f>
        <v/>
      </c>
    </row>
    <row r="293" customFormat="false" ht="15" hidden="false" customHeight="false" outlineLevel="0" collapsed="false">
      <c r="A293" s="20" t="n">
        <v>46721</v>
      </c>
      <c r="B293" s="30" t="str">
        <f aca="false">IF(ISNUMBER(Tabelle1!D294),Tabelle1!D294,"")</f>
        <v/>
      </c>
      <c r="C293" s="23" t="str">
        <f aca="false">IF(ISNUMBER(Tabelle1!E294),Tabelle1!E294/'SF Workings'!F293,"")</f>
        <v/>
      </c>
      <c r="D293" s="23" t="str">
        <f aca="false">IF(ISNUMBER(Tabelle1!F294),Tabelle1!F294/'SF Workings'!J293,"")</f>
        <v/>
      </c>
      <c r="E293" s="23" t="str">
        <f aca="false">IF(ISNUMBER(Tabelle1!G294),Tabelle1!G294/'SF Workings'!N293,"")</f>
        <v/>
      </c>
      <c r="F293" s="23" t="str">
        <f aca="false">IF(ISNUMBER(Tabelle1!H294),Tabelle1!H294/'SF Workings'!R293,"")</f>
        <v/>
      </c>
      <c r="G293" s="23" t="str">
        <f aca="false">IF(ISNUMBER(Tabelle1!I294),Tabelle1!I294/'SF Workings'!V293,"")</f>
        <v/>
      </c>
      <c r="H293" s="23" t="str">
        <f aca="false">IF(ISNUMBER(Tabelle1!J294),Tabelle1!J294/'SF Workings'!Z293,"")</f>
        <v/>
      </c>
      <c r="I293" s="23" t="str">
        <f aca="false">IF(ISNUMBER(Tabelle1!K294),Tabelle1!K294/'SF Workings'!AD293,"")</f>
        <v/>
      </c>
      <c r="J293" s="23" t="str">
        <f aca="false">IF(ISNUMBER(Tabelle1!L294),Tabelle1!L294/'SF Workings'!AH293,"")</f>
        <v/>
      </c>
      <c r="K293" s="23" t="str">
        <f aca="false">IF(ISNUMBER(Tabelle1!M294),Tabelle1!M294/'SF Workings'!AL293,"")</f>
        <v/>
      </c>
      <c r="L293" s="23" t="str">
        <f aca="false">IF(ISNUMBER(Tabelle1!N294),Tabelle1!N294/'SF Workings'!AP293,"")</f>
        <v/>
      </c>
      <c r="M293" s="23" t="str">
        <f aca="false">IF(ISNUMBER(Tabelle1!O294),Tabelle1!O294/'SF Workings'!AT293,"")</f>
        <v/>
      </c>
      <c r="N293" s="23" t="str">
        <f aca="false">IF(ISNUMBER(Tabelle1!P294),Tabelle1!P294/'SF Workings'!AX293,"")</f>
        <v/>
      </c>
      <c r="O293" s="23" t="str">
        <f aca="false">IF(ISNUMBER(Tabelle1!Q294),Tabelle1!Q294/'SF Workings'!BB293,"")</f>
        <v/>
      </c>
      <c r="P293" s="23" t="str">
        <f aca="false">IF(ISNUMBER(Tabelle1!R294),Tabelle1!R294/'SF Workings'!BF293,"")</f>
        <v/>
      </c>
      <c r="Q293" s="23" t="str">
        <f aca="false">IF(ISNUMBER(Tabelle1!S294),Tabelle1!S294/'SF Workings'!BJ293,"")</f>
        <v/>
      </c>
      <c r="R293" s="23" t="str">
        <f aca="false">IFERROR(C293*'Weights &amp; Assumptions'!$F$6+D293*'Weights &amp; Assumptions'!$F$7,"")</f>
        <v/>
      </c>
      <c r="S293" s="23" t="str">
        <f aca="false">IFERROR(E293*'Weights &amp; Assumptions'!$F$8+F293*'Weights &amp; Assumptions'!$F$9+H293*'Weights &amp; Assumptions'!$F$11,"")</f>
        <v/>
      </c>
      <c r="T293" s="23" t="str">
        <f aca="false">IFERROR(G293*'Weights &amp; Assumptions'!$F$10+I293*'Weights &amp; Assumptions'!$F$12+J293*'Weights &amp; Assumptions'!$F$13+K293*'Weights &amp; Assumptions'!$F$14+L293*'Weights &amp; Assumptions'!$F$15+M293*'Weights &amp; Assumptions'!$F$16+N293*'Weights &amp; Assumptions'!$F$17+O293*'Weights &amp; Assumptions'!$F$18+P293*'Weights &amp; Assumptions'!$F$19+Q293*'Weights &amp; Assumptions'!$F$20,"")</f>
        <v/>
      </c>
      <c r="U293" s="23" t="str">
        <f aca="false">IFERROR(R293*'Weights &amp; Assumptions'!$B$25/'Weights &amp; Assumptions'!$B$28+S293*'Weights &amp; Assumptions'!$B$26/'Weights &amp; Assumptions'!$B$28+T293*'Weights &amp; Assumptions'!$B$27/'Weights &amp; Assumptions'!$B$28,"")</f>
        <v/>
      </c>
      <c r="V293" s="30" t="str">
        <f aca="false">IF(ISNUMBER(Tabelle1!E294),Tabelle1!E294*'Weights &amp; Assumptions'!$F$6+Tabelle1!F294*'Weights &amp; Assumptions'!$F$7,"")</f>
        <v/>
      </c>
      <c r="W293" s="30" t="str">
        <f aca="false">IF(ISNUMBER(Tabelle1!G294),Tabelle1!G294*'Weights &amp; Assumptions'!$F$8+Tabelle1!H294*'Weights &amp; Assumptions'!$F$9+Tabelle1!J294*'Weights &amp; Assumptions'!$F$11,"")</f>
        <v/>
      </c>
      <c r="X293" s="30" t="str">
        <f aca="false">IF(ISNUMBER(Tabelle1!I294),Tabelle1!I294*'Weights &amp; Assumptions'!$F$10+Tabelle1!K294*'Weights &amp; Assumptions'!$F$12+Tabelle1!L294*'Weights &amp; Assumptions'!$F$13+Tabelle1!M294*'Weights &amp; Assumptions'!$F$14+Tabelle1!N294*'Weights &amp; Assumptions'!$F$15+Tabelle1!O294*'Weights &amp; Assumptions'!$F$16+Tabelle1!P294*'Weights &amp; Assumptions'!$F$17+Tabelle1!Q294*'Weights &amp; Assumptions'!$F$18+Tabelle1!R294*'Weights &amp; Assumptions'!$F$19+Tabelle1!S294*'Weights &amp; Assumptions'!$F$20,"")</f>
        <v/>
      </c>
      <c r="Y293" s="23" t="str">
        <f aca="false">IFERROR(V293*'Weights &amp; Assumptions'!$B$25/'Weights &amp; Assumptions'!$B$28+W293*'Weights &amp; Assumptions'!$B$26/'Weights &amp; Assumptions'!$B$28+X293*'Weights &amp; Assumptions'!$B$27/'Weights &amp; Assumptions'!$B$28,"")</f>
        <v/>
      </c>
    </row>
    <row r="294" customFormat="false" ht="15" hidden="false" customHeight="false" outlineLevel="0" collapsed="false">
      <c r="A294" s="20" t="n">
        <v>46752</v>
      </c>
      <c r="B294" s="30" t="str">
        <f aca="false">IF(ISNUMBER(Tabelle1!D295),Tabelle1!D295,"")</f>
        <v/>
      </c>
      <c r="C294" s="23" t="str">
        <f aca="false">IF(ISNUMBER(Tabelle1!E295),Tabelle1!E295/'SF Workings'!F294,"")</f>
        <v/>
      </c>
      <c r="D294" s="23" t="str">
        <f aca="false">IF(ISNUMBER(Tabelle1!F295),Tabelle1!F295/'SF Workings'!J294,"")</f>
        <v/>
      </c>
      <c r="E294" s="23" t="str">
        <f aca="false">IF(ISNUMBER(Tabelle1!G295),Tabelle1!G295/'SF Workings'!N294,"")</f>
        <v/>
      </c>
      <c r="F294" s="23" t="str">
        <f aca="false">IF(ISNUMBER(Tabelle1!H295),Tabelle1!H295/'SF Workings'!R294,"")</f>
        <v/>
      </c>
      <c r="G294" s="23" t="str">
        <f aca="false">IF(ISNUMBER(Tabelle1!I295),Tabelle1!I295/'SF Workings'!V294,"")</f>
        <v/>
      </c>
      <c r="H294" s="23" t="str">
        <f aca="false">IF(ISNUMBER(Tabelle1!J295),Tabelle1!J295/'SF Workings'!Z294,"")</f>
        <v/>
      </c>
      <c r="I294" s="23" t="str">
        <f aca="false">IF(ISNUMBER(Tabelle1!K295),Tabelle1!K295/'SF Workings'!AD294,"")</f>
        <v/>
      </c>
      <c r="J294" s="23" t="str">
        <f aca="false">IF(ISNUMBER(Tabelle1!L295),Tabelle1!L295/'SF Workings'!AH294,"")</f>
        <v/>
      </c>
      <c r="K294" s="23" t="str">
        <f aca="false">IF(ISNUMBER(Tabelle1!M295),Tabelle1!M295/'SF Workings'!AL294,"")</f>
        <v/>
      </c>
      <c r="L294" s="23" t="str">
        <f aca="false">IF(ISNUMBER(Tabelle1!N295),Tabelle1!N295/'SF Workings'!AP294,"")</f>
        <v/>
      </c>
      <c r="M294" s="23" t="str">
        <f aca="false">IF(ISNUMBER(Tabelle1!O295),Tabelle1!O295/'SF Workings'!AT294,"")</f>
        <v/>
      </c>
      <c r="N294" s="23" t="str">
        <f aca="false">IF(ISNUMBER(Tabelle1!P295),Tabelle1!P295/'SF Workings'!AX294,"")</f>
        <v/>
      </c>
      <c r="O294" s="23" t="str">
        <f aca="false">IF(ISNUMBER(Tabelle1!Q295),Tabelle1!Q295/'SF Workings'!BB294,"")</f>
        <v/>
      </c>
      <c r="P294" s="23" t="str">
        <f aca="false">IF(ISNUMBER(Tabelle1!R295),Tabelle1!R295/'SF Workings'!BF294,"")</f>
        <v/>
      </c>
      <c r="Q294" s="23" t="str">
        <f aca="false">IF(ISNUMBER(Tabelle1!S295),Tabelle1!S295/'SF Workings'!BJ294,"")</f>
        <v/>
      </c>
      <c r="R294" s="23" t="str">
        <f aca="false">IFERROR(C294*'Weights &amp; Assumptions'!$F$6+D294*'Weights &amp; Assumptions'!$F$7,"")</f>
        <v/>
      </c>
      <c r="S294" s="23" t="str">
        <f aca="false">IFERROR(E294*'Weights &amp; Assumptions'!$F$8+F294*'Weights &amp; Assumptions'!$F$9+H294*'Weights &amp; Assumptions'!$F$11,"")</f>
        <v/>
      </c>
      <c r="T294" s="23" t="str">
        <f aca="false">IFERROR(G294*'Weights &amp; Assumptions'!$F$10+I294*'Weights &amp; Assumptions'!$F$12+J294*'Weights &amp; Assumptions'!$F$13+K294*'Weights &amp; Assumptions'!$F$14+L294*'Weights &amp; Assumptions'!$F$15+M294*'Weights &amp; Assumptions'!$F$16+N294*'Weights &amp; Assumptions'!$F$17+O294*'Weights &amp; Assumptions'!$F$18+P294*'Weights &amp; Assumptions'!$F$19+Q294*'Weights &amp; Assumptions'!$F$20,"")</f>
        <v/>
      </c>
      <c r="U294" s="23" t="str">
        <f aca="false">IFERROR(R294*'Weights &amp; Assumptions'!$B$25/'Weights &amp; Assumptions'!$B$28+S294*'Weights &amp; Assumptions'!$B$26/'Weights &amp; Assumptions'!$B$28+T294*'Weights &amp; Assumptions'!$B$27/'Weights &amp; Assumptions'!$B$28,"")</f>
        <v/>
      </c>
      <c r="V294" s="30" t="str">
        <f aca="false">IF(ISNUMBER(Tabelle1!E295),Tabelle1!E295*'Weights &amp; Assumptions'!$F$6+Tabelle1!F295*'Weights &amp; Assumptions'!$F$7,"")</f>
        <v/>
      </c>
      <c r="W294" s="30" t="str">
        <f aca="false">IF(ISNUMBER(Tabelle1!G295),Tabelle1!G295*'Weights &amp; Assumptions'!$F$8+Tabelle1!H295*'Weights &amp; Assumptions'!$F$9+Tabelle1!J295*'Weights &amp; Assumptions'!$F$11,"")</f>
        <v/>
      </c>
      <c r="X294" s="30" t="str">
        <f aca="false">IF(ISNUMBER(Tabelle1!I295),Tabelle1!I295*'Weights &amp; Assumptions'!$F$10+Tabelle1!K295*'Weights &amp; Assumptions'!$F$12+Tabelle1!L295*'Weights &amp; Assumptions'!$F$13+Tabelle1!M295*'Weights &amp; Assumptions'!$F$14+Tabelle1!N295*'Weights &amp; Assumptions'!$F$15+Tabelle1!O295*'Weights &amp; Assumptions'!$F$16+Tabelle1!P295*'Weights &amp; Assumptions'!$F$17+Tabelle1!Q295*'Weights &amp; Assumptions'!$F$18+Tabelle1!R295*'Weights &amp; Assumptions'!$F$19+Tabelle1!S295*'Weights &amp; Assumptions'!$F$20,"")</f>
        <v/>
      </c>
      <c r="Y294" s="23" t="str">
        <f aca="false">IFERROR(V294*'Weights &amp; Assumptions'!$B$25/'Weights &amp; Assumptions'!$B$28+W294*'Weights &amp; Assumptions'!$B$26/'Weights &amp; Assumptions'!$B$28+X294*'Weights &amp; Assumptions'!$B$27/'Weights &amp; Assumptions'!$B$28,"")</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9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6" topLeftCell="B7" activePane="bottomRight" state="frozen"/>
      <selection pane="topLeft" activeCell="A1" activeCellId="0" sqref="A1"/>
      <selection pane="topRight" activeCell="B1" activeCellId="0" sqref="B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13" min="2" style="0" width="11"/>
  </cols>
  <sheetData>
    <row r="1" customFormat="false" ht="17.35" hidden="false" customHeight="false" outlineLevel="0" collapsed="false">
      <c r="A1" s="4" t="s">
        <v>470</v>
      </c>
    </row>
    <row r="2" customFormat="false" ht="15" hidden="false" customHeight="false" outlineLevel="0" collapsed="false">
      <c r="A2" s="5" t="s">
        <v>471</v>
      </c>
    </row>
    <row r="6" customFormat="false" ht="46.25" hidden="false" customHeight="false" outlineLevel="0" collapsed="false">
      <c r="A6" s="7" t="s">
        <v>368</v>
      </c>
      <c r="B6" s="7" t="s">
        <v>472</v>
      </c>
      <c r="C6" s="7" t="s">
        <v>473</v>
      </c>
      <c r="D6" s="7" t="s">
        <v>474</v>
      </c>
      <c r="E6" s="7" t="s">
        <v>475</v>
      </c>
      <c r="F6" s="7" t="s">
        <v>476</v>
      </c>
      <c r="G6" s="7" t="s">
        <v>477</v>
      </c>
      <c r="H6" s="7" t="s">
        <v>478</v>
      </c>
      <c r="I6" s="7" t="s">
        <v>479</v>
      </c>
      <c r="J6" s="7" t="s">
        <v>480</v>
      </c>
      <c r="K6" s="7" t="s">
        <v>481</v>
      </c>
      <c r="L6" s="7" t="s">
        <v>482</v>
      </c>
      <c r="M6" s="7" t="s">
        <v>483</v>
      </c>
    </row>
    <row r="7" customFormat="false" ht="15" hidden="false" customHeight="false" outlineLevel="0" collapsed="false">
      <c r="A7" s="20" t="n">
        <v>38017</v>
      </c>
      <c r="B7" s="30" t="n">
        <f aca="false">'SA Data'!B7</f>
        <v>98.33957</v>
      </c>
      <c r="C7" s="31"/>
      <c r="D7" s="31"/>
      <c r="E7" s="31"/>
      <c r="F7" s="31"/>
      <c r="G7" s="31"/>
      <c r="H7" s="30" t="n">
        <f aca="false">'SA Data'!U7</f>
        <v>102.001617036402</v>
      </c>
      <c r="I7" s="31"/>
      <c r="J7" s="31"/>
      <c r="K7" s="31"/>
      <c r="L7" s="31"/>
      <c r="M7" s="31"/>
    </row>
    <row r="8" customFormat="false" ht="15" hidden="false" customHeight="false" outlineLevel="0" collapsed="false">
      <c r="A8" s="20" t="n">
        <v>38046</v>
      </c>
      <c r="B8" s="30" t="n">
        <f aca="false">'SA Data'!B8</f>
        <v>98.07072</v>
      </c>
      <c r="C8" s="31" t="n">
        <f aca="false">IFERROR((B8/B7-1)*100,"")</f>
        <v>-0.2733894402833</v>
      </c>
      <c r="D8" s="31"/>
      <c r="E8" s="31"/>
      <c r="F8" s="31"/>
      <c r="G8" s="31"/>
      <c r="H8" s="30" t="n">
        <f aca="false">'SA Data'!U8</f>
        <v>101.33136509597</v>
      </c>
      <c r="I8" s="31" t="n">
        <f aca="false">IFERROR((H8/H7-1)*100,"")</f>
        <v>-0.657099328330923</v>
      </c>
      <c r="J8" s="31"/>
      <c r="K8" s="31"/>
      <c r="L8" s="31"/>
      <c r="M8" s="31"/>
    </row>
    <row r="9" customFormat="false" ht="15" hidden="false" customHeight="false" outlineLevel="0" collapsed="false">
      <c r="A9" s="20" t="n">
        <v>38077</v>
      </c>
      <c r="B9" s="30" t="n">
        <f aca="false">'SA Data'!B9</f>
        <v>97.66795</v>
      </c>
      <c r="C9" s="31" t="n">
        <f aca="false">IFERROR((B9/B8-1)*100,"")</f>
        <v>-0.410693426131659</v>
      </c>
      <c r="D9" s="31"/>
      <c r="E9" s="31"/>
      <c r="F9" s="31"/>
      <c r="G9" s="31"/>
      <c r="H9" s="30" t="n">
        <f aca="false">'SA Data'!U9</f>
        <v>100.492134013011</v>
      </c>
      <c r="I9" s="31" t="n">
        <f aca="false">IFERROR((H9/H8-1)*100,"")</f>
        <v>-0.828204655254961</v>
      </c>
      <c r="J9" s="31"/>
      <c r="K9" s="31"/>
      <c r="L9" s="31"/>
      <c r="M9" s="31"/>
    </row>
    <row r="10" customFormat="false" ht="15" hidden="false" customHeight="false" outlineLevel="0" collapsed="false">
      <c r="A10" s="20" t="n">
        <v>38107</v>
      </c>
      <c r="B10" s="30" t="n">
        <f aca="false">'SA Data'!B10</f>
        <v>95.23678</v>
      </c>
      <c r="C10" s="31" t="n">
        <f aca="false">IFERROR((B10/B9-1)*100,"")</f>
        <v>-2.48921985154803</v>
      </c>
      <c r="D10" s="31"/>
      <c r="E10" s="31"/>
      <c r="F10" s="31"/>
      <c r="G10" s="31"/>
      <c r="H10" s="30" t="n">
        <f aca="false">'SA Data'!U10</f>
        <v>97.4573397674839</v>
      </c>
      <c r="I10" s="31" t="n">
        <f aca="false">IFERROR((H10/H9-1)*100,"")</f>
        <v>-3.01993213233434</v>
      </c>
      <c r="J10" s="31"/>
      <c r="K10" s="31"/>
      <c r="L10" s="31"/>
      <c r="M10" s="31"/>
    </row>
    <row r="11" customFormat="false" ht="15" hidden="false" customHeight="false" outlineLevel="0" collapsed="false">
      <c r="A11" s="20" t="n">
        <v>38138</v>
      </c>
      <c r="B11" s="30" t="n">
        <f aca="false">'SA Data'!B11</f>
        <v>96.95127</v>
      </c>
      <c r="C11" s="31" t="n">
        <f aca="false">IFERROR((B11/B10-1)*100,"")</f>
        <v>1.80023936130558</v>
      </c>
      <c r="D11" s="31"/>
      <c r="E11" s="31"/>
      <c r="F11" s="31"/>
      <c r="G11" s="31"/>
      <c r="H11" s="30" t="n">
        <f aca="false">'SA Data'!U11</f>
        <v>97.1792444012445</v>
      </c>
      <c r="I11" s="31" t="n">
        <f aca="false">IFERROR((H11/H10-1)*100,"")</f>
        <v>-0.285350869316636</v>
      </c>
      <c r="J11" s="31"/>
      <c r="K11" s="31"/>
      <c r="L11" s="31"/>
      <c r="M11" s="31"/>
    </row>
    <row r="12" customFormat="false" ht="15" hidden="false" customHeight="false" outlineLevel="0" collapsed="false">
      <c r="A12" s="20" t="n">
        <v>38168</v>
      </c>
      <c r="B12" s="30" t="n">
        <f aca="false">'SA Data'!B12</f>
        <v>98.68356</v>
      </c>
      <c r="C12" s="31" t="n">
        <f aca="false">IFERROR((B12/B11-1)*100,"")</f>
        <v>1.78676359783632</v>
      </c>
      <c r="D12" s="31" t="n">
        <f aca="false">IFERROR((AVERAGE(B10:B12)/AVERAGE(B7:B9)-1)*100,"")</f>
        <v>-1.09040029619328</v>
      </c>
      <c r="E12" s="31" t="n">
        <f aca="false">IFERROR(((AVERAGE(B10:B12)/AVERAGE(B7:B9))^4-1)*100,"")</f>
        <v>-4.2907799852804</v>
      </c>
      <c r="F12" s="31"/>
      <c r="G12" s="31"/>
      <c r="H12" s="30" t="n">
        <f aca="false">'SA Data'!U12</f>
        <v>99.3310649375091</v>
      </c>
      <c r="I12" s="31" t="n">
        <f aca="false">IFERROR((H12/H11-1)*100,"")</f>
        <v>2.21427996227255</v>
      </c>
      <c r="J12" s="31" t="n">
        <f aca="false">IFERROR((AVERAGE(H10:H12)/AVERAGE(H7:H9)-1)*100,"")</f>
        <v>-3.24445429798793</v>
      </c>
      <c r="K12" s="31" t="n">
        <f aca="false">IFERROR(((AVERAGE(H10:H12)/AVERAGE(H7:H9))^4-1)*100,"")</f>
        <v>-12.3597784416914</v>
      </c>
      <c r="L12" s="31"/>
      <c r="M12" s="31"/>
    </row>
    <row r="13" customFormat="false" ht="15" hidden="false" customHeight="false" outlineLevel="0" collapsed="false">
      <c r="A13" s="20" t="n">
        <v>38199</v>
      </c>
      <c r="B13" s="30" t="n">
        <f aca="false">'SA Data'!B13</f>
        <v>100.8411</v>
      </c>
      <c r="C13" s="31" t="n">
        <f aca="false">IFERROR((B13/B12-1)*100,"")</f>
        <v>2.18632161223207</v>
      </c>
      <c r="D13" s="31" t="n">
        <f aca="false">IFERROR((AVERAGE(B11:B13)/AVERAGE(B8:B10)-1)*100,"")</f>
        <v>1.89035879143755</v>
      </c>
      <c r="E13" s="31" t="n">
        <f aca="false">IFERROR(((AVERAGE(B11:B13)/AVERAGE(B8:B10))^4-1)*100,"")</f>
        <v>7.77855736282114</v>
      </c>
      <c r="F13" s="31"/>
      <c r="G13" s="31"/>
      <c r="H13" s="30" t="n">
        <f aca="false">'SA Data'!U13</f>
        <v>100.757951578674</v>
      </c>
      <c r="I13" s="31" t="n">
        <f aca="false">IFERROR((H13/H12-1)*100,"")</f>
        <v>1.43649586568171</v>
      </c>
      <c r="J13" s="31" t="n">
        <f aca="false">IFERROR((AVERAGE(H11:H13)/AVERAGE(H8:H10)-1)*100,"")</f>
        <v>-0.672471370567007</v>
      </c>
      <c r="K13" s="31" t="n">
        <f aca="false">IFERROR(((AVERAGE(H11:H13)/AVERAGE(H8:H10))^4-1)*100,"")</f>
        <v>-2.66287385450771</v>
      </c>
      <c r="L13" s="31"/>
      <c r="M13" s="31"/>
    </row>
    <row r="14" customFormat="false" ht="15" hidden="false" customHeight="false" outlineLevel="0" collapsed="false">
      <c r="A14" s="20" t="n">
        <v>38230</v>
      </c>
      <c r="B14" s="30" t="n">
        <f aca="false">'SA Data'!B14</f>
        <v>102.17769</v>
      </c>
      <c r="C14" s="31" t="n">
        <f aca="false">IFERROR((B14/B13-1)*100,"")</f>
        <v>1.32544170977904</v>
      </c>
      <c r="D14" s="31" t="n">
        <f aca="false">IFERROR((AVERAGE(B12:B14)/AVERAGE(B9:B11)-1)*100,"")</f>
        <v>4.08697767167145</v>
      </c>
      <c r="E14" s="31" t="n">
        <f aca="false">IFERROR(((AVERAGE(B12:B14)/AVERAGE(B9:B11))^4-1)*100,"")</f>
        <v>17.3776994261788</v>
      </c>
      <c r="F14" s="31"/>
      <c r="G14" s="31"/>
      <c r="H14" s="30" t="n">
        <f aca="false">'SA Data'!U14</f>
        <v>100.975075159361</v>
      </c>
      <c r="I14" s="31" t="n">
        <f aca="false">IFERROR((H14/H13-1)*100,"")</f>
        <v>0.215490268792484</v>
      </c>
      <c r="J14" s="31" t="n">
        <f aca="false">IFERROR((AVERAGE(H12:H14)/AVERAGE(H9:H11)-1)*100,"")</f>
        <v>2.01111350002519</v>
      </c>
      <c r="K14" s="31" t="n">
        <f aca="false">IFERROR(((AVERAGE(H12:H14)/AVERAGE(H9:H11))^4-1)*100,"")</f>
        <v>8.29039865107988</v>
      </c>
      <c r="L14" s="31"/>
      <c r="M14" s="31"/>
    </row>
    <row r="15" customFormat="false" ht="15" hidden="false" customHeight="false" outlineLevel="0" collapsed="false">
      <c r="A15" s="20" t="n">
        <v>38260</v>
      </c>
      <c r="B15" s="30" t="n">
        <f aca="false">'SA Data'!B15</f>
        <v>102.35036</v>
      </c>
      <c r="C15" s="31" t="n">
        <f aca="false">IFERROR((B15/B14-1)*100,"")</f>
        <v>0.168989923338447</v>
      </c>
      <c r="D15" s="31" t="n">
        <f aca="false">IFERROR((AVERAGE(B13:B15)/AVERAGE(B10:B12)-1)*100,"")</f>
        <v>4.98417153877617</v>
      </c>
      <c r="E15" s="31" t="n">
        <f aca="false">IFERROR(((AVERAGE(B13:B15)/AVERAGE(B10:B12))^4-1)*100,"")</f>
        <v>21.4773478818708</v>
      </c>
      <c r="F15" s="31"/>
      <c r="G15" s="31"/>
      <c r="H15" s="30" t="n">
        <f aca="false">'SA Data'!U15</f>
        <v>101.99050409723</v>
      </c>
      <c r="I15" s="31" t="n">
        <f aca="false">IFERROR((H15/H14-1)*100,"")</f>
        <v>1.00562335434387</v>
      </c>
      <c r="J15" s="31" t="n">
        <f aca="false">IFERROR((AVERAGE(H13:H15)/AVERAGE(H10:H12)-1)*100,"")</f>
        <v>3.31869229783892</v>
      </c>
      <c r="K15" s="31" t="n">
        <f aca="false">IFERROR(((AVERAGE(H13:H15)/AVERAGE(H10:H12))^4-1)*100,"")</f>
        <v>13.950334064609</v>
      </c>
      <c r="L15" s="31"/>
      <c r="M15" s="31"/>
    </row>
    <row r="16" customFormat="false" ht="15" hidden="false" customHeight="false" outlineLevel="0" collapsed="false">
      <c r="A16" s="20" t="n">
        <v>38291</v>
      </c>
      <c r="B16" s="30" t="n">
        <f aca="false">'SA Data'!B16</f>
        <v>103.12368</v>
      </c>
      <c r="C16" s="31" t="n">
        <f aca="false">IFERROR((B16/B15-1)*100,"")</f>
        <v>0.755561582782893</v>
      </c>
      <c r="D16" s="31" t="n">
        <f aca="false">IFERROR((AVERAGE(B14:B16)/AVERAGE(B11:B13)-1)*100,"")</f>
        <v>3.76954716020284</v>
      </c>
      <c r="E16" s="31" t="n">
        <f aca="false">IFERROR(((AVERAGE(B14:B16)/AVERAGE(B11:B13))^4-1)*100,"")</f>
        <v>15.952385028605</v>
      </c>
      <c r="F16" s="31"/>
      <c r="G16" s="31"/>
      <c r="H16" s="30" t="n">
        <f aca="false">'SA Data'!U16</f>
        <v>102.276595740211</v>
      </c>
      <c r="I16" s="31" t="n">
        <f aca="false">IFERROR((H16/H15-1)*100,"")</f>
        <v>0.280508117410827</v>
      </c>
      <c r="J16" s="31" t="n">
        <f aca="false">IFERROR((AVERAGE(H14:H16)/AVERAGE(H11:H13)-1)*100,"")</f>
        <v>2.68239671963768</v>
      </c>
      <c r="K16" s="31" t="n">
        <f aca="false">IFERROR(((AVERAGE(H14:H16)/AVERAGE(H11:H13))^4-1)*100,"")</f>
        <v>11.1690739882138</v>
      </c>
      <c r="L16" s="31"/>
      <c r="M16" s="31"/>
    </row>
    <row r="17" customFormat="false" ht="15" hidden="false" customHeight="false" outlineLevel="0" collapsed="false">
      <c r="A17" s="20" t="n">
        <v>38321</v>
      </c>
      <c r="B17" s="30" t="n">
        <f aca="false">'SA Data'!B17</f>
        <v>103.57877</v>
      </c>
      <c r="C17" s="31" t="n">
        <f aca="false">IFERROR((B17/B16-1)*100,"")</f>
        <v>0.441305042643947</v>
      </c>
      <c r="D17" s="31" t="n">
        <f aca="false">IFERROR((AVERAGE(B15:B17)/AVERAGE(B12:B14)-1)*100,"")</f>
        <v>2.43632838789623</v>
      </c>
      <c r="E17" s="31" t="n">
        <f aca="false">IFERROR(((AVERAGE(B15:B17)/AVERAGE(B12:B14))^4-1)*100,"")</f>
        <v>10.1072750667722</v>
      </c>
      <c r="F17" s="31"/>
      <c r="G17" s="31"/>
      <c r="H17" s="30" t="n">
        <f aca="false">'SA Data'!U17</f>
        <v>103.317528636007</v>
      </c>
      <c r="I17" s="31" t="n">
        <f aca="false">IFERROR((H17/H16-1)*100,"")</f>
        <v>1.01776255678374</v>
      </c>
      <c r="J17" s="31" t="n">
        <f aca="false">IFERROR((AVERAGE(H15:H17)/AVERAGE(H12:H14)-1)*100,"")</f>
        <v>2.16583012660663</v>
      </c>
      <c r="K17" s="31" t="n">
        <f aca="false">IFERROR(((AVERAGE(H15:H17)/AVERAGE(H12:H14))^4-1)*100,"")</f>
        <v>8.94885552628784</v>
      </c>
      <c r="L17" s="31"/>
      <c r="M17" s="31"/>
    </row>
    <row r="18" customFormat="false" ht="15" hidden="false" customHeight="false" outlineLevel="0" collapsed="false">
      <c r="A18" s="20" t="n">
        <v>38352</v>
      </c>
      <c r="B18" s="30" t="n">
        <f aca="false">'SA Data'!B18</f>
        <v>102.97856</v>
      </c>
      <c r="C18" s="31" t="n">
        <f aca="false">IFERROR((B18/B17-1)*100,"")</f>
        <v>-0.57947202887233</v>
      </c>
      <c r="D18" s="31" t="n">
        <f aca="false">IFERROR((AVERAGE(B16:B18)/AVERAGE(B13:B15)-1)*100,"")</f>
        <v>1.41201558834612</v>
      </c>
      <c r="E18" s="31" t="n">
        <f aca="false">IFERROR(((AVERAGE(B16:B18)/AVERAGE(B13:B15))^4-1)*100,"")</f>
        <v>5.76881971378571</v>
      </c>
      <c r="F18" s="31"/>
      <c r="G18" s="31"/>
      <c r="H18" s="30" t="n">
        <f aca="false">'SA Data'!U18</f>
        <v>104.841972339751</v>
      </c>
      <c r="I18" s="31" t="n">
        <f aca="false">IFERROR((H18/H17-1)*100,"")</f>
        <v>1.475493775228</v>
      </c>
      <c r="J18" s="31" t="n">
        <f aca="false">IFERROR((AVERAGE(H16:H18)/AVERAGE(H13:H15)-1)*100,"")</f>
        <v>2.21009082248076</v>
      </c>
      <c r="K18" s="31" t="n">
        <f aca="false">IFERROR(((AVERAGE(H16:H18)/AVERAGE(H13:H15))^4-1)*100,"")</f>
        <v>9.13777531161939</v>
      </c>
      <c r="L18" s="31"/>
      <c r="M18" s="31"/>
    </row>
    <row r="19" customFormat="false" ht="15" hidden="false" customHeight="false" outlineLevel="0" collapsed="false">
      <c r="A19" s="20" t="n">
        <v>38383</v>
      </c>
      <c r="B19" s="30" t="n">
        <f aca="false">'SA Data'!B19</f>
        <v>105.74978</v>
      </c>
      <c r="C19" s="31" t="n">
        <f aca="false">IFERROR((B19/B18-1)*100,"")</f>
        <v>2.69106501392133</v>
      </c>
      <c r="D19" s="31" t="n">
        <f aca="false">IFERROR((AVERAGE(B17:B19)/AVERAGE(B14:B16)-1)*100,"")</f>
        <v>1.51319805677674</v>
      </c>
      <c r="E19" s="31" t="n">
        <f aca="false">IFERROR(((AVERAGE(B17:B19)/AVERAGE(B14:B16))^4-1)*100,"")</f>
        <v>6.19156952090063</v>
      </c>
      <c r="F19" s="31" t="n">
        <f aca="false">IFERROR((B19/B7-1)*100,"")</f>
        <v>7.53532886100683</v>
      </c>
      <c r="G19" s="31" t="n">
        <f aca="false">IFERROR((AVERAGE(B19:B19)/AVERAGE(B7:B7)-1)*100,"")</f>
        <v>7.53532886100683</v>
      </c>
      <c r="H19" s="30" t="n">
        <f aca="false">'SA Data'!U19</f>
        <v>105.887624859151</v>
      </c>
      <c r="I19" s="31" t="n">
        <f aca="false">IFERROR((H19/H18-1)*100,"")</f>
        <v>0.997360595249819</v>
      </c>
      <c r="J19" s="31" t="n">
        <f aca="false">IFERROR((AVERAGE(H17:H19)/AVERAGE(H14:H16)-1)*100,"")</f>
        <v>2.88457872448347</v>
      </c>
      <c r="K19" s="31" t="n">
        <f aca="false">IFERROR(((AVERAGE(H17:H19)/AVERAGE(H14:H16))^4-1)*100,"")</f>
        <v>12.0472325932375</v>
      </c>
      <c r="L19" s="31" t="n">
        <f aca="false">IFERROR(('SA Data'!Y19/'SA Data'!Y7-1)*100,"")</f>
        <v>6.69041979069318</v>
      </c>
      <c r="M19" s="31" t="n">
        <f aca="false">IFERROR((AVERAGE('SA Data'!Y19:Y19)/AVERAGE('SA Data'!Y7:Y7)-1)*100,"")</f>
        <v>6.69041979069318</v>
      </c>
    </row>
    <row r="20" customFormat="false" ht="15" hidden="false" customHeight="false" outlineLevel="0" collapsed="false">
      <c r="A20" s="20" t="n">
        <v>38411</v>
      </c>
      <c r="B20" s="30" t="n">
        <f aca="false">'SA Data'!B20</f>
        <v>106.05741</v>
      </c>
      <c r="C20" s="31" t="n">
        <f aca="false">IFERROR((B20/B19-1)*100,"")</f>
        <v>0.290903678475751</v>
      </c>
      <c r="D20" s="31" t="n">
        <f aca="false">IFERROR((AVERAGE(B18:B20)/AVERAGE(B15:B17)-1)*100,"")</f>
        <v>1.85500335686966</v>
      </c>
      <c r="E20" s="31" t="n">
        <f aca="false">IFERROR(((AVERAGE(B18:B20)/AVERAGE(B15:B17))^4-1)*100,"")</f>
        <v>7.62904076986855</v>
      </c>
      <c r="F20" s="31" t="n">
        <f aca="false">IFERROR((B20/B8-1)*100,"")</f>
        <v>8.14380683653593</v>
      </c>
      <c r="G20" s="31" t="n">
        <f aca="false">IFERROR((AVERAGE(B19:B20)/AVERAGE(B7:B8)-1)*100,"")</f>
        <v>7.83915140087621</v>
      </c>
      <c r="H20" s="30" t="n">
        <f aca="false">'SA Data'!U20</f>
        <v>106.653407361903</v>
      </c>
      <c r="I20" s="31" t="n">
        <f aca="false">IFERROR((H20/H19-1)*100,"")</f>
        <v>0.723203021855712</v>
      </c>
      <c r="J20" s="31" t="n">
        <f aca="false">IFERROR((AVERAGE(H18:H20)/AVERAGE(H15:H17)-1)*100,"")</f>
        <v>3.1855870483473</v>
      </c>
      <c r="K20" s="31" t="n">
        <f aca="false">IFERROR(((AVERAGE(H18:H20)/AVERAGE(H15:H17))^4-1)*100,"")</f>
        <v>13.3642599552834</v>
      </c>
      <c r="L20" s="31" t="n">
        <f aca="false">IFERROR(('SA Data'!Y20/'SA Data'!Y8-1)*100,"")</f>
        <v>7.26061891120322</v>
      </c>
      <c r="M20" s="31" t="n">
        <f aca="false">IFERROR((AVERAGE('SA Data'!Y19:Y20)/AVERAGE('SA Data'!Y7:Y8)-1)*100,"")</f>
        <v>6.97334893069994</v>
      </c>
    </row>
    <row r="21" customFormat="false" ht="15" hidden="false" customHeight="false" outlineLevel="0" collapsed="false">
      <c r="A21" s="20" t="n">
        <v>38442</v>
      </c>
      <c r="B21" s="30" t="n">
        <f aca="false">'SA Data'!B21</f>
        <v>106.85062</v>
      </c>
      <c r="C21" s="31" t="n">
        <f aca="false">IFERROR((B21/B20-1)*100,"")</f>
        <v>0.747906251906394</v>
      </c>
      <c r="D21" s="31" t="n">
        <f aca="false">IFERROR((AVERAGE(B19:B21)/AVERAGE(B16:B18)-1)*100,"")</f>
        <v>2.89872472322408</v>
      </c>
      <c r="E21" s="31" t="n">
        <f aca="false">IFERROR(((AVERAGE(B19:B21)/AVERAGE(B16:B18))^4-1)*100,"")</f>
        <v>12.1088685334949</v>
      </c>
      <c r="F21" s="31" t="n">
        <f aca="false">IFERROR((B21/B9-1)*100,"")</f>
        <v>9.40192765385164</v>
      </c>
      <c r="G21" s="31" t="n">
        <f aca="false">IFERROR((AVERAGE(B19:B21)/AVERAGE(B7:B9)-1)*100,"")</f>
        <v>8.35817366153988</v>
      </c>
      <c r="H21" s="30" t="n">
        <f aca="false">'SA Data'!U21</f>
        <v>108.682422870342</v>
      </c>
      <c r="I21" s="31" t="n">
        <f aca="false">IFERROR((H21/H20-1)*100,"")</f>
        <v>1.90243852365031</v>
      </c>
      <c r="J21" s="31" t="n">
        <f aca="false">IFERROR((AVERAGE(H19:H21)/AVERAGE(H16:H18)-1)*100,"")</f>
        <v>3.47490465494935</v>
      </c>
      <c r="K21" s="31" t="n">
        <f aca="false">IFERROR(((AVERAGE(H19:H21)/AVERAGE(H16:H18))^4-1)*100,"")</f>
        <v>14.6410459033394</v>
      </c>
      <c r="L21" s="31" t="n">
        <f aca="false">IFERROR(('SA Data'!Y21/'SA Data'!Y9-1)*100,"")</f>
        <v>9.2340090495064</v>
      </c>
      <c r="M21" s="31" t="n">
        <f aca="false">IFERROR((AVERAGE('SA Data'!Y19:Y21)/AVERAGE('SA Data'!Y7:Y9)-1)*100,"")</f>
        <v>7.77971901323964</v>
      </c>
    </row>
    <row r="22" customFormat="false" ht="15" hidden="false" customHeight="false" outlineLevel="0" collapsed="false">
      <c r="A22" s="20" t="n">
        <v>38472</v>
      </c>
      <c r="B22" s="30" t="n">
        <f aca="false">'SA Data'!B22</f>
        <v>107.96569</v>
      </c>
      <c r="C22" s="31" t="n">
        <f aca="false">IFERROR((B22/B21-1)*100,"")</f>
        <v>1.04357840881035</v>
      </c>
      <c r="D22" s="31" t="n">
        <f aca="false">IFERROR((AVERAGE(B20:B22)/AVERAGE(B17:B19)-1)*100,"")</f>
        <v>2.74300831639727</v>
      </c>
      <c r="E22" s="31" t="n">
        <f aca="false">IFERROR(((AVERAGE(B20:B22)/AVERAGE(B17:B19))^4-1)*100,"")</f>
        <v>11.431791016669</v>
      </c>
      <c r="F22" s="31" t="n">
        <f aca="false">IFERROR((B22/B10-1)*100,"")</f>
        <v>13.3655400781085</v>
      </c>
      <c r="G22" s="31" t="n">
        <f aca="false">IFERROR((AVERAGE(B19:B22)/AVERAGE(B7:B10)-1)*100,"")</f>
        <v>9.58310830134426</v>
      </c>
      <c r="H22" s="30" t="n">
        <f aca="false">'SA Data'!U22</f>
        <v>108.834751884598</v>
      </c>
      <c r="I22" s="31" t="n">
        <f aca="false">IFERROR((H22/H21-1)*100,"")</f>
        <v>0.140159751901736</v>
      </c>
      <c r="J22" s="31" t="n">
        <f aca="false">IFERROR((AVERAGE(H20:H22)/AVERAGE(H17:H19)-1)*100,"")</f>
        <v>3.22354686578312</v>
      </c>
      <c r="K22" s="31" t="n">
        <f aca="false">IFERROR(((AVERAGE(H20:H22)/AVERAGE(H17:H19))^4-1)*100,"")</f>
        <v>13.5311693832702</v>
      </c>
      <c r="L22" s="31" t="n">
        <f aca="false">IFERROR(('SA Data'!Y22/'SA Data'!Y10-1)*100,"")</f>
        <v>13.1734637090712</v>
      </c>
      <c r="M22" s="31" t="n">
        <f aca="false">IFERROR((AVERAGE('SA Data'!Y19:Y22)/AVERAGE('SA Data'!Y7:Y10)-1)*100,"")</f>
        <v>9.20535189465079</v>
      </c>
    </row>
    <row r="23" customFormat="false" ht="15" hidden="false" customHeight="false" outlineLevel="0" collapsed="false">
      <c r="A23" s="20" t="n">
        <v>38503</v>
      </c>
      <c r="B23" s="30" t="n">
        <f aca="false">'SA Data'!B23</f>
        <v>109.10032</v>
      </c>
      <c r="C23" s="31" t="n">
        <f aca="false">IFERROR((B23/B22-1)*100,"")</f>
        <v>1.05091719415678</v>
      </c>
      <c r="D23" s="31" t="n">
        <f aca="false">IFERROR((AVERAGE(B21:B23)/AVERAGE(B18:B20)-1)*100,"")</f>
        <v>2.90066497609882</v>
      </c>
      <c r="E23" s="31" t="n">
        <f aca="false">IFERROR(((AVERAGE(B21:B23)/AVERAGE(B18:B20))^4-1)*100,"")</f>
        <v>12.1173244480817</v>
      </c>
      <c r="F23" s="31" t="n">
        <f aca="false">IFERROR((B23/B11-1)*100,"")</f>
        <v>12.5310890718605</v>
      </c>
      <c r="G23" s="31" t="n">
        <f aca="false">IFERROR((AVERAGE(B19:B23)/AVERAGE(B7:B11)-1)*100,"")</f>
        <v>10.1708736585463</v>
      </c>
      <c r="H23" s="30" t="n">
        <f aca="false">'SA Data'!U23</f>
        <v>109.445737955263</v>
      </c>
      <c r="I23" s="31" t="n">
        <f aca="false">IFERROR((H23/H22-1)*100,"")</f>
        <v>0.561388766075011</v>
      </c>
      <c r="J23" s="31" t="n">
        <f aca="false">IFERROR((AVERAGE(H21:H23)/AVERAGE(H18:H20)-1)*100,"")</f>
        <v>3.01840615651563</v>
      </c>
      <c r="K23" s="31" t="n">
        <f aca="false">IFERROR(((AVERAGE(H21:H23)/AVERAGE(H18:H20))^4-1)*100,"")</f>
        <v>12.6313541844548</v>
      </c>
      <c r="L23" s="31" t="n">
        <f aca="false">IFERROR(('SA Data'!Y23/'SA Data'!Y11-1)*100,"")</f>
        <v>14.9872270243655</v>
      </c>
      <c r="M23" s="31" t="n">
        <f aca="false">IFERROR((AVERAGE('SA Data'!Y19:Y23)/AVERAGE('SA Data'!Y7:Y11)-1)*100,"")</f>
        <v>10.4770514834835</v>
      </c>
    </row>
    <row r="24" customFormat="false" ht="15" hidden="false" customHeight="false" outlineLevel="0" collapsed="false">
      <c r="A24" s="20" t="n">
        <v>38533</v>
      </c>
      <c r="B24" s="30" t="n">
        <f aca="false">'SA Data'!B24</f>
        <v>108.58363</v>
      </c>
      <c r="C24" s="31" t="n">
        <f aca="false">IFERROR((B24/B23-1)*100,"")</f>
        <v>-0.473591644827431</v>
      </c>
      <c r="D24" s="31" t="n">
        <f aca="false">IFERROR((AVERAGE(B22:B24)/AVERAGE(B19:B21)-1)*100,"")</f>
        <v>2.19414989389399</v>
      </c>
      <c r="E24" s="31" t="n">
        <f aca="false">IFERROR(((AVERAGE(B22:B24)/AVERAGE(B19:B21))^4-1)*100,"")</f>
        <v>9.06970569126717</v>
      </c>
      <c r="F24" s="31" t="n">
        <f aca="false">IFERROR((B24/B12-1)*100,"")</f>
        <v>10.0321370651809</v>
      </c>
      <c r="G24" s="31" t="n">
        <f aca="false">IFERROR((AVERAGE(B19:B24)/AVERAGE(B7:B12)-1)*100,"")</f>
        <v>10.1474681974874</v>
      </c>
      <c r="H24" s="30" t="n">
        <f aca="false">'SA Data'!U24</f>
        <v>110.100285856717</v>
      </c>
      <c r="I24" s="31" t="n">
        <f aca="false">IFERROR((H24/H23-1)*100,"")</f>
        <v>0.598057004030173</v>
      </c>
      <c r="J24" s="31" t="n">
        <f aca="false">IFERROR((AVERAGE(H22:H24)/AVERAGE(H19:H21)-1)*100,"")</f>
        <v>2.22814383312895</v>
      </c>
      <c r="K24" s="31" t="n">
        <f aca="false">IFERROR(((AVERAGE(H22:H24)/AVERAGE(H19:H21))^4-1)*100,"")</f>
        <v>9.21490223586177</v>
      </c>
      <c r="L24" s="31" t="n">
        <f aca="false">IFERROR(('SA Data'!Y24/'SA Data'!Y12-1)*100,"")</f>
        <v>11.8809520466814</v>
      </c>
      <c r="M24" s="31" t="n">
        <f aca="false">IFERROR((AVERAGE('SA Data'!Y19:Y24)/AVERAGE('SA Data'!Y7:Y12)-1)*100,"")</f>
        <v>10.7213920813788</v>
      </c>
    </row>
    <row r="25" customFormat="false" ht="15" hidden="false" customHeight="false" outlineLevel="0" collapsed="false">
      <c r="A25" s="20" t="n">
        <v>38564</v>
      </c>
      <c r="B25" s="30" t="n">
        <f aca="false">'SA Data'!B25</f>
        <v>109.13426</v>
      </c>
      <c r="C25" s="31" t="n">
        <f aca="false">IFERROR((B25/B24-1)*100,"")</f>
        <v>0.507102221577971</v>
      </c>
      <c r="D25" s="31" t="n">
        <f aca="false">IFERROR((AVERAGE(B23:B25)/AVERAGE(B20:B22)-1)*100,"")</f>
        <v>1.85259484634643</v>
      </c>
      <c r="E25" s="31" t="n">
        <f aca="false">IFERROR(((AVERAGE(B23:B25)/AVERAGE(B20:B22))^4-1)*100,"")</f>
        <v>7.61886094662001</v>
      </c>
      <c r="F25" s="31" t="n">
        <f aca="false">IFERROR((B25/B13-1)*100,"")</f>
        <v>8.22398803662397</v>
      </c>
      <c r="G25" s="31" t="n">
        <f aca="false">IFERROR((AVERAGE(B19:B25)/AVERAGE(B7:B13)-1)*100,"")</f>
        <v>9.86463294681859</v>
      </c>
      <c r="H25" s="30" t="n">
        <f aca="false">'SA Data'!U25</f>
        <v>108.36136084364</v>
      </c>
      <c r="I25" s="31" t="n">
        <f aca="false">IFERROR((H25/H24-1)*100,"")</f>
        <v>-1.57940099750562</v>
      </c>
      <c r="J25" s="31" t="n">
        <f aca="false">IFERROR((AVERAGE(H23:H25)/AVERAGE(H20:H22)-1)*100,"")</f>
        <v>1.15272721984099</v>
      </c>
      <c r="K25" s="31" t="n">
        <f aca="false">IFERROR(((AVERAGE(H23:H25)/AVERAGE(H20:H22))^4-1)*100,"")</f>
        <v>4.69125013599216</v>
      </c>
      <c r="L25" s="31" t="n">
        <f aca="false">IFERROR(('SA Data'!Y25/'SA Data'!Y13-1)*100,"")</f>
        <v>8.04224621629948</v>
      </c>
      <c r="M25" s="31" t="n">
        <f aca="false">IFERROR((AVERAGE('SA Data'!Y19:Y25)/AVERAGE('SA Data'!Y7:Y13)-1)*100,"")</f>
        <v>10.3376479160791</v>
      </c>
    </row>
    <row r="26" customFormat="false" ht="15" hidden="false" customHeight="false" outlineLevel="0" collapsed="false">
      <c r="A26" s="20" t="n">
        <v>38595</v>
      </c>
      <c r="B26" s="30" t="n">
        <f aca="false">'SA Data'!B26</f>
        <v>109.37691</v>
      </c>
      <c r="C26" s="31" t="n">
        <f aca="false">IFERROR((B26/B25-1)*100,"")</f>
        <v>0.222340812133592</v>
      </c>
      <c r="D26" s="31" t="n">
        <f aca="false">IFERROR((AVERAGE(B24:B26)/AVERAGE(B21:B23)-1)*100,"")</f>
        <v>0.981169136021176</v>
      </c>
      <c r="E26" s="31" t="n">
        <f aca="false">IFERROR(((AVERAGE(B24:B26)/AVERAGE(B21:B23))^4-1)*100,"")</f>
        <v>3.98281686908508</v>
      </c>
      <c r="F26" s="31" t="n">
        <f aca="false">IFERROR((B26/B14-1)*100,"")</f>
        <v>7.04578465220733</v>
      </c>
      <c r="G26" s="31" t="n">
        <f aca="false">IFERROR((AVERAGE(B19:B26)/AVERAGE(B7:B14)-1)*100,"")</f>
        <v>9.49910646190184</v>
      </c>
      <c r="H26" s="30" t="n">
        <f aca="false">'SA Data'!U26</f>
        <v>109.046787454607</v>
      </c>
      <c r="I26" s="31" t="n">
        <f aca="false">IFERROR((H26/H25-1)*100,"")</f>
        <v>0.632537839716485</v>
      </c>
      <c r="J26" s="31" t="n">
        <f aca="false">IFERROR((AVERAGE(H24:H26)/AVERAGE(H21:H23)-1)*100,"")</f>
        <v>0.166845052926656</v>
      </c>
      <c r="K26" s="31" t="n">
        <f aca="false">IFERROR(((AVERAGE(H24:H26)/AVERAGE(H21:H23))^4-1)*100,"")</f>
        <v>0.669052306587137</v>
      </c>
      <c r="L26" s="31" t="n">
        <f aca="false">IFERROR(('SA Data'!Y26/'SA Data'!Y14-1)*100,"")</f>
        <v>8.8615011882532</v>
      </c>
      <c r="M26" s="31" t="n">
        <f aca="false">IFERROR((AVERAGE('SA Data'!Y19:Y26)/AVERAGE('SA Data'!Y7:Y14)-1)*100,"")</f>
        <v>10.1570335398016</v>
      </c>
    </row>
    <row r="27" customFormat="false" ht="15" hidden="false" customHeight="false" outlineLevel="0" collapsed="false">
      <c r="A27" s="20" t="n">
        <v>38625</v>
      </c>
      <c r="B27" s="30" t="n">
        <f aca="false">'SA Data'!B27</f>
        <v>109.26148</v>
      </c>
      <c r="C27" s="31" t="n">
        <f aca="false">IFERROR((B27/B26-1)*100,"")</f>
        <v>-0.105534157072085</v>
      </c>
      <c r="D27" s="31" t="n">
        <f aca="false">IFERROR((AVERAGE(B25:B27)/AVERAGE(B22:B24)-1)*100,"")</f>
        <v>0.651930706878723</v>
      </c>
      <c r="E27" s="31" t="n">
        <f aca="false">IFERROR(((AVERAGE(B25:B27)/AVERAGE(B22:B24))^4-1)*100,"")</f>
        <v>2.6333346587246</v>
      </c>
      <c r="F27" s="31" t="n">
        <f aca="false">IFERROR((B27/B15-1)*100,"")</f>
        <v>6.75241396317512</v>
      </c>
      <c r="G27" s="31" t="n">
        <f aca="false">IFERROR((AVERAGE(B19:B27)/AVERAGE(B7:B15)-1)*100,"")</f>
        <v>9.18334888955532</v>
      </c>
      <c r="H27" s="30" t="n">
        <f aca="false">'SA Data'!U27</f>
        <v>109.014402433654</v>
      </c>
      <c r="I27" s="31" t="n">
        <f aca="false">IFERROR((H27/H26-1)*100,"")</f>
        <v>-0.0296982806270996</v>
      </c>
      <c r="J27" s="31" t="n">
        <f aca="false">IFERROR((AVERAGE(H25:H27)/AVERAGE(H22:H24)-1)*100,"")</f>
        <v>-0.596327528772855</v>
      </c>
      <c r="K27" s="31" t="n">
        <f aca="false">IFERROR(((AVERAGE(H25:H27)/AVERAGE(H22:H24))^4-1)*100,"")</f>
        <v>-2.36405842052437</v>
      </c>
      <c r="L27" s="31" t="n">
        <f aca="false">IFERROR(('SA Data'!Y27/'SA Data'!Y15-1)*100,"")</f>
        <v>8.01443714844972</v>
      </c>
      <c r="M27" s="31" t="n">
        <f aca="false">IFERROR((AVERAGE('SA Data'!Y19:Y27)/AVERAGE('SA Data'!Y7:Y15)-1)*100,"")</f>
        <v>9.9227903482402</v>
      </c>
    </row>
    <row r="28" customFormat="false" ht="15" hidden="false" customHeight="false" outlineLevel="0" collapsed="false">
      <c r="A28" s="20" t="n">
        <v>38656</v>
      </c>
      <c r="B28" s="30" t="n">
        <f aca="false">'SA Data'!B28</f>
        <v>109.94966</v>
      </c>
      <c r="C28" s="31" t="n">
        <f aca="false">IFERROR((B28/B27-1)*100,"")</f>
        <v>0.629846859112648</v>
      </c>
      <c r="D28" s="31" t="n">
        <f aca="false">IFERROR((AVERAGE(B26:B28)/AVERAGE(B23:B25)-1)*100,"")</f>
        <v>0.541536531884179</v>
      </c>
      <c r="E28" s="31" t="n">
        <f aca="false">IFERROR(((AVERAGE(B26:B28)/AVERAGE(B23:B25))^4-1)*100,"")</f>
        <v>2.18380544725569</v>
      </c>
      <c r="F28" s="31" t="n">
        <f aca="false">IFERROR((B28/B16-1)*100,"")</f>
        <v>6.61921684718776</v>
      </c>
      <c r="G28" s="31" t="n">
        <f aca="false">IFERROR((AVERAGE(B19:B28)/AVERAGE(B7:B16)-1)*100,"")</f>
        <v>8.91718080805628</v>
      </c>
      <c r="H28" s="30" t="n">
        <f aca="false">'SA Data'!U28</f>
        <v>109.341877842029</v>
      </c>
      <c r="I28" s="31" t="n">
        <f aca="false">IFERROR((H28/H27-1)*100,"")</f>
        <v>0.300396462361041</v>
      </c>
      <c r="J28" s="31" t="n">
        <f aca="false">IFERROR((AVERAGE(H26:H28)/AVERAGE(H23:H25)-1)*100,"")</f>
        <v>-0.153798587323373</v>
      </c>
      <c r="K28" s="31" t="n">
        <f aca="false">IFERROR(((AVERAGE(H26:H28)/AVERAGE(H23:H25))^4-1)*100,"")</f>
        <v>-0.613776563587265</v>
      </c>
      <c r="L28" s="31" t="n">
        <f aca="false">IFERROR(('SA Data'!Y28/'SA Data'!Y16-1)*100,"")</f>
        <v>7.9219529993475</v>
      </c>
      <c r="M28" s="31" t="n">
        <f aca="false">IFERROR((AVERAGE('SA Data'!Y19:Y28)/AVERAGE('SA Data'!Y7:Y16)-1)*100,"")</f>
        <v>9.72489201201694</v>
      </c>
    </row>
    <row r="29" customFormat="false" ht="15" hidden="false" customHeight="false" outlineLevel="0" collapsed="false">
      <c r="A29" s="20" t="n">
        <v>38686</v>
      </c>
      <c r="B29" s="30" t="n">
        <f aca="false">'SA Data'!B29</f>
        <v>111.16807</v>
      </c>
      <c r="C29" s="31" t="n">
        <f aca="false">IFERROR((B29/B28-1)*100,"")</f>
        <v>1.10815258546502</v>
      </c>
      <c r="D29" s="31" t="n">
        <f aca="false">IFERROR((AVERAGE(B27:B29)/AVERAGE(B24:B26)-1)*100,"")</f>
        <v>1.0041156264178</v>
      </c>
      <c r="E29" s="31" t="n">
        <f aca="false">IFERROR(((AVERAGE(B27:B29)/AVERAGE(B24:B26))^4-1)*100,"")</f>
        <v>4.07736337281424</v>
      </c>
      <c r="F29" s="31" t="n">
        <f aca="false">IFERROR((B29/B17-1)*100,"")</f>
        <v>7.32708063631187</v>
      </c>
      <c r="G29" s="31" t="n">
        <f aca="false">IFERROR((AVERAGE(B19:B29)/AVERAGE(B7:B17)-1)*100,"")</f>
        <v>8.76704644198161</v>
      </c>
      <c r="H29" s="30" t="n">
        <f aca="false">'SA Data'!U29</f>
        <v>112.335341097754</v>
      </c>
      <c r="I29" s="31" t="n">
        <f aca="false">IFERROR((H29/H28-1)*100,"")</f>
        <v>2.73770975476537</v>
      </c>
      <c r="J29" s="31" t="n">
        <f aca="false">IFERROR((AVERAGE(H27:H29)/AVERAGE(H24:H26)-1)*100,"")</f>
        <v>0.97194053236711</v>
      </c>
      <c r="K29" s="31" t="n">
        <f aca="false">IFERROR(((AVERAGE(H27:H29)/AVERAGE(H24:H26))^4-1)*100,"")</f>
        <v>3.94481039037675</v>
      </c>
      <c r="L29" s="31" t="n">
        <f aca="false">IFERROR(('SA Data'!Y29/'SA Data'!Y17-1)*100,"")</f>
        <v>9.01340298048135</v>
      </c>
      <c r="M29" s="31" t="n">
        <f aca="false">IFERROR((AVERAGE('SA Data'!Y19:Y29)/AVERAGE('SA Data'!Y7:Y17)-1)*100,"")</f>
        <v>9.65969789263943</v>
      </c>
    </row>
    <row r="30" customFormat="false" ht="15" hidden="false" customHeight="false" outlineLevel="0" collapsed="false">
      <c r="A30" s="20" t="n">
        <v>38717</v>
      </c>
      <c r="B30" s="30" t="n">
        <f aca="false">'SA Data'!B30</f>
        <v>113.02209</v>
      </c>
      <c r="C30" s="31" t="n">
        <f aca="false">IFERROR((B30/B29-1)*100,"")</f>
        <v>1.6677630546253</v>
      </c>
      <c r="D30" s="31" t="n">
        <f aca="false">IFERROR((AVERAGE(B28:B30)/AVERAGE(B25:B27)-1)*100,"")</f>
        <v>1.94255683016871</v>
      </c>
      <c r="E30" s="31" t="n">
        <f aca="false">IFERROR(((AVERAGE(B28:B30)/AVERAGE(B25:B27))^4-1)*100,"")</f>
        <v>7.99958529877618</v>
      </c>
      <c r="F30" s="31" t="n">
        <f aca="false">IFERROR((B30/B18-1)*100,"")</f>
        <v>9.75303014530404</v>
      </c>
      <c r="G30" s="31" t="n">
        <f aca="false">IFERROR((AVERAGE(B19:B30)/AVERAGE(B7:B18)-1)*100,"")</f>
        <v>8.85165909290284</v>
      </c>
      <c r="H30" s="30" t="n">
        <f aca="false">'SA Data'!U30</f>
        <v>115.129152735569</v>
      </c>
      <c r="I30" s="31" t="n">
        <f aca="false">IFERROR((H30/H29-1)*100,"")</f>
        <v>2.48702822327618</v>
      </c>
      <c r="J30" s="31" t="n">
        <f aca="false">IFERROR((AVERAGE(H28:H30)/AVERAGE(H25:H27)-1)*100,"")</f>
        <v>3.18109791133232</v>
      </c>
      <c r="K30" s="31" t="n">
        <f aca="false">IFERROR(((AVERAGE(H28:H30)/AVERAGE(H25:H27))^4-1)*100,"")</f>
        <v>13.3445333829718</v>
      </c>
      <c r="L30" s="31" t="n">
        <f aca="false">IFERROR(('SA Data'!Y30/'SA Data'!Y18-1)*100,"")</f>
        <v>9.25190230620205</v>
      </c>
      <c r="M30" s="31" t="n">
        <f aca="false">IFERROR((AVERAGE('SA Data'!Y19:Y30)/AVERAGE('SA Data'!Y7:Y18)-1)*100,"")</f>
        <v>9.62503177957861</v>
      </c>
    </row>
    <row r="31" customFormat="false" ht="15" hidden="false" customHeight="false" outlineLevel="0" collapsed="false">
      <c r="A31" s="20" t="n">
        <v>38748</v>
      </c>
      <c r="B31" s="30" t="n">
        <f aca="false">'SA Data'!B31</f>
        <v>113.8318</v>
      </c>
      <c r="C31" s="31" t="n">
        <f aca="false">IFERROR((B31/B30-1)*100,"")</f>
        <v>0.716417472018072</v>
      </c>
      <c r="D31" s="31" t="n">
        <f aca="false">IFERROR((AVERAGE(B29:B31)/AVERAGE(B26:B28)-1)*100,"")</f>
        <v>2.87104476258342</v>
      </c>
      <c r="E31" s="31" t="n">
        <f aca="false">IFERROR(((AVERAGE(B29:B31)/AVERAGE(B26:B28))^4-1)*100,"")</f>
        <v>11.9882871691126</v>
      </c>
      <c r="F31" s="31" t="n">
        <f aca="false">IFERROR((B31/B19-1)*100,"")</f>
        <v>7.64258800349278</v>
      </c>
      <c r="G31" s="31" t="n">
        <f aca="false">IFERROR((AVERAGE(B31:B31)/AVERAGE(B19:B19)-1)*100,"")</f>
        <v>7.64258800349278</v>
      </c>
      <c r="H31" s="30" t="n">
        <f aca="false">'SA Data'!U31</f>
        <v>115.570517715687</v>
      </c>
      <c r="I31" s="31" t="n">
        <f aca="false">IFERROR((H31/H30-1)*100,"")</f>
        <v>0.383365090101595</v>
      </c>
      <c r="J31" s="31" t="n">
        <f aca="false">IFERROR((AVERAGE(H29:H31)/AVERAGE(H26:H28)-1)*100,"")</f>
        <v>4.77452576333086</v>
      </c>
      <c r="K31" s="31" t="n">
        <f aca="false">IFERROR(((AVERAGE(H29:H31)/AVERAGE(H26:H28))^4-1)*100,"")</f>
        <v>20.5099247107787</v>
      </c>
      <c r="L31" s="31" t="n">
        <f aca="false">IFERROR(('SA Data'!Y31/'SA Data'!Y19-1)*100,"")</f>
        <v>8.70036061995212</v>
      </c>
      <c r="M31" s="31" t="n">
        <f aca="false">IFERROR((AVERAGE('SA Data'!Y31:Y31)/AVERAGE('SA Data'!Y19:Y19)-1)*100,"")</f>
        <v>8.70036061995212</v>
      </c>
    </row>
    <row r="32" customFormat="false" ht="15" hidden="false" customHeight="false" outlineLevel="0" collapsed="false">
      <c r="A32" s="20" t="n">
        <v>38776</v>
      </c>
      <c r="B32" s="30" t="n">
        <f aca="false">'SA Data'!B32</f>
        <v>114.74988</v>
      </c>
      <c r="C32" s="31" t="n">
        <f aca="false">IFERROR((B32/B31-1)*100,"")</f>
        <v>0.806523308952345</v>
      </c>
      <c r="D32" s="31" t="n">
        <f aca="false">IFERROR((AVERAGE(B30:B32)/AVERAGE(B27:B29)-1)*100,"")</f>
        <v>3.39747770448389</v>
      </c>
      <c r="E32" s="31" t="n">
        <f aca="false">IFERROR(((AVERAGE(B30:B32)/AVERAGE(B27:B29))^4-1)*100,"")</f>
        <v>14.2983019772463</v>
      </c>
      <c r="F32" s="31" t="n">
        <f aca="false">IFERROR((B32/B20-1)*100,"")</f>
        <v>8.19600440931001</v>
      </c>
      <c r="G32" s="31" t="n">
        <f aca="false">IFERROR((AVERAGE(B31:B32)/AVERAGE(B19:B20)-1)*100,"")</f>
        <v>7.91969809901165</v>
      </c>
      <c r="H32" s="30" t="n">
        <f aca="false">'SA Data'!U32</f>
        <v>115.422544060167</v>
      </c>
      <c r="I32" s="31" t="n">
        <f aca="false">IFERROR((H32/H31-1)*100,"")</f>
        <v>-0.128037546637316</v>
      </c>
      <c r="J32" s="31" t="n">
        <f aca="false">IFERROR((AVERAGE(H30:H32)/AVERAGE(H27:H29)-1)*100,"")</f>
        <v>4.66615787660372</v>
      </c>
      <c r="K32" s="31" t="n">
        <f aca="false">IFERROR(((AVERAGE(H30:H32)/AVERAGE(H27:H29))^4-1)*100,"")</f>
        <v>20.0121258879056</v>
      </c>
      <c r="L32" s="31" t="n">
        <f aca="false">IFERROR(('SA Data'!Y32/'SA Data'!Y20-1)*100,"")</f>
        <v>8.1433357067727</v>
      </c>
      <c r="M32" s="31" t="n">
        <f aca="false">IFERROR((AVERAGE('SA Data'!Y31:Y32)/AVERAGE('SA Data'!Y19:Y20)-1)*100,"")</f>
        <v>8.42322620372173</v>
      </c>
    </row>
    <row r="33" customFormat="false" ht="15" hidden="false" customHeight="false" outlineLevel="0" collapsed="false">
      <c r="A33" s="20" t="n">
        <v>38807</v>
      </c>
      <c r="B33" s="30" t="n">
        <f aca="false">'SA Data'!B33</f>
        <v>114.30687</v>
      </c>
      <c r="C33" s="31" t="n">
        <f aca="false">IFERROR((B33/B32-1)*100,"")</f>
        <v>-0.386065763206023</v>
      </c>
      <c r="D33" s="31" t="n">
        <f aca="false">IFERROR((AVERAGE(B31:B33)/AVERAGE(B28:B30)-1)*100,"")</f>
        <v>2.61828416619128</v>
      </c>
      <c r="E33" s="31" t="n">
        <f aca="false">IFERROR(((AVERAGE(B31:B33)/AVERAGE(B28:B30))^4-1)*100,"")</f>
        <v>10.8916881465848</v>
      </c>
      <c r="F33" s="31" t="n">
        <f aca="false">IFERROR((B33/B21-1)*100,"")</f>
        <v>6.97820003290575</v>
      </c>
      <c r="G33" s="31" t="n">
        <f aca="false">IFERROR((AVERAGE(B31:B33)/AVERAGE(B19:B21)-1)*100,"")</f>
        <v>7.60400004004294</v>
      </c>
      <c r="H33" s="30" t="n">
        <f aca="false">'SA Data'!U33</f>
        <v>116.587339320327</v>
      </c>
      <c r="I33" s="31" t="n">
        <f aca="false">IFERROR((H33/H32-1)*100,"")</f>
        <v>1.00915750007407</v>
      </c>
      <c r="J33" s="31" t="n">
        <f aca="false">IFERROR((AVERAGE(H31:H33)/AVERAGE(H28:H30)-1)*100,"")</f>
        <v>3.19887933450802</v>
      </c>
      <c r="K33" s="31" t="n">
        <f aca="false">IFERROR(((AVERAGE(H31:H33)/AVERAGE(H28:H30))^4-1)*100,"")</f>
        <v>13.4226852227104</v>
      </c>
      <c r="L33" s="31" t="n">
        <f aca="false">IFERROR(('SA Data'!Y33/'SA Data'!Y21-1)*100,"")</f>
        <v>7.08014183611241</v>
      </c>
      <c r="M33" s="31" t="n">
        <f aca="false">IFERROR((AVERAGE('SA Data'!Y31:Y33)/AVERAGE('SA Data'!Y19:Y21)-1)*100,"")</f>
        <v>7.93768817124876</v>
      </c>
    </row>
    <row r="34" customFormat="false" ht="15" hidden="false" customHeight="false" outlineLevel="0" collapsed="false">
      <c r="A34" s="20" t="n">
        <v>38837</v>
      </c>
      <c r="B34" s="30" t="n">
        <f aca="false">'SA Data'!B34</f>
        <v>115.84398</v>
      </c>
      <c r="C34" s="31" t="n">
        <f aca="false">IFERROR((B34/B33-1)*100,"")</f>
        <v>1.3447223250886</v>
      </c>
      <c r="D34" s="31" t="n">
        <f aca="false">IFERROR((AVERAGE(B32:B34)/AVERAGE(B29:B31)-1)*100,"")</f>
        <v>2.03500683801725</v>
      </c>
      <c r="E34" s="31" t="n">
        <f aca="false">IFERROR(((AVERAGE(B32:B34)/AVERAGE(B29:B31))^4-1)*100,"")</f>
        <v>8.39189066302206</v>
      </c>
      <c r="F34" s="31" t="n">
        <f aca="false">IFERROR((B34/B22-1)*100,"")</f>
        <v>7.29703112164615</v>
      </c>
      <c r="G34" s="31" t="n">
        <f aca="false">IFERROR((AVERAGE(B31:B34)/AVERAGE(B19:B22)-1)*100,"")</f>
        <v>7.52631535768658</v>
      </c>
      <c r="H34" s="30" t="n">
        <f aca="false">'SA Data'!U34</f>
        <v>115.262112653242</v>
      </c>
      <c r="I34" s="31" t="n">
        <f aca="false">IFERROR((H34/H33-1)*100,"")</f>
        <v>-1.13668145684648</v>
      </c>
      <c r="J34" s="31" t="n">
        <f aca="false">IFERROR((AVERAGE(H32:H34)/AVERAGE(H29:H31)-1)*100,"")</f>
        <v>1.23514636759512</v>
      </c>
      <c r="K34" s="31" t="n">
        <f aca="false">IFERROR(((AVERAGE(H32:H34)/AVERAGE(H29:H31))^4-1)*100,"")</f>
        <v>5.03287671983177</v>
      </c>
      <c r="L34" s="31" t="n">
        <f aca="false">IFERROR(('SA Data'!Y34/'SA Data'!Y22-1)*100,"")</f>
        <v>5.26394129288319</v>
      </c>
      <c r="M34" s="31" t="n">
        <f aca="false">IFERROR((AVERAGE('SA Data'!Y31:Y34)/AVERAGE('SA Data'!Y19:Y22)-1)*100,"")</f>
        <v>7.20530510657185</v>
      </c>
    </row>
    <row r="35" customFormat="false" ht="15" hidden="false" customHeight="false" outlineLevel="0" collapsed="false">
      <c r="A35" s="20" t="n">
        <v>38868</v>
      </c>
      <c r="B35" s="30" t="n">
        <f aca="false">'SA Data'!B35</f>
        <v>115.09969</v>
      </c>
      <c r="C35" s="31" t="n">
        <f aca="false">IFERROR((B35/B34-1)*100,"")</f>
        <v>-0.642493464053984</v>
      </c>
      <c r="D35" s="31" t="n">
        <f aca="false">IFERROR((AVERAGE(B33:B35)/AVERAGE(B30:B32)-1)*100,"")</f>
        <v>1.06754383887506</v>
      </c>
      <c r="E35" s="31" t="n">
        <f aca="false">IFERROR(((AVERAGE(B33:B35)/AVERAGE(B30:B32))^4-1)*100,"")</f>
        <v>4.33904229564668</v>
      </c>
      <c r="F35" s="31" t="n">
        <f aca="false">IFERROR((B35/B23-1)*100,"")</f>
        <v>5.49894812407517</v>
      </c>
      <c r="G35" s="31" t="n">
        <f aca="false">IFERROR((AVERAGE(B31:B35)/AVERAGE(B19:B23)-1)*100,"")</f>
        <v>7.11344139971226</v>
      </c>
      <c r="H35" s="30" t="n">
        <f aca="false">'SA Data'!U35</f>
        <v>116.878235847164</v>
      </c>
      <c r="I35" s="31" t="n">
        <f aca="false">IFERROR((H35/H34-1)*100,"")</f>
        <v>1.40212872792254</v>
      </c>
      <c r="J35" s="31" t="n">
        <f aca="false">IFERROR((AVERAGE(H33:H35)/AVERAGE(H30:H32)-1)*100,"")</f>
        <v>0.752761076889463</v>
      </c>
      <c r="K35" s="31" t="n">
        <f aca="false">IFERROR(((AVERAGE(H33:H35)/AVERAGE(H30:H32))^4-1)*100,"")</f>
        <v>3.04521420357851</v>
      </c>
      <c r="L35" s="31" t="n">
        <f aca="false">IFERROR(('SA Data'!Y35/'SA Data'!Y23-1)*100,"")</f>
        <v>5.64284503666128</v>
      </c>
      <c r="M35" s="31" t="n">
        <f aca="false">IFERROR((AVERAGE('SA Data'!Y31:Y35)/AVERAGE('SA Data'!Y19:Y23)-1)*100,"")</f>
        <v>6.84761883131428</v>
      </c>
    </row>
    <row r="36" customFormat="false" ht="15" hidden="false" customHeight="false" outlineLevel="0" collapsed="false">
      <c r="A36" s="20" t="n">
        <v>38898</v>
      </c>
      <c r="B36" s="30" t="n">
        <f aca="false">'SA Data'!B36</f>
        <v>116.25305</v>
      </c>
      <c r="C36" s="31" t="n">
        <f aca="false">IFERROR((B36/B35-1)*100,"")</f>
        <v>1.00205308980417</v>
      </c>
      <c r="D36" s="31" t="n">
        <f aca="false">IFERROR((AVERAGE(B34:B36)/AVERAGE(B31:B33)-1)*100,"")</f>
        <v>1.25643448869903</v>
      </c>
      <c r="E36" s="31" t="n">
        <f aca="false">IFERROR(((AVERAGE(B34:B36)/AVERAGE(B31:B33))^4-1)*100,"")</f>
        <v>5.12125148120168</v>
      </c>
      <c r="F36" s="31" t="n">
        <f aca="false">IFERROR((B36/B24-1)*100,"")</f>
        <v>7.06314570621742</v>
      </c>
      <c r="G36" s="31" t="n">
        <f aca="false">IFERROR((AVERAGE(B31:B36)/AVERAGE(B19:B24)-1)*100,"")</f>
        <v>7.10496518393509</v>
      </c>
      <c r="H36" s="30" t="n">
        <f aca="false">'SA Data'!U36</f>
        <v>117.63130593369</v>
      </c>
      <c r="I36" s="31" t="n">
        <f aca="false">IFERROR((H36/H35-1)*100,"")</f>
        <v>0.644320203045634</v>
      </c>
      <c r="J36" s="31" t="n">
        <f aca="false">IFERROR((AVERAGE(H34:H36)/AVERAGE(H31:H33)-1)*100,"")</f>
        <v>0.630430637344426</v>
      </c>
      <c r="K36" s="31" t="n">
        <f aca="false">IFERROR(((AVERAGE(H34:H36)/AVERAGE(H31:H33))^4-1)*100,"")</f>
        <v>2.54566949869282</v>
      </c>
      <c r="L36" s="31" t="n">
        <f aca="false">IFERROR(('SA Data'!Y36/'SA Data'!Y24-1)*100,"")</f>
        <v>6.51263071162369</v>
      </c>
      <c r="M36" s="31" t="n">
        <f aca="false">IFERROR((AVERAGE('SA Data'!Y31:Y36)/AVERAGE('SA Data'!Y19:Y24)-1)*100,"")</f>
        <v>6.78870553745137</v>
      </c>
    </row>
    <row r="37" customFormat="false" ht="15" hidden="false" customHeight="false" outlineLevel="0" collapsed="false">
      <c r="A37" s="20" t="n">
        <v>38929</v>
      </c>
      <c r="B37" s="30" t="n">
        <f aca="false">'SA Data'!B37</f>
        <v>118.14538</v>
      </c>
      <c r="C37" s="31" t="n">
        <f aca="false">IFERROR((B37/B36-1)*100,"")</f>
        <v>1.62776804565559</v>
      </c>
      <c r="D37" s="31" t="n">
        <f aca="false">IFERROR((AVERAGE(B35:B37)/AVERAGE(B32:B34)-1)*100,"")</f>
        <v>1.33296035644805</v>
      </c>
      <c r="E37" s="31" t="n">
        <f aca="false">IFERROR(((AVERAGE(B35:B37)/AVERAGE(B32:B34))^4-1)*100,"")</f>
        <v>5.43939893414958</v>
      </c>
      <c r="F37" s="31" t="n">
        <f aca="false">IFERROR((B37/B25-1)*100,"")</f>
        <v>8.25691217405058</v>
      </c>
      <c r="G37" s="31" t="n">
        <f aca="false">IFERROR((AVERAGE(B31:B37)/AVERAGE(B19:B25)-1)*100,"")</f>
        <v>7.2718219966877</v>
      </c>
      <c r="H37" s="30" t="n">
        <f aca="false">'SA Data'!U37</f>
        <v>118.189193754875</v>
      </c>
      <c r="I37" s="31" t="n">
        <f aca="false">IFERROR((H37/H36-1)*100,"")</f>
        <v>0.474268152306201</v>
      </c>
      <c r="J37" s="31" t="n">
        <f aca="false">IFERROR((AVERAGE(H35:H37)/AVERAGE(H32:H34)-1)*100,"")</f>
        <v>1.56267696905388</v>
      </c>
      <c r="K37" s="31" t="n">
        <f aca="false">IFERROR(((AVERAGE(H35:H37)/AVERAGE(H32:H34))^4-1)*100,"")</f>
        <v>6.39875779538646</v>
      </c>
      <c r="L37" s="31" t="n">
        <f aca="false">IFERROR(('SA Data'!Y37/'SA Data'!Y25-1)*100,"")</f>
        <v>8.99127990399269</v>
      </c>
      <c r="M37" s="31" t="n">
        <f aca="false">IFERROR((AVERAGE('SA Data'!Y31:Y37)/AVERAGE('SA Data'!Y19:Y25)-1)*100,"")</f>
        <v>7.09762544021415</v>
      </c>
    </row>
    <row r="38" customFormat="false" ht="15" hidden="false" customHeight="false" outlineLevel="0" collapsed="false">
      <c r="A38" s="20" t="n">
        <v>38960</v>
      </c>
      <c r="B38" s="30" t="n">
        <f aca="false">'SA Data'!B38</f>
        <v>118.75377</v>
      </c>
      <c r="C38" s="31" t="n">
        <f aca="false">IFERROR((B38/B37-1)*100,"")</f>
        <v>0.514950309525442</v>
      </c>
      <c r="D38" s="31" t="n">
        <f aca="false">IFERROR((AVERAGE(B36:B38)/AVERAGE(B33:B35)-1)*100,"")</f>
        <v>2.28867419005341</v>
      </c>
      <c r="E38" s="31" t="n">
        <f aca="false">IFERROR(((AVERAGE(B36:B38)/AVERAGE(B33:B35))^4-1)*100,"")</f>
        <v>9.47380122727368</v>
      </c>
      <c r="F38" s="31" t="n">
        <f aca="false">IFERROR((B38/B26-1)*100,"")</f>
        <v>8.57297943414201</v>
      </c>
      <c r="G38" s="31" t="n">
        <f aca="false">IFERROR((AVERAGE(B31:B38)/AVERAGE(B19:B26)-1)*100,"")</f>
        <v>7.43676579441459</v>
      </c>
      <c r="H38" s="30" t="n">
        <f aca="false">'SA Data'!U38</f>
        <v>119.663338476212</v>
      </c>
      <c r="I38" s="31" t="n">
        <f aca="false">IFERROR((H38/H37-1)*100,"")</f>
        <v>1.24727538491691</v>
      </c>
      <c r="J38" s="31" t="n">
        <f aca="false">IFERROR((AVERAGE(H36:H38)/AVERAGE(H33:H35)-1)*100,"")</f>
        <v>1.93737135880021</v>
      </c>
      <c r="K38" s="31" t="n">
        <f aca="false">IFERROR(((AVERAGE(H36:H38)/AVERAGE(H33:H35))^4-1)*100,"")</f>
        <v>7.9776126880786</v>
      </c>
      <c r="L38" s="31" t="n">
        <f aca="false">IFERROR(('SA Data'!Y38/'SA Data'!Y26-1)*100,"")</f>
        <v>9.4978367925022</v>
      </c>
      <c r="M38" s="31" t="n">
        <f aca="false">IFERROR((AVERAGE('SA Data'!Y31:Y38)/AVERAGE('SA Data'!Y19:Y26)-1)*100,"")</f>
        <v>7.38785013276093</v>
      </c>
    </row>
    <row r="39" customFormat="false" ht="15" hidden="false" customHeight="false" outlineLevel="0" collapsed="false">
      <c r="A39" s="20" t="n">
        <v>38990</v>
      </c>
      <c r="B39" s="30" t="n">
        <f aca="false">'SA Data'!B39</f>
        <v>119.80935</v>
      </c>
      <c r="C39" s="31" t="n">
        <f aca="false">IFERROR((B39/B38-1)*100,"")</f>
        <v>0.888881254043539</v>
      </c>
      <c r="D39" s="31" t="n">
        <f aca="false">IFERROR((AVERAGE(B37:B39)/AVERAGE(B34:B36)-1)*100,"")</f>
        <v>2.73959385330598</v>
      </c>
      <c r="E39" s="31" t="n">
        <f aca="false">IFERROR(((AVERAGE(B37:B39)/AVERAGE(B34:B36))^4-1)*100,"")</f>
        <v>11.4169788838524</v>
      </c>
      <c r="F39" s="31" t="n">
        <f aca="false">IFERROR((B39/B27-1)*100,"")</f>
        <v>9.6537864945633</v>
      </c>
      <c r="G39" s="31" t="n">
        <f aca="false">IFERROR((AVERAGE(B31:B39)/AVERAGE(B19:B27)-1)*100,"")</f>
        <v>7.68595818389863</v>
      </c>
      <c r="H39" s="30" t="n">
        <f aca="false">'SA Data'!U39</f>
        <v>119.237232397316</v>
      </c>
      <c r="I39" s="31" t="n">
        <f aca="false">IFERROR((H39/H38-1)*100,"")</f>
        <v>-0.356087406821404</v>
      </c>
      <c r="J39" s="31" t="n">
        <f aca="false">IFERROR((AVERAGE(H37:H39)/AVERAGE(H34:H36)-1)*100,"")</f>
        <v>2.09225364649626</v>
      </c>
      <c r="K39" s="31" t="n">
        <f aca="false">IFERROR(((AVERAGE(H37:H39)/AVERAGE(H34:H36))^4-1)*100,"")</f>
        <v>8.635348825316</v>
      </c>
      <c r="L39" s="31" t="n">
        <f aca="false">IFERROR(('SA Data'!Y39/'SA Data'!Y27-1)*100,"")</f>
        <v>8.97744485391256</v>
      </c>
      <c r="M39" s="31" t="n">
        <f aca="false">IFERROR((AVERAGE('SA Data'!Y31:Y39)/AVERAGE('SA Data'!Y19:Y27)-1)*100,"")</f>
        <v>7.55861836475571</v>
      </c>
    </row>
    <row r="40" customFormat="false" ht="15" hidden="false" customHeight="false" outlineLevel="0" collapsed="false">
      <c r="A40" s="20" t="n">
        <v>39021</v>
      </c>
      <c r="B40" s="30" t="n">
        <f aca="false">'SA Data'!B40</f>
        <v>120.53007</v>
      </c>
      <c r="C40" s="31" t="n">
        <f aca="false">IFERROR((B40/B39-1)*100,"")</f>
        <v>0.601555721652769</v>
      </c>
      <c r="D40" s="31" t="n">
        <f aca="false">IFERROR((AVERAGE(B38:B40)/AVERAGE(B35:B37)-1)*100,"")</f>
        <v>2.74538529706541</v>
      </c>
      <c r="E40" s="31" t="n">
        <f aca="false">IFERROR(((AVERAGE(B38:B40)/AVERAGE(B35:B37))^4-1)*100,"")</f>
        <v>11.4421033643147</v>
      </c>
      <c r="F40" s="31" t="n">
        <f aca="false">IFERROR((B40/B28-1)*100,"")</f>
        <v>9.62295836112637</v>
      </c>
      <c r="G40" s="31" t="n">
        <f aca="false">IFERROR((AVERAGE(B31:B40)/AVERAGE(B19:B28)-1)*100,"")</f>
        <v>7.88278503541344</v>
      </c>
      <c r="H40" s="30" t="n">
        <f aca="false">'SA Data'!U40</f>
        <v>119.83625084525</v>
      </c>
      <c r="I40" s="31" t="n">
        <f aca="false">IFERROR((H40/H39-1)*100,"")</f>
        <v>0.50237533687274</v>
      </c>
      <c r="J40" s="31" t="n">
        <f aca="false">IFERROR((AVERAGE(H38:H40)/AVERAGE(H35:H37)-1)*100,"")</f>
        <v>1.71196706273327</v>
      </c>
      <c r="K40" s="31" t="n">
        <f aca="false">IFERROR(((AVERAGE(H38:H40)/AVERAGE(H35:H37))^4-1)*100,"")</f>
        <v>7.02573370874644</v>
      </c>
      <c r="L40" s="31" t="n">
        <f aca="false">IFERROR(('SA Data'!Y40/'SA Data'!Y28-1)*100,"")</f>
        <v>9.51872168611525</v>
      </c>
      <c r="M40" s="31" t="n">
        <f aca="false">IFERROR((AVERAGE('SA Data'!Y31:Y40)/AVERAGE('SA Data'!Y19:Y28)-1)*100,"")</f>
        <v>7.74930223399479</v>
      </c>
    </row>
    <row r="41" customFormat="false" ht="15" hidden="false" customHeight="false" outlineLevel="0" collapsed="false">
      <c r="A41" s="20" t="n">
        <v>39051</v>
      </c>
      <c r="B41" s="30" t="n">
        <f aca="false">'SA Data'!B41</f>
        <v>120.65319</v>
      </c>
      <c r="C41" s="31" t="n">
        <f aca="false">IFERROR((B41/B40-1)*100,"")</f>
        <v>0.102148783287026</v>
      </c>
      <c r="D41" s="31" t="n">
        <f aca="false">IFERROR((AVERAGE(B39:B41)/AVERAGE(B36:B38)-1)*100,"")</f>
        <v>2.220122089003</v>
      </c>
      <c r="E41" s="31" t="n">
        <f aca="false">IFERROR(((AVERAGE(B39:B41)/AVERAGE(B36:B38))^4-1)*100,"")</f>
        <v>9.18062631717069</v>
      </c>
      <c r="F41" s="31" t="n">
        <f aca="false">IFERROR((B41/B29-1)*100,"")</f>
        <v>8.53223412082265</v>
      </c>
      <c r="G41" s="31" t="n">
        <f aca="false">IFERROR((AVERAGE(B31:B41)/AVERAGE(B19:B29)-1)*100,"")</f>
        <v>7.94329302459425</v>
      </c>
      <c r="H41" s="30" t="n">
        <f aca="false">'SA Data'!U41</f>
        <v>121.493895475561</v>
      </c>
      <c r="I41" s="31" t="n">
        <f aca="false">IFERROR((H41/H40-1)*100,"")</f>
        <v>1.38325808644617</v>
      </c>
      <c r="J41" s="31" t="n">
        <f aca="false">IFERROR((AVERAGE(H39:H41)/AVERAGE(H36:H38)-1)*100,"")</f>
        <v>1.43003422591392</v>
      </c>
      <c r="K41" s="31" t="n">
        <f aca="false">IFERROR(((AVERAGE(H39:H41)/AVERAGE(H36:H38))^4-1)*100,"")</f>
        <v>5.84401072569747</v>
      </c>
      <c r="L41" s="31" t="n">
        <f aca="false">IFERROR(('SA Data'!Y41/'SA Data'!Y29-1)*100,"")</f>
        <v>8.47662642009279</v>
      </c>
      <c r="M41" s="31" t="n">
        <f aca="false">IFERROR((AVERAGE('SA Data'!Y31:Y41)/AVERAGE('SA Data'!Y19:Y29)-1)*100,"")</f>
        <v>7.81555455470511</v>
      </c>
    </row>
    <row r="42" customFormat="false" ht="15" hidden="false" customHeight="false" outlineLevel="0" collapsed="false">
      <c r="A42" s="20" t="n">
        <v>39082</v>
      </c>
      <c r="B42" s="30" t="n">
        <f aca="false">'SA Data'!B42</f>
        <v>123.35638</v>
      </c>
      <c r="C42" s="31" t="n">
        <f aca="false">IFERROR((B42/B41-1)*100,"")</f>
        <v>2.24046293347073</v>
      </c>
      <c r="D42" s="31" t="n">
        <f aca="false">IFERROR((AVERAGE(B40:B42)/AVERAGE(B37:B39)-1)*100,"")</f>
        <v>2.19538923238443</v>
      </c>
      <c r="E42" s="31" t="n">
        <f aca="false">IFERROR(((AVERAGE(B40:B42)/AVERAGE(B37:B39))^4-1)*100,"")</f>
        <v>9.07499666901927</v>
      </c>
      <c r="F42" s="31" t="n">
        <f aca="false">IFERROR((B42/B30-1)*100,"")</f>
        <v>9.14360192772934</v>
      </c>
      <c r="G42" s="31" t="n">
        <f aca="false">IFERROR((AVERAGE(B31:B42)/AVERAGE(B19:B30)-1)*100,"")</f>
        <v>8.047151049419</v>
      </c>
      <c r="H42" s="30" t="n">
        <f aca="false">'SA Data'!U42</f>
        <v>123.20793705423</v>
      </c>
      <c r="I42" s="31" t="n">
        <f aca="false">IFERROR((H42/H41-1)*100,"")</f>
        <v>1.41080469266381</v>
      </c>
      <c r="J42" s="31" t="n">
        <f aca="false">IFERROR((AVERAGE(H40:H42)/AVERAGE(H37:H39)-1)*100,"")</f>
        <v>2.08583932793136</v>
      </c>
      <c r="K42" s="31" t="n">
        <f aca="false">IFERROR(((AVERAGE(H40:H42)/AVERAGE(H37:H39))^4-1)*100,"")</f>
        <v>8.60804974856595</v>
      </c>
      <c r="L42" s="31" t="n">
        <f aca="false">IFERROR(('SA Data'!Y42/'SA Data'!Y30-1)*100,"")</f>
        <v>7.25564936097445</v>
      </c>
      <c r="M42" s="31" t="n">
        <f aca="false">IFERROR((AVERAGE('SA Data'!Y31:Y42)/AVERAGE('SA Data'!Y19:Y30)-1)*100,"")</f>
        <v>7.7681198283559</v>
      </c>
    </row>
    <row r="43" customFormat="false" ht="15" hidden="false" customHeight="false" outlineLevel="0" collapsed="false">
      <c r="A43" s="20" t="n">
        <v>39113</v>
      </c>
      <c r="B43" s="30" t="n">
        <f aca="false">'SA Data'!B43</f>
        <v>122.08744</v>
      </c>
      <c r="C43" s="31" t="n">
        <f aca="false">IFERROR((B43/B42-1)*100,"")</f>
        <v>-1.02867804648612</v>
      </c>
      <c r="D43" s="31" t="n">
        <f aca="false">IFERROR((AVERAGE(B41:B43)/AVERAGE(B38:B40)-1)*100,"")</f>
        <v>1.95041849721518</v>
      </c>
      <c r="E43" s="31" t="n">
        <f aca="false">IFERROR(((AVERAGE(B41:B43)/AVERAGE(B38:B40))^4-1)*100,"")</f>
        <v>8.03290425915277</v>
      </c>
      <c r="F43" s="31" t="n">
        <f aca="false">IFERROR((B43/B31-1)*100,"")</f>
        <v>7.25249007746518</v>
      </c>
      <c r="G43" s="31" t="n">
        <f aca="false">IFERROR((AVERAGE(B43:B43)/AVERAGE(B31:B31)-1)*100,"")</f>
        <v>7.25249007746518</v>
      </c>
      <c r="H43" s="30" t="n">
        <f aca="false">'SA Data'!U43</f>
        <v>124.46954200871</v>
      </c>
      <c r="I43" s="31" t="n">
        <f aca="false">IFERROR((H43/H42-1)*100,"")</f>
        <v>1.02396402751659</v>
      </c>
      <c r="J43" s="31" t="n">
        <f aca="false">IFERROR((AVERAGE(H41:H43)/AVERAGE(H38:H40)-1)*100,"")</f>
        <v>2.90869299943322</v>
      </c>
      <c r="K43" s="31" t="n">
        <f aca="false">IFERROR(((AVERAGE(H41:H43)/AVERAGE(H38:H40))^4-1)*100,"")</f>
        <v>12.1523168685955</v>
      </c>
      <c r="L43" s="31" t="n">
        <f aca="false">IFERROR(('SA Data'!Y43/'SA Data'!Y31-1)*100,"")</f>
        <v>8.04021986049897</v>
      </c>
      <c r="M43" s="31" t="n">
        <f aca="false">IFERROR((AVERAGE('SA Data'!Y43:Y43)/AVERAGE('SA Data'!Y31:Y31)-1)*100,"")</f>
        <v>8.04021986049897</v>
      </c>
    </row>
    <row r="44" customFormat="false" ht="15" hidden="false" customHeight="false" outlineLevel="0" collapsed="false">
      <c r="A44" s="20" t="n">
        <v>39141</v>
      </c>
      <c r="B44" s="30" t="n">
        <f aca="false">'SA Data'!B44</f>
        <v>124.63366</v>
      </c>
      <c r="C44" s="31" t="n">
        <f aca="false">IFERROR((B44/B43-1)*100,"")</f>
        <v>2.08557080073102</v>
      </c>
      <c r="D44" s="31" t="n">
        <f aca="false">IFERROR((AVERAGE(B42:B44)/AVERAGE(B39:B41)-1)*100,"")</f>
        <v>2.5166360053742</v>
      </c>
      <c r="E44" s="31" t="n">
        <f aca="false">IFERROR(((AVERAGE(B42:B44)/AVERAGE(B39:B41))^4-1)*100,"")</f>
        <v>10.4529671433363</v>
      </c>
      <c r="F44" s="31" t="n">
        <f aca="false">IFERROR((B44/B32-1)*100,"")</f>
        <v>8.61332491153803</v>
      </c>
      <c r="G44" s="31" t="n">
        <f aca="false">IFERROR((AVERAGE(B43:B44)/AVERAGE(B31:B32)-1)*100,"")</f>
        <v>7.93564033653091</v>
      </c>
      <c r="H44" s="30" t="n">
        <f aca="false">'SA Data'!U44</f>
        <v>124.911093756181</v>
      </c>
      <c r="I44" s="31" t="n">
        <f aca="false">IFERROR((H44/H43-1)*100,"")</f>
        <v>0.354746824279006</v>
      </c>
      <c r="J44" s="31" t="n">
        <f aca="false">IFERROR((AVERAGE(H42:H44)/AVERAGE(H39:H41)-1)*100,"")</f>
        <v>3.33396607971921</v>
      </c>
      <c r="K44" s="31" t="n">
        <f aca="false">IFERROR(((AVERAGE(H42:H44)/AVERAGE(H39:H41))^4-1)*100,"")</f>
        <v>14.0177309117118</v>
      </c>
      <c r="L44" s="31" t="n">
        <f aca="false">IFERROR(('SA Data'!Y44/'SA Data'!Y32-1)*100,"")</f>
        <v>8.27488071334379</v>
      </c>
      <c r="M44" s="31" t="n">
        <f aca="false">IFERROR((AVERAGE('SA Data'!Y43:Y44)/AVERAGE('SA Data'!Y31:Y32)-1)*100,"")</f>
        <v>8.15666836704456</v>
      </c>
    </row>
    <row r="45" customFormat="false" ht="15" hidden="false" customHeight="false" outlineLevel="0" collapsed="false">
      <c r="A45" s="20" t="n">
        <v>39172</v>
      </c>
      <c r="B45" s="30" t="n">
        <f aca="false">'SA Data'!B45</f>
        <v>126.43758</v>
      </c>
      <c r="C45" s="31" t="n">
        <f aca="false">IFERROR((B45/B44-1)*100,"")</f>
        <v>1.44737785923963</v>
      </c>
      <c r="D45" s="31" t="n">
        <f aca="false">IFERROR((AVERAGE(B43:B45)/AVERAGE(B40:B42)-1)*100,"")</f>
        <v>2.36436289891548</v>
      </c>
      <c r="E45" s="31" t="n">
        <f aca="false">IFERROR(((AVERAGE(B43:B45)/AVERAGE(B40:B42))^4-1)*100,"")</f>
        <v>9.79818247705948</v>
      </c>
      <c r="F45" s="31" t="n">
        <f aca="false">IFERROR((B45/B33-1)*100,"")</f>
        <v>10.6124067608535</v>
      </c>
      <c r="G45" s="31" t="n">
        <f aca="false">IFERROR((AVERAGE(B43:B45)/AVERAGE(B31:B33)-1)*100,"")</f>
        <v>8.82797923698533</v>
      </c>
      <c r="H45" s="30" t="n">
        <f aca="false">'SA Data'!U45</f>
        <v>126.741563264495</v>
      </c>
      <c r="I45" s="31" t="n">
        <f aca="false">IFERROR((H45/H44-1)*100,"")</f>
        <v>1.46541788504917</v>
      </c>
      <c r="J45" s="31" t="n">
        <f aca="false">IFERROR((AVERAGE(H43:H45)/AVERAGE(H40:H42)-1)*100,"")</f>
        <v>3.17775184065694</v>
      </c>
      <c r="K45" s="31" t="n">
        <f aca="false">IFERROR(((AVERAGE(H43:H45)/AVERAGE(H40:H42))^4-1)*100,"")</f>
        <v>13.3298314509743</v>
      </c>
      <c r="L45" s="31" t="n">
        <f aca="false">IFERROR(('SA Data'!Y45/'SA Data'!Y33-1)*100,"")</f>
        <v>8.6552600535436</v>
      </c>
      <c r="M45" s="31" t="n">
        <f aca="false">IFERROR((AVERAGE('SA Data'!Y43:Y45)/AVERAGE('SA Data'!Y31:Y33)-1)*100,"")</f>
        <v>8.33548207886221</v>
      </c>
    </row>
    <row r="46" customFormat="false" ht="15" hidden="false" customHeight="false" outlineLevel="0" collapsed="false">
      <c r="A46" s="20" t="n">
        <v>39202</v>
      </c>
      <c r="B46" s="30" t="n">
        <f aca="false">'SA Data'!B46</f>
        <v>125.43197</v>
      </c>
      <c r="C46" s="31" t="n">
        <f aca="false">IFERROR((B46/B45-1)*100,"")</f>
        <v>-0.795341068691757</v>
      </c>
      <c r="D46" s="31" t="n">
        <f aca="false">IFERROR((AVERAGE(B44:B46)/AVERAGE(B41:B43)-1)*100,"")</f>
        <v>2.84247063367167</v>
      </c>
      <c r="E46" s="31" t="n">
        <f aca="false">IFERROR(((AVERAGE(B44:B46)/AVERAGE(B41:B43))^4-1)*100,"")</f>
        <v>11.8639126284352</v>
      </c>
      <c r="F46" s="31" t="n">
        <f aca="false">IFERROR((B46/B34-1)*100,"")</f>
        <v>8.27664070243444</v>
      </c>
      <c r="G46" s="31" t="n">
        <f aca="false">IFERROR((AVERAGE(B43:B46)/AVERAGE(B31:B34)-1)*100,"")</f>
        <v>8.68874941133997</v>
      </c>
      <c r="H46" s="30" t="n">
        <f aca="false">'SA Data'!U46</f>
        <v>125.932939574132</v>
      </c>
      <c r="I46" s="31" t="n">
        <f aca="false">IFERROR((H46/H45-1)*100,"")</f>
        <v>-0.638009875793622</v>
      </c>
      <c r="J46" s="31" t="n">
        <f aca="false">IFERROR((AVERAGE(H44:H46)/AVERAGE(H41:H43)-1)*100,"")</f>
        <v>2.27921844341943</v>
      </c>
      <c r="K46" s="31" t="n">
        <f aca="false">IFERROR(((AVERAGE(H44:H46)/AVERAGE(H41:H43))^4-1)*100,"")</f>
        <v>9.43332702983415</v>
      </c>
      <c r="L46" s="31" t="n">
        <f aca="false">IFERROR(('SA Data'!Y46/'SA Data'!Y34-1)*100,"")</f>
        <v>9.4775166652415</v>
      </c>
      <c r="M46" s="31" t="n">
        <f aca="false">IFERROR((AVERAGE('SA Data'!Y43:Y46)/AVERAGE('SA Data'!Y31:Y34)-1)*100,"")</f>
        <v>8.64263921459996</v>
      </c>
    </row>
    <row r="47" customFormat="false" ht="15" hidden="false" customHeight="false" outlineLevel="0" collapsed="false">
      <c r="A47" s="20" t="n">
        <v>39233</v>
      </c>
      <c r="B47" s="30" t="n">
        <f aca="false">'SA Data'!B47</f>
        <v>127.21823</v>
      </c>
      <c r="C47" s="31" t="n">
        <f aca="false">IFERROR((B47/B46-1)*100,"")</f>
        <v>1.42408669815199</v>
      </c>
      <c r="D47" s="31" t="n">
        <f aca="false">IFERROR((AVERAGE(B45:B47)/AVERAGE(B42:B44)-1)*100,"")</f>
        <v>2.4347063755406</v>
      </c>
      <c r="E47" s="31" t="n">
        <f aca="false">IFERROR(((AVERAGE(B45:B47)/AVERAGE(B42:B44))^4-1)*100,"")</f>
        <v>10.1003013252668</v>
      </c>
      <c r="F47" s="31" t="n">
        <f aca="false">IFERROR((B47/B35-1)*100,"")</f>
        <v>10.5287338306472</v>
      </c>
      <c r="G47" s="31" t="n">
        <f aca="false">IFERROR((AVERAGE(B43:B47)/AVERAGE(B31:B35)-1)*100,"")</f>
        <v>9.05781484350947</v>
      </c>
      <c r="H47" s="30" t="n">
        <f aca="false">'SA Data'!U47</f>
        <v>128.007501326767</v>
      </c>
      <c r="I47" s="31" t="n">
        <f aca="false">IFERROR((H47/H46-1)*100,"")</f>
        <v>1.64735434561494</v>
      </c>
      <c r="J47" s="31" t="n">
        <f aca="false">IFERROR((AVERAGE(H45:H47)/AVERAGE(H42:H44)-1)*100,"")</f>
        <v>2.17221673897154</v>
      </c>
      <c r="K47" s="31" t="n">
        <f aca="false">IFERROR(((AVERAGE(H45:H47)/AVERAGE(H42:H44))^4-1)*100,"")</f>
        <v>8.97610061811653</v>
      </c>
      <c r="L47" s="31" t="n">
        <f aca="false">IFERROR(('SA Data'!Y47/'SA Data'!Y35-1)*100,"")</f>
        <v>10.4439795380253</v>
      </c>
      <c r="M47" s="31" t="n">
        <f aca="false">IFERROR((AVERAGE('SA Data'!Y43:Y47)/AVERAGE('SA Data'!Y31:Y35)-1)*100,"")</f>
        <v>9.05036141581719</v>
      </c>
    </row>
    <row r="48" customFormat="false" ht="15" hidden="false" customHeight="false" outlineLevel="0" collapsed="false">
      <c r="A48" s="20" t="n">
        <v>39263</v>
      </c>
      <c r="B48" s="30" t="n">
        <f aca="false">'SA Data'!B48</f>
        <v>128.4754</v>
      </c>
      <c r="C48" s="31" t="n">
        <f aca="false">IFERROR((B48/B47-1)*100,"")</f>
        <v>0.988199568568127</v>
      </c>
      <c r="D48" s="31" t="n">
        <f aca="false">IFERROR((AVERAGE(B46:B48)/AVERAGE(B43:B45)-1)*100,"")</f>
        <v>2.13499522508762</v>
      </c>
      <c r="E48" s="31" t="n">
        <f aca="false">IFERROR(((AVERAGE(B46:B48)/AVERAGE(B43:B45))^4-1)*100,"")</f>
        <v>8.81738665228049</v>
      </c>
      <c r="F48" s="31" t="n">
        <f aca="false">IFERROR((B48/B36-1)*100,"")</f>
        <v>10.5135736223695</v>
      </c>
      <c r="G48" s="31" t="n">
        <f aca="false">IFERROR((AVERAGE(B43:B48)/AVERAGE(B31:B36)-1)*100,"")</f>
        <v>9.30305467902539</v>
      </c>
      <c r="H48" s="30" t="n">
        <f aca="false">'SA Data'!U48</f>
        <v>127.964779743513</v>
      </c>
      <c r="I48" s="31" t="n">
        <f aca="false">IFERROR((H48/H47-1)*100,"")</f>
        <v>-0.033374281046783</v>
      </c>
      <c r="J48" s="31" t="n">
        <f aca="false">IFERROR((AVERAGE(H46:H48)/AVERAGE(H43:H45)-1)*100,"")</f>
        <v>1.53753796770031</v>
      </c>
      <c r="K48" s="31" t="n">
        <f aca="false">IFERROR(((AVERAGE(H46:H48)/AVERAGE(H43:H45))^4-1)*100,"")</f>
        <v>6.29345274958211</v>
      </c>
      <c r="L48" s="31" t="n">
        <f aca="false">IFERROR(('SA Data'!Y48/'SA Data'!Y36-1)*100,"")</f>
        <v>9.31286958659476</v>
      </c>
      <c r="M48" s="31" t="n">
        <f aca="false">IFERROR((AVERAGE('SA Data'!Y43:Y48)/AVERAGE('SA Data'!Y31:Y36)-1)*100,"")</f>
        <v>9.09640854028193</v>
      </c>
    </row>
    <row r="49" customFormat="false" ht="15" hidden="false" customHeight="false" outlineLevel="0" collapsed="false">
      <c r="A49" s="20" t="n">
        <v>39294</v>
      </c>
      <c r="B49" s="30" t="n">
        <f aca="false">'SA Data'!B49</f>
        <v>127.73554</v>
      </c>
      <c r="C49" s="31" t="n">
        <f aca="false">IFERROR((B49/B48-1)*100,"")</f>
        <v>-0.575876782636997</v>
      </c>
      <c r="D49" s="31" t="n">
        <f aca="false">IFERROR((AVERAGE(B47:B49)/AVERAGE(B44:B46)-1)*100,"")</f>
        <v>1.83954872522867</v>
      </c>
      <c r="E49" s="31" t="n">
        <f aca="false">IFERROR(((AVERAGE(B47:B49)/AVERAGE(B44:B46))^4-1)*100,"")</f>
        <v>7.56373269135731</v>
      </c>
      <c r="F49" s="31" t="n">
        <f aca="false">IFERROR((B49/B37-1)*100,"")</f>
        <v>8.11725350580783</v>
      </c>
      <c r="G49" s="31" t="n">
        <f aca="false">IFERROR((AVERAGE(B43:B49)/AVERAGE(B31:B37)-1)*100,"")</f>
        <v>9.1297168698069</v>
      </c>
      <c r="H49" s="30" t="n">
        <f aca="false">'SA Data'!U49</f>
        <v>127.209547720082</v>
      </c>
      <c r="I49" s="31" t="n">
        <f aca="false">IFERROR((H49/H48-1)*100,"")</f>
        <v>-0.590187413243415</v>
      </c>
      <c r="J49" s="31" t="n">
        <f aca="false">IFERROR((AVERAGE(H47:H49)/AVERAGE(H44:H46)-1)*100,"")</f>
        <v>1.4821095523833</v>
      </c>
      <c r="K49" s="31" t="n">
        <f aca="false">IFERROR(((AVERAGE(H47:H49)/AVERAGE(H44:H46))^4-1)*100,"")</f>
        <v>6.06154422793837</v>
      </c>
      <c r="L49" s="31" t="n">
        <f aca="false">IFERROR(('SA Data'!Y49/'SA Data'!Y37-1)*100,"")</f>
        <v>7.49953152128164</v>
      </c>
      <c r="M49" s="31" t="n">
        <f aca="false">IFERROR((AVERAGE('SA Data'!Y43:Y49)/AVERAGE('SA Data'!Y31:Y37)-1)*100,"")</f>
        <v>8.86848000975951</v>
      </c>
    </row>
    <row r="50" customFormat="false" ht="15" hidden="false" customHeight="false" outlineLevel="0" collapsed="false">
      <c r="A50" s="20" t="n">
        <v>39325</v>
      </c>
      <c r="B50" s="30" t="n">
        <f aca="false">'SA Data'!B50</f>
        <v>128.75588</v>
      </c>
      <c r="C50" s="31" t="n">
        <f aca="false">IFERROR((B50/B49-1)*100,"")</f>
        <v>0.798791002096988</v>
      </c>
      <c r="D50" s="31" t="n">
        <f aca="false">IFERROR((AVERAGE(B48:B50)/AVERAGE(B45:B47)-1)*100,"")</f>
        <v>1.55083870020816</v>
      </c>
      <c r="E50" s="31" t="n">
        <f aca="false">IFERROR(((AVERAGE(B48:B50)/AVERAGE(B45:B47))^4-1)*100,"")</f>
        <v>6.34915859506697</v>
      </c>
      <c r="F50" s="31" t="n">
        <f aca="false">IFERROR((B50/B38-1)*100,"")</f>
        <v>8.4225620795028</v>
      </c>
      <c r="G50" s="31" t="n">
        <f aca="false">IFERROR((AVERAGE(B43:B50)/AVERAGE(B31:B38)-1)*100,"")</f>
        <v>9.03912495098893</v>
      </c>
      <c r="H50" s="30" t="n">
        <f aca="false">'SA Data'!U50</f>
        <v>128.667223019161</v>
      </c>
      <c r="I50" s="31" t="n">
        <f aca="false">IFERROR((H50/H49-1)*100,"")</f>
        <v>1.14588513614298</v>
      </c>
      <c r="J50" s="31" t="n">
        <f aca="false">IFERROR((AVERAGE(H48:H50)/AVERAGE(H45:H47)-1)*100,"")</f>
        <v>0.82996997041942</v>
      </c>
      <c r="K50" s="31" t="n">
        <f aca="false">IFERROR(((AVERAGE(H48:H50)/AVERAGE(H45:H47))^4-1)*100,"")</f>
        <v>3.36144005527614</v>
      </c>
      <c r="L50" s="31" t="n">
        <f aca="false">IFERROR(('SA Data'!Y50/'SA Data'!Y38-1)*100,"")</f>
        <v>7.8671098657314</v>
      </c>
      <c r="M50" s="31" t="n">
        <f aca="false">IFERROR((AVERAGE('SA Data'!Y43:Y50)/AVERAGE('SA Data'!Y31:Y38)-1)*100,"")</f>
        <v>8.74501897731781</v>
      </c>
    </row>
    <row r="51" customFormat="false" ht="15" hidden="false" customHeight="false" outlineLevel="0" collapsed="false">
      <c r="A51" s="20" t="n">
        <v>39355</v>
      </c>
      <c r="B51" s="30" t="n">
        <f aca="false">'SA Data'!B51</f>
        <v>129.61435</v>
      </c>
      <c r="C51" s="31" t="n">
        <f aca="false">IFERROR((B51/B50-1)*100,"")</f>
        <v>0.666742365474882</v>
      </c>
      <c r="D51" s="31" t="n">
        <f aca="false">IFERROR((AVERAGE(B49:B51)/AVERAGE(B46:B48)-1)*100,"")</f>
        <v>1.30670046829704</v>
      </c>
      <c r="E51" s="31" t="n">
        <f aca="false">IFERROR(((AVERAGE(B49:B51)/AVERAGE(B46:B48))^4-1)*100,"")</f>
        <v>5.33014521416777</v>
      </c>
      <c r="F51" s="31" t="n">
        <f aca="false">IFERROR((B51/B39-1)*100,"")</f>
        <v>8.18383540182799</v>
      </c>
      <c r="G51" s="31" t="n">
        <f aca="false">IFERROR((AVERAGE(B43:B51)/AVERAGE(B31:B39)-1)*100,"")</f>
        <v>8.94123395480277</v>
      </c>
      <c r="H51" s="30" t="n">
        <f aca="false">'SA Data'!U51</f>
        <v>127.531842277422</v>
      </c>
      <c r="I51" s="31" t="n">
        <f aca="false">IFERROR((H51/H50-1)*100,"")</f>
        <v>-0.882416450046986</v>
      </c>
      <c r="J51" s="31" t="n">
        <f aca="false">IFERROR((AVERAGE(H49:H51)/AVERAGE(H46:H48)-1)*100,"")</f>
        <v>0.393655883969513</v>
      </c>
      <c r="K51" s="31" t="n">
        <f aca="false">IFERROR(((AVERAGE(H49:H51)/AVERAGE(H46:H48))^4-1)*100,"")</f>
        <v>1.58394585833774</v>
      </c>
      <c r="L51" s="31" t="n">
        <f aca="false">IFERROR(('SA Data'!Y51/'SA Data'!Y39-1)*100,"")</f>
        <v>7.50659294706824</v>
      </c>
      <c r="M51" s="31" t="n">
        <f aca="false">IFERROR((AVERAGE('SA Data'!Y43:Y51)/AVERAGE('SA Data'!Y31:Y39)-1)*100,"")</f>
        <v>8.61022138097702</v>
      </c>
    </row>
    <row r="52" customFormat="false" ht="15" hidden="false" customHeight="false" outlineLevel="0" collapsed="false">
      <c r="A52" s="20" t="n">
        <v>39386</v>
      </c>
      <c r="B52" s="30" t="n">
        <f aca="false">'SA Data'!B52</f>
        <v>131.23956</v>
      </c>
      <c r="C52" s="31" t="n">
        <f aca="false">IFERROR((B52/B51-1)*100,"")</f>
        <v>1.25388122534273</v>
      </c>
      <c r="D52" s="31" t="n">
        <f aca="false">IFERROR((AVERAGE(B50:B52)/AVERAGE(B47:B49)-1)*100,"")</f>
        <v>1.61193265499333</v>
      </c>
      <c r="E52" s="31" t="n">
        <f aca="false">IFERROR(((AVERAGE(B50:B52)/AVERAGE(B47:B49))^4-1)*100,"")</f>
        <v>6.60531231551118</v>
      </c>
      <c r="F52" s="31" t="n">
        <f aca="false">IFERROR((B52/B40-1)*100,"")</f>
        <v>8.88532629243475</v>
      </c>
      <c r="G52" s="31" t="n">
        <f aca="false">IFERROR((AVERAGE(B43:B52)/AVERAGE(B31:B40)-1)*100,"")</f>
        <v>8.93546130266645</v>
      </c>
      <c r="H52" s="30" t="n">
        <f aca="false">'SA Data'!U52</f>
        <v>131.117459782324</v>
      </c>
      <c r="I52" s="31" t="n">
        <f aca="false">IFERROR((H52/H51-1)*100,"")</f>
        <v>2.81154685831486</v>
      </c>
      <c r="J52" s="31" t="n">
        <f aca="false">IFERROR((AVERAGE(H50:H52)/AVERAGE(H47:H49)-1)*100,"")</f>
        <v>1.07904289240355</v>
      </c>
      <c r="K52" s="31" t="n">
        <f aca="false">IFERROR(((AVERAGE(H50:H52)/AVERAGE(H47:H49))^4-1)*100,"")</f>
        <v>4.38653548544814</v>
      </c>
      <c r="L52" s="31" t="n">
        <f aca="false">IFERROR(('SA Data'!Y52/'SA Data'!Y40-1)*100,"")</f>
        <v>9.67135542596356</v>
      </c>
      <c r="M52" s="31" t="n">
        <f aca="false">IFERROR((AVERAGE('SA Data'!Y43:Y52)/AVERAGE('SA Data'!Y31:Y40)-1)*100,"")</f>
        <v>8.71514641997129</v>
      </c>
    </row>
    <row r="53" customFormat="false" ht="15" hidden="false" customHeight="false" outlineLevel="0" collapsed="false">
      <c r="A53" s="20" t="n">
        <v>39416</v>
      </c>
      <c r="B53" s="30" t="n">
        <f aca="false">'SA Data'!B53</f>
        <v>132.63358</v>
      </c>
      <c r="C53" s="31" t="n">
        <f aca="false">IFERROR((B53/B52-1)*100,"")</f>
        <v>1.06219496621291</v>
      </c>
      <c r="D53" s="31" t="n">
        <f aca="false">IFERROR((AVERAGE(B51:B53)/AVERAGE(B48:B50)-1)*100,"")</f>
        <v>2.21335178964255</v>
      </c>
      <c r="E53" s="31" t="n">
        <f aca="false">IFERROR(((AVERAGE(B51:B53)/AVERAGE(B48:B50))^4-1)*100,"")</f>
        <v>9.15170394551028</v>
      </c>
      <c r="F53" s="31" t="n">
        <f aca="false">IFERROR((B53/B41-1)*100,"")</f>
        <v>9.92960898920286</v>
      </c>
      <c r="G53" s="31" t="n">
        <f aca="false">IFERROR((AVERAGE(B43:B53)/AVERAGE(B31:B41)-1)*100,"")</f>
        <v>9.02858958594939</v>
      </c>
      <c r="H53" s="30" t="n">
        <f aca="false">'SA Data'!U53</f>
        <v>131.660201259669</v>
      </c>
      <c r="I53" s="31" t="n">
        <f aca="false">IFERROR((H53/H52-1)*100,"")</f>
        <v>0.413935320472114</v>
      </c>
      <c r="J53" s="31" t="n">
        <f aca="false">IFERROR((AVERAGE(H51:H53)/AVERAGE(H48:H50)-1)*100,"")</f>
        <v>1.6850580216035</v>
      </c>
      <c r="K53" s="31" t="n">
        <f aca="false">IFERROR(((AVERAGE(H51:H53)/AVERAGE(H48:H50))^4-1)*100,"")</f>
        <v>6.91251921623368</v>
      </c>
      <c r="L53" s="31" t="n">
        <f aca="false">IFERROR(('SA Data'!Y53/'SA Data'!Y41-1)*100,"")</f>
        <v>8.6715649145291</v>
      </c>
      <c r="M53" s="31" t="n">
        <f aca="false">IFERROR((AVERAGE('SA Data'!Y43:Y53)/AVERAGE('SA Data'!Y31:Y41)-1)*100,"")</f>
        <v>8.71115221780181</v>
      </c>
    </row>
    <row r="54" customFormat="false" ht="15" hidden="false" customHeight="false" outlineLevel="0" collapsed="false">
      <c r="A54" s="20" t="n">
        <v>39447</v>
      </c>
      <c r="B54" s="30" t="n">
        <f aca="false">'SA Data'!B54</f>
        <v>134.19822</v>
      </c>
      <c r="C54" s="31" t="n">
        <f aca="false">IFERROR((B54/B53-1)*100,"")</f>
        <v>1.17967109083537</v>
      </c>
      <c r="D54" s="31" t="n">
        <f aca="false">IFERROR((AVERAGE(B52:B54)/AVERAGE(B49:B51)-1)*100,"")</f>
        <v>3.09904459599246</v>
      </c>
      <c r="E54" s="31" t="n">
        <f aca="false">IFERROR(((AVERAGE(B52:B54)/AVERAGE(B49:B51))^4-1)*100,"")</f>
        <v>12.984420652426</v>
      </c>
      <c r="F54" s="31" t="n">
        <f aca="false">IFERROR((B54/B42-1)*100,"")</f>
        <v>8.78903871854864</v>
      </c>
      <c r="G54" s="31" t="n">
        <f aca="false">IFERROR((AVERAGE(B43:B54)/AVERAGE(B31:B42)-1)*100,"")</f>
        <v>9.0076518488994</v>
      </c>
      <c r="H54" s="30" t="n">
        <f aca="false">'SA Data'!U54</f>
        <v>131.277542933367</v>
      </c>
      <c r="I54" s="31" t="n">
        <f aca="false">IFERROR((H54/H53-1)*100,"")</f>
        <v>-0.290640848669577</v>
      </c>
      <c r="J54" s="31" t="n">
        <f aca="false">IFERROR((AVERAGE(H52:H54)/AVERAGE(H49:H51)-1)*100,"")</f>
        <v>2.77682623635562</v>
      </c>
      <c r="K54" s="31" t="n">
        <f aca="false">IFERROR(((AVERAGE(H52:H54)/AVERAGE(H49:H51))^4-1)*100,"")</f>
        <v>11.57857481877</v>
      </c>
      <c r="L54" s="31" t="n">
        <f aca="false">IFERROR(('SA Data'!Y54/'SA Data'!Y42-1)*100,"")</f>
        <v>6.88420079286749</v>
      </c>
      <c r="M54" s="31" t="n">
        <f aca="false">IFERROR((AVERAGE('SA Data'!Y43:Y54)/AVERAGE('SA Data'!Y31:Y42)-1)*100,"")</f>
        <v>8.55711035052891</v>
      </c>
    </row>
    <row r="55" customFormat="false" ht="15" hidden="false" customHeight="false" outlineLevel="0" collapsed="false">
      <c r="A55" s="20" t="n">
        <v>39478</v>
      </c>
      <c r="B55" s="30" t="n">
        <f aca="false">'SA Data'!B55</f>
        <v>135.1947</v>
      </c>
      <c r="C55" s="31" t="n">
        <f aca="false">IFERROR((B55/B54-1)*100,"")</f>
        <v>0.742543380977789</v>
      </c>
      <c r="D55" s="31" t="n">
        <f aca="false">IFERROR((AVERAGE(B53:B55)/AVERAGE(B50:B52)-1)*100,"")</f>
        <v>3.18696047139886</v>
      </c>
      <c r="E55" s="31" t="n">
        <f aca="false">IFERROR(((AVERAGE(B53:B55)/AVERAGE(B50:B52))^4-1)*100,"")</f>
        <v>13.3702956895704</v>
      </c>
      <c r="F55" s="31" t="n">
        <f aca="false">IFERROR((B55/B43-1)*100,"")</f>
        <v>10.7359610456244</v>
      </c>
      <c r="G55" s="31" t="n">
        <f aca="false">IFERROR((AVERAGE(B55:B55)/AVERAGE(B43:B43)-1)*100,"")</f>
        <v>10.7359610456244</v>
      </c>
      <c r="H55" s="30" t="n">
        <f aca="false">'SA Data'!U55</f>
        <v>133.373432018316</v>
      </c>
      <c r="I55" s="31" t="n">
        <f aca="false">IFERROR((H55/H54-1)*100,"")</f>
        <v>1.59653284035943</v>
      </c>
      <c r="J55" s="31" t="n">
        <f aca="false">IFERROR((AVERAGE(H53:H55)/AVERAGE(H50:H52)-1)*100,"")</f>
        <v>2.3222998632997</v>
      </c>
      <c r="K55" s="31" t="n">
        <f aca="false">IFERROR(((AVERAGE(H53:H55)/AVERAGE(H50:H52))^4-1)*100,"")</f>
        <v>9.61782287425108</v>
      </c>
      <c r="L55" s="31" t="n">
        <f aca="false">IFERROR(('SA Data'!Y55/'SA Data'!Y43-1)*100,"")</f>
        <v>7.61617223683715</v>
      </c>
      <c r="M55" s="31" t="n">
        <f aca="false">IFERROR((AVERAGE('SA Data'!Y55:Y55)/AVERAGE('SA Data'!Y43:Y43)-1)*100,"")</f>
        <v>7.61617223683715</v>
      </c>
    </row>
    <row r="56" customFormat="false" ht="15" hidden="false" customHeight="false" outlineLevel="0" collapsed="false">
      <c r="A56" s="20" t="n">
        <v>39507</v>
      </c>
      <c r="B56" s="30" t="n">
        <f aca="false">'SA Data'!B56</f>
        <v>133.42689</v>
      </c>
      <c r="C56" s="31" t="n">
        <f aca="false">IFERROR((B56/B55-1)*100,"")</f>
        <v>-1.30760303473437</v>
      </c>
      <c r="D56" s="31" t="n">
        <f aca="false">IFERROR((AVERAGE(B54:B56)/AVERAGE(B51:B53)-1)*100,"")</f>
        <v>2.3716942055769</v>
      </c>
      <c r="E56" s="31" t="n">
        <f aca="false">IFERROR(((AVERAGE(B54:B56)/AVERAGE(B51:B53))^4-1)*100,"")</f>
        <v>9.82964071525458</v>
      </c>
      <c r="F56" s="31" t="n">
        <f aca="false">IFERROR((B56/B44-1)*100,"")</f>
        <v>7.0552609945018</v>
      </c>
      <c r="G56" s="31" t="n">
        <f aca="false">IFERROR((AVERAGE(B55:B56)/AVERAGE(B43:B44)-1)*100,"")</f>
        <v>8.87661817331391</v>
      </c>
      <c r="H56" s="30" t="n">
        <f aca="false">'SA Data'!U56</f>
        <v>134.409025597521</v>
      </c>
      <c r="I56" s="31" t="n">
        <f aca="false">IFERROR((H56/H55-1)*100,"")</f>
        <v>0.776461671214346</v>
      </c>
      <c r="J56" s="31" t="n">
        <f aca="false">IFERROR((AVERAGE(H54:H56)/AVERAGE(H51:H53)-1)*100,"")</f>
        <v>2.24193804029125</v>
      </c>
      <c r="K56" s="31" t="n">
        <f aca="false">IFERROR(((AVERAGE(H54:H56)/AVERAGE(H51:H53))^4-1)*100,"")</f>
        <v>9.27386204418021</v>
      </c>
      <c r="L56" s="31" t="n">
        <f aca="false">IFERROR(('SA Data'!Y56/'SA Data'!Y44-1)*100,"")</f>
        <v>7.84378940970794</v>
      </c>
      <c r="M56" s="31" t="n">
        <f aca="false">IFERROR((AVERAGE('SA Data'!Y55:Y56)/AVERAGE('SA Data'!Y43:Y44)-1)*100,"")</f>
        <v>7.72924883023793</v>
      </c>
    </row>
    <row r="57" customFormat="false" ht="15" hidden="false" customHeight="false" outlineLevel="0" collapsed="false">
      <c r="A57" s="20" t="n">
        <v>39538</v>
      </c>
      <c r="B57" s="30" t="n">
        <f aca="false">'SA Data'!B57</f>
        <v>133.38365</v>
      </c>
      <c r="C57" s="31" t="n">
        <f aca="false">IFERROR((B57/B56-1)*100,"")</f>
        <v>-0.032407260635392</v>
      </c>
      <c r="D57" s="31" t="n">
        <f aca="false">IFERROR((AVERAGE(B55:B57)/AVERAGE(B52:B54)-1)*100,"")</f>
        <v>0.988234873264915</v>
      </c>
      <c r="E57" s="31" t="n">
        <f aca="false">IFERROR(((AVERAGE(B55:B57)/AVERAGE(B52:B54))^4-1)*100,"")</f>
        <v>4.01192298400575</v>
      </c>
      <c r="F57" s="31" t="n">
        <f aca="false">IFERROR((B57/B45-1)*100,"")</f>
        <v>5.49367521902902</v>
      </c>
      <c r="G57" s="31" t="n">
        <f aca="false">IFERROR((AVERAGE(B55:B57)/AVERAGE(B43:B45)-1)*100,"")</f>
        <v>7.73037357726745</v>
      </c>
      <c r="H57" s="30" t="n">
        <f aca="false">'SA Data'!U57</f>
        <v>130.741096753557</v>
      </c>
      <c r="I57" s="31" t="n">
        <f aca="false">IFERROR((H57/H56-1)*100,"")</f>
        <v>-2.72893046256246</v>
      </c>
      <c r="J57" s="31" t="n">
        <f aca="false">IFERROR((AVERAGE(H55:H57)/AVERAGE(H52:H54)-1)*100,"")</f>
        <v>1.13394020658919</v>
      </c>
      <c r="K57" s="31" t="n">
        <f aca="false">IFERROR(((AVERAGE(H55:H57)/AVERAGE(H52:H54))^4-1)*100,"")</f>
        <v>4.61349492059444</v>
      </c>
      <c r="L57" s="31" t="n">
        <f aca="false">IFERROR(('SA Data'!Y57/'SA Data'!Y45-1)*100,"")</f>
        <v>3.20272024192863</v>
      </c>
      <c r="M57" s="31" t="n">
        <f aca="false">IFERROR((AVERAGE('SA Data'!Y55:Y57)/AVERAGE('SA Data'!Y43:Y45)-1)*100,"")</f>
        <v>6.1010738059945</v>
      </c>
    </row>
    <row r="58" customFormat="false" ht="15" hidden="false" customHeight="false" outlineLevel="0" collapsed="false">
      <c r="A58" s="20" t="n">
        <v>39568</v>
      </c>
      <c r="B58" s="30" t="n">
        <f aca="false">'SA Data'!B58</f>
        <v>135.74808</v>
      </c>
      <c r="C58" s="31" t="n">
        <f aca="false">IFERROR((B58/B57-1)*100,"")</f>
        <v>1.77265354486851</v>
      </c>
      <c r="D58" s="31" t="n">
        <f aca="false">IFERROR((AVERAGE(B56:B58)/AVERAGE(B53:B55)-1)*100,"")</f>
        <v>0.132359434017393</v>
      </c>
      <c r="E58" s="31" t="n">
        <f aca="false">IFERROR(((AVERAGE(B56:B58)/AVERAGE(B53:B55))^4-1)*100,"")</f>
        <v>0.530489805085899</v>
      </c>
      <c r="F58" s="31" t="n">
        <f aca="false">IFERROR((B58/B46-1)*100,"")</f>
        <v>8.22446621862032</v>
      </c>
      <c r="G58" s="31" t="n">
        <f aca="false">IFERROR((AVERAGE(B55:B58)/AVERAGE(B43:B46)-1)*100,"")</f>
        <v>7.85467396951789</v>
      </c>
      <c r="H58" s="30" t="n">
        <f aca="false">'SA Data'!U58</f>
        <v>137.294215491406</v>
      </c>
      <c r="I58" s="31" t="n">
        <f aca="false">IFERROR((H58/H57-1)*100,"")</f>
        <v>5.01228680236776</v>
      </c>
      <c r="J58" s="31" t="n">
        <f aca="false">IFERROR((AVERAGE(H56:H58)/AVERAGE(H53:H55)-1)*100,"")</f>
        <v>1.54756211766824</v>
      </c>
      <c r="K58" s="31" t="n">
        <f aca="false">IFERROR(((AVERAGE(H56:H58)/AVERAGE(H53:H55))^4-1)*100,"")</f>
        <v>6.33543364956777</v>
      </c>
      <c r="L58" s="31" t="n">
        <f aca="false">IFERROR(('SA Data'!Y58/'SA Data'!Y46-1)*100,"")</f>
        <v>8.16507327707166</v>
      </c>
      <c r="M58" s="31" t="n">
        <f aca="false">IFERROR((AVERAGE('SA Data'!Y55:Y58)/AVERAGE('SA Data'!Y43:Y46)-1)*100,"")</f>
        <v>6.66046492147367</v>
      </c>
    </row>
    <row r="59" customFormat="false" ht="15" hidden="false" customHeight="false" outlineLevel="0" collapsed="false">
      <c r="A59" s="20" t="n">
        <v>39599</v>
      </c>
      <c r="B59" s="30" t="n">
        <f aca="false">'SA Data'!B59</f>
        <v>134.857</v>
      </c>
      <c r="C59" s="31" t="n">
        <f aca="false">IFERROR((B59/B58-1)*100,"")</f>
        <v>-0.656421807218188</v>
      </c>
      <c r="D59" s="31" t="n">
        <f aca="false">IFERROR((AVERAGE(B57:B59)/AVERAGE(B54:B56)-1)*100,"")</f>
        <v>0.290184338252875</v>
      </c>
      <c r="E59" s="31" t="n">
        <f aca="false">IFERROR(((AVERAGE(B57:B59)/AVERAGE(B54:B56))^4-1)*100,"")</f>
        <v>1.16579955132758</v>
      </c>
      <c r="F59" s="31" t="n">
        <f aca="false">IFERROR((B59/B47-1)*100,"")</f>
        <v>6.00446178193173</v>
      </c>
      <c r="G59" s="31" t="n">
        <f aca="false">IFERROR((AVERAGE(B55:B59)/AVERAGE(B43:B47)-1)*100,"")</f>
        <v>7.47855159869255</v>
      </c>
      <c r="H59" s="30" t="n">
        <f aca="false">'SA Data'!U59</f>
        <v>135.469841503895</v>
      </c>
      <c r="I59" s="31" t="n">
        <f aca="false">IFERROR((H59/H58-1)*100,"")</f>
        <v>-1.32880615616688</v>
      </c>
      <c r="J59" s="31" t="n">
        <f aca="false">IFERROR((AVERAGE(H57:H59)/AVERAGE(H54:H56)-1)*100,"")</f>
        <v>1.11390597743117</v>
      </c>
      <c r="K59" s="31" t="n">
        <f aca="false">IFERROR(((AVERAGE(H57:H59)/AVERAGE(H54:H56))^4-1)*100,"")</f>
        <v>4.53062548868077</v>
      </c>
      <c r="L59" s="31" t="n">
        <f aca="false">IFERROR(('SA Data'!Y59/'SA Data'!Y47-1)*100,"")</f>
        <v>4.75872452942656</v>
      </c>
      <c r="M59" s="31" t="n">
        <f aca="false">IFERROR((AVERAGE('SA Data'!Y55:Y59)/AVERAGE('SA Data'!Y43:Y47)-1)*100,"")</f>
        <v>6.22451685313012</v>
      </c>
    </row>
    <row r="60" customFormat="false" ht="15" hidden="false" customHeight="false" outlineLevel="0" collapsed="false">
      <c r="A60" s="20" t="n">
        <v>39629</v>
      </c>
      <c r="B60" s="30" t="n">
        <f aca="false">'SA Data'!B60</f>
        <v>133.38336</v>
      </c>
      <c r="C60" s="31" t="n">
        <f aca="false">IFERROR((B60/B59-1)*100,"")</f>
        <v>-1.09274268299012</v>
      </c>
      <c r="D60" s="31" t="n">
        <f aca="false">IFERROR((AVERAGE(B58:B60)/AVERAGE(B55:B57)-1)*100,"")</f>
        <v>0.493326902903068</v>
      </c>
      <c r="E60" s="31" t="n">
        <f aca="false">IFERROR(((AVERAGE(B58:B60)/AVERAGE(B55:B57))^4-1)*100,"")</f>
        <v>1.98795798149976</v>
      </c>
      <c r="F60" s="31" t="n">
        <f aca="false">IFERROR((B60/B48-1)*100,"")</f>
        <v>3.82015545388457</v>
      </c>
      <c r="G60" s="31" t="n">
        <f aca="false">IFERROR((AVERAGE(B55:B60)/AVERAGE(B43:B48)-1)*100,"")</f>
        <v>6.85542591448411</v>
      </c>
      <c r="H60" s="30" t="n">
        <f aca="false">'SA Data'!U60</f>
        <v>132.812107245546</v>
      </c>
      <c r="I60" s="31" t="n">
        <f aca="false">IFERROR((H60/H59-1)*100,"")</f>
        <v>-1.96186415282148</v>
      </c>
      <c r="J60" s="31" t="n">
        <f aca="false">IFERROR((AVERAGE(H58:H60)/AVERAGE(H55:H57)-1)*100,"")</f>
        <v>1.76968457551132</v>
      </c>
      <c r="K60" s="31" t="n">
        <f aca="false">IFERROR(((AVERAGE(H58:H60)/AVERAGE(H55:H57))^4-1)*100,"")</f>
        <v>7.26887202750057</v>
      </c>
      <c r="L60" s="31" t="n">
        <f aca="false">IFERROR(('SA Data'!Y60/'SA Data'!Y48-1)*100,"")</f>
        <v>3.27253279954305</v>
      </c>
      <c r="M60" s="31" t="n">
        <f aca="false">IFERROR((AVERAGE('SA Data'!Y55:Y60)/AVERAGE('SA Data'!Y43:Y48)-1)*100,"")</f>
        <v>5.70567555475283</v>
      </c>
    </row>
    <row r="61" customFormat="false" ht="15" hidden="false" customHeight="false" outlineLevel="0" collapsed="false">
      <c r="A61" s="20" t="n">
        <v>39660</v>
      </c>
      <c r="B61" s="30" t="n">
        <f aca="false">'SA Data'!B61</f>
        <v>135.2707</v>
      </c>
      <c r="C61" s="31" t="n">
        <f aca="false">IFERROR((B61/B60-1)*100,"")</f>
        <v>1.41497410171703</v>
      </c>
      <c r="D61" s="31" t="n">
        <f aca="false">IFERROR((AVERAGE(B59:B61)/AVERAGE(B56:B58)-1)*100,"")</f>
        <v>0.23659659803088</v>
      </c>
      <c r="E61" s="31" t="n">
        <f aca="false">IFERROR(((AVERAGE(B59:B61)/AVERAGE(B56:B58))^4-1)*100,"")</f>
        <v>0.949750369946067</v>
      </c>
      <c r="F61" s="31" t="n">
        <f aca="false">IFERROR((B61/B49-1)*100,"")</f>
        <v>5.89903170253165</v>
      </c>
      <c r="G61" s="31" t="n">
        <f aca="false">IFERROR((AVERAGE(B55:B61)/AVERAGE(B43:B49)-1)*100,"")</f>
        <v>6.71691935448797</v>
      </c>
      <c r="H61" s="30" t="n">
        <f aca="false">'SA Data'!U61</f>
        <v>135.773645736927</v>
      </c>
      <c r="I61" s="31" t="n">
        <f aca="false">IFERROR((H61/H60-1)*100,"")</f>
        <v>2.22987087005939</v>
      </c>
      <c r="J61" s="31" t="n">
        <f aca="false">IFERROR((AVERAGE(H59:H61)/AVERAGE(H56:H58)-1)*100,"")</f>
        <v>0.400367576923233</v>
      </c>
      <c r="K61" s="31" t="n">
        <f aca="false">IFERROR(((AVERAGE(H59:H61)/AVERAGE(H56:H58))^4-1)*100,"")</f>
        <v>1.61111365582589</v>
      </c>
      <c r="L61" s="31" t="n">
        <f aca="false">IFERROR(('SA Data'!Y61/'SA Data'!Y49-1)*100,"")</f>
        <v>6.97536237723986</v>
      </c>
      <c r="M61" s="31" t="n">
        <f aca="false">IFERROR((AVERAGE('SA Data'!Y55:Y61)/AVERAGE('SA Data'!Y43:Y49)-1)*100,"")</f>
        <v>5.88462412962911</v>
      </c>
    </row>
    <row r="62" customFormat="false" ht="15" hidden="false" customHeight="false" outlineLevel="0" collapsed="false">
      <c r="A62" s="20" t="n">
        <v>39691</v>
      </c>
      <c r="B62" s="30" t="n">
        <f aca="false">'SA Data'!B62</f>
        <v>135.69375</v>
      </c>
      <c r="C62" s="31" t="n">
        <f aca="false">IFERROR((B62/B61-1)*100,"")</f>
        <v>0.312743262214199</v>
      </c>
      <c r="D62" s="31" t="n">
        <f aca="false">IFERROR((AVERAGE(B60:B62)/AVERAGE(B57:B59)-1)*100,"")</f>
        <v>0.0888836676211424</v>
      </c>
      <c r="E62" s="31" t="n">
        <f aca="false">IFERROR(((AVERAGE(B60:B62)/AVERAGE(B57:B59))^4-1)*100,"")</f>
        <v>0.356008969812449</v>
      </c>
      <c r="F62" s="31" t="n">
        <f aca="false">IFERROR((B62/B50-1)*100,"")</f>
        <v>5.38839080591893</v>
      </c>
      <c r="G62" s="31" t="n">
        <f aca="false">IFERROR((AVERAGE(B55:B62)/AVERAGE(B43:B50)-1)*100,"")</f>
        <v>6.5476870882432</v>
      </c>
      <c r="H62" s="30" t="n">
        <f aca="false">'SA Data'!U62</f>
        <v>133.228006539734</v>
      </c>
      <c r="I62" s="31" t="n">
        <f aca="false">IFERROR((H62/H61-1)*100,"")</f>
        <v>-1.87491407730561</v>
      </c>
      <c r="J62" s="31" t="n">
        <f aca="false">IFERROR((AVERAGE(H60:H62)/AVERAGE(H57:H59)-1)*100,"")</f>
        <v>-0.419175371351932</v>
      </c>
      <c r="K62" s="31" t="n">
        <f aca="false">IFERROR(((AVERAGE(H60:H62)/AVERAGE(H57:H59))^4-1)*100,"")</f>
        <v>-1.66618843600266</v>
      </c>
      <c r="L62" s="31" t="n">
        <f aca="false">IFERROR(('SA Data'!Y62/'SA Data'!Y50-1)*100,"")</f>
        <v>3.94467152244906</v>
      </c>
      <c r="M62" s="31" t="n">
        <f aca="false">IFERROR((AVERAGE('SA Data'!Y55:Y62)/AVERAGE('SA Data'!Y43:Y50)-1)*100,"")</f>
        <v>5.64737422023132</v>
      </c>
    </row>
    <row r="63" customFormat="false" ht="15" hidden="false" customHeight="false" outlineLevel="0" collapsed="false">
      <c r="A63" s="20" t="n">
        <v>39721</v>
      </c>
      <c r="B63" s="30" t="n">
        <f aca="false">'SA Data'!B63</f>
        <v>135.91022</v>
      </c>
      <c r="C63" s="31" t="n">
        <f aca="false">IFERROR((B63/B62-1)*100,"")</f>
        <v>0.159528349684512</v>
      </c>
      <c r="D63" s="31" t="n">
        <f aca="false">IFERROR((AVERAGE(B61:B63)/AVERAGE(B58:B60)-1)*100,"")</f>
        <v>0.714433809046633</v>
      </c>
      <c r="E63" s="31" t="n">
        <f aca="false">IFERROR(((AVERAGE(B61:B63)/AVERAGE(B58:B60))^4-1)*100,"")</f>
        <v>2.88850630004502</v>
      </c>
      <c r="F63" s="31" t="n">
        <f aca="false">IFERROR((B63/B51-1)*100,"")</f>
        <v>4.85738654709143</v>
      </c>
      <c r="G63" s="31" t="n">
        <f aca="false">IFERROR((AVERAGE(B55:B63)/AVERAGE(B43:B51)-1)*100,"")</f>
        <v>6.35557106097164</v>
      </c>
      <c r="H63" s="30" t="n">
        <f aca="false">'SA Data'!U63</f>
        <v>134.992499940488</v>
      </c>
      <c r="I63" s="31" t="n">
        <f aca="false">IFERROR((H63/H62-1)*100,"")</f>
        <v>1.32441627446243</v>
      </c>
      <c r="J63" s="31" t="n">
        <f aca="false">IFERROR((AVERAGE(H61:H63)/AVERAGE(H58:H60)-1)*100,"")</f>
        <v>-0.390065334993206</v>
      </c>
      <c r="K63" s="31" t="n">
        <f aca="false">IFERROR(((AVERAGE(H61:H63)/AVERAGE(H58:H60))^4-1)*100,"")</f>
        <v>-1.55115599841604</v>
      </c>
      <c r="L63" s="31" t="n">
        <f aca="false">IFERROR(('SA Data'!Y63/'SA Data'!Y51-1)*100,"")</f>
        <v>6.02762731974738</v>
      </c>
      <c r="M63" s="31" t="n">
        <f aca="false">IFERROR((AVERAGE('SA Data'!Y55:Y63)/AVERAGE('SA Data'!Y43:Y51)-1)*100,"")</f>
        <v>5.68834264245695</v>
      </c>
    </row>
    <row r="64" customFormat="false" ht="15" hidden="false" customHeight="false" outlineLevel="0" collapsed="false">
      <c r="A64" s="20" t="n">
        <v>39752</v>
      </c>
      <c r="B64" s="30" t="n">
        <f aca="false">'SA Data'!B64</f>
        <v>132.51585</v>
      </c>
      <c r="C64" s="31" t="n">
        <f aca="false">IFERROR((B64/B63-1)*100,"")</f>
        <v>-2.49750901734984</v>
      </c>
      <c r="D64" s="31" t="n">
        <f aca="false">IFERROR((AVERAGE(B62:B64)/AVERAGE(B59:B61)-1)*100,"")</f>
        <v>0.15086575322123</v>
      </c>
      <c r="E64" s="31" t="n">
        <f aca="false">IFERROR(((AVERAGE(B62:B64)/AVERAGE(B59:B61))^4-1)*100,"")</f>
        <v>0.604830015443181</v>
      </c>
      <c r="F64" s="31" t="n">
        <f aca="false">IFERROR((B64/B52-1)*100,"")</f>
        <v>0.972488783107761</v>
      </c>
      <c r="G64" s="31" t="n">
        <f aca="false">IFERROR((AVERAGE(B55:B64)/AVERAGE(B43:B52)-1)*100,"")</f>
        <v>5.80000571078241</v>
      </c>
      <c r="H64" s="30" t="n">
        <f aca="false">'SA Data'!U64</f>
        <v>132.896997147174</v>
      </c>
      <c r="I64" s="31" t="n">
        <f aca="false">IFERROR((H64/H63-1)*100,"")</f>
        <v>-1.5523105315018</v>
      </c>
      <c r="J64" s="31" t="n">
        <f aca="false">IFERROR((AVERAGE(H62:H64)/AVERAGE(H59:H61)-1)*100,"")</f>
        <v>-0.727150149401235</v>
      </c>
      <c r="K64" s="31" t="n">
        <f aca="false">IFERROR(((AVERAGE(H62:H64)/AVERAGE(H59:H61))^4-1)*100,"")</f>
        <v>-2.87702926912758</v>
      </c>
      <c r="L64" s="31" t="n">
        <f aca="false">IFERROR(('SA Data'!Y64/'SA Data'!Y52-1)*100,"")</f>
        <v>1.73440244442578</v>
      </c>
      <c r="M64" s="31" t="n">
        <f aca="false">IFERROR((AVERAGE('SA Data'!Y55:Y64)/AVERAGE('SA Data'!Y43:Y52)-1)*100,"")</f>
        <v>5.29393788665076</v>
      </c>
    </row>
    <row r="65" customFormat="false" ht="15" hidden="false" customHeight="false" outlineLevel="0" collapsed="false">
      <c r="A65" s="20" t="n">
        <v>39782</v>
      </c>
      <c r="B65" s="30" t="n">
        <f aca="false">'SA Data'!B65</f>
        <v>130.32737</v>
      </c>
      <c r="C65" s="31" t="n">
        <f aca="false">IFERROR((B65/B64-1)*100,"")</f>
        <v>-1.65148546381433</v>
      </c>
      <c r="D65" s="31" t="n">
        <f aca="false">IFERROR((AVERAGE(B63:B65)/AVERAGE(B60:B62)-1)*100,"")</f>
        <v>-1.38355392601236</v>
      </c>
      <c r="E65" s="31" t="n">
        <f aca="false">IFERROR(((AVERAGE(B63:B65)/AVERAGE(B60:B62))^4-1)*100,"")</f>
        <v>-5.42041812328449</v>
      </c>
      <c r="F65" s="31" t="n">
        <f aca="false">IFERROR((B65/B53-1)*100,"")</f>
        <v>-1.73878289344221</v>
      </c>
      <c r="G65" s="31" t="n">
        <f aca="false">IFERROR((AVERAGE(B55:B65)/AVERAGE(B43:B53)-1)*100,"")</f>
        <v>5.08796217894167</v>
      </c>
      <c r="H65" s="30" t="n">
        <f aca="false">'SA Data'!U65</f>
        <v>128.519617646746</v>
      </c>
      <c r="I65" s="31" t="n">
        <f aca="false">IFERROR((H65/H64-1)*100,"")</f>
        <v>-3.29381370113334</v>
      </c>
      <c r="J65" s="31" t="n">
        <f aca="false">IFERROR((AVERAGE(H63:H65)/AVERAGE(H60:H62)-1)*100,"")</f>
        <v>-1.345062148749</v>
      </c>
      <c r="K65" s="31" t="n">
        <f aca="false">IFERROR(((AVERAGE(H63:H65)/AVERAGE(H60:H62))^4-1)*100,"")</f>
        <v>-5.2726671811504</v>
      </c>
      <c r="L65" s="31" t="n">
        <f aca="false">IFERROR(('SA Data'!Y65/'SA Data'!Y53-1)*100,"")</f>
        <v>-2.28108386687369</v>
      </c>
      <c r="M65" s="31" t="n">
        <f aca="false">IFERROR((AVERAGE('SA Data'!Y55:Y65)/AVERAGE('SA Data'!Y43:Y53)-1)*100,"")</f>
        <v>4.59994739245471</v>
      </c>
    </row>
    <row r="66" customFormat="false" ht="15" hidden="false" customHeight="false" outlineLevel="0" collapsed="false">
      <c r="A66" s="20" t="n">
        <v>39813</v>
      </c>
      <c r="B66" s="30" t="n">
        <f aca="false">'SA Data'!B66</f>
        <v>125.16881</v>
      </c>
      <c r="C66" s="31" t="n">
        <f aca="false">IFERROR((B66/B65-1)*100,"")</f>
        <v>-3.95815552788337</v>
      </c>
      <c r="D66" s="31" t="n">
        <f aca="false">IFERROR((AVERAGE(B64:B66)/AVERAGE(B61:B63)-1)*100,"")</f>
        <v>-4.63598286912283</v>
      </c>
      <c r="E66" s="31" t="n">
        <f aca="false">IFERROR(((AVERAGE(B64:B66)/AVERAGE(B61:B63))^4-1)*100,"")</f>
        <v>-17.2937845689283</v>
      </c>
      <c r="F66" s="31" t="n">
        <f aca="false">IFERROR((B66/B54-1)*100,"")</f>
        <v>-6.7284126421349</v>
      </c>
      <c r="G66" s="31" t="n">
        <f aca="false">IFERROR((AVERAGE(B55:B66)/AVERAGE(B43:B54)-1)*100,"")</f>
        <v>4.05723338877899</v>
      </c>
      <c r="H66" s="30" t="n">
        <f aca="false">'SA Data'!U66</f>
        <v>127.314625982775</v>
      </c>
      <c r="I66" s="31" t="n">
        <f aca="false">IFERROR((H66/H65-1)*100,"")</f>
        <v>-0.937593564340578</v>
      </c>
      <c r="J66" s="31" t="n">
        <f aca="false">IFERROR((AVERAGE(H64:H66)/AVERAGE(H61:H63)-1)*100,"")</f>
        <v>-3.77800306184869</v>
      </c>
      <c r="K66" s="31" t="n">
        <f aca="false">IFERROR(((AVERAGE(H64:H66)/AVERAGE(H61:H63))^4-1)*100,"")</f>
        <v>-14.2769799312019</v>
      </c>
      <c r="L66" s="31" t="n">
        <f aca="false">IFERROR(('SA Data'!Y66/'SA Data'!Y54-1)*100,"")</f>
        <v>-2.79310367129839</v>
      </c>
      <c r="M66" s="31" t="n">
        <f aca="false">IFERROR((AVERAGE('SA Data'!Y55:Y66)/AVERAGE('SA Data'!Y43:Y54)-1)*100,"")</f>
        <v>3.98619850253392</v>
      </c>
    </row>
    <row r="67" customFormat="false" ht="15" hidden="false" customHeight="false" outlineLevel="0" collapsed="false">
      <c r="A67" s="20" t="n">
        <v>39844</v>
      </c>
      <c r="B67" s="30" t="n">
        <f aca="false">'SA Data'!B67</f>
        <v>124.2895</v>
      </c>
      <c r="C67" s="31" t="n">
        <f aca="false">IFERROR((B67/B66-1)*100,"")</f>
        <v>-0.702499288760505</v>
      </c>
      <c r="D67" s="31" t="n">
        <f aca="false">IFERROR((AVERAGE(B65:B67)/AVERAGE(B62:B64)-1)*100,"")</f>
        <v>-6.0215160939149</v>
      </c>
      <c r="E67" s="31" t="n">
        <f aca="false">IFERROR(((AVERAGE(B65:B67)/AVERAGE(B62:B64))^4-1)*100,"")</f>
        <v>-21.996563153789</v>
      </c>
      <c r="F67" s="31" t="n">
        <f aca="false">IFERROR((B67/B55-1)*100,"")</f>
        <v>-8.06629253957442</v>
      </c>
      <c r="G67" s="31" t="n">
        <f aca="false">IFERROR((AVERAGE(B67:B67)/AVERAGE(B55:B55)-1)*100,"")</f>
        <v>-8.06629253957442</v>
      </c>
      <c r="H67" s="30" t="n">
        <f aca="false">'SA Data'!U67</f>
        <v>125.714609351739</v>
      </c>
      <c r="I67" s="31" t="n">
        <f aca="false">IFERROR((H67/H66-1)*100,"")</f>
        <v>-1.25674219963767</v>
      </c>
      <c r="J67" s="31" t="n">
        <f aca="false">IFERROR((AVERAGE(H65:H67)/AVERAGE(H62:H64)-1)*100,"")</f>
        <v>-4.87853321512358</v>
      </c>
      <c r="K67" s="31" t="n">
        <f aca="false">IFERROR(((AVERAGE(H65:H67)/AVERAGE(H62:H64))^4-1)*100,"")</f>
        <v>-18.1320050411967</v>
      </c>
      <c r="L67" s="31" t="n">
        <f aca="false">IFERROR(('SA Data'!Y67/'SA Data'!Y55-1)*100,"")</f>
        <v>-5.58004058151316</v>
      </c>
      <c r="M67" s="31" t="n">
        <f aca="false">IFERROR((AVERAGE('SA Data'!Y67:Y67)/AVERAGE('SA Data'!Y55:Y55)-1)*100,"")</f>
        <v>-5.58004058151316</v>
      </c>
    </row>
    <row r="68" customFormat="false" ht="15" hidden="false" customHeight="false" outlineLevel="0" collapsed="false">
      <c r="A68" s="20" t="n">
        <v>39872</v>
      </c>
      <c r="B68" s="30" t="n">
        <f aca="false">'SA Data'!B68</f>
        <v>126.22969</v>
      </c>
      <c r="C68" s="31" t="n">
        <f aca="false">IFERROR((B68/B67-1)*100,"")</f>
        <v>1.56102486533456</v>
      </c>
      <c r="D68" s="31" t="n">
        <f aca="false">IFERROR((AVERAGE(B66:B68)/AVERAGE(B63:B65)-1)*100,"")</f>
        <v>-5.78438646197008</v>
      </c>
      <c r="E68" s="31" t="n">
        <f aca="false">IFERROR(((AVERAGE(B66:B68)/AVERAGE(B63:B65))^4-1)*100,"")</f>
        <v>-21.2062949381336</v>
      </c>
      <c r="F68" s="31" t="n">
        <f aca="false">IFERROR((B68/B56-1)*100,"")</f>
        <v>-5.39411508429821</v>
      </c>
      <c r="G68" s="31" t="n">
        <f aca="false">IFERROR((AVERAGE(B67:B68)/AVERAGE(B55:B56)-1)*100,"")</f>
        <v>-6.73899666813824</v>
      </c>
      <c r="H68" s="30" t="n">
        <f aca="false">'SA Data'!U68</f>
        <v>126.249130835382</v>
      </c>
      <c r="I68" s="31" t="n">
        <f aca="false">IFERROR((H68/H67-1)*100,"")</f>
        <v>0.425186449212367</v>
      </c>
      <c r="J68" s="31" t="n">
        <f aca="false">IFERROR((AVERAGE(H66:H68)/AVERAGE(H63:H65)-1)*100,"")</f>
        <v>-4.32148200628283</v>
      </c>
      <c r="K68" s="31" t="n">
        <f aca="false">IFERROR(((AVERAGE(H66:H68)/AVERAGE(H63:H65))^4-1)*100,"")</f>
        <v>-16.1973486858873</v>
      </c>
      <c r="L68" s="31" t="n">
        <f aca="false">IFERROR(('SA Data'!Y68/'SA Data'!Y56-1)*100,"")</f>
        <v>-6.05983750441873</v>
      </c>
      <c r="M68" s="31" t="n">
        <f aca="false">IFERROR((AVERAGE('SA Data'!Y67:Y68)/AVERAGE('SA Data'!Y55:Y56)-1)*100,"")</f>
        <v>-5.81864949205576</v>
      </c>
    </row>
    <row r="69" customFormat="false" ht="15" hidden="false" customHeight="false" outlineLevel="0" collapsed="false">
      <c r="A69" s="20" t="n">
        <v>39903</v>
      </c>
      <c r="B69" s="30" t="n">
        <f aca="false">'SA Data'!B69</f>
        <v>123.45784</v>
      </c>
      <c r="C69" s="31" t="n">
        <f aca="false">IFERROR((B69/B68-1)*100,"")</f>
        <v>-2.19587800619648</v>
      </c>
      <c r="D69" s="31" t="n">
        <f aca="false">IFERROR((AVERAGE(B67:B69)/AVERAGE(B64:B66)-1)*100,"")</f>
        <v>-3.61715589075936</v>
      </c>
      <c r="E69" s="31" t="n">
        <f aca="false">IFERROR(((AVERAGE(B67:B69)/AVERAGE(B64:B66))^4-1)*100,"")</f>
        <v>-13.7023538544088</v>
      </c>
      <c r="F69" s="31" t="n">
        <f aca="false">IFERROR((B69/B57-1)*100,"")</f>
        <v>-7.44154924535352</v>
      </c>
      <c r="G69" s="31" t="n">
        <f aca="false">IFERROR((AVERAGE(B67:B69)/AVERAGE(B55:B57)-1)*100,"")</f>
        <v>-6.97210066217047</v>
      </c>
      <c r="H69" s="30" t="n">
        <f aca="false">'SA Data'!U69</f>
        <v>124.753367582014</v>
      </c>
      <c r="I69" s="31" t="n">
        <f aca="false">IFERROR((H69/H68-1)*100,"")</f>
        <v>-1.18477112948876</v>
      </c>
      <c r="J69" s="31" t="n">
        <f aca="false">IFERROR((AVERAGE(H67:H69)/AVERAGE(H64:H66)-1)*100,"")</f>
        <v>-3.09060135829462</v>
      </c>
      <c r="K69" s="31" t="n">
        <f aca="false">IFERROR(((AVERAGE(H67:H69)/AVERAGE(H64:H66))^4-1)*100,"")</f>
        <v>-11.8010135337576</v>
      </c>
      <c r="L69" s="31" t="n">
        <f aca="false">IFERROR(('SA Data'!Y69/'SA Data'!Y57-1)*100,"")</f>
        <v>-4.88213070112488</v>
      </c>
      <c r="M69" s="31" t="n">
        <f aca="false">IFERROR((AVERAGE('SA Data'!Y67:Y69)/AVERAGE('SA Data'!Y55:Y57)-1)*100,"")</f>
        <v>-5.49098929952501</v>
      </c>
    </row>
    <row r="70" customFormat="false" ht="15" hidden="false" customHeight="false" outlineLevel="0" collapsed="false">
      <c r="A70" s="20" t="n">
        <v>39933</v>
      </c>
      <c r="B70" s="30" t="n">
        <f aca="false">'SA Data'!B70</f>
        <v>121.77051</v>
      </c>
      <c r="C70" s="31" t="n">
        <f aca="false">IFERROR((B70/B69-1)*100,"")</f>
        <v>-1.36672567736484</v>
      </c>
      <c r="D70" s="31" t="n">
        <f aca="false">IFERROR((AVERAGE(B68:B70)/AVERAGE(B65:B67)-1)*100,"")</f>
        <v>-2.19272090511682</v>
      </c>
      <c r="E70" s="31" t="n">
        <f aca="false">IFERROR(((AVERAGE(B68:B70)/AVERAGE(B65:B67))^4-1)*100,"")</f>
        <v>-8.48659606804264</v>
      </c>
      <c r="F70" s="31" t="n">
        <f aca="false">IFERROR((B70/B58-1)*100,"")</f>
        <v>-10.2966981190452</v>
      </c>
      <c r="G70" s="31" t="n">
        <f aca="false">IFERROR((AVERAGE(B67:B70)/AVERAGE(B55:B58)-1)*100,"")</f>
        <v>-7.81134740367573</v>
      </c>
      <c r="H70" s="30" t="n">
        <f aca="false">'SA Data'!U70</f>
        <v>123.947428585464</v>
      </c>
      <c r="I70" s="31" t="n">
        <f aca="false">IFERROR((H70/H69-1)*100,"")</f>
        <v>-0.646025844569587</v>
      </c>
      <c r="J70" s="31" t="n">
        <f aca="false">IFERROR((AVERAGE(H68:H70)/AVERAGE(H65:H67)-1)*100,"")</f>
        <v>-1.72951010777204</v>
      </c>
      <c r="K70" s="31" t="n">
        <f aca="false">IFERROR(((AVERAGE(H68:H70)/AVERAGE(H65:H67))^4-1)*100,"")</f>
        <v>-6.74062849886642</v>
      </c>
      <c r="L70" s="31" t="n">
        <f aca="false">IFERROR(('SA Data'!Y70/'SA Data'!Y58-1)*100,"")</f>
        <v>-11.2581560839911</v>
      </c>
      <c r="M70" s="31" t="n">
        <f aca="false">IFERROR((AVERAGE('SA Data'!Y67:Y70)/AVERAGE('SA Data'!Y55:Y58)-1)*100,"")</f>
        <v>-7.07607252667386</v>
      </c>
    </row>
    <row r="71" customFormat="false" ht="15" hidden="false" customHeight="false" outlineLevel="0" collapsed="false">
      <c r="A71" s="20" t="n">
        <v>39964</v>
      </c>
      <c r="B71" s="30" t="n">
        <f aca="false">'SA Data'!B71</f>
        <v>121.10578</v>
      </c>
      <c r="C71" s="31" t="n">
        <f aca="false">IFERROR((B71/B70-1)*100,"")</f>
        <v>-0.545887505932274</v>
      </c>
      <c r="D71" s="31" t="n">
        <f aca="false">IFERROR((AVERAGE(B69:B71)/AVERAGE(B66:B68)-1)*100,"")</f>
        <v>-2.4897973850642</v>
      </c>
      <c r="E71" s="31" t="n">
        <f aca="false">IFERROR(((AVERAGE(B69:B71)/AVERAGE(B66:B68))^4-1)*100,"")</f>
        <v>-9.59337944265021</v>
      </c>
      <c r="F71" s="31" t="n">
        <f aca="false">IFERROR((B71/B59-1)*100,"")</f>
        <v>-10.1968900390784</v>
      </c>
      <c r="G71" s="31" t="n">
        <f aca="false">IFERROR((AVERAGE(B67:B71)/AVERAGE(B55:B59)-1)*100,"")</f>
        <v>-8.28964384608312</v>
      </c>
      <c r="H71" s="30" t="n">
        <f aca="false">'SA Data'!U71</f>
        <v>122.615760154836</v>
      </c>
      <c r="I71" s="31" t="n">
        <f aca="false">IFERROR((H71/H70-1)*100,"")</f>
        <v>-1.07438165182194</v>
      </c>
      <c r="J71" s="31" t="n">
        <f aca="false">IFERROR((AVERAGE(H69:H71)/AVERAGE(H66:H68)-1)*100,"")</f>
        <v>-2.09919957417641</v>
      </c>
      <c r="K71" s="31" t="n">
        <f aca="false">IFERROR(((AVERAGE(H69:H71)/AVERAGE(H66:H68))^4-1)*100,"")</f>
        <v>-8.13608071286719</v>
      </c>
      <c r="L71" s="31" t="n">
        <f aca="false">IFERROR(('SA Data'!Y71/'SA Data'!Y59-1)*100,"")</f>
        <v>-12.7408581540978</v>
      </c>
      <c r="M71" s="31" t="n">
        <f aca="false">IFERROR((AVERAGE('SA Data'!Y67:Y71)/AVERAGE('SA Data'!Y55:Y59)-1)*100,"")</f>
        <v>-8.356728395437</v>
      </c>
    </row>
    <row r="72" customFormat="false" ht="15" hidden="false" customHeight="false" outlineLevel="0" collapsed="false">
      <c r="A72" s="20" t="n">
        <v>39994</v>
      </c>
      <c r="B72" s="30" t="n">
        <f aca="false">'SA Data'!B72</f>
        <v>122.54345</v>
      </c>
      <c r="C72" s="31" t="n">
        <f aca="false">IFERROR((B72/B71-1)*100,"")</f>
        <v>1.1871192275051</v>
      </c>
      <c r="D72" s="31" t="n">
        <f aca="false">IFERROR((AVERAGE(B70:B72)/AVERAGE(B67:B69)-1)*100,"")</f>
        <v>-2.28818598832127</v>
      </c>
      <c r="E72" s="31" t="n">
        <f aca="false">IFERROR(((AVERAGE(B70:B72)/AVERAGE(B67:B69))^4-1)*100,"")</f>
        <v>-8.84336102191549</v>
      </c>
      <c r="F72" s="31" t="n">
        <f aca="false">IFERROR((B72/B60-1)*100,"")</f>
        <v>-8.12688329338832</v>
      </c>
      <c r="G72" s="31" t="n">
        <f aca="false">IFERROR((AVERAGE(B67:B72)/AVERAGE(B55:B60)-1)*100,"")</f>
        <v>-8.26270871007325</v>
      </c>
      <c r="H72" s="30" t="n">
        <f aca="false">'SA Data'!U72</f>
        <v>124.828426834113</v>
      </c>
      <c r="I72" s="31" t="n">
        <f aca="false">IFERROR((H72/H71-1)*100,"")</f>
        <v>1.80455324542539</v>
      </c>
      <c r="J72" s="31" t="n">
        <f aca="false">IFERROR((AVERAGE(H70:H72)/AVERAGE(H67:H69)-1)*100,"")</f>
        <v>-1.41365817609366</v>
      </c>
      <c r="K72" s="31" t="n">
        <f aca="false">IFERROR(((AVERAGE(H70:H72)/AVERAGE(H67:H69))^4-1)*100,"")</f>
        <v>-5.53585298277044</v>
      </c>
      <c r="L72" s="31" t="n">
        <f aca="false">IFERROR(('SA Data'!Y72/'SA Data'!Y60-1)*100,"")</f>
        <v>-7.55462180960463</v>
      </c>
      <c r="M72" s="31" t="n">
        <f aca="false">IFERROR((AVERAGE('SA Data'!Y67:Y72)/AVERAGE('SA Data'!Y55:Y60)-1)*100,"")</f>
        <v>-8.21899503777541</v>
      </c>
    </row>
    <row r="73" customFormat="false" ht="15" hidden="false" customHeight="false" outlineLevel="0" collapsed="false">
      <c r="A73" s="20" t="n">
        <v>40025</v>
      </c>
      <c r="B73" s="30" t="n">
        <f aca="false">'SA Data'!B73</f>
        <v>124.75464</v>
      </c>
      <c r="C73" s="31" t="n">
        <f aca="false">IFERROR((B73/B72-1)*100,"")</f>
        <v>1.80441304696415</v>
      </c>
      <c r="D73" s="31" t="n">
        <f aca="false">IFERROR((AVERAGE(B71:B73)/AVERAGE(B68:B70)-1)*100,"")</f>
        <v>-0.822211305481502</v>
      </c>
      <c r="E73" s="31" t="n">
        <f aca="false">IFERROR(((AVERAGE(B71:B73)/AVERAGE(B68:B70))^4-1)*100,"")</f>
        <v>-3.24850521532994</v>
      </c>
      <c r="F73" s="31" t="n">
        <f aca="false">IFERROR((B73/B61-1)*100,"")</f>
        <v>-7.77408559281501</v>
      </c>
      <c r="G73" s="31" t="n">
        <f aca="false">IFERROR((AVERAGE(B67:B73)/AVERAGE(B55:B61)-1)*100,"")</f>
        <v>-8.19248785341266</v>
      </c>
      <c r="H73" s="30" t="n">
        <f aca="false">'SA Data'!U73</f>
        <v>127.529971152719</v>
      </c>
      <c r="I73" s="31" t="n">
        <f aca="false">IFERROR((H73/H72-1)*100,"")</f>
        <v>2.16420601230167</v>
      </c>
      <c r="J73" s="31" t="n">
        <f aca="false">IFERROR((AVERAGE(H71:H73)/AVERAGE(H68:H70)-1)*100,"")</f>
        <v>0.00646249994016301</v>
      </c>
      <c r="K73" s="31" t="n">
        <f aca="false">IFERROR(((AVERAGE(H71:H73)/AVERAGE(H68:H70))^4-1)*100,"")</f>
        <v>0.0258525057029502</v>
      </c>
      <c r="L73" s="31" t="n">
        <f aca="false">IFERROR(('SA Data'!Y73/'SA Data'!Y61-1)*100,"")</f>
        <v>-5.94529168514451</v>
      </c>
      <c r="M73" s="31" t="n">
        <f aca="false">IFERROR((AVERAGE('SA Data'!Y67:Y73)/AVERAGE('SA Data'!Y55:Y61)-1)*100,"")</f>
        <v>-7.89524017440739</v>
      </c>
    </row>
    <row r="74" customFormat="false" ht="15" hidden="false" customHeight="false" outlineLevel="0" collapsed="false">
      <c r="A74" s="20" t="n">
        <v>40056</v>
      </c>
      <c r="B74" s="30" t="n">
        <f aca="false">'SA Data'!B74</f>
        <v>126.7923</v>
      </c>
      <c r="C74" s="31" t="n">
        <f aca="false">IFERROR((B74/B73-1)*100,"")</f>
        <v>1.63333403871793</v>
      </c>
      <c r="D74" s="31" t="n">
        <f aca="false">IFERROR((AVERAGE(B72:B74)/AVERAGE(B69:B71)-1)*100,"")</f>
        <v>2.11726382141899</v>
      </c>
      <c r="E74" s="31" t="n">
        <f aca="false">IFERROR(((AVERAGE(B72:B74)/AVERAGE(B69:B71))^4-1)*100,"")</f>
        <v>8.74184025985647</v>
      </c>
      <c r="F74" s="31" t="n">
        <f aca="false">IFERROR((B74/B62-1)*100,"")</f>
        <v>-6.55995578278292</v>
      </c>
      <c r="G74" s="31" t="n">
        <f aca="false">IFERROR((AVERAGE(B67:B74)/AVERAGE(B55:B62)-1)*100,"")</f>
        <v>-7.98679332129653</v>
      </c>
      <c r="H74" s="30" t="n">
        <f aca="false">'SA Data'!U74</f>
        <v>127.63191154633</v>
      </c>
      <c r="I74" s="31" t="n">
        <f aca="false">IFERROR((H74/H73-1)*100,"")</f>
        <v>0.0799344598683804</v>
      </c>
      <c r="J74" s="31" t="n">
        <f aca="false">IFERROR((AVERAGE(H72:H74)/AVERAGE(H69:H71)-1)*100,"")</f>
        <v>2.33594572155813</v>
      </c>
      <c r="K74" s="31" t="n">
        <f aca="false">IFERROR(((AVERAGE(H72:H74)/AVERAGE(H69:H71))^4-1)*100,"")</f>
        <v>9.67630977422338</v>
      </c>
      <c r="L74" s="31" t="n">
        <f aca="false">IFERROR(('SA Data'!Y74/'SA Data'!Y62-1)*100,"")</f>
        <v>-4.0033997784356</v>
      </c>
      <c r="M74" s="31" t="n">
        <f aca="false">IFERROR((AVERAGE('SA Data'!Y67:Y74)/AVERAGE('SA Data'!Y55:Y62)-1)*100,"")</f>
        <v>-7.42695168789733</v>
      </c>
    </row>
    <row r="75" customFormat="false" ht="15" hidden="false" customHeight="false" outlineLevel="0" collapsed="false">
      <c r="A75" s="20" t="n">
        <v>40086</v>
      </c>
      <c r="B75" s="30" t="n">
        <f aca="false">'SA Data'!B75</f>
        <v>128.17867</v>
      </c>
      <c r="C75" s="31" t="n">
        <f aca="false">IFERROR((B75/B74-1)*100,"")</f>
        <v>1.09341813343555</v>
      </c>
      <c r="D75" s="31" t="n">
        <f aca="false">IFERROR((AVERAGE(B73:B75)/AVERAGE(B70:B72)-1)*100,"")</f>
        <v>3.91491439406093</v>
      </c>
      <c r="E75" s="31" t="n">
        <f aca="false">IFERROR(((AVERAGE(B73:B75)/AVERAGE(B70:B72))^4-1)*100,"")</f>
        <v>16.6034866221553</v>
      </c>
      <c r="F75" s="31" t="n">
        <f aca="false">IFERROR((B75/B63-1)*100,"")</f>
        <v>-5.68871862616366</v>
      </c>
      <c r="G75" s="31" t="n">
        <f aca="false">IFERROR((AVERAGE(B67:B75)/AVERAGE(B55:B63)-1)*100,"")</f>
        <v>-7.72927828481961</v>
      </c>
      <c r="H75" s="30" t="n">
        <f aca="false">'SA Data'!U75</f>
        <v>130.096342227753</v>
      </c>
      <c r="I75" s="31" t="n">
        <f aca="false">IFERROR((H75/H74-1)*100,"")</f>
        <v>1.93088911038417</v>
      </c>
      <c r="J75" s="31" t="n">
        <f aca="false">IFERROR((AVERAGE(H73:H75)/AVERAGE(H70:H72)-1)*100,"")</f>
        <v>3.73368939170642</v>
      </c>
      <c r="K75" s="31" t="n">
        <f aca="false">IFERROR(((AVERAGE(H73:H75)/AVERAGE(H70:H72))^4-1)*100,"")</f>
        <v>15.7921977949303</v>
      </c>
      <c r="L75" s="31" t="n">
        <f aca="false">IFERROR(('SA Data'!Y75/'SA Data'!Y63-1)*100,"")</f>
        <v>-3.52324507976426</v>
      </c>
      <c r="M75" s="31" t="n">
        <f aca="false">IFERROR((AVERAGE('SA Data'!Y67:Y75)/AVERAGE('SA Data'!Y55:Y63)-1)*100,"")</f>
        <v>-7.00501664022069</v>
      </c>
    </row>
    <row r="76" customFormat="false" ht="15" hidden="false" customHeight="false" outlineLevel="0" collapsed="false">
      <c r="A76" s="20" t="n">
        <v>40117</v>
      </c>
      <c r="B76" s="30" t="n">
        <f aca="false">'SA Data'!B76</f>
        <v>129.20725</v>
      </c>
      <c r="C76" s="31" t="n">
        <f aca="false">IFERROR((B76/B75-1)*100,"")</f>
        <v>0.802458006468609</v>
      </c>
      <c r="D76" s="31" t="n">
        <f aca="false">IFERROR((AVERAGE(B74:B76)/AVERAGE(B71:B73)-1)*100,"")</f>
        <v>4.28180898316839</v>
      </c>
      <c r="E76" s="31" t="n">
        <f aca="false">IFERROR(((AVERAGE(B74:B76)/AVERAGE(B71:B73))^4-1)*100,"")</f>
        <v>18.2590062370517</v>
      </c>
      <c r="F76" s="31" t="n">
        <f aca="false">IFERROR((B76/B64-1)*100,"")</f>
        <v>-2.4967579349942</v>
      </c>
      <c r="G76" s="31" t="n">
        <f aca="false">IFERROR((AVERAGE(B67:B76)/AVERAGE(B55:B64)-1)*100,"")</f>
        <v>-7.21389250743394</v>
      </c>
      <c r="H76" s="30" t="n">
        <f aca="false">'SA Data'!U76</f>
        <v>130.614848892372</v>
      </c>
      <c r="I76" s="31" t="n">
        <f aca="false">IFERROR((H76/H75-1)*100,"")</f>
        <v>0.39855591305642</v>
      </c>
      <c r="J76" s="31" t="n">
        <f aca="false">IFERROR((AVERAGE(H74:H76)/AVERAGE(H71:H73)-1)*100,"")</f>
        <v>3.56529756371533</v>
      </c>
      <c r="K76" s="31" t="n">
        <f aca="false">IFERROR(((AVERAGE(H74:H76)/AVERAGE(H71:H73))^4-1)*100,"")</f>
        <v>15.0421605296606</v>
      </c>
      <c r="L76" s="31" t="n">
        <f aca="false">IFERROR(('SA Data'!Y76/'SA Data'!Y64-1)*100,"")</f>
        <v>-1.28821038729597</v>
      </c>
      <c r="M76" s="31" t="n">
        <f aca="false">IFERROR((AVERAGE('SA Data'!Y67:Y76)/AVERAGE('SA Data'!Y55:Y64)-1)*100,"")</f>
        <v>-6.45404405411488</v>
      </c>
    </row>
    <row r="77" customFormat="false" ht="15" hidden="false" customHeight="false" outlineLevel="0" collapsed="false">
      <c r="A77" s="20" t="n">
        <v>40147</v>
      </c>
      <c r="B77" s="30" t="n">
        <f aca="false">'SA Data'!B77</f>
        <v>129.72978</v>
      </c>
      <c r="C77" s="31" t="n">
        <f aca="false">IFERROR((B77/B76-1)*100,"")</f>
        <v>0.404412291105971</v>
      </c>
      <c r="D77" s="31" t="n">
        <f aca="false">IFERROR((AVERAGE(B75:B77)/AVERAGE(B72:B74)-1)*100,"")</f>
        <v>3.48186169658087</v>
      </c>
      <c r="E77" s="31" t="n">
        <f aca="false">IFERROR(((AVERAGE(B75:B77)/AVERAGE(B72:B74))^4-1)*100,"")</f>
        <v>14.6718801609939</v>
      </c>
      <c r="F77" s="31" t="n">
        <f aca="false">IFERROR((B77/B65-1)*100,"")</f>
        <v>-0.458529931203244</v>
      </c>
      <c r="G77" s="31" t="n">
        <f aca="false">IFERROR((AVERAGE(B67:B77)/AVERAGE(B55:B65)-1)*100,"")</f>
        <v>-6.61729310694501</v>
      </c>
      <c r="H77" s="30" t="n">
        <f aca="false">'SA Data'!U77</f>
        <v>130.708662728629</v>
      </c>
      <c r="I77" s="31" t="n">
        <f aca="false">IFERROR((H77/H76-1)*100,"")</f>
        <v>0.0718247864252009</v>
      </c>
      <c r="J77" s="31" t="n">
        <f aca="false">IFERROR((AVERAGE(H75:H77)/AVERAGE(H72:H74)-1)*100,"")</f>
        <v>3.00785152380165</v>
      </c>
      <c r="K77" s="31" t="n">
        <f aca="false">IFERROR(((AVERAGE(H75:H77)/AVERAGE(H72:H74))^4-1)*100,"")</f>
        <v>12.5852032124379</v>
      </c>
      <c r="L77" s="31" t="n">
        <f aca="false">IFERROR(('SA Data'!Y77/'SA Data'!Y65-1)*100,"")</f>
        <v>1.99670935737797</v>
      </c>
      <c r="M77" s="31" t="n">
        <f aca="false">IFERROR((AVERAGE('SA Data'!Y67:Y77)/AVERAGE('SA Data'!Y55:Y65)-1)*100,"")</f>
        <v>-5.73075441828633</v>
      </c>
    </row>
    <row r="78" customFormat="false" ht="15" hidden="false" customHeight="false" outlineLevel="0" collapsed="false">
      <c r="A78" s="20" t="n">
        <v>40178</v>
      </c>
      <c r="B78" s="30" t="n">
        <f aca="false">'SA Data'!B78</f>
        <v>128.07244</v>
      </c>
      <c r="C78" s="31" t="n">
        <f aca="false">IFERROR((B78/B77-1)*100,"")</f>
        <v>-1.27753242162286</v>
      </c>
      <c r="D78" s="31" t="n">
        <f aca="false">IFERROR((AVERAGE(B76:B78)/AVERAGE(B73:B75)-1)*100,"")</f>
        <v>1.91819034802523</v>
      </c>
      <c r="E78" s="31" t="n">
        <f aca="false">IFERROR(((AVERAGE(B76:B78)/AVERAGE(B73:B75))^4-1)*100,"")</f>
        <v>7.89636534058125</v>
      </c>
      <c r="F78" s="31" t="n">
        <f aca="false">IFERROR((B78/B66-1)*100,"")</f>
        <v>2.31977119539604</v>
      </c>
      <c r="G78" s="31" t="n">
        <f aca="false">IFERROR((AVERAGE(B67:B78)/AVERAGE(B55:B66)-1)*100,"")</f>
        <v>-5.91852652975858</v>
      </c>
      <c r="H78" s="30" t="n">
        <f aca="false">'SA Data'!U78</f>
        <v>130.603710368998</v>
      </c>
      <c r="I78" s="31" t="n">
        <f aca="false">IFERROR((H78/H77-1)*100,"")</f>
        <v>-0.0802948767436029</v>
      </c>
      <c r="J78" s="31" t="n">
        <f aca="false">IFERROR((AVERAGE(H76:H78)/AVERAGE(H73:H75)-1)*100,"")</f>
        <v>1.73104599245433</v>
      </c>
      <c r="K78" s="31" t="n">
        <f aca="false">IFERROR(((AVERAGE(H76:H78)/AVERAGE(H73:H75))^4-1)*100,"")</f>
        <v>7.1060590083631</v>
      </c>
      <c r="L78" s="31" t="n">
        <f aca="false">IFERROR(('SA Data'!Y78/'SA Data'!Y66-1)*100,"")</f>
        <v>2.66866968099346</v>
      </c>
      <c r="M78" s="31" t="n">
        <f aca="false">IFERROR((AVERAGE('SA Data'!Y67:Y78)/AVERAGE('SA Data'!Y55:Y66)-1)*100,"")</f>
        <v>-5.07891908356171</v>
      </c>
    </row>
    <row r="79" customFormat="false" ht="15" hidden="false" customHeight="false" outlineLevel="0" collapsed="false">
      <c r="A79" s="20" t="n">
        <v>40209</v>
      </c>
      <c r="B79" s="30" t="n">
        <f aca="false">'SA Data'!B79</f>
        <v>131.72001</v>
      </c>
      <c r="C79" s="31" t="n">
        <f aca="false">IFERROR((B79/B78-1)*100,"")</f>
        <v>2.84805224293376</v>
      </c>
      <c r="D79" s="31" t="n">
        <f aca="false">IFERROR((AVERAGE(B77:B79)/AVERAGE(B74:B76)-1)*100,"")</f>
        <v>1.39102367645934</v>
      </c>
      <c r="E79" s="31" t="n">
        <f aca="false">IFERROR(((AVERAGE(B77:B79)/AVERAGE(B74:B76))^4-1)*100,"")</f>
        <v>5.68127188472765</v>
      </c>
      <c r="F79" s="31" t="n">
        <f aca="false">IFERROR((B79/B67-1)*100,"")</f>
        <v>5.97838916400821</v>
      </c>
      <c r="G79" s="31" t="n">
        <f aca="false">IFERROR((AVERAGE(B79:B79)/AVERAGE(B67:B67)-1)*100,"")</f>
        <v>5.97838916400821</v>
      </c>
      <c r="H79" s="30" t="n">
        <f aca="false">'SA Data'!U79</f>
        <v>131.563768131418</v>
      </c>
      <c r="I79" s="31" t="n">
        <f aca="false">IFERROR((H79/H78-1)*100,"")</f>
        <v>0.735092257110015</v>
      </c>
      <c r="J79" s="31" t="n">
        <f aca="false">IFERROR((AVERAGE(H77:H79)/AVERAGE(H74:H76)-1)*100,"")</f>
        <v>1.16727670234493</v>
      </c>
      <c r="K79" s="31" t="n">
        <f aca="false">IFERROR(((AVERAGE(H77:H79)/AVERAGE(H74:H76))^4-1)*100,"")</f>
        <v>4.75149694196921</v>
      </c>
      <c r="L79" s="31" t="n">
        <f aca="false">IFERROR(('SA Data'!Y79/'SA Data'!Y67-1)*100,"")</f>
        <v>4.72908942121553</v>
      </c>
      <c r="M79" s="31" t="n">
        <f aca="false">IFERROR((AVERAGE('SA Data'!Y79:Y79)/AVERAGE('SA Data'!Y67:Y67)-1)*100,"")</f>
        <v>4.72908942121553</v>
      </c>
    </row>
    <row r="80" customFormat="false" ht="15" hidden="false" customHeight="false" outlineLevel="0" collapsed="false">
      <c r="A80" s="20" t="n">
        <v>40237</v>
      </c>
      <c r="B80" s="30" t="n">
        <f aca="false">'SA Data'!B80</f>
        <v>133.12326</v>
      </c>
      <c r="C80" s="31" t="n">
        <f aca="false">IFERROR((B80/B79-1)*100,"")</f>
        <v>1.06532788753964</v>
      </c>
      <c r="D80" s="31" t="n">
        <f aca="false">IFERROR((AVERAGE(B78:B80)/AVERAGE(B75:B77)-1)*100,"")</f>
        <v>1.49826266410791</v>
      </c>
      <c r="E80" s="31" t="n">
        <f aca="false">IFERROR(((AVERAGE(B78:B80)/AVERAGE(B75:B77))^4-1)*100,"")</f>
        <v>6.12908847078189</v>
      </c>
      <c r="F80" s="31" t="n">
        <f aca="false">IFERROR((B80/B68-1)*100,"")</f>
        <v>5.4611320046813</v>
      </c>
      <c r="G80" s="31" t="n">
        <f aca="false">IFERROR((AVERAGE(B79:B80)/AVERAGE(B67:B68)-1)*100,"")</f>
        <v>5.71775758974789</v>
      </c>
      <c r="H80" s="30" t="n">
        <f aca="false">'SA Data'!U80</f>
        <v>133.195673486488</v>
      </c>
      <c r="I80" s="31" t="n">
        <f aca="false">IFERROR((H80/H79-1)*100,"")</f>
        <v>1.24039116410797</v>
      </c>
      <c r="J80" s="31" t="n">
        <f aca="false">IFERROR((AVERAGE(H78:H80)/AVERAGE(H75:H77)-1)*100,"")</f>
        <v>1.00743436986555</v>
      </c>
      <c r="K80" s="31" t="n">
        <f aca="false">IFERROR(((AVERAGE(H78:H80)/AVERAGE(H75:H77))^4-1)*100,"")</f>
        <v>4.09104293784013</v>
      </c>
      <c r="L80" s="31" t="n">
        <f aca="false">IFERROR(('SA Data'!Y80/'SA Data'!Y68-1)*100,"")</f>
        <v>5.3175438481138</v>
      </c>
      <c r="M80" s="31" t="n">
        <f aca="false">IFERROR((AVERAGE('SA Data'!Y79:Y80)/AVERAGE('SA Data'!Y67:Y68)-1)*100,"")</f>
        <v>5.02098561177295</v>
      </c>
    </row>
    <row r="81" customFormat="false" ht="15" hidden="false" customHeight="false" outlineLevel="0" collapsed="false">
      <c r="A81" s="20" t="n">
        <v>40268</v>
      </c>
      <c r="B81" s="30" t="n">
        <f aca="false">'SA Data'!B81</f>
        <v>133.97039</v>
      </c>
      <c r="C81" s="31" t="n">
        <f aca="false">IFERROR((B81/B80-1)*100,"")</f>
        <v>0.636350101402283</v>
      </c>
      <c r="D81" s="31" t="n">
        <f aca="false">IFERROR((AVERAGE(B79:B81)/AVERAGE(B76:B78)-1)*100,"")</f>
        <v>3.0501036576702</v>
      </c>
      <c r="E81" s="31" t="n">
        <f aca="false">IFERROR(((AVERAGE(B79:B81)/AVERAGE(B76:B78))^4-1)*100,"")</f>
        <v>12.7700393254737</v>
      </c>
      <c r="F81" s="31" t="n">
        <f aca="false">IFERROR((B81/B69-1)*100,"")</f>
        <v>8.5150930876484</v>
      </c>
      <c r="G81" s="31" t="n">
        <f aca="false">IFERROR((AVERAGE(B79:B81)/AVERAGE(B67:B69)-1)*100,"")</f>
        <v>6.64121804486229</v>
      </c>
      <c r="H81" s="30" t="n">
        <f aca="false">'SA Data'!U81</f>
        <v>136.033919027753</v>
      </c>
      <c r="I81" s="31" t="n">
        <f aca="false">IFERROR((H81/H80-1)*100,"")</f>
        <v>2.1308841848777</v>
      </c>
      <c r="J81" s="31" t="n">
        <f aca="false">IFERROR((AVERAGE(H79:H81)/AVERAGE(H76:H78)-1)*100,"")</f>
        <v>2.26219005932873</v>
      </c>
      <c r="K81" s="31" t="n">
        <f aca="false">IFERROR(((AVERAGE(H79:H81)/AVERAGE(H76:H78))^4-1)*100,"")</f>
        <v>9.36046736458063</v>
      </c>
      <c r="L81" s="31" t="n">
        <f aca="false">IFERROR(('SA Data'!Y81/'SA Data'!Y69-1)*100,"")</f>
        <v>8.70025542431876</v>
      </c>
      <c r="M81" s="31" t="n">
        <f aca="false">IFERROR((AVERAGE('SA Data'!Y79:Y81)/AVERAGE('SA Data'!Y67:Y69)-1)*100,"")</f>
        <v>6.31654617511983</v>
      </c>
    </row>
    <row r="82" customFormat="false" ht="15" hidden="false" customHeight="false" outlineLevel="0" collapsed="false">
      <c r="A82" s="20" t="n">
        <v>40298</v>
      </c>
      <c r="B82" s="30" t="n">
        <f aca="false">'SA Data'!B82</f>
        <v>136.86532</v>
      </c>
      <c r="C82" s="31" t="n">
        <f aca="false">IFERROR((B82/B81-1)*100,"")</f>
        <v>2.16087301081978</v>
      </c>
      <c r="D82" s="31" t="n">
        <f aca="false">IFERROR((AVERAGE(B80:B82)/AVERAGE(B77:B79)-1)*100,"")</f>
        <v>3.70626857419667</v>
      </c>
      <c r="E82" s="31" t="n">
        <f aca="false">IFERROR(((AVERAGE(B80:B82)/AVERAGE(B77:B79))^4-1)*100,"")</f>
        <v>15.6698129455564</v>
      </c>
      <c r="F82" s="31" t="n">
        <f aca="false">IFERROR((B82/B70-1)*100,"")</f>
        <v>12.3961129833488</v>
      </c>
      <c r="G82" s="31" t="n">
        <f aca="false">IFERROR((AVERAGE(B79:B82)/AVERAGE(B67:B70)-1)*100,"")</f>
        <v>8.05479337325608</v>
      </c>
      <c r="H82" s="30" t="n">
        <f aca="false">'SA Data'!U82</f>
        <v>138.501350614796</v>
      </c>
      <c r="I82" s="31" t="n">
        <f aca="false">IFERROR((H82/H81-1)*100,"")</f>
        <v>1.81383555269004</v>
      </c>
      <c r="J82" s="31" t="n">
        <f aca="false">IFERROR((AVERAGE(H80:H82)/AVERAGE(H77:H79)-1)*100,"")</f>
        <v>3.78103945266863</v>
      </c>
      <c r="K82" s="31" t="n">
        <f aca="false">IFERROR(((AVERAGE(H80:H82)/AVERAGE(H77:H79))^4-1)*100,"")</f>
        <v>16.003759642504</v>
      </c>
      <c r="L82" s="31" t="n">
        <f aca="false">IFERROR(('SA Data'!Y82/'SA Data'!Y70-1)*100,"")</f>
        <v>13.7767003958346</v>
      </c>
      <c r="M82" s="31" t="n">
        <f aca="false">IFERROR((AVERAGE('SA Data'!Y79:Y82)/AVERAGE('SA Data'!Y67:Y70)-1)*100,"")</f>
        <v>8.27466145327687</v>
      </c>
    </row>
    <row r="83" customFormat="false" ht="15" hidden="false" customHeight="false" outlineLevel="0" collapsed="false">
      <c r="A83" s="20" t="n">
        <v>40329</v>
      </c>
      <c r="B83" s="30" t="n">
        <f aca="false">'SA Data'!B83</f>
        <v>139.19129</v>
      </c>
      <c r="C83" s="31" t="n">
        <f aca="false">IFERROR((B83/B82-1)*100,"")</f>
        <v>1.69945900100918</v>
      </c>
      <c r="D83" s="31" t="n">
        <f aca="false">IFERROR((AVERAGE(B81:B83)/AVERAGE(B78:B80)-1)*100,"")</f>
        <v>4.3549518546866</v>
      </c>
      <c r="E83" s="31" t="n">
        <f aca="false">IFERROR(((AVERAGE(B81:B83)/AVERAGE(B78:B80))^4-1)*100,"")</f>
        <v>18.5911411721545</v>
      </c>
      <c r="F83" s="31" t="n">
        <f aca="false">IFERROR((B83/B71-1)*100,"")</f>
        <v>14.9336472627483</v>
      </c>
      <c r="G83" s="31" t="n">
        <f aca="false">IFERROR((AVERAGE(B79:B83)/AVERAGE(B67:B71)-1)*100,"")</f>
        <v>9.40530724548909</v>
      </c>
      <c r="H83" s="30" t="n">
        <f aca="false">'SA Data'!U83</f>
        <v>138.586305427919</v>
      </c>
      <c r="I83" s="31" t="n">
        <f aca="false">IFERROR((H83/H82-1)*100,"")</f>
        <v>0.0613386170937647</v>
      </c>
      <c r="J83" s="31" t="n">
        <f aca="false">IFERROR((AVERAGE(H81:H83)/AVERAGE(H78:H80)-1)*100,"")</f>
        <v>4.49167379264324</v>
      </c>
      <c r="K83" s="31" t="n">
        <f aca="false">IFERROR(((AVERAGE(H81:H83)/AVERAGE(H78:H80))^4-1)*100,"")</f>
        <v>19.2138582614434</v>
      </c>
      <c r="L83" s="31" t="n">
        <f aca="false">IFERROR(('SA Data'!Y83/'SA Data'!Y71-1)*100,"")</f>
        <v>18.0622586376455</v>
      </c>
      <c r="M83" s="31" t="n">
        <f aca="false">IFERROR((AVERAGE('SA Data'!Y79:Y83)/AVERAGE('SA Data'!Y67:Y71)-1)*100,"")</f>
        <v>10.3815201278468</v>
      </c>
    </row>
    <row r="84" customFormat="false" ht="15" hidden="false" customHeight="false" outlineLevel="0" collapsed="false">
      <c r="A84" s="20" t="n">
        <v>40359</v>
      </c>
      <c r="B84" s="30" t="n">
        <f aca="false">'SA Data'!B84</f>
        <v>140.56871</v>
      </c>
      <c r="C84" s="31" t="n">
        <f aca="false">IFERROR((B84/B83-1)*100,"")</f>
        <v>0.989587782396439</v>
      </c>
      <c r="D84" s="31" t="n">
        <f aca="false">IFERROR((AVERAGE(B82:B84)/AVERAGE(B79:B81)-1)*100,"")</f>
        <v>4.46616096349355</v>
      </c>
      <c r="E84" s="31" t="n">
        <f aca="false">IFERROR(((AVERAGE(B82:B84)/AVERAGE(B79:B81))^4-1)*100,"")</f>
        <v>19.0974712250342</v>
      </c>
      <c r="F84" s="31" t="n">
        <f aca="false">IFERROR((B84/B72-1)*100,"")</f>
        <v>14.7092806673878</v>
      </c>
      <c r="G84" s="31" t="n">
        <f aca="false">IFERROR((AVERAGE(B79:B84)/AVERAGE(B67:B72)-1)*100,"")</f>
        <v>10.2843578827103</v>
      </c>
      <c r="H84" s="30" t="n">
        <f aca="false">'SA Data'!U84</f>
        <v>140.275734463207</v>
      </c>
      <c r="I84" s="31" t="n">
        <f aca="false">IFERROR((H84/H83-1)*100,"")</f>
        <v>1.21904471734899</v>
      </c>
      <c r="J84" s="31" t="n">
        <f aca="false">IFERROR((AVERAGE(H82:H84)/AVERAGE(H79:H81)-1)*100,"")</f>
        <v>4.13430747295054</v>
      </c>
      <c r="K84" s="31" t="n">
        <f aca="false">IFERROR(((AVERAGE(H82:H84)/AVERAGE(H79:H81))^4-1)*100,"")</f>
        <v>17.591338199503</v>
      </c>
      <c r="L84" s="31" t="n">
        <f aca="false">IFERROR(('SA Data'!Y84/'SA Data'!Y72-1)*100,"")</f>
        <v>14.5032378004307</v>
      </c>
      <c r="M84" s="31" t="n">
        <f aca="false">IFERROR((AVERAGE('SA Data'!Y79:Y84)/AVERAGE('SA Data'!Y67:Y72)-1)*100,"")</f>
        <v>11.0944021913303</v>
      </c>
    </row>
    <row r="85" customFormat="false" ht="15" hidden="false" customHeight="false" outlineLevel="0" collapsed="false">
      <c r="A85" s="20" t="n">
        <v>40390</v>
      </c>
      <c r="B85" s="30" t="n">
        <f aca="false">'SA Data'!B85</f>
        <v>139.39691</v>
      </c>
      <c r="C85" s="31" t="n">
        <f aca="false">IFERROR((B85/B84-1)*100,"")</f>
        <v>-0.833613682589829</v>
      </c>
      <c r="D85" s="31" t="n">
        <f aca="false">IFERROR((AVERAGE(B83:B85)/AVERAGE(B80:B82)-1)*100,"")</f>
        <v>3.76224842834905</v>
      </c>
      <c r="E85" s="31" t="n">
        <f aca="false">IFERROR(((AVERAGE(B83:B85)/AVERAGE(B80:B82))^4-1)*100,"")</f>
        <v>15.9197659759095</v>
      </c>
      <c r="F85" s="31" t="n">
        <f aca="false">IFERROR((B85/B73-1)*100,"")</f>
        <v>11.7368540360503</v>
      </c>
      <c r="G85" s="31" t="n">
        <f aca="false">IFERROR((AVERAGE(B79:B85)/AVERAGE(B67:B73)-1)*100,"")</f>
        <v>10.4940498795228</v>
      </c>
      <c r="H85" s="30" t="n">
        <f aca="false">'SA Data'!U85</f>
        <v>138.296444669226</v>
      </c>
      <c r="I85" s="31" t="n">
        <f aca="false">IFERROR((H85/H84-1)*100,"")</f>
        <v>-1.41099941594012</v>
      </c>
      <c r="J85" s="31" t="n">
        <f aca="false">IFERROR((AVERAGE(H83:H85)/AVERAGE(H80:H82)-1)*100,"")</f>
        <v>2.31219670475975</v>
      </c>
      <c r="K85" s="31" t="n">
        <f aca="false">IFERROR(((AVERAGE(H83:H85)/AVERAGE(H80:H82))^4-1)*100,"")</f>
        <v>9.57453525354077</v>
      </c>
      <c r="L85" s="31" t="n">
        <f aca="false">IFERROR(('SA Data'!Y85/'SA Data'!Y73-1)*100,"")</f>
        <v>8.61045272939058</v>
      </c>
      <c r="M85" s="31" t="n">
        <f aca="false">IFERROR((AVERAGE('SA Data'!Y79:Y85)/AVERAGE('SA Data'!Y67:Y73)-1)*100,"")</f>
        <v>10.7332221687209</v>
      </c>
    </row>
    <row r="86" customFormat="false" ht="15" hidden="false" customHeight="false" outlineLevel="0" collapsed="false">
      <c r="A86" s="20" t="n">
        <v>40421</v>
      </c>
      <c r="B86" s="30" t="n">
        <f aca="false">'SA Data'!B86</f>
        <v>140.00233</v>
      </c>
      <c r="C86" s="31" t="n">
        <f aca="false">IFERROR((B86/B85-1)*100,"")</f>
        <v>0.434313787873775</v>
      </c>
      <c r="D86" s="31" t="n">
        <f aca="false">IFERROR((AVERAGE(B84:B86)/AVERAGE(B81:B83)-1)*100,"")</f>
        <v>2.42446229150763</v>
      </c>
      <c r="E86" s="31" t="n">
        <f aca="false">IFERROR(((AVERAGE(B84:B86)/AVERAGE(B81:B83))^4-1)*100,"")</f>
        <v>10.0562651739126</v>
      </c>
      <c r="F86" s="31" t="n">
        <f aca="false">IFERROR((B86/B74-1)*100,"")</f>
        <v>10.4186374093695</v>
      </c>
      <c r="G86" s="31" t="n">
        <f aca="false">IFERROR((AVERAGE(B79:B86)/AVERAGE(B67:B74)-1)*100,"")</f>
        <v>10.4844007738845</v>
      </c>
      <c r="H86" s="30" t="n">
        <f aca="false">'SA Data'!U86</f>
        <v>138.618077947825</v>
      </c>
      <c r="I86" s="31" t="n">
        <f aca="false">IFERROR((H86/H85-1)*100,"")</f>
        <v>0.232568002285438</v>
      </c>
      <c r="J86" s="31" t="n">
        <f aca="false">IFERROR((AVERAGE(H84:H86)/AVERAGE(H81:H83)-1)*100,"")</f>
        <v>0.984863114228785</v>
      </c>
      <c r="K86" s="31" t="n">
        <f aca="false">IFERROR(((AVERAGE(H84:H86)/AVERAGE(H81:H83))^4-1)*100,"")</f>
        <v>3.99803282825477</v>
      </c>
      <c r="L86" s="31" t="n">
        <f aca="false">IFERROR(('SA Data'!Y86/'SA Data'!Y74-1)*100,"")</f>
        <v>8.93468142910188</v>
      </c>
      <c r="M86" s="31" t="n">
        <f aca="false">IFERROR((AVERAGE('SA Data'!Y79:Y86)/AVERAGE('SA Data'!Y67:Y74)-1)*100,"")</f>
        <v>10.5088081277294</v>
      </c>
    </row>
    <row r="87" customFormat="false" ht="15" hidden="false" customHeight="false" outlineLevel="0" collapsed="false">
      <c r="A87" s="20" t="n">
        <v>40451</v>
      </c>
      <c r="B87" s="30" t="n">
        <f aca="false">'SA Data'!B87</f>
        <v>139.38548</v>
      </c>
      <c r="C87" s="31" t="n">
        <f aca="false">IFERROR((B87/B86-1)*100,"")</f>
        <v>-0.44059981001745</v>
      </c>
      <c r="D87" s="31" t="n">
        <f aca="false">IFERROR((AVERAGE(B85:B87)/AVERAGE(B82:B84)-1)*100,"")</f>
        <v>0.518307432683174</v>
      </c>
      <c r="E87" s="31" t="n">
        <f aca="false">IFERROR(((AVERAGE(B85:B87)/AVERAGE(B82:B84))^4-1)*100,"")</f>
        <v>2.08940405436946</v>
      </c>
      <c r="F87" s="31" t="n">
        <f aca="false">IFERROR((B87/B75-1)*100,"")</f>
        <v>8.7431161518527</v>
      </c>
      <c r="G87" s="31" t="n">
        <f aca="false">IFERROR((AVERAGE(B79:B87)/AVERAGE(B67:B75)-1)*100,"")</f>
        <v>10.2849627580497</v>
      </c>
      <c r="H87" s="30" t="n">
        <f aca="false">'SA Data'!U87</f>
        <v>138.643082480188</v>
      </c>
      <c r="I87" s="31" t="n">
        <f aca="false">IFERROR((H87/H86-1)*100,"")</f>
        <v>0.018038435342338</v>
      </c>
      <c r="J87" s="31" t="n">
        <f aca="false">IFERROR((AVERAGE(H85:H87)/AVERAGE(H82:H84)-1)*100,"")</f>
        <v>-0.432665022798162</v>
      </c>
      <c r="K87" s="31" t="n">
        <f aca="false">IFERROR(((AVERAGE(H85:H87)/AVERAGE(H82:H84))^4-1)*100,"")</f>
        <v>-1.71946051261964</v>
      </c>
      <c r="L87" s="31" t="n">
        <f aca="false">IFERROR(('SA Data'!Y87/'SA Data'!Y75-1)*100,"")</f>
        <v>7.18257790524497</v>
      </c>
      <c r="M87" s="31" t="n">
        <f aca="false">IFERROR((AVERAGE('SA Data'!Y79:Y87)/AVERAGE('SA Data'!Y67:Y75)-1)*100,"")</f>
        <v>10.1358295377957</v>
      </c>
    </row>
    <row r="88" customFormat="false" ht="15" hidden="false" customHeight="false" outlineLevel="0" collapsed="false">
      <c r="A88" s="20" t="n">
        <v>40482</v>
      </c>
      <c r="B88" s="30" t="n">
        <f aca="false">'SA Data'!B88</f>
        <v>140.18864</v>
      </c>
      <c r="C88" s="31" t="n">
        <f aca="false">IFERROR((B88/B87-1)*100,"")</f>
        <v>0.576214968732747</v>
      </c>
      <c r="D88" s="31" t="n">
        <f aca="false">IFERROR((AVERAGE(B86:B88)/AVERAGE(B83:B85)-1)*100,"")</f>
        <v>0.100091395367907</v>
      </c>
      <c r="E88" s="31" t="n">
        <f aca="false">IFERROR(((AVERAGE(B86:B88)/AVERAGE(B83:B85))^4-1)*100,"")</f>
        <v>0.400967079915349</v>
      </c>
      <c r="F88" s="31" t="n">
        <f aca="false">IFERROR((B88/B76-1)*100,"")</f>
        <v>8.49905094334877</v>
      </c>
      <c r="G88" s="31" t="n">
        <f aca="false">IFERROR((AVERAGE(B79:B88)/AVERAGE(B67:B76)-1)*100,"")</f>
        <v>10.1001135413248</v>
      </c>
      <c r="H88" s="30" t="n">
        <f aca="false">'SA Data'!U88</f>
        <v>137.977688834901</v>
      </c>
      <c r="I88" s="31" t="n">
        <f aca="false">IFERROR((H88/H87-1)*100,"")</f>
        <v>-0.479932812646866</v>
      </c>
      <c r="J88" s="31" t="n">
        <f aca="false">IFERROR((AVERAGE(H86:H88)/AVERAGE(H83:H85)-1)*100,"")</f>
        <v>-0.460169304589764</v>
      </c>
      <c r="K88" s="31" t="n">
        <f aca="false">IFERROR(((AVERAGE(H86:H88)/AVERAGE(H83:H85))^4-1)*100,"")</f>
        <v>-1.82801080359098</v>
      </c>
      <c r="L88" s="31" t="n">
        <f aca="false">IFERROR(('SA Data'!Y88/'SA Data'!Y76-1)*100,"")</f>
        <v>6.07796833225964</v>
      </c>
      <c r="M88" s="31" t="n">
        <f aca="false">IFERROR((AVERAGE('SA Data'!Y79:Y88)/AVERAGE('SA Data'!Y67:Y76)-1)*100,"")</f>
        <v>9.72314545964867</v>
      </c>
    </row>
    <row r="89" customFormat="false" ht="15" hidden="false" customHeight="false" outlineLevel="0" collapsed="false">
      <c r="A89" s="20" t="n">
        <v>40512</v>
      </c>
      <c r="B89" s="30" t="n">
        <f aca="false">'SA Data'!B89</f>
        <v>142.24157</v>
      </c>
      <c r="C89" s="31" t="n">
        <f aca="false">IFERROR((B89/B88-1)*100,"")</f>
        <v>1.46440538976624</v>
      </c>
      <c r="D89" s="31" t="n">
        <f aca="false">IFERROR((AVERAGE(B87:B89)/AVERAGE(B84:B86)-1)*100,"")</f>
        <v>0.439971669266681</v>
      </c>
      <c r="E89" s="31" t="n">
        <f aca="false">IFERROR(((AVERAGE(B87:B89)/AVERAGE(B84:B86))^4-1)*100,"")</f>
        <v>1.7715352857421</v>
      </c>
      <c r="F89" s="31" t="n">
        <f aca="false">IFERROR((B89/B77-1)*100,"")</f>
        <v>9.6445010544225</v>
      </c>
      <c r="G89" s="31" t="n">
        <f aca="false">IFERROR((AVERAGE(B79:B89)/AVERAGE(B67:B77)-1)*100,"")</f>
        <v>10.0572224241043</v>
      </c>
      <c r="H89" s="30" t="n">
        <f aca="false">'SA Data'!U89</f>
        <v>142.218052336024</v>
      </c>
      <c r="I89" s="31" t="n">
        <f aca="false">IFERROR((H89/H88-1)*100,"")</f>
        <v>3.07322403855941</v>
      </c>
      <c r="J89" s="31" t="n">
        <f aca="false">IFERROR((AVERAGE(H87:H89)/AVERAGE(H84:H86)-1)*100,"")</f>
        <v>0.395159412971968</v>
      </c>
      <c r="K89" s="31" t="n">
        <f aca="false">IFERROR(((AVERAGE(H87:H89)/AVERAGE(H84:H86))^4-1)*100,"")</f>
        <v>1.59003141577956</v>
      </c>
      <c r="L89" s="31" t="n">
        <f aca="false">IFERROR(('SA Data'!Y89/'SA Data'!Y77-1)*100,"")</f>
        <v>8.74916676311786</v>
      </c>
      <c r="M89" s="31" t="n">
        <f aca="false">IFERROR((AVERAGE('SA Data'!Y79:Y89)/AVERAGE('SA Data'!Y67:Y77)-1)*100,"")</f>
        <v>9.63295047279291</v>
      </c>
    </row>
    <row r="90" customFormat="false" ht="15" hidden="false" customHeight="false" outlineLevel="0" collapsed="false">
      <c r="A90" s="20" t="n">
        <v>40543</v>
      </c>
      <c r="B90" s="30" t="n">
        <f aca="false">'SA Data'!B90</f>
        <v>141.97979</v>
      </c>
      <c r="C90" s="31" t="n">
        <f aca="false">IFERROR((B90/B89-1)*100,"")</f>
        <v>-0.184039026003435</v>
      </c>
      <c r="D90" s="31" t="n">
        <f aca="false">IFERROR((AVERAGE(B88:B90)/AVERAGE(B85:B87)-1)*100,"")</f>
        <v>1.34323907519835</v>
      </c>
      <c r="E90" s="31" t="n">
        <f aca="false">IFERROR(((AVERAGE(B88:B90)/AVERAGE(B85:B87))^4-1)*100,"")</f>
        <v>5.48218646683281</v>
      </c>
      <c r="F90" s="31" t="n">
        <f aca="false">IFERROR((B90/B78-1)*100,"")</f>
        <v>10.8589716882102</v>
      </c>
      <c r="G90" s="31" t="n">
        <f aca="false">IFERROR((AVERAGE(B79:B90)/AVERAGE(B67:B78)-1)*100,"")</f>
        <v>10.1253983839463</v>
      </c>
      <c r="H90" s="30" t="n">
        <f aca="false">'SA Data'!U90</f>
        <v>142.958735980589</v>
      </c>
      <c r="I90" s="31" t="n">
        <f aca="false">IFERROR((H90/H89-1)*100,"")</f>
        <v>0.520808457435007</v>
      </c>
      <c r="J90" s="31" t="n">
        <f aca="false">IFERROR((AVERAGE(H88:H90)/AVERAGE(H85:H87)-1)*100,"")</f>
        <v>1.82811527477567</v>
      </c>
      <c r="K90" s="31" t="n">
        <f aca="false">IFERROR(((AVERAGE(H88:H90)/AVERAGE(H85:H87))^4-1)*100,"")</f>
        <v>7.5154364240656</v>
      </c>
      <c r="L90" s="31" t="n">
        <f aca="false">IFERROR(('SA Data'!Y90/'SA Data'!Y78-1)*100,"")</f>
        <v>8.57827869131178</v>
      </c>
      <c r="M90" s="31" t="n">
        <f aca="false">IFERROR((AVERAGE('SA Data'!Y79:Y90)/AVERAGE('SA Data'!Y67:Y78)-1)*100,"")</f>
        <v>9.54442240713707</v>
      </c>
    </row>
    <row r="91" customFormat="false" ht="15" hidden="false" customHeight="false" outlineLevel="0" collapsed="false">
      <c r="A91" s="20" t="n">
        <v>40574</v>
      </c>
      <c r="B91" s="30" t="n">
        <f aca="false">'SA Data'!B91</f>
        <v>145.85115</v>
      </c>
      <c r="C91" s="31" t="n">
        <f aca="false">IFERROR((B91/B90-1)*100,"")</f>
        <v>2.726697933558</v>
      </c>
      <c r="D91" s="31" t="n">
        <f aca="false">IFERROR((AVERAGE(B89:B91)/AVERAGE(B86:B88)-1)*100,"")</f>
        <v>2.50158463374193</v>
      </c>
      <c r="E91" s="31" t="n">
        <f aca="false">IFERROR(((AVERAGE(B89:B91)/AVERAGE(B86:B88))^4-1)*100,"")</f>
        <v>10.3881151296758</v>
      </c>
      <c r="F91" s="31" t="n">
        <f aca="false">IFERROR((B91/B79-1)*100,"")</f>
        <v>10.7281649917883</v>
      </c>
      <c r="G91" s="31" t="n">
        <f aca="false">IFERROR((AVERAGE(B91:B91)/AVERAGE(B79:B79)-1)*100,"")</f>
        <v>10.7281649917883</v>
      </c>
      <c r="H91" s="30" t="n">
        <f aca="false">'SA Data'!U91</f>
        <v>144.2836545207</v>
      </c>
      <c r="I91" s="31" t="n">
        <f aca="false">IFERROR((H91/H90-1)*100,"")</f>
        <v>0.926783893983862</v>
      </c>
      <c r="J91" s="31" t="n">
        <f aca="false">IFERROR((AVERAGE(H89:H91)/AVERAGE(H86:H88)-1)*100,"")</f>
        <v>3.42491883879446</v>
      </c>
      <c r="K91" s="31" t="n">
        <f aca="false">IFERROR(((AVERAGE(H89:H91)/AVERAGE(H86:H88))^4-1)*100,"")</f>
        <v>14.4196869066286</v>
      </c>
      <c r="L91" s="31" t="n">
        <f aca="false">IFERROR(('SA Data'!Y91/'SA Data'!Y79-1)*100,"")</f>
        <v>8.41904908103626</v>
      </c>
      <c r="M91" s="31" t="n">
        <f aca="false">IFERROR((AVERAGE('SA Data'!Y91:Y91)/AVERAGE('SA Data'!Y79:Y79)-1)*100,"")</f>
        <v>8.41904908103626</v>
      </c>
    </row>
    <row r="92" customFormat="false" ht="15" hidden="false" customHeight="false" outlineLevel="0" collapsed="false">
      <c r="A92" s="20" t="n">
        <v>40602</v>
      </c>
      <c r="B92" s="30" t="n">
        <f aca="false">'SA Data'!B92</f>
        <v>143.85332</v>
      </c>
      <c r="C92" s="31" t="n">
        <f aca="false">IFERROR((B92/B91-1)*100,"")</f>
        <v>-1.36977322427694</v>
      </c>
      <c r="D92" s="31" t="n">
        <f aca="false">IFERROR((AVERAGE(B90:B92)/AVERAGE(B87:B89)-1)*100,"")</f>
        <v>2.33954550149615</v>
      </c>
      <c r="E92" s="31" t="n">
        <f aca="false">IFERROR(((AVERAGE(B90:B92)/AVERAGE(B87:B89))^4-1)*100,"")</f>
        <v>9.69174252990483</v>
      </c>
      <c r="F92" s="31" t="n">
        <f aca="false">IFERROR((B92/B80-1)*100,"")</f>
        <v>8.06024431793513</v>
      </c>
      <c r="G92" s="31" t="n">
        <f aca="false">IFERROR((AVERAGE(B91:B92)/AVERAGE(B79:B80)-1)*100,"")</f>
        <v>9.38713677715883</v>
      </c>
      <c r="H92" s="30" t="n">
        <f aca="false">'SA Data'!U92</f>
        <v>143.620166362029</v>
      </c>
      <c r="I92" s="31" t="n">
        <f aca="false">IFERROR((H92/H91-1)*100,"")</f>
        <v>-0.459849842918747</v>
      </c>
      <c r="J92" s="31" t="n">
        <f aca="false">IFERROR((AVERAGE(H90:H92)/AVERAGE(H87:H89)-1)*100,"")</f>
        <v>2.87073034619663</v>
      </c>
      <c r="K92" s="31" t="n">
        <f aca="false">IFERROR(((AVERAGE(H90:H92)/AVERAGE(H87:H89))^4-1)*100,"")</f>
        <v>11.9869180456137</v>
      </c>
      <c r="L92" s="31" t="n">
        <f aca="false">IFERROR(('SA Data'!Y92/'SA Data'!Y80-1)*100,"")</f>
        <v>7.30076779134863</v>
      </c>
      <c r="M92" s="31" t="n">
        <f aca="false">IFERROR((AVERAGE('SA Data'!Y91:Y92)/AVERAGE('SA Data'!Y79:Y80)-1)*100,"")</f>
        <v>7.86277185041659</v>
      </c>
    </row>
    <row r="93" customFormat="false" ht="15" hidden="false" customHeight="false" outlineLevel="0" collapsed="false">
      <c r="A93" s="20" t="n">
        <v>40633</v>
      </c>
      <c r="B93" s="30" t="n">
        <f aca="false">'SA Data'!B93</f>
        <v>144.86151</v>
      </c>
      <c r="C93" s="31" t="n">
        <f aca="false">IFERROR((B93/B92-1)*100,"")</f>
        <v>0.700845833797925</v>
      </c>
      <c r="D93" s="31" t="n">
        <f aca="false">IFERROR((AVERAGE(B91:B93)/AVERAGE(B88:B90)-1)*100,"")</f>
        <v>2.39296435051011</v>
      </c>
      <c r="E93" s="31" t="n">
        <f aca="false">IFERROR(((AVERAGE(B91:B93)/AVERAGE(B88:B90))^4-1)*100,"")</f>
        <v>9.92094800728576</v>
      </c>
      <c r="F93" s="31" t="n">
        <f aca="false">IFERROR((B93/B81-1)*100,"")</f>
        <v>8.12949786889476</v>
      </c>
      <c r="G93" s="31" t="n">
        <f aca="false">IFERROR((AVERAGE(B91:B93)/AVERAGE(B79:B81)-1)*100,"")</f>
        <v>8.96466786017307</v>
      </c>
      <c r="H93" s="30" t="n">
        <f aca="false">'SA Data'!U93</f>
        <v>145.522224999266</v>
      </c>
      <c r="I93" s="31" t="n">
        <f aca="false">IFERROR((H93/H92-1)*100,"")</f>
        <v>1.32436738197517</v>
      </c>
      <c r="J93" s="31" t="n">
        <f aca="false">IFERROR((AVERAGE(H91:H93)/AVERAGE(H88:H90)-1)*100,"")</f>
        <v>2.42738037409547</v>
      </c>
      <c r="K93" s="31" t="n">
        <f aca="false">IFERROR(((AVERAGE(H91:H93)/AVERAGE(H88:H90))^4-1)*100,"")</f>
        <v>10.0688077633953</v>
      </c>
      <c r="L93" s="31" t="n">
        <f aca="false">IFERROR(('SA Data'!Y93/'SA Data'!Y81-1)*100,"")</f>
        <v>6.7639620594637</v>
      </c>
      <c r="M93" s="31" t="n">
        <f aca="false">IFERROR((AVERAGE('SA Data'!Y91:Y93)/AVERAGE('SA Data'!Y79:Y81)-1)*100,"")</f>
        <v>7.4671791146683</v>
      </c>
    </row>
    <row r="94" customFormat="false" ht="15" hidden="false" customHeight="false" outlineLevel="0" collapsed="false">
      <c r="A94" s="20" t="n">
        <v>40663</v>
      </c>
      <c r="B94" s="30" t="n">
        <f aca="false">'SA Data'!B94</f>
        <v>144.92865</v>
      </c>
      <c r="C94" s="31" t="n">
        <f aca="false">IFERROR((B94/B93-1)*100,"")</f>
        <v>0.0463477151384062</v>
      </c>
      <c r="D94" s="31" t="n">
        <f aca="false">IFERROR((AVERAGE(B92:B94)/AVERAGE(B89:B91)-1)*100,"")</f>
        <v>0.830318124727403</v>
      </c>
      <c r="E94" s="31" t="n">
        <f aca="false">IFERROR(((AVERAGE(B92:B94)/AVERAGE(B89:B91))^4-1)*100,"")</f>
        <v>3.36286764340406</v>
      </c>
      <c r="F94" s="31" t="n">
        <f aca="false">IFERROR((B94/B82-1)*100,"")</f>
        <v>5.89143400241932</v>
      </c>
      <c r="G94" s="31" t="n">
        <f aca="false">IFERROR((AVERAGE(B91:B94)/AVERAGE(B79:B82)-1)*100,"")</f>
        <v>8.17946039249105</v>
      </c>
      <c r="H94" s="30" t="n">
        <f aca="false">'SA Data'!U94</f>
        <v>144.977366886552</v>
      </c>
      <c r="I94" s="31" t="n">
        <f aca="false">IFERROR((H94/H93-1)*100,"")</f>
        <v>-0.374415738019984</v>
      </c>
      <c r="J94" s="31" t="n">
        <f aca="false">IFERROR((AVERAGE(H92:H94)/AVERAGE(H89:H91)-1)*100,"")</f>
        <v>1.08492306759438</v>
      </c>
      <c r="K94" s="31" t="n">
        <f aca="false">IFERROR(((AVERAGE(H92:H94)/AVERAGE(H89:H91))^4-1)*100,"")</f>
        <v>4.4108279465767</v>
      </c>
      <c r="L94" s="31" t="n">
        <f aca="false">IFERROR(('SA Data'!Y94/'SA Data'!Y82-1)*100,"")</f>
        <v>4.14186635790215</v>
      </c>
      <c r="M94" s="31" t="n">
        <f aca="false">IFERROR((AVERAGE('SA Data'!Y91:Y94)/AVERAGE('SA Data'!Y79:Y82)-1)*100,"")</f>
        <v>6.55000994182737</v>
      </c>
    </row>
    <row r="95" customFormat="false" ht="15" hidden="false" customHeight="false" outlineLevel="0" collapsed="false">
      <c r="A95" s="20" t="n">
        <v>40694</v>
      </c>
      <c r="B95" s="30" t="n">
        <f aca="false">'SA Data'!B95</f>
        <v>147.18633</v>
      </c>
      <c r="C95" s="31" t="n">
        <f aca="false">IFERROR((B95/B94-1)*100,"")</f>
        <v>1.55778722840514</v>
      </c>
      <c r="D95" s="31" t="n">
        <f aca="false">IFERROR((AVERAGE(B93:B95)/AVERAGE(B90:B92)-1)*100,"")</f>
        <v>1.22594926208335</v>
      </c>
      <c r="E95" s="31" t="n">
        <f aca="false">IFERROR(((AVERAGE(B93:B95)/AVERAGE(B90:B92))^4-1)*100,"")</f>
        <v>4.99471341974771</v>
      </c>
      <c r="F95" s="31" t="n">
        <f aca="false">IFERROR((B95/B83-1)*100,"")</f>
        <v>5.74392262619305</v>
      </c>
      <c r="G95" s="31" t="n">
        <f aca="false">IFERROR((AVERAGE(B91:B95)/AVERAGE(B79:B83)-1)*100,"")</f>
        <v>7.67713326592385</v>
      </c>
      <c r="H95" s="30" t="n">
        <f aca="false">'SA Data'!U95</f>
        <v>147.31976356395</v>
      </c>
      <c r="I95" s="31" t="n">
        <f aca="false">IFERROR((H95/H94-1)*100,"")</f>
        <v>1.61569817944824</v>
      </c>
      <c r="J95" s="31" t="n">
        <f aca="false">IFERROR((AVERAGE(H93:H95)/AVERAGE(H90:H92)-1)*100,"")</f>
        <v>1.61462129294694</v>
      </c>
      <c r="K95" s="31" t="n">
        <f aca="false">IFERROR(((AVERAGE(H93:H95)/AVERAGE(H90:H92))^4-1)*100,"")</f>
        <v>6.61659581174909</v>
      </c>
      <c r="L95" s="31" t="n">
        <f aca="false">IFERROR(('SA Data'!Y95/'SA Data'!Y83-1)*100,"")</f>
        <v>4.50796423429807</v>
      </c>
      <c r="M95" s="31" t="n">
        <f aca="false">IFERROR((AVERAGE('SA Data'!Y91:Y95)/AVERAGE('SA Data'!Y79:Y83)-1)*100,"")</f>
        <v>6.07985663746258</v>
      </c>
    </row>
    <row r="96" customFormat="false" ht="15" hidden="false" customHeight="false" outlineLevel="0" collapsed="false">
      <c r="A96" s="20" t="n">
        <v>40724</v>
      </c>
      <c r="B96" s="30" t="n">
        <f aca="false">'SA Data'!B96</f>
        <v>146.80269</v>
      </c>
      <c r="C96" s="31" t="n">
        <f aca="false">IFERROR((B96/B95-1)*100,"")</f>
        <v>-0.260649205670105</v>
      </c>
      <c r="D96" s="31" t="n">
        <f aca="false">IFERROR((AVERAGE(B94:B96)/AVERAGE(B91:B93)-1)*100,"")</f>
        <v>1.0013876373848</v>
      </c>
      <c r="E96" s="31" t="n">
        <f aca="false">IFERROR(((AVERAGE(B94:B96)/AVERAGE(B91:B93))^4-1)*100,"")</f>
        <v>4.06611985459631</v>
      </c>
      <c r="F96" s="31" t="n">
        <f aca="false">IFERROR((B96/B84-1)*100,"")</f>
        <v>4.43482763696133</v>
      </c>
      <c r="G96" s="31" t="n">
        <f aca="false">IFERROR((AVERAGE(B91:B96)/AVERAGE(B79:B84)-1)*100,"")</f>
        <v>7.11821134672763</v>
      </c>
      <c r="H96" s="30" t="n">
        <f aca="false">'SA Data'!U96</f>
        <v>148.063900261777</v>
      </c>
      <c r="I96" s="31" t="n">
        <f aca="false">IFERROR((H96/H95-1)*100,"")</f>
        <v>0.505116679408468</v>
      </c>
      <c r="J96" s="31" t="n">
        <f aca="false">IFERROR((AVERAGE(H94:H96)/AVERAGE(H91:H93)-1)*100,"")</f>
        <v>1.60003878312656</v>
      </c>
      <c r="K96" s="31" t="n">
        <f aca="false">IFERROR(((AVERAGE(H94:H96)/AVERAGE(H91:H93))^4-1)*100,"")</f>
        <v>6.55540765233686</v>
      </c>
      <c r="L96" s="31" t="n">
        <f aca="false">IFERROR(('SA Data'!Y96/'SA Data'!Y84-1)*100,"")</f>
        <v>5.18723031440824</v>
      </c>
      <c r="M96" s="31" t="n">
        <f aca="false">IFERROR((AVERAGE('SA Data'!Y91:Y96)/AVERAGE('SA Data'!Y79:Y84)-1)*100,"")</f>
        <v>5.92073298889644</v>
      </c>
    </row>
    <row r="97" customFormat="false" ht="15" hidden="false" customHeight="false" outlineLevel="0" collapsed="false">
      <c r="A97" s="20" t="n">
        <v>40755</v>
      </c>
      <c r="B97" s="30" t="n">
        <f aca="false">'SA Data'!B97</f>
        <v>147.15673</v>
      </c>
      <c r="C97" s="31" t="n">
        <f aca="false">IFERROR((B97/B96-1)*100,"")</f>
        <v>0.241167242916318</v>
      </c>
      <c r="D97" s="31" t="n">
        <f aca="false">IFERROR((AVERAGE(B95:B97)/AVERAGE(B92:B94)-1)*100,"")</f>
        <v>1.73005483675206</v>
      </c>
      <c r="E97" s="31" t="n">
        <f aca="false">IFERROR(((AVERAGE(B95:B97)/AVERAGE(B92:B94))^4-1)*100,"")</f>
        <v>7.10188497363591</v>
      </c>
      <c r="F97" s="31" t="n">
        <f aca="false">IFERROR((B97/B85-1)*100,"")</f>
        <v>5.56670875990006</v>
      </c>
      <c r="G97" s="31" t="n">
        <f aca="false">IFERROR((AVERAGE(B91:B97)/AVERAGE(B79:B85)-1)*100,"")</f>
        <v>6.89170680419231</v>
      </c>
      <c r="H97" s="30" t="n">
        <f aca="false">'SA Data'!U97</f>
        <v>145.342861797895</v>
      </c>
      <c r="I97" s="31" t="n">
        <f aca="false">IFERROR((H97/H96-1)*100,"")</f>
        <v>-1.83774604010223</v>
      </c>
      <c r="J97" s="31" t="n">
        <f aca="false">IFERROR((AVERAGE(H95:H97)/AVERAGE(H92:H94)-1)*100,"")</f>
        <v>1.52187668270161</v>
      </c>
      <c r="K97" s="31" t="n">
        <f aca="false">IFERROR(((AVERAGE(H95:H97)/AVERAGE(H92:H94))^4-1)*100,"")</f>
        <v>6.22788854609861</v>
      </c>
      <c r="L97" s="31" t="n">
        <f aca="false">IFERROR(('SA Data'!Y97/'SA Data'!Y85-1)*100,"")</f>
        <v>5.32831068939241</v>
      </c>
      <c r="M97" s="31" t="n">
        <f aca="false">IFERROR((AVERAGE('SA Data'!Y91:Y97)/AVERAGE('SA Data'!Y79:Y85)-1)*100,"")</f>
        <v>5.83624284505706</v>
      </c>
    </row>
    <row r="98" customFormat="false" ht="15" hidden="false" customHeight="false" outlineLevel="0" collapsed="false">
      <c r="A98" s="20" t="n">
        <v>40786</v>
      </c>
      <c r="B98" s="30" t="n">
        <f aca="false">'SA Data'!B98</f>
        <v>146.95911</v>
      </c>
      <c r="C98" s="31" t="n">
        <f aca="false">IFERROR((B98/B97-1)*100,"")</f>
        <v>-0.134292193092356</v>
      </c>
      <c r="D98" s="31" t="n">
        <f aca="false">IFERROR((AVERAGE(B96:B98)/AVERAGE(B93:B95)-1)*100,"")</f>
        <v>0.902117182551421</v>
      </c>
      <c r="E98" s="31" t="n">
        <f aca="false">IFERROR(((AVERAGE(B96:B98)/AVERAGE(B93:B95))^4-1)*100,"")</f>
        <v>3.65759197991078</v>
      </c>
      <c r="F98" s="31" t="n">
        <f aca="false">IFERROR((B98/B86-1)*100,"")</f>
        <v>4.969045872308</v>
      </c>
      <c r="G98" s="31" t="n">
        <f aca="false">IFERROR((AVERAGE(B91:B98)/AVERAGE(B79:B86)-1)*100,"")</f>
        <v>6.64584672610351</v>
      </c>
      <c r="H98" s="30" t="n">
        <f aca="false">'SA Data'!U98</f>
        <v>147.620369971</v>
      </c>
      <c r="I98" s="31" t="n">
        <f aca="false">IFERROR((H98/H97-1)*100,"")</f>
        <v>1.56699004335821</v>
      </c>
      <c r="J98" s="31" t="n">
        <f aca="false">IFERROR((AVERAGE(H96:H98)/AVERAGE(H93:H95)-1)*100,"")</f>
        <v>0.732671258356765</v>
      </c>
      <c r="K98" s="31" t="n">
        <f aca="false">IFERROR(((AVERAGE(H96:H98)/AVERAGE(H93:H95))^4-1)*100,"")</f>
        <v>2.96305107323305</v>
      </c>
      <c r="L98" s="31" t="n">
        <f aca="false">IFERROR(('SA Data'!Y98/'SA Data'!Y86-1)*100,"")</f>
        <v>6.47632710917885</v>
      </c>
      <c r="M98" s="31" t="n">
        <f aca="false">IFERROR((AVERAGE('SA Data'!Y91:Y98)/AVERAGE('SA Data'!Y79:Y86)-1)*100,"")</f>
        <v>5.91497210512255</v>
      </c>
    </row>
    <row r="99" customFormat="false" ht="15" hidden="false" customHeight="false" outlineLevel="0" collapsed="false">
      <c r="A99" s="20" t="n">
        <v>40816</v>
      </c>
      <c r="B99" s="30" t="n">
        <f aca="false">'SA Data'!B99</f>
        <v>148.26517</v>
      </c>
      <c r="C99" s="31" t="n">
        <f aca="false">IFERROR((B99/B98-1)*100,"")</f>
        <v>0.88872340067927</v>
      </c>
      <c r="D99" s="31" t="n">
        <f aca="false">IFERROR((AVERAGE(B97:B99)/AVERAGE(B94:B96)-1)*100,"")</f>
        <v>0.789063698438031</v>
      </c>
      <c r="E99" s="31" t="n">
        <f aca="false">IFERROR(((AVERAGE(B97:B99)/AVERAGE(B94:B96))^4-1)*100,"")</f>
        <v>3.19380898783703</v>
      </c>
      <c r="F99" s="31" t="n">
        <f aca="false">IFERROR((B99/B87-1)*100,"")</f>
        <v>6.37059900356911</v>
      </c>
      <c r="G99" s="31" t="n">
        <f aca="false">IFERROR((AVERAGE(B91:B99)/AVERAGE(B79:B87)-1)*100,"")</f>
        <v>6.61476197548305</v>
      </c>
      <c r="H99" s="30" t="n">
        <f aca="false">'SA Data'!U99</f>
        <v>148.337403368698</v>
      </c>
      <c r="I99" s="31" t="n">
        <f aca="false">IFERROR((H99/H98-1)*100,"")</f>
        <v>0.48572795057944</v>
      </c>
      <c r="J99" s="31" t="n">
        <f aca="false">IFERROR((AVERAGE(H97:H99)/AVERAGE(H94:H96)-1)*100,"")</f>
        <v>0.213371383883398</v>
      </c>
      <c r="K99" s="31" t="n">
        <f aca="false">IFERROR(((AVERAGE(H97:H99)/AVERAGE(H94:H96))^4-1)*100,"")</f>
        <v>0.8562210641472</v>
      </c>
      <c r="L99" s="31" t="n">
        <f aca="false">IFERROR(('SA Data'!Y99/'SA Data'!Y87-1)*100,"")</f>
        <v>7.04180921749402</v>
      </c>
      <c r="M99" s="31" t="n">
        <f aca="false">IFERROR((AVERAGE('SA Data'!Y91:Y99)/AVERAGE('SA Data'!Y79:Y87)-1)*100,"")</f>
        <v>6.03793902945924</v>
      </c>
    </row>
    <row r="100" customFormat="false" ht="15" hidden="false" customHeight="false" outlineLevel="0" collapsed="false">
      <c r="A100" s="20" t="n">
        <v>40847</v>
      </c>
      <c r="B100" s="30" t="n">
        <f aca="false">'SA Data'!B100</f>
        <v>147.29114</v>
      </c>
      <c r="C100" s="31" t="n">
        <f aca="false">IFERROR((B100/B99-1)*100,"")</f>
        <v>-0.656951325790134</v>
      </c>
      <c r="D100" s="31" t="n">
        <f aca="false">IFERROR((AVERAGE(B98:B100)/AVERAGE(B95:B97)-1)*100,"")</f>
        <v>0.310480153101334</v>
      </c>
      <c r="E100" s="31" t="n">
        <f aca="false">IFERROR(((AVERAGE(B98:B100)/AVERAGE(B95:B97))^4-1)*100,"")</f>
        <v>1.24771646908315</v>
      </c>
      <c r="F100" s="31" t="n">
        <f aca="false">IFERROR((B100/B88-1)*100,"")</f>
        <v>5.06638769018661</v>
      </c>
      <c r="G100" s="31" t="n">
        <f aca="false">IFERROR((AVERAGE(B91:B100)/AVERAGE(B79:B88)-1)*100,"")</f>
        <v>6.45682939662779</v>
      </c>
      <c r="H100" s="30" t="n">
        <f aca="false">'SA Data'!U100</f>
        <v>146.409461337474</v>
      </c>
      <c r="I100" s="31" t="n">
        <f aca="false">IFERROR((H100/H99-1)*100,"")</f>
        <v>-1.29970053906933</v>
      </c>
      <c r="J100" s="31" t="n">
        <f aca="false">IFERROR((AVERAGE(H98:H100)/AVERAGE(H95:H97)-1)*100,"")</f>
        <v>0.372273724897254</v>
      </c>
      <c r="K100" s="31" t="n">
        <f aca="false">IFERROR(((AVERAGE(H98:H100)/AVERAGE(H95:H97))^4-1)*100,"")</f>
        <v>1.49743081939813</v>
      </c>
      <c r="L100" s="31" t="n">
        <f aca="false">IFERROR(('SA Data'!Y100/'SA Data'!Y88-1)*100,"")</f>
        <v>6.40829127379217</v>
      </c>
      <c r="M100" s="31" t="n">
        <f aca="false">IFERROR((AVERAGE('SA Data'!Y91:Y100)/AVERAGE('SA Data'!Y79:Y88)-1)*100,"")</f>
        <v>6.07435253160567</v>
      </c>
    </row>
    <row r="101" customFormat="false" ht="15" hidden="false" customHeight="false" outlineLevel="0" collapsed="false">
      <c r="A101" s="20" t="n">
        <v>40877</v>
      </c>
      <c r="B101" s="30" t="n">
        <f aca="false">'SA Data'!B101</f>
        <v>147.21589</v>
      </c>
      <c r="C101" s="31" t="n">
        <f aca="false">IFERROR((B101/B100-1)*100,"")</f>
        <v>-0.0510892915894456</v>
      </c>
      <c r="D101" s="31" t="n">
        <f aca="false">IFERROR((AVERAGE(B99:B101)/AVERAGE(B96:B98)-1)*100,"")</f>
        <v>0.420410999737286</v>
      </c>
      <c r="E101" s="31" t="n">
        <f aca="false">IFERROR(((AVERAGE(B99:B101)/AVERAGE(B96:B98))^4-1)*100,"")</f>
        <v>1.69227847699569</v>
      </c>
      <c r="F101" s="31" t="n">
        <f aca="false">IFERROR((B101/B89-1)*100,"")</f>
        <v>3.49709300874561</v>
      </c>
      <c r="G101" s="31" t="n">
        <f aca="false">IFERROR((AVERAGE(B91:B101)/AVERAGE(B79:B89)-1)*100,"")</f>
        <v>6.17924625928665</v>
      </c>
      <c r="H101" s="30" t="n">
        <f aca="false">'SA Data'!U101</f>
        <v>147.421437029898</v>
      </c>
      <c r="I101" s="31" t="n">
        <f aca="false">IFERROR((H101/H100-1)*100,"")</f>
        <v>0.691195557431579</v>
      </c>
      <c r="J101" s="31" t="n">
        <f aca="false">IFERROR((AVERAGE(H99:H101)/AVERAGE(H96:H98)-1)*100,"")</f>
        <v>0.258752721208522</v>
      </c>
      <c r="K101" s="31" t="n">
        <f aca="false">IFERROR(((AVERAGE(H99:H101)/AVERAGE(H96:H98))^4-1)*100,"")</f>
        <v>1.0390349972661</v>
      </c>
      <c r="L101" s="31" t="n">
        <f aca="false">IFERROR(('SA Data'!Y101/'SA Data'!Y89-1)*100,"")</f>
        <v>3.8190467330308</v>
      </c>
      <c r="M101" s="31" t="n">
        <f aca="false">IFERROR((AVERAGE('SA Data'!Y91:Y101)/AVERAGE('SA Data'!Y79:Y89)-1)*100,"")</f>
        <v>5.8671842735996</v>
      </c>
    </row>
    <row r="102" customFormat="false" ht="15" hidden="false" customHeight="false" outlineLevel="0" collapsed="false">
      <c r="A102" s="20" t="n">
        <v>40908</v>
      </c>
      <c r="B102" s="30" t="n">
        <f aca="false">'SA Data'!B102</f>
        <v>147.84559</v>
      </c>
      <c r="C102" s="31" t="n">
        <f aca="false">IFERROR((B102/B101-1)*100,"")</f>
        <v>0.427739152342843</v>
      </c>
      <c r="D102" s="31" t="n">
        <f aca="false">IFERROR((AVERAGE(B100:B102)/AVERAGE(B97:B99)-1)*100,"")</f>
        <v>-0.00641754491225166</v>
      </c>
      <c r="E102" s="31" t="n">
        <f aca="false">IFERROR(((AVERAGE(B100:B102)/AVERAGE(B97:B99))^4-1)*100,"")</f>
        <v>-0.0256677086617696</v>
      </c>
      <c r="F102" s="31" t="n">
        <f aca="false">IFERROR((B102/B90-1)*100,"")</f>
        <v>4.13143307227035</v>
      </c>
      <c r="G102" s="31" t="n">
        <f aca="false">IFERROR((AVERAGE(B91:B102)/AVERAGE(B79:B90)-1)*100,"")</f>
        <v>6.00395253032662</v>
      </c>
      <c r="H102" s="30" t="n">
        <f aca="false">'SA Data'!U102</f>
        <v>148.208567140744</v>
      </c>
      <c r="I102" s="31" t="n">
        <f aca="false">IFERROR((H102/H101-1)*100,"")</f>
        <v>0.53393192109954</v>
      </c>
      <c r="J102" s="31" t="n">
        <f aca="false">IFERROR((AVERAGE(H100:H102)/AVERAGE(H97:H99)-1)*100,"")</f>
        <v>0.167421098383813</v>
      </c>
      <c r="K102" s="31" t="n">
        <f aca="false">IFERROR(((AVERAGE(H100:H102)/AVERAGE(H97:H99))^4-1)*100,"")</f>
        <v>0.671368060885547</v>
      </c>
      <c r="L102" s="31" t="n">
        <f aca="false">IFERROR(('SA Data'!Y102/'SA Data'!Y90-1)*100,"")</f>
        <v>3.73360708434591</v>
      </c>
      <c r="M102" s="31" t="n">
        <f aca="false">IFERROR((AVERAGE('SA Data'!Y91:Y102)/AVERAGE('SA Data'!Y79:Y90)-1)*100,"")</f>
        <v>5.68967351056871</v>
      </c>
    </row>
    <row r="103" customFormat="false" ht="15" hidden="false" customHeight="false" outlineLevel="0" collapsed="false">
      <c r="A103" s="20" t="n">
        <v>40939</v>
      </c>
      <c r="B103" s="30" t="n">
        <f aca="false">'SA Data'!B103</f>
        <v>147.73334</v>
      </c>
      <c r="C103" s="31" t="n">
        <f aca="false">IFERROR((B103/B102-1)*100,"")</f>
        <v>-0.075923806722944</v>
      </c>
      <c r="D103" s="31" t="n">
        <f aca="false">IFERROR((AVERAGE(B101:B103)/AVERAGE(B98:B100)-1)*100,"")</f>
        <v>0.0631390427027201</v>
      </c>
      <c r="E103" s="31" t="n">
        <f aca="false">IFERROR(((AVERAGE(B101:B103)/AVERAGE(B98:B100))^4-1)*100,"")</f>
        <v>0.252795463832078</v>
      </c>
      <c r="F103" s="31" t="n">
        <f aca="false">IFERROR((B103/B91-1)*100,"")</f>
        <v>1.29048691079914</v>
      </c>
      <c r="G103" s="31" t="n">
        <f aca="false">IFERROR((AVERAGE(B103:B103)/AVERAGE(B91:B91)-1)*100,"")</f>
        <v>1.29048691079914</v>
      </c>
      <c r="H103" s="30" t="n">
        <f aca="false">'SA Data'!U103</f>
        <v>147.423785263053</v>
      </c>
      <c r="I103" s="31" t="n">
        <f aca="false">IFERROR((H103/H102-1)*100,"")</f>
        <v>-0.529511817589801</v>
      </c>
      <c r="J103" s="31" t="n">
        <f aca="false">IFERROR((AVERAGE(H101:H103)/AVERAGE(H98:H100)-1)*100,"")</f>
        <v>0.155200182722481</v>
      </c>
      <c r="K103" s="31" t="n">
        <f aca="false">IFERROR(((AVERAGE(H101:H103)/AVERAGE(H98:H100))^4-1)*100,"")</f>
        <v>0.622247452601865</v>
      </c>
      <c r="L103" s="31" t="n">
        <f aca="false">IFERROR(('SA Data'!Y103/'SA Data'!Y91-1)*100,"")</f>
        <v>1.97592865769987</v>
      </c>
      <c r="M103" s="31" t="n">
        <f aca="false">IFERROR((AVERAGE('SA Data'!Y103:Y103)/AVERAGE('SA Data'!Y91:Y91)-1)*100,"")</f>
        <v>1.97592865769987</v>
      </c>
    </row>
    <row r="104" customFormat="false" ht="15" hidden="false" customHeight="false" outlineLevel="0" collapsed="false">
      <c r="A104" s="20" t="n">
        <v>40968</v>
      </c>
      <c r="B104" s="30" t="n">
        <f aca="false">'SA Data'!B104</f>
        <v>144.71961</v>
      </c>
      <c r="C104" s="31" t="n">
        <f aca="false">IFERROR((B104/B103-1)*100,"")</f>
        <v>-2.03997960108396</v>
      </c>
      <c r="D104" s="31" t="n">
        <f aca="false">IFERROR((AVERAGE(B102:B104)/AVERAGE(B99:B101)-1)*100,"")</f>
        <v>-0.558675544670606</v>
      </c>
      <c r="E104" s="31" t="n">
        <f aca="false">IFERROR(((AVERAGE(B102:B104)/AVERAGE(B99:B101))^4-1)*100,"")</f>
        <v>-2.21604472857062</v>
      </c>
      <c r="F104" s="31" t="n">
        <f aca="false">IFERROR((B104/B92-1)*100,"")</f>
        <v>0.602203689146696</v>
      </c>
      <c r="G104" s="31" t="n">
        <f aca="false">IFERROR((AVERAGE(B103:B104)/AVERAGE(B91:B92)-1)*100,"")</f>
        <v>0.94871853375269</v>
      </c>
      <c r="H104" s="30" t="n">
        <f aca="false">'SA Data'!U104</f>
        <v>146.170613304443</v>
      </c>
      <c r="I104" s="31" t="n">
        <f aca="false">IFERROR((H104/H103-1)*100,"")</f>
        <v>-0.850047335560034</v>
      </c>
      <c r="J104" s="31" t="n">
        <f aca="false">IFERROR((AVERAGE(H102:H104)/AVERAGE(H99:H101)-1)*100,"")</f>
        <v>-0.0826237490102244</v>
      </c>
      <c r="K104" s="31" t="n">
        <f aca="false">IFERROR(((AVERAGE(H102:H104)/AVERAGE(H99:H101))^4-1)*100,"")</f>
        <v>-0.330085620578746</v>
      </c>
      <c r="L104" s="31" t="n">
        <f aca="false">IFERROR(('SA Data'!Y104/'SA Data'!Y92-1)*100,"")</f>
        <v>1.95334272943259</v>
      </c>
      <c r="M104" s="31" t="n">
        <f aca="false">IFERROR((AVERAGE('SA Data'!Y103:Y104)/AVERAGE('SA Data'!Y91:Y92)-1)*100,"")</f>
        <v>1.9647520650466</v>
      </c>
    </row>
    <row r="105" customFormat="false" ht="15" hidden="false" customHeight="false" outlineLevel="0" collapsed="false">
      <c r="A105" s="20" t="n">
        <v>40999</v>
      </c>
      <c r="B105" s="30" t="n">
        <f aca="false">'SA Data'!B105</f>
        <v>145.37392</v>
      </c>
      <c r="C105" s="31" t="n">
        <f aca="false">IFERROR((B105/B104-1)*100,"")</f>
        <v>0.452122556162227</v>
      </c>
      <c r="D105" s="31" t="n">
        <f aca="false">IFERROR((AVERAGE(B103:B105)/AVERAGE(B100:B102)-1)*100,"")</f>
        <v>-1.02310912050211</v>
      </c>
      <c r="E105" s="31" t="n">
        <f aca="false">IFERROR(((AVERAGE(B103:B105)/AVERAGE(B100:B102))^4-1)*100,"")</f>
        <v>-4.03005862668958</v>
      </c>
      <c r="F105" s="31" t="n">
        <f aca="false">IFERROR((B105/B93-1)*100,"")</f>
        <v>0.353724049956394</v>
      </c>
      <c r="G105" s="31" t="n">
        <f aca="false">IFERROR((AVERAGE(B103:B105)/AVERAGE(B91:B93)-1)*100,"")</f>
        <v>0.750378573122545</v>
      </c>
      <c r="H105" s="30" t="n">
        <f aca="false">'SA Data'!U105</f>
        <v>147.088097964352</v>
      </c>
      <c r="I105" s="31" t="n">
        <f aca="false">IFERROR((H105/H104-1)*100,"")</f>
        <v>0.62768065288048</v>
      </c>
      <c r="J105" s="31" t="n">
        <f aca="false">IFERROR((AVERAGE(H103:H105)/AVERAGE(H100:H102)-1)*100,"")</f>
        <v>-0.306979146015318</v>
      </c>
      <c r="K105" s="31" t="n">
        <f aca="false">IFERROR(((AVERAGE(H103:H105)/AVERAGE(H100:H102))^4-1)*100,"")</f>
        <v>-1.22227397483431</v>
      </c>
      <c r="L105" s="31" t="n">
        <f aca="false">IFERROR(('SA Data'!Y105/'SA Data'!Y93-1)*100,"")</f>
        <v>0.892935407212891</v>
      </c>
      <c r="M105" s="31" t="n">
        <f aca="false">IFERROR((AVERAGE('SA Data'!Y103:Y105)/AVERAGE('SA Data'!Y91:Y93)-1)*100,"")</f>
        <v>1.58140236929416</v>
      </c>
    </row>
    <row r="106" customFormat="false" ht="15" hidden="false" customHeight="false" outlineLevel="0" collapsed="false">
      <c r="A106" s="20" t="n">
        <v>41029</v>
      </c>
      <c r="B106" s="30" t="n">
        <f aca="false">'SA Data'!B106</f>
        <v>141.92738</v>
      </c>
      <c r="C106" s="31" t="n">
        <f aca="false">IFERROR((B106/B105-1)*100,"")</f>
        <v>-2.37081039019929</v>
      </c>
      <c r="D106" s="31" t="n">
        <f aca="false">IFERROR((AVERAGE(B104:B106)/AVERAGE(B101:B103)-1)*100,"")</f>
        <v>-2.43316080346196</v>
      </c>
      <c r="E106" s="31" t="n">
        <f aca="false">IFERROR(((AVERAGE(B104:B106)/AVERAGE(B101:B103))^4-1)*100,"")</f>
        <v>-9.38315386352254</v>
      </c>
      <c r="F106" s="31" t="n">
        <f aca="false">IFERROR((B106/B94-1)*100,"")</f>
        <v>-2.07086038543795</v>
      </c>
      <c r="G106" s="31" t="n">
        <f aca="false">IFERROR((AVERAGE(B103:B106)/AVERAGE(B91:B94)-1)*100,"")</f>
        <v>0.0448011054045461</v>
      </c>
      <c r="H106" s="30" t="n">
        <f aca="false">'SA Data'!U106</f>
        <v>141.984685987389</v>
      </c>
      <c r="I106" s="31" t="n">
        <f aca="false">IFERROR((H106/H105-1)*100,"")</f>
        <v>-3.46962945853031</v>
      </c>
      <c r="J106" s="31" t="n">
        <f aca="false">IFERROR((AVERAGE(H104:H106)/AVERAGE(H101:H103)-1)*100,"")</f>
        <v>-1.76285416438825</v>
      </c>
      <c r="K106" s="31" t="n">
        <f aca="false">IFERROR(((AVERAGE(H104:H106)/AVERAGE(H101:H103))^4-1)*100,"")</f>
        <v>-6.86713904862627</v>
      </c>
      <c r="L106" s="31" t="n">
        <f aca="false">IFERROR(('SA Data'!Y106/'SA Data'!Y94-1)*100,"")</f>
        <v>-3.07321183328815</v>
      </c>
      <c r="M106" s="31" t="n">
        <f aca="false">IFERROR((AVERAGE('SA Data'!Y103:Y106)/AVERAGE('SA Data'!Y91:Y94)-1)*100,"")</f>
        <v>0.326608168049858</v>
      </c>
    </row>
    <row r="107" customFormat="false" ht="15" hidden="false" customHeight="false" outlineLevel="0" collapsed="false">
      <c r="A107" s="20" t="n">
        <v>41060</v>
      </c>
      <c r="B107" s="30" t="n">
        <f aca="false">'SA Data'!B107</f>
        <v>140.27489</v>
      </c>
      <c r="C107" s="31" t="n">
        <f aca="false">IFERROR((B107/B106-1)*100,"")</f>
        <v>-1.16432079560688</v>
      </c>
      <c r="D107" s="31" t="n">
        <f aca="false">IFERROR((AVERAGE(B105:B107)/AVERAGE(B102:B104)-1)*100,"")</f>
        <v>-2.88948266782806</v>
      </c>
      <c r="E107" s="31" t="n">
        <f aca="false">IFERROR(((AVERAGE(B105:B107)/AVERAGE(B102:B104))^4-1)*100,"")</f>
        <v>-11.0665642019683</v>
      </c>
      <c r="F107" s="31" t="n">
        <f aca="false">IFERROR((B107/B95-1)*100,"")</f>
        <v>-4.6957078147135</v>
      </c>
      <c r="G107" s="31" t="n">
        <f aca="false">IFERROR((AVERAGE(B103:B107)/AVERAGE(B91:B95)-1)*100,"")</f>
        <v>-0.91537006831719</v>
      </c>
      <c r="H107" s="30" t="n">
        <f aca="false">'SA Data'!U107</f>
        <v>143.413788838266</v>
      </c>
      <c r="I107" s="31" t="n">
        <f aca="false">IFERROR((H107/H106-1)*100,"")</f>
        <v>1.00651900656663</v>
      </c>
      <c r="J107" s="31" t="n">
        <f aca="false">IFERROR((AVERAGE(H105:H107)/AVERAGE(H102:H104)-1)*100,"")</f>
        <v>-2.10872122673499</v>
      </c>
      <c r="K107" s="31" t="n">
        <f aca="false">IFERROR(((AVERAGE(H105:H107)/AVERAGE(H102:H104))^4-1)*100,"")</f>
        <v>-8.17181356569565</v>
      </c>
      <c r="L107" s="31" t="n">
        <f aca="false">IFERROR(('SA Data'!Y107/'SA Data'!Y95-1)*100,"")</f>
        <v>-4.73571132711995</v>
      </c>
      <c r="M107" s="31" t="n">
        <f aca="false">IFERROR((AVERAGE('SA Data'!Y103:Y107)/AVERAGE('SA Data'!Y91:Y95)-1)*100,"")</f>
        <v>-0.821651336543117</v>
      </c>
    </row>
    <row r="108" customFormat="false" ht="15" hidden="false" customHeight="false" outlineLevel="0" collapsed="false">
      <c r="A108" s="20" t="n">
        <v>41090</v>
      </c>
      <c r="B108" s="30" t="n">
        <f aca="false">'SA Data'!B108</f>
        <v>140.78102</v>
      </c>
      <c r="C108" s="31" t="n">
        <f aca="false">IFERROR((B108/B107-1)*100,"")</f>
        <v>0.360812972300328</v>
      </c>
      <c r="D108" s="31" t="n">
        <f aca="false">IFERROR((AVERAGE(B106:B108)/AVERAGE(B103:B105)-1)*100,"")</f>
        <v>-3.39028529701706</v>
      </c>
      <c r="E108" s="31" t="n">
        <f aca="false">IFERROR(((AVERAGE(B106:B108)/AVERAGE(B103:B105))^4-1)*100,"")</f>
        <v>-12.8869542338567</v>
      </c>
      <c r="F108" s="31" t="n">
        <f aca="false">IFERROR((B108/B96-1)*100,"")</f>
        <v>-4.10187987699681</v>
      </c>
      <c r="G108" s="31" t="n">
        <f aca="false">IFERROR((AVERAGE(B103:B108)/AVERAGE(B91:B96)-1)*100,"")</f>
        <v>-1.4509132483476</v>
      </c>
      <c r="H108" s="30" t="n">
        <f aca="false">'SA Data'!U108</f>
        <v>142.976421671822</v>
      </c>
      <c r="I108" s="31" t="n">
        <f aca="false">IFERROR((H108/H107-1)*100,"")</f>
        <v>-0.304968699304808</v>
      </c>
      <c r="J108" s="31" t="n">
        <f aca="false">IFERROR((AVERAGE(H106:H108)/AVERAGE(H103:H105)-1)*100,"")</f>
        <v>-2.79284975719076</v>
      </c>
      <c r="K108" s="31" t="n">
        <f aca="false">IFERROR(((AVERAGE(H106:H108)/AVERAGE(H103:H105))^4-1)*100,"")</f>
        <v>-10.712051304789</v>
      </c>
      <c r="L108" s="31" t="n">
        <f aca="false">IFERROR(('SA Data'!Y108/'SA Data'!Y96-1)*100,"")</f>
        <v>-4.28164188857572</v>
      </c>
      <c r="M108" s="31" t="n">
        <f aca="false">IFERROR((AVERAGE('SA Data'!Y103:Y108)/AVERAGE('SA Data'!Y91:Y96)-1)*100,"")</f>
        <v>-1.43417376215715</v>
      </c>
    </row>
    <row r="109" customFormat="false" ht="15" hidden="false" customHeight="false" outlineLevel="0" collapsed="false">
      <c r="A109" s="20" t="n">
        <v>41121</v>
      </c>
      <c r="B109" s="30" t="n">
        <f aca="false">'SA Data'!B109</f>
        <v>144.76788</v>
      </c>
      <c r="C109" s="31" t="n">
        <f aca="false">IFERROR((B109/B108-1)*100,"")</f>
        <v>2.83195845576341</v>
      </c>
      <c r="D109" s="31" t="n">
        <f aca="false">IFERROR((AVERAGE(B107:B109)/AVERAGE(B104:B106)-1)*100,"")</f>
        <v>-1.4344490871981</v>
      </c>
      <c r="E109" s="31" t="n">
        <f aca="false">IFERROR(((AVERAGE(B107:B109)/AVERAGE(B104:B106))^4-1)*100,"")</f>
        <v>-5.61551409819546</v>
      </c>
      <c r="F109" s="31" t="n">
        <f aca="false">IFERROR((B109/B97-1)*100,"")</f>
        <v>-1.62333724050543</v>
      </c>
      <c r="G109" s="31" t="n">
        <f aca="false">IFERROR((AVERAGE(B103:B109)/AVERAGE(B91:B97)-1)*100,"")</f>
        <v>-1.47577347468851</v>
      </c>
      <c r="H109" s="30" t="n">
        <f aca="false">'SA Data'!U109</f>
        <v>145.920067135817</v>
      </c>
      <c r="I109" s="31" t="n">
        <f aca="false">IFERROR((H109/H108-1)*100,"")</f>
        <v>2.05883279884564</v>
      </c>
      <c r="J109" s="31" t="n">
        <f aca="false">IFERROR((AVERAGE(H107:H109)/AVERAGE(H104:H106)-1)*100,"")</f>
        <v>-0.673903298423217</v>
      </c>
      <c r="K109" s="31" t="n">
        <f aca="false">IFERROR(((AVERAGE(H107:H109)/AVERAGE(H104:H106))^4-1)*100,"")</f>
        <v>-2.66848666820917</v>
      </c>
      <c r="L109" s="31" t="n">
        <f aca="false">IFERROR(('SA Data'!Y109/'SA Data'!Y97-1)*100,"")</f>
        <v>0.450487537111699</v>
      </c>
      <c r="M109" s="31" t="n">
        <f aca="false">IFERROR((AVERAGE('SA Data'!Y103:Y109)/AVERAGE('SA Data'!Y91:Y97)-1)*100,"")</f>
        <v>-1.16667691400897</v>
      </c>
    </row>
    <row r="110" customFormat="false" ht="15" hidden="false" customHeight="false" outlineLevel="0" collapsed="false">
      <c r="A110" s="20" t="n">
        <v>41152</v>
      </c>
      <c r="B110" s="30" t="n">
        <f aca="false">'SA Data'!B110</f>
        <v>145.04736</v>
      </c>
      <c r="C110" s="31" t="n">
        <f aca="false">IFERROR((B110/B109-1)*100,"")</f>
        <v>0.193053873552618</v>
      </c>
      <c r="D110" s="31" t="n">
        <f aca="false">IFERROR((AVERAGE(B108:B110)/AVERAGE(B105:B107)-1)*100,"")</f>
        <v>0.706323240309548</v>
      </c>
      <c r="E110" s="31" t="n">
        <f aca="false">IFERROR(((AVERAGE(B108:B110)/AVERAGE(B105:B107))^4-1)*100,"")</f>
        <v>2.85536771307249</v>
      </c>
      <c r="F110" s="31" t="n">
        <f aca="false">IFERROR((B110/B98-1)*100,"")</f>
        <v>-1.30087205890129</v>
      </c>
      <c r="G110" s="31" t="n">
        <f aca="false">IFERROR((AVERAGE(B103:B110)/AVERAGE(B91:B98)-1)*100,"")</f>
        <v>-1.45375962779841</v>
      </c>
      <c r="H110" s="30" t="n">
        <f aca="false">'SA Data'!U110</f>
        <v>147.057193467374</v>
      </c>
      <c r="I110" s="31" t="n">
        <f aca="false">IFERROR((H110/H109-1)*100,"")</f>
        <v>0.7792802963138</v>
      </c>
      <c r="J110" s="31" t="n">
        <f aca="false">IFERROR((AVERAGE(H108:H110)/AVERAGE(H105:H107)-1)*100,"")</f>
        <v>0.801668699825942</v>
      </c>
      <c r="K110" s="31" t="n">
        <f aca="false">IFERROR(((AVERAGE(H108:H110)/AVERAGE(H105:H107))^4-1)*100,"")</f>
        <v>3.2454416588253</v>
      </c>
      <c r="L110" s="31" t="n">
        <f aca="false">IFERROR(('SA Data'!Y110/'SA Data'!Y98-1)*100,"")</f>
        <v>-0.438269118713441</v>
      </c>
      <c r="M110" s="31" t="n">
        <f aca="false">IFERROR((AVERAGE('SA Data'!Y103:Y110)/AVERAGE('SA Data'!Y91:Y98)-1)*100,"")</f>
        <v>-1.07660916484382</v>
      </c>
    </row>
    <row r="111" customFormat="false" ht="15" hidden="false" customHeight="false" outlineLevel="0" collapsed="false">
      <c r="A111" s="20" t="n">
        <v>41182</v>
      </c>
      <c r="B111" s="30" t="n">
        <f aca="false">'SA Data'!B111</f>
        <v>146.2317</v>
      </c>
      <c r="C111" s="31" t="n">
        <f aca="false">IFERROR((B111/B110-1)*100,"")</f>
        <v>0.816519514729519</v>
      </c>
      <c r="D111" s="31" t="n">
        <f aca="false">IFERROR((AVERAGE(B109:B111)/AVERAGE(B106:B108)-1)*100,"")</f>
        <v>3.08845533827116</v>
      </c>
      <c r="E111" s="31" t="n">
        <f aca="false">IFERROR(((AVERAGE(B109:B111)/AVERAGE(B106:B108))^4-1)*100,"")</f>
        <v>12.9380094818763</v>
      </c>
      <c r="F111" s="31" t="n">
        <f aca="false">IFERROR((B111/B99-1)*100,"")</f>
        <v>-1.37150889854982</v>
      </c>
      <c r="G111" s="31" t="n">
        <f aca="false">IFERROR((AVERAGE(B103:B111)/AVERAGE(B91:B99)-1)*100,"")</f>
        <v>-1.44449201941481</v>
      </c>
      <c r="H111" s="30" t="n">
        <f aca="false">'SA Data'!U111</f>
        <v>144.745658373761</v>
      </c>
      <c r="I111" s="31" t="n">
        <f aca="false">IFERROR((H111/H110-1)*100,"")</f>
        <v>-1.57186128683102</v>
      </c>
      <c r="J111" s="31" t="n">
        <f aca="false">IFERROR((AVERAGE(H109:H111)/AVERAGE(H106:H108)-1)*100,"")</f>
        <v>2.18220594995373</v>
      </c>
      <c r="K111" s="31" t="n">
        <f aca="false">IFERROR(((AVERAGE(H109:H111)/AVERAGE(H106:H108))^4-1)*100,"")</f>
        <v>9.01872453095913</v>
      </c>
      <c r="L111" s="31" t="n">
        <f aca="false">IFERROR(('SA Data'!Y111/'SA Data'!Y99-1)*100,"")</f>
        <v>-2.6786007668554</v>
      </c>
      <c r="M111" s="31" t="n">
        <f aca="false">IFERROR((AVERAGE('SA Data'!Y103:Y111)/AVERAGE('SA Data'!Y91:Y99)-1)*100,"")</f>
        <v>-1.25308269217141</v>
      </c>
    </row>
    <row r="112" customFormat="false" ht="15" hidden="false" customHeight="false" outlineLevel="0" collapsed="false">
      <c r="A112" s="20" t="n">
        <v>41213</v>
      </c>
      <c r="B112" s="30" t="n">
        <f aca="false">'SA Data'!B112</f>
        <v>147.08919</v>
      </c>
      <c r="C112" s="31" t="n">
        <f aca="false">IFERROR((B112/B111-1)*100,"")</f>
        <v>0.586391322811686</v>
      </c>
      <c r="D112" s="31" t="n">
        <f aca="false">IFERROR((AVERAGE(B110:B112)/AVERAGE(B107:B109)-1)*100,"")</f>
        <v>2.94592746920033</v>
      </c>
      <c r="E112" s="31" t="n">
        <f aca="false">IFERROR(((AVERAGE(B110:B112)/AVERAGE(B107:B109))^4-1)*100,"")</f>
        <v>12.3147209914405</v>
      </c>
      <c r="F112" s="31" t="n">
        <f aca="false">IFERROR((B112/B100-1)*100,"")</f>
        <v>-0.137109401149327</v>
      </c>
      <c r="G112" s="31" t="n">
        <f aca="false">IFERROR((AVERAGE(B103:B112)/AVERAGE(B91:B100)-1)*100,"")</f>
        <v>-1.31288205944987</v>
      </c>
      <c r="H112" s="30" t="n">
        <f aca="false">'SA Data'!U112</f>
        <v>147.977812291194</v>
      </c>
      <c r="I112" s="31" t="n">
        <f aca="false">IFERROR((H112/H111-1)*100,"")</f>
        <v>2.23298850808169</v>
      </c>
      <c r="J112" s="31" t="n">
        <f aca="false">IFERROR((AVERAGE(H110:H112)/AVERAGE(H107:H109)-1)*100,"")</f>
        <v>1.72801500975257</v>
      </c>
      <c r="K112" s="31" t="n">
        <f aca="false">IFERROR(((AVERAGE(H110:H112)/AVERAGE(H107:H109))^4-1)*100,"")</f>
        <v>7.09329507378025</v>
      </c>
      <c r="L112" s="31" t="n">
        <f aca="false">IFERROR(('SA Data'!Y112/'SA Data'!Y100-1)*100,"")</f>
        <v>0.846869227391633</v>
      </c>
      <c r="M112" s="31" t="n">
        <f aca="false">IFERROR((AVERAGE('SA Data'!Y103:Y112)/AVERAGE('SA Data'!Y91:Y100)-1)*100,"")</f>
        <v>-1.04596275757621</v>
      </c>
    </row>
    <row r="113" customFormat="false" ht="15" hidden="false" customHeight="false" outlineLevel="0" collapsed="false">
      <c r="A113" s="20" t="n">
        <v>41243</v>
      </c>
      <c r="B113" s="30" t="n">
        <f aca="false">'SA Data'!B113</f>
        <v>146.95144</v>
      </c>
      <c r="C113" s="31" t="n">
        <f aca="false">IFERROR((B113/B112-1)*100,"")</f>
        <v>-0.0936506618875344</v>
      </c>
      <c r="D113" s="31" t="n">
        <f aca="false">IFERROR((AVERAGE(B111:B113)/AVERAGE(B108:B110)-1)*100,"")</f>
        <v>2.24713284783289</v>
      </c>
      <c r="E113" s="31" t="n">
        <f aca="false">IFERROR(((AVERAGE(B111:B113)/AVERAGE(B108:B110))^4-1)*100,"")</f>
        <v>9.29607210623793</v>
      </c>
      <c r="F113" s="31" t="n">
        <f aca="false">IFERROR((B113/B101-1)*100,"")</f>
        <v>-0.179634141396023</v>
      </c>
      <c r="G113" s="31" t="n">
        <f aca="false">IFERROR((AVERAGE(B103:B113)/AVERAGE(B91:B101)-1)*100,"")</f>
        <v>-1.20928355366208</v>
      </c>
      <c r="H113" s="30" t="n">
        <f aca="false">'SA Data'!U113</f>
        <v>147.614325876097</v>
      </c>
      <c r="I113" s="31" t="n">
        <f aca="false">IFERROR((H113/H112-1)*100,"")</f>
        <v>-0.245635754082851</v>
      </c>
      <c r="J113" s="31" t="n">
        <f aca="false">IFERROR((AVERAGE(H111:H113)/AVERAGE(H108:H110)-1)*100,"")</f>
        <v>1.00563762718087</v>
      </c>
      <c r="K113" s="31" t="n">
        <f aca="false">IFERROR(((AVERAGE(H111:H113)/AVERAGE(H108:H110))^4-1)*100,"")</f>
        <v>4.0836367570612</v>
      </c>
      <c r="L113" s="31" t="n">
        <f aca="false">IFERROR(('SA Data'!Y113/'SA Data'!Y101-1)*100,"")</f>
        <v>0.304667801494918</v>
      </c>
      <c r="M113" s="31" t="n">
        <f aca="false">IFERROR((AVERAGE('SA Data'!Y103:Y113)/AVERAGE('SA Data'!Y91:Y101)-1)*100,"")</f>
        <v>-0.924296535161895</v>
      </c>
    </row>
    <row r="114" customFormat="false" ht="15" hidden="false" customHeight="false" outlineLevel="0" collapsed="false">
      <c r="A114" s="20" t="n">
        <v>41274</v>
      </c>
      <c r="B114" s="30" t="n">
        <f aca="false">'SA Data'!B114</f>
        <v>149.27282</v>
      </c>
      <c r="C114" s="31" t="n">
        <f aca="false">IFERROR((B114/B113-1)*100,"")</f>
        <v>1.5796919036656</v>
      </c>
      <c r="D114" s="31" t="n">
        <f aca="false">IFERROR((AVERAGE(B112:B114)/AVERAGE(B109:B111)-1)*100,"")</f>
        <v>1.66645132287824</v>
      </c>
      <c r="E114" s="31" t="n">
        <f aca="false">IFERROR(((AVERAGE(B112:B114)/AVERAGE(B109:B111))^4-1)*100,"")</f>
        <v>6.83428773839858</v>
      </c>
      <c r="F114" s="31" t="n">
        <f aca="false">IFERROR((B114/B102-1)*100,"")</f>
        <v>0.965351756518418</v>
      </c>
      <c r="G114" s="31" t="n">
        <f aca="false">IFERROR((AVERAGE(B103:B114)/AVERAGE(B91:B102)-1)*100,"")</f>
        <v>-1.0264220585979</v>
      </c>
      <c r="H114" s="30" t="n">
        <f aca="false">'SA Data'!U114</f>
        <v>147.151224988491</v>
      </c>
      <c r="I114" s="31" t="n">
        <f aca="false">IFERROR((H114/H113-1)*100,"")</f>
        <v>-0.313723539268385</v>
      </c>
      <c r="J114" s="31" t="n">
        <f aca="false">IFERROR((AVERAGE(H112:H114)/AVERAGE(H109:H111)-1)*100,"")</f>
        <v>1.14694569582146</v>
      </c>
      <c r="K114" s="31" t="n">
        <f aca="false">IFERROR(((AVERAGE(H112:H114)/AVERAGE(H109:H111))^4-1)*100,"")</f>
        <v>4.66731709521648</v>
      </c>
      <c r="L114" s="31" t="n">
        <f aca="false">IFERROR(('SA Data'!Y114/'SA Data'!Y102-1)*100,"")</f>
        <v>-0.328976911845846</v>
      </c>
      <c r="M114" s="31" t="n">
        <f aca="false">IFERROR((AVERAGE('SA Data'!Y103:Y114)/AVERAGE('SA Data'!Y91:Y102)-1)*100,"")</f>
        <v>-0.875683419876128</v>
      </c>
    </row>
    <row r="115" customFormat="false" ht="15" hidden="false" customHeight="false" outlineLevel="0" collapsed="false">
      <c r="A115" s="20" t="n">
        <v>41305</v>
      </c>
      <c r="B115" s="30" t="n">
        <f aca="false">'SA Data'!B115</f>
        <v>145.88006</v>
      </c>
      <c r="C115" s="31" t="n">
        <f aca="false">IFERROR((B115/B114-1)*100,"")</f>
        <v>-2.27285851503308</v>
      </c>
      <c r="D115" s="31" t="n">
        <f aca="false">IFERROR((AVERAGE(B113:B115)/AVERAGE(B110:B112)-1)*100,"")</f>
        <v>0.85226747146947</v>
      </c>
      <c r="E115" s="31" t="n">
        <f aca="false">IFERROR(((AVERAGE(B113:B115)/AVERAGE(B110:B112))^4-1)*100,"")</f>
        <v>3.45289962519868</v>
      </c>
      <c r="F115" s="31" t="n">
        <f aca="false">IFERROR((B115/B103-1)*100,"")</f>
        <v>-1.25447647768608</v>
      </c>
      <c r="G115" s="31" t="n">
        <f aca="false">IFERROR((AVERAGE(B115:B115)/AVERAGE(B103:B103)-1)*100,"")</f>
        <v>-1.25447647768608</v>
      </c>
      <c r="H115" s="30" t="n">
        <f aca="false">'SA Data'!U115</f>
        <v>147.26457150234</v>
      </c>
      <c r="I115" s="31" t="n">
        <f aca="false">IFERROR((H115/H114-1)*100,"")</f>
        <v>0.0770272309027487</v>
      </c>
      <c r="J115" s="31" t="n">
        <f aca="false">IFERROR((AVERAGE(H113:H115)/AVERAGE(H110:H112)-1)*100,"")</f>
        <v>0.5114954835582</v>
      </c>
      <c r="K115" s="31" t="n">
        <f aca="false">IFERROR(((AVERAGE(H113:H115)/AVERAGE(H110:H112))^4-1)*100,"")</f>
        <v>2.06173318900422</v>
      </c>
      <c r="L115" s="31" t="n">
        <f aca="false">IFERROR(('SA Data'!Y115/'SA Data'!Y103-1)*100,"")</f>
        <v>-0.0600624300798436</v>
      </c>
      <c r="M115" s="31" t="n">
        <f aca="false">IFERROR((AVERAGE('SA Data'!Y115:Y115)/AVERAGE('SA Data'!Y103:Y103)-1)*100,"")</f>
        <v>-0.0600624300798436</v>
      </c>
    </row>
    <row r="116" customFormat="false" ht="15" hidden="false" customHeight="false" outlineLevel="0" collapsed="false">
      <c r="A116" s="20" t="n">
        <v>41333</v>
      </c>
      <c r="B116" s="30" t="n">
        <f aca="false">'SA Data'!B116</f>
        <v>148.73547</v>
      </c>
      <c r="C116" s="31" t="n">
        <f aca="false">IFERROR((B116/B115-1)*100,"")</f>
        <v>1.95736826540927</v>
      </c>
      <c r="D116" s="31" t="n">
        <f aca="false">IFERROR((AVERAGE(B114:B116)/AVERAGE(B111:B113)-1)*100,"")</f>
        <v>0.821314389664218</v>
      </c>
      <c r="E116" s="31" t="n">
        <f aca="false">IFERROR(((AVERAGE(B114:B116)/AVERAGE(B111:B113))^4-1)*100,"")</f>
        <v>3.32595306274024</v>
      </c>
      <c r="F116" s="31" t="n">
        <f aca="false">IFERROR((B116/B104-1)*100,"")</f>
        <v>2.77492455929089</v>
      </c>
      <c r="G116" s="31" t="n">
        <f aca="false">IFERROR((AVERAGE(B115:B116)/AVERAGE(B103:B104)-1)*100,"")</f>
        <v>0.739462535768576</v>
      </c>
      <c r="H116" s="30" t="n">
        <f aca="false">'SA Data'!U116</f>
        <v>146.805192151683</v>
      </c>
      <c r="I116" s="31" t="n">
        <f aca="false">IFERROR((H116/H115-1)*100,"")</f>
        <v>-0.311941525358228</v>
      </c>
      <c r="J116" s="31" t="n">
        <f aca="false">IFERROR((AVERAGE(H114:H116)/AVERAGE(H111:H113)-1)*100,"")</f>
        <v>0.200571494974988</v>
      </c>
      <c r="K116" s="31" t="n">
        <f aca="false">IFERROR(((AVERAGE(H114:H116)/AVERAGE(H111:H113))^4-1)*100,"")</f>
        <v>0.804702944504321</v>
      </c>
      <c r="L116" s="31" t="n">
        <f aca="false">IFERROR(('SA Data'!Y116/'SA Data'!Y104-1)*100,"")</f>
        <v>0.0186672634843843</v>
      </c>
      <c r="M116" s="31" t="n">
        <f aca="false">IFERROR((AVERAGE('SA Data'!Y115:Y116)/AVERAGE('SA Data'!Y103:Y104)-1)*100,"")</f>
        <v>-0.0211075886128231</v>
      </c>
    </row>
    <row r="117" customFormat="false" ht="15" hidden="false" customHeight="false" outlineLevel="0" collapsed="false">
      <c r="A117" s="20" t="n">
        <v>41364</v>
      </c>
      <c r="B117" s="30" t="n">
        <f aca="false">'SA Data'!B117</f>
        <v>148.7589</v>
      </c>
      <c r="C117" s="31" t="n">
        <f aca="false">IFERROR((B117/B116-1)*100,"")</f>
        <v>0.0157527992482365</v>
      </c>
      <c r="D117" s="31" t="n">
        <f aca="false">IFERROR((AVERAGE(B115:B117)/AVERAGE(B112:B114)-1)*100,"")</f>
        <v>0.013755504147217</v>
      </c>
      <c r="E117" s="31" t="n">
        <f aca="false">IFERROR(((AVERAGE(B115:B117)/AVERAGE(B112:B114))^4-1)*100,"")</f>
        <v>0.0550333704636641</v>
      </c>
      <c r="F117" s="31" t="n">
        <f aca="false">IFERROR((B117/B105-1)*100,"")</f>
        <v>2.32846441782681</v>
      </c>
      <c r="G117" s="31" t="n">
        <f aca="false">IFERROR((AVERAGE(B115:B117)/AVERAGE(B103:B105)-1)*100,"")</f>
        <v>1.26706704867154</v>
      </c>
      <c r="H117" s="30" t="n">
        <f aca="false">'SA Data'!U117</f>
        <v>147.671431593071</v>
      </c>
      <c r="I117" s="31" t="n">
        <f aca="false">IFERROR((H117/H116-1)*100,"")</f>
        <v>0.590060493564537</v>
      </c>
      <c r="J117" s="31" t="n">
        <f aca="false">IFERROR((AVERAGE(H115:H117)/AVERAGE(H112:H114)-1)*100,"")</f>
        <v>-0.226354134717077</v>
      </c>
      <c r="K117" s="31" t="n">
        <f aca="false">IFERROR(((AVERAGE(H115:H117)/AVERAGE(H112:H114))^4-1)*100,"")</f>
        <v>-0.902347003594717</v>
      </c>
      <c r="L117" s="31" t="n">
        <f aca="false">IFERROR(('SA Data'!Y117/'SA Data'!Y105-1)*100,"")</f>
        <v>0.900367236931854</v>
      </c>
      <c r="M117" s="31" t="n">
        <f aca="false">IFERROR((AVERAGE('SA Data'!Y115:Y117)/AVERAGE('SA Data'!Y103:Y105)-1)*100,"")</f>
        <v>0.306236610344501</v>
      </c>
    </row>
    <row r="118" customFormat="false" ht="15" hidden="false" customHeight="false" outlineLevel="0" collapsed="false">
      <c r="A118" s="20" t="n">
        <v>41394</v>
      </c>
      <c r="B118" s="30" t="n">
        <f aca="false">'SA Data'!B118</f>
        <v>148.5213</v>
      </c>
      <c r="C118" s="31" t="n">
        <f aca="false">IFERROR((B118/B117-1)*100,"")</f>
        <v>-0.159721535988777</v>
      </c>
      <c r="D118" s="31" t="n">
        <f aca="false">IFERROR((AVERAGE(B116:B118)/AVERAGE(B113:B115)-1)*100,"")</f>
        <v>0.88471200643323</v>
      </c>
      <c r="E118" s="31" t="n">
        <f aca="false">IFERROR(((AVERAGE(B116:B118)/AVERAGE(B113:B115))^4-1)*100,"")</f>
        <v>3.5860885494974</v>
      </c>
      <c r="F118" s="31" t="n">
        <f aca="false">IFERROR((B118/B106-1)*100,"")</f>
        <v>4.64598162806922</v>
      </c>
      <c r="G118" s="31" t="n">
        <f aca="false">IFERROR((AVERAGE(B115:B118)/AVERAGE(B103:B106)-1)*100,"")</f>
        <v>2.09424596714902</v>
      </c>
      <c r="H118" s="30" t="n">
        <f aca="false">'SA Data'!U118</f>
        <v>150.37816220731</v>
      </c>
      <c r="I118" s="31" t="n">
        <f aca="false">IFERROR((H118/H117-1)*100,"")</f>
        <v>1.83294127038565</v>
      </c>
      <c r="J118" s="31" t="n">
        <f aca="false">IFERROR((AVERAGE(H116:H118)/AVERAGE(H113:H115)-1)*100,"")</f>
        <v>0.639020610181795</v>
      </c>
      <c r="K118" s="31" t="n">
        <f aca="false">IFERROR(((AVERAGE(H116:H118)/AVERAGE(H113:H115))^4-1)*100,"")</f>
        <v>2.58068782483556</v>
      </c>
      <c r="L118" s="31" t="n">
        <f aca="false">IFERROR(('SA Data'!Y118/'SA Data'!Y106-1)*100,"")</f>
        <v>6.02792717938303</v>
      </c>
      <c r="M118" s="31" t="n">
        <f aca="false">IFERROR((AVERAGE('SA Data'!Y115:Y118)/AVERAGE('SA Data'!Y103:Y106)-1)*100,"")</f>
        <v>1.79642395890744</v>
      </c>
    </row>
    <row r="119" customFormat="false" ht="15" hidden="false" customHeight="false" outlineLevel="0" collapsed="false">
      <c r="A119" s="20" t="n">
        <v>41425</v>
      </c>
      <c r="B119" s="30" t="n">
        <f aca="false">'SA Data'!B119</f>
        <v>148.39639</v>
      </c>
      <c r="C119" s="31" t="n">
        <f aca="false">IFERROR((B119/B118-1)*100,"")</f>
        <v>-0.0841024149398129</v>
      </c>
      <c r="D119" s="31" t="n">
        <f aca="false">IFERROR((AVERAGE(B117:B119)/AVERAGE(B114:B116)-1)*100,"")</f>
        <v>0.402858061041722</v>
      </c>
      <c r="E119" s="31" t="n">
        <f aca="false">IFERROR(((AVERAGE(B117:B119)/AVERAGE(B114:B116))^4-1)*100,"")</f>
        <v>1.62119610022515</v>
      </c>
      <c r="F119" s="31" t="n">
        <f aca="false">IFERROR((B119/B107-1)*100,"")</f>
        <v>5.78970334605145</v>
      </c>
      <c r="G119" s="31" t="n">
        <f aca="false">IFERROR((AVERAGE(B115:B119)/AVERAGE(B103:B107)-1)*100,"")</f>
        <v>2.81418888129998</v>
      </c>
      <c r="H119" s="30" t="n">
        <f aca="false">'SA Data'!U119</f>
        <v>149.785823891184</v>
      </c>
      <c r="I119" s="31" t="n">
        <f aca="false">IFERROR((H119/H118-1)*100,"")</f>
        <v>-0.39389915891469</v>
      </c>
      <c r="J119" s="31" t="n">
        <f aca="false">IFERROR((AVERAGE(H117:H119)/AVERAGE(H114:H116)-1)*100,"")</f>
        <v>1.49911931193536</v>
      </c>
      <c r="K119" s="31" t="n">
        <f aca="false">IFERROR(((AVERAGE(H117:H119)/AVERAGE(H114:H116))^4-1)*100,"")</f>
        <v>6.13267144458571</v>
      </c>
      <c r="L119" s="31" t="n">
        <f aca="false">IFERROR(('SA Data'!Y119/'SA Data'!Y107-1)*100,"")</f>
        <v>5.88197789844254</v>
      </c>
      <c r="M119" s="31" t="n">
        <f aca="false">IFERROR((AVERAGE('SA Data'!Y115:Y119)/AVERAGE('SA Data'!Y103:Y107)-1)*100,"")</f>
        <v>2.686556550176</v>
      </c>
    </row>
    <row r="120" customFormat="false" ht="15" hidden="false" customHeight="false" outlineLevel="0" collapsed="false">
      <c r="A120" s="20" t="n">
        <v>41455</v>
      </c>
      <c r="B120" s="30" t="n">
        <f aca="false">'SA Data'!B120</f>
        <v>149.13535</v>
      </c>
      <c r="C120" s="31" t="n">
        <f aca="false">IFERROR((B120/B119-1)*100,"")</f>
        <v>0.497963596014706</v>
      </c>
      <c r="D120" s="31" t="n">
        <f aca="false">IFERROR((AVERAGE(B118:B120)/AVERAGE(B115:B117)-1)*100,"")</f>
        <v>0.604141740875774</v>
      </c>
      <c r="E120" s="31" t="n">
        <f aca="false">IFERROR(((AVERAGE(B118:B120)/AVERAGE(B115:B117))^4-1)*100,"")</f>
        <v>2.43855453291426</v>
      </c>
      <c r="F120" s="31" t="n">
        <f aca="false">IFERROR((B120/B108-1)*100,"")</f>
        <v>5.93427295810187</v>
      </c>
      <c r="G120" s="31" t="n">
        <f aca="false">IFERROR((AVERAGE(B115:B120)/AVERAGE(B103:B108)-1)*100,"")</f>
        <v>3.324462387851</v>
      </c>
      <c r="H120" s="30" t="n">
        <f aca="false">'SA Data'!U120</f>
        <v>147.551798589556</v>
      </c>
      <c r="I120" s="31" t="n">
        <f aca="false">IFERROR((H120/H119-1)*100,"")</f>
        <v>-1.49147979668034</v>
      </c>
      <c r="J120" s="31" t="n">
        <f aca="false">IFERROR((AVERAGE(H118:H120)/AVERAGE(H115:H117)-1)*100,"")</f>
        <v>1.35250900419523</v>
      </c>
      <c r="K120" s="31" t="n">
        <f aca="false">IFERROR(((AVERAGE(H118:H120)/AVERAGE(H115:H117))^4-1)*100,"")</f>
        <v>5.52078584683078</v>
      </c>
      <c r="L120" s="31" t="n">
        <f aca="false">IFERROR(('SA Data'!Y120/'SA Data'!Y108-1)*100,"")</f>
        <v>4.27818651863596</v>
      </c>
      <c r="M120" s="31" t="n">
        <f aca="false">IFERROR((AVERAGE('SA Data'!Y115:Y120)/AVERAGE('SA Data'!Y103:Y108)-1)*100,"")</f>
        <v>2.96018299148639</v>
      </c>
    </row>
    <row r="121" customFormat="false" ht="15" hidden="false" customHeight="false" outlineLevel="0" collapsed="false">
      <c r="A121" s="20" t="n">
        <v>41486</v>
      </c>
      <c r="B121" s="30" t="n">
        <f aca="false">'SA Data'!B121</f>
        <v>148.12424</v>
      </c>
      <c r="C121" s="31" t="n">
        <f aca="false">IFERROR((B121/B120-1)*100,"")</f>
        <v>-0.677981444372511</v>
      </c>
      <c r="D121" s="31" t="n">
        <f aca="false">IFERROR((AVERAGE(B119:B121)/AVERAGE(B116:B118)-1)*100,"")</f>
        <v>-0.0806451486334403</v>
      </c>
      <c r="E121" s="31" t="n">
        <f aca="false">IFERROR(((AVERAGE(B119:B121)/AVERAGE(B116:B118))^4-1)*100,"")</f>
        <v>-0.322190585886384</v>
      </c>
      <c r="F121" s="31" t="n">
        <f aca="false">IFERROR((B121/B109-1)*100,"")</f>
        <v>2.31844246113158</v>
      </c>
      <c r="G121" s="31" t="n">
        <f aca="false">IFERROR((AVERAGE(B115:B121)/AVERAGE(B103:B109)-1)*100,"")</f>
        <v>3.17963089170086</v>
      </c>
      <c r="H121" s="30" t="n">
        <f aca="false">'SA Data'!U121</f>
        <v>149.078284145725</v>
      </c>
      <c r="I121" s="31" t="n">
        <f aca="false">IFERROR((H121/H120-1)*100,"")</f>
        <v>1.03454215452523</v>
      </c>
      <c r="J121" s="31" t="n">
        <f aca="false">IFERROR((AVERAGE(H119:H121)/AVERAGE(H116:H118)-1)*100,"")</f>
        <v>0.350928150870589</v>
      </c>
      <c r="K121" s="31" t="n">
        <f aca="false">IFERROR(((AVERAGE(H119:H121)/AVERAGE(H116:H118))^4-1)*100,"")</f>
        <v>1.41111893947314</v>
      </c>
      <c r="L121" s="31" t="n">
        <f aca="false">IFERROR(('SA Data'!Y121/'SA Data'!Y109-1)*100,"")</f>
        <v>1.90727360149059</v>
      </c>
      <c r="M121" s="31" t="n">
        <f aca="false">IFERROR((AVERAGE('SA Data'!Y115:Y121)/AVERAGE('SA Data'!Y103:Y109)-1)*100,"")</f>
        <v>2.80829445188977</v>
      </c>
    </row>
    <row r="122" customFormat="false" ht="15" hidden="false" customHeight="false" outlineLevel="0" collapsed="false">
      <c r="A122" s="20" t="n">
        <v>41517</v>
      </c>
      <c r="B122" s="30" t="n">
        <f aca="false">'SA Data'!B122</f>
        <v>150.15944</v>
      </c>
      <c r="C122" s="31" t="n">
        <f aca="false">IFERROR((B122/B121-1)*100,"")</f>
        <v>1.37398173317209</v>
      </c>
      <c r="D122" s="31" t="n">
        <f aca="false">IFERROR((AVERAGE(B120:B122)/AVERAGE(B117:B119)-1)*100,"")</f>
        <v>0.390965116655551</v>
      </c>
      <c r="E122" s="31" t="n">
        <f aca="false">IFERROR(((AVERAGE(B120:B122)/AVERAGE(B117:B119))^4-1)*100,"")</f>
        <v>1.57305561752232</v>
      </c>
      <c r="F122" s="31" t="n">
        <f aca="false">IFERROR((B122/B110-1)*100,"")</f>
        <v>3.52442126488892</v>
      </c>
      <c r="G122" s="31" t="n">
        <f aca="false">IFERROR((AVERAGE(B115:B122)/AVERAGE(B103:B110)-1)*100,"")</f>
        <v>3.22309502293274</v>
      </c>
      <c r="H122" s="30" t="n">
        <f aca="false">'SA Data'!U122</f>
        <v>149.023061767111</v>
      </c>
      <c r="I122" s="31" t="n">
        <f aca="false">IFERROR((H122/H121-1)*100,"")</f>
        <v>-0.0370425370340932</v>
      </c>
      <c r="J122" s="31" t="n">
        <f aca="false">IFERROR((AVERAGE(H120:H122)/AVERAGE(H117:H119)-1)*100,"")</f>
        <v>-0.487293568789815</v>
      </c>
      <c r="K122" s="31" t="n">
        <f aca="false">IFERROR(((AVERAGE(H120:H122)/AVERAGE(H117:H119))^4-1)*100,"")</f>
        <v>-1.93497320156542</v>
      </c>
      <c r="L122" s="31" t="n">
        <f aca="false">IFERROR(('SA Data'!Y122/'SA Data'!Y110-1)*100,"")</f>
        <v>1.53390587028346</v>
      </c>
      <c r="M122" s="31" t="n">
        <f aca="false">IFERROR((AVERAGE('SA Data'!Y115:Y122)/AVERAGE('SA Data'!Y103:Y110)-1)*100,"")</f>
        <v>2.64969925145424</v>
      </c>
    </row>
    <row r="123" customFormat="false" ht="15" hidden="false" customHeight="false" outlineLevel="0" collapsed="false">
      <c r="A123" s="20" t="n">
        <v>41547</v>
      </c>
      <c r="B123" s="30" t="n">
        <f aca="false">'SA Data'!B123</f>
        <v>150.20497</v>
      </c>
      <c r="C123" s="31" t="n">
        <f aca="false">IFERROR((B123/B122-1)*100,"")</f>
        <v>0.0303211040211693</v>
      </c>
      <c r="D123" s="31" t="n">
        <f aca="false">IFERROR((AVERAGE(B121:B123)/AVERAGE(B118:B120)-1)*100,"")</f>
        <v>0.546035960207791</v>
      </c>
      <c r="E123" s="31" t="n">
        <f aca="false">IFERROR(((AVERAGE(B121:B123)/AVERAGE(B118:B120))^4-1)*100,"")</f>
        <v>2.20209836731775</v>
      </c>
      <c r="F123" s="31" t="n">
        <f aca="false">IFERROR((B123/B111-1)*100,"")</f>
        <v>2.71710579853754</v>
      </c>
      <c r="G123" s="31" t="n">
        <f aca="false">IFERROR((AVERAGE(B115:B123)/AVERAGE(B103:B111)-1)*100,"")</f>
        <v>3.16604042187838</v>
      </c>
      <c r="H123" s="30" t="n">
        <f aca="false">'SA Data'!U123</f>
        <v>149.444850480924</v>
      </c>
      <c r="I123" s="31" t="n">
        <f aca="false">IFERROR((H123/H122-1)*100,"")</f>
        <v>0.28303586626941</v>
      </c>
      <c r="J123" s="31" t="n">
        <f aca="false">IFERROR((AVERAGE(H121:H123)/AVERAGE(H118:H120)-1)*100,"")</f>
        <v>-0.0378785604819409</v>
      </c>
      <c r="K123" s="31" t="n">
        <f aca="false">IFERROR(((AVERAGE(H121:H123)/AVERAGE(H118:H120))^4-1)*100,"")</f>
        <v>-0.151428176544099</v>
      </c>
      <c r="L123" s="31" t="n">
        <f aca="false">IFERROR(('SA Data'!Y123/'SA Data'!Y111-1)*100,"")</f>
        <v>3.08763992860788</v>
      </c>
      <c r="M123" s="31" t="n">
        <f aca="false">IFERROR((AVERAGE('SA Data'!Y115:Y123)/AVERAGE('SA Data'!Y103:Y111)-1)*100,"")</f>
        <v>2.69724584576547</v>
      </c>
    </row>
    <row r="124" customFormat="false" ht="15" hidden="false" customHeight="false" outlineLevel="0" collapsed="false">
      <c r="A124" s="20" t="n">
        <v>41578</v>
      </c>
      <c r="B124" s="30" t="n">
        <f aca="false">'SA Data'!B124</f>
        <v>148.86711</v>
      </c>
      <c r="C124" s="31" t="n">
        <f aca="false">IFERROR((B124/B123-1)*100,"")</f>
        <v>-0.890689569060199</v>
      </c>
      <c r="D124" s="31" t="n">
        <f aca="false">IFERROR((AVERAGE(B122:B124)/AVERAGE(B119:B121)-1)*100,"")</f>
        <v>0.802309440568938</v>
      </c>
      <c r="E124" s="31" t="n">
        <f aca="false">IFERROR(((AVERAGE(B122:B124)/AVERAGE(B119:B121))^4-1)*100,"")</f>
        <v>3.24806678170704</v>
      </c>
      <c r="F124" s="31" t="n">
        <f aca="false">IFERROR((B124/B112-1)*100,"")</f>
        <v>1.20873600568472</v>
      </c>
      <c r="G124" s="31" t="n">
        <f aca="false">IFERROR((AVERAGE(B115:B124)/AVERAGE(B103:B112)-1)*100,"")</f>
        <v>2.96665743709901</v>
      </c>
      <c r="H124" s="30" t="n">
        <f aca="false">'SA Data'!U124</f>
        <v>149.592212373575</v>
      </c>
      <c r="I124" s="31" t="n">
        <f aca="false">IFERROR((H124/H123-1)*100,"")</f>
        <v>0.0986062030082779</v>
      </c>
      <c r="J124" s="31" t="n">
        <f aca="false">IFERROR((AVERAGE(H122:H124)/AVERAGE(H119:H121)-1)*100,"")</f>
        <v>0.368315279706333</v>
      </c>
      <c r="K124" s="31" t="n">
        <f aca="false">IFERROR(((AVERAGE(H122:H124)/AVERAGE(H119:H121))^4-1)*100,"")</f>
        <v>1.48142049163627</v>
      </c>
      <c r="L124" s="31" t="n">
        <f aca="false">IFERROR(('SA Data'!Y124/'SA Data'!Y112-1)*100,"")</f>
        <v>1.09410931523808</v>
      </c>
      <c r="M124" s="31" t="n">
        <f aca="false">IFERROR((AVERAGE('SA Data'!Y115:Y124)/AVERAGE('SA Data'!Y103:Y112)-1)*100,"")</f>
        <v>2.53610265384221</v>
      </c>
    </row>
    <row r="125" customFormat="false" ht="15" hidden="false" customHeight="false" outlineLevel="0" collapsed="false">
      <c r="A125" s="20" t="n">
        <v>41608</v>
      </c>
      <c r="B125" s="30" t="n">
        <f aca="false">'SA Data'!B125</f>
        <v>148.05058</v>
      </c>
      <c r="C125" s="31" t="n">
        <f aca="false">IFERROR((B125/B124-1)*100,"")</f>
        <v>-0.548495903494062</v>
      </c>
      <c r="D125" s="31" t="n">
        <f aca="false">IFERROR((AVERAGE(B123:B125)/AVERAGE(B120:B122)-1)*100,"")</f>
        <v>-0.0662399183154805</v>
      </c>
      <c r="E125" s="31" t="n">
        <f aca="false">IFERROR(((AVERAGE(B123:B125)/AVERAGE(B120:B122))^4-1)*100,"")</f>
        <v>-0.264696525893027</v>
      </c>
      <c r="F125" s="31" t="n">
        <f aca="false">IFERROR((B125/B113-1)*100,"")</f>
        <v>0.747961367374161</v>
      </c>
      <c r="G125" s="31" t="n">
        <f aca="false">IFERROR((AVERAGE(B115:B125)/AVERAGE(B103:B113)-1)*100,"")</f>
        <v>2.76171617895262</v>
      </c>
      <c r="H125" s="30" t="n">
        <f aca="false">'SA Data'!U125</f>
        <v>147.370185454617</v>
      </c>
      <c r="I125" s="31" t="n">
        <f aca="false">IFERROR((H125/H124-1)*100,"")</f>
        <v>-1.48538943551997</v>
      </c>
      <c r="J125" s="31" t="n">
        <f aca="false">IFERROR((AVERAGE(H123:H125)/AVERAGE(H120:H122)-1)*100,"")</f>
        <v>0.169213168588112</v>
      </c>
      <c r="K125" s="31" t="n">
        <f aca="false">IFERROR(((AVERAGE(H123:H125)/AVERAGE(H120:H122))^4-1)*100,"")</f>
        <v>0.678572598996508</v>
      </c>
      <c r="L125" s="31" t="n">
        <f aca="false">IFERROR(('SA Data'!Y125/'SA Data'!Y113-1)*100,"")</f>
        <v>0.0978026384885311</v>
      </c>
      <c r="M125" s="31" t="n">
        <f aca="false">IFERROR((AVERAGE('SA Data'!Y115:Y125)/AVERAGE('SA Data'!Y103:Y113)-1)*100,"")</f>
        <v>2.31373348494717</v>
      </c>
    </row>
    <row r="126" customFormat="false" ht="15" hidden="false" customHeight="false" outlineLevel="0" collapsed="false">
      <c r="A126" s="20" t="n">
        <v>41639</v>
      </c>
      <c r="B126" s="30" t="n">
        <f aca="false">'SA Data'!B126</f>
        <v>147.19351</v>
      </c>
      <c r="C126" s="31" t="n">
        <f aca="false">IFERROR((B126/B125-1)*100,"")</f>
        <v>-0.578903507166262</v>
      </c>
      <c r="D126" s="31" t="n">
        <f aca="false">IFERROR((AVERAGE(B124:B126)/AVERAGE(B121:B123)-1)*100,"")</f>
        <v>-0.976044767242157</v>
      </c>
      <c r="E126" s="31" t="n">
        <f aca="false">IFERROR(((AVERAGE(B124:B126)/AVERAGE(B121:B123))^4-1)*100,"")</f>
        <v>-3.84739029498724</v>
      </c>
      <c r="F126" s="31" t="n">
        <f aca="false">IFERROR((B126/B114-1)*100,"")</f>
        <v>-1.39295954883145</v>
      </c>
      <c r="G126" s="31" t="n">
        <f aca="false">IFERROR((AVERAGE(B115:B126)/AVERAGE(B103:B114)-1)*100,"")</f>
        <v>2.4053257308601</v>
      </c>
      <c r="H126" s="30" t="n">
        <f aca="false">'SA Data'!U126</f>
        <v>147.713583791658</v>
      </c>
      <c r="I126" s="31" t="n">
        <f aca="false">IFERROR((H126/H125-1)*100,"")</f>
        <v>0.233017510279554</v>
      </c>
      <c r="J126" s="31" t="n">
        <f aca="false">IFERROR((AVERAGE(H124:H126)/AVERAGE(H121:H123)-1)*100,"")</f>
        <v>-0.641322571175274</v>
      </c>
      <c r="K126" s="31" t="n">
        <f aca="false">IFERROR(((AVERAGE(H124:H126)/AVERAGE(H121:H123))^4-1)*100,"")</f>
        <v>-2.54071794613437</v>
      </c>
      <c r="L126" s="31" t="n">
        <f aca="false">IFERROR(('SA Data'!Y126/'SA Data'!Y114-1)*100,"")</f>
        <v>0.318247243003955</v>
      </c>
      <c r="M126" s="31" t="n">
        <f aca="false">IFERROR((AVERAGE('SA Data'!Y115:Y126)/AVERAGE('SA Data'!Y103:Y114)-1)*100,"")</f>
        <v>2.149885651678</v>
      </c>
    </row>
    <row r="127" customFormat="false" ht="15" hidden="false" customHeight="false" outlineLevel="0" collapsed="false">
      <c r="A127" s="20" t="n">
        <v>41670</v>
      </c>
      <c r="B127" s="30" t="n">
        <f aca="false">'SA Data'!B127</f>
        <v>145.47985</v>
      </c>
      <c r="C127" s="31" t="n">
        <f aca="false">IFERROR((B127/B126-1)*100,"")</f>
        <v>-1.16422252584371</v>
      </c>
      <c r="D127" s="31" t="n">
        <f aca="false">IFERROR((AVERAGE(B125:B127)/AVERAGE(B122:B124)-1)*100,"")</f>
        <v>-1.8938074514451</v>
      </c>
      <c r="E127" s="31" t="n">
        <f aca="false">IFERROR(((AVERAGE(B125:B127)/AVERAGE(B122:B124))^4-1)*100,"")</f>
        <v>-7.36274340417873</v>
      </c>
      <c r="F127" s="31" t="n">
        <f aca="false">IFERROR((B127/B115-1)*100,"")</f>
        <v>-0.274341812033796</v>
      </c>
      <c r="G127" s="31" t="n">
        <f aca="false">IFERROR((AVERAGE(B127:B127)/AVERAGE(B115:B115)-1)*100,"")</f>
        <v>-0.274341812033796</v>
      </c>
      <c r="H127" s="30" t="n">
        <f aca="false">'SA Data'!U127</f>
        <v>148.553783740338</v>
      </c>
      <c r="I127" s="31" t="n">
        <f aca="false">IFERROR((H127/H126-1)*100,"")</f>
        <v>0.568803441845023</v>
      </c>
      <c r="J127" s="31" t="n">
        <f aca="false">IFERROR((AVERAGE(H125:H127)/AVERAGE(H122:H124)-1)*100,"")</f>
        <v>-0.987048699933291</v>
      </c>
      <c r="K127" s="31" t="n">
        <f aca="false">IFERROR(((AVERAGE(H125:H127)/AVERAGE(H122:H124))^4-1)*100,"")</f>
        <v>-3.89012260123257</v>
      </c>
      <c r="L127" s="31" t="n">
        <f aca="false">IFERROR(('SA Data'!Y127/'SA Data'!Y115-1)*100,"")</f>
        <v>1.06953097989015</v>
      </c>
      <c r="M127" s="31" t="n">
        <f aca="false">IFERROR((AVERAGE('SA Data'!Y127:Y127)/AVERAGE('SA Data'!Y115:Y115)-1)*100,"")</f>
        <v>1.06953097989015</v>
      </c>
    </row>
    <row r="128" customFormat="false" ht="15" hidden="false" customHeight="false" outlineLevel="0" collapsed="false">
      <c r="A128" s="20" t="n">
        <v>41698</v>
      </c>
      <c r="B128" s="30" t="n">
        <f aca="false">'SA Data'!B128</f>
        <v>146.61923</v>
      </c>
      <c r="C128" s="31" t="n">
        <f aca="false">IFERROR((B128/B127-1)*100,"")</f>
        <v>0.783187499849625</v>
      </c>
      <c r="D128" s="31" t="n">
        <f aca="false">IFERROR((AVERAGE(B126:B128)/AVERAGE(B123:B125)-1)*100,"")</f>
        <v>-1.75121296692946</v>
      </c>
      <c r="E128" s="31" t="n">
        <f aca="false">IFERROR(((AVERAGE(B126:B128)/AVERAGE(B123:B125))^4-1)*100,"")</f>
        <v>-6.82298586219294</v>
      </c>
      <c r="F128" s="31" t="n">
        <f aca="false">IFERROR((B128/B116-1)*100,"")</f>
        <v>-1.42282133508571</v>
      </c>
      <c r="G128" s="31" t="n">
        <f aca="false">IFERROR((AVERAGE(B127:B128)/AVERAGE(B115:B116)-1)*100,"")</f>
        <v>-0.854147098084079</v>
      </c>
      <c r="H128" s="30" t="n">
        <f aca="false">'SA Data'!U128</f>
        <v>146.812190962115</v>
      </c>
      <c r="I128" s="31" t="n">
        <f aca="false">IFERROR((H128/H127-1)*100,"")</f>
        <v>-1.17236514235629</v>
      </c>
      <c r="J128" s="31" t="n">
        <f aca="false">IFERROR((AVERAGE(H126:H128)/AVERAGE(H123:H125)-1)*100,"")</f>
        <v>-0.745438123509656</v>
      </c>
      <c r="K128" s="31" t="n">
        <f aca="false">IFERROR(((AVERAGE(H126:H128)/AVERAGE(H123:H125))^4-1)*100,"")</f>
        <v>-2.94857719492674</v>
      </c>
      <c r="L128" s="31" t="n">
        <f aca="false">IFERROR(('SA Data'!Y128/'SA Data'!Y116-1)*100,"")</f>
        <v>0.298484818223743</v>
      </c>
      <c r="M128" s="31" t="n">
        <f aca="false">IFERROR((AVERAGE('SA Data'!Y127:Y128)/AVERAGE('SA Data'!Y115:Y116)-1)*100,"")</f>
        <v>0.687871545941277</v>
      </c>
    </row>
    <row r="129" customFormat="false" ht="15" hidden="false" customHeight="false" outlineLevel="0" collapsed="false">
      <c r="A129" s="20" t="n">
        <v>41729</v>
      </c>
      <c r="B129" s="30" t="n">
        <f aca="false">'SA Data'!B129</f>
        <v>145.49059</v>
      </c>
      <c r="C129" s="31" t="n">
        <f aca="false">IFERROR((B129/B128-1)*100,"")</f>
        <v>-0.76977624285709</v>
      </c>
      <c r="D129" s="31" t="n">
        <f aca="false">IFERROR((AVERAGE(B127:B129)/AVERAGE(B124:B126)-1)*100,"")</f>
        <v>-1.46844529027867</v>
      </c>
      <c r="E129" s="31" t="n">
        <f aca="false">IFERROR(((AVERAGE(B127:B129)/AVERAGE(B124:B126))^4-1)*100,"")</f>
        <v>-5.74566319909198</v>
      </c>
      <c r="F129" s="31" t="n">
        <f aca="false">IFERROR((B129/B117-1)*100,"")</f>
        <v>-2.19705173942535</v>
      </c>
      <c r="G129" s="31" t="n">
        <f aca="false">IFERROR((AVERAGE(B127:B129)/AVERAGE(B115:B117)-1)*100,"")</f>
        <v>-1.30471213687268</v>
      </c>
      <c r="H129" s="30" t="n">
        <f aca="false">'SA Data'!U129</f>
        <v>143.237184164668</v>
      </c>
      <c r="I129" s="31" t="n">
        <f aca="false">IFERROR((H129/H128-1)*100,"")</f>
        <v>-2.43508851275778</v>
      </c>
      <c r="J129" s="31" t="n">
        <f aca="false">IFERROR((AVERAGE(H127:H129)/AVERAGE(H124:H126)-1)*100,"")</f>
        <v>-1.36567365986539</v>
      </c>
      <c r="K129" s="31" t="n">
        <f aca="false">IFERROR(((AVERAGE(H127:H129)/AVERAGE(H124:H126))^4-1)*100,"")</f>
        <v>-5.35180611609013</v>
      </c>
      <c r="L129" s="31" t="n">
        <f aca="false">IFERROR(('SA Data'!Y129/'SA Data'!Y117-1)*100,"")</f>
        <v>-2.80666188377605</v>
      </c>
      <c r="M129" s="31" t="n">
        <f aca="false">IFERROR((AVERAGE('SA Data'!Y127:Y129)/AVERAGE('SA Data'!Y115:Y117)-1)*100,"")</f>
        <v>-0.560877541749105</v>
      </c>
    </row>
    <row r="130" customFormat="false" ht="15" hidden="false" customHeight="false" outlineLevel="0" collapsed="false">
      <c r="A130" s="20" t="n">
        <v>41759</v>
      </c>
      <c r="B130" s="30" t="n">
        <f aca="false">'SA Data'!B130</f>
        <v>144.97986</v>
      </c>
      <c r="C130" s="31" t="n">
        <f aca="false">IFERROR((B130/B129-1)*100,"")</f>
        <v>-0.351039885122462</v>
      </c>
      <c r="D130" s="31" t="n">
        <f aca="false">IFERROR((AVERAGE(B128:B130)/AVERAGE(B125:B127)-1)*100,"")</f>
        <v>-0.824611433633471</v>
      </c>
      <c r="E130" s="31" t="n">
        <f aca="false">IFERROR(((AVERAGE(B128:B130)/AVERAGE(B125:B127))^4-1)*100,"")</f>
        <v>-3.25787052020475</v>
      </c>
      <c r="F130" s="31" t="n">
        <f aca="false">IFERROR((B130/B118-1)*100,"")</f>
        <v>-2.38446606648339</v>
      </c>
      <c r="G130" s="31" t="n">
        <f aca="false">IFERROR((AVERAGE(B127:B130)/AVERAGE(B115:B118)-1)*100,"")</f>
        <v>-1.57564914347329</v>
      </c>
      <c r="H130" s="30" t="n">
        <f aca="false">'SA Data'!U130</f>
        <v>146.660316164859</v>
      </c>
      <c r="I130" s="31" t="n">
        <f aca="false">IFERROR((H130/H129-1)*100,"")</f>
        <v>2.38983474867516</v>
      </c>
      <c r="J130" s="31" t="n">
        <f aca="false">IFERROR((AVERAGE(H128:H130)/AVERAGE(H125:H127)-1)*100,"")</f>
        <v>-1.56160398242488</v>
      </c>
      <c r="K130" s="31" t="n">
        <f aca="false">IFERROR(((AVERAGE(H128:H130)/AVERAGE(H125:H127))^4-1)*100,"")</f>
        <v>-6.10161681837971</v>
      </c>
      <c r="L130" s="31" t="n">
        <f aca="false">IFERROR(('SA Data'!Y130/'SA Data'!Y118-1)*100,"")</f>
        <v>-2.16334779667844</v>
      </c>
      <c r="M130" s="31" t="n">
        <f aca="false">IFERROR((AVERAGE('SA Data'!Y127:Y130)/AVERAGE('SA Data'!Y115:Y118)-1)*100,"")</f>
        <v>-0.995582136781292</v>
      </c>
    </row>
    <row r="131" customFormat="false" ht="15" hidden="false" customHeight="false" outlineLevel="0" collapsed="false">
      <c r="A131" s="20" t="n">
        <v>41790</v>
      </c>
      <c r="B131" s="30" t="n">
        <f aca="false">'SA Data'!B131</f>
        <v>145.33265</v>
      </c>
      <c r="C131" s="31" t="n">
        <f aca="false">IFERROR((B131/B130-1)*100,"")</f>
        <v>0.24333724698038</v>
      </c>
      <c r="D131" s="31" t="n">
        <f aca="false">IFERROR((AVERAGE(B129:B131)/AVERAGE(B126:B128)-1)*100,"")</f>
        <v>-0.794343014071797</v>
      </c>
      <c r="E131" s="31" t="n">
        <f aca="false">IFERROR(((AVERAGE(B129:B131)/AVERAGE(B126:B128))^4-1)*100,"")</f>
        <v>-3.13971329479393</v>
      </c>
      <c r="F131" s="31" t="n">
        <f aca="false">IFERROR((B131/B119-1)*100,"")</f>
        <v>-2.06456504770769</v>
      </c>
      <c r="G131" s="31" t="n">
        <f aca="false">IFERROR((AVERAGE(B127:B131)/AVERAGE(B115:B119)-1)*100,"")</f>
        <v>-1.6736555293875</v>
      </c>
      <c r="H131" s="30" t="n">
        <f aca="false">'SA Data'!U131</f>
        <v>146.811834925334</v>
      </c>
      <c r="I131" s="31" t="n">
        <f aca="false">IFERROR((H131/H130-1)*100,"")</f>
        <v>0.103312719102822</v>
      </c>
      <c r="J131" s="31" t="n">
        <f aca="false">IFERROR((AVERAGE(H129:H131)/AVERAGE(H126:H128)-1)*100,"")</f>
        <v>-1.43771544345208</v>
      </c>
      <c r="K131" s="31" t="n">
        <f aca="false">IFERROR(((AVERAGE(H129:H131)/AVERAGE(H126:H128))^4-1)*100,"")</f>
        <v>-5.62802467733892</v>
      </c>
      <c r="L131" s="31" t="n">
        <f aca="false">IFERROR(('SA Data'!Y131/'SA Data'!Y119-1)*100,"")</f>
        <v>-0.901979221121652</v>
      </c>
      <c r="M131" s="31" t="n">
        <f aca="false">IFERROR((AVERAGE('SA Data'!Y127:Y131)/AVERAGE('SA Data'!Y115:Y119)-1)*100,"")</f>
        <v>-0.974553961638403</v>
      </c>
    </row>
    <row r="132" customFormat="false" ht="15" hidden="false" customHeight="false" outlineLevel="0" collapsed="false">
      <c r="A132" s="20" t="n">
        <v>41820</v>
      </c>
      <c r="B132" s="30" t="n">
        <f aca="false">'SA Data'!B132</f>
        <v>144.60801</v>
      </c>
      <c r="C132" s="31" t="n">
        <f aca="false">IFERROR((B132/B131-1)*100,"")</f>
        <v>-0.498607848958921</v>
      </c>
      <c r="D132" s="31" t="n">
        <f aca="false">IFERROR((AVERAGE(B130:B132)/AVERAGE(B127:B129)-1)*100,"")</f>
        <v>-0.609966409856044</v>
      </c>
      <c r="E132" s="31" t="n">
        <f aca="false">IFERROR(((AVERAGE(B130:B132)/AVERAGE(B127:B129))^4-1)*100,"")</f>
        <v>-2.41763273712926</v>
      </c>
      <c r="F132" s="31" t="n">
        <f aca="false">IFERROR((B132/B120-1)*100,"")</f>
        <v>-3.035725600939</v>
      </c>
      <c r="G132" s="31" t="n">
        <f aca="false">IFERROR((AVERAGE(B127:B132)/AVERAGE(B115:B120)-1)*100,"")</f>
        <v>-1.90204154589468</v>
      </c>
      <c r="H132" s="30" t="n">
        <f aca="false">'SA Data'!U132</f>
        <v>146.006167362555</v>
      </c>
      <c r="I132" s="31" t="n">
        <f aca="false">IFERROR((H132/H131-1)*100,"")</f>
        <v>-0.548775623701381</v>
      </c>
      <c r="J132" s="31" t="n">
        <f aca="false">IFERROR((AVERAGE(H130:H132)/AVERAGE(H127:H129)-1)*100,"")</f>
        <v>0.199533352173775</v>
      </c>
      <c r="K132" s="31" t="n">
        <f aca="false">IFERROR(((AVERAGE(H130:H132)/AVERAGE(H127:H129))^4-1)*100,"")</f>
        <v>0.800525401451124</v>
      </c>
      <c r="L132" s="31" t="n">
        <f aca="false">IFERROR(('SA Data'!Y132/'SA Data'!Y120-1)*100,"")</f>
        <v>-0.649387342551222</v>
      </c>
      <c r="M132" s="31" t="n">
        <f aca="false">IFERROR((AVERAGE('SA Data'!Y127:Y132)/AVERAGE('SA Data'!Y115:Y120)-1)*100,"")</f>
        <v>-0.917937063254326</v>
      </c>
    </row>
    <row r="133" customFormat="false" ht="15" hidden="false" customHeight="false" outlineLevel="0" collapsed="false">
      <c r="A133" s="20" t="n">
        <v>41851</v>
      </c>
      <c r="B133" s="30" t="n">
        <f aca="false">'SA Data'!B133</f>
        <v>144.0137</v>
      </c>
      <c r="C133" s="31" t="n">
        <f aca="false">IFERROR((B133/B132-1)*100,"")</f>
        <v>-0.41098000034715</v>
      </c>
      <c r="D133" s="31" t="n">
        <f aca="false">IFERROR((AVERAGE(B131:B133)/AVERAGE(B128:B130)-1)*100,"")</f>
        <v>-0.7173173249023</v>
      </c>
      <c r="E133" s="31" t="n">
        <f aca="false">IFERROR(((AVERAGE(B131:B133)/AVERAGE(B128:B130))^4-1)*100,"")</f>
        <v>-2.83854402274897</v>
      </c>
      <c r="F133" s="31" t="n">
        <f aca="false">IFERROR((B133/B121-1)*100,"")</f>
        <v>-2.77506233956035</v>
      </c>
      <c r="G133" s="31" t="n">
        <f aca="false">IFERROR((AVERAGE(B127:B133)/AVERAGE(B115:B121)-1)*100,"")</f>
        <v>-2.02667681979918</v>
      </c>
      <c r="H133" s="30" t="n">
        <f aca="false">'SA Data'!U133</f>
        <v>145.964261675644</v>
      </c>
      <c r="I133" s="31" t="n">
        <f aca="false">IFERROR((H133/H132-1)*100,"")</f>
        <v>-0.0287013128743574</v>
      </c>
      <c r="J133" s="31" t="n">
        <f aca="false">IFERROR((AVERAGE(H131:H133)/AVERAGE(H128:H130)-1)*100,"")</f>
        <v>0.474588202007009</v>
      </c>
      <c r="K133" s="31" t="n">
        <f aca="false">IFERROR(((AVERAGE(H131:H133)/AVERAGE(H128:H130))^4-1)*100,"")</f>
        <v>1.91190965379975</v>
      </c>
      <c r="L133" s="31" t="n">
        <f aca="false">IFERROR(('SA Data'!Y133/'SA Data'!Y121-1)*100,"")</f>
        <v>-2.24918927487433</v>
      </c>
      <c r="M133" s="31" t="n">
        <f aca="false">IFERROR((AVERAGE('SA Data'!Y127:Y133)/AVERAGE('SA Data'!Y115:Y121)-1)*100,"")</f>
        <v>-1.10829517062512</v>
      </c>
    </row>
    <row r="134" customFormat="false" ht="15" hidden="false" customHeight="false" outlineLevel="0" collapsed="false">
      <c r="A134" s="20" t="n">
        <v>41882</v>
      </c>
      <c r="B134" s="30" t="n">
        <f aca="false">'SA Data'!B134</f>
        <v>143.6319</v>
      </c>
      <c r="C134" s="31" t="n">
        <f aca="false">IFERROR((B134/B133-1)*100,"")</f>
        <v>-0.265113666269246</v>
      </c>
      <c r="D134" s="31" t="n">
        <f aca="false">IFERROR((AVERAGE(B132:B134)/AVERAGE(B129:B131)-1)*100,"")</f>
        <v>-0.814471030609931</v>
      </c>
      <c r="E134" s="31" t="n">
        <f aca="false">IFERROR(((AVERAGE(B132:B134)/AVERAGE(B129:B131))^4-1)*100,"")</f>
        <v>-3.21829801480497</v>
      </c>
      <c r="F134" s="31" t="n">
        <f aca="false">IFERROR((B134/B122-1)*100,"")</f>
        <v>-4.34707268487415</v>
      </c>
      <c r="G134" s="31" t="n">
        <f aca="false">IFERROR((AVERAGE(B127:B134)/AVERAGE(B115:B122)-1)*100,"")</f>
        <v>-2.32003884109363</v>
      </c>
      <c r="H134" s="30" t="n">
        <f aca="false">'SA Data'!U134</f>
        <v>143.377048391502</v>
      </c>
      <c r="I134" s="31" t="n">
        <f aca="false">IFERROR((H134/H133-1)*100,"")</f>
        <v>-1.7724977706474</v>
      </c>
      <c r="J134" s="31" t="n">
        <f aca="false">IFERROR((AVERAGE(H132:H134)/AVERAGE(H129:H131)-1)*100,"")</f>
        <v>-0.311845366063779</v>
      </c>
      <c r="K134" s="31" t="n">
        <f aca="false">IFERROR(((AVERAGE(H132:H134)/AVERAGE(H129:H131))^4-1)*100,"")</f>
        <v>-1.24155873333484</v>
      </c>
      <c r="L134" s="31" t="n">
        <f aca="false">IFERROR(('SA Data'!Y134/'SA Data'!Y122-1)*100,"")</f>
        <v>-3.74114780925096</v>
      </c>
      <c r="M134" s="31" t="n">
        <f aca="false">IFERROR((AVERAGE('SA Data'!Y127:Y134)/AVERAGE('SA Data'!Y115:Y122)-1)*100,"")</f>
        <v>-1.43238703765972</v>
      </c>
    </row>
    <row r="135" customFormat="false" ht="15" hidden="false" customHeight="false" outlineLevel="0" collapsed="false">
      <c r="A135" s="20" t="n">
        <v>41912</v>
      </c>
      <c r="B135" s="30" t="n">
        <f aca="false">'SA Data'!B135</f>
        <v>143.52595</v>
      </c>
      <c r="C135" s="31" t="n">
        <f aca="false">IFERROR((B135/B134-1)*100,"")</f>
        <v>-0.0737649505437199</v>
      </c>
      <c r="D135" s="31" t="n">
        <f aca="false">IFERROR((AVERAGE(B133:B135)/AVERAGE(B130:B132)-1)*100,"")</f>
        <v>-0.861989680321373</v>
      </c>
      <c r="E135" s="31" t="n">
        <f aca="false">IFERROR(((AVERAGE(B133:B135)/AVERAGE(B130:B132))^4-1)*100,"")</f>
        <v>-3.40363278902845</v>
      </c>
      <c r="F135" s="31" t="n">
        <f aca="false">IFERROR((B135/B123-1)*100,"")</f>
        <v>-4.44660386403992</v>
      </c>
      <c r="G135" s="31" t="n">
        <f aca="false">IFERROR((AVERAGE(B127:B135)/AVERAGE(B115:B123)-1)*100,"")</f>
        <v>-2.55878373002936</v>
      </c>
      <c r="H135" s="30" t="n">
        <f aca="false">'SA Data'!U135</f>
        <v>146.960769882938</v>
      </c>
      <c r="I135" s="31" t="n">
        <f aca="false">IFERROR((H135/H134-1)*100,"")</f>
        <v>2.49950848594063</v>
      </c>
      <c r="J135" s="31" t="n">
        <f aca="false">IFERROR((AVERAGE(H133:H135)/AVERAGE(H130:H132)-1)*100,"")</f>
        <v>-0.722729283630186</v>
      </c>
      <c r="K135" s="31" t="n">
        <f aca="false">IFERROR(((AVERAGE(H133:H135)/AVERAGE(H130:H132))^4-1)*100,"")</f>
        <v>-2.85972760811598</v>
      </c>
      <c r="L135" s="31" t="n">
        <f aca="false">IFERROR(('SA Data'!Y135/'SA Data'!Y123-1)*100,"")</f>
        <v>-2.28788439940965</v>
      </c>
      <c r="M135" s="31" t="n">
        <f aca="false">IFERROR((AVERAGE('SA Data'!Y127:Y135)/AVERAGE('SA Data'!Y115:Y123)-1)*100,"")</f>
        <v>-1.52562024051714</v>
      </c>
    </row>
    <row r="136" customFormat="false" ht="15" hidden="false" customHeight="false" outlineLevel="0" collapsed="false">
      <c r="A136" s="20" t="n">
        <v>41943</v>
      </c>
      <c r="B136" s="30" t="n">
        <f aca="false">'SA Data'!B136</f>
        <v>143.84982</v>
      </c>
      <c r="C136" s="31" t="n">
        <f aca="false">IFERROR((B136/B135-1)*100,"")</f>
        <v>0.225652573628676</v>
      </c>
      <c r="D136" s="31" t="n">
        <f aca="false">IFERROR((AVERAGE(B134:B136)/AVERAGE(B131:B133)-1)*100,"")</f>
        <v>-0.679032237399357</v>
      </c>
      <c r="E136" s="31" t="n">
        <f aca="false">IFERROR(((AVERAGE(B134:B136)/AVERAGE(B131:B133))^4-1)*100,"")</f>
        <v>-2.68858888680437</v>
      </c>
      <c r="F136" s="31" t="n">
        <f aca="false">IFERROR((B136/B124-1)*100,"")</f>
        <v>-3.37031463833751</v>
      </c>
      <c r="G136" s="31" t="n">
        <f aca="false">IFERROR((AVERAGE(B127:B136)/AVERAGE(B115:B124)-1)*100,"")</f>
        <v>-2.64003986647066</v>
      </c>
      <c r="H136" s="30" t="n">
        <f aca="false">'SA Data'!U136</f>
        <v>146.68764784517</v>
      </c>
      <c r="I136" s="31" t="n">
        <f aca="false">IFERROR((H136/H135-1)*100,"")</f>
        <v>-0.185846901854048</v>
      </c>
      <c r="J136" s="31" t="n">
        <f aca="false">IFERROR((AVERAGE(H134:H136)/AVERAGE(H131:H133)-1)*100,"")</f>
        <v>-0.400380322589577</v>
      </c>
      <c r="K136" s="31" t="n">
        <f aca="false">IFERROR(((AVERAGE(H134:H136)/AVERAGE(H131:H133))^4-1)*100,"")</f>
        <v>-1.59192867358918</v>
      </c>
      <c r="L136" s="31" t="n">
        <f aca="false">IFERROR(('SA Data'!Y136/'SA Data'!Y124-1)*100,"")</f>
        <v>-1.99270303657767</v>
      </c>
      <c r="M136" s="31" t="n">
        <f aca="false">IFERROR((AVERAGE('SA Data'!Y127:Y136)/AVERAGE('SA Data'!Y115:Y124)-1)*100,"")</f>
        <v>-1.57190994060087</v>
      </c>
    </row>
    <row r="137" customFormat="false" ht="15" hidden="false" customHeight="false" outlineLevel="0" collapsed="false">
      <c r="A137" s="20" t="n">
        <v>41973</v>
      </c>
      <c r="B137" s="30" t="n">
        <f aca="false">'SA Data'!B137</f>
        <v>144.81113</v>
      </c>
      <c r="C137" s="31" t="n">
        <f aca="false">IFERROR((B137/B136-1)*100,"")</f>
        <v>0.668273342295467</v>
      </c>
      <c r="D137" s="31" t="n">
        <f aca="false">IFERROR((AVERAGE(B135:B137)/AVERAGE(B132:B134)-1)*100,"")</f>
        <v>-0.0154330694889904</v>
      </c>
      <c r="E137" s="31" t="n">
        <f aca="false">IFERROR(((AVERAGE(B135:B137)/AVERAGE(B132:B134))^4-1)*100,"")</f>
        <v>-0.0617179886482133</v>
      </c>
      <c r="F137" s="31" t="n">
        <f aca="false">IFERROR((B137/B125-1)*100,"")</f>
        <v>-2.18806977993602</v>
      </c>
      <c r="G137" s="31" t="n">
        <f aca="false">IFERROR((AVERAGE(B127:B137)/AVERAGE(B115:B125)-1)*100,"")</f>
        <v>-2.59910944709419</v>
      </c>
      <c r="H137" s="30" t="n">
        <f aca="false">'SA Data'!U137</f>
        <v>144.651201949198</v>
      </c>
      <c r="I137" s="31" t="n">
        <f aca="false">IFERROR((H137/H136-1)*100,"")</f>
        <v>-1.38828723882811</v>
      </c>
      <c r="J137" s="31" t="n">
        <f aca="false">IFERROR((AVERAGE(H135:H137)/AVERAGE(H132:H134)-1)*100,"")</f>
        <v>0.678111715504959</v>
      </c>
      <c r="K137" s="31" t="n">
        <f aca="false">IFERROR(((AVERAGE(H135:H137)/AVERAGE(H132:H134))^4-1)*100,"")</f>
        <v>2.74016193132638</v>
      </c>
      <c r="L137" s="31" t="n">
        <f aca="false">IFERROR(('SA Data'!Y137/'SA Data'!Y125-1)*100,"")</f>
        <v>-1.93188173681887</v>
      </c>
      <c r="M137" s="31" t="n">
        <f aca="false">IFERROR((AVERAGE('SA Data'!Y127:Y137)/AVERAGE('SA Data'!Y115:Y125)-1)*100,"")</f>
        <v>-1.60402779447896</v>
      </c>
    </row>
    <row r="138" customFormat="false" ht="15" hidden="false" customHeight="false" outlineLevel="0" collapsed="false">
      <c r="A138" s="20" t="n">
        <v>42004</v>
      </c>
      <c r="B138" s="30" t="n">
        <f aca="false">'SA Data'!B138</f>
        <v>144.90914</v>
      </c>
      <c r="C138" s="31" t="n">
        <f aca="false">IFERROR((B138/B137-1)*100,"")</f>
        <v>0.0676812617925293</v>
      </c>
      <c r="D138" s="31" t="n">
        <f aca="false">IFERROR((AVERAGE(B136:B138)/AVERAGE(B133:B135)-1)*100,"")</f>
        <v>0.556284383791095</v>
      </c>
      <c r="E138" s="31" t="n">
        <f aca="false">IFERROR(((AVERAGE(B136:B138)/AVERAGE(B133:B135))^4-1)*100,"")</f>
        <v>2.2437736272604</v>
      </c>
      <c r="F138" s="31" t="n">
        <f aca="false">IFERROR((B138/B126-1)*100,"")</f>
        <v>-1.55195021845732</v>
      </c>
      <c r="G138" s="31" t="n">
        <f aca="false">IFERROR((AVERAGE(B127:B138)/AVERAGE(B115:B126)-1)*100,"")</f>
        <v>-2.51261523869343</v>
      </c>
      <c r="H138" s="30" t="n">
        <f aca="false">'SA Data'!U138</f>
        <v>146.534925934812</v>
      </c>
      <c r="I138" s="31" t="n">
        <f aca="false">IFERROR((H138/H137-1)*100,"")</f>
        <v>1.30225256356673</v>
      </c>
      <c r="J138" s="31" t="n">
        <f aca="false">IFERROR((AVERAGE(H136:H138)/AVERAGE(H133:H135)-1)*100,"")</f>
        <v>0.360231099351172</v>
      </c>
      <c r="K138" s="31" t="n">
        <f aca="false">IFERROR(((AVERAGE(H136:H138)/AVERAGE(H133:H135))^4-1)*100,"")</f>
        <v>1.44872909930405</v>
      </c>
      <c r="L138" s="31" t="n">
        <f aca="false">IFERROR(('SA Data'!Y138/'SA Data'!Y126-1)*100,"")</f>
        <v>-0.949440203036611</v>
      </c>
      <c r="M138" s="31" t="n">
        <f aca="false">IFERROR((AVERAGE('SA Data'!Y127:Y138)/AVERAGE('SA Data'!Y115:Y126)-1)*100,"")</f>
        <v>-1.55124385697775</v>
      </c>
    </row>
    <row r="139" customFormat="false" ht="15" hidden="false" customHeight="false" outlineLevel="0" collapsed="false">
      <c r="A139" s="20" t="n">
        <v>42035</v>
      </c>
      <c r="B139" s="30" t="n">
        <f aca="false">'SA Data'!B139</f>
        <v>144.24479</v>
      </c>
      <c r="C139" s="31" t="n">
        <f aca="false">IFERROR((B139/B138-1)*100,"")</f>
        <v>-0.458459694122826</v>
      </c>
      <c r="D139" s="31" t="n">
        <f aca="false">IFERROR((AVERAGE(B137:B139)/AVERAGE(B134:B136)-1)*100,"")</f>
        <v>0.686157162818013</v>
      </c>
      <c r="E139" s="31" t="n">
        <f aca="false">IFERROR(((AVERAGE(B137:B139)/AVERAGE(B134:B136))^4-1)*100,"")</f>
        <v>2.77300679237582</v>
      </c>
      <c r="F139" s="31" t="n">
        <f aca="false">IFERROR((B139/B127-1)*100,"")</f>
        <v>-0.848956058175754</v>
      </c>
      <c r="G139" s="31" t="n">
        <f aca="false">IFERROR((AVERAGE(B139:B139)/AVERAGE(B127:B127)-1)*100,"")</f>
        <v>-0.848956058175754</v>
      </c>
      <c r="H139" s="30" t="n">
        <f aca="false">'SA Data'!U139</f>
        <v>145.075362071726</v>
      </c>
      <c r="I139" s="31" t="n">
        <f aca="false">IFERROR((H139/H138-1)*100,"")</f>
        <v>-0.996051865297831</v>
      </c>
      <c r="J139" s="31" t="n">
        <f aca="false">IFERROR((AVERAGE(H137:H139)/AVERAGE(H134:H136)-1)*100,"")</f>
        <v>-0.174812733605079</v>
      </c>
      <c r="K139" s="31" t="n">
        <f aca="false">IFERROR(((AVERAGE(H137:H139)/AVERAGE(H134:H136))^4-1)*100,"")</f>
        <v>-0.697419500851926</v>
      </c>
      <c r="L139" s="31" t="n">
        <f aca="false">IFERROR(('SA Data'!Y139/'SA Data'!Y127-1)*100,"")</f>
        <v>-1.97885019104987</v>
      </c>
      <c r="M139" s="31" t="n">
        <f aca="false">IFERROR((AVERAGE('SA Data'!Y139:Y139)/AVERAGE('SA Data'!Y127:Y127)-1)*100,"")</f>
        <v>-1.97885019104987</v>
      </c>
    </row>
    <row r="140" customFormat="false" ht="15" hidden="false" customHeight="false" outlineLevel="0" collapsed="false">
      <c r="A140" s="20" t="n">
        <v>42063</v>
      </c>
      <c r="B140" s="30" t="n">
        <f aca="false">'SA Data'!B140</f>
        <v>148.08726</v>
      </c>
      <c r="C140" s="31" t="n">
        <f aca="false">IFERROR((B140/B139-1)*100,"")</f>
        <v>2.66385357835108</v>
      </c>
      <c r="D140" s="31" t="n">
        <f aca="false">IFERROR((AVERAGE(B138:B140)/AVERAGE(B135:B137)-1)*100,"")</f>
        <v>1.16946857945024</v>
      </c>
      <c r="E140" s="31" t="n">
        <f aca="false">IFERROR(((AVERAGE(B138:B140)/AVERAGE(B135:B137))^4-1)*100,"")</f>
        <v>4.76057536642778</v>
      </c>
      <c r="F140" s="31" t="n">
        <f aca="false">IFERROR((B140/B128-1)*100,"")</f>
        <v>1.00125338265655</v>
      </c>
      <c r="G140" s="31" t="n">
        <f aca="false">IFERROR((AVERAGE(B139:B140)/AVERAGE(B127:B128)-1)*100,"")</f>
        <v>0.0797571837610756</v>
      </c>
      <c r="H140" s="30" t="n">
        <f aca="false">'SA Data'!U140</f>
        <v>147.496992113212</v>
      </c>
      <c r="I140" s="31" t="n">
        <f aca="false">IFERROR((H140/H139-1)*100,"")</f>
        <v>1.66922212490457</v>
      </c>
      <c r="J140" s="31" t="n">
        <f aca="false">IFERROR((AVERAGE(H138:H140)/AVERAGE(H135:H137)-1)*100,"")</f>
        <v>0.184271308069439</v>
      </c>
      <c r="K140" s="31" t="n">
        <f aca="false">IFERROR(((AVERAGE(H138:H140)/AVERAGE(H135:H137))^4-1)*100,"")</f>
        <v>0.739125091169757</v>
      </c>
      <c r="L140" s="31" t="n">
        <f aca="false">IFERROR(('SA Data'!Y140/'SA Data'!Y128-1)*100,"")</f>
        <v>0.75098000918441</v>
      </c>
      <c r="M140" s="31" t="n">
        <f aca="false">IFERROR((AVERAGE('SA Data'!Y139:Y140)/AVERAGE('SA Data'!Y127:Y128)-1)*100,"")</f>
        <v>-0.63283962730919</v>
      </c>
    </row>
    <row r="141" customFormat="false" ht="15" hidden="false" customHeight="false" outlineLevel="0" collapsed="false">
      <c r="A141" s="20" t="n">
        <v>42094</v>
      </c>
      <c r="B141" s="30" t="n">
        <f aca="false">'SA Data'!B141</f>
        <v>147.60559</v>
      </c>
      <c r="C141" s="31" t="n">
        <f aca="false">IFERROR((B141/B140-1)*100,"")</f>
        <v>-0.325260930616167</v>
      </c>
      <c r="D141" s="31" t="n">
        <f aca="false">IFERROR((AVERAGE(B139:B141)/AVERAGE(B136:B138)-1)*100,"")</f>
        <v>1.46863221123026</v>
      </c>
      <c r="E141" s="31" t="n">
        <f aca="false">IFERROR(((AVERAGE(B139:B141)/AVERAGE(B136:B138))^4-1)*100,"")</f>
        <v>6.00521339708007</v>
      </c>
      <c r="F141" s="31" t="n">
        <f aca="false">IFERROR((B141/B129-1)*100,"")</f>
        <v>1.45370226349348</v>
      </c>
      <c r="G141" s="31" t="n">
        <f aca="false">IFERROR((AVERAGE(B139:B141)/AVERAGE(B127:B129)-1)*100,"")</f>
        <v>0.536568881984834</v>
      </c>
      <c r="H141" s="30" t="n">
        <f aca="false">'SA Data'!U141</f>
        <v>147.936499817344</v>
      </c>
      <c r="I141" s="31" t="n">
        <f aca="false">IFERROR((H141/H140-1)*100,"")</f>
        <v>0.297977401325533</v>
      </c>
      <c r="J141" s="31" t="n">
        <f aca="false">IFERROR((AVERAGE(H139:H141)/AVERAGE(H136:H138)-1)*100,"")</f>
        <v>0.601789469742364</v>
      </c>
      <c r="K141" s="31" t="n">
        <f aca="false">IFERROR(((AVERAGE(H139:H141)/AVERAGE(H136:H138))^4-1)*100,"")</f>
        <v>2.42897421943487</v>
      </c>
      <c r="L141" s="31" t="n">
        <f aca="false">IFERROR(('SA Data'!Y141/'SA Data'!Y129-1)*100,"")</f>
        <v>3.35746520856115</v>
      </c>
      <c r="M141" s="31" t="n">
        <f aca="false">IFERROR((AVERAGE('SA Data'!Y139:Y141)/AVERAGE('SA Data'!Y127:Y129)-1)*100,"")</f>
        <v>0.760866708230457</v>
      </c>
    </row>
    <row r="142" customFormat="false" ht="15" hidden="false" customHeight="false" outlineLevel="0" collapsed="false">
      <c r="A142" s="20" t="n">
        <v>42124</v>
      </c>
      <c r="B142" s="30" t="n">
        <f aca="false">'SA Data'!B142</f>
        <v>149.56613</v>
      </c>
      <c r="C142" s="31" t="n">
        <f aca="false">IFERROR((B142/B141-1)*100,"")</f>
        <v>1.32822882927399</v>
      </c>
      <c r="D142" s="31" t="n">
        <f aca="false">IFERROR((AVERAGE(B140:B142)/AVERAGE(B137:B139)-1)*100,"")</f>
        <v>2.60249523314158</v>
      </c>
      <c r="E142" s="31" t="n">
        <f aca="false">IFERROR(((AVERAGE(B140:B142)/AVERAGE(B137:B139))^4-1)*100,"")</f>
        <v>10.8234563529185</v>
      </c>
      <c r="F142" s="31" t="n">
        <f aca="false">IFERROR((B142/B130-1)*100,"")</f>
        <v>3.16338421074485</v>
      </c>
      <c r="G142" s="31" t="n">
        <f aca="false">IFERROR((AVERAGE(B139:B142)/AVERAGE(B127:B130)-1)*100,"")</f>
        <v>1.19028538962551</v>
      </c>
      <c r="H142" s="30" t="n">
        <f aca="false">'SA Data'!U142</f>
        <v>151.321699058101</v>
      </c>
      <c r="I142" s="31" t="n">
        <f aca="false">IFERROR((H142/H141-1)*100,"")</f>
        <v>2.28827858232128</v>
      </c>
      <c r="J142" s="31" t="n">
        <f aca="false">IFERROR((AVERAGE(H140:H142)/AVERAGE(H137:H139)-1)*100,"")</f>
        <v>2.40536954888817</v>
      </c>
      <c r="K142" s="31" t="n">
        <f aca="false">IFERROR(((AVERAGE(H140:H142)/AVERAGE(H137:H139))^4-1)*100,"")</f>
        <v>9.97422662848844</v>
      </c>
      <c r="L142" s="31" t="n">
        <f aca="false">IFERROR(('SA Data'!Y142/'SA Data'!Y130-1)*100,"")</f>
        <v>3.40105952288285</v>
      </c>
      <c r="M142" s="31" t="n">
        <f aca="false">IFERROR((AVERAGE('SA Data'!Y139:Y142)/AVERAGE('SA Data'!Y127:Y130)-1)*100,"")</f>
        <v>1.46862816440227</v>
      </c>
    </row>
    <row r="143" customFormat="false" ht="15" hidden="false" customHeight="false" outlineLevel="0" collapsed="false">
      <c r="A143" s="20" t="n">
        <v>42155</v>
      </c>
      <c r="B143" s="30" t="n">
        <f aca="false">'SA Data'!B143</f>
        <v>149.8329</v>
      </c>
      <c r="C143" s="31" t="n">
        <f aca="false">IFERROR((B143/B142-1)*100,"")</f>
        <v>0.178362574467905</v>
      </c>
      <c r="D143" s="31" t="n">
        <f aca="false">IFERROR((AVERAGE(B141:B143)/AVERAGE(B138:B140)-1)*100,"")</f>
        <v>2.23296208666892</v>
      </c>
      <c r="E143" s="31" t="n">
        <f aca="false">IFERROR(((AVERAGE(B141:B143)/AVERAGE(B138:B140))^4-1)*100,"")</f>
        <v>9.23549391537766</v>
      </c>
      <c r="F143" s="31" t="n">
        <f aca="false">IFERROR((B143/B131-1)*100,"")</f>
        <v>3.09651685288888</v>
      </c>
      <c r="G143" s="31" t="n">
        <f aca="false">IFERROR((AVERAGE(B139:B143)/AVERAGE(B127:B131)-1)*100,"")</f>
        <v>1.57088277988118</v>
      </c>
      <c r="H143" s="30" t="n">
        <f aca="false">'SA Data'!U143</f>
        <v>149.719179678677</v>
      </c>
      <c r="I143" s="31" t="n">
        <f aca="false">IFERROR((H143/H142-1)*100,"")</f>
        <v>-1.05901492607995</v>
      </c>
      <c r="J143" s="31" t="n">
        <f aca="false">IFERROR((AVERAGE(H141:H143)/AVERAGE(H138:H140)-1)*100,"")</f>
        <v>2.24776469925094</v>
      </c>
      <c r="K143" s="31" t="n">
        <f aca="false">IFERROR(((AVERAGE(H141:H143)/AVERAGE(H138:H140))^4-1)*100,"")</f>
        <v>9.29877377684194</v>
      </c>
      <c r="L143" s="31" t="n">
        <f aca="false">IFERROR(('SA Data'!Y143/'SA Data'!Y131-1)*100,"")</f>
        <v>2.98943895826671</v>
      </c>
      <c r="M143" s="31" t="n">
        <f aca="false">IFERROR((AVERAGE('SA Data'!Y139:Y143)/AVERAGE('SA Data'!Y127:Y131)-1)*100,"")</f>
        <v>1.81053325605653</v>
      </c>
    </row>
    <row r="144" customFormat="false" ht="15" hidden="false" customHeight="false" outlineLevel="0" collapsed="false">
      <c r="A144" s="20" t="n">
        <v>42185</v>
      </c>
      <c r="B144" s="30" t="n">
        <f aca="false">'SA Data'!B144</f>
        <v>150.65951</v>
      </c>
      <c r="C144" s="31" t="n">
        <f aca="false">IFERROR((B144/B143-1)*100,"")</f>
        <v>0.551687913669174</v>
      </c>
      <c r="D144" s="31" t="n">
        <f aca="false">IFERROR((AVERAGE(B142:B144)/AVERAGE(B139:B141)-1)*100,"")</f>
        <v>2.30053059338136</v>
      </c>
      <c r="E144" s="31" t="n">
        <f aca="false">IFERROR(((AVERAGE(B142:B144)/AVERAGE(B139:B141))^4-1)*100,"")</f>
        <v>9.52456701310616</v>
      </c>
      <c r="F144" s="31" t="n">
        <f aca="false">IFERROR((B144/B132-1)*100,"")</f>
        <v>4.18476127290597</v>
      </c>
      <c r="G144" s="31" t="n">
        <f aca="false">IFERROR((AVERAGE(B139:B144)/AVERAGE(B127:B132)-1)*100,"")</f>
        <v>2.00410152229855</v>
      </c>
      <c r="H144" s="30" t="n">
        <f aca="false">'SA Data'!U144</f>
        <v>154.000248320604</v>
      </c>
      <c r="I144" s="31" t="n">
        <f aca="false">IFERROR((H144/H143-1)*100,"")</f>
        <v>2.8593989434851</v>
      </c>
      <c r="J144" s="31" t="n">
        <f aca="false">IFERROR((AVERAGE(H142:H144)/AVERAGE(H139:H141)-1)*100,"")</f>
        <v>3.29897411211277</v>
      </c>
      <c r="K144" s="31" t="n">
        <f aca="false">IFERROR(((AVERAGE(H142:H144)/AVERAGE(H139:H141))^4-1)*100,"")</f>
        <v>13.8633701025583</v>
      </c>
      <c r="L144" s="31" t="n">
        <f aca="false">IFERROR(('SA Data'!Y144/'SA Data'!Y132-1)*100,"")</f>
        <v>5.59398970346925</v>
      </c>
      <c r="M144" s="31" t="n">
        <f aca="false">IFERROR((AVERAGE('SA Data'!Y139:Y144)/AVERAGE('SA Data'!Y127:Y132)-1)*100,"")</f>
        <v>2.47108123310309</v>
      </c>
    </row>
    <row r="145" customFormat="false" ht="15" hidden="false" customHeight="false" outlineLevel="0" collapsed="false">
      <c r="A145" s="20" t="n">
        <v>42216</v>
      </c>
      <c r="B145" s="30" t="n">
        <f aca="false">'SA Data'!B145</f>
        <v>150.53913</v>
      </c>
      <c r="C145" s="31" t="n">
        <f aca="false">IFERROR((B145/B144-1)*100,"")</f>
        <v>-0.0799020254347083</v>
      </c>
      <c r="D145" s="31" t="n">
        <f aca="false">IFERROR((AVERAGE(B143:B145)/AVERAGE(B140:B142)-1)*100,"")</f>
        <v>1.29644998962177</v>
      </c>
      <c r="E145" s="31" t="n">
        <f aca="false">IFERROR(((AVERAGE(B143:B145)/AVERAGE(B140:B142))^4-1)*100,"")</f>
        <v>5.28752135827364</v>
      </c>
      <c r="F145" s="31" t="n">
        <f aca="false">IFERROR((B145/B133-1)*100,"")</f>
        <v>4.5311175256243</v>
      </c>
      <c r="G145" s="31" t="n">
        <f aca="false">IFERROR((AVERAGE(B139:B145)/AVERAGE(B127:B133)-1)*100,"")</f>
        <v>2.36211074193249</v>
      </c>
      <c r="H145" s="30" t="n">
        <f aca="false">'SA Data'!U145</f>
        <v>152.13461254636</v>
      </c>
      <c r="I145" s="31" t="n">
        <f aca="false">IFERROR((H145/H144-1)*100,"")</f>
        <v>-1.21144984802882</v>
      </c>
      <c r="J145" s="31" t="n">
        <f aca="false">IFERROR((AVERAGE(H143:H145)/AVERAGE(H140:H142)-1)*100,"")</f>
        <v>2.03665222934493</v>
      </c>
      <c r="K145" s="31" t="n">
        <f aca="false">IFERROR(((AVERAGE(H143:H145)/AVERAGE(H140:H142))^4-1)*100,"")</f>
        <v>8.39888243560805</v>
      </c>
      <c r="L145" s="31" t="n">
        <f aca="false">IFERROR(('SA Data'!Y145/'SA Data'!Y133-1)*100,"")</f>
        <v>4.37578294827263</v>
      </c>
      <c r="M145" s="31" t="n">
        <f aca="false">IFERROR((AVERAGE('SA Data'!Y139:Y145)/AVERAGE('SA Data'!Y127:Y133)-1)*100,"")</f>
        <v>2.74029577367205</v>
      </c>
    </row>
    <row r="146" customFormat="false" ht="15" hidden="false" customHeight="false" outlineLevel="0" collapsed="false">
      <c r="A146" s="20" t="n">
        <v>42247</v>
      </c>
      <c r="B146" s="30" t="n">
        <f aca="false">'SA Data'!B146</f>
        <v>150.34522</v>
      </c>
      <c r="C146" s="31" t="n">
        <f aca="false">IFERROR((B146/B145-1)*100,"")</f>
        <v>-0.128810363126175</v>
      </c>
      <c r="D146" s="31" t="n">
        <f aca="false">IFERROR((AVERAGE(B144:B146)/AVERAGE(B141:B143)-1)*100,"")</f>
        <v>1.01547943732663</v>
      </c>
      <c r="E146" s="31" t="n">
        <f aca="false">IFERROR(((AVERAGE(B144:B146)/AVERAGE(B141:B143))^4-1)*100,"")</f>
        <v>4.12420958627882</v>
      </c>
      <c r="F146" s="31" t="n">
        <f aca="false">IFERROR((B146/B134-1)*100,"")</f>
        <v>4.6739756279768</v>
      </c>
      <c r="G146" s="31" t="n">
        <f aca="false">IFERROR((AVERAGE(B139:B146)/AVERAGE(B127:B134)-1)*100,"")</f>
        <v>2.64832880763366</v>
      </c>
      <c r="H146" s="30" t="n">
        <f aca="false">'SA Data'!U146</f>
        <v>149.360214157008</v>
      </c>
      <c r="I146" s="31" t="n">
        <f aca="false">IFERROR((H146/H145-1)*100,"")</f>
        <v>-1.82364706026807</v>
      </c>
      <c r="J146" s="31" t="n">
        <f aca="false">IFERROR((AVERAGE(H144:H146)/AVERAGE(H141:H143)-1)*100,"")</f>
        <v>1.45167591535225</v>
      </c>
      <c r="K146" s="31" t="n">
        <f aca="false">IFERROR(((AVERAGE(H144:H146)/AVERAGE(H141:H143))^4-1)*100,"")</f>
        <v>5.93437356340392</v>
      </c>
      <c r="L146" s="31" t="n">
        <f aca="false">IFERROR(('SA Data'!Y146/'SA Data'!Y134-1)*100,"")</f>
        <v>4.25386029225152</v>
      </c>
      <c r="M146" s="31" t="n">
        <f aca="false">IFERROR((AVERAGE('SA Data'!Y139:Y146)/AVERAGE('SA Data'!Y127:Y134)-1)*100,"")</f>
        <v>2.92224447423859</v>
      </c>
    </row>
    <row r="147" customFormat="false" ht="15" hidden="false" customHeight="false" outlineLevel="0" collapsed="false">
      <c r="A147" s="20" t="n">
        <v>42277</v>
      </c>
      <c r="B147" s="30" t="n">
        <f aca="false">'SA Data'!B147</f>
        <v>149.00537</v>
      </c>
      <c r="C147" s="31" t="n">
        <f aca="false">IFERROR((B147/B146-1)*100,"")</f>
        <v>-0.891182306959948</v>
      </c>
      <c r="D147" s="31" t="n">
        <f aca="false">IFERROR((AVERAGE(B145:B147)/AVERAGE(B142:B144)-1)*100,"")</f>
        <v>-0.0375106758333965</v>
      </c>
      <c r="E147" s="31" t="n">
        <f aca="false">IFERROR(((AVERAGE(B145:B147)/AVERAGE(B142:B144))^4-1)*100,"")</f>
        <v>-0.149958301395292</v>
      </c>
      <c r="F147" s="31" t="n">
        <f aca="false">IFERROR((B147/B135-1)*100,"")</f>
        <v>3.81772076756852</v>
      </c>
      <c r="G147" s="31" t="n">
        <f aca="false">IFERROR((AVERAGE(B139:B147)/AVERAGE(B127:B135)-1)*100,"")</f>
        <v>2.77707042211084</v>
      </c>
      <c r="H147" s="30" t="n">
        <f aca="false">'SA Data'!U147</f>
        <v>150.647993970313</v>
      </c>
      <c r="I147" s="31" t="n">
        <f aca="false">IFERROR((H147/H146-1)*100,"")</f>
        <v>0.862197353273064</v>
      </c>
      <c r="J147" s="31" t="n">
        <f aca="false">IFERROR((AVERAGE(H145:H147)/AVERAGE(H142:H144)-1)*100,"")</f>
        <v>-0.636932842190152</v>
      </c>
      <c r="K147" s="31" t="n">
        <f aca="false">IFERROR(((AVERAGE(H145:H147)/AVERAGE(H142:H144))^4-1)*100,"")</f>
        <v>-2.52349355469791</v>
      </c>
      <c r="L147" s="31" t="n">
        <f aca="false">IFERROR(('SA Data'!Y147/'SA Data'!Y135-1)*100,"")</f>
        <v>2.33615491188754</v>
      </c>
      <c r="M147" s="31" t="n">
        <f aca="false">IFERROR((AVERAGE('SA Data'!Y139:Y147)/AVERAGE('SA Data'!Y127:Y135)-1)*100,"")</f>
        <v>2.85886610230968</v>
      </c>
    </row>
    <row r="148" customFormat="false" ht="15" hidden="false" customHeight="false" outlineLevel="0" collapsed="false">
      <c r="A148" s="20" t="n">
        <v>42308</v>
      </c>
      <c r="B148" s="30" t="n">
        <f aca="false">'SA Data'!B148</f>
        <v>149.30047</v>
      </c>
      <c r="C148" s="31" t="n">
        <f aca="false">IFERROR((B148/B147-1)*100,"")</f>
        <v>0.198046553624209</v>
      </c>
      <c r="D148" s="31" t="n">
        <f aca="false">IFERROR((AVERAGE(B146:B148)/AVERAGE(B143:B145)-1)*100,"")</f>
        <v>-0.527785706516226</v>
      </c>
      <c r="E148" s="31" t="n">
        <f aca="false">IFERROR(((AVERAGE(B146:B148)/AVERAGE(B143:B145))^4-1)*100,"")</f>
        <v>-2.09448809087029</v>
      </c>
      <c r="F148" s="31" t="n">
        <f aca="false">IFERROR((B148/B136-1)*100,"")</f>
        <v>3.78912535309395</v>
      </c>
      <c r="G148" s="31" t="n">
        <f aca="false">IFERROR((AVERAGE(B139:B148)/AVERAGE(B127:B136)-1)*100,"")</f>
        <v>2.8776443395818</v>
      </c>
      <c r="H148" s="30" t="n">
        <f aca="false">'SA Data'!U148</f>
        <v>149.168886369713</v>
      </c>
      <c r="I148" s="31" t="n">
        <f aca="false">IFERROR((H148/H147-1)*100,"")</f>
        <v>-0.981830266449857</v>
      </c>
      <c r="J148" s="31" t="n">
        <f aca="false">IFERROR((AVERAGE(H146:H148)/AVERAGE(H143:H145)-1)*100,"")</f>
        <v>-1.46471138889449</v>
      </c>
      <c r="K148" s="31" t="n">
        <f aca="false">IFERROR(((AVERAGE(H146:H148)/AVERAGE(H143:H145))^4-1)*100,"")</f>
        <v>-5.73137513044672</v>
      </c>
      <c r="L148" s="31" t="n">
        <f aca="false">IFERROR(('SA Data'!Y148/'SA Data'!Y136-1)*100,"")</f>
        <v>2.2574895370699</v>
      </c>
      <c r="M148" s="31" t="n">
        <f aca="false">IFERROR((AVERAGE('SA Data'!Y139:Y148)/AVERAGE('SA Data'!Y127:Y136)-1)*100,"")</f>
        <v>2.79952216605419</v>
      </c>
    </row>
    <row r="149" customFormat="false" ht="15" hidden="false" customHeight="false" outlineLevel="0" collapsed="false">
      <c r="A149" s="20" t="n">
        <v>42338</v>
      </c>
      <c r="B149" s="30" t="n">
        <f aca="false">'SA Data'!B149</f>
        <v>148.58071</v>
      </c>
      <c r="C149" s="31" t="n">
        <f aca="false">IFERROR((B149/B148-1)*100,"")</f>
        <v>-0.482088234551425</v>
      </c>
      <c r="D149" s="31" t="n">
        <f aca="false">IFERROR((AVERAGE(B147:B149)/AVERAGE(B144:B146)-1)*100,"")</f>
        <v>-1.03141918483843</v>
      </c>
      <c r="E149" s="31" t="n">
        <f aca="false">IFERROR(((AVERAGE(B147:B149)/AVERAGE(B144:B146))^4-1)*100,"")</f>
        <v>-4.06228497556419</v>
      </c>
      <c r="F149" s="31" t="n">
        <f aca="false">IFERROR((B149/B137-1)*100,"")</f>
        <v>2.60310101854742</v>
      </c>
      <c r="G149" s="31" t="n">
        <f aca="false">IFERROR((AVERAGE(B139:B149)/AVERAGE(B127:B137)-1)*100,"")</f>
        <v>2.85267676896863</v>
      </c>
      <c r="H149" s="30" t="n">
        <f aca="false">'SA Data'!U149</f>
        <v>148.884747887991</v>
      </c>
      <c r="I149" s="31" t="n">
        <f aca="false">IFERROR((H149/H148-1)*100,"")</f>
        <v>-0.190481063871462</v>
      </c>
      <c r="J149" s="31" t="n">
        <f aca="false">IFERROR((AVERAGE(H147:H149)/AVERAGE(H144:H146)-1)*100,"")</f>
        <v>-1.49144242571636</v>
      </c>
      <c r="K149" s="31" t="n">
        <f aca="false">IFERROR(((AVERAGE(H147:H149)/AVERAGE(H144:H146))^4-1)*100,"")</f>
        <v>-5.83362775047072</v>
      </c>
      <c r="L149" s="31" t="n">
        <f aca="false">IFERROR(('SA Data'!Y149/'SA Data'!Y137-1)*100,"")</f>
        <v>3.37859114309749</v>
      </c>
      <c r="M149" s="31" t="n">
        <f aca="false">IFERROR((AVERAGE('SA Data'!Y139:Y149)/AVERAGE('SA Data'!Y127:Y137)-1)*100,"")</f>
        <v>2.85101643091519</v>
      </c>
    </row>
    <row r="150" customFormat="false" ht="15" hidden="false" customHeight="false" outlineLevel="0" collapsed="false">
      <c r="A150" s="20" t="n">
        <v>42369</v>
      </c>
      <c r="B150" s="30" t="n">
        <f aca="false">'SA Data'!B150</f>
        <v>146.93186</v>
      </c>
      <c r="C150" s="31" t="n">
        <f aca="false">IFERROR((B150/B149-1)*100,"")</f>
        <v>-1.10973355827955</v>
      </c>
      <c r="D150" s="31" t="n">
        <f aca="false">IFERROR((AVERAGE(B148:B150)/AVERAGE(B145:B147)-1)*100,"")</f>
        <v>-1.12842765111415</v>
      </c>
      <c r="E150" s="31" t="n">
        <f aca="false">IFERROR(((AVERAGE(B148:B150)/AVERAGE(B145:B147))^4-1)*100,"")</f>
        <v>-4.43788279808318</v>
      </c>
      <c r="F150" s="31" t="n">
        <f aca="false">IFERROR((B150/B138-1)*100,"")</f>
        <v>1.39585398132926</v>
      </c>
      <c r="G150" s="31" t="n">
        <f aca="false">IFERROR((AVERAGE(B139:B150)/AVERAGE(B127:B138)-1)*100,"")</f>
        <v>2.73115901682486</v>
      </c>
      <c r="H150" s="30" t="n">
        <f aca="false">'SA Data'!U150</f>
        <v>147.271892042436</v>
      </c>
      <c r="I150" s="31" t="n">
        <f aca="false">IFERROR((H150/H149-1)*100,"")</f>
        <v>-1.0832915180596</v>
      </c>
      <c r="J150" s="31" t="n">
        <f aca="false">IFERROR((AVERAGE(H148:H150)/AVERAGE(H145:H147)-1)*100,"")</f>
        <v>-1.50777454862266</v>
      </c>
      <c r="K150" s="31" t="n">
        <f aca="false">IFERROR(((AVERAGE(H148:H150)/AVERAGE(H145:H147))^4-1)*100,"")</f>
        <v>-5.89606108111472</v>
      </c>
      <c r="L150" s="31" t="n">
        <f aca="false">IFERROR(('SA Data'!Y150/'SA Data'!Y138-1)*100,"")</f>
        <v>1.18442992955896</v>
      </c>
      <c r="M150" s="31" t="n">
        <f aca="false">IFERROR((AVERAGE('SA Data'!Y139:Y150)/AVERAGE('SA Data'!Y127:Y138)-1)*100,"")</f>
        <v>2.71580650450856</v>
      </c>
    </row>
    <row r="151" customFormat="false" ht="15" hidden="false" customHeight="false" outlineLevel="0" collapsed="false">
      <c r="A151" s="20" t="n">
        <v>42400</v>
      </c>
      <c r="B151" s="30" t="n">
        <f aca="false">'SA Data'!B151</f>
        <v>147.90289</v>
      </c>
      <c r="C151" s="31" t="n">
        <f aca="false">IFERROR((B151/B150-1)*100,"")</f>
        <v>0.660870964268745</v>
      </c>
      <c r="D151" s="31" t="n">
        <f aca="false">IFERROR((AVERAGE(B149:B151)/AVERAGE(B146:B148)-1)*100,"")</f>
        <v>-1.16696481225297</v>
      </c>
      <c r="E151" s="31" t="n">
        <f aca="false">IFERROR(((AVERAGE(B149:B151)/AVERAGE(B146:B148))^4-1)*100,"")</f>
        <v>-4.58678465439248</v>
      </c>
      <c r="F151" s="31" t="n">
        <f aca="false">IFERROR((B151/B139-1)*100,"")</f>
        <v>2.53603613690312</v>
      </c>
      <c r="G151" s="31" t="n">
        <f aca="false">IFERROR((AVERAGE(B151:B151)/AVERAGE(B139:B139)-1)*100,"")</f>
        <v>2.53603613690312</v>
      </c>
      <c r="H151" s="30" t="n">
        <f aca="false">'SA Data'!U151</f>
        <v>144.388904477618</v>
      </c>
      <c r="I151" s="31" t="n">
        <f aca="false">IFERROR((H151/H150-1)*100,"")</f>
        <v>-1.95759525109308</v>
      </c>
      <c r="J151" s="31" t="n">
        <f aca="false">IFERROR((AVERAGE(H149:H151)/AVERAGE(H146:H148)-1)*100,"")</f>
        <v>-1.92163629774023</v>
      </c>
      <c r="K151" s="31" t="n">
        <f aca="false">IFERROR(((AVERAGE(H149:H151)/AVERAGE(H146:H148))^4-1)*100,"")</f>
        <v>-7.46780879121123</v>
      </c>
      <c r="L151" s="31" t="n">
        <f aca="false">IFERROR(('SA Data'!Y151/'SA Data'!Y139-1)*100,"")</f>
        <v>0.53290290261987</v>
      </c>
      <c r="M151" s="31" t="n">
        <f aca="false">IFERROR((AVERAGE('SA Data'!Y151:Y151)/AVERAGE('SA Data'!Y139:Y139)-1)*100,"")</f>
        <v>0.53290290261987</v>
      </c>
    </row>
    <row r="152" customFormat="false" ht="15" hidden="false" customHeight="false" outlineLevel="0" collapsed="false">
      <c r="A152" s="20" t="n">
        <v>42429</v>
      </c>
      <c r="B152" s="30" t="n">
        <f aca="false">'SA Data'!B152</f>
        <v>146.87869</v>
      </c>
      <c r="C152" s="31" t="n">
        <f aca="false">IFERROR((B152/B151-1)*100,"")</f>
        <v>-0.692481397760392</v>
      </c>
      <c r="D152" s="31" t="n">
        <f aca="false">IFERROR((AVERAGE(B150:B152)/AVERAGE(B147:B149)-1)*100,"")</f>
        <v>-1.15758910175302</v>
      </c>
      <c r="E152" s="31" t="n">
        <f aca="false">IFERROR(((AVERAGE(B150:B152)/AVERAGE(B147:B149))^4-1)*100,"")</f>
        <v>-4.55057433322834</v>
      </c>
      <c r="F152" s="31" t="n">
        <f aca="false">IFERROR((B152/B140-1)*100,"")</f>
        <v>-0.816120171309798</v>
      </c>
      <c r="G152" s="31" t="n">
        <f aca="false">IFERROR((AVERAGE(B151:B152)/AVERAGE(B139:B140)-1)*100,"")</f>
        <v>0.83792728166483</v>
      </c>
      <c r="H152" s="30" t="n">
        <f aca="false">'SA Data'!U152</f>
        <v>146.770620587013</v>
      </c>
      <c r="I152" s="31" t="n">
        <f aca="false">IFERROR((H152/H151-1)*100,"")</f>
        <v>1.64951463411396</v>
      </c>
      <c r="J152" s="31" t="n">
        <f aca="false">IFERROR((AVERAGE(H150:H152)/AVERAGE(H147:H149)-1)*100,"")</f>
        <v>-2.2888731564243</v>
      </c>
      <c r="K152" s="31" t="n">
        <f aca="false">IFERROR(((AVERAGE(H150:H152)/AVERAGE(H147:H149))^4-1)*100,"")</f>
        <v>-8.84592526758177</v>
      </c>
      <c r="L152" s="31" t="n">
        <f aca="false">IFERROR(('SA Data'!Y152/'SA Data'!Y140-1)*100,"")</f>
        <v>0.782029589733768</v>
      </c>
      <c r="M152" s="31" t="n">
        <f aca="false">IFERROR((AVERAGE('SA Data'!Y151:Y152)/AVERAGE('SA Data'!Y139:Y140)-1)*100,"")</f>
        <v>0.657451685303934</v>
      </c>
    </row>
    <row r="153" customFormat="false" ht="15" hidden="false" customHeight="false" outlineLevel="0" collapsed="false">
      <c r="A153" s="20" t="n">
        <v>42460</v>
      </c>
      <c r="B153" s="30" t="n">
        <f aca="false">'SA Data'!B153</f>
        <v>145.96567</v>
      </c>
      <c r="C153" s="31" t="n">
        <f aca="false">IFERROR((B153/B152-1)*100,"")</f>
        <v>-0.621615021212418</v>
      </c>
      <c r="D153" s="31" t="n">
        <f aca="false">IFERROR((AVERAGE(B151:B153)/AVERAGE(B148:B150)-1)*100,"")</f>
        <v>-0.914044696171679</v>
      </c>
      <c r="E153" s="31" t="n">
        <f aca="false">IFERROR(((AVERAGE(B151:B153)/AVERAGE(B148:B150))^4-1)*100,"")</f>
        <v>-3.60635488985434</v>
      </c>
      <c r="F153" s="31" t="n">
        <f aca="false">IFERROR((B153/B141-1)*100,"")</f>
        <v>-1.11101483351682</v>
      </c>
      <c r="G153" s="31" t="n">
        <f aca="false">IFERROR((AVERAGE(B151:B153)/AVERAGE(B139:B141)-1)*100,"")</f>
        <v>0.184028354564059</v>
      </c>
      <c r="H153" s="30" t="n">
        <f aca="false">'SA Data'!U153</f>
        <v>148.615876907056</v>
      </c>
      <c r="I153" s="31" t="n">
        <f aca="false">IFERROR((H153/H152-1)*100,"")</f>
        <v>1.25723820793457</v>
      </c>
      <c r="J153" s="31" t="n">
        <f aca="false">IFERROR((AVERAGE(H151:H153)/AVERAGE(H148:H150)-1)*100,"")</f>
        <v>-1.24630725181283</v>
      </c>
      <c r="K153" s="31" t="n">
        <f aca="false">IFERROR(((AVERAGE(H151:H153)/AVERAGE(H148:H150))^4-1)*100,"")</f>
        <v>-4.89280403514338</v>
      </c>
      <c r="L153" s="31" t="n">
        <f aca="false">IFERROR(('SA Data'!Y153/'SA Data'!Y141-1)*100,"")</f>
        <v>0.273198760343707</v>
      </c>
      <c r="M153" s="31" t="n">
        <f aca="false">IFERROR((AVERAGE('SA Data'!Y151:Y153)/AVERAGE('SA Data'!Y139:Y141)-1)*100,"")</f>
        <v>0.519783896385784</v>
      </c>
    </row>
    <row r="154" customFormat="false" ht="15" hidden="false" customHeight="false" outlineLevel="0" collapsed="false">
      <c r="A154" s="20" t="n">
        <v>42490</v>
      </c>
      <c r="B154" s="30" t="n">
        <f aca="false">'SA Data'!B154</f>
        <v>144.71514</v>
      </c>
      <c r="C154" s="31" t="n">
        <f aca="false">IFERROR((B154/B153-1)*100,"")</f>
        <v>-0.85672884589918</v>
      </c>
      <c r="D154" s="31" t="n">
        <f aca="false">IFERROR((AVERAGE(B152:B154)/AVERAGE(B149:B151)-1)*100,"")</f>
        <v>-1.32064858541471</v>
      </c>
      <c r="E154" s="31" t="n">
        <f aca="false">IFERROR(((AVERAGE(B152:B154)/AVERAGE(B149:B151))^4-1)*100,"")</f>
        <v>-5.17886588254101</v>
      </c>
      <c r="F154" s="31" t="n">
        <f aca="false">IFERROR((B154/B142-1)*100,"")</f>
        <v>-3.24337468650154</v>
      </c>
      <c r="G154" s="31" t="n">
        <f aca="false">IFERROR((AVERAGE(B151:B154)/AVERAGE(B139:B142)-1)*100,"")</f>
        <v>-0.685556260310261</v>
      </c>
      <c r="H154" s="30" t="n">
        <f aca="false">'SA Data'!U154</f>
        <v>151.161453353543</v>
      </c>
      <c r="I154" s="31" t="n">
        <f aca="false">IFERROR((H154/H153-1)*100,"")</f>
        <v>1.71285632428031</v>
      </c>
      <c r="J154" s="31" t="n">
        <f aca="false">IFERROR((AVERAGE(H152:H154)/AVERAGE(H149:H151)-1)*100,"")</f>
        <v>1.36249396135257</v>
      </c>
      <c r="K154" s="31" t="n">
        <f aca="false">IFERROR(((AVERAGE(H152:H154)/AVERAGE(H149:H151))^4-1)*100,"")</f>
        <v>5.5623744072308</v>
      </c>
      <c r="L154" s="31" t="n">
        <f aca="false">IFERROR(('SA Data'!Y154/'SA Data'!Y142-1)*100,"")</f>
        <v>-2.45334526519064</v>
      </c>
      <c r="M154" s="31" t="n">
        <f aca="false">IFERROR((AVERAGE('SA Data'!Y151:Y154)/AVERAGE('SA Data'!Y139:Y142)-1)*100,"")</f>
        <v>-0.292407228935832</v>
      </c>
    </row>
    <row r="155" customFormat="false" ht="15" hidden="false" customHeight="false" outlineLevel="0" collapsed="false">
      <c r="A155" s="20" t="n">
        <v>42521</v>
      </c>
      <c r="B155" s="30" t="n">
        <f aca="false">'SA Data'!B155</f>
        <v>144.57675</v>
      </c>
      <c r="C155" s="31" t="n">
        <f aca="false">IFERROR((B155/B154-1)*100,"")</f>
        <v>-0.0956292479142085</v>
      </c>
      <c r="D155" s="31" t="n">
        <f aca="false">IFERROR((AVERAGE(B153:B155)/AVERAGE(B150:B152)-1)*100,"")</f>
        <v>-1.46155389792982</v>
      </c>
      <c r="E155" s="31" t="n">
        <f aca="false">IFERROR(((AVERAGE(B153:B155)/AVERAGE(B150:B152))^4-1)*100,"")</f>
        <v>-5.71929147421131</v>
      </c>
      <c r="F155" s="31" t="n">
        <f aca="false">IFERROR((B155/B143-1)*100,"")</f>
        <v>-3.5080079208238</v>
      </c>
      <c r="G155" s="31" t="n">
        <f aca="false">IFERROR((AVERAGE(B151:B155)/AVERAGE(B139:B143)-1)*100,"")</f>
        <v>-1.25755023080349</v>
      </c>
      <c r="H155" s="30" t="n">
        <f aca="false">'SA Data'!U155</f>
        <v>149.008353979364</v>
      </c>
      <c r="I155" s="31" t="n">
        <f aca="false">IFERROR((H155/H154-1)*100,"")</f>
        <v>-1.4243706490063</v>
      </c>
      <c r="J155" s="31" t="n">
        <f aca="false">IFERROR((AVERAGE(H153:H155)/AVERAGE(H150:H152)-1)*100,"")</f>
        <v>2.36166176256636</v>
      </c>
      <c r="K155" s="31" t="n">
        <f aca="false">IFERROR(((AVERAGE(H153:H155)/AVERAGE(H150:H152))^4-1)*100,"")</f>
        <v>9.78659375166415</v>
      </c>
      <c r="L155" s="31" t="n">
        <f aca="false">IFERROR(('SA Data'!Y155/'SA Data'!Y143-1)*100,"")</f>
        <v>-2.64904028978684</v>
      </c>
      <c r="M155" s="31" t="n">
        <f aca="false">IFERROR((AVERAGE('SA Data'!Y151:Y155)/AVERAGE('SA Data'!Y139:Y143)-1)*100,"")</f>
        <v>-0.828354826245614</v>
      </c>
    </row>
    <row r="156" customFormat="false" ht="15" hidden="false" customHeight="false" outlineLevel="0" collapsed="false">
      <c r="A156" s="20" t="n">
        <v>42551</v>
      </c>
      <c r="B156" s="30" t="n">
        <f aca="false">'SA Data'!B156</f>
        <v>144.37905</v>
      </c>
      <c r="C156" s="31" t="n">
        <f aca="false">IFERROR((B156/B155-1)*100,"")</f>
        <v>-0.136743978544263</v>
      </c>
      <c r="D156" s="31" t="n">
        <f aca="false">IFERROR((AVERAGE(B154:B156)/AVERAGE(B151:B153)-1)*100,"")</f>
        <v>-1.60552561587169</v>
      </c>
      <c r="E156" s="31" t="n">
        <f aca="false">IFERROR(((AVERAGE(B154:B156)/AVERAGE(B151:B153))^4-1)*100,"")</f>
        <v>-6.26908850207353</v>
      </c>
      <c r="F156" s="31" t="n">
        <f aca="false">IFERROR((B156/B144-1)*100,"")</f>
        <v>-4.16864491328826</v>
      </c>
      <c r="G156" s="31" t="n">
        <f aca="false">IFERROR((AVERAGE(B151:B156)/AVERAGE(B139:B144)-1)*100,"")</f>
        <v>-1.75034346776634</v>
      </c>
      <c r="H156" s="30" t="n">
        <f aca="false">'SA Data'!U156</f>
        <v>146.982993570657</v>
      </c>
      <c r="I156" s="31" t="n">
        <f aca="false">IFERROR((H156/H155-1)*100,"")</f>
        <v>-1.35922608002684</v>
      </c>
      <c r="J156" s="31" t="n">
        <f aca="false">IFERROR((AVERAGE(H154:H156)/AVERAGE(H151:H153)-1)*100,"")</f>
        <v>1.6775378747427</v>
      </c>
      <c r="K156" s="31" t="n">
        <f aca="false">IFERROR(((AVERAGE(H154:H156)/AVERAGE(H151:H153))^4-1)*100,"")</f>
        <v>6.88089574368127</v>
      </c>
      <c r="L156" s="31" t="n">
        <f aca="false">IFERROR(('SA Data'!Y156/'SA Data'!Y144-1)*100,"")</f>
        <v>-5.10803432454787</v>
      </c>
      <c r="M156" s="31" t="n">
        <f aca="false">IFERROR((AVERAGE('SA Data'!Y151:Y156)/AVERAGE('SA Data'!Y139:Y144)-1)*100,"")</f>
        <v>-1.59830878221378</v>
      </c>
    </row>
    <row r="157" customFormat="false" ht="15" hidden="false" customHeight="false" outlineLevel="0" collapsed="false">
      <c r="A157" s="20" t="n">
        <v>42582</v>
      </c>
      <c r="B157" s="30" t="n">
        <f aca="false">'SA Data'!B157</f>
        <v>144.58279</v>
      </c>
      <c r="C157" s="31" t="n">
        <f aca="false">IFERROR((B157/B156-1)*100,"")</f>
        <v>0.141114656177588</v>
      </c>
      <c r="D157" s="31" t="n">
        <f aca="false">IFERROR((AVERAGE(B155:B157)/AVERAGE(B152:B154)-1)*100,"")</f>
        <v>-0.91894016699442</v>
      </c>
      <c r="E157" s="31" t="n">
        <f aca="false">IFERROR(((AVERAGE(B155:B157)/AVERAGE(B152:B154))^4-1)*100,"")</f>
        <v>-3.62540329303759</v>
      </c>
      <c r="F157" s="31" t="n">
        <f aca="false">IFERROR((B157/B145-1)*100,"")</f>
        <v>-3.95667226188966</v>
      </c>
      <c r="G157" s="31" t="n">
        <f aca="false">IFERROR((AVERAGE(B151:B157)/AVERAGE(B139:B145)-1)*100,"")</f>
        <v>-2.0695434160711</v>
      </c>
      <c r="H157" s="30" t="n">
        <f aca="false">'SA Data'!U157</f>
        <v>144.949126326317</v>
      </c>
      <c r="I157" s="31" t="n">
        <f aca="false">IFERROR((H157/H156-1)*100,"")</f>
        <v>-1.38374324466503</v>
      </c>
      <c r="J157" s="31" t="n">
        <f aca="false">IFERROR((AVERAGE(H155:H157)/AVERAGE(H152:H154)-1)*100,"")</f>
        <v>-1.25573904451467</v>
      </c>
      <c r="K157" s="31" t="n">
        <f aca="false">IFERROR(((AVERAGE(H155:H157)/AVERAGE(H152:H154))^4-1)*100,"")</f>
        <v>-4.92913291882032</v>
      </c>
      <c r="L157" s="31" t="n">
        <f aca="false">IFERROR(('SA Data'!Y157/'SA Data'!Y145-1)*100,"")</f>
        <v>-4.61265597113757</v>
      </c>
      <c r="M157" s="31" t="n">
        <f aca="false">IFERROR((AVERAGE('SA Data'!Y151:Y157)/AVERAGE('SA Data'!Y139:Y145)-1)*100,"")</f>
        <v>-2.03114515306249</v>
      </c>
    </row>
    <row r="158" customFormat="false" ht="15" hidden="false" customHeight="false" outlineLevel="0" collapsed="false">
      <c r="A158" s="20" t="n">
        <v>42613</v>
      </c>
      <c r="B158" s="30" t="n">
        <f aca="false">'SA Data'!B158</f>
        <v>145.6509</v>
      </c>
      <c r="C158" s="31" t="n">
        <f aca="false">IFERROR((B158/B157-1)*100,"")</f>
        <v>0.738753208455867</v>
      </c>
      <c r="D158" s="31" t="n">
        <f aca="false">IFERROR((AVERAGE(B156:B158)/AVERAGE(B153:B155)-1)*100,"")</f>
        <v>-0.148146766250323</v>
      </c>
      <c r="E158" s="31" t="n">
        <f aca="false">IFERROR(((AVERAGE(B156:B158)/AVERAGE(B153:B155))^4-1)*100,"")</f>
        <v>-0.591271517236924</v>
      </c>
      <c r="F158" s="31" t="n">
        <f aca="false">IFERROR((B158/B146-1)*100,"")</f>
        <v>-3.12236065769168</v>
      </c>
      <c r="G158" s="31" t="n">
        <f aca="false">IFERROR((AVERAGE(B151:B158)/AVERAGE(B139:B146)-1)*100,"")</f>
        <v>-2.20245854552682</v>
      </c>
      <c r="H158" s="30" t="n">
        <f aca="false">'SA Data'!U158</f>
        <v>146.850329816925</v>
      </c>
      <c r="I158" s="31" t="n">
        <f aca="false">IFERROR((H158/H157-1)*100,"")</f>
        <v>1.31163501208575</v>
      </c>
      <c r="J158" s="31" t="n">
        <f aca="false">IFERROR((AVERAGE(H156:H158)/AVERAGE(H153:H155)-1)*100,"")</f>
        <v>-2.22895579724279</v>
      </c>
      <c r="K158" s="31" t="n">
        <f aca="false">IFERROR(((AVERAGE(H156:H158)/AVERAGE(H153:H155))^4-1)*100,"")</f>
        <v>-8.62213346721781</v>
      </c>
      <c r="L158" s="31" t="n">
        <f aca="false">IFERROR(('SA Data'!Y158/'SA Data'!Y146-1)*100,"")</f>
        <v>-1.69250990184793</v>
      </c>
      <c r="M158" s="31" t="n">
        <f aca="false">IFERROR((AVERAGE('SA Data'!Y151:Y158)/AVERAGE('SA Data'!Y139:Y146)-1)*100,"")</f>
        <v>-1.98991043004466</v>
      </c>
    </row>
    <row r="159" customFormat="false" ht="15" hidden="false" customHeight="false" outlineLevel="0" collapsed="false">
      <c r="A159" s="20" t="n">
        <v>42643</v>
      </c>
      <c r="B159" s="30" t="n">
        <f aca="false">'SA Data'!B159</f>
        <v>145.0188</v>
      </c>
      <c r="C159" s="31" t="n">
        <f aca="false">IFERROR((B159/B158-1)*100,"")</f>
        <v>-0.433982900208652</v>
      </c>
      <c r="D159" s="31" t="n">
        <f aca="false">IFERROR((AVERAGE(B157:B159)/AVERAGE(B154:B156)-1)*100,"")</f>
        <v>0.364688950567005</v>
      </c>
      <c r="E159" s="31" t="n">
        <f aca="false">IFERROR(((AVERAGE(B157:B159)/AVERAGE(B154:B156))^4-1)*100,"")</f>
        <v>1.46675510296133</v>
      </c>
      <c r="F159" s="31" t="n">
        <f aca="false">IFERROR((B159/B147-1)*100,"")</f>
        <v>-2.67545391149325</v>
      </c>
      <c r="G159" s="31" t="n">
        <f aca="false">IFERROR((AVERAGE(B151:B159)/AVERAGE(B139:B147)-1)*100,"")</f>
        <v>-2.25505918078547</v>
      </c>
      <c r="H159" s="30" t="n">
        <f aca="false">'SA Data'!U159</f>
        <v>147.04738280011</v>
      </c>
      <c r="I159" s="31" t="n">
        <f aca="false">IFERROR((H159/H158-1)*100,"")</f>
        <v>0.134186272124848</v>
      </c>
      <c r="J159" s="31" t="n">
        <f aca="false">IFERROR((AVERAGE(H157:H159)/AVERAGE(H154:H156)-1)*100,"")</f>
        <v>-1.85752206928544</v>
      </c>
      <c r="K159" s="31" t="n">
        <f aca="false">IFERROR(((AVERAGE(H157:H159)/AVERAGE(H154:H156))^4-1)*100,"")</f>
        <v>-7.22561674660962</v>
      </c>
      <c r="L159" s="31" t="n">
        <f aca="false">IFERROR(('SA Data'!Y159/'SA Data'!Y147-1)*100,"")</f>
        <v>-2.14357531836286</v>
      </c>
      <c r="M159" s="31" t="n">
        <f aca="false">IFERROR((AVERAGE('SA Data'!Y151:Y159)/AVERAGE('SA Data'!Y139:Y147)-1)*100,"")</f>
        <v>-2.00644295165444</v>
      </c>
    </row>
    <row r="160" customFormat="false" ht="15" hidden="false" customHeight="false" outlineLevel="0" collapsed="false">
      <c r="A160" s="20" t="n">
        <v>42674</v>
      </c>
      <c r="B160" s="30" t="n">
        <f aca="false">'SA Data'!B160</f>
        <v>145.15354</v>
      </c>
      <c r="C160" s="31" t="n">
        <f aca="false">IFERROR((B160/B159-1)*100,"")</f>
        <v>0.0929120913977899</v>
      </c>
      <c r="D160" s="31" t="n">
        <f aca="false">IFERROR((AVERAGE(B158:B160)/AVERAGE(B155:B157)-1)*100,"")</f>
        <v>0.526977310139798</v>
      </c>
      <c r="E160" s="31" t="n">
        <f aca="false">IFERROR(((AVERAGE(B158:B160)/AVERAGE(B155:B157))^4-1)*100,"")</f>
        <v>2.12463016051501</v>
      </c>
      <c r="F160" s="31" t="n">
        <f aca="false">IFERROR((B160/B148-1)*100,"")</f>
        <v>-2.77757330569689</v>
      </c>
      <c r="G160" s="31" t="n">
        <f aca="false">IFERROR((AVERAGE(B151:B160)/AVERAGE(B139:B148)-1)*100,"")</f>
        <v>-2.3074445678683</v>
      </c>
      <c r="H160" s="30" t="n">
        <f aca="false">'SA Data'!U160</f>
        <v>144.146708764469</v>
      </c>
      <c r="I160" s="31" t="n">
        <f aca="false">IFERROR((H160/H159-1)*100,"")</f>
        <v>-1.97261180743618</v>
      </c>
      <c r="J160" s="31" t="n">
        <f aca="false">IFERROR((AVERAGE(H158:H160)/AVERAGE(H155:H157)-1)*100,"")</f>
        <v>-0.656789899410815</v>
      </c>
      <c r="K160" s="31" t="n">
        <f aca="false">IFERROR(((AVERAGE(H158:H160)/AVERAGE(H155:H157))^4-1)*100,"")</f>
        <v>-2.60139036180688</v>
      </c>
      <c r="L160" s="31" t="n">
        <f aca="false">IFERROR(('SA Data'!Y160/'SA Data'!Y148-1)*100,"")</f>
        <v>-3.20087558937886</v>
      </c>
      <c r="M160" s="31" t="n">
        <f aca="false">IFERROR((AVERAGE('SA Data'!Y151:Y160)/AVERAGE('SA Data'!Y139:Y148)-1)*100,"")</f>
        <v>-2.12368827847739</v>
      </c>
    </row>
    <row r="161" customFormat="false" ht="15" hidden="false" customHeight="false" outlineLevel="0" collapsed="false">
      <c r="A161" s="20" t="n">
        <v>42704</v>
      </c>
      <c r="B161" s="30" t="n">
        <f aca="false">'SA Data'!B161</f>
        <v>145.78825</v>
      </c>
      <c r="C161" s="31" t="n">
        <f aca="false">IFERROR((B161/B160-1)*100,"")</f>
        <v>0.437268012891745</v>
      </c>
      <c r="D161" s="31" t="n">
        <f aca="false">IFERROR((AVERAGE(B159:B161)/AVERAGE(B156:B158)-1)*100,"")</f>
        <v>0.310126665868116</v>
      </c>
      <c r="E161" s="31" t="n">
        <f aca="false">IFERROR(((AVERAGE(B159:B161)/AVERAGE(B156:B158))^4-1)*100,"")</f>
        <v>1.24628931666879</v>
      </c>
      <c r="F161" s="31" t="n">
        <f aca="false">IFERROR((B161/B149-1)*100,"")</f>
        <v>-1.87942297489359</v>
      </c>
      <c r="G161" s="31" t="n">
        <f aca="false">IFERROR((AVERAGE(B151:B161)/AVERAGE(B139:B149)-1)*100,"")</f>
        <v>-2.26861380068771</v>
      </c>
      <c r="H161" s="30" t="n">
        <f aca="false">'SA Data'!U161</f>
        <v>147.906251678367</v>
      </c>
      <c r="I161" s="31" t="n">
        <f aca="false">IFERROR((H161/H160-1)*100,"")</f>
        <v>2.60813649241252</v>
      </c>
      <c r="J161" s="31" t="n">
        <f aca="false">IFERROR((AVERAGE(H159:H161)/AVERAGE(H156:H158)-1)*100,"")</f>
        <v>0.0724490073048534</v>
      </c>
      <c r="K161" s="31" t="n">
        <f aca="false">IFERROR(((AVERAGE(H159:H161)/AVERAGE(H156:H158))^4-1)*100,"")</f>
        <v>0.290111112876379</v>
      </c>
      <c r="L161" s="31" t="n">
        <f aca="false">IFERROR(('SA Data'!Y161/'SA Data'!Y149-1)*100,"")</f>
        <v>-0.665960299114932</v>
      </c>
      <c r="M161" s="31" t="n">
        <f aca="false">IFERROR((AVERAGE('SA Data'!Y151:Y161)/AVERAGE('SA Data'!Y139:Y149)-1)*100,"")</f>
        <v>-1.99339348116016</v>
      </c>
    </row>
    <row r="162" customFormat="false" ht="15" hidden="false" customHeight="false" outlineLevel="0" collapsed="false">
      <c r="A162" s="20" t="n">
        <v>42735</v>
      </c>
      <c r="B162" s="30" t="n">
        <f aca="false">'SA Data'!B162</f>
        <v>146.95888</v>
      </c>
      <c r="C162" s="31" t="n">
        <f aca="false">IFERROR((B162/B161-1)*100,"")</f>
        <v>0.802965945472267</v>
      </c>
      <c r="D162" s="31" t="n">
        <f aca="false">IFERROR((AVERAGE(B160:B162)/AVERAGE(B157:B159)-1)*100,"")</f>
        <v>0.608423859907159</v>
      </c>
      <c r="E162" s="31" t="n">
        <f aca="false">IFERROR(((AVERAGE(B160:B162)/AVERAGE(B157:B159))^4-1)*100,"")</f>
        <v>2.45599644269863</v>
      </c>
      <c r="F162" s="31" t="n">
        <f aca="false">IFERROR((B162/B150-1)*100,"")</f>
        <v>0.018389476591385</v>
      </c>
      <c r="G162" s="31" t="n">
        <f aca="false">IFERROR((AVERAGE(B151:B162)/AVERAGE(B139:B150)-1)*100,"")</f>
        <v>-2.08032790113049</v>
      </c>
      <c r="H162" s="30" t="n">
        <f aca="false">'SA Data'!U162</f>
        <v>147.924938036741</v>
      </c>
      <c r="I162" s="31" t="n">
        <f aca="false">IFERROR((H162/H161-1)*100,"")</f>
        <v>0.0126339205831272</v>
      </c>
      <c r="J162" s="31" t="n">
        <f aca="false">IFERROR((AVERAGE(H160:H162)/AVERAGE(H157:H159)-1)*100,"")</f>
        <v>0.257734461286763</v>
      </c>
      <c r="K162" s="31" t="n">
        <f aca="false">IFERROR(((AVERAGE(H160:H162)/AVERAGE(H157:H159))^4-1)*100,"")</f>
        <v>1.03493032092794</v>
      </c>
      <c r="L162" s="31" t="n">
        <f aca="false">IFERROR(('SA Data'!Y162/'SA Data'!Y150-1)*100,"")</f>
        <v>0.466624287294448</v>
      </c>
      <c r="M162" s="31" t="n">
        <f aca="false">IFERROR((AVERAGE('SA Data'!Y151:Y162)/AVERAGE('SA Data'!Y139:Y150)-1)*100,"")</f>
        <v>-1.79678811414338</v>
      </c>
    </row>
    <row r="163" customFormat="false" ht="15" hidden="false" customHeight="false" outlineLevel="0" collapsed="false">
      <c r="A163" s="20" t="n">
        <v>42766</v>
      </c>
      <c r="B163" s="30" t="n">
        <f aca="false">'SA Data'!B163</f>
        <v>147.08627</v>
      </c>
      <c r="C163" s="31" t="n">
        <f aca="false">IFERROR((B163/B162-1)*100,"")</f>
        <v>0.0866841119094186</v>
      </c>
      <c r="D163" s="31" t="n">
        <f aca="false">IFERROR((AVERAGE(B161:B163)/AVERAGE(B158:B160)-1)*100,"")</f>
        <v>0.920134502235337</v>
      </c>
      <c r="E163" s="31" t="n">
        <f aca="false">IFERROR(((AVERAGE(B161:B163)/AVERAGE(B158:B160))^4-1)*100,"")</f>
        <v>3.73164918771678</v>
      </c>
      <c r="F163" s="31" t="n">
        <f aca="false">IFERROR((B163/B151-1)*100,"")</f>
        <v>-0.552132551297679</v>
      </c>
      <c r="G163" s="31" t="n">
        <f aca="false">IFERROR((AVERAGE(B163:B163)/AVERAGE(B151:B151)-1)*100,"")</f>
        <v>-0.552132551297679</v>
      </c>
      <c r="H163" s="30" t="n">
        <f aca="false">'SA Data'!U163</f>
        <v>145.979856135531</v>
      </c>
      <c r="I163" s="31" t="n">
        <f aca="false">IFERROR((H163/H162-1)*100,"")</f>
        <v>-1.31491141860536</v>
      </c>
      <c r="J163" s="31" t="n">
        <f aca="false">IFERROR((AVERAGE(H161:H163)/AVERAGE(H158:H160)-1)*100,"")</f>
        <v>0.859872717304744</v>
      </c>
      <c r="K163" s="31" t="n">
        <f aca="false">IFERROR(((AVERAGE(H161:H163)/AVERAGE(H158:H160))^4-1)*100,"")</f>
        <v>3.48410859075206</v>
      </c>
      <c r="L163" s="31" t="n">
        <f aca="false">IFERROR(('SA Data'!Y163/'SA Data'!Y151-1)*100,"")</f>
        <v>1.36440750355795</v>
      </c>
      <c r="M163" s="31" t="n">
        <f aca="false">IFERROR((AVERAGE('SA Data'!Y163:Y163)/AVERAGE('SA Data'!Y151:Y151)-1)*100,"")</f>
        <v>1.36440750355795</v>
      </c>
    </row>
    <row r="164" customFormat="false" ht="15" hidden="false" customHeight="false" outlineLevel="0" collapsed="false">
      <c r="A164" s="20" t="n">
        <v>42794</v>
      </c>
      <c r="B164" s="30" t="n">
        <f aca="false">'SA Data'!B164</f>
        <v>146.81395</v>
      </c>
      <c r="C164" s="31" t="n">
        <f aca="false">IFERROR((B164/B163-1)*100,"")</f>
        <v>-0.185143045642544</v>
      </c>
      <c r="D164" s="31" t="n">
        <f aca="false">IFERROR((AVERAGE(B162:B164)/AVERAGE(B159:B161)-1)*100,"")</f>
        <v>1.1236130311687</v>
      </c>
      <c r="E164" s="31" t="n">
        <f aca="false">IFERROR(((AVERAGE(B162:B164)/AVERAGE(B159:B161))^4-1)*100,"")</f>
        <v>4.57077152061254</v>
      </c>
      <c r="F164" s="31" t="n">
        <f aca="false">IFERROR((B164/B152-1)*100,"")</f>
        <v>-0.0440771905032666</v>
      </c>
      <c r="G164" s="31" t="n">
        <f aca="false">IFERROR((AVERAGE(B163:B164)/AVERAGE(B151:B152)-1)*100,"")</f>
        <v>-0.298987474047741</v>
      </c>
      <c r="H164" s="30" t="n">
        <f aca="false">'SA Data'!U164</f>
        <v>146.000651839826</v>
      </c>
      <c r="I164" s="31" t="n">
        <f aca="false">IFERROR((H164/H163-1)*100,"")</f>
        <v>0.0142455985677969</v>
      </c>
      <c r="J164" s="31" t="n">
        <f aca="false">IFERROR((AVERAGE(H162:H164)/AVERAGE(H159:H161)-1)*100,"")</f>
        <v>0.18335279886299</v>
      </c>
      <c r="K164" s="31" t="n">
        <f aca="false">IFERROR(((AVERAGE(H162:H164)/AVERAGE(H159:H161))^4-1)*100,"")</f>
        <v>0.735430757113198</v>
      </c>
      <c r="L164" s="31" t="n">
        <f aca="false">IFERROR(('SA Data'!Y164/'SA Data'!Y152-1)*100,"")</f>
        <v>-0.590648232969548</v>
      </c>
      <c r="M164" s="31" t="n">
        <f aca="false">IFERROR((AVERAGE('SA Data'!Y163:Y164)/AVERAGE('SA Data'!Y151:Y152)-1)*100,"")</f>
        <v>0.385784215470464</v>
      </c>
    </row>
    <row r="165" customFormat="false" ht="15" hidden="false" customHeight="false" outlineLevel="0" collapsed="false">
      <c r="A165" s="20" t="n">
        <v>42825</v>
      </c>
      <c r="B165" s="30" t="n">
        <f aca="false">'SA Data'!B165</f>
        <v>147.64481</v>
      </c>
      <c r="C165" s="31" t="n">
        <f aca="false">IFERROR((B165/B164-1)*100,"")</f>
        <v>0.565927147931111</v>
      </c>
      <c r="D165" s="31" t="n">
        <f aca="false">IFERROR((AVERAGE(B163:B165)/AVERAGE(B160:B162)-1)*100,"")</f>
        <v>0.83223439690101</v>
      </c>
      <c r="E165" s="31" t="n">
        <f aca="false">IFERROR(((AVERAGE(B163:B165)/AVERAGE(B160:B162))^4-1)*100,"")</f>
        <v>3.37072547970969</v>
      </c>
      <c r="F165" s="31" t="n">
        <f aca="false">IFERROR((B165/B153-1)*100,"")</f>
        <v>1.15036638409567</v>
      </c>
      <c r="G165" s="31" t="n">
        <f aca="false">IFERROR((AVERAGE(B163:B165)/AVERAGE(B151:B153)-1)*100,"")</f>
        <v>0.181006234298686</v>
      </c>
      <c r="H165" s="30" t="n">
        <f aca="false">'SA Data'!U165</f>
        <v>151.179389110025</v>
      </c>
      <c r="I165" s="31" t="n">
        <f aca="false">IFERROR((H165/H164-1)*100,"")</f>
        <v>3.54706448562994</v>
      </c>
      <c r="J165" s="31" t="n">
        <f aca="false">IFERROR((AVERAGE(H163:H165)/AVERAGE(H160:H162)-1)*100,"")</f>
        <v>0.723217829077605</v>
      </c>
      <c r="K165" s="31" t="n">
        <f aca="false">IFERROR(((AVERAGE(H163:H165)/AVERAGE(H160:H162))^4-1)*100,"")</f>
        <v>2.92440554148987</v>
      </c>
      <c r="L165" s="31" t="n">
        <f aca="false">IFERROR(('SA Data'!Y165/'SA Data'!Y153-1)*100,"")</f>
        <v>1.88001046545148</v>
      </c>
      <c r="M165" s="31" t="n">
        <f aca="false">IFERROR((AVERAGE('SA Data'!Y163:Y165)/AVERAGE('SA Data'!Y151:Y153)-1)*100,"")</f>
        <v>0.919813213372933</v>
      </c>
    </row>
    <row r="166" customFormat="false" ht="15" hidden="false" customHeight="false" outlineLevel="0" collapsed="false">
      <c r="A166" s="20" t="n">
        <v>42855</v>
      </c>
      <c r="B166" s="30" t="n">
        <f aca="false">'SA Data'!B166</f>
        <v>147.67329</v>
      </c>
      <c r="C166" s="31" t="n">
        <f aca="false">IFERROR((B166/B165-1)*100,"")</f>
        <v>0.0192895368282819</v>
      </c>
      <c r="D166" s="31" t="n">
        <f aca="false">IFERROR((AVERAGE(B164:B166)/AVERAGE(B161:B163)-1)*100,"")</f>
        <v>0.522618336852099</v>
      </c>
      <c r="E166" s="31" t="n">
        <f aca="false">IFERROR(((AVERAGE(B164:B166)/AVERAGE(B161:B163))^4-1)*100,"")</f>
        <v>2.10691831465226</v>
      </c>
      <c r="F166" s="31" t="n">
        <f aca="false">IFERROR((B166/B154-1)*100,"")</f>
        <v>2.04411922622609</v>
      </c>
      <c r="G166" s="31" t="n">
        <f aca="false">IFERROR((AVERAGE(B163:B166)/AVERAGE(B151:B154)-1)*100,"")</f>
        <v>0.641532242574971</v>
      </c>
      <c r="H166" s="30" t="n">
        <f aca="false">'SA Data'!U166</f>
        <v>150.772455629486</v>
      </c>
      <c r="I166" s="31" t="n">
        <f aca="false">IFERROR((H166/H165-1)*100,"")</f>
        <v>-0.269172592199174</v>
      </c>
      <c r="J166" s="31" t="n">
        <f aca="false">IFERROR((AVERAGE(H164:H166)/AVERAGE(H161:H163)-1)*100,"")</f>
        <v>1.39006273980178</v>
      </c>
      <c r="K166" s="31" t="n">
        <f aca="false">IFERROR(((AVERAGE(H164:H166)/AVERAGE(H161:H163))^4-1)*100,"")</f>
        <v>5.67726555119672</v>
      </c>
      <c r="L166" s="31" t="n">
        <f aca="false">IFERROR(('SA Data'!Y166/'SA Data'!Y154-1)*100,"")</f>
        <v>0.175718334472585</v>
      </c>
      <c r="M166" s="31" t="n">
        <f aca="false">IFERROR((AVERAGE('SA Data'!Y163:Y166)/AVERAGE('SA Data'!Y151:Y154)-1)*100,"")</f>
        <v>0.720948866738613</v>
      </c>
    </row>
    <row r="167" customFormat="false" ht="15" hidden="false" customHeight="false" outlineLevel="0" collapsed="false">
      <c r="A167" s="20" t="n">
        <v>42886</v>
      </c>
      <c r="B167" s="30" t="n">
        <f aca="false">'SA Data'!B167</f>
        <v>148.67448</v>
      </c>
      <c r="C167" s="31" t="n">
        <f aca="false">IFERROR((B167/B166-1)*100,"")</f>
        <v>0.677976362550048</v>
      </c>
      <c r="D167" s="31" t="n">
        <f aca="false">IFERROR((AVERAGE(B165:B167)/AVERAGE(B162:B164)-1)*100,"")</f>
        <v>0.710766773329619</v>
      </c>
      <c r="E167" s="31" t="n">
        <f aca="false">IFERROR(((AVERAGE(B165:B167)/AVERAGE(B162:B164))^4-1)*100,"")</f>
        <v>2.8735223416366</v>
      </c>
      <c r="F167" s="31" t="n">
        <f aca="false">IFERROR((B167/B155-1)*100,"")</f>
        <v>2.83429389580274</v>
      </c>
      <c r="G167" s="31" t="n">
        <f aca="false">IFERROR((AVERAGE(B163:B167)/AVERAGE(B151:B155)-1)*100,"")</f>
        <v>1.07578615579436</v>
      </c>
      <c r="H167" s="30" t="n">
        <f aca="false">'SA Data'!U167</f>
        <v>153.343183627277</v>
      </c>
      <c r="I167" s="31" t="n">
        <f aca="false">IFERROR((H167/H166-1)*100,"")</f>
        <v>1.70503822270325</v>
      </c>
      <c r="J167" s="31" t="n">
        <f aca="false">IFERROR((AVERAGE(H165:H167)/AVERAGE(H162:H164)-1)*100,"")</f>
        <v>3.49838414009247</v>
      </c>
      <c r="K167" s="31" t="n">
        <f aca="false">IFERROR(((AVERAGE(H165:H167)/AVERAGE(H162:H164))^4-1)*100,"")</f>
        <v>14.7451340992647</v>
      </c>
      <c r="L167" s="31" t="n">
        <f aca="false">IFERROR(('SA Data'!Y167/'SA Data'!Y155-1)*100,"")</f>
        <v>2.36037499680959</v>
      </c>
      <c r="M167" s="31" t="n">
        <f aca="false">IFERROR((AVERAGE('SA Data'!Y163:Y167)/AVERAGE('SA Data'!Y151:Y155)-1)*100,"")</f>
        <v>1.08694368310658</v>
      </c>
    </row>
    <row r="168" customFormat="false" ht="15" hidden="false" customHeight="false" outlineLevel="0" collapsed="false">
      <c r="A168" s="20" t="n">
        <v>42916</v>
      </c>
      <c r="B168" s="30" t="n">
        <f aca="false">'SA Data'!B168</f>
        <v>150.27199</v>
      </c>
      <c r="C168" s="31" t="n">
        <f aca="false">IFERROR((B168/B167-1)*100,"")</f>
        <v>1.07450182438842</v>
      </c>
      <c r="D168" s="31" t="n">
        <f aca="false">IFERROR((AVERAGE(B166:B168)/AVERAGE(B163:B165)-1)*100,"")</f>
        <v>1.14931199655899</v>
      </c>
      <c r="E168" s="31" t="n">
        <f aca="false">IFERROR(((AVERAGE(B166:B168)/AVERAGE(B163:B165))^4-1)*100,"")</f>
        <v>4.67711207377819</v>
      </c>
      <c r="F168" s="31" t="n">
        <f aca="false">IFERROR((B168/B156-1)*100,"")</f>
        <v>4.08157554714481</v>
      </c>
      <c r="G168" s="31" t="n">
        <f aca="false">IFERROR((AVERAGE(B163:B168)/AVERAGE(B151:B156)-1)*100,"")</f>
        <v>1.5720853199543</v>
      </c>
      <c r="H168" s="30" t="n">
        <f aca="false">'SA Data'!U168</f>
        <v>154.387864160741</v>
      </c>
      <c r="I168" s="31" t="n">
        <f aca="false">IFERROR((H168/H167-1)*100,"")</f>
        <v>0.681269625914727</v>
      </c>
      <c r="J168" s="31" t="n">
        <f aca="false">IFERROR((AVERAGE(H166:H168)/AVERAGE(H163:H165)-1)*100,"")</f>
        <v>3.46231832641808</v>
      </c>
      <c r="K168" s="31" t="n">
        <f aca="false">IFERROR(((AVERAGE(H166:H168)/AVERAGE(H163:H165))^4-1)*100,"")</f>
        <v>14.5852779226009</v>
      </c>
      <c r="L168" s="31" t="n">
        <f aca="false">IFERROR(('SA Data'!Y168/'SA Data'!Y156-1)*100,"")</f>
        <v>5.01496906338526</v>
      </c>
      <c r="M168" s="31" t="n">
        <f aca="false">IFERROR((AVERAGE('SA Data'!Y163:Y168)/AVERAGE('SA Data'!Y151:Y156)-1)*100,"")</f>
        <v>1.76842613000809</v>
      </c>
    </row>
    <row r="169" customFormat="false" ht="15" hidden="false" customHeight="false" outlineLevel="0" collapsed="false">
      <c r="A169" s="20" t="n">
        <v>42947</v>
      </c>
      <c r="B169" s="30" t="n">
        <f aca="false">'SA Data'!B169</f>
        <v>150.46352</v>
      </c>
      <c r="C169" s="31" t="n">
        <f aca="false">IFERROR((B169/B168-1)*100,"")</f>
        <v>0.127455555755929</v>
      </c>
      <c r="D169" s="31" t="n">
        <f aca="false">IFERROR((AVERAGE(B167:B169)/AVERAGE(B164:B166)-1)*100,"")</f>
        <v>1.64610097820321</v>
      </c>
      <c r="E169" s="31" t="n">
        <f aca="false">IFERROR(((AVERAGE(B167:B169)/AVERAGE(B164:B166))^4-1)*100,"")</f>
        <v>6.74877430280674</v>
      </c>
      <c r="F169" s="31" t="n">
        <f aca="false">IFERROR((B169/B157-1)*100,"")</f>
        <v>4.06737897366623</v>
      </c>
      <c r="G169" s="31" t="n">
        <f aca="false">IFERROR((AVERAGE(B163:B169)/AVERAGE(B151:B157)-1)*100,"")</f>
        <v>1.92613455582742</v>
      </c>
      <c r="H169" s="30" t="n">
        <f aca="false">'SA Data'!U169</f>
        <v>151.182590922277</v>
      </c>
      <c r="I169" s="31" t="n">
        <f aca="false">IFERROR((H169/H168-1)*100,"")</f>
        <v>-2.07611735280335</v>
      </c>
      <c r="J169" s="31" t="n">
        <f aca="false">IFERROR((AVERAGE(H167:H169)/AVERAGE(H164:H166)-1)*100,"")</f>
        <v>2.44694297155608</v>
      </c>
      <c r="K169" s="31" t="n">
        <f aca="false">IFERROR(((AVERAGE(H167:H169)/AVERAGE(H164:H166))^4-1)*100,"")</f>
        <v>10.1529199887898</v>
      </c>
      <c r="L169" s="31" t="n">
        <f aca="false">IFERROR(('SA Data'!Y169/'SA Data'!Y157-1)*100,"")</f>
        <v>4.0847900454114</v>
      </c>
      <c r="M169" s="31" t="n">
        <f aca="false">IFERROR((AVERAGE('SA Data'!Y163:Y169)/AVERAGE('SA Data'!Y151:Y157)-1)*100,"")</f>
        <v>2.092273213512</v>
      </c>
    </row>
    <row r="170" customFormat="false" ht="15" hidden="false" customHeight="false" outlineLevel="0" collapsed="false">
      <c r="A170" s="20" t="n">
        <v>42978</v>
      </c>
      <c r="B170" s="30" t="n">
        <f aca="false">'SA Data'!B170</f>
        <v>150.39058</v>
      </c>
      <c r="C170" s="31" t="n">
        <f aca="false">IFERROR((B170/B169-1)*100,"")</f>
        <v>-0.0484768666850211</v>
      </c>
      <c r="D170" s="31" t="n">
        <f aca="false">IFERROR((AVERAGE(B168:B170)/AVERAGE(B165:B167)-1)*100,"")</f>
        <v>1.60667324665651</v>
      </c>
      <c r="E170" s="31" t="n">
        <f aca="false">IFERROR(((AVERAGE(B168:B170)/AVERAGE(B165:B167))^4-1)*100,"")</f>
        <v>6.58324257137219</v>
      </c>
      <c r="F170" s="31" t="n">
        <f aca="false">IFERROR((B170/B158-1)*100,"")</f>
        <v>3.25413711827389</v>
      </c>
      <c r="G170" s="31" t="n">
        <f aca="false">IFERROR((AVERAGE(B163:B170)/AVERAGE(B151:B158)-1)*100,"")</f>
        <v>2.09221402707909</v>
      </c>
      <c r="H170" s="30" t="n">
        <f aca="false">'SA Data'!U170</f>
        <v>152.698167321453</v>
      </c>
      <c r="I170" s="31" t="n">
        <f aca="false">IFERROR((H170/H169-1)*100,"")</f>
        <v>1.00248076840745</v>
      </c>
      <c r="J170" s="31" t="n">
        <f aca="false">IFERROR((AVERAGE(H168:H170)/AVERAGE(H165:H167)-1)*100,"")</f>
        <v>0.653113663100835</v>
      </c>
      <c r="K170" s="31" t="n">
        <f aca="false">IFERROR(((AVERAGE(H168:H170)/AVERAGE(H165:H167))^4-1)*100,"")</f>
        <v>2.63815971797163</v>
      </c>
      <c r="L170" s="31" t="n">
        <f aca="false">IFERROR(('SA Data'!Y170/'SA Data'!Y158-1)*100,"")</f>
        <v>3.77606456626893</v>
      </c>
      <c r="M170" s="31" t="n">
        <f aca="false">IFERROR((AVERAGE('SA Data'!Y163:Y170)/AVERAGE('SA Data'!Y151:Y158)-1)*100,"")</f>
        <v>2.29792619651963</v>
      </c>
    </row>
    <row r="171" customFormat="false" ht="15" hidden="false" customHeight="false" outlineLevel="0" collapsed="false">
      <c r="A171" s="20" t="n">
        <v>43008</v>
      </c>
      <c r="B171" s="30" t="n">
        <f aca="false">'SA Data'!B171</f>
        <v>151.21749</v>
      </c>
      <c r="C171" s="31" t="n">
        <f aca="false">IFERROR((B171/B170-1)*100,"")</f>
        <v>0.54984161906948</v>
      </c>
      <c r="D171" s="31" t="n">
        <f aca="false">IFERROR((AVERAGE(B169:B171)/AVERAGE(B166:B168)-1)*100,"")</f>
        <v>1.22068714559338</v>
      </c>
      <c r="E171" s="31" t="n">
        <f aca="false">IFERROR(((AVERAGE(B169:B171)/AVERAGE(B166:B168))^4-1)*100,"")</f>
        <v>4.97288299633671</v>
      </c>
      <c r="F171" s="31" t="n">
        <f aca="false">IFERROR((B171/B159-1)*100,"")</f>
        <v>4.27440442204734</v>
      </c>
      <c r="G171" s="31" t="n">
        <f aca="false">IFERROR((AVERAGE(B163:B171)/AVERAGE(B151:B159)-1)*100,"")</f>
        <v>2.33384624598911</v>
      </c>
      <c r="H171" s="30" t="n">
        <f aca="false">'SA Data'!U171</f>
        <v>151.307011609792</v>
      </c>
      <c r="I171" s="31" t="n">
        <f aca="false">IFERROR((H171/H170-1)*100,"")</f>
        <v>-0.91104938327925</v>
      </c>
      <c r="J171" s="31" t="n">
        <f aca="false">IFERROR((AVERAGE(H169:H171)/AVERAGE(H166:H168)-1)*100,"")</f>
        <v>-0.72316428102901</v>
      </c>
      <c r="K171" s="31" t="n">
        <f aca="false">IFERROR(((AVERAGE(H169:H171)/AVERAGE(H166:H168))^4-1)*100,"")</f>
        <v>-2.8614301322802</v>
      </c>
      <c r="L171" s="31" t="n">
        <f aca="false">IFERROR(('SA Data'!Y171/'SA Data'!Y159-1)*100,"")</f>
        <v>2.77105612018251</v>
      </c>
      <c r="M171" s="31" t="n">
        <f aca="false">IFERROR((AVERAGE('SA Data'!Y163:Y171)/AVERAGE('SA Data'!Y151:Y159)-1)*100,"")</f>
        <v>2.34875813742905</v>
      </c>
    </row>
    <row r="172" customFormat="false" ht="15" hidden="false" customHeight="false" outlineLevel="0" collapsed="false">
      <c r="A172" s="20" t="n">
        <v>43039</v>
      </c>
      <c r="B172" s="30" t="n">
        <f aca="false">'SA Data'!B172</f>
        <v>151.71276</v>
      </c>
      <c r="C172" s="31" t="n">
        <f aca="false">IFERROR((B172/B171-1)*100,"")</f>
        <v>0.32752163787404</v>
      </c>
      <c r="D172" s="31" t="n">
        <f aca="false">IFERROR((AVERAGE(B170:B172)/AVERAGE(B167:B169)-1)*100,"")</f>
        <v>0.870216525449297</v>
      </c>
      <c r="E172" s="31" t="n">
        <f aca="false">IFERROR(((AVERAGE(B170:B172)/AVERAGE(B167:B169))^4-1)*100,"")</f>
        <v>3.52656688124993</v>
      </c>
      <c r="F172" s="31" t="n">
        <f aca="false">IFERROR((B172/B160-1)*100,"")</f>
        <v>4.5188150423338</v>
      </c>
      <c r="G172" s="31" t="n">
        <f aca="false">IFERROR((AVERAGE(B163:B172)/AVERAGE(B151:B160)-1)*100,"")</f>
        <v>2.55184918491389</v>
      </c>
      <c r="H172" s="30" t="n">
        <f aca="false">'SA Data'!U172</f>
        <v>152.652459104777</v>
      </c>
      <c r="I172" s="31" t="n">
        <f aca="false">IFERROR((H172/H171-1)*100,"")</f>
        <v>0.88921688471022</v>
      </c>
      <c r="J172" s="31" t="n">
        <f aca="false">IFERROR((AVERAGE(H170:H172)/AVERAGE(H167:H169)-1)*100,"")</f>
        <v>-0.491595909115505</v>
      </c>
      <c r="K172" s="31" t="n">
        <f aca="false">IFERROR(((AVERAGE(H170:H172)/AVERAGE(H167:H169))^4-1)*100,"")</f>
        <v>-1.95193110670031</v>
      </c>
      <c r="L172" s="31" t="n">
        <f aca="false">IFERROR(('SA Data'!Y172/'SA Data'!Y160-1)*100,"")</f>
        <v>5.39886330762172</v>
      </c>
      <c r="M172" s="31" t="n">
        <f aca="false">IFERROR((AVERAGE('SA Data'!Y163:Y172)/AVERAGE('SA Data'!Y151:Y160)-1)*100,"")</f>
        <v>2.64486094658272</v>
      </c>
    </row>
    <row r="173" customFormat="false" ht="15" hidden="false" customHeight="false" outlineLevel="0" collapsed="false">
      <c r="A173" s="20" t="n">
        <v>43069</v>
      </c>
      <c r="B173" s="30" t="n">
        <f aca="false">'SA Data'!B173</f>
        <v>152.63221</v>
      </c>
      <c r="C173" s="31" t="n">
        <f aca="false">IFERROR((B173/B172-1)*100,"")</f>
        <v>0.60604658434793</v>
      </c>
      <c r="D173" s="31" t="n">
        <f aca="false">IFERROR((AVERAGE(B171:B173)/AVERAGE(B168:B170)-1)*100,"")</f>
        <v>0.983399120188322</v>
      </c>
      <c r="E173" s="31" t="n">
        <f aca="false">IFERROR(((AVERAGE(B171:B173)/AVERAGE(B168:B170))^4-1)*100,"")</f>
        <v>3.99200225358158</v>
      </c>
      <c r="F173" s="31" t="n">
        <f aca="false">IFERROR((B173/B161-1)*100,"")</f>
        <v>4.69445239928457</v>
      </c>
      <c r="G173" s="31" t="n">
        <f aca="false">IFERROR((AVERAGE(B163:B173)/AVERAGE(B151:B161)-1)*100,"")</f>
        <v>2.74700346424266</v>
      </c>
      <c r="H173" s="30" t="n">
        <f aca="false">'SA Data'!U173</f>
        <v>154.682999497285</v>
      </c>
      <c r="I173" s="31" t="n">
        <f aca="false">IFERROR((H173/H172-1)*100,"")</f>
        <v>1.3301720813514</v>
      </c>
      <c r="J173" s="31" t="n">
        <f aca="false">IFERROR((AVERAGE(H171:H173)/AVERAGE(H168:H170)-1)*100,"")</f>
        <v>0.0815783121746128</v>
      </c>
      <c r="K173" s="31" t="n">
        <f aca="false">IFERROR(((AVERAGE(H171:H173)/AVERAGE(H168:H170))^4-1)*100,"")</f>
        <v>0.326712767165938</v>
      </c>
      <c r="L173" s="31" t="n">
        <f aca="false">IFERROR(('SA Data'!Y173/'SA Data'!Y161-1)*100,"")</f>
        <v>4.65010598487292</v>
      </c>
      <c r="M173" s="31" t="n">
        <f aca="false">IFERROR((AVERAGE('SA Data'!Y163:Y173)/AVERAGE('SA Data'!Y151:Y161)-1)*100,"")</f>
        <v>2.82652156197671</v>
      </c>
    </row>
    <row r="174" customFormat="false" ht="15" hidden="false" customHeight="false" outlineLevel="0" collapsed="false">
      <c r="A174" s="20" t="n">
        <v>43100</v>
      </c>
      <c r="B174" s="30" t="n">
        <f aca="false">'SA Data'!B174</f>
        <v>152.24534</v>
      </c>
      <c r="C174" s="31" t="n">
        <f aca="false">IFERROR((B174/B173-1)*100,"")</f>
        <v>-0.253465503775374</v>
      </c>
      <c r="D174" s="31" t="n">
        <f aca="false">IFERROR((AVERAGE(B172:B174)/AVERAGE(B169:B171)-1)*100,"")</f>
        <v>0.999558499130626</v>
      </c>
      <c r="E174" s="31" t="n">
        <f aca="false">IFERROR(((AVERAGE(B172:B174)/AVERAGE(B169:B171))^4-1)*100,"")</f>
        <v>4.05858149678156</v>
      </c>
      <c r="F174" s="31" t="n">
        <f aca="false">IFERROR((B174/B162-1)*100,"")</f>
        <v>3.59723754018813</v>
      </c>
      <c r="G174" s="31" t="n">
        <f aca="false">IFERROR((AVERAGE(B163:B174)/AVERAGE(B151:B162)-1)*100,"")</f>
        <v>2.81850237473853</v>
      </c>
      <c r="H174" s="30" t="n">
        <f aca="false">'SA Data'!U174</f>
        <v>150.728296996081</v>
      </c>
      <c r="I174" s="31" t="n">
        <f aca="false">IFERROR((H174/H173-1)*100,"")</f>
        <v>-2.55664973788786</v>
      </c>
      <c r="J174" s="31" t="n">
        <f aca="false">IFERROR((AVERAGE(H172:H174)/AVERAGE(H169:H171)-1)*100,"")</f>
        <v>0.631824037263939</v>
      </c>
      <c r="K174" s="31" t="n">
        <f aca="false">IFERROR(((AVERAGE(H172:H174)/AVERAGE(H169:H171))^4-1)*100,"")</f>
        <v>2.55134929533174</v>
      </c>
      <c r="L174" s="31" t="n">
        <f aca="false">IFERROR(('SA Data'!Y174/'SA Data'!Y162-1)*100,"")</f>
        <v>2.30266053761261</v>
      </c>
      <c r="M174" s="31" t="n">
        <f aca="false">IFERROR((AVERAGE('SA Data'!Y163:Y174)/AVERAGE('SA Data'!Y151:Y162)-1)*100,"")</f>
        <v>2.78368946562062</v>
      </c>
    </row>
    <row r="175" customFormat="false" ht="15" hidden="false" customHeight="false" outlineLevel="0" collapsed="false">
      <c r="A175" s="20" t="n">
        <v>43131</v>
      </c>
      <c r="B175" s="30" t="n">
        <f aca="false">'SA Data'!B175</f>
        <v>150.9775</v>
      </c>
      <c r="C175" s="31" t="n">
        <f aca="false">IFERROR((B175/B174-1)*100,"")</f>
        <v>-0.832761120964365</v>
      </c>
      <c r="D175" s="31" t="n">
        <f aca="false">IFERROR((AVERAGE(B173:B175)/AVERAGE(B170:B172)-1)*100,"")</f>
        <v>0.55903453631283</v>
      </c>
      <c r="E175" s="31" t="n">
        <f aca="false">IFERROR(((AVERAGE(B173:B175)/AVERAGE(B170:B172))^4-1)*100,"")</f>
        <v>2.25495930338999</v>
      </c>
      <c r="F175" s="31" t="n">
        <f aca="false">IFERROR((B175/B163-1)*100,"")</f>
        <v>2.64554264650261</v>
      </c>
      <c r="G175" s="31" t="n">
        <f aca="false">IFERROR((AVERAGE(B175:B175)/AVERAGE(B163:B163)-1)*100,"")</f>
        <v>2.64554264650261</v>
      </c>
      <c r="H175" s="30" t="n">
        <f aca="false">'SA Data'!U175</f>
        <v>151.477473124647</v>
      </c>
      <c r="I175" s="31" t="n">
        <f aca="false">IFERROR((H175/H174-1)*100,"")</f>
        <v>0.497037479688323</v>
      </c>
      <c r="J175" s="31" t="n">
        <f aca="false">IFERROR((AVERAGE(H173:H175)/AVERAGE(H170:H172)-1)*100,"")</f>
        <v>0.0506137558510034</v>
      </c>
      <c r="K175" s="31" t="n">
        <f aca="false">IFERROR(((AVERAGE(H173:H175)/AVERAGE(H170:H172))^4-1)*100,"")</f>
        <v>0.202608780411429</v>
      </c>
      <c r="L175" s="31" t="n">
        <f aca="false">IFERROR(('SA Data'!Y175/'SA Data'!Y163-1)*100,"")</f>
        <v>4.09897206372145</v>
      </c>
      <c r="M175" s="31" t="n">
        <f aca="false">IFERROR((AVERAGE('SA Data'!Y175:Y175)/AVERAGE('SA Data'!Y163:Y163)-1)*100,"")</f>
        <v>4.09897206372145</v>
      </c>
    </row>
    <row r="176" customFormat="false" ht="15" hidden="false" customHeight="false" outlineLevel="0" collapsed="false">
      <c r="A176" s="20" t="n">
        <v>43159</v>
      </c>
      <c r="B176" s="30" t="n">
        <f aca="false">'SA Data'!B176</f>
        <v>152.19147</v>
      </c>
      <c r="C176" s="31" t="n">
        <f aca="false">IFERROR((B176/B175-1)*100,"")</f>
        <v>0.804073454653853</v>
      </c>
      <c r="D176" s="31" t="n">
        <f aca="false">IFERROR((AVERAGE(B174:B176)/AVERAGE(B171:B173)-1)*100,"")</f>
        <v>-0.0325202388274048</v>
      </c>
      <c r="E176" s="31" t="n">
        <f aca="false">IFERROR(((AVERAGE(B174:B176)/AVERAGE(B171:B173))^4-1)*100,"")</f>
        <v>-0.130017515109415</v>
      </c>
      <c r="F176" s="31" t="n">
        <f aca="false">IFERROR((B176/B164-1)*100,"")</f>
        <v>3.66281269593252</v>
      </c>
      <c r="G176" s="31" t="n">
        <f aca="false">IFERROR((AVERAGE(B175:B176)/AVERAGE(B163:B164)-1)*100,"")</f>
        <v>3.15370638375161</v>
      </c>
      <c r="H176" s="30" t="n">
        <f aca="false">'SA Data'!U176</f>
        <v>151.61489990483</v>
      </c>
      <c r="I176" s="31" t="n">
        <f aca="false">IFERROR((H176/H175-1)*100,"")</f>
        <v>0.0907242359859728</v>
      </c>
      <c r="J176" s="31" t="n">
        <f aca="false">IFERROR((AVERAGE(H174:H176)/AVERAGE(H171:H173)-1)*100,"")</f>
        <v>-1.05132003673124</v>
      </c>
      <c r="K176" s="31" t="n">
        <f aca="false">IFERROR(((AVERAGE(H174:H176)/AVERAGE(H171:H173))^4-1)*100,"")</f>
        <v>-4.13942729472185</v>
      </c>
      <c r="L176" s="31" t="n">
        <f aca="false">IFERROR(('SA Data'!Y176/'SA Data'!Y164-1)*100,"")</f>
        <v>4.26567564947915</v>
      </c>
      <c r="M176" s="31" t="n">
        <f aca="false">IFERROR((AVERAGE('SA Data'!Y175:Y176)/AVERAGE('SA Data'!Y163:Y164)-1)*100,"")</f>
        <v>4.18160560605299</v>
      </c>
    </row>
    <row r="177" customFormat="false" ht="15" hidden="false" customHeight="false" outlineLevel="0" collapsed="false">
      <c r="A177" s="20" t="n">
        <v>43190</v>
      </c>
      <c r="B177" s="30" t="n">
        <f aca="false">'SA Data'!B177</f>
        <v>151.52876</v>
      </c>
      <c r="C177" s="31" t="n">
        <f aca="false">IFERROR((B177/B176-1)*100,"")</f>
        <v>-0.435444903712412</v>
      </c>
      <c r="D177" s="31" t="n">
        <f aca="false">IFERROR((AVERAGE(B175:B177)/AVERAGE(B172:B174)-1)*100,"")</f>
        <v>-0.414502883339762</v>
      </c>
      <c r="E177" s="31" t="n">
        <f aca="false">IFERROR(((AVERAGE(B175:B177)/AVERAGE(B172:B174))^4-1)*100,"")</f>
        <v>-1.64773123215557</v>
      </c>
      <c r="F177" s="31" t="n">
        <f aca="false">IFERROR((B177/B165-1)*100,"")</f>
        <v>2.63060381194571</v>
      </c>
      <c r="G177" s="31" t="n">
        <f aca="false">IFERROR((AVERAGE(B175:B177)/AVERAGE(B163:B165)-1)*100,"")</f>
        <v>2.97879018137741</v>
      </c>
      <c r="H177" s="30" t="n">
        <f aca="false">'SA Data'!U177</f>
        <v>153.939354716344</v>
      </c>
      <c r="I177" s="31" t="n">
        <f aca="false">IFERROR((H177/H176-1)*100,"")</f>
        <v>1.53313085519502</v>
      </c>
      <c r="J177" s="31" t="n">
        <f aca="false">IFERROR((AVERAGE(H175:H177)/AVERAGE(H172:H174)-1)*100,"")</f>
        <v>-0.225302229156599</v>
      </c>
      <c r="K177" s="31" t="n">
        <f aca="false">IFERROR(((AVERAGE(H175:H177)/AVERAGE(H172:H174))^4-1)*100,"")</f>
        <v>-0.898167823017027</v>
      </c>
      <c r="L177" s="31" t="n">
        <f aca="false">IFERROR(('SA Data'!Y177/'SA Data'!Y165-1)*100,"")</f>
        <v>1.97987458551943</v>
      </c>
      <c r="M177" s="31" t="n">
        <f aca="false">IFERROR((AVERAGE('SA Data'!Y175:Y177)/AVERAGE('SA Data'!Y163:Y165)-1)*100,"")</f>
        <v>3.38723112811337</v>
      </c>
    </row>
    <row r="178" customFormat="false" ht="15" hidden="false" customHeight="false" outlineLevel="0" collapsed="false">
      <c r="A178" s="20" t="n">
        <v>43220</v>
      </c>
      <c r="B178" s="30" t="n">
        <f aca="false">'SA Data'!B178</f>
        <v>146.79266</v>
      </c>
      <c r="C178" s="31" t="n">
        <f aca="false">IFERROR((B178/B177-1)*100,"")</f>
        <v>-3.12554527602549</v>
      </c>
      <c r="D178" s="31" t="n">
        <f aca="false">IFERROR((AVERAGE(B176:B178)/AVERAGE(B173:B175)-1)*100,"")</f>
        <v>-1.17189883056028</v>
      </c>
      <c r="E178" s="31" t="n">
        <f aca="false">IFERROR(((AVERAGE(B176:B178)/AVERAGE(B173:B175))^4-1)*100,"")</f>
        <v>-4.60583639345131</v>
      </c>
      <c r="F178" s="31" t="n">
        <f aca="false">IFERROR((B178/B166-1)*100,"")</f>
        <v>-0.596336683499088</v>
      </c>
      <c r="G178" s="31" t="n">
        <f aca="false">IFERROR((AVERAGE(B175:B178)/AVERAGE(B163:B166)-1)*100,"")</f>
        <v>2.08277128925658</v>
      </c>
      <c r="H178" s="30" t="n">
        <f aca="false">'SA Data'!U178</f>
        <v>152.575232319886</v>
      </c>
      <c r="I178" s="31" t="n">
        <f aca="false">IFERROR((H178/H177-1)*100,"")</f>
        <v>-0.886142727421391</v>
      </c>
      <c r="J178" s="31" t="n">
        <f aca="false">IFERROR((AVERAGE(H176:H178)/AVERAGE(H173:H175)-1)*100,"")</f>
        <v>0.271557850740134</v>
      </c>
      <c r="K178" s="31" t="n">
        <f aca="false">IFERROR(((AVERAGE(H176:H178)/AVERAGE(H173:H175))^4-1)*100,"")</f>
        <v>1.0906640386452</v>
      </c>
      <c r="L178" s="31" t="n">
        <f aca="false">IFERROR(('SA Data'!Y178/'SA Data'!Y166-1)*100,"")</f>
        <v>-0.587812037307911</v>
      </c>
      <c r="M178" s="31" t="n">
        <f aca="false">IFERROR((AVERAGE('SA Data'!Y175:Y178)/AVERAGE('SA Data'!Y163:Y166)-1)*100,"")</f>
        <v>2.33062501750776</v>
      </c>
    </row>
    <row r="179" customFormat="false" ht="15" hidden="false" customHeight="false" outlineLevel="0" collapsed="false">
      <c r="A179" s="20" t="n">
        <v>43251</v>
      </c>
      <c r="B179" s="30" t="n">
        <f aca="false">'SA Data'!B179</f>
        <v>144.56309</v>
      </c>
      <c r="C179" s="31" t="n">
        <f aca="false">IFERROR((B179/B178-1)*100,"")</f>
        <v>-1.5188565967808</v>
      </c>
      <c r="D179" s="31" t="n">
        <f aca="false">IFERROR((AVERAGE(B177:B179)/AVERAGE(B174:B176)-1)*100,"")</f>
        <v>-2.7512969454122</v>
      </c>
      <c r="E179" s="31" t="n">
        <f aca="false">IFERROR(((AVERAGE(B177:B179)/AVERAGE(B174:B176))^4-1)*100,"")</f>
        <v>-10.5592829146978</v>
      </c>
      <c r="F179" s="31" t="n">
        <f aca="false">IFERROR((B179/B167-1)*100,"")</f>
        <v>-2.76536363201001</v>
      </c>
      <c r="G179" s="31" t="n">
        <f aca="false">IFERROR((AVERAGE(B175:B179)/AVERAGE(B163:B167)-1)*100,"")</f>
        <v>1.10594384441751</v>
      </c>
      <c r="H179" s="30" t="n">
        <f aca="false">'SA Data'!U179</f>
        <v>151.569459098052</v>
      </c>
      <c r="I179" s="31" t="n">
        <f aca="false">IFERROR((H179/H178-1)*100,"")</f>
        <v>-0.659198224077173</v>
      </c>
      <c r="J179" s="31" t="n">
        <f aca="false">IFERROR((AVERAGE(H177:H179)/AVERAGE(H174:H176)-1)*100,"")</f>
        <v>0.939440706498407</v>
      </c>
      <c r="K179" s="31" t="n">
        <f aca="false">IFERROR(((AVERAGE(H177:H179)/AVERAGE(H174:H176))^4-1)*100,"")</f>
        <v>3.81104817627036</v>
      </c>
      <c r="L179" s="31" t="n">
        <f aca="false">IFERROR(('SA Data'!Y179/'SA Data'!Y167-1)*100,"")</f>
        <v>-4.34700121127709</v>
      </c>
      <c r="M179" s="31" t="n">
        <f aca="false">IFERROR((AVERAGE('SA Data'!Y175:Y179)/AVERAGE('SA Data'!Y163:Y167)-1)*100,"")</f>
        <v>0.821094177437032</v>
      </c>
    </row>
    <row r="180" customFormat="false" ht="15" hidden="false" customHeight="false" outlineLevel="0" collapsed="false">
      <c r="A180" s="20" t="n">
        <v>43281</v>
      </c>
      <c r="B180" s="30" t="n">
        <f aca="false">'SA Data'!B180</f>
        <v>143.25908</v>
      </c>
      <c r="C180" s="31" t="n">
        <f aca="false">IFERROR((B180/B179-1)*100,"")</f>
        <v>-0.902035229047726</v>
      </c>
      <c r="D180" s="31" t="n">
        <f aca="false">IFERROR((AVERAGE(B178:B180)/AVERAGE(B175:B177)-1)*100,"")</f>
        <v>-4.41675835944904</v>
      </c>
      <c r="E180" s="31" t="n">
        <f aca="false">IFERROR(((AVERAGE(B178:B180)/AVERAGE(B175:B177))^4-1)*100,"")</f>
        <v>-16.5306520359067</v>
      </c>
      <c r="F180" s="31" t="n">
        <f aca="false">IFERROR((B180/B168-1)*100,"")</f>
        <v>-4.66681116021687</v>
      </c>
      <c r="G180" s="31" t="n">
        <f aca="false">IFERROR((AVERAGE(B175:B180)/AVERAGE(B163:B168)-1)*100,"")</f>
        <v>0.129229396720398</v>
      </c>
      <c r="H180" s="30" t="n">
        <f aca="false">'SA Data'!U180</f>
        <v>147.079483796544</v>
      </c>
      <c r="I180" s="31" t="n">
        <f aca="false">IFERROR((H180/H179-1)*100,"")</f>
        <v>-2.96232191381212</v>
      </c>
      <c r="J180" s="31" t="n">
        <f aca="false">IFERROR((AVERAGE(H178:H180)/AVERAGE(H175:H177)-1)*100,"")</f>
        <v>-1.27071102043277</v>
      </c>
      <c r="K180" s="31" t="n">
        <f aca="false">IFERROR(((AVERAGE(H178:H180)/AVERAGE(H175:H177))^4-1)*100,"")</f>
        <v>-4.98677981474347</v>
      </c>
      <c r="L180" s="31" t="n">
        <f aca="false">IFERROR(('SA Data'!Y180/'SA Data'!Y168-1)*100,"")</f>
        <v>-5.85236954978263</v>
      </c>
      <c r="M180" s="31" t="n">
        <f aca="false">IFERROR((AVERAGE('SA Data'!Y175:Y180)/AVERAGE('SA Data'!Y163:Y168)-1)*100,"")</f>
        <v>-0.373636027987978</v>
      </c>
    </row>
    <row r="181" customFormat="false" ht="15" hidden="false" customHeight="false" outlineLevel="0" collapsed="false">
      <c r="A181" s="20" t="n">
        <v>43312</v>
      </c>
      <c r="B181" s="30" t="n">
        <f aca="false">'SA Data'!B181</f>
        <v>143.57921</v>
      </c>
      <c r="C181" s="31" t="n">
        <f aca="false">IFERROR((B181/B180-1)*100,"")</f>
        <v>0.22346227548018</v>
      </c>
      <c r="D181" s="31" t="n">
        <f aca="false">IFERROR((AVERAGE(B179:B181)/AVERAGE(B176:B178)-1)*100,"")</f>
        <v>-4.24216718860141</v>
      </c>
      <c r="E181" s="31" t="n">
        <f aca="false">IFERROR(((AVERAGE(B179:B181)/AVERAGE(B176:B178))^4-1)*100,"")</f>
        <v>-15.919122738179</v>
      </c>
      <c r="F181" s="31" t="n">
        <f aca="false">IFERROR((B181/B169-1)*100,"")</f>
        <v>-4.57540139962165</v>
      </c>
      <c r="G181" s="31" t="n">
        <f aca="false">IFERROR((AVERAGE(B175:B181)/AVERAGE(B163:B169)-1)*100,"")</f>
        <v>-0.552318856011158</v>
      </c>
      <c r="H181" s="30" t="n">
        <f aca="false">'SA Data'!U181</f>
        <v>148.51479260745</v>
      </c>
      <c r="I181" s="31" t="n">
        <f aca="false">IFERROR((H181/H180-1)*100,"")</f>
        <v>0.975872891212859</v>
      </c>
      <c r="J181" s="31" t="n">
        <f aca="false">IFERROR((AVERAGE(H179:H181)/AVERAGE(H176:H178)-1)*100,"")</f>
        <v>-2.39359215060222</v>
      </c>
      <c r="K181" s="31" t="n">
        <f aca="false">IFERROR(((AVERAGE(H179:H181)/AVERAGE(H176:H178))^4-1)*100,"")</f>
        <v>-9.23606420180937</v>
      </c>
      <c r="L181" s="31" t="n">
        <f aca="false">IFERROR(('SA Data'!Y181/'SA Data'!Y169-1)*100,"")</f>
        <v>-1.83135883127949</v>
      </c>
      <c r="M181" s="31" t="n">
        <f aca="false">IFERROR((AVERAGE('SA Data'!Y175:Y181)/AVERAGE('SA Data'!Y163:Y169)-1)*100,"")</f>
        <v>-0.581415454592116</v>
      </c>
    </row>
    <row r="182" customFormat="false" ht="15" hidden="false" customHeight="false" outlineLevel="0" collapsed="false">
      <c r="A182" s="20" t="n">
        <v>43343</v>
      </c>
      <c r="B182" s="30" t="n">
        <f aca="false">'SA Data'!B182</f>
        <v>146.53723</v>
      </c>
      <c r="C182" s="31" t="n">
        <f aca="false">IFERROR((B182/B181-1)*100,"")</f>
        <v>2.06020077697879</v>
      </c>
      <c r="D182" s="31" t="n">
        <f aca="false">IFERROR((AVERAGE(B180:B182)/AVERAGE(B177:B179)-1)*100,"")</f>
        <v>-2.14705860902653</v>
      </c>
      <c r="E182" s="31" t="n">
        <f aca="false">IFERROR(((AVERAGE(B180:B182)/AVERAGE(B177:B179))^4-1)*100,"")</f>
        <v>-8.31558060147071</v>
      </c>
      <c r="F182" s="31" t="n">
        <f aca="false">IFERROR((B182/B170-1)*100,"")</f>
        <v>-2.56222829913948</v>
      </c>
      <c r="G182" s="31" t="n">
        <f aca="false">IFERROR((AVERAGE(B175:B182)/AVERAGE(B163:B170)-1)*100,"")</f>
        <v>-0.806538069382567</v>
      </c>
      <c r="H182" s="30" t="n">
        <f aca="false">'SA Data'!U182</f>
        <v>150.681381761704</v>
      </c>
      <c r="I182" s="31" t="n">
        <f aca="false">IFERROR((H182/H181-1)*100,"")</f>
        <v>1.45883727554388</v>
      </c>
      <c r="J182" s="31" t="n">
        <f aca="false">IFERROR((AVERAGE(H180:H182)/AVERAGE(H177:H179)-1)*100,"")</f>
        <v>-2.57777760833063</v>
      </c>
      <c r="K182" s="31" t="n">
        <f aca="false">IFERROR(((AVERAGE(H180:H182)/AVERAGE(H177:H179))^4-1)*100,"")</f>
        <v>-9.9192217025822</v>
      </c>
      <c r="L182" s="31" t="n">
        <f aca="false">IFERROR(('SA Data'!Y182/'SA Data'!Y170-1)*100,"")</f>
        <v>-1.34933724790696</v>
      </c>
      <c r="M182" s="31" t="n">
        <f aca="false">IFERROR((AVERAGE('SA Data'!Y175:Y182)/AVERAGE('SA Data'!Y163:Y170)-1)*100,"")</f>
        <v>-0.676562235381706</v>
      </c>
    </row>
    <row r="183" customFormat="false" ht="15" hidden="false" customHeight="false" outlineLevel="0" collapsed="false">
      <c r="A183" s="20" t="n">
        <v>43373</v>
      </c>
      <c r="B183" s="30" t="n">
        <f aca="false">'SA Data'!B183</f>
        <v>143.13224</v>
      </c>
      <c r="C183" s="31" t="n">
        <f aca="false">IFERROR((B183/B182-1)*100,"")</f>
        <v>-2.32363475138707</v>
      </c>
      <c r="D183" s="31" t="n">
        <f aca="false">IFERROR((AVERAGE(B181:B183)/AVERAGE(B178:B180)-1)*100,"")</f>
        <v>-0.314335799355958</v>
      </c>
      <c r="E183" s="31" t="n">
        <f aca="false">IFERROR(((AVERAGE(B181:B183)/AVERAGE(B178:B180))^4-1)*100,"")</f>
        <v>-1.25142719140587</v>
      </c>
      <c r="F183" s="31" t="n">
        <f aca="false">IFERROR((B183/B171-1)*100,"")</f>
        <v>-5.34676908074588</v>
      </c>
      <c r="G183" s="31" t="n">
        <f aca="false">IFERROR((AVERAGE(B175:B183)/AVERAGE(B163:B171)-1)*100,"")</f>
        <v>-1.31880765690005</v>
      </c>
      <c r="H183" s="30" t="n">
        <f aca="false">'SA Data'!U183</f>
        <v>144.677536834525</v>
      </c>
      <c r="I183" s="31" t="n">
        <f aca="false">IFERROR((H183/H182-1)*100,"")</f>
        <v>-3.98446367891265</v>
      </c>
      <c r="J183" s="31" t="n">
        <f aca="false">IFERROR((AVERAGE(H181:H183)/AVERAGE(H178:H180)-1)*100,"")</f>
        <v>-1.62900491918639</v>
      </c>
      <c r="K183" s="31" t="n">
        <f aca="false">IFERROR(((AVERAGE(H181:H183)/AVERAGE(H178:H180))^4-1)*100,"")</f>
        <v>-6.35852234138611</v>
      </c>
      <c r="L183" s="31" t="n">
        <f aca="false">IFERROR(('SA Data'!Y183/'SA Data'!Y171-1)*100,"")</f>
        <v>-4.72476548356682</v>
      </c>
      <c r="M183" s="31" t="n">
        <f aca="false">IFERROR((AVERAGE('SA Data'!Y175:Y183)/AVERAGE('SA Data'!Y163:Y171)-1)*100,"")</f>
        <v>-1.11328600236201</v>
      </c>
    </row>
    <row r="184" customFormat="false" ht="15" hidden="false" customHeight="false" outlineLevel="0" collapsed="false">
      <c r="A184" s="20" t="n">
        <v>43404</v>
      </c>
      <c r="B184" s="30" t="n">
        <f aca="false">'SA Data'!B184</f>
        <v>143.59559</v>
      </c>
      <c r="C184" s="31" t="n">
        <f aca="false">IFERROR((B184/B183-1)*100,"")</f>
        <v>0.323721615758954</v>
      </c>
      <c r="D184" s="31" t="n">
        <f aca="false">IFERROR((AVERAGE(B182:B184)/AVERAGE(B179:B181)-1)*100,"")</f>
        <v>0.432006035771115</v>
      </c>
      <c r="E184" s="31" t="n">
        <f aca="false">IFERROR(((AVERAGE(B182:B184)/AVERAGE(B179:B181))^4-1)*100,"")</f>
        <v>1.73925418079042</v>
      </c>
      <c r="F184" s="31" t="n">
        <f aca="false">IFERROR((B184/B172-1)*100,"")</f>
        <v>-5.35035418246956</v>
      </c>
      <c r="G184" s="31" t="n">
        <f aca="false">IFERROR((AVERAGE(B175:B184)/AVERAGE(B163:B172)-1)*100,"")</f>
        <v>-1.72876603554998</v>
      </c>
      <c r="H184" s="30" t="n">
        <f aca="false">'SA Data'!U184</f>
        <v>147.529105205501</v>
      </c>
      <c r="I184" s="31" t="n">
        <f aca="false">IFERROR((H184/H183-1)*100,"")</f>
        <v>1.97098211192088</v>
      </c>
      <c r="J184" s="31" t="n">
        <f aca="false">IFERROR((AVERAGE(H182:H184)/AVERAGE(H179:H181)-1)*100,"")</f>
        <v>-0.956184806783123</v>
      </c>
      <c r="K184" s="31" t="n">
        <f aca="false">IFERROR(((AVERAGE(H182:H184)/AVERAGE(H179:H181))^4-1)*100,"")</f>
        <v>-3.77023071997151</v>
      </c>
      <c r="L184" s="31" t="n">
        <f aca="false">IFERROR(('SA Data'!Y184/'SA Data'!Y172-1)*100,"")</f>
        <v>-3.90859326705918</v>
      </c>
      <c r="M184" s="31" t="n">
        <f aca="false">IFERROR((AVERAGE('SA Data'!Y175:Y184)/AVERAGE('SA Data'!Y163:Y172)-1)*100,"")</f>
        <v>-1.39193403609184</v>
      </c>
    </row>
    <row r="185" customFormat="false" ht="15" hidden="false" customHeight="false" outlineLevel="0" collapsed="false">
      <c r="A185" s="20" t="n">
        <v>43434</v>
      </c>
      <c r="B185" s="30" t="n">
        <f aca="false">'SA Data'!B185</f>
        <v>141.66615</v>
      </c>
      <c r="C185" s="31" t="n">
        <f aca="false">IFERROR((B185/B184-1)*100,"")</f>
        <v>-1.3436624342015</v>
      </c>
      <c r="D185" s="31" t="n">
        <f aca="false">IFERROR((AVERAGE(B183:B185)/AVERAGE(B180:B182)-1)*100,"")</f>
        <v>-1.14947424810705</v>
      </c>
      <c r="E185" s="31" t="n">
        <f aca="false">IFERROR(((AVERAGE(B183:B185)/AVERAGE(B180:B182))^4-1)*100,"")</f>
        <v>-4.51922529980764</v>
      </c>
      <c r="F185" s="31" t="n">
        <f aca="false">IFERROR((B185/B173-1)*100,"")</f>
        <v>-7.18463029526991</v>
      </c>
      <c r="G185" s="31" t="n">
        <f aca="false">IFERROR((AVERAGE(B175:B185)/AVERAGE(B163:B173)-1)*100,"")</f>
        <v>-2.23512020247584</v>
      </c>
      <c r="H185" s="30" t="n">
        <f aca="false">'SA Data'!U185</f>
        <v>144.699725407153</v>
      </c>
      <c r="I185" s="31" t="n">
        <f aca="false">IFERROR((H185/H184-1)*100,"")</f>
        <v>-1.9178451563215</v>
      </c>
      <c r="J185" s="31" t="n">
        <f aca="false">IFERROR((AVERAGE(H183:H185)/AVERAGE(H180:H182)-1)*100,"")</f>
        <v>-2.09944023320198</v>
      </c>
      <c r="K185" s="31" t="n">
        <f aca="false">IFERROR(((AVERAGE(H183:H185)/AVERAGE(H180:H182))^4-1)*100,"")</f>
        <v>-8.13698398637204</v>
      </c>
      <c r="L185" s="31" t="n">
        <f aca="false">IFERROR(('SA Data'!Y185/'SA Data'!Y173-1)*100,"")</f>
        <v>-6.79199415559191</v>
      </c>
      <c r="M185" s="31" t="n">
        <f aca="false">IFERROR((AVERAGE('SA Data'!Y175:Y185)/AVERAGE('SA Data'!Y163:Y173)-1)*100,"")</f>
        <v>-1.88981606816773</v>
      </c>
    </row>
    <row r="186" customFormat="false" ht="15" hidden="false" customHeight="false" outlineLevel="0" collapsed="false">
      <c r="A186" s="20" t="n">
        <v>43465</v>
      </c>
      <c r="B186" s="30" t="n">
        <f aca="false">'SA Data'!B186</f>
        <v>141.97365</v>
      </c>
      <c r="C186" s="31" t="n">
        <f aca="false">IFERROR((B186/B185-1)*100,"")</f>
        <v>0.21705961515861</v>
      </c>
      <c r="D186" s="31" t="n">
        <f aca="false">IFERROR((AVERAGE(B184:B186)/AVERAGE(B181:B183)-1)*100,"")</f>
        <v>-1.387953449737</v>
      </c>
      <c r="E186" s="31" t="n">
        <f aca="false">IFERROR(((AVERAGE(B184:B186)/AVERAGE(B181:B183))^4-1)*100,"")</f>
        <v>-5.43729471077095</v>
      </c>
      <c r="F186" s="31" t="n">
        <f aca="false">IFERROR((B186/B174-1)*100,"")</f>
        <v>-6.74680092014639</v>
      </c>
      <c r="G186" s="31" t="n">
        <f aca="false">IFERROR((AVERAGE(B175:B186)/AVERAGE(B163:B174)-1)*100,"")</f>
        <v>-2.6173954484169</v>
      </c>
      <c r="H186" s="30" t="n">
        <f aca="false">'SA Data'!U186</f>
        <v>141.78736392808</v>
      </c>
      <c r="I186" s="31" t="n">
        <f aca="false">IFERROR((H186/H185-1)*100,"")</f>
        <v>-2.01269316225626</v>
      </c>
      <c r="J186" s="31" t="n">
        <f aca="false">IFERROR((AVERAGE(H184:H186)/AVERAGE(H181:H183)-1)*100,"")</f>
        <v>-2.22079308013382</v>
      </c>
      <c r="K186" s="31" t="n">
        <f aca="false">IFERROR(((AVERAGE(H184:H186)/AVERAGE(H181:H183))^4-1)*100,"")</f>
        <v>-8.59161379361054</v>
      </c>
      <c r="L186" s="31" t="n">
        <f aca="false">IFERROR(('SA Data'!Y186/'SA Data'!Y174-1)*100,"")</f>
        <v>-5.84482075833693</v>
      </c>
      <c r="M186" s="31" t="n">
        <f aca="false">IFERROR((AVERAGE('SA Data'!Y175:Y186)/AVERAGE('SA Data'!Y163:Y174)-1)*100,"")</f>
        <v>-2.21167307739923</v>
      </c>
    </row>
    <row r="187" customFormat="false" ht="15" hidden="false" customHeight="false" outlineLevel="0" collapsed="false">
      <c r="A187" s="20" t="n">
        <v>43496</v>
      </c>
      <c r="B187" s="30" t="n">
        <f aca="false">'SA Data'!B187</f>
        <v>141.39773</v>
      </c>
      <c r="C187" s="31" t="n">
        <f aca="false">IFERROR((B187/B186-1)*100,"")</f>
        <v>-0.405652739082218</v>
      </c>
      <c r="D187" s="31" t="n">
        <f aca="false">IFERROR((AVERAGE(B185:B187)/AVERAGE(B182:B184)-1)*100,"")</f>
        <v>-1.89895995767581</v>
      </c>
      <c r="E187" s="31" t="n">
        <f aca="false">IFERROR(((AVERAGE(B185:B187)/AVERAGE(B182:B184))^4-1)*100,"")</f>
        <v>-7.38220298886548</v>
      </c>
      <c r="F187" s="31" t="n">
        <f aca="false">IFERROR((B187/B175-1)*100,"")</f>
        <v>-6.34516401450547</v>
      </c>
      <c r="G187" s="31" t="n">
        <f aca="false">IFERROR((AVERAGE(B187:B187)/AVERAGE(B175:B175)-1)*100,"")</f>
        <v>-6.34516401450547</v>
      </c>
      <c r="H187" s="30" t="n">
        <f aca="false">'SA Data'!U187</f>
        <v>143.235738199308</v>
      </c>
      <c r="I187" s="31" t="n">
        <f aca="false">IFERROR((H187/H186-1)*100,"")</f>
        <v>1.02151153043737</v>
      </c>
      <c r="J187" s="31" t="n">
        <f aca="false">IFERROR((AVERAGE(H185:H187)/AVERAGE(H182:H184)-1)*100,"")</f>
        <v>-2.972578972486</v>
      </c>
      <c r="K187" s="31" t="n">
        <f aca="false">IFERROR(((AVERAGE(H185:H187)/AVERAGE(H182:H184))^4-1)*100,"")</f>
        <v>-11.37057081774</v>
      </c>
      <c r="L187" s="31" t="n">
        <f aca="false">IFERROR(('SA Data'!Y187/'SA Data'!Y175-1)*100,"")</f>
        <v>-5.04198577611221</v>
      </c>
      <c r="M187" s="31" t="n">
        <f aca="false">IFERROR((AVERAGE('SA Data'!Y187:Y187)/AVERAGE('SA Data'!Y175:Y175)-1)*100,"")</f>
        <v>-5.04198577611221</v>
      </c>
    </row>
    <row r="188" customFormat="false" ht="15" hidden="false" customHeight="false" outlineLevel="0" collapsed="false">
      <c r="A188" s="20" t="n">
        <v>43524</v>
      </c>
      <c r="B188" s="30" t="n">
        <f aca="false">'SA Data'!B188</f>
        <v>143.6589</v>
      </c>
      <c r="C188" s="31" t="n">
        <f aca="false">IFERROR((B188/B187-1)*100,"")</f>
        <v>1.59915579974304</v>
      </c>
      <c r="D188" s="31" t="n">
        <f aca="false">IFERROR((AVERAGE(B186:B188)/AVERAGE(B183:B185)-1)*100,"")</f>
        <v>-0.318328469508367</v>
      </c>
      <c r="E188" s="31" t="n">
        <f aca="false">IFERROR(((AVERAGE(B186:B188)/AVERAGE(B183:B185))^4-1)*100,"")</f>
        <v>-1.26724678976848</v>
      </c>
      <c r="F188" s="31" t="n">
        <f aca="false">IFERROR((B188/B176-1)*100,"")</f>
        <v>-5.6064705860322</v>
      </c>
      <c r="G188" s="31" t="n">
        <f aca="false">IFERROR((AVERAGE(B187:B188)/AVERAGE(B175:B176)-1)*100,"")</f>
        <v>-5.97433833680274</v>
      </c>
      <c r="H188" s="30" t="n">
        <f aca="false">'SA Data'!U188</f>
        <v>144.967410280516</v>
      </c>
      <c r="I188" s="31" t="n">
        <f aca="false">IFERROR((H188/H187-1)*100,"")</f>
        <v>1.20896649326281</v>
      </c>
      <c r="J188" s="31" t="n">
        <f aca="false">IFERROR((AVERAGE(H186:H188)/AVERAGE(H183:H185)-1)*100,"")</f>
        <v>-1.5829146825405</v>
      </c>
      <c r="K188" s="31" t="n">
        <f aca="false">IFERROR(((AVERAGE(H186:H188)/AVERAGE(H183:H185))^4-1)*100,"")</f>
        <v>-6.18290179087717</v>
      </c>
      <c r="L188" s="31" t="n">
        <f aca="false">IFERROR(('SA Data'!Y188/'SA Data'!Y176-1)*100,"")</f>
        <v>-4.1043251837868</v>
      </c>
      <c r="M188" s="31" t="n">
        <f aca="false">IFERROR((AVERAGE('SA Data'!Y187:Y188)/AVERAGE('SA Data'!Y175:Y176)-1)*100,"")</f>
        <v>-4.57682037076909</v>
      </c>
    </row>
    <row r="189" customFormat="false" ht="15" hidden="false" customHeight="false" outlineLevel="0" collapsed="false">
      <c r="A189" s="20" t="n">
        <v>43555</v>
      </c>
      <c r="B189" s="30" t="n">
        <f aca="false">'SA Data'!B189</f>
        <v>142.25994</v>
      </c>
      <c r="C189" s="31" t="n">
        <f aca="false">IFERROR((B189/B188-1)*100,"")</f>
        <v>-0.973806704631586</v>
      </c>
      <c r="D189" s="31" t="n">
        <f aca="false">IFERROR((AVERAGE(B187:B189)/AVERAGE(B184:B186)-1)*100,"")</f>
        <v>0.0190012348930235</v>
      </c>
      <c r="E189" s="31" t="n">
        <f aca="false">IFERROR(((AVERAGE(B187:B189)/AVERAGE(B184:B186))^4-1)*100,"")</f>
        <v>0.076026605132018</v>
      </c>
      <c r="F189" s="31" t="n">
        <f aca="false">IFERROR((B189/B177-1)*100,"")</f>
        <v>-6.11687180704178</v>
      </c>
      <c r="G189" s="31" t="n">
        <f aca="false">IFERROR((AVERAGE(B187:B189)/AVERAGE(B175:B177)-1)*100,"")</f>
        <v>-6.02183784818984</v>
      </c>
      <c r="H189" s="30" t="n">
        <f aca="false">'SA Data'!U189</f>
        <v>144.149549665326</v>
      </c>
      <c r="I189" s="31" t="n">
        <f aca="false">IFERROR((H189/H188-1)*100,"")</f>
        <v>-0.564168604245263</v>
      </c>
      <c r="J189" s="31" t="n">
        <f aca="false">IFERROR((AVERAGE(H187:H189)/AVERAGE(H184:H186)-1)*100,"")</f>
        <v>-0.383279798428948</v>
      </c>
      <c r="K189" s="31" t="n">
        <f aca="false">IFERROR(((AVERAGE(H187:H189)/AVERAGE(H184:H186))^4-1)*100,"")</f>
        <v>-1.52432748994497</v>
      </c>
      <c r="L189" s="31" t="n">
        <f aca="false">IFERROR(('SA Data'!Y189/'SA Data'!Y177-1)*100,"")</f>
        <v>-5.71719540337402</v>
      </c>
      <c r="M189" s="31" t="n">
        <f aca="false">IFERROR((AVERAGE('SA Data'!Y187:Y189)/AVERAGE('SA Data'!Y175:Y177)-1)*100,"")</f>
        <v>-4.98266171763661</v>
      </c>
    </row>
    <row r="190" customFormat="false" ht="15" hidden="false" customHeight="false" outlineLevel="0" collapsed="false">
      <c r="A190" s="20" t="n">
        <v>43585</v>
      </c>
      <c r="B190" s="30" t="n">
        <f aca="false">'SA Data'!B190</f>
        <v>142.60579</v>
      </c>
      <c r="C190" s="31" t="n">
        <f aca="false">IFERROR((B190/B189-1)*100,"")</f>
        <v>0.24311130737158</v>
      </c>
      <c r="D190" s="31" t="n">
        <f aca="false">IFERROR((AVERAGE(B188:B190)/AVERAGE(B185:B187)-1)*100,"")</f>
        <v>0.820421669587645</v>
      </c>
      <c r="E190" s="31" t="n">
        <f aca="false">IFERROR(((AVERAGE(B188:B190)/AVERAGE(B185:B187))^4-1)*100,"")</f>
        <v>3.32229352197053</v>
      </c>
      <c r="F190" s="31" t="n">
        <f aca="false">IFERROR((B190/B178-1)*100,"")</f>
        <v>-2.85223389234857</v>
      </c>
      <c r="G190" s="31" t="n">
        <f aca="false">IFERROR((AVERAGE(B187:B190)/AVERAGE(B175:B178)-1)*100,"")</f>
        <v>-5.24830163953243</v>
      </c>
      <c r="H190" s="30" t="n">
        <f aca="false">'SA Data'!U190</f>
        <v>149.777572811088</v>
      </c>
      <c r="I190" s="31" t="n">
        <f aca="false">IFERROR((H190/H189-1)*100,"")</f>
        <v>3.90429464318749</v>
      </c>
      <c r="J190" s="31" t="n">
        <f aca="false">IFERROR((AVERAGE(H188:H190)/AVERAGE(H185:H187)-1)*100,"")</f>
        <v>2.13433046482745</v>
      </c>
      <c r="K190" s="31" t="n">
        <f aca="false">IFERROR(((AVERAGE(H188:H190)/AVERAGE(H185:H187))^4-1)*100,"")</f>
        <v>8.81455366568749</v>
      </c>
      <c r="L190" s="31" t="n">
        <f aca="false">IFERROR(('SA Data'!Y190/'SA Data'!Y178-1)*100,"")</f>
        <v>-0.516527258629018</v>
      </c>
      <c r="M190" s="31" t="n">
        <f aca="false">IFERROR((AVERAGE('SA Data'!Y187:Y190)/AVERAGE('SA Data'!Y175:Y178)-1)*100,"")</f>
        <v>-3.8293755891858</v>
      </c>
    </row>
    <row r="191" customFormat="false" ht="15" hidden="false" customHeight="false" outlineLevel="0" collapsed="false">
      <c r="A191" s="20" t="n">
        <v>43616</v>
      </c>
      <c r="B191" s="30" t="n">
        <f aca="false">'SA Data'!B191</f>
        <v>144.83825</v>
      </c>
      <c r="C191" s="31" t="n">
        <f aca="false">IFERROR((B191/B190-1)*100,"")</f>
        <v>1.56547640877693</v>
      </c>
      <c r="D191" s="31" t="n">
        <f aca="false">IFERROR((AVERAGE(B189:B191)/AVERAGE(B186:B188)-1)*100,"")</f>
        <v>0.6261148506846</v>
      </c>
      <c r="E191" s="31" t="n">
        <f aca="false">IFERROR(((AVERAGE(B189:B191)/AVERAGE(B186:B188))^4-1)*100,"")</f>
        <v>2.52807892456177</v>
      </c>
      <c r="F191" s="31" t="n">
        <f aca="false">IFERROR((B191/B179-1)*100,"")</f>
        <v>0.190339041590759</v>
      </c>
      <c r="G191" s="31" t="n">
        <f aca="false">IFERROR((AVERAGE(B187:B191)/AVERAGE(B175:B179)-1)*100,"")</f>
        <v>-4.1944539954428</v>
      </c>
      <c r="H191" s="30" t="n">
        <f aca="false">'SA Data'!U191</f>
        <v>151.06747393759</v>
      </c>
      <c r="I191" s="31" t="n">
        <f aca="false">IFERROR((H191/H190-1)*100,"")</f>
        <v>0.861211129472195</v>
      </c>
      <c r="J191" s="31" t="n">
        <f aca="false">IFERROR((AVERAGE(H189:H191)/AVERAGE(H186:H188)-1)*100,"")</f>
        <v>3.48939885256496</v>
      </c>
      <c r="K191" s="31" t="n">
        <f aca="false">IFERROR(((AVERAGE(H189:H191)/AVERAGE(H186:H188))^4-1)*100,"")</f>
        <v>14.7052925587139</v>
      </c>
      <c r="L191" s="31" t="n">
        <f aca="false">IFERROR(('SA Data'!Y191/'SA Data'!Y179-1)*100,"")</f>
        <v>2.69133566911002</v>
      </c>
      <c r="M191" s="31" t="n">
        <f aca="false">IFERROR((AVERAGE('SA Data'!Y187:Y191)/AVERAGE('SA Data'!Y175:Y179)-1)*100,"")</f>
        <v>-2.43087698500809</v>
      </c>
    </row>
    <row r="192" customFormat="false" ht="15" hidden="false" customHeight="false" outlineLevel="0" collapsed="false">
      <c r="A192" s="20" t="n">
        <v>43646</v>
      </c>
      <c r="B192" s="30" t="n">
        <f aca="false">'SA Data'!B192</f>
        <v>144.03378</v>
      </c>
      <c r="C192" s="31" t="n">
        <f aca="false">IFERROR((B192/B191-1)*100,"")</f>
        <v>-0.555426484371346</v>
      </c>
      <c r="D192" s="31" t="n">
        <f aca="false">IFERROR((AVERAGE(B190:B192)/AVERAGE(B187:B189)-1)*100,"")</f>
        <v>0.973809651238211</v>
      </c>
      <c r="E192" s="31" t="n">
        <f aca="false">IFERROR(((AVERAGE(B190:B192)/AVERAGE(B187:B189))^4-1)*100,"")</f>
        <v>3.95250720596314</v>
      </c>
      <c r="F192" s="31" t="n">
        <f aca="false">IFERROR((B192/B180-1)*100,"")</f>
        <v>0.540768515335999</v>
      </c>
      <c r="G192" s="31" t="n">
        <f aca="false">IFERROR((AVERAGE(B187:B192)/AVERAGE(B175:B180)-1)*100,"")</f>
        <v>-3.4316584936122</v>
      </c>
      <c r="H192" s="30" t="n">
        <f aca="false">'SA Data'!U192</f>
        <v>145.839157864266</v>
      </c>
      <c r="I192" s="31" t="n">
        <f aca="false">IFERROR((H192/H191-1)*100,"")</f>
        <v>-3.46091447553029</v>
      </c>
      <c r="J192" s="31" t="n">
        <f aca="false">IFERROR((AVERAGE(H190:H192)/AVERAGE(H187:H189)-1)*100,"")</f>
        <v>3.31477206671278</v>
      </c>
      <c r="K192" s="31" t="n">
        <f aca="false">IFERROR(((AVERAGE(H190:H192)/AVERAGE(H187:H189))^4-1)*100,"")</f>
        <v>13.9330405347469</v>
      </c>
      <c r="L192" s="31" t="n">
        <f aca="false">IFERROR(('SA Data'!Y192/'SA Data'!Y180-1)*100,"")</f>
        <v>0.339582659243543</v>
      </c>
      <c r="M192" s="31" t="n">
        <f aca="false">IFERROR((AVERAGE('SA Data'!Y187:Y192)/AVERAGE('SA Data'!Y175:Y180)-1)*100,"")</f>
        <v>-1.96216562276855</v>
      </c>
    </row>
    <row r="193" customFormat="false" ht="15" hidden="false" customHeight="false" outlineLevel="0" collapsed="false">
      <c r="A193" s="20" t="n">
        <v>43677</v>
      </c>
      <c r="B193" s="30" t="n">
        <f aca="false">'SA Data'!B193</f>
        <v>145.83568</v>
      </c>
      <c r="C193" s="31" t="n">
        <f aca="false">IFERROR((B193/B192-1)*100,"")</f>
        <v>1.25102597460123</v>
      </c>
      <c r="D193" s="31" t="n">
        <f aca="false">IFERROR((AVERAGE(B191:B193)/AVERAGE(B188:B190)-1)*100,"")</f>
        <v>1.44287622394073</v>
      </c>
      <c r="E193" s="31" t="n">
        <f aca="false">IFERROR(((AVERAGE(B191:B193)/AVERAGE(B188:B190))^4-1)*100,"")</f>
        <v>5.89762430276339</v>
      </c>
      <c r="F193" s="31" t="n">
        <f aca="false">IFERROR((B193/B181-1)*100,"")</f>
        <v>1.57158546839755</v>
      </c>
      <c r="G193" s="31" t="n">
        <f aca="false">IFERROR((AVERAGE(B187:B193)/AVERAGE(B175:B181)-1)*100,"")</f>
        <v>-2.73617244525047</v>
      </c>
      <c r="H193" s="30" t="n">
        <f aca="false">'SA Data'!U193</f>
        <v>148.836436395829</v>
      </c>
      <c r="I193" s="31" t="n">
        <f aca="false">IFERROR((H193/H192-1)*100,"")</f>
        <v>2.05519462362225</v>
      </c>
      <c r="J193" s="31" t="n">
        <f aca="false">IFERROR((AVERAGE(H191:H193)/AVERAGE(H188:H190)-1)*100,"")</f>
        <v>1.56040573067442</v>
      </c>
      <c r="K193" s="31" t="n">
        <f aca="false">IFERROR(((AVERAGE(H191:H193)/AVERAGE(H188:H190))^4-1)*100,"")</f>
        <v>6.38924056550121</v>
      </c>
      <c r="L193" s="31" t="n">
        <f aca="false">IFERROR(('SA Data'!Y193/'SA Data'!Y181-1)*100,"")</f>
        <v>0.0568554870364446</v>
      </c>
      <c r="M193" s="31" t="n">
        <f aca="false">IFERROR((AVERAGE('SA Data'!Y187:Y193)/AVERAGE('SA Data'!Y175:Y181)-1)*100,"")</f>
        <v>-1.67799861151879</v>
      </c>
    </row>
    <row r="194" customFormat="false" ht="15" hidden="false" customHeight="false" outlineLevel="0" collapsed="false">
      <c r="A194" s="20" t="n">
        <v>43708</v>
      </c>
      <c r="B194" s="30" t="n">
        <f aca="false">'SA Data'!B194</f>
        <v>144.79059</v>
      </c>
      <c r="C194" s="31" t="n">
        <f aca="false">IFERROR((B194/B193-1)*100,"")</f>
        <v>-0.716621611391666</v>
      </c>
      <c r="D194" s="31" t="n">
        <f aca="false">IFERROR((AVERAGE(B192:B194)/AVERAGE(B189:B191)-1)*100,"")</f>
        <v>1.15336841888223</v>
      </c>
      <c r="E194" s="31" t="n">
        <f aca="false">IFERROR(((AVERAGE(B192:B194)/AVERAGE(B189:B191))^4-1)*100,"")</f>
        <v>4.69390467905151</v>
      </c>
      <c r="F194" s="31" t="n">
        <f aca="false">IFERROR((B194/B182-1)*100,"")</f>
        <v>-1.19194282572421</v>
      </c>
      <c r="G194" s="31" t="n">
        <f aca="false">IFERROR((AVERAGE(B187:B194)/AVERAGE(B175:B182)-1)*100,"")</f>
        <v>-2.54431084872426</v>
      </c>
      <c r="H194" s="30" t="n">
        <f aca="false">'SA Data'!U194</f>
        <v>145.075044264847</v>
      </c>
      <c r="I194" s="31" t="n">
        <f aca="false">IFERROR((H194/H193-1)*100,"")</f>
        <v>-2.52719846165786</v>
      </c>
      <c r="J194" s="31" t="n">
        <f aca="false">IFERROR((AVERAGE(H192:H194)/AVERAGE(H189:H191)-1)*100,"")</f>
        <v>-1.17843181272774</v>
      </c>
      <c r="K194" s="31" t="n">
        <f aca="false">IFERROR(((AVERAGE(H192:H194)/AVERAGE(H189:H191))^4-1)*100,"")</f>
        <v>-4.63105782621204</v>
      </c>
      <c r="L194" s="31" t="n">
        <f aca="false">IFERROR(('SA Data'!Y194/'SA Data'!Y182-1)*100,"")</f>
        <v>-3.46069016932802</v>
      </c>
      <c r="M194" s="31" t="n">
        <f aca="false">IFERROR((AVERAGE('SA Data'!Y187:Y194)/AVERAGE('SA Data'!Y175:Y182)-1)*100,"")</f>
        <v>-1.897380907951</v>
      </c>
    </row>
    <row r="195" customFormat="false" ht="15" hidden="false" customHeight="false" outlineLevel="0" collapsed="false">
      <c r="A195" s="20" t="n">
        <v>43738</v>
      </c>
      <c r="B195" s="30" t="n">
        <f aca="false">'SA Data'!B195</f>
        <v>140.55731</v>
      </c>
      <c r="C195" s="31" t="n">
        <f aca="false">IFERROR((B195/B194-1)*100,"")</f>
        <v>-2.92372591340363</v>
      </c>
      <c r="D195" s="31" t="n">
        <f aca="false">IFERROR((AVERAGE(B193:B195)/AVERAGE(B190:B192)-1)*100,"")</f>
        <v>-0.0681935400526523</v>
      </c>
      <c r="E195" s="31" t="n">
        <f aca="false">IFERROR(((AVERAGE(B193:B195)/AVERAGE(B190:B192))^4-1)*100,"")</f>
        <v>-0.272495265504458</v>
      </c>
      <c r="F195" s="31" t="n">
        <f aca="false">IFERROR((B195/B183-1)*100,"")</f>
        <v>-1.79898672723908</v>
      </c>
      <c r="G195" s="31" t="n">
        <f aca="false">IFERROR((AVERAGE(B187:B195)/AVERAGE(B175:B183)-1)*100,"")</f>
        <v>-2.46364924470343</v>
      </c>
      <c r="H195" s="30" t="n">
        <f aca="false">'SA Data'!U195</f>
        <v>141.764664642176</v>
      </c>
      <c r="I195" s="31" t="n">
        <f aca="false">IFERROR((H195/H194-1)*100,"")</f>
        <v>-2.28183947104489</v>
      </c>
      <c r="J195" s="31" t="n">
        <f aca="false">IFERROR((AVERAGE(H193:H195)/AVERAGE(H190:H192)-1)*100,"")</f>
        <v>-2.46439412820333</v>
      </c>
      <c r="K195" s="31" t="n">
        <f aca="false">IFERROR(((AVERAGE(H193:H195)/AVERAGE(H190:H192))^4-1)*100,"")</f>
        <v>-9.49913206468075</v>
      </c>
      <c r="L195" s="31" t="n">
        <f aca="false">IFERROR(('SA Data'!Y195/'SA Data'!Y183-1)*100,"")</f>
        <v>-2.00818278676419</v>
      </c>
      <c r="M195" s="31" t="n">
        <f aca="false">IFERROR((AVERAGE('SA Data'!Y187:Y195)/AVERAGE('SA Data'!Y175:Y183)-1)*100,"")</f>
        <v>-1.90889775830535</v>
      </c>
    </row>
    <row r="196" customFormat="false" ht="15" hidden="false" customHeight="false" outlineLevel="0" collapsed="false">
      <c r="A196" s="20" t="n">
        <v>43769</v>
      </c>
      <c r="B196" s="30" t="n">
        <f aca="false">'SA Data'!B196</f>
        <v>143.79727</v>
      </c>
      <c r="C196" s="31" t="n">
        <f aca="false">IFERROR((B196/B195-1)*100,"")</f>
        <v>2.30508110890852</v>
      </c>
      <c r="D196" s="31" t="n">
        <f aca="false">IFERROR((AVERAGE(B194:B196)/AVERAGE(B191:B193)-1)*100,"")</f>
        <v>-1.27960463365141</v>
      </c>
      <c r="E196" s="31" t="n">
        <f aca="false">IFERROR(((AVERAGE(B194:B196)/AVERAGE(B191:B193))^4-1)*100,"")</f>
        <v>-5.02101065617659</v>
      </c>
      <c r="F196" s="31" t="n">
        <f aca="false">IFERROR((B196/B184-1)*100,"")</f>
        <v>0.140449995713654</v>
      </c>
      <c r="G196" s="31" t="n">
        <f aca="false">IFERROR((AVERAGE(B187:B196)/AVERAGE(B175:B184)-1)*100,"")</f>
        <v>-2.20860342750645</v>
      </c>
      <c r="H196" s="30" t="n">
        <f aca="false">'SA Data'!U196</f>
        <v>145.40502666895</v>
      </c>
      <c r="I196" s="31" t="n">
        <f aca="false">IFERROR((H196/H195-1)*100,"")</f>
        <v>2.56789097336987</v>
      </c>
      <c r="J196" s="31" t="n">
        <f aca="false">IFERROR((AVERAGE(H194:H196)/AVERAGE(H191:H193)-1)*100,"")</f>
        <v>-3.02827650832382</v>
      </c>
      <c r="K196" s="31" t="n">
        <f aca="false">IFERROR(((AVERAGE(H194:H196)/AVERAGE(H191:H193))^4-1)*100,"")</f>
        <v>-11.5739026930849</v>
      </c>
      <c r="L196" s="31" t="n">
        <f aca="false">IFERROR(('SA Data'!Y196/'SA Data'!Y184-1)*100,"")</f>
        <v>-1.32275826205519</v>
      </c>
      <c r="M196" s="31" t="n">
        <f aca="false">IFERROR((AVERAGE('SA Data'!Y187:Y196)/AVERAGE('SA Data'!Y175:Y184)-1)*100,"")</f>
        <v>-1.85196010983963</v>
      </c>
    </row>
    <row r="197" customFormat="false" ht="15" hidden="false" customHeight="false" outlineLevel="0" collapsed="false">
      <c r="A197" s="20" t="n">
        <v>43799</v>
      </c>
      <c r="B197" s="30" t="n">
        <f aca="false">'SA Data'!B197</f>
        <v>140.88369</v>
      </c>
      <c r="C197" s="31" t="n">
        <f aca="false">IFERROR((B197/B196-1)*100,"")</f>
        <v>-2.02617198504533</v>
      </c>
      <c r="D197" s="31" t="n">
        <f aca="false">IFERROR((AVERAGE(B195:B197)/AVERAGE(B192:B194)-1)*100,"")</f>
        <v>-2.167620419682</v>
      </c>
      <c r="E197" s="31" t="n">
        <f aca="false">IFERROR(((AVERAGE(B195:B197)/AVERAGE(B192:B194))^4-1)*100,"")</f>
        <v>-8.39261879875338</v>
      </c>
      <c r="F197" s="31" t="n">
        <f aca="false">IFERROR((B197/B185-1)*100,"")</f>
        <v>-0.552326720250385</v>
      </c>
      <c r="G197" s="31" t="n">
        <f aca="false">IFERROR((AVERAGE(B187:B197)/AVERAGE(B175:B185)-1)*100,"")</f>
        <v>-2.0626679934628</v>
      </c>
      <c r="H197" s="30" t="n">
        <f aca="false">'SA Data'!U197</f>
        <v>141.444308761434</v>
      </c>
      <c r="I197" s="31" t="n">
        <f aca="false">IFERROR((H197/H196-1)*100,"")</f>
        <v>-2.72392089754497</v>
      </c>
      <c r="J197" s="31" t="n">
        <f aca="false">IFERROR((AVERAGE(H195:H197)/AVERAGE(H192:H194)-1)*100,"")</f>
        <v>-2.53248943304271</v>
      </c>
      <c r="K197" s="31" t="n">
        <f aca="false">IFERROR(((AVERAGE(H195:H197)/AVERAGE(H192:H194))^4-1)*100,"")</f>
        <v>-9.75160328660066</v>
      </c>
      <c r="L197" s="31" t="n">
        <f aca="false">IFERROR(('SA Data'!Y197/'SA Data'!Y185-1)*100,"")</f>
        <v>-2.05048789486673</v>
      </c>
      <c r="M197" s="31" t="n">
        <f aca="false">IFERROR((AVERAGE('SA Data'!Y187:Y197)/AVERAGE('SA Data'!Y175:Y185)-1)*100,"")</f>
        <v>-1.86934965738312</v>
      </c>
    </row>
    <row r="198" customFormat="false" ht="15" hidden="false" customHeight="false" outlineLevel="0" collapsed="false">
      <c r="A198" s="20" t="n">
        <v>43830</v>
      </c>
      <c r="B198" s="30" t="n">
        <f aca="false">'SA Data'!B198</f>
        <v>140.12669</v>
      </c>
      <c r="C198" s="31" t="n">
        <f aca="false">IFERROR((B198/B197-1)*100,"")</f>
        <v>-0.537322666662132</v>
      </c>
      <c r="D198" s="31" t="n">
        <f aca="false">IFERROR((AVERAGE(B196:B198)/AVERAGE(B193:B195)-1)*100,"")</f>
        <v>-1.47870426791299</v>
      </c>
      <c r="E198" s="31" t="n">
        <f aca="false">IFERROR(((AVERAGE(B196:B198)/AVERAGE(B193:B195))^4-1)*100,"")</f>
        <v>-5.7849116258381</v>
      </c>
      <c r="F198" s="31" t="n">
        <f aca="false">IFERROR((B198/B186-1)*100,"")</f>
        <v>-1.30091745897918</v>
      </c>
      <c r="G198" s="31" t="n">
        <f aca="false">IFERROR((AVERAGE(B187:B198)/AVERAGE(B175:B186)-1)*100,"")</f>
        <v>-2.00086166584968</v>
      </c>
      <c r="H198" s="30" t="n">
        <f aca="false">'SA Data'!U198</f>
        <v>141.204092312249</v>
      </c>
      <c r="I198" s="31" t="n">
        <f aca="false">IFERROR((H198/H197-1)*100,"")</f>
        <v>-0.169831116775709</v>
      </c>
      <c r="J198" s="31" t="n">
        <f aca="false">IFERROR((AVERAGE(H196:H198)/AVERAGE(H193:H195)-1)*100,"")</f>
        <v>-1.74962931581203</v>
      </c>
      <c r="K198" s="31" t="n">
        <f aca="false">IFERROR(((AVERAGE(H196:H198)/AVERAGE(H193:H195))^4-1)*100,"")</f>
        <v>-6.8169781157451</v>
      </c>
      <c r="L198" s="31" t="n">
        <f aca="false">IFERROR(('SA Data'!Y198/'SA Data'!Y186-1)*100,"")</f>
        <v>-0.362063539187218</v>
      </c>
      <c r="M198" s="31" t="n">
        <f aca="false">IFERROR((AVERAGE('SA Data'!Y187:Y198)/AVERAGE('SA Data'!Y175:Y186)-1)*100,"")</f>
        <v>-1.75124449892201</v>
      </c>
    </row>
    <row r="199" customFormat="false" ht="15" hidden="false" customHeight="false" outlineLevel="0" collapsed="false">
      <c r="A199" s="20" t="n">
        <v>43861</v>
      </c>
      <c r="B199" s="30" t="n">
        <f aca="false">'SA Data'!B199</f>
        <v>140.93018</v>
      </c>
      <c r="C199" s="31" t="n">
        <f aca="false">IFERROR((B199/B198-1)*100,"")</f>
        <v>0.573402540229862</v>
      </c>
      <c r="D199" s="31" t="n">
        <f aca="false">IFERROR((AVERAGE(B197:B199)/AVERAGE(B194:B196)-1)*100,"")</f>
        <v>-1.67882816903195</v>
      </c>
      <c r="E199" s="31" t="n">
        <f aca="false">IFERROR(((AVERAGE(B197:B199)/AVERAGE(B194:B196))^4-1)*100,"")</f>
        <v>-6.5480895778371</v>
      </c>
      <c r="F199" s="31" t="n">
        <f aca="false">IFERROR((B199/B187-1)*100,"")</f>
        <v>-0.330663017008825</v>
      </c>
      <c r="G199" s="31" t="n">
        <f aca="false">IFERROR((AVERAGE(B199:B199)/AVERAGE(B187:B187)-1)*100,"")</f>
        <v>-0.330663017008825</v>
      </c>
      <c r="H199" s="30" t="n">
        <f aca="false">'SA Data'!U199</f>
        <v>142.325068989397</v>
      </c>
      <c r="I199" s="31" t="n">
        <f aca="false">IFERROR((H199/H198-1)*100,"")</f>
        <v>0.793869822603521</v>
      </c>
      <c r="J199" s="31" t="n">
        <f aca="false">IFERROR((AVERAGE(H197:H199)/AVERAGE(H194:H196)-1)*100,"")</f>
        <v>-1.68221031152747</v>
      </c>
      <c r="K199" s="31" t="n">
        <f aca="false">IFERROR(((AVERAGE(H197:H199)/AVERAGE(H194:H196))^4-1)*100,"")</f>
        <v>-6.56094749494415</v>
      </c>
      <c r="L199" s="31" t="n">
        <f aca="false">IFERROR(('SA Data'!Y199/'SA Data'!Y187-1)*100,"")</f>
        <v>-0.506699680729117</v>
      </c>
      <c r="M199" s="31" t="n">
        <f aca="false">IFERROR((AVERAGE('SA Data'!Y199:Y199)/AVERAGE('SA Data'!Y187:Y187)-1)*100,"")</f>
        <v>-0.506699680729117</v>
      </c>
    </row>
    <row r="200" customFormat="false" ht="15" hidden="false" customHeight="false" outlineLevel="0" collapsed="false">
      <c r="A200" s="20" t="n">
        <v>43890</v>
      </c>
      <c r="B200" s="30" t="n">
        <f aca="false">'SA Data'!B200</f>
        <v>139.54976</v>
      </c>
      <c r="C200" s="31" t="n">
        <f aca="false">IFERROR((B200/B199-1)*100,"")</f>
        <v>-0.9795063058885</v>
      </c>
      <c r="D200" s="31" t="n">
        <f aca="false">IFERROR((AVERAGE(B198:B200)/AVERAGE(B195:B197)-1)*100,"")</f>
        <v>-1.08918701037891</v>
      </c>
      <c r="E200" s="31" t="n">
        <f aca="false">IFERROR(((AVERAGE(B198:B200)/AVERAGE(B195:B197))^4-1)*100,"")</f>
        <v>-4.28608378689477</v>
      </c>
      <c r="F200" s="31" t="n">
        <f aca="false">IFERROR((B200/B188-1)*100,"")</f>
        <v>-2.86034488639408</v>
      </c>
      <c r="G200" s="31" t="n">
        <f aca="false">IFERROR((AVERAGE(B199:B200)/AVERAGE(B187:B188)-1)*100,"")</f>
        <v>-1.60553711730893</v>
      </c>
      <c r="H200" s="30" t="n">
        <f aca="false">'SA Data'!U200</f>
        <v>140.578130916495</v>
      </c>
      <c r="I200" s="31" t="n">
        <f aca="false">IFERROR((H200/H199-1)*100,"")</f>
        <v>-1.22742822842523</v>
      </c>
      <c r="J200" s="31" t="n">
        <f aca="false">IFERROR((AVERAGE(H198:H200)/AVERAGE(H195:H197)-1)*100,"")</f>
        <v>-1.05146072075487</v>
      </c>
      <c r="K200" s="31" t="n">
        <f aca="false">IFERROR(((AVERAGE(H198:H200)/AVERAGE(H195:H197))^4-1)*100,"")</f>
        <v>-4.13997246712109</v>
      </c>
      <c r="L200" s="31" t="n">
        <f aca="false">IFERROR(('SA Data'!Y200/'SA Data'!Y188-1)*100,"")</f>
        <v>-2.52318937667233</v>
      </c>
      <c r="M200" s="31" t="n">
        <f aca="false">IFERROR((AVERAGE('SA Data'!Y199:Y200)/AVERAGE('SA Data'!Y187:Y188)-1)*100,"")</f>
        <v>-1.51201635880978</v>
      </c>
    </row>
    <row r="201" customFormat="false" ht="15" hidden="false" customHeight="false" outlineLevel="0" collapsed="false">
      <c r="A201" s="20" t="n">
        <v>43921</v>
      </c>
      <c r="B201" s="30" t="n">
        <f aca="false">'SA Data'!B201</f>
        <v>125.96025</v>
      </c>
      <c r="C201" s="31" t="n">
        <f aca="false">IFERROR((B201/B200-1)*100,"")</f>
        <v>-9.73811062089967</v>
      </c>
      <c r="D201" s="31" t="n">
        <f aca="false">IFERROR((AVERAGE(B199:B201)/AVERAGE(B196:B198)-1)*100,"")</f>
        <v>-4.32371215537195</v>
      </c>
      <c r="E201" s="31" t="n">
        <f aca="false">IFERROR(((AVERAGE(B199:B201)/AVERAGE(B196:B198))^4-1)*100,"")</f>
        <v>-16.2051617614309</v>
      </c>
      <c r="F201" s="31" t="n">
        <f aca="false">IFERROR((B201/B189-1)*100,"")</f>
        <v>-11.4576809184652</v>
      </c>
      <c r="G201" s="31" t="n">
        <f aca="false">IFERROR((AVERAGE(B199:B201)/AVERAGE(B187:B189)-1)*100,"")</f>
        <v>-4.88545997642917</v>
      </c>
      <c r="H201" s="30" t="n">
        <f aca="false">'SA Data'!U201</f>
        <v>127.225518659944</v>
      </c>
      <c r="I201" s="31" t="n">
        <f aca="false">IFERROR((H201/H200-1)*100,"")</f>
        <v>-9.49835665725443</v>
      </c>
      <c r="J201" s="31" t="n">
        <f aca="false">IFERROR((AVERAGE(H199:H201)/AVERAGE(H196:H198)-1)*100,"")</f>
        <v>-4.18749343307993</v>
      </c>
      <c r="K201" s="31" t="n">
        <f aca="false">IFERROR(((AVERAGE(H199:H201)/AVERAGE(H196:H198))^4-1)*100,"")</f>
        <v>-15.7269314259551</v>
      </c>
      <c r="L201" s="31" t="n">
        <f aca="false">IFERROR(('SA Data'!Y201/'SA Data'!Y189-1)*100,"")</f>
        <v>-11.8900895695363</v>
      </c>
      <c r="M201" s="31" t="n">
        <f aca="false">IFERROR((AVERAGE('SA Data'!Y199:Y201)/AVERAGE('SA Data'!Y187:Y189)-1)*100,"")</f>
        <v>-5.17685580115438</v>
      </c>
    </row>
    <row r="202" customFormat="false" ht="15" hidden="false" customHeight="false" outlineLevel="0" collapsed="false">
      <c r="A202" s="20" t="n">
        <v>43951</v>
      </c>
      <c r="B202" s="30" t="n">
        <f aca="false">'SA Data'!B202</f>
        <v>105.99228</v>
      </c>
      <c r="C202" s="31" t="n">
        <f aca="false">IFERROR((B202/B201-1)*100,"")</f>
        <v>-15.8525963548024</v>
      </c>
      <c r="D202" s="31" t="n">
        <f aca="false">IFERROR((AVERAGE(B200:B202)/AVERAGE(B197:B199)-1)*100,"")</f>
        <v>-11.9538804233468</v>
      </c>
      <c r="E202" s="31" t="n">
        <f aca="false">IFERROR(((AVERAGE(B200:B202)/AVERAGE(B197:B199))^4-1)*100,"")</f>
        <v>-39.9046483352601</v>
      </c>
      <c r="F202" s="31" t="n">
        <f aca="false">IFERROR((B202/B190-1)*100,"")</f>
        <v>-25.6746307425526</v>
      </c>
      <c r="G202" s="31" t="n">
        <f aca="false">IFERROR((AVERAGE(B199:B202)/AVERAGE(B187:B190)-1)*100,"")</f>
        <v>-10.0873196131487</v>
      </c>
      <c r="H202" s="30" t="n">
        <f aca="false">'SA Data'!U202</f>
        <v>108.724303465591</v>
      </c>
      <c r="I202" s="31" t="n">
        <f aca="false">IFERROR((H202/H201-1)*100,"")</f>
        <v>-14.5420630933362</v>
      </c>
      <c r="J202" s="31" t="n">
        <f aca="false">IFERROR((AVERAGE(H200:H202)/AVERAGE(H197:H199)-1)*100,"")</f>
        <v>-11.3996567865419</v>
      </c>
      <c r="K202" s="31" t="n">
        <f aca="false">IFERROR(((AVERAGE(H200:H202)/AVERAGE(H197:H199))^4-1)*100,"")</f>
        <v>-38.3771731641483</v>
      </c>
      <c r="L202" s="31" t="n">
        <f aca="false">IFERROR(('SA Data'!Y202/'SA Data'!Y190-1)*100,"")</f>
        <v>-26.070828092909</v>
      </c>
      <c r="M202" s="31" t="n">
        <f aca="false">IFERROR((AVERAGE('SA Data'!Y199:Y202)/AVERAGE('SA Data'!Y187:Y190)-1)*100,"")</f>
        <v>-10.758148390008</v>
      </c>
    </row>
    <row r="203" customFormat="false" ht="15" hidden="false" customHeight="false" outlineLevel="0" collapsed="false">
      <c r="A203" s="20" t="n">
        <v>43982</v>
      </c>
      <c r="B203" s="30" t="n">
        <f aca="false">'SA Data'!B203</f>
        <v>117.20962</v>
      </c>
      <c r="C203" s="31" t="n">
        <f aca="false">IFERROR((B203/B202-1)*100,"")</f>
        <v>10.5831670004646</v>
      </c>
      <c r="D203" s="31" t="n">
        <f aca="false">IFERROR((AVERAGE(B201:B203)/AVERAGE(B198:B200)-1)*100,"")</f>
        <v>-16.986056544092</v>
      </c>
      <c r="E203" s="31" t="n">
        <f aca="false">IFERROR(((AVERAGE(B201:B203)/AVERAGE(B198:B200))^4-1)*100,"")</f>
        <v>-52.5097802156523</v>
      </c>
      <c r="F203" s="31" t="n">
        <f aca="false">IFERROR((B203/B191-1)*100,"")</f>
        <v>-19.0755066427549</v>
      </c>
      <c r="G203" s="31" t="n">
        <f aca="false">IFERROR((AVERAGE(B199:B203)/AVERAGE(B187:B191)-1)*100,"")</f>
        <v>-11.9086752696123</v>
      </c>
      <c r="H203" s="30" t="n">
        <f aca="false">'SA Data'!U203</f>
        <v>117.020789462604</v>
      </c>
      <c r="I203" s="31" t="n">
        <f aca="false">IFERROR((H203/H202-1)*100,"")</f>
        <v>7.63075571198193</v>
      </c>
      <c r="J203" s="31" t="n">
        <f aca="false">IFERROR((AVERAGE(H201:H203)/AVERAGE(H198:H200)-1)*100,"")</f>
        <v>-16.7732745782196</v>
      </c>
      <c r="K203" s="31" t="n">
        <f aca="false">IFERROR(((AVERAGE(H201:H203)/AVERAGE(H198:H200))^4-1)*100,"")</f>
        <v>-52.0209957828595</v>
      </c>
      <c r="L203" s="31" t="n">
        <f aca="false">IFERROR(('SA Data'!Y203/'SA Data'!Y191-1)*100,"")</f>
        <v>-21.5106035942226</v>
      </c>
      <c r="M203" s="31" t="n">
        <f aca="false">IFERROR((AVERAGE('SA Data'!Y199:Y203)/AVERAGE('SA Data'!Y187:Y191)-1)*100,"")</f>
        <v>-13.1852955601055</v>
      </c>
    </row>
    <row r="204" customFormat="false" ht="15" hidden="false" customHeight="false" outlineLevel="0" collapsed="false">
      <c r="A204" s="20" t="n">
        <v>44012</v>
      </c>
      <c r="B204" s="30" t="n">
        <f aca="false">'SA Data'!B204</f>
        <v>124.34497</v>
      </c>
      <c r="C204" s="31" t="n">
        <f aca="false">IFERROR((B204/B203-1)*100,"")</f>
        <v>6.08768290520865</v>
      </c>
      <c r="D204" s="31" t="n">
        <f aca="false">IFERROR((AVERAGE(B202:B204)/AVERAGE(B199:B201)-1)*100,"")</f>
        <v>-14.49003357665</v>
      </c>
      <c r="E204" s="31" t="n">
        <f aca="false">IFERROR(((AVERAGE(B202:B204)/AVERAGE(B199:B201))^4-1)*100,"")</f>
        <v>-46.5353234705837</v>
      </c>
      <c r="F204" s="31" t="n">
        <f aca="false">IFERROR((B204/B192-1)*100,"")</f>
        <v>-13.669578067034</v>
      </c>
      <c r="G204" s="31" t="n">
        <f aca="false">IFERROR((AVERAGE(B199:B204)/AVERAGE(B187:B192)-1)*100,"")</f>
        <v>-12.2040072944585</v>
      </c>
      <c r="H204" s="30" t="n">
        <f aca="false">'SA Data'!U204</f>
        <v>125.132410390304</v>
      </c>
      <c r="I204" s="31" t="n">
        <f aca="false">IFERROR((H204/H203-1)*100,"")</f>
        <v>6.93177764818587</v>
      </c>
      <c r="J204" s="31" t="n">
        <f aca="false">IFERROR((AVERAGE(H202:H204)/AVERAGE(H199:H201)-1)*100,"")</f>
        <v>-14.4469803174308</v>
      </c>
      <c r="K204" s="31" t="n">
        <f aca="false">IFERROR(((AVERAGE(H202:H204)/AVERAGE(H199:H201))^4-1)*100,"")</f>
        <v>-46.4275667880388</v>
      </c>
      <c r="L204" s="31" t="n">
        <f aca="false">IFERROR(('SA Data'!Y204/'SA Data'!Y192-1)*100,"")</f>
        <v>-14.3191388264955</v>
      </c>
      <c r="M204" s="31" t="n">
        <f aca="false">IFERROR((AVERAGE('SA Data'!Y199:Y204)/AVERAGE('SA Data'!Y187:Y192)-1)*100,"")</f>
        <v>-13.3816249239978</v>
      </c>
    </row>
    <row r="205" customFormat="false" ht="15" hidden="false" customHeight="false" outlineLevel="0" collapsed="false">
      <c r="A205" s="20" t="n">
        <v>44043</v>
      </c>
      <c r="B205" s="30" t="n">
        <f aca="false">'SA Data'!B205</f>
        <v>126.15819</v>
      </c>
      <c r="C205" s="31" t="n">
        <f aca="false">IFERROR((B205/B204-1)*100,"")</f>
        <v>1.45821740919636</v>
      </c>
      <c r="D205" s="31" t="n">
        <f aca="false">IFERROR((AVERAGE(B203:B205)/AVERAGE(B200:B202)-1)*100,"")</f>
        <v>-1.02005023979799</v>
      </c>
      <c r="E205" s="31" t="n">
        <f aca="false">IFERROR(((AVERAGE(B203:B205)/AVERAGE(B200:B202))^4-1)*100,"")</f>
        <v>-4.01819427297027</v>
      </c>
      <c r="F205" s="31" t="n">
        <f aca="false">IFERROR((B205/B193-1)*100,"")</f>
        <v>-13.4929188796596</v>
      </c>
      <c r="G205" s="31" t="n">
        <f aca="false">IFERROR((AVERAGE(B199:B205)/AVERAGE(B187:B193)-1)*100,"")</f>
        <v>-12.3911102919705</v>
      </c>
      <c r="H205" s="30" t="n">
        <f aca="false">'SA Data'!U205</f>
        <v>127.217545598248</v>
      </c>
      <c r="I205" s="31" t="n">
        <f aca="false">IFERROR((H205/H204-1)*100,"")</f>
        <v>1.66634303730022</v>
      </c>
      <c r="J205" s="31" t="n">
        <f aca="false">IFERROR((AVERAGE(H203:H205)/AVERAGE(H200:H202)-1)*100,"")</f>
        <v>-1.90084362476946</v>
      </c>
      <c r="K205" s="31" t="n">
        <f aca="false">IFERROR(((AVERAGE(H203:H205)/AVERAGE(H200:H202))^4-1)*100,"")</f>
        <v>-7.38931631087253</v>
      </c>
      <c r="L205" s="31" t="n">
        <f aca="false">IFERROR(('SA Data'!Y205/'SA Data'!Y193-1)*100,"")</f>
        <v>-14.5114517825738</v>
      </c>
      <c r="M205" s="31" t="n">
        <f aca="false">IFERROR((AVERAGE('SA Data'!Y199:Y205)/AVERAGE('SA Data'!Y187:Y193)-1)*100,"")</f>
        <v>-13.5434481424244</v>
      </c>
    </row>
    <row r="206" customFormat="false" ht="15" hidden="false" customHeight="false" outlineLevel="0" collapsed="false">
      <c r="A206" s="20" t="n">
        <v>44074</v>
      </c>
      <c r="B206" s="30" t="n">
        <f aca="false">'SA Data'!B206</f>
        <v>128.84416</v>
      </c>
      <c r="C206" s="31" t="n">
        <f aca="false">IFERROR((B206/B205-1)*100,"")</f>
        <v>2.12904925157851</v>
      </c>
      <c r="D206" s="31" t="n">
        <f aca="false">IFERROR((AVERAGE(B204:B206)/AVERAGE(B201:B203)-1)*100,"")</f>
        <v>8.64502925073636</v>
      </c>
      <c r="E206" s="31" t="n">
        <f aca="false">IFERROR(((AVERAGE(B204:B206)/AVERAGE(B201:B203))^4-1)*100,"")</f>
        <v>39.328334194498</v>
      </c>
      <c r="F206" s="31" t="n">
        <f aca="false">IFERROR((B206/B194-1)*100,"")</f>
        <v>-11.0134436222686</v>
      </c>
      <c r="G206" s="31" t="n">
        <f aca="false">IFERROR((AVERAGE(B199:B206)/AVERAGE(B187:B194)-1)*100,"")</f>
        <v>-12.217567935485</v>
      </c>
      <c r="H206" s="30" t="n">
        <f aca="false">'SA Data'!U206</f>
        <v>126.38163553895</v>
      </c>
      <c r="I206" s="31" t="n">
        <f aca="false">IFERROR((H206/H205-1)*100,"")</f>
        <v>-0.657071361790285</v>
      </c>
      <c r="J206" s="31" t="n">
        <f aca="false">IFERROR((AVERAGE(H204:H206)/AVERAGE(H201:H203)-1)*100,"")</f>
        <v>7.29833563861151</v>
      </c>
      <c r="K206" s="31" t="n">
        <f aca="false">IFERROR(((AVERAGE(H204:H206)/AVERAGE(H201:H203))^4-1)*100,"")</f>
        <v>32.5476223668839</v>
      </c>
      <c r="L206" s="31" t="n">
        <f aca="false">IFERROR(('SA Data'!Y206/'SA Data'!Y194-1)*100,"")</f>
        <v>-12.8124435557266</v>
      </c>
      <c r="M206" s="31" t="n">
        <f aca="false">IFERROR((AVERAGE('SA Data'!Y199:Y206)/AVERAGE('SA Data'!Y187:Y194)-1)*100,"")</f>
        <v>-13.4549225055316</v>
      </c>
    </row>
    <row r="207" customFormat="false" ht="15" hidden="false" customHeight="false" outlineLevel="0" collapsed="false">
      <c r="A207" s="20" t="n">
        <v>44104</v>
      </c>
      <c r="B207" s="30" t="n">
        <f aca="false">'SA Data'!B207</f>
        <v>130.79655</v>
      </c>
      <c r="C207" s="31" t="n">
        <f aca="false">IFERROR((B207/B206-1)*100,"")</f>
        <v>1.5153112100696</v>
      </c>
      <c r="D207" s="31" t="n">
        <f aca="false">IFERROR((AVERAGE(B205:B207)/AVERAGE(B202:B204)-1)*100,"")</f>
        <v>11.0062939136814</v>
      </c>
      <c r="E207" s="31" t="n">
        <f aca="false">IFERROR(((AVERAGE(B205:B207)/AVERAGE(B202:B204))^4-1)*100,"")</f>
        <v>51.8414749344149</v>
      </c>
      <c r="F207" s="31" t="n">
        <f aca="false">IFERROR((B207/B195-1)*100,"")</f>
        <v>-6.94432754867036</v>
      </c>
      <c r="G207" s="31" t="n">
        <f aca="false">IFERROR((AVERAGE(B199:B207)/AVERAGE(B187:B195)-1)*100,"")</f>
        <v>-11.6429903062608</v>
      </c>
      <c r="H207" s="30" t="n">
        <f aca="false">'SA Data'!U207</f>
        <v>130.856027779579</v>
      </c>
      <c r="I207" s="31" t="n">
        <f aca="false">IFERROR((H207/H206-1)*100,"")</f>
        <v>3.54038165556871</v>
      </c>
      <c r="J207" s="31" t="n">
        <f aca="false">IFERROR((AVERAGE(H205:H207)/AVERAGE(H202:H204)-1)*100,"")</f>
        <v>9.56963763156931</v>
      </c>
      <c r="K207" s="31" t="n">
        <f aca="false">IFERROR(((AVERAGE(H205:H207)/AVERAGE(H202:H204))^4-1)*100,"")</f>
        <v>44.1321620875498</v>
      </c>
      <c r="L207" s="31" t="n">
        <f aca="false">IFERROR(('SA Data'!Y207/'SA Data'!Y195-1)*100,"")</f>
        <v>-7.72241051614031</v>
      </c>
      <c r="M207" s="31" t="n">
        <f aca="false">IFERROR((AVERAGE('SA Data'!Y199:Y207)/AVERAGE('SA Data'!Y187:Y195)-1)*100,"")</f>
        <v>-12.8596829718281</v>
      </c>
    </row>
    <row r="208" customFormat="false" ht="15" hidden="false" customHeight="false" outlineLevel="0" collapsed="false">
      <c r="A208" s="20" t="n">
        <v>44135</v>
      </c>
      <c r="B208" s="30" t="n">
        <f aca="false">'SA Data'!B208</f>
        <v>133.39866</v>
      </c>
      <c r="C208" s="31" t="n">
        <f aca="false">IFERROR((B208/B207-1)*100,"")</f>
        <v>1.98943320752727</v>
      </c>
      <c r="D208" s="31" t="n">
        <f aca="false">IFERROR((AVERAGE(B206:B208)/AVERAGE(B203:B205)-1)*100,"")</f>
        <v>6.8876012413819</v>
      </c>
      <c r="E208" s="31" t="n">
        <f aca="false">IFERROR(((AVERAGE(B206:B208)/AVERAGE(B203:B205))^4-1)*100,"")</f>
        <v>30.5296949869294</v>
      </c>
      <c r="F208" s="31" t="n">
        <f aca="false">IFERROR((B208/B196-1)*100,"")</f>
        <v>-7.23143770392859</v>
      </c>
      <c r="G208" s="31" t="n">
        <f aca="false">IFERROR((AVERAGE(B199:B208)/AVERAGE(B187:B196)-1)*100,"")</f>
        <v>-11.2005435384698</v>
      </c>
      <c r="H208" s="30" t="n">
        <f aca="false">'SA Data'!U208</f>
        <v>133.778239666016</v>
      </c>
      <c r="I208" s="31" t="n">
        <f aca="false">IFERROR((H208/H207-1)*100,"")</f>
        <v>2.23315038368683</v>
      </c>
      <c r="J208" s="31" t="n">
        <f aca="false">IFERROR((AVERAGE(H206:H208)/AVERAGE(H203:H205)-1)*100,"")</f>
        <v>5.86000862275919</v>
      </c>
      <c r="K208" s="31" t="n">
        <f aca="false">IFERROR(((AVERAGE(H206:H208)/AVERAGE(H203:H205))^4-1)*100,"")</f>
        <v>25.5820881473574</v>
      </c>
      <c r="L208" s="31" t="n">
        <f aca="false">IFERROR(('SA Data'!Y208/'SA Data'!Y196-1)*100,"")</f>
        <v>-7.83236870960923</v>
      </c>
      <c r="M208" s="31" t="n">
        <f aca="false">IFERROR((AVERAGE('SA Data'!Y199:Y208)/AVERAGE('SA Data'!Y187:Y196)-1)*100,"")</f>
        <v>-12.3686960265549</v>
      </c>
    </row>
    <row r="209" customFormat="false" ht="15" hidden="false" customHeight="false" outlineLevel="0" collapsed="false">
      <c r="A209" s="20" t="n">
        <v>44165</v>
      </c>
      <c r="B209" s="30" t="n">
        <f aca="false">'SA Data'!B209</f>
        <v>134.87132</v>
      </c>
      <c r="C209" s="31" t="n">
        <f aca="false">IFERROR((B209/B208-1)*100,"")</f>
        <v>1.10395411768003</v>
      </c>
      <c r="D209" s="31" t="n">
        <f aca="false">IFERROR((AVERAGE(B207:B209)/AVERAGE(B204:B206)-1)*100,"")</f>
        <v>5.19819409822113</v>
      </c>
      <c r="E209" s="31" t="n">
        <f aca="false">IFERROR(((AVERAGE(B207:B209)/AVERAGE(B204:B206))^4-1)*100,"")</f>
        <v>22.4709644747305</v>
      </c>
      <c r="F209" s="31" t="n">
        <f aca="false">IFERROR((B209/B197-1)*100,"")</f>
        <v>-4.26761252491329</v>
      </c>
      <c r="G209" s="31" t="n">
        <f aca="false">IFERROR((AVERAGE(B199:B209)/AVERAGE(B187:B197)-1)*100,"")</f>
        <v>-10.5802587992817</v>
      </c>
      <c r="H209" s="30" t="n">
        <f aca="false">'SA Data'!U209</f>
        <v>133.928776717878</v>
      </c>
      <c r="I209" s="31" t="n">
        <f aca="false">IFERROR((H209/H208-1)*100,"")</f>
        <v>0.112527308056953</v>
      </c>
      <c r="J209" s="31" t="n">
        <f aca="false">IFERROR((AVERAGE(H207:H209)/AVERAGE(H204:H206)-1)*100,"")</f>
        <v>5.23628159879284</v>
      </c>
      <c r="K209" s="31" t="n">
        <f aca="false">IFERROR(((AVERAGE(H207:H209)/AVERAGE(H204:H206))^4-1)*100,"")</f>
        <v>22.6484255746483</v>
      </c>
      <c r="L209" s="31" t="n">
        <f aca="false">IFERROR(('SA Data'!Y209/'SA Data'!Y197-1)*100,"")</f>
        <v>-5.26151202788229</v>
      </c>
      <c r="M209" s="31" t="n">
        <f aca="false">IFERROR((AVERAGE('SA Data'!Y199:Y209)/AVERAGE('SA Data'!Y187:Y197)-1)*100,"")</f>
        <v>-11.7473090536819</v>
      </c>
    </row>
    <row r="210" customFormat="false" ht="15" hidden="false" customHeight="false" outlineLevel="0" collapsed="false">
      <c r="A210" s="20" t="n">
        <v>44196</v>
      </c>
      <c r="B210" s="30" t="n">
        <f aca="false">'SA Data'!B210</f>
        <v>136.95759</v>
      </c>
      <c r="C210" s="31" t="n">
        <f aca="false">IFERROR((B210/B209-1)*100,"")</f>
        <v>1.54685962886698</v>
      </c>
      <c r="D210" s="31" t="n">
        <f aca="false">IFERROR((AVERAGE(B208:B210)/AVERAGE(B205:B207)-1)*100,"")</f>
        <v>5.03595785265329</v>
      </c>
      <c r="E210" s="31" t="n">
        <f aca="false">IFERROR(((AVERAGE(B208:B210)/AVERAGE(B205:B207))^4-1)*100,"")</f>
        <v>21.7172133860177</v>
      </c>
      <c r="F210" s="31" t="n">
        <f aca="false">IFERROR((B210/B198-1)*100,"")</f>
        <v>-2.26159627405742</v>
      </c>
      <c r="G210" s="31" t="n">
        <f aca="false">IFERROR((AVERAGE(B199:B210)/AVERAGE(B187:B198)-1)*100,"")</f>
        <v>-9.90048481978758</v>
      </c>
      <c r="H210" s="30" t="n">
        <f aca="false">'SA Data'!U210</f>
        <v>137.898111238469</v>
      </c>
      <c r="I210" s="31" t="n">
        <f aca="false">IFERROR((H210/H209-1)*100,"")</f>
        <v>2.96376523243598</v>
      </c>
      <c r="J210" s="31" t="n">
        <f aca="false">IFERROR((AVERAGE(H208:H210)/AVERAGE(H205:H207)-1)*100,"")</f>
        <v>5.5012699048028</v>
      </c>
      <c r="K210" s="31" t="n">
        <f aca="false">IFERROR(((AVERAGE(H208:H210)/AVERAGE(H205:H207))^4-1)*100,"")</f>
        <v>23.8884298692436</v>
      </c>
      <c r="L210" s="31" t="n">
        <f aca="false">IFERROR(('SA Data'!Y210/'SA Data'!Y198-1)*100,"")</f>
        <v>-2.45977380341712</v>
      </c>
      <c r="M210" s="31" t="n">
        <f aca="false">IFERROR((AVERAGE('SA Data'!Y199:Y210)/AVERAGE('SA Data'!Y187:Y198)-1)*100,"")</f>
        <v>-11.009283653472</v>
      </c>
    </row>
    <row r="211" customFormat="false" ht="15" hidden="false" customHeight="false" outlineLevel="0" collapsed="false">
      <c r="A211" s="20" t="n">
        <v>44227</v>
      </c>
      <c r="B211" s="30" t="n">
        <f aca="false">'SA Data'!B211</f>
        <v>139.84977</v>
      </c>
      <c r="C211" s="31" t="n">
        <f aca="false">IFERROR((B211/B210-1)*100,"")</f>
        <v>2.11173400466524</v>
      </c>
      <c r="D211" s="31" t="n">
        <f aca="false">IFERROR((AVERAGE(B209:B211)/AVERAGE(B206:B208)-1)*100,"")</f>
        <v>4.74235189212726</v>
      </c>
      <c r="E211" s="31" t="n">
        <f aca="false">IFERROR(((AVERAGE(B209:B211)/AVERAGE(B206:B208))^4-1)*100,"")</f>
        <v>20.3619694630166</v>
      </c>
      <c r="F211" s="31" t="n">
        <f aca="false">IFERROR((B211/B199-1)*100,"")</f>
        <v>-0.766627843659884</v>
      </c>
      <c r="G211" s="31" t="n">
        <f aca="false">IFERROR((AVERAGE(B211:B211)/AVERAGE(B199:B199)-1)*100,"")</f>
        <v>-0.766627843659884</v>
      </c>
      <c r="H211" s="30" t="n">
        <f aca="false">'SA Data'!U211</f>
        <v>138.74494993053</v>
      </c>
      <c r="I211" s="31" t="n">
        <f aca="false">IFERROR((H211/H210-1)*100,"")</f>
        <v>0.614104634542101</v>
      </c>
      <c r="J211" s="31" t="n">
        <f aca="false">IFERROR((AVERAGE(H209:H211)/AVERAGE(H206:H208)-1)*100,"")</f>
        <v>5.00131446139829</v>
      </c>
      <c r="K211" s="31" t="n">
        <f aca="false">IFERROR(((AVERAGE(H209:H211)/AVERAGE(H206:H208))^4-1)*100,"")</f>
        <v>21.5567117278003</v>
      </c>
      <c r="L211" s="31" t="n">
        <f aca="false">IFERROR(('SA Data'!Y211/'SA Data'!Y199-1)*100,"")</f>
        <v>-2.47954227950681</v>
      </c>
      <c r="M211" s="31" t="n">
        <f aca="false">IFERROR((AVERAGE('SA Data'!Y211:Y211)/AVERAGE('SA Data'!Y199:Y199)-1)*100,"")</f>
        <v>-2.47954227950681</v>
      </c>
    </row>
    <row r="212" customFormat="false" ht="15" hidden="false" customHeight="false" outlineLevel="0" collapsed="false">
      <c r="A212" s="20" t="n">
        <v>44255</v>
      </c>
      <c r="B212" s="30" t="n">
        <f aca="false">'SA Data'!B212</f>
        <v>138.24268</v>
      </c>
      <c r="C212" s="31" t="n">
        <f aca="false">IFERROR((B212/B211-1)*100,"")</f>
        <v>-1.1491545534898</v>
      </c>
      <c r="D212" s="31" t="n">
        <f aca="false">IFERROR((AVERAGE(B210:B212)/AVERAGE(B207:B209)-1)*100,"")</f>
        <v>4.00522439203308</v>
      </c>
      <c r="E212" s="31" t="n">
        <f aca="false">IFERROR(((AVERAGE(B210:B212)/AVERAGE(B207:B209))^4-1)*100,"")</f>
        <v>17.009364693428</v>
      </c>
      <c r="F212" s="31" t="n">
        <f aca="false">IFERROR((B212/B200-1)*100,"")</f>
        <v>-0.936640808267952</v>
      </c>
      <c r="G212" s="31" t="n">
        <f aca="false">IFERROR((AVERAGE(B211:B212)/AVERAGE(B199:B200)-1)*100,"")</f>
        <v>-0.851215955051909</v>
      </c>
      <c r="H212" s="30" t="n">
        <f aca="false">'SA Data'!U212</f>
        <v>137.20424980511</v>
      </c>
      <c r="I212" s="31" t="n">
        <f aca="false">IFERROR((H212/H211-1)*100,"")</f>
        <v>-1.11045492192128</v>
      </c>
      <c r="J212" s="31" t="n">
        <f aca="false">IFERROR((AVERAGE(H210:H212)/AVERAGE(H207:H209)-1)*100,"")</f>
        <v>3.83484295256644</v>
      </c>
      <c r="K212" s="31" t="n">
        <f aca="false">IFERROR(((AVERAGE(H210:H212)/AVERAGE(H207:H209))^4-1)*100,"")</f>
        <v>16.2445074171399</v>
      </c>
      <c r="L212" s="31" t="n">
        <f aca="false">IFERROR(('SA Data'!Y212/'SA Data'!Y200-1)*100,"")</f>
        <v>-2.62815675837987</v>
      </c>
      <c r="M212" s="31" t="n">
        <f aca="false">IFERROR((AVERAGE('SA Data'!Y211:Y212)/AVERAGE('SA Data'!Y199:Y200)-1)*100,"")</f>
        <v>-2.5528730195829</v>
      </c>
    </row>
    <row r="213" customFormat="false" ht="15" hidden="false" customHeight="false" outlineLevel="0" collapsed="false">
      <c r="A213" s="20" t="n">
        <v>44286</v>
      </c>
      <c r="B213" s="30" t="n">
        <f aca="false">'SA Data'!B213</f>
        <v>140.89139</v>
      </c>
      <c r="C213" s="31" t="n">
        <f aca="false">IFERROR((B213/B212-1)*100,"")</f>
        <v>1.91598571439731</v>
      </c>
      <c r="D213" s="31" t="n">
        <f aca="false">IFERROR((AVERAGE(B211:B213)/AVERAGE(B208:B210)-1)*100,"")</f>
        <v>3.3947023890798</v>
      </c>
      <c r="E213" s="31" t="n">
        <f aca="false">IFERROR(((AVERAGE(B211:B213)/AVERAGE(B208:B210))^4-1)*100,"")</f>
        <v>14.2860308436057</v>
      </c>
      <c r="F213" s="31" t="n">
        <f aca="false">IFERROR((B213/B201-1)*100,"")</f>
        <v>11.8538507187783</v>
      </c>
      <c r="G213" s="31" t="n">
        <f aca="false">IFERROR((AVERAGE(B211:B213)/AVERAGE(B199:B201)-1)*100,"")</f>
        <v>3.08622284622</v>
      </c>
      <c r="H213" s="30" t="n">
        <f aca="false">'SA Data'!U213</f>
        <v>143.109901222826</v>
      </c>
      <c r="I213" s="31" t="n">
        <f aca="false">IFERROR((H213/H212-1)*100,"")</f>
        <v>4.30427732822083</v>
      </c>
      <c r="J213" s="31" t="n">
        <f aca="false">IFERROR((AVERAGE(H211:H213)/AVERAGE(H208:H210)-1)*100,"")</f>
        <v>3.31701263614959</v>
      </c>
      <c r="K213" s="31" t="n">
        <f aca="false">IFERROR(((AVERAGE(H211:H213)/AVERAGE(H208:H210))^4-1)*100,"")</f>
        <v>13.9429242401505</v>
      </c>
      <c r="L213" s="31" t="n">
        <f aca="false">IFERROR(('SA Data'!Y213/'SA Data'!Y201-1)*100,"")</f>
        <v>12.2016746374214</v>
      </c>
      <c r="M213" s="31" t="n">
        <f aca="false">IFERROR((AVERAGE('SA Data'!Y211:Y213)/AVERAGE('SA Data'!Y199:Y201)-1)*100,"")</f>
        <v>2.28856671541919</v>
      </c>
    </row>
    <row r="214" customFormat="false" ht="15" hidden="false" customHeight="false" outlineLevel="0" collapsed="false">
      <c r="A214" s="20" t="n">
        <v>44316</v>
      </c>
      <c r="B214" s="30" t="n">
        <f aca="false">'SA Data'!B214</f>
        <v>139.31159</v>
      </c>
      <c r="C214" s="31" t="n">
        <f aca="false">IFERROR((B214/B213-1)*100,"")</f>
        <v>-1.12128924272804</v>
      </c>
      <c r="D214" s="31" t="n">
        <f aca="false">IFERROR((AVERAGE(B212:B214)/AVERAGE(B209:B211)-1)*100,"")</f>
        <v>1.64375284141507</v>
      </c>
      <c r="E214" s="31" t="n">
        <f aca="false">IFERROR(((AVERAGE(B212:B214)/AVERAGE(B209:B211))^4-1)*100,"")</f>
        <v>6.73891058797878</v>
      </c>
      <c r="F214" s="31" t="n">
        <f aca="false">IFERROR((B214/B202-1)*100,"")</f>
        <v>31.4356007814909</v>
      </c>
      <c r="G214" s="31" t="n">
        <f aca="false">IFERROR((AVERAGE(B211:B214)/AVERAGE(B199:B202)-1)*100,"")</f>
        <v>8.95004955482233</v>
      </c>
      <c r="H214" s="30" t="n">
        <f aca="false">'SA Data'!U214</f>
        <v>145.882681650972</v>
      </c>
      <c r="I214" s="31" t="n">
        <f aca="false">IFERROR((H214/H213-1)*100,"")</f>
        <v>1.93751823210928</v>
      </c>
      <c r="J214" s="31" t="n">
        <f aca="false">IFERROR((AVERAGE(H212:H214)/AVERAGE(H209:H211)-1)*100,"")</f>
        <v>3.80566647543332</v>
      </c>
      <c r="K214" s="31" t="n">
        <f aca="false">IFERROR(((AVERAGE(H212:H214)/AVERAGE(H209:H211))^4-1)*100,"")</f>
        <v>16.1139086363514</v>
      </c>
      <c r="L214" s="31" t="n">
        <f aca="false">IFERROR(('SA Data'!Y214/'SA Data'!Y202-1)*100,"")</f>
        <v>30.9759076490301</v>
      </c>
      <c r="M214" s="31" t="n">
        <f aca="false">IFERROR((AVERAGE('SA Data'!Y211:Y214)/AVERAGE('SA Data'!Y199:Y202)-1)*100,"")</f>
        <v>8.6367775159387</v>
      </c>
    </row>
    <row r="215" customFormat="false" ht="15" hidden="false" customHeight="false" outlineLevel="0" collapsed="false">
      <c r="A215" s="20" t="n">
        <v>44347</v>
      </c>
      <c r="B215" s="30" t="n">
        <f aca="false">'SA Data'!B215</f>
        <v>138.85916</v>
      </c>
      <c r="C215" s="31" t="n">
        <f aca="false">IFERROR((B215/B214-1)*100,"")</f>
        <v>-0.324761206156643</v>
      </c>
      <c r="D215" s="31" t="n">
        <f aca="false">IFERROR((AVERAGE(B213:B215)/AVERAGE(B210:B212)-1)*100,"")</f>
        <v>0.966654526764987</v>
      </c>
      <c r="E215" s="31" t="n">
        <f aca="false">IFERROR(((AVERAGE(B213:B215)/AVERAGE(B210:B212))^4-1)*100,"")</f>
        <v>3.92304554355523</v>
      </c>
      <c r="F215" s="31" t="n">
        <f aca="false">IFERROR((B215/B203-1)*100,"")</f>
        <v>18.4707876367145</v>
      </c>
      <c r="G215" s="31" t="n">
        <f aca="false">IFERROR((AVERAGE(B211:B215)/AVERAGE(B199:B203)-1)*100,"")</f>
        <v>10.722361333881</v>
      </c>
      <c r="H215" s="30" t="n">
        <f aca="false">'SA Data'!U215</f>
        <v>140.456529921252</v>
      </c>
      <c r="I215" s="31" t="n">
        <f aca="false">IFERROR((H215/H214-1)*100,"")</f>
        <v>-3.71953111110376</v>
      </c>
      <c r="J215" s="31" t="n">
        <f aca="false">IFERROR((AVERAGE(H213:H215)/AVERAGE(H210:H212)-1)*100,"")</f>
        <v>3.76994157198178</v>
      </c>
      <c r="K215" s="31" t="n">
        <f aca="false">IFERROR(((AVERAGE(H213:H215)/AVERAGE(H210:H212))^4-1)*100,"")</f>
        <v>15.9541479059979</v>
      </c>
      <c r="L215" s="31" t="n">
        <f aca="false">IFERROR(('SA Data'!Y215/'SA Data'!Y203-1)*100,"")</f>
        <v>16.9026874630012</v>
      </c>
      <c r="M215" s="31" t="n">
        <f aca="false">IFERROR((AVERAGE('SA Data'!Y211:Y215)/AVERAGE('SA Data'!Y199:Y203)-1)*100,"")</f>
        <v>10.3237066411908</v>
      </c>
    </row>
    <row r="216" customFormat="false" ht="15" hidden="false" customHeight="false" outlineLevel="0" collapsed="false">
      <c r="A216" s="20" t="n">
        <v>44377</v>
      </c>
      <c r="B216" s="30" t="n">
        <f aca="false">'SA Data'!B216</f>
        <v>141.52411</v>
      </c>
      <c r="C216" s="31" t="n">
        <f aca="false">IFERROR((B216/B215-1)*100,"")</f>
        <v>1.91917479552663</v>
      </c>
      <c r="D216" s="31" t="n">
        <f aca="false">IFERROR((AVERAGE(B214:B216)/AVERAGE(B211:B213)-1)*100,"")</f>
        <v>0.16970105577343</v>
      </c>
      <c r="E216" s="31" t="n">
        <f aca="false">IFERROR(((AVERAGE(B214:B216)/AVERAGE(B211:B213))^4-1)*100,"")</f>
        <v>0.680534085673745</v>
      </c>
      <c r="F216" s="31" t="n">
        <f aca="false">IFERROR((B216/B204-1)*100,"")</f>
        <v>13.8157096342538</v>
      </c>
      <c r="G216" s="31" t="n">
        <f aca="false">IFERROR((AVERAGE(B211:B216)/AVERAGE(B199:B204)-1)*100,"")</f>
        <v>11.2325057674067</v>
      </c>
      <c r="H216" s="30" t="n">
        <f aca="false">'SA Data'!U216</f>
        <v>143.493751345815</v>
      </c>
      <c r="I216" s="31" t="n">
        <f aca="false">IFERROR((H216/H215-1)*100,"")</f>
        <v>2.16239246852117</v>
      </c>
      <c r="J216" s="31" t="n">
        <f aca="false">IFERROR((AVERAGE(H214:H216)/AVERAGE(H211:H213)-1)*100,"")</f>
        <v>2.57096479587986</v>
      </c>
      <c r="K216" s="31" t="n">
        <f aca="false">IFERROR(((AVERAGE(H214:H216)/AVERAGE(H211:H213))^4-1)*100,"")</f>
        <v>10.687291959595</v>
      </c>
      <c r="L216" s="31" t="n">
        <f aca="false">IFERROR(('SA Data'!Y216/'SA Data'!Y204-1)*100,"")</f>
        <v>13.5890200748618</v>
      </c>
      <c r="M216" s="31" t="n">
        <f aca="false">IFERROR((AVERAGE('SA Data'!Y211:Y216)/AVERAGE('SA Data'!Y199:Y204)-1)*100,"")</f>
        <v>10.8829887155338</v>
      </c>
    </row>
    <row r="217" customFormat="false" ht="15" hidden="false" customHeight="false" outlineLevel="0" collapsed="false">
      <c r="A217" s="20" t="n">
        <v>44408</v>
      </c>
      <c r="B217" s="30" t="n">
        <f aca="false">'SA Data'!B217</f>
        <v>141.37917</v>
      </c>
      <c r="C217" s="31" t="n">
        <f aca="false">IFERROR((B217/B216-1)*100,"")</f>
        <v>-0.102413645279253</v>
      </c>
      <c r="D217" s="31" t="n">
        <f aca="false">IFERROR((AVERAGE(B215:B217)/AVERAGE(B212:B214)-1)*100,"")</f>
        <v>0.792642944367006</v>
      </c>
      <c r="E217" s="31" t="n">
        <f aca="false">IFERROR(((AVERAGE(B215:B217)/AVERAGE(B212:B214))^4-1)*100,"")</f>
        <v>3.20846834402584</v>
      </c>
      <c r="F217" s="31" t="n">
        <f aca="false">IFERROR((B217/B205-1)*100,"")</f>
        <v>12.064995542501</v>
      </c>
      <c r="G217" s="31" t="n">
        <f aca="false">IFERROR((AVERAGE(B211:B217)/AVERAGE(B199:B205)-1)*100,"")</f>
        <v>11.3518331207264</v>
      </c>
      <c r="H217" s="30" t="n">
        <f aca="false">'SA Data'!U217</f>
        <v>141.962823061861</v>
      </c>
      <c r="I217" s="31" t="n">
        <f aca="false">IFERROR((H217/H216-1)*100,"")</f>
        <v>-1.06689543593065</v>
      </c>
      <c r="J217" s="31" t="n">
        <f aca="false">IFERROR((AVERAGE(H215:H217)/AVERAGE(H212:H214)-1)*100,"")</f>
        <v>-0.0665721394963792</v>
      </c>
      <c r="K217" s="31" t="n">
        <f aca="false">IFERROR(((AVERAGE(H215:H217)/AVERAGE(H212:H214))^4-1)*100,"")</f>
        <v>-0.266022764995533</v>
      </c>
      <c r="L217" s="31" t="n">
        <f aca="false">IFERROR(('SA Data'!Y217/'SA Data'!Y205-1)*100,"")</f>
        <v>11.9378486503033</v>
      </c>
      <c r="M217" s="31" t="n">
        <f aca="false">IFERROR((AVERAGE('SA Data'!Y211:Y217)/AVERAGE('SA Data'!Y199:Y205)-1)*100,"")</f>
        <v>11.0323829263512</v>
      </c>
    </row>
    <row r="218" customFormat="false" ht="15" hidden="false" customHeight="false" outlineLevel="0" collapsed="false">
      <c r="A218" s="20" t="n">
        <v>44439</v>
      </c>
      <c r="B218" s="30" t="n">
        <f aca="false">'SA Data'!B218</f>
        <v>143.3159</v>
      </c>
      <c r="C218" s="31" t="n">
        <f aca="false">IFERROR((B218/B217-1)*100,"")</f>
        <v>1.36988355498198</v>
      </c>
      <c r="D218" s="31" t="n">
        <f aca="false">IFERROR((AVERAGE(B216:B218)/AVERAGE(B213:B215)-1)*100,"")</f>
        <v>1.70787081839463</v>
      </c>
      <c r="E218" s="31" t="n">
        <f aca="false">IFERROR(((AVERAGE(B216:B218)/AVERAGE(B213:B215))^4-1)*100,"")</f>
        <v>7.00849376794359</v>
      </c>
      <c r="F218" s="31" t="n">
        <f aca="false">IFERROR((B218/B206-1)*100,"")</f>
        <v>11.2319720195312</v>
      </c>
      <c r="G218" s="31" t="n">
        <f aca="false">IFERROR((AVERAGE(B211:B218)/AVERAGE(B199:B206)-1)*100,"")</f>
        <v>11.3365273080517</v>
      </c>
      <c r="H218" s="30" t="n">
        <f aca="false">'SA Data'!U218</f>
        <v>142.545396561907</v>
      </c>
      <c r="I218" s="31" t="n">
        <f aca="false">IFERROR((H218/H217-1)*100,"")</f>
        <v>0.410370467056453</v>
      </c>
      <c r="J218" s="31" t="n">
        <f aca="false">IFERROR((AVERAGE(H216:H218)/AVERAGE(H213:H215)-1)*100,"")</f>
        <v>-0.336976322072036</v>
      </c>
      <c r="K218" s="31" t="n">
        <f aca="false">IFERROR(((AVERAGE(H216:H218)/AVERAGE(H213:H215))^4-1)*100,"")</f>
        <v>-1.34110739877015</v>
      </c>
      <c r="L218" s="31" t="n">
        <f aca="false">IFERROR(('SA Data'!Y218/'SA Data'!Y206-1)*100,"")</f>
        <v>12.9998972735177</v>
      </c>
      <c r="M218" s="31" t="n">
        <f aca="false">IFERROR((AVERAGE('SA Data'!Y211:Y218)/AVERAGE('SA Data'!Y199:Y206)-1)*100,"")</f>
        <v>11.2724203743825</v>
      </c>
    </row>
    <row r="219" customFormat="false" ht="15" hidden="false" customHeight="false" outlineLevel="0" collapsed="false">
      <c r="A219" s="20" t="n">
        <v>44469</v>
      </c>
      <c r="B219" s="30" t="n">
        <f aca="false">'SA Data'!B219</f>
        <v>144.17735</v>
      </c>
      <c r="C219" s="31" t="n">
        <f aca="false">IFERROR((B219/B218-1)*100,"")</f>
        <v>0.6010847365854</v>
      </c>
      <c r="D219" s="31" t="n">
        <f aca="false">IFERROR((AVERAGE(B217:B219)/AVERAGE(B214:B216)-1)*100,"")</f>
        <v>2.18672203895944</v>
      </c>
      <c r="E219" s="31" t="n">
        <f aca="false">IFERROR(((AVERAGE(B217:B219)/AVERAGE(B214:B216))^4-1)*100,"")</f>
        <v>9.03799876365152</v>
      </c>
      <c r="F219" s="31" t="n">
        <f aca="false">IFERROR((B219/B207-1)*100,"")</f>
        <v>10.2302392532525</v>
      </c>
      <c r="G219" s="31" t="n">
        <f aca="false">IFERROR((AVERAGE(B211:B219)/AVERAGE(B199:B207)-1)*100,"")</f>
        <v>11.2095748222763</v>
      </c>
      <c r="H219" s="30" t="n">
        <f aca="false">'SA Data'!U219</f>
        <v>145.17688934048</v>
      </c>
      <c r="I219" s="31" t="n">
        <f aca="false">IFERROR((H219/H218-1)*100,"")</f>
        <v>1.84607349100219</v>
      </c>
      <c r="J219" s="31" t="n">
        <f aca="false">IFERROR((AVERAGE(H217:H219)/AVERAGE(H214:H216)-1)*100,"")</f>
        <v>-0.0343980026073831</v>
      </c>
      <c r="K219" s="31" t="n">
        <f aca="false">IFERROR(((AVERAGE(H217:H219)/AVERAGE(H214:H216))^4-1)*100,"")</f>
        <v>-0.137521033353327</v>
      </c>
      <c r="L219" s="31" t="n">
        <f aca="false">IFERROR(('SA Data'!Y219/'SA Data'!Y207-1)*100,"")</f>
        <v>11.4272790246724</v>
      </c>
      <c r="M219" s="31" t="n">
        <f aca="false">IFERROR((AVERAGE('SA Data'!Y211:Y219)/AVERAGE('SA Data'!Y199:Y207)-1)*100,"")</f>
        <v>11.2894482069577</v>
      </c>
    </row>
    <row r="220" customFormat="false" ht="15" hidden="false" customHeight="false" outlineLevel="0" collapsed="false">
      <c r="A220" s="20" t="n">
        <v>44500</v>
      </c>
      <c r="B220" s="30" t="n">
        <f aca="false">'SA Data'!B220</f>
        <v>143.35586</v>
      </c>
      <c r="C220" s="31" t="n">
        <f aca="false">IFERROR((B220/B219-1)*100,"")</f>
        <v>-0.569777430366136</v>
      </c>
      <c r="D220" s="31" t="n">
        <f aca="false">IFERROR((AVERAGE(B218:B220)/AVERAGE(B215:B217)-1)*100,"")</f>
        <v>2.15445216032038</v>
      </c>
      <c r="E220" s="31" t="n">
        <f aca="false">IFERROR(((AVERAGE(B218:B220)/AVERAGE(B215:B217))^4-1)*100,"")</f>
        <v>8.90033013030243</v>
      </c>
      <c r="F220" s="31" t="n">
        <f aca="false">IFERROR((B220/B208-1)*100,"")</f>
        <v>7.46424289419398</v>
      </c>
      <c r="G220" s="31" t="n">
        <f aca="false">IFERROR((AVERAGE(B211:B220)/AVERAGE(B199:B208)-1)*100,"")</f>
        <v>10.8171554884161</v>
      </c>
      <c r="H220" s="30" t="n">
        <f aca="false">'SA Data'!U220</f>
        <v>142.514146224415</v>
      </c>
      <c r="I220" s="31" t="n">
        <f aca="false">IFERROR((H220/H219-1)*100,"")</f>
        <v>-1.8341370504365</v>
      </c>
      <c r="J220" s="31" t="n">
        <f aca="false">IFERROR((AVERAGE(H218:H220)/AVERAGE(H215:H217)-1)*100,"")</f>
        <v>1.01507273524373</v>
      </c>
      <c r="K220" s="31" t="n">
        <f aca="false">IFERROR(((AVERAGE(H218:H220)/AVERAGE(H215:H217))^4-1)*100,"")</f>
        <v>4.12253272338967</v>
      </c>
      <c r="L220" s="31" t="n">
        <f aca="false">IFERROR(('SA Data'!Y220/'SA Data'!Y208-1)*100,"")</f>
        <v>6.87412936774543</v>
      </c>
      <c r="M220" s="31" t="n">
        <f aca="false">IFERROR((AVERAGE('SA Data'!Y211:Y220)/AVERAGE('SA Data'!Y199:Y208)-1)*100,"")</f>
        <v>10.8359086900328</v>
      </c>
    </row>
    <row r="221" customFormat="false" ht="15" hidden="false" customHeight="false" outlineLevel="0" collapsed="false">
      <c r="A221" s="20" t="n">
        <v>44530</v>
      </c>
      <c r="B221" s="30" t="n">
        <f aca="false">'SA Data'!B221</f>
        <v>145.71357</v>
      </c>
      <c r="C221" s="31" t="n">
        <f aca="false">IFERROR((B221/B220-1)*100,"")</f>
        <v>1.6446554748442</v>
      </c>
      <c r="D221" s="31" t="n">
        <f aca="false">IFERROR((AVERAGE(B219:B221)/AVERAGE(B216:B218)-1)*100,"")</f>
        <v>1.64882303044176</v>
      </c>
      <c r="E221" s="31" t="n">
        <f aca="false">IFERROR(((AVERAGE(B219:B221)/AVERAGE(B216:B218))^4-1)*100,"")</f>
        <v>6.76020956337304</v>
      </c>
      <c r="F221" s="31" t="n">
        <f aca="false">IFERROR((B221/B209-1)*100,"")</f>
        <v>8.03895891283633</v>
      </c>
      <c r="G221" s="31" t="n">
        <f aca="false">IFERROR((AVERAGE(B211:B221)/AVERAGE(B199:B209)-1)*100,"")</f>
        <v>10.5510445842088</v>
      </c>
      <c r="H221" s="30" t="n">
        <f aca="false">'SA Data'!U221</f>
        <v>146.774200668988</v>
      </c>
      <c r="I221" s="31" t="n">
        <f aca="false">IFERROR((H221/H220-1)*100,"")</f>
        <v>2.98921514630917</v>
      </c>
      <c r="J221" s="31" t="n">
        <f aca="false">IFERROR((AVERAGE(H219:H221)/AVERAGE(H216:H218)-1)*100,"")</f>
        <v>1.51010175248925</v>
      </c>
      <c r="K221" s="31" t="n">
        <f aca="false">IFERROR(((AVERAGE(H219:H221)/AVERAGE(H216:H218))^4-1)*100,"")</f>
        <v>6.1786141072125</v>
      </c>
      <c r="L221" s="31" t="n">
        <f aca="false">IFERROR(('SA Data'!Y221/'SA Data'!Y209-1)*100,"")</f>
        <v>9.36377082660818</v>
      </c>
      <c r="M221" s="31" t="n">
        <f aca="false">IFERROR((AVERAGE('SA Data'!Y211:Y221)/AVERAGE('SA Data'!Y199:Y209)-1)*100,"")</f>
        <v>10.6977393889902</v>
      </c>
    </row>
    <row r="222" customFormat="false" ht="15" hidden="false" customHeight="false" outlineLevel="0" collapsed="false">
      <c r="A222" s="20" t="n">
        <v>44561</v>
      </c>
      <c r="B222" s="30" t="n">
        <f aca="false">'SA Data'!B222</f>
        <v>149.7204</v>
      </c>
      <c r="C222" s="31" t="n">
        <f aca="false">IFERROR((B222/B221-1)*100,"")</f>
        <v>2.74979880048234</v>
      </c>
      <c r="D222" s="31" t="n">
        <f aca="false">IFERROR((AVERAGE(B220:B222)/AVERAGE(B217:B219)-1)*100,"")</f>
        <v>2.31243827709884</v>
      </c>
      <c r="E222" s="31" t="n">
        <f aca="false">IFERROR(((AVERAGE(B220:B222)/AVERAGE(B217:B219))^4-1)*100,"")</f>
        <v>9.57557013584758</v>
      </c>
      <c r="F222" s="31" t="n">
        <f aca="false">IFERROR((B222/B210-1)*100,"")</f>
        <v>9.31880445618238</v>
      </c>
      <c r="G222" s="31" t="n">
        <f aca="false">IFERROR((AVERAGE(B211:B222)/AVERAGE(B199:B210)-1)*100,"")</f>
        <v>10.4418127652254</v>
      </c>
      <c r="H222" s="30" t="n">
        <f aca="false">'SA Data'!U222</f>
        <v>150.49932266723</v>
      </c>
      <c r="I222" s="31" t="n">
        <f aca="false">IFERROR((H222/H221-1)*100,"")</f>
        <v>2.53799508446504</v>
      </c>
      <c r="J222" s="31" t="n">
        <f aca="false">IFERROR((AVERAGE(H220:H222)/AVERAGE(H217:H219)-1)*100,"")</f>
        <v>2.35115445837488</v>
      </c>
      <c r="K222" s="31" t="n">
        <f aca="false">IFERROR(((AVERAGE(H220:H222)/AVERAGE(H217:H219))^4-1)*100,"")</f>
        <v>9.74152283306247</v>
      </c>
      <c r="L222" s="31" t="n">
        <f aca="false">IFERROR(('SA Data'!Y222/'SA Data'!Y210-1)*100,"")</f>
        <v>9.31109209192649</v>
      </c>
      <c r="M222" s="31" t="n">
        <f aca="false">IFERROR((AVERAGE('SA Data'!Y211:Y222)/AVERAGE('SA Data'!Y199:Y210)-1)*100,"")</f>
        <v>10.5769647080211</v>
      </c>
    </row>
    <row r="223" customFormat="false" ht="15" hidden="false" customHeight="false" outlineLevel="0" collapsed="false">
      <c r="A223" s="20" t="n">
        <v>44592</v>
      </c>
      <c r="B223" s="30" t="n">
        <f aca="false">'SA Data'!B223</f>
        <v>148.52455</v>
      </c>
      <c r="C223" s="31" t="n">
        <f aca="false">IFERROR((B223/B222-1)*100,"")</f>
        <v>-0.798722151423592</v>
      </c>
      <c r="D223" s="31" t="n">
        <f aca="false">IFERROR((AVERAGE(B221:B223)/AVERAGE(B218:B220)-1)*100,"")</f>
        <v>3.04269167458651</v>
      </c>
      <c r="E223" s="31" t="n">
        <f aca="false">IFERROR(((AVERAGE(B221:B223)/AVERAGE(B218:B220))^4-1)*100,"")</f>
        <v>12.7375984284929</v>
      </c>
      <c r="F223" s="31" t="n">
        <f aca="false">IFERROR((B223/B211-1)*100,"")</f>
        <v>6.20292761296639</v>
      </c>
      <c r="G223" s="31" t="n">
        <f aca="false">IFERROR((AVERAGE(B223:B223)/AVERAGE(B211:B211)-1)*100,"")</f>
        <v>6.20292761296639</v>
      </c>
      <c r="H223" s="30" t="n">
        <f aca="false">'SA Data'!U223</f>
        <v>146.540168713095</v>
      </c>
      <c r="I223" s="31" t="n">
        <f aca="false">IFERROR((H223/H222-1)*100,"")</f>
        <v>-2.63067891866127</v>
      </c>
      <c r="J223" s="31" t="n">
        <f aca="false">IFERROR((AVERAGE(H221:H223)/AVERAGE(H218:H220)-1)*100,"")</f>
        <v>3.1557671337584</v>
      </c>
      <c r="K223" s="31" t="n">
        <f aca="false">IFERROR(((AVERAGE(H221:H223)/AVERAGE(H218:H220))^4-1)*100,"")</f>
        <v>13.2332708312608</v>
      </c>
      <c r="L223" s="31" t="n">
        <f aca="false">IFERROR(('SA Data'!Y223/'SA Data'!Y211-1)*100,"")</f>
        <v>6.20453650633588</v>
      </c>
      <c r="M223" s="31" t="n">
        <f aca="false">IFERROR((AVERAGE('SA Data'!Y223:Y223)/AVERAGE('SA Data'!Y211:Y211)-1)*100,"")</f>
        <v>6.20453650633588</v>
      </c>
    </row>
    <row r="224" customFormat="false" ht="15" hidden="false" customHeight="false" outlineLevel="0" collapsed="false">
      <c r="A224" s="20" t="n">
        <v>44620</v>
      </c>
      <c r="B224" s="30" t="n">
        <f aca="false">'SA Data'!B224</f>
        <v>150.70923</v>
      </c>
      <c r="C224" s="31" t="n">
        <f aca="false">IFERROR((B224/B223-1)*100,"")</f>
        <v>1.47092181056936</v>
      </c>
      <c r="D224" s="31" t="n">
        <f aca="false">IFERROR((AVERAGE(B222:B224)/AVERAGE(B219:B221)-1)*100,"")</f>
        <v>3.62550876892842</v>
      </c>
      <c r="E224" s="31" t="n">
        <f aca="false">IFERROR(((AVERAGE(B222:B224)/AVERAGE(B219:B221))^4-1)*100,"")</f>
        <v>15.3099286087405</v>
      </c>
      <c r="F224" s="31" t="n">
        <f aca="false">IFERROR((B224/B212-1)*100,"")</f>
        <v>9.01787349608672</v>
      </c>
      <c r="G224" s="31" t="n">
        <f aca="false">IFERROR((AVERAGE(B223:B224)/AVERAGE(B211:B212)-1)*100,"")</f>
        <v>7.6022668001235</v>
      </c>
      <c r="H224" s="30" t="n">
        <f aca="false">'SA Data'!U224</f>
        <v>148.278357052328</v>
      </c>
      <c r="I224" s="31" t="n">
        <f aca="false">IFERROR((H224/H223-1)*100,"")</f>
        <v>1.18615145219059</v>
      </c>
      <c r="J224" s="31" t="n">
        <f aca="false">IFERROR((AVERAGE(H222:H224)/AVERAGE(H219:H221)-1)*100,"")</f>
        <v>2.49792418211527</v>
      </c>
      <c r="K224" s="31" t="n">
        <f aca="false">IFERROR(((AVERAGE(H222:H224)/AVERAGE(H219:H221))^4-1)*100,"")</f>
        <v>10.3723476188491</v>
      </c>
      <c r="L224" s="31" t="n">
        <f aca="false">IFERROR(('SA Data'!Y224/'SA Data'!Y212-1)*100,"")</f>
        <v>8.63831122311267</v>
      </c>
      <c r="M224" s="31" t="n">
        <f aca="false">IFERROR((AVERAGE('SA Data'!Y223:Y224)/AVERAGE('SA Data'!Y211:Y212)-1)*100,"")</f>
        <v>7.40450452672361</v>
      </c>
    </row>
    <row r="225" customFormat="false" ht="15" hidden="false" customHeight="false" outlineLevel="0" collapsed="false">
      <c r="A225" s="20" t="n">
        <v>44651</v>
      </c>
      <c r="B225" s="30" t="n">
        <f aca="false">'SA Data'!B225</f>
        <v>150.34672</v>
      </c>
      <c r="C225" s="31" t="n">
        <f aca="false">IFERROR((B225/B224-1)*100,"")</f>
        <v>-0.240536030872152</v>
      </c>
      <c r="D225" s="31" t="n">
        <f aca="false">IFERROR((AVERAGE(B223:B225)/AVERAGE(B220:B222)-1)*100,"")</f>
        <v>2.45918871911868</v>
      </c>
      <c r="E225" s="31" t="n">
        <f aca="false">IFERROR(((AVERAGE(B223:B225)/AVERAGE(B220:B222))^4-1)*100,"")</f>
        <v>10.2055968843115</v>
      </c>
      <c r="F225" s="31" t="n">
        <f aca="false">IFERROR((B225/B213-1)*100,"")</f>
        <v>6.71107723474089</v>
      </c>
      <c r="G225" s="31" t="n">
        <f aca="false">IFERROR((AVERAGE(B223:B225)/AVERAGE(B211:B213)-1)*100,"")</f>
        <v>7.30258713558023</v>
      </c>
      <c r="H225" s="30" t="n">
        <f aca="false">'SA Data'!U225</f>
        <v>151.142448346881</v>
      </c>
      <c r="I225" s="31" t="n">
        <f aca="false">IFERROR((H225/H224-1)*100,"")</f>
        <v>1.93156395274983</v>
      </c>
      <c r="J225" s="31" t="n">
        <f aca="false">IFERROR((AVERAGE(H223:H225)/AVERAGE(H220:H222)-1)*100,"")</f>
        <v>1.40370114465422</v>
      </c>
      <c r="K225" s="31" t="n">
        <f aca="false">IFERROR(((AVERAGE(H223:H225)/AVERAGE(H220:H222))^4-1)*100,"")</f>
        <v>5.73413740333819</v>
      </c>
      <c r="L225" s="31" t="n">
        <f aca="false">IFERROR(('SA Data'!Y225/'SA Data'!Y213-1)*100,"")</f>
        <v>5.44850163804851</v>
      </c>
      <c r="M225" s="31" t="n">
        <f aca="false">IFERROR((AVERAGE('SA Data'!Y223:Y225)/AVERAGE('SA Data'!Y211:Y213)-1)*100,"")</f>
        <v>6.70047581932942</v>
      </c>
    </row>
    <row r="226" customFormat="false" ht="15" hidden="false" customHeight="false" outlineLevel="0" collapsed="false">
      <c r="A226" s="20" t="n">
        <v>44681</v>
      </c>
      <c r="B226" s="30" t="n">
        <f aca="false">'SA Data'!B226</f>
        <v>152.0977</v>
      </c>
      <c r="C226" s="31" t="n">
        <f aca="false">IFERROR((B226/B225-1)*100,"")</f>
        <v>1.16462800119617</v>
      </c>
      <c r="D226" s="31" t="n">
        <f aca="false">IFERROR((AVERAGE(B224:B226)/AVERAGE(B221:B223)-1)*100,"")</f>
        <v>2.07116872089761</v>
      </c>
      <c r="E226" s="31" t="n">
        <f aca="false">IFERROR(((AVERAGE(B224:B226)/AVERAGE(B221:B223))^4-1)*100,"")</f>
        <v>8.54563158770023</v>
      </c>
      <c r="F226" s="31" t="n">
        <f aca="false">IFERROR((B226/B214-1)*100,"")</f>
        <v>9.17806623268029</v>
      </c>
      <c r="G226" s="31" t="n">
        <f aca="false">IFERROR((AVERAGE(B223:B226)/AVERAGE(B211:B214)-1)*100,"")</f>
        <v>7.77057587593006</v>
      </c>
      <c r="H226" s="30" t="n">
        <f aca="false">'SA Data'!U226</f>
        <v>155.377221308538</v>
      </c>
      <c r="I226" s="31" t="n">
        <f aca="false">IFERROR((H226/H225-1)*100,"")</f>
        <v>2.8018422408628</v>
      </c>
      <c r="J226" s="31" t="n">
        <f aca="false">IFERROR((AVERAGE(H224:H226)/AVERAGE(H221:H223)-1)*100,"")</f>
        <v>2.4749877832098</v>
      </c>
      <c r="K226" s="31" t="n">
        <f aca="false">IFERROR(((AVERAGE(H224:H226)/AVERAGE(H221:H223))^4-1)*100,"")</f>
        <v>10.2735868059501</v>
      </c>
      <c r="L226" s="31" t="n">
        <f aca="false">IFERROR(('SA Data'!Y226/'SA Data'!Y214-1)*100,"")</f>
        <v>5.92864103457744</v>
      </c>
      <c r="M226" s="31" t="n">
        <f aca="false">IFERROR((AVERAGE('SA Data'!Y223:Y226)/AVERAGE('SA Data'!Y211:Y214)-1)*100,"")</f>
        <v>6.49455515332895</v>
      </c>
    </row>
    <row r="227" customFormat="false" ht="15" hidden="false" customHeight="false" outlineLevel="0" collapsed="false">
      <c r="A227" s="20" t="n">
        <v>44712</v>
      </c>
      <c r="B227" s="30" t="n">
        <f aca="false">'SA Data'!B227</f>
        <v>152.12668</v>
      </c>
      <c r="C227" s="31" t="n">
        <f aca="false">IFERROR((B227/B226-1)*100,"")</f>
        <v>0.0190535425584892</v>
      </c>
      <c r="D227" s="31" t="n">
        <f aca="false">IFERROR((AVERAGE(B225:B227)/AVERAGE(B222:B224)-1)*100,"")</f>
        <v>1.25111208453388</v>
      </c>
      <c r="E227" s="31" t="n">
        <f aca="false">IFERROR(((AVERAGE(B225:B227)/AVERAGE(B222:B224))^4-1)*100,"")</f>
        <v>5.09915101213967</v>
      </c>
      <c r="F227" s="31" t="n">
        <f aca="false">IFERROR((B227/B215-1)*100,"")</f>
        <v>9.5546595557686</v>
      </c>
      <c r="G227" s="31" t="n">
        <f aca="false">IFERROR((AVERAGE(B223:B227)/AVERAGE(B211:B215)-1)*100,"")</f>
        <v>8.12592942979835</v>
      </c>
      <c r="H227" s="30" t="n">
        <f aca="false">'SA Data'!U227</f>
        <v>154.004313583621</v>
      </c>
      <c r="I227" s="31" t="n">
        <f aca="false">IFERROR((H227/H226-1)*100,"")</f>
        <v>-0.883596522936092</v>
      </c>
      <c r="J227" s="31" t="n">
        <f aca="false">IFERROR((AVERAGE(H225:H227)/AVERAGE(H222:H224)-1)*100,"")</f>
        <v>3.4146699621193</v>
      </c>
      <c r="K227" s="31" t="n">
        <f aca="false">IFERROR(((AVERAGE(H225:H227)/AVERAGE(H222:H224))^4-1)*100,"")</f>
        <v>14.3743400414369</v>
      </c>
      <c r="L227" s="31" t="n">
        <f aca="false">IFERROR(('SA Data'!Y227/'SA Data'!Y215-1)*100,"")</f>
        <v>8.08325066952966</v>
      </c>
      <c r="M227" s="31" t="n">
        <f aca="false">IFERROR((AVERAGE('SA Data'!Y223:Y227)/AVERAGE('SA Data'!Y211:Y215)-1)*100,"")</f>
        <v>6.83811506880092</v>
      </c>
    </row>
    <row r="228" customFormat="false" ht="15" hidden="false" customHeight="false" outlineLevel="0" collapsed="false">
      <c r="A228" s="20" t="n">
        <v>44742</v>
      </c>
      <c r="B228" s="30" t="n">
        <f aca="false">'SA Data'!B228</f>
        <v>154.30297</v>
      </c>
      <c r="C228" s="31" t="n">
        <f aca="false">IFERROR((B228/B227-1)*100,"")</f>
        <v>1.43057746346662</v>
      </c>
      <c r="D228" s="31" t="n">
        <f aca="false">IFERROR((AVERAGE(B226:B228)/AVERAGE(B223:B225)-1)*100,"")</f>
        <v>1.99004405217751</v>
      </c>
      <c r="E228" s="31" t="n">
        <f aca="false">IFERROR(((AVERAGE(B226:B228)/AVERAGE(B223:B225))^4-1)*100,"")</f>
        <v>8.20096086121303</v>
      </c>
      <c r="F228" s="31" t="n">
        <f aca="false">IFERROR((B228/B216-1)*100,"")</f>
        <v>9.02945794889647</v>
      </c>
      <c r="G228" s="31" t="n">
        <f aca="false">IFERROR((AVERAGE(B223:B228)/AVERAGE(B211:B216)-1)*100,"")</f>
        <v>8.27839672093733</v>
      </c>
      <c r="H228" s="30" t="n">
        <f aca="false">'SA Data'!U228</f>
        <v>155.474441982734</v>
      </c>
      <c r="I228" s="31" t="n">
        <f aca="false">IFERROR((H228/H227-1)*100,"")</f>
        <v>0.954602091917844</v>
      </c>
      <c r="J228" s="31" t="n">
        <f aca="false">IFERROR((AVERAGE(H226:H228)/AVERAGE(H223:H225)-1)*100,"")</f>
        <v>4.23691844341296</v>
      </c>
      <c r="K228" s="31" t="n">
        <f aca="false">IFERROR(((AVERAGE(H226:H228)/AVERAGE(H223:H225))^4-1)*100,"")</f>
        <v>18.0555082820923</v>
      </c>
      <c r="L228" s="31" t="n">
        <f aca="false">IFERROR(('SA Data'!Y228/'SA Data'!Y216-1)*100,"")</f>
        <v>7.57191761943832</v>
      </c>
      <c r="M228" s="31" t="n">
        <f aca="false">IFERROR((AVERAGE('SA Data'!Y223:Y228)/AVERAGE('SA Data'!Y211:Y216)-1)*100,"")</f>
        <v>6.96686786554495</v>
      </c>
    </row>
    <row r="229" customFormat="false" ht="15" hidden="false" customHeight="false" outlineLevel="0" collapsed="false">
      <c r="A229" s="20" t="n">
        <v>44773</v>
      </c>
      <c r="B229" s="30" t="n">
        <f aca="false">'SA Data'!B229</f>
        <v>152.5582</v>
      </c>
      <c r="C229" s="31" t="n">
        <f aca="false">IFERROR((B229/B228-1)*100,"")</f>
        <v>-1.13074297921808</v>
      </c>
      <c r="D229" s="31" t="n">
        <f aca="false">IFERROR((AVERAGE(B227:B229)/AVERAGE(B224:B226)-1)*100,"")</f>
        <v>1.28746618282785</v>
      </c>
      <c r="E229" s="31" t="n">
        <f aca="false">IFERROR(((AVERAGE(B227:B229)/AVERAGE(B224:B226))^4-1)*100,"")</f>
        <v>5.25017525486429</v>
      </c>
      <c r="F229" s="31" t="n">
        <f aca="false">IFERROR((B229/B217-1)*100,"")</f>
        <v>7.90712662975741</v>
      </c>
      <c r="G229" s="31" t="n">
        <f aca="false">IFERROR((AVERAGE(B223:B229)/AVERAGE(B211:B217)-1)*100,"")</f>
        <v>8.22483880467182</v>
      </c>
      <c r="H229" s="30" t="n">
        <f aca="false">'SA Data'!U229</f>
        <v>150.230541645386</v>
      </c>
      <c r="I229" s="31" t="n">
        <f aca="false">IFERROR((H229/H228-1)*100,"")</f>
        <v>-3.37283753552902</v>
      </c>
      <c r="J229" s="31" t="n">
        <f aca="false">IFERROR((AVERAGE(H227:H229)/AVERAGE(H224:H226)-1)*100,"")</f>
        <v>1.07987946639658</v>
      </c>
      <c r="K229" s="31" t="n">
        <f aca="false">IFERROR(((AVERAGE(H227:H229)/AVERAGE(H224:H226))^4-1)*100,"")</f>
        <v>4.3899913212951</v>
      </c>
      <c r="L229" s="31" t="n">
        <f aca="false">IFERROR(('SA Data'!Y229/'SA Data'!Y217-1)*100,"")</f>
        <v>5.96844442264861</v>
      </c>
      <c r="M229" s="31" t="n">
        <f aca="false">IFERROR((AVERAGE('SA Data'!Y223:Y229)/AVERAGE('SA Data'!Y211:Y217)-1)*100,"")</f>
        <v>6.82431333114784</v>
      </c>
    </row>
    <row r="230" customFormat="false" ht="15" hidden="false" customHeight="false" outlineLevel="0" collapsed="false">
      <c r="A230" s="20" t="n">
        <v>44804</v>
      </c>
      <c r="B230" s="30" t="n">
        <f aca="false">'SA Data'!B230</f>
        <v>151.72301</v>
      </c>
      <c r="C230" s="31" t="n">
        <f aca="false">IFERROR((B230/B229-1)*100,"")</f>
        <v>-0.547456642776334</v>
      </c>
      <c r="D230" s="31" t="n">
        <f aca="false">IFERROR((AVERAGE(B228:B230)/AVERAGE(B225:B227)-1)*100,"")</f>
        <v>0.882827790856045</v>
      </c>
      <c r="E230" s="31" t="n">
        <f aca="false">IFERROR(((AVERAGE(B228:B230)/AVERAGE(B225:B227))^4-1)*100,"")</f>
        <v>3.57835009042622</v>
      </c>
      <c r="F230" s="31" t="n">
        <f aca="false">IFERROR((B230/B218-1)*100,"")</f>
        <v>5.86613906761218</v>
      </c>
      <c r="G230" s="31" t="n">
        <f aca="false">IFERROR((AVERAGE(B223:B230)/AVERAGE(B211:B218)-1)*100,"")</f>
        <v>7.92392455451403</v>
      </c>
      <c r="H230" s="30" t="n">
        <f aca="false">'SA Data'!U230</f>
        <v>151.171265866405</v>
      </c>
      <c r="I230" s="31" t="n">
        <f aca="false">IFERROR((H230/H229-1)*100,"")</f>
        <v>0.626187066035744</v>
      </c>
      <c r="J230" s="31" t="n">
        <f aca="false">IFERROR((AVERAGE(H228:H230)/AVERAGE(H225:H227)-1)*100,"")</f>
        <v>-0.7920833392561</v>
      </c>
      <c r="K230" s="31" t="n">
        <f aca="false">IFERROR(((AVERAGE(H228:H230)/AVERAGE(H225:H227))^4-1)*100,"")</f>
        <v>-3.13088798239167</v>
      </c>
      <c r="L230" s="31" t="n">
        <f aca="false">IFERROR(('SA Data'!Y230/'SA Data'!Y218-1)*100,"")</f>
        <v>6.44254806119098</v>
      </c>
      <c r="M230" s="31" t="n">
        <f aca="false">IFERROR((AVERAGE('SA Data'!Y223:Y230)/AVERAGE('SA Data'!Y211:Y218)-1)*100,"")</f>
        <v>6.77701475970887</v>
      </c>
    </row>
    <row r="231" customFormat="false" ht="15" hidden="false" customHeight="false" outlineLevel="0" collapsed="false">
      <c r="A231" s="20" t="n">
        <v>44834</v>
      </c>
      <c r="B231" s="30" t="n">
        <f aca="false">'SA Data'!B231</f>
        <v>150.78775</v>
      </c>
      <c r="C231" s="31" t="n">
        <f aca="false">IFERROR((B231/B230-1)*100,"")</f>
        <v>-0.616425946202881</v>
      </c>
      <c r="D231" s="31" t="n">
        <f aca="false">IFERROR((AVERAGE(B229:B231)/AVERAGE(B226:B228)-1)*100,"")</f>
        <v>-0.75423854215021</v>
      </c>
      <c r="E231" s="31" t="n">
        <f aca="false">IFERROR(((AVERAGE(B229:B231)/AVERAGE(B226:B228))^4-1)*100,"")</f>
        <v>-2.98299292548841</v>
      </c>
      <c r="F231" s="31" t="n">
        <f aca="false">IFERROR((B231/B219-1)*100,"")</f>
        <v>4.58490879461997</v>
      </c>
      <c r="G231" s="31" t="n">
        <f aca="false">IFERROR((AVERAGE(B223:B231)/AVERAGE(B211:B219)-1)*100,"")</f>
        <v>7.54412887111013</v>
      </c>
      <c r="H231" s="30" t="n">
        <f aca="false">'SA Data'!U231</f>
        <v>150.961500426599</v>
      </c>
      <c r="I231" s="31" t="n">
        <f aca="false">IFERROR((H231/H230-1)*100,"")</f>
        <v>-0.138760126538418</v>
      </c>
      <c r="J231" s="31" t="n">
        <f aca="false">IFERROR((AVERAGE(H229:H231)/AVERAGE(H226:H228)-1)*100,"")</f>
        <v>-2.68742783958338</v>
      </c>
      <c r="K231" s="31" t="n">
        <f aca="false">IFERROR(((AVERAGE(H229:H231)/AVERAGE(H226:H228))^4-1)*100,"")</f>
        <v>-10.3240868236524</v>
      </c>
      <c r="L231" s="31" t="n">
        <f aca="false">IFERROR(('SA Data'!Y231/'SA Data'!Y219-1)*100,"")</f>
        <v>4.43994988375278</v>
      </c>
      <c r="M231" s="31" t="n">
        <f aca="false">IFERROR((AVERAGE('SA Data'!Y223:Y231)/AVERAGE('SA Data'!Y211:Y219)-1)*100,"")</f>
        <v>6.51971925037242</v>
      </c>
    </row>
    <row r="232" customFormat="false" ht="15" hidden="false" customHeight="false" outlineLevel="0" collapsed="false">
      <c r="A232" s="20" t="n">
        <v>44865</v>
      </c>
      <c r="B232" s="30" t="n">
        <f aca="false">'SA Data'!B232</f>
        <v>149.08576</v>
      </c>
      <c r="C232" s="31" t="n">
        <f aca="false">IFERROR((B232/B231-1)*100,"")</f>
        <v>-1.12873227433926</v>
      </c>
      <c r="D232" s="31" t="n">
        <f aca="false">IFERROR((AVERAGE(B230:B232)/AVERAGE(B227:B229)-1)*100,"")</f>
        <v>-1.61035417386323</v>
      </c>
      <c r="E232" s="31" t="n">
        <f aca="false">IFERROR(((AVERAGE(B230:B232)/AVERAGE(B227:B229))^4-1)*100,"")</f>
        <v>-6.2874859509468</v>
      </c>
      <c r="F232" s="31" t="n">
        <f aca="false">IFERROR((B232/B220-1)*100,"")</f>
        <v>3.9969764751856</v>
      </c>
      <c r="G232" s="31" t="n">
        <f aca="false">IFERROR((AVERAGE(B223:B232)/AVERAGE(B211:B220)-1)*100,"")</f>
        <v>7.18371880192978</v>
      </c>
      <c r="H232" s="30" t="n">
        <f aca="false">'SA Data'!U232</f>
        <v>146.548181111724</v>
      </c>
      <c r="I232" s="31" t="n">
        <f aca="false">IFERROR((H232/H231-1)*100,"")</f>
        <v>-2.92347340375077</v>
      </c>
      <c r="J232" s="31" t="n">
        <f aca="false">IFERROR((AVERAGE(H230:H232)/AVERAGE(H227:H229)-1)*100,"")</f>
        <v>-2.39898341710789</v>
      </c>
      <c r="K232" s="31" t="n">
        <f aca="false">IFERROR(((AVERAGE(H230:H232)/AVERAGE(H227:H229))^4-1)*100,"")</f>
        <v>-9.25611583723025</v>
      </c>
      <c r="L232" s="31" t="n">
        <f aca="false">IFERROR(('SA Data'!Y232/'SA Data'!Y220-1)*100,"")</f>
        <v>3.54484305977956</v>
      </c>
      <c r="M232" s="31" t="n">
        <f aca="false">IFERROR((AVERAGE('SA Data'!Y223:Y232)/AVERAGE('SA Data'!Y211:Y220)-1)*100,"")</f>
        <v>6.22506408262626</v>
      </c>
    </row>
    <row r="233" customFormat="false" ht="15" hidden="false" customHeight="false" outlineLevel="0" collapsed="false">
      <c r="A233" s="20" t="n">
        <v>44895</v>
      </c>
      <c r="B233" s="30" t="n">
        <f aca="false">'SA Data'!B233</f>
        <v>148.32757</v>
      </c>
      <c r="C233" s="31" t="n">
        <f aca="false">IFERROR((B233/B232-1)*100,"")</f>
        <v>-0.508559637084038</v>
      </c>
      <c r="D233" s="31" t="n">
        <f aca="false">IFERROR((AVERAGE(B231:B233)/AVERAGE(B228:B230)-1)*100,"")</f>
        <v>-2.26416445504072</v>
      </c>
      <c r="E233" s="31" t="n">
        <f aca="false">IFERROR(((AVERAGE(B231:B233)/AVERAGE(B228:B230))^4-1)*100,"")</f>
        <v>-8.75368794090757</v>
      </c>
      <c r="F233" s="31" t="n">
        <f aca="false">IFERROR((B233/B221-1)*100,"")</f>
        <v>1.79393037999138</v>
      </c>
      <c r="G233" s="31" t="n">
        <f aca="false">IFERROR((AVERAGE(B223:B233)/AVERAGE(B211:B221)-1)*100,"")</f>
        <v>6.67918652365214</v>
      </c>
      <c r="H233" s="30" t="n">
        <f aca="false">'SA Data'!U233</f>
        <v>148.563657280835</v>
      </c>
      <c r="I233" s="31" t="n">
        <f aca="false">IFERROR((H233/H232-1)*100,"")</f>
        <v>1.37529934102312</v>
      </c>
      <c r="J233" s="31" t="n">
        <f aca="false">IFERROR((AVERAGE(H231:H233)/AVERAGE(H228:H230)-1)*100,"")</f>
        <v>-2.36451570579967</v>
      </c>
      <c r="K233" s="31" t="n">
        <f aca="false">IFERROR(((AVERAGE(H231:H233)/AVERAGE(H228:H230))^4-1)*100,"")</f>
        <v>-9.12786343426733</v>
      </c>
      <c r="L233" s="31" t="n">
        <f aca="false">IFERROR(('SA Data'!Y233/'SA Data'!Y221-1)*100,"")</f>
        <v>1.59733036419478</v>
      </c>
      <c r="M233" s="31" t="n">
        <f aca="false">IFERROR((AVERAGE('SA Data'!Y223:Y233)/AVERAGE('SA Data'!Y211:Y221)-1)*100,"")</f>
        <v>5.79595652521765</v>
      </c>
    </row>
    <row r="234" customFormat="false" ht="15" hidden="false" customHeight="false" outlineLevel="0" collapsed="false">
      <c r="A234" s="20" t="n">
        <v>44926</v>
      </c>
      <c r="B234" s="30" t="n">
        <f aca="false">'SA Data'!B234</f>
        <v>148.48524</v>
      </c>
      <c r="C234" s="31" t="n">
        <f aca="false">IFERROR((B234/B233-1)*100,"")</f>
        <v>0.106298512137704</v>
      </c>
      <c r="D234" s="31" t="n">
        <f aca="false">IFERROR((AVERAGE(B232:B234)/AVERAGE(B229:B231)-1)*100,"")</f>
        <v>-2.01516491039072</v>
      </c>
      <c r="E234" s="31" t="n">
        <f aca="false">IFERROR(((AVERAGE(B232:B234)/AVERAGE(B229:B231))^4-1)*100,"")</f>
        <v>-7.82026311867792</v>
      </c>
      <c r="F234" s="31" t="n">
        <f aca="false">IFERROR((B234/B222-1)*100,"")</f>
        <v>-0.824977758541923</v>
      </c>
      <c r="G234" s="31" t="n">
        <f aca="false">IFERROR((AVERAGE(B223:B234)/AVERAGE(B211:B222)-1)*100,"")</f>
        <v>6.02074456456081</v>
      </c>
      <c r="H234" s="30" t="n">
        <f aca="false">'SA Data'!U234</f>
        <v>147.955183308591</v>
      </c>
      <c r="I234" s="31" t="n">
        <f aca="false">IFERROR((H234/H233-1)*100,"")</f>
        <v>-0.409571212354765</v>
      </c>
      <c r="J234" s="31" t="n">
        <f aca="false">IFERROR((AVERAGE(H232:H234)/AVERAGE(H229:H231)-1)*100,"")</f>
        <v>-2.05504869075392</v>
      </c>
      <c r="K234" s="31" t="n">
        <f aca="false">IFERROR(((AVERAGE(H232:H234)/AVERAGE(H229:H231))^4-1)*100,"")</f>
        <v>-7.97025499340568</v>
      </c>
      <c r="L234" s="31" t="n">
        <f aca="false">IFERROR(('SA Data'!Y234/'SA Data'!Y222-1)*100,"")</f>
        <v>-1.16524282766373</v>
      </c>
      <c r="M234" s="31" t="n">
        <f aca="false">IFERROR((AVERAGE('SA Data'!Y223:Y234)/AVERAGE('SA Data'!Y211:Y222)-1)*100,"")</f>
        <v>5.19658855711858</v>
      </c>
    </row>
    <row r="235" customFormat="false" ht="15" hidden="false" customHeight="false" outlineLevel="0" collapsed="false">
      <c r="A235" s="20" t="n">
        <v>44957</v>
      </c>
      <c r="B235" s="30" t="n">
        <f aca="false">'SA Data'!B235</f>
        <v>149.95773</v>
      </c>
      <c r="C235" s="31" t="n">
        <f aca="false">IFERROR((B235/B234-1)*100,"")</f>
        <v>0.991674323993408</v>
      </c>
      <c r="D235" s="31" t="n">
        <f aca="false">IFERROR((AVERAGE(B233:B235)/AVERAGE(B230:B232)-1)*100,"")</f>
        <v>-1.06864862466167</v>
      </c>
      <c r="E235" s="31" t="n">
        <f aca="false">IFERROR(((AVERAGE(B233:B235)/AVERAGE(B230:B232))^4-1)*100,"")</f>
        <v>-4.20656076439696</v>
      </c>
      <c r="F235" s="31" t="n">
        <f aca="false">IFERROR((B235/B223-1)*100,"")</f>
        <v>0.964944852551297</v>
      </c>
      <c r="G235" s="31" t="n">
        <f aca="false">IFERROR((AVERAGE(B235:B235)/AVERAGE(B223:B223)-1)*100,"")</f>
        <v>0.964944852551297</v>
      </c>
      <c r="H235" s="30" t="n">
        <f aca="false">'SA Data'!U235</f>
        <v>149.329583185318</v>
      </c>
      <c r="I235" s="31" t="n">
        <f aca="false">IFERROR((H235/H234-1)*100,"")</f>
        <v>0.928929859699545</v>
      </c>
      <c r="J235" s="31" t="n">
        <f aca="false">IFERROR((AVERAGE(H233:H235)/AVERAGE(H230:H232)-1)*100,"")</f>
        <v>-0.631300180310157</v>
      </c>
      <c r="K235" s="31" t="n">
        <f aca="false">IFERROR(((AVERAGE(H233:H235)/AVERAGE(H230:H232))^4-1)*100,"")</f>
        <v>-2.50138880667573</v>
      </c>
      <c r="L235" s="31" t="n">
        <f aca="false">IFERROR(('SA Data'!Y235/'SA Data'!Y223-1)*100,"")</f>
        <v>2.67174719946384</v>
      </c>
      <c r="M235" s="31" t="n">
        <f aca="false">IFERROR((AVERAGE('SA Data'!Y235:Y235)/AVERAGE('SA Data'!Y223:Y223)-1)*100,"")</f>
        <v>2.67174719946384</v>
      </c>
    </row>
    <row r="236" customFormat="false" ht="15" hidden="false" customHeight="false" outlineLevel="0" collapsed="false">
      <c r="A236" s="20" t="n">
        <v>44985</v>
      </c>
      <c r="B236" s="30" t="n">
        <f aca="false">'SA Data'!B236</f>
        <v>150.15642</v>
      </c>
      <c r="C236" s="31" t="n">
        <f aca="false">IFERROR((B236/B235-1)*100,"")</f>
        <v>0.132497337749782</v>
      </c>
      <c r="D236" s="31" t="n">
        <f aca="false">IFERROR((AVERAGE(B234:B236)/AVERAGE(B231:B233)-1)*100,"")</f>
        <v>0.0888685944264056</v>
      </c>
      <c r="E236" s="31" t="n">
        <f aca="false">IFERROR(((AVERAGE(B234:B236)/AVERAGE(B231:B233))^4-1)*100,"")</f>
        <v>0.35594851613292</v>
      </c>
      <c r="F236" s="31" t="n">
        <f aca="false">IFERROR((B236/B224-1)*100,"")</f>
        <v>-0.366805669433778</v>
      </c>
      <c r="G236" s="31" t="n">
        <f aca="false">IFERROR((AVERAGE(B235:B236)/AVERAGE(B223:B224)-1)*100,"")</f>
        <v>0.29420809375198</v>
      </c>
      <c r="H236" s="30" t="n">
        <f aca="false">'SA Data'!U236</f>
        <v>147.852646805523</v>
      </c>
      <c r="I236" s="31" t="n">
        <f aca="false">IFERROR((H236/H235-1)*100,"")</f>
        <v>-0.989044734667521</v>
      </c>
      <c r="J236" s="31" t="n">
        <f aca="false">IFERROR((AVERAGE(H234:H236)/AVERAGE(H231:H233)-1)*100,"")</f>
        <v>-0.209814270048858</v>
      </c>
      <c r="K236" s="31" t="n">
        <f aca="false">IFERROR(((AVERAGE(H234:H236)/AVERAGE(H231:H233))^4-1)*100,"")</f>
        <v>-0.83661945116239</v>
      </c>
      <c r="L236" s="31" t="n">
        <f aca="false">IFERROR(('SA Data'!Y236/'SA Data'!Y224-1)*100,"")</f>
        <v>0.278525008475961</v>
      </c>
      <c r="M236" s="31" t="n">
        <f aca="false">IFERROR((AVERAGE('SA Data'!Y235:Y236)/AVERAGE('SA Data'!Y223:Y224)-1)*100,"")</f>
        <v>1.47821860563229</v>
      </c>
    </row>
    <row r="237" customFormat="false" ht="15" hidden="false" customHeight="false" outlineLevel="0" collapsed="false">
      <c r="A237" s="20" t="n">
        <v>45016</v>
      </c>
      <c r="B237" s="30" t="n">
        <f aca="false">'SA Data'!B237</f>
        <v>150.75596</v>
      </c>
      <c r="C237" s="31" t="n">
        <f aca="false">IFERROR((B237/B236-1)*100,"")</f>
        <v>0.399276967311812</v>
      </c>
      <c r="D237" s="31" t="n">
        <f aca="false">IFERROR((AVERAGE(B235:B237)/AVERAGE(B232:B234)-1)*100,"")</f>
        <v>1.11494863058206</v>
      </c>
      <c r="E237" s="31" t="n">
        <f aca="false">IFERROR(((AVERAGE(B235:B237)/AVERAGE(B232:B234))^4-1)*100,"")</f>
        <v>4.53493709629906</v>
      </c>
      <c r="F237" s="31" t="n">
        <f aca="false">IFERROR((B237/B225-1)*100,"")</f>
        <v>0.272197491238901</v>
      </c>
      <c r="G237" s="31" t="n">
        <f aca="false">IFERROR((AVERAGE(B235:B237)/AVERAGE(B223:B225)-1)*100,"")</f>
        <v>0.286847405525803</v>
      </c>
      <c r="H237" s="30" t="n">
        <f aca="false">'SA Data'!U237</f>
        <v>153.456210555245</v>
      </c>
      <c r="I237" s="31" t="n">
        <f aca="false">IFERROR((H237/H236-1)*100,"")</f>
        <v>3.78996512459657</v>
      </c>
      <c r="J237" s="31" t="n">
        <f aca="false">IFERROR((AVERAGE(H235:H237)/AVERAGE(H232:H234)-1)*100,"")</f>
        <v>1.70886535763026</v>
      </c>
      <c r="K237" s="31" t="n">
        <f aca="false">IFERROR(((AVERAGE(H235:H237)/AVERAGE(H232:H234))^4-1)*100,"")</f>
        <v>7.01267931251304</v>
      </c>
      <c r="L237" s="31" t="n">
        <f aca="false">IFERROR(('SA Data'!Y237/'SA Data'!Y225-1)*100,"")</f>
        <v>0.990121319385695</v>
      </c>
      <c r="M237" s="31" t="n">
        <f aca="false">IFERROR((AVERAGE('SA Data'!Y235:Y237)/AVERAGE('SA Data'!Y223:Y225)-1)*100,"")</f>
        <v>1.30459797618341</v>
      </c>
    </row>
    <row r="238" customFormat="false" ht="15" hidden="false" customHeight="false" outlineLevel="0" collapsed="false">
      <c r="A238" s="20" t="n">
        <v>45046</v>
      </c>
      <c r="B238" s="30" t="n">
        <f aca="false">'SA Data'!B238</f>
        <v>147.35749</v>
      </c>
      <c r="C238" s="31" t="n">
        <f aca="false">IFERROR((B238/B237-1)*100,"")</f>
        <v>-2.25428566804256</v>
      </c>
      <c r="D238" s="31" t="n">
        <f aca="false">IFERROR((AVERAGE(B236:B238)/AVERAGE(B233:B235)-1)*100,"")</f>
        <v>0.335592852653166</v>
      </c>
      <c r="E238" s="31" t="n">
        <f aca="false">IFERROR(((AVERAGE(B236:B238)/AVERAGE(B233:B235))^4-1)*100,"")</f>
        <v>1.34914389519245</v>
      </c>
      <c r="F238" s="31" t="n">
        <f aca="false">IFERROR((B238/B226-1)*100,"")</f>
        <v>-3.11655600314797</v>
      </c>
      <c r="G238" s="31" t="n">
        <f aca="false">IFERROR((AVERAGE(B235:B238)/AVERAGE(B223:B226)-1)*100,"")</f>
        <v>-0.573495931878554</v>
      </c>
      <c r="H238" s="30" t="n">
        <f aca="false">'SA Data'!U238</f>
        <v>152.164498685427</v>
      </c>
      <c r="I238" s="31" t="n">
        <f aca="false">IFERROR((H238/H237-1)*100,"")</f>
        <v>-0.841746231803964</v>
      </c>
      <c r="J238" s="31" t="n">
        <f aca="false">IFERROR((AVERAGE(H236:H238)/AVERAGE(H233:H235)-1)*100,"")</f>
        <v>1.7102072957653</v>
      </c>
      <c r="K238" s="31" t="n">
        <f aca="false">IFERROR(((AVERAGE(H236:H238)/AVERAGE(H233:H235))^4-1)*100,"")</f>
        <v>7.01832708911061</v>
      </c>
      <c r="L238" s="31" t="n">
        <f aca="false">IFERROR(('SA Data'!Y238/'SA Data'!Y226-1)*100,"")</f>
        <v>-3.9837664305407</v>
      </c>
      <c r="M238" s="31" t="n">
        <f aca="false">IFERROR((AVERAGE('SA Data'!Y235:Y238)/AVERAGE('SA Data'!Y223:Y226)-1)*100,"")</f>
        <v>-0.0988068232192885</v>
      </c>
    </row>
    <row r="239" customFormat="false" ht="15" hidden="false" customHeight="false" outlineLevel="0" collapsed="false">
      <c r="A239" s="20" t="n">
        <v>45077</v>
      </c>
      <c r="B239" s="30" t="n">
        <f aca="false">'SA Data'!B239</f>
        <v>145.55273</v>
      </c>
      <c r="C239" s="31" t="n">
        <f aca="false">IFERROR((B239/B238-1)*100,"")</f>
        <v>-1.22474941721661</v>
      </c>
      <c r="D239" s="31" t="n">
        <f aca="false">IFERROR((AVERAGE(B237:B239)/AVERAGE(B234:B236)-1)*100,"")</f>
        <v>-1.09969164246969</v>
      </c>
      <c r="E239" s="31" t="n">
        <f aca="false">IFERROR(((AVERAGE(B237:B239)/AVERAGE(B234:B236))^4-1)*100,"")</f>
        <v>-4.32673775729907</v>
      </c>
      <c r="F239" s="31" t="n">
        <f aca="false">IFERROR((B239/B227-1)*100,"")</f>
        <v>-4.32136558820583</v>
      </c>
      <c r="G239" s="31" t="n">
        <f aca="false">IFERROR((AVERAGE(B235:B239)/AVERAGE(B223:B227)-1)*100,"")</f>
        <v>-1.32986005609302</v>
      </c>
      <c r="H239" s="30" t="n">
        <f aca="false">'SA Data'!U239</f>
        <v>150.025640682447</v>
      </c>
      <c r="I239" s="31" t="n">
        <f aca="false">IFERROR((H239/H238-1)*100,"")</f>
        <v>-1.40562221901823</v>
      </c>
      <c r="J239" s="31" t="n">
        <f aca="false">IFERROR((AVERAGE(H237:H239)/AVERAGE(H234:H236)-1)*100,"")</f>
        <v>2.36082978193024</v>
      </c>
      <c r="K239" s="31" t="n">
        <f aca="false">IFERROR(((AVERAGE(H237:H239)/AVERAGE(H234:H236))^4-1)*100,"")</f>
        <v>9.78302447758481</v>
      </c>
      <c r="L239" s="31" t="n">
        <f aca="false">IFERROR(('SA Data'!Y239/'SA Data'!Y227-1)*100,"")</f>
        <v>-6.36308451683697</v>
      </c>
      <c r="M239" s="31" t="n">
        <f aca="false">IFERROR((AVERAGE('SA Data'!Y235:Y239)/AVERAGE('SA Data'!Y223:Y227)-1)*100,"")</f>
        <v>-1.4692625173916</v>
      </c>
    </row>
    <row r="240" customFormat="false" ht="15" hidden="false" customHeight="false" outlineLevel="0" collapsed="false">
      <c r="A240" s="20" t="n">
        <v>45107</v>
      </c>
      <c r="B240" s="30" t="n">
        <f aca="false">'SA Data'!B240</f>
        <v>146.06327</v>
      </c>
      <c r="C240" s="31" t="n">
        <f aca="false">IFERROR((B240/B239-1)*100,"")</f>
        <v>0.350759480773721</v>
      </c>
      <c r="D240" s="31" t="n">
        <f aca="false">IFERROR((AVERAGE(B238:B240)/AVERAGE(B235:B237)-1)*100,"")</f>
        <v>-2.6385914116152</v>
      </c>
      <c r="E240" s="31" t="n">
        <f aca="false">IFERROR(((AVERAGE(B238:B240)/AVERAGE(B235:B237))^4-1)*100,"")</f>
        <v>-10.1439354196048</v>
      </c>
      <c r="F240" s="31" t="n">
        <f aca="false">IFERROR((B240/B228-1)*100,"")</f>
        <v>-5.33994906254883</v>
      </c>
      <c r="G240" s="31" t="n">
        <f aca="false">IFERROR((AVERAGE(B235:B240)/AVERAGE(B223:B228)-1)*100,"")</f>
        <v>-2.01124238712395</v>
      </c>
      <c r="H240" s="30" t="n">
        <f aca="false">'SA Data'!U240</f>
        <v>150.122576907708</v>
      </c>
      <c r="I240" s="31" t="n">
        <f aca="false">IFERROR((H240/H239-1)*100,"")</f>
        <v>0.0646131053464005</v>
      </c>
      <c r="J240" s="31" t="n">
        <f aca="false">IFERROR((AVERAGE(H238:H240)/AVERAGE(H235:H237)-1)*100,"")</f>
        <v>0.371534156621678</v>
      </c>
      <c r="K240" s="31" t="n">
        <f aca="false">IFERROR(((AVERAGE(H238:H240)/AVERAGE(H235:H237))^4-1)*100,"")</f>
        <v>1.494439417591</v>
      </c>
      <c r="L240" s="31" t="n">
        <f aca="false">IFERROR(('SA Data'!Y240/'SA Data'!Y228-1)*100,"")</f>
        <v>-4.79185521712886</v>
      </c>
      <c r="M240" s="31" t="n">
        <f aca="false">IFERROR((AVERAGE('SA Data'!Y235:Y240)/AVERAGE('SA Data'!Y223:Y228)-1)*100,"")</f>
        <v>-2.05554132020068</v>
      </c>
    </row>
    <row r="241" customFormat="false" ht="15" hidden="false" customHeight="false" outlineLevel="0" collapsed="false">
      <c r="A241" s="20" t="n">
        <v>45138</v>
      </c>
      <c r="B241" s="30" t="n">
        <f aca="false">'SA Data'!B241</f>
        <v>148.72466</v>
      </c>
      <c r="C241" s="31" t="n">
        <f aca="false">IFERROR((B241/B240-1)*100,"")</f>
        <v>1.82208025330393</v>
      </c>
      <c r="D241" s="31" t="n">
        <f aca="false">IFERROR((AVERAGE(B239:B241)/AVERAGE(B236:B238)-1)*100,"")</f>
        <v>-1.76884741327807</v>
      </c>
      <c r="E241" s="31" t="n">
        <f aca="false">IFERROR(((AVERAGE(B239:B241)/AVERAGE(B236:B238))^4-1)*100,"")</f>
        <v>-6.88986435619704</v>
      </c>
      <c r="F241" s="31" t="n">
        <f aca="false">IFERROR((B241/B229-1)*100,"")</f>
        <v>-2.51283772357042</v>
      </c>
      <c r="G241" s="31" t="n">
        <f aca="false">IFERROR((AVERAGE(B235:B241)/AVERAGE(B223:B229)-1)*100,"")</f>
        <v>-2.08338807487993</v>
      </c>
      <c r="H241" s="30" t="n">
        <f aca="false">'SA Data'!U241</f>
        <v>149.152229504138</v>
      </c>
      <c r="I241" s="31" t="n">
        <f aca="false">IFERROR((H241/H240-1)*100,"")</f>
        <v>-0.646370068751589</v>
      </c>
      <c r="J241" s="31" t="n">
        <f aca="false">IFERROR((AVERAGE(H239:H241)/AVERAGE(H236:H238)-1)*100,"")</f>
        <v>-0.920210393017495</v>
      </c>
      <c r="K241" s="31" t="n">
        <f aca="false">IFERROR(((AVERAGE(H239:H241)/AVERAGE(H236:H238))^4-1)*100,"")</f>
        <v>-3.63034531391728</v>
      </c>
      <c r="L241" s="31" t="n">
        <f aca="false">IFERROR(('SA Data'!Y241/'SA Data'!Y229-1)*100,"")</f>
        <v>-0.732765509062383</v>
      </c>
      <c r="M241" s="31" t="n">
        <f aca="false">IFERROR((AVERAGE('SA Data'!Y235:Y241)/AVERAGE('SA Data'!Y223:Y229)-1)*100,"")</f>
        <v>-1.86818904988939</v>
      </c>
    </row>
    <row r="242" customFormat="false" ht="15" hidden="false" customHeight="false" outlineLevel="0" collapsed="false">
      <c r="A242" s="20" t="n">
        <v>45169</v>
      </c>
      <c r="B242" s="30" t="n">
        <f aca="false">'SA Data'!B242</f>
        <v>150.05695</v>
      </c>
      <c r="C242" s="31" t="n">
        <f aca="false">IFERROR((B242/B241-1)*100,"")</f>
        <v>0.895809746682219</v>
      </c>
      <c r="D242" s="31" t="n">
        <f aca="false">IFERROR((AVERAGE(B240:B242)/AVERAGE(B237:B239)-1)*100,"")</f>
        <v>0.265672718168419</v>
      </c>
      <c r="E242" s="31" t="n">
        <f aca="false">IFERROR(((AVERAGE(B240:B242)/AVERAGE(B237:B239))^4-1)*100,"")</f>
        <v>1.06693329793022</v>
      </c>
      <c r="F242" s="31" t="n">
        <f aca="false">IFERROR((B242/B230-1)*100,"")</f>
        <v>-1.0980931633244</v>
      </c>
      <c r="G242" s="31" t="n">
        <f aca="false">IFERROR((AVERAGE(B235:B242)/AVERAGE(B223:B230)-1)*100,"")</f>
        <v>-1.96008449630848</v>
      </c>
      <c r="H242" s="30" t="n">
        <f aca="false">'SA Data'!U242</f>
        <v>152.467814216301</v>
      </c>
      <c r="I242" s="31" t="n">
        <f aca="false">IFERROR((H242/H241-1)*100,"")</f>
        <v>2.22295350407153</v>
      </c>
      <c r="J242" s="31" t="n">
        <f aca="false">IFERROR((AVERAGE(H240:H242)/AVERAGE(H237:H239)-1)*100,"")</f>
        <v>-0.856745433301842</v>
      </c>
      <c r="K242" s="31" t="n">
        <f aca="false">IFERROR(((AVERAGE(H240:H242)/AVERAGE(H237:H239))^4-1)*100,"")</f>
        <v>-3.38319197500798</v>
      </c>
      <c r="L242" s="31" t="n">
        <f aca="false">IFERROR(('SA Data'!Y242/'SA Data'!Y230-1)*100,"")</f>
        <v>0.644514954305353</v>
      </c>
      <c r="M242" s="31" t="n">
        <f aca="false">IFERROR((AVERAGE('SA Data'!Y235:Y242)/AVERAGE('SA Data'!Y223:Y230)-1)*100,"")</f>
        <v>-1.55785428750151</v>
      </c>
    </row>
    <row r="243" customFormat="false" ht="15" hidden="false" customHeight="false" outlineLevel="0" collapsed="false">
      <c r="A243" s="20" t="n">
        <v>45199</v>
      </c>
      <c r="B243" s="30" t="n">
        <f aca="false">'SA Data'!B243</f>
        <v>149.69825</v>
      </c>
      <c r="C243" s="31" t="n">
        <f aca="false">IFERROR((B243/B242-1)*100,"")</f>
        <v>-0.239042576834991</v>
      </c>
      <c r="D243" s="31" t="n">
        <f aca="false">IFERROR((AVERAGE(B241:B243)/AVERAGE(B238:B240)-1)*100,"")</f>
        <v>2.16559091074044</v>
      </c>
      <c r="E243" s="31" t="n">
        <f aca="false">IFERROR(((AVERAGE(B241:B243)/AVERAGE(B238:B240))^4-1)*100,"")</f>
        <v>8.94783513803172</v>
      </c>
      <c r="F243" s="31" t="n">
        <f aca="false">IFERROR((B243/B231-1)*100,"")</f>
        <v>-0.722538800399897</v>
      </c>
      <c r="G243" s="31" t="n">
        <f aca="false">IFERROR((AVERAGE(B235:B243)/AVERAGE(B223:B231)-1)*100,"")</f>
        <v>-1.8231934271241</v>
      </c>
      <c r="H243" s="30" t="n">
        <f aca="false">'SA Data'!U243</f>
        <v>151.158185712444</v>
      </c>
      <c r="I243" s="31" t="n">
        <f aca="false">IFERROR((H243/H242-1)*100,"")</f>
        <v>-0.858954075381757</v>
      </c>
      <c r="J243" s="31" t="n">
        <f aca="false">IFERROR((AVERAGE(H241:H243)/AVERAGE(H238:H240)-1)*100,"")</f>
        <v>0.102918432436327</v>
      </c>
      <c r="K243" s="31" t="n">
        <f aca="false">IFERROR(((AVERAGE(H241:H243)/AVERAGE(H238:H240))^4-1)*100,"")</f>
        <v>0.412309698134816</v>
      </c>
      <c r="L243" s="31" t="n">
        <f aca="false">IFERROR(('SA Data'!Y243/'SA Data'!Y231-1)*100,"")</f>
        <v>0.365926156333973</v>
      </c>
      <c r="M243" s="31" t="n">
        <f aca="false">IFERROR((AVERAGE('SA Data'!Y235:Y243)/AVERAGE('SA Data'!Y223:Y231)-1)*100,"")</f>
        <v>-1.35019393578957</v>
      </c>
    </row>
    <row r="244" customFormat="false" ht="15" hidden="false" customHeight="false" outlineLevel="0" collapsed="false">
      <c r="A244" s="20" t="n">
        <v>45230</v>
      </c>
      <c r="B244" s="30" t="n">
        <f aca="false">'SA Data'!B244</f>
        <v>148.01321</v>
      </c>
      <c r="C244" s="31" t="n">
        <f aca="false">IFERROR((B244/B243-1)*100,"")</f>
        <v>-1.12562438104655</v>
      </c>
      <c r="D244" s="31" t="n">
        <f aca="false">IFERROR((AVERAGE(B242:B244)/AVERAGE(B239:B241)-1)*100,"")</f>
        <v>1.68681901871157</v>
      </c>
      <c r="E244" s="31" t="n">
        <f aca="false">IFERROR(((AVERAGE(B242:B244)/AVERAGE(B239:B241))^4-1)*100,"")</f>
        <v>6.91992551689089</v>
      </c>
      <c r="F244" s="31" t="n">
        <f aca="false">IFERROR((B244/B232-1)*100,"")</f>
        <v>-0.719418138928896</v>
      </c>
      <c r="G244" s="31" t="n">
        <f aca="false">IFERROR((AVERAGE(B235:B244)/AVERAGE(B223:B232)-1)*100,"")</f>
        <v>-1.7143782114504</v>
      </c>
      <c r="H244" s="30" t="n">
        <f aca="false">'SA Data'!U244</f>
        <v>148.663272762962</v>
      </c>
      <c r="I244" s="31" t="n">
        <f aca="false">IFERROR((H244/H243-1)*100,"")</f>
        <v>-1.65053115563866</v>
      </c>
      <c r="J244" s="31" t="n">
        <f aca="false">IFERROR((AVERAGE(H242:H244)/AVERAGE(H239:H241)-1)*100,"")</f>
        <v>0.665217588084843</v>
      </c>
      <c r="K244" s="31" t="n">
        <f aca="false">IFERROR(((AVERAGE(H242:H244)/AVERAGE(H239:H241))^4-1)*100,"")</f>
        <v>2.68753916188351</v>
      </c>
      <c r="L244" s="31" t="n">
        <f aca="false">IFERROR(('SA Data'!Y244/'SA Data'!Y232-1)*100,"")</f>
        <v>1.31551970707302</v>
      </c>
      <c r="M244" s="31" t="n">
        <f aca="false">IFERROR((AVERAGE('SA Data'!Y235:Y244)/AVERAGE('SA Data'!Y223:Y232)-1)*100,"")</f>
        <v>-1.09282262550761</v>
      </c>
    </row>
    <row r="245" customFormat="false" ht="15" hidden="false" customHeight="false" outlineLevel="0" collapsed="false">
      <c r="A245" s="20" t="n">
        <v>45260</v>
      </c>
      <c r="B245" s="30" t="n">
        <f aca="false">'SA Data'!B245</f>
        <v>146.3883</v>
      </c>
      <c r="C245" s="31" t="n">
        <f aca="false">IFERROR((B245/B244-1)*100,"")</f>
        <v>-1.09781417482939</v>
      </c>
      <c r="D245" s="31" t="n">
        <f aca="false">IFERROR((AVERAGE(B243:B245)/AVERAGE(B240:B242)-1)*100,"")</f>
        <v>-0.167501084872557</v>
      </c>
      <c r="E245" s="31" t="n">
        <f aca="false">IFERROR(((AVERAGE(B243:B245)/AVERAGE(B240:B242))^4-1)*100,"")</f>
        <v>-0.668322821702316</v>
      </c>
      <c r="F245" s="31" t="n">
        <f aca="false">IFERROR((B245/B233-1)*100,"")</f>
        <v>-1.30742383226532</v>
      </c>
      <c r="G245" s="31" t="n">
        <f aca="false">IFERROR((AVERAGE(B235:B245)/AVERAGE(B223:B233)-1)*100,"")</f>
        <v>-1.67802814967937</v>
      </c>
      <c r="H245" s="30" t="n">
        <f aca="false">'SA Data'!U245</f>
        <v>148.207286273817</v>
      </c>
      <c r="I245" s="31" t="n">
        <f aca="false">IFERROR((H245/H244-1)*100,"")</f>
        <v>-0.306724371575373</v>
      </c>
      <c r="J245" s="31" t="n">
        <f aca="false">IFERROR((AVERAGE(H243:H245)/AVERAGE(H240:H242)-1)*100,"")</f>
        <v>-0.822122091061184</v>
      </c>
      <c r="K245" s="31" t="n">
        <f aca="false">IFERROR(((AVERAGE(H243:H245)/AVERAGE(H240:H242))^4-1)*100,"")</f>
        <v>-3.24815708737579</v>
      </c>
      <c r="L245" s="31" t="n">
        <f aca="false">IFERROR(('SA Data'!Y245/'SA Data'!Y233-1)*100,"")</f>
        <v>-0.254681555355285</v>
      </c>
      <c r="M245" s="31" t="n">
        <f aca="false">IFERROR((AVERAGE('SA Data'!Y235:Y245)/AVERAGE('SA Data'!Y223:Y233)-1)*100,"")</f>
        <v>-1.01819009779225</v>
      </c>
    </row>
    <row r="246" customFormat="false" ht="15" hidden="false" customHeight="false" outlineLevel="0" collapsed="false">
      <c r="A246" s="20" t="n">
        <v>45291</v>
      </c>
      <c r="B246" s="30" t="n">
        <f aca="false">'SA Data'!B246</f>
        <v>142.86747</v>
      </c>
      <c r="C246" s="31" t="n">
        <f aca="false">IFERROR((B246/B245-1)*100,"")</f>
        <v>-2.40513073790732</v>
      </c>
      <c r="D246" s="31" t="n">
        <f aca="false">IFERROR((AVERAGE(B244:B246)/AVERAGE(B241:B243)-1)*100,"")</f>
        <v>-2.49975104790662</v>
      </c>
      <c r="E246" s="31" t="n">
        <f aca="false">IFERROR(((AVERAGE(B244:B246)/AVERAGE(B241:B243))^4-1)*100,"")</f>
        <v>-9.63028795963826</v>
      </c>
      <c r="F246" s="31" t="n">
        <f aca="false">IFERROR((B246/B234-1)*100,"")</f>
        <v>-3.78338614666347</v>
      </c>
      <c r="G246" s="31" t="n">
        <f aca="false">IFERROR((AVERAGE(B235:B246)/AVERAGE(B223:B234)-1)*100,"")</f>
        <v>-1.85083166628468</v>
      </c>
      <c r="H246" s="30" t="n">
        <f aca="false">'SA Data'!U246</f>
        <v>142.422873894266</v>
      </c>
      <c r="I246" s="31" t="n">
        <f aca="false">IFERROR((H246/H245-1)*100,"")</f>
        <v>-3.90292037927446</v>
      </c>
      <c r="J246" s="31" t="n">
        <f aca="false">IFERROR((AVERAGE(H244:H246)/AVERAGE(H241:H243)-1)*100,"")</f>
        <v>-2.97823429335979</v>
      </c>
      <c r="K246" s="31" t="n">
        <f aca="false">IFERROR(((AVERAGE(H244:H246)/AVERAGE(H241:H243))^4-1)*100,"")</f>
        <v>-11.3912323600373</v>
      </c>
      <c r="L246" s="31" t="n">
        <f aca="false">IFERROR(('SA Data'!Y246/'SA Data'!Y234-1)*100,"")</f>
        <v>-3.18133667292747</v>
      </c>
      <c r="M246" s="31" t="n">
        <f aca="false">IFERROR((AVERAGE('SA Data'!Y235:Y246)/AVERAGE('SA Data'!Y223:Y234)-1)*100,"")</f>
        <v>-1.19317615665875</v>
      </c>
    </row>
    <row r="247" customFormat="false" ht="15" hidden="false" customHeight="false" outlineLevel="0" collapsed="false">
      <c r="A247" s="20" t="n">
        <v>45322</v>
      </c>
      <c r="B247" s="30" t="n">
        <f aca="false">'SA Data'!B247</f>
        <v>143.55367</v>
      </c>
      <c r="C247" s="31" t="n">
        <f aca="false">IFERROR((B247/B246-1)*100,"")</f>
        <v>0.480305278731419</v>
      </c>
      <c r="D247" s="31" t="n">
        <f aca="false">IFERROR((AVERAGE(B245:B247)/AVERAGE(B242:B244)-1)*100,"")</f>
        <v>-3.34078279439142</v>
      </c>
      <c r="E247" s="31" t="n">
        <f aca="false">IFERROR(((AVERAGE(B245:B247)/AVERAGE(B242:B244))^4-1)*100,"")</f>
        <v>-12.7082711957939</v>
      </c>
      <c r="F247" s="31" t="n">
        <f aca="false">IFERROR((B247/B235-1)*100,"")</f>
        <v>-4.27057678187046</v>
      </c>
      <c r="G247" s="31" t="n">
        <f aca="false">IFERROR((AVERAGE(B247:B247)/AVERAGE(B235:B235)-1)*100,"")</f>
        <v>-4.27057678187046</v>
      </c>
      <c r="H247" s="30" t="n">
        <f aca="false">'SA Data'!U247</f>
        <v>143.011637399557</v>
      </c>
      <c r="I247" s="31" t="n">
        <f aca="false">IFERROR((H247/H246-1)*100,"")</f>
        <v>0.41339111421641</v>
      </c>
      <c r="J247" s="31" t="n">
        <f aca="false">IFERROR((AVERAGE(H245:H247)/AVERAGE(H242:H244)-1)*100,"")</f>
        <v>-4.12290899872352</v>
      </c>
      <c r="K247" s="31" t="n">
        <f aca="false">IFERROR(((AVERAGE(H245:H247)/AVERAGE(H242:H244))^4-1)*100,"")</f>
        <v>-15.4994774405702</v>
      </c>
      <c r="L247" s="31" t="n">
        <f aca="false">IFERROR(('SA Data'!Y247/'SA Data'!Y235-1)*100,"")</f>
        <v>-3.66294198959189</v>
      </c>
      <c r="M247" s="31" t="n">
        <f aca="false">IFERROR((AVERAGE('SA Data'!Y247:Y247)/AVERAGE('SA Data'!Y235:Y235)-1)*100,"")</f>
        <v>-3.66294198959189</v>
      </c>
    </row>
    <row r="248" customFormat="false" ht="15" hidden="false" customHeight="false" outlineLevel="0" collapsed="false">
      <c r="A248" s="20" t="n">
        <v>45351</v>
      </c>
      <c r="B248" s="30" t="n">
        <f aca="false">'SA Data'!B248</f>
        <v>143.80882</v>
      </c>
      <c r="C248" s="31" t="n">
        <f aca="false">IFERROR((B248/B247-1)*100,"")</f>
        <v>0.177738402647587</v>
      </c>
      <c r="D248" s="31" t="n">
        <f aca="false">IFERROR((AVERAGE(B246:B248)/AVERAGE(B243:B245)-1)*100,"")</f>
        <v>-3.12312710999887</v>
      </c>
      <c r="E248" s="31" t="n">
        <f aca="false">IFERROR(((AVERAGE(B246:B248)/AVERAGE(B243:B245))^4-1)*100,"")</f>
        <v>-11.9193630207417</v>
      </c>
      <c r="F248" s="31" t="n">
        <f aca="false">IFERROR((B248/B236-1)*100,"")</f>
        <v>-4.22732507874122</v>
      </c>
      <c r="G248" s="31" t="n">
        <f aca="false">IFERROR((AVERAGE(B247:B248)/AVERAGE(B235:B236)-1)*100,"")</f>
        <v>-4.24893661295211</v>
      </c>
      <c r="H248" s="30" t="n">
        <f aca="false">'SA Data'!U248</f>
        <v>142.963233229049</v>
      </c>
      <c r="I248" s="31" t="n">
        <f aca="false">IFERROR((H248/H247-1)*100,"")</f>
        <v>-0.0338463158578217</v>
      </c>
      <c r="J248" s="31" t="n">
        <f aca="false">IFERROR((AVERAGE(H246:H248)/AVERAGE(H243:H245)-1)*100,"")</f>
        <v>-4.38163855699464</v>
      </c>
      <c r="K248" s="31" t="n">
        <f aca="false">IFERROR(((AVERAGE(H246:H248)/AVERAGE(H243:H245))^4-1)*100,"")</f>
        <v>-16.4079090536738</v>
      </c>
      <c r="L248" s="31" t="n">
        <f aca="false">IFERROR(('SA Data'!Y248/'SA Data'!Y236-1)*100,"")</f>
        <v>-3.0589728753693</v>
      </c>
      <c r="M248" s="31" t="n">
        <f aca="false">IFERROR((AVERAGE('SA Data'!Y247:Y248)/AVERAGE('SA Data'!Y235:Y236)-1)*100,"")</f>
        <v>-3.36529627122103</v>
      </c>
    </row>
    <row r="249" customFormat="false" ht="15" hidden="false" customHeight="false" outlineLevel="0" collapsed="false">
      <c r="A249" s="20" t="n">
        <v>45382</v>
      </c>
      <c r="B249" s="30" t="n">
        <f aca="false">'SA Data'!B249</f>
        <v>142.11453</v>
      </c>
      <c r="C249" s="31" t="n">
        <f aca="false">IFERROR((B249/B248-1)*100,"")</f>
        <v>-1.17815444143133</v>
      </c>
      <c r="D249" s="31" t="n">
        <f aca="false">IFERROR((AVERAGE(B247:B249)/AVERAGE(B244:B246)-1)*100,"")</f>
        <v>-1.7819603851158</v>
      </c>
      <c r="E249" s="31" t="n">
        <f aca="false">IFERROR(((AVERAGE(B247:B249)/AVERAGE(B244:B246))^4-1)*100,"")</f>
        <v>-6.93957185111279</v>
      </c>
      <c r="F249" s="31" t="n">
        <f aca="false">IFERROR((B249/B237-1)*100,"")</f>
        <v>-5.73206525300889</v>
      </c>
      <c r="G249" s="31" t="n">
        <f aca="false">IFERROR((AVERAGE(B247:B249)/AVERAGE(B235:B237)-1)*100,"")</f>
        <v>-4.74484547223588</v>
      </c>
      <c r="H249" s="30" t="n">
        <f aca="false">'SA Data'!U249</f>
        <v>141.358434013357</v>
      </c>
      <c r="I249" s="31" t="n">
        <f aca="false">IFERROR((H249/H248-1)*100,"")</f>
        <v>-1.12252582670731</v>
      </c>
      <c r="J249" s="31" t="n">
        <f aca="false">IFERROR((AVERAGE(H247:H249)/AVERAGE(H244:H246)-1)*100,"")</f>
        <v>-2.7225829918016</v>
      </c>
      <c r="K249" s="31" t="n">
        <f aca="false">IFERROR(((AVERAGE(H247:H249)/AVERAGE(H244:H246))^4-1)*100,"")</f>
        <v>-10.4536019468274</v>
      </c>
      <c r="L249" s="31" t="n">
        <f aca="false">IFERROR(('SA Data'!Y249/'SA Data'!Y237-1)*100,"")</f>
        <v>-7.63847248778427</v>
      </c>
      <c r="M249" s="31" t="n">
        <f aca="false">IFERROR((AVERAGE('SA Data'!Y247:Y249)/AVERAGE('SA Data'!Y235:Y237)-1)*100,"")</f>
        <v>-4.88058527770189</v>
      </c>
    </row>
    <row r="250" customFormat="false" ht="15" hidden="false" customHeight="false" outlineLevel="0" collapsed="false">
      <c r="A250" s="20" t="n">
        <v>45412</v>
      </c>
      <c r="B250" s="30" t="n">
        <f aca="false">'SA Data'!B250</f>
        <v>141.05612</v>
      </c>
      <c r="C250" s="31" t="n">
        <f aca="false">IFERROR((B250/B249-1)*100,"")</f>
        <v>-0.744758470509677</v>
      </c>
      <c r="D250" s="31" t="n">
        <f aca="false">IFERROR((AVERAGE(B248:B250)/AVERAGE(B245:B247)-1)*100,"")</f>
        <v>-1.34700620208283</v>
      </c>
      <c r="E250" s="31" t="n">
        <f aca="false">IFERROR(((AVERAGE(B248:B250)/AVERAGE(B245:B247))^4-1)*100,"")</f>
        <v>-5.28013359075671</v>
      </c>
      <c r="F250" s="31" t="n">
        <f aca="false">IFERROR((B250/B238-1)*100,"")</f>
        <v>-4.27624683346602</v>
      </c>
      <c r="G250" s="31" t="n">
        <f aca="false">IFERROR((AVERAGE(B247:B250)/AVERAGE(B235:B238)-1)*100,"")</f>
        <v>-4.62941863598402</v>
      </c>
      <c r="H250" s="30" t="n">
        <f aca="false">'SA Data'!U250</f>
        <v>146.825274984897</v>
      </c>
      <c r="I250" s="31" t="n">
        <f aca="false">IFERROR((H250/H249-1)*100,"")</f>
        <v>3.86736101718799</v>
      </c>
      <c r="J250" s="31" t="n">
        <f aca="false">IFERROR((AVERAGE(H248:H250)/AVERAGE(H245:H247)-1)*100,"")</f>
        <v>-0.575326307180302</v>
      </c>
      <c r="K250" s="31" t="n">
        <f aca="false">IFERROR(((AVERAGE(H248:H250)/AVERAGE(H245:H247))^4-1)*100,"")</f>
        <v>-2.2815212708618</v>
      </c>
      <c r="L250" s="31" t="n">
        <f aca="false">IFERROR(('SA Data'!Y250/'SA Data'!Y238-1)*100,"")</f>
        <v>-2.13351062147587</v>
      </c>
      <c r="M250" s="31" t="n">
        <f aca="false">IFERROR((AVERAGE('SA Data'!Y247:Y250)/AVERAGE('SA Data'!Y235:Y238)-1)*100,"")</f>
        <v>-4.17992735574575</v>
      </c>
    </row>
    <row r="251" customFormat="false" ht="15" hidden="false" customHeight="false" outlineLevel="0" collapsed="false">
      <c r="A251" s="20" t="n">
        <v>45443</v>
      </c>
      <c r="B251" s="30" t="n">
        <f aca="false">'SA Data'!B251</f>
        <v>142.8362</v>
      </c>
      <c r="C251" s="31" t="n">
        <f aca="false">IFERROR((B251/B250-1)*100,"")</f>
        <v>1.26196580481583</v>
      </c>
      <c r="D251" s="31" t="n">
        <f aca="false">IFERROR((AVERAGE(B249:B251)/AVERAGE(B246:B248)-1)*100,"")</f>
        <v>-0.98159365749424</v>
      </c>
      <c r="E251" s="31" t="n">
        <f aca="false">IFERROR(((AVERAGE(B249:B251)/AVERAGE(B246:B248))^4-1)*100,"")</f>
        <v>-3.86894045153517</v>
      </c>
      <c r="F251" s="31" t="n">
        <f aca="false">IFERROR((B251/B239-1)*100,"")</f>
        <v>-1.86635455068415</v>
      </c>
      <c r="G251" s="31" t="n">
        <f aca="false">IFERROR((AVERAGE(B247:B251)/AVERAGE(B235:B239)-1)*100,"")</f>
        <v>-4.08870586830389</v>
      </c>
      <c r="H251" s="30" t="n">
        <f aca="false">'SA Data'!U251</f>
        <v>147.493854742981</v>
      </c>
      <c r="I251" s="31" t="n">
        <f aca="false">IFERROR((H251/H250-1)*100,"")</f>
        <v>0.455357402294943</v>
      </c>
      <c r="J251" s="31" t="n">
        <f aca="false">IFERROR((AVERAGE(H249:H251)/AVERAGE(H246:H248)-1)*100,"")</f>
        <v>1.69931315265699</v>
      </c>
      <c r="K251" s="31" t="n">
        <f aca="false">IFERROR(((AVERAGE(H249:H251)/AVERAGE(H246:H248))^4-1)*100,"")</f>
        <v>6.97248367966146</v>
      </c>
      <c r="L251" s="31" t="n">
        <f aca="false">IFERROR(('SA Data'!Y251/'SA Data'!Y239-1)*100,"")</f>
        <v>1.65673726343218</v>
      </c>
      <c r="M251" s="31" t="n">
        <f aca="false">IFERROR((AVERAGE('SA Data'!Y247:Y251)/AVERAGE('SA Data'!Y235:Y239)-1)*100,"")</f>
        <v>-2.96644322089263</v>
      </c>
    </row>
    <row r="252" customFormat="false" ht="15" hidden="false" customHeight="false" outlineLevel="0" collapsed="false">
      <c r="A252" s="20" t="n">
        <v>45473</v>
      </c>
      <c r="B252" s="30" t="n">
        <f aca="false">'SA Data'!B252</f>
        <v>143.71875</v>
      </c>
      <c r="C252" s="31" t="n">
        <f aca="false">IFERROR((B252/B251-1)*100,"")</f>
        <v>0.617875580560123</v>
      </c>
      <c r="D252" s="31" t="n">
        <f aca="false">IFERROR((AVERAGE(B250:B252)/AVERAGE(B247:B249)-1)*100,"")</f>
        <v>-0.434470277361987</v>
      </c>
      <c r="E252" s="31" t="n">
        <f aca="false">IFERROR(((AVERAGE(B250:B252)/AVERAGE(B247:B249))^4-1)*100,"")</f>
        <v>-1.72658801351357</v>
      </c>
      <c r="F252" s="31" t="n">
        <f aca="false">IFERROR((B252/B240-1)*100,"")</f>
        <v>-1.60514001911637</v>
      </c>
      <c r="G252" s="31" t="n">
        <f aca="false">IFERROR((AVERAGE(B247:B252)/AVERAGE(B235:B240)-1)*100,"")</f>
        <v>-3.68104125264259</v>
      </c>
      <c r="H252" s="30" t="n">
        <f aca="false">'SA Data'!U252</f>
        <v>142.495868040642</v>
      </c>
      <c r="I252" s="31" t="n">
        <f aca="false">IFERROR((H252/H251-1)*100,"")</f>
        <v>-3.38860673961506</v>
      </c>
      <c r="J252" s="31" t="n">
        <f aca="false">IFERROR((AVERAGE(H250:H252)/AVERAGE(H247:H249)-1)*100,"")</f>
        <v>2.21880509278376</v>
      </c>
      <c r="K252" s="31" t="n">
        <f aca="false">IFERROR(((AVERAGE(H250:H252)/AVERAGE(H247:H249))^4-1)*100,"")</f>
        <v>9.17499972662157</v>
      </c>
      <c r="L252" s="31" t="n">
        <f aca="false">IFERROR(('SA Data'!Y252/'SA Data'!Y240-1)*100,"")</f>
        <v>-3.61776683687592</v>
      </c>
      <c r="M252" s="31" t="n">
        <f aca="false">IFERROR((AVERAGE('SA Data'!Y247:Y252)/AVERAGE('SA Data'!Y235:Y240)-1)*100,"")</f>
        <v>-3.07815993242551</v>
      </c>
    </row>
    <row r="253" customFormat="false" ht="15" hidden="false" customHeight="false" outlineLevel="0" collapsed="false">
      <c r="A253" s="20" t="n">
        <v>45504</v>
      </c>
      <c r="B253" s="30" t="n">
        <f aca="false">'SA Data'!B253</f>
        <v>147.28294</v>
      </c>
      <c r="C253" s="31" t="n">
        <f aca="false">IFERROR((B253/B252-1)*100,"")</f>
        <v>2.47997564687976</v>
      </c>
      <c r="D253" s="31" t="n">
        <f aca="false">IFERROR((AVERAGE(B251:B253)/AVERAGE(B248:B250)-1)*100,"")</f>
        <v>1.60626458222921</v>
      </c>
      <c r="E253" s="31" t="n">
        <f aca="false">IFERROR(((AVERAGE(B251:B253)/AVERAGE(B248:B250))^4-1)*100,"")</f>
        <v>6.58152786049291</v>
      </c>
      <c r="F253" s="31" t="n">
        <f aca="false">IFERROR((B253/B241-1)*100,"")</f>
        <v>-0.96938866762244</v>
      </c>
      <c r="G253" s="31" t="n">
        <f aca="false">IFERROR((AVERAGE(B247:B253)/AVERAGE(B235:B241)-1)*100,"")</f>
        <v>-3.2927282025738</v>
      </c>
      <c r="H253" s="30" t="n">
        <f aca="false">'SA Data'!U253</f>
        <v>148.367688343323</v>
      </c>
      <c r="I253" s="31" t="n">
        <f aca="false">IFERROR((H253/H252-1)*100,"")</f>
        <v>4.12069513552948</v>
      </c>
      <c r="J253" s="31" t="n">
        <f aca="false">IFERROR((AVERAGE(H251:H253)/AVERAGE(H248:H250)-1)*100,"")</f>
        <v>1.67239244754782</v>
      </c>
      <c r="K253" s="31" t="n">
        <f aca="false">IFERROR(((AVERAGE(H251:H253)/AVERAGE(H248:H250))^4-1)*100,"")</f>
        <v>6.85926240617054</v>
      </c>
      <c r="L253" s="31" t="n">
        <f aca="false">IFERROR(('SA Data'!Y253/'SA Data'!Y241-1)*100,"")</f>
        <v>-0.76885561473089</v>
      </c>
      <c r="M253" s="31" t="n">
        <f aca="false">IFERROR((AVERAGE('SA Data'!Y247:Y253)/AVERAGE('SA Data'!Y235:Y241)-1)*100,"")</f>
        <v>-2.74729556925754</v>
      </c>
    </row>
    <row r="254" customFormat="false" ht="15" hidden="false" customHeight="false" outlineLevel="0" collapsed="false">
      <c r="A254" s="20" t="n">
        <v>45535</v>
      </c>
      <c r="B254" s="30" t="n">
        <f aca="false">'SA Data'!B254</f>
        <v>147.7746</v>
      </c>
      <c r="C254" s="31" t="n">
        <f aca="false">IFERROR((B254/B253-1)*100,"")</f>
        <v>0.333820060897749</v>
      </c>
      <c r="D254" s="31" t="n">
        <f aca="false">IFERROR((AVERAGE(B252:B254)/AVERAGE(B249:B251)-1)*100,"")</f>
        <v>2.9974729279588</v>
      </c>
      <c r="E254" s="31" t="n">
        <f aca="false">IFERROR(((AVERAGE(B252:B254)/AVERAGE(B249:B251))^4-1)*100,"")</f>
        <v>12.5398358070923</v>
      </c>
      <c r="F254" s="31" t="n">
        <f aca="false">IFERROR((B254/B242-1)*100,"")</f>
        <v>-1.52098919776792</v>
      </c>
      <c r="G254" s="31" t="n">
        <f aca="false">IFERROR((AVERAGE(B247:B254)/AVERAGE(B235:B242)-1)*100,"")</f>
        <v>-3.06905656157166</v>
      </c>
      <c r="H254" s="30" t="n">
        <f aca="false">'SA Data'!U254</f>
        <v>147.644091897023</v>
      </c>
      <c r="I254" s="31" t="n">
        <f aca="false">IFERROR((H254/H253-1)*100,"")</f>
        <v>-0.487704873197226</v>
      </c>
      <c r="J254" s="31" t="n">
        <f aca="false">IFERROR((AVERAGE(H252:H254)/AVERAGE(H249:H251)-1)*100,"")</f>
        <v>0.649582346047595</v>
      </c>
      <c r="K254" s="31" t="n">
        <f aca="false">IFERROR(((AVERAGE(H252:H254)/AVERAGE(H249:H251))^4-1)*100,"")</f>
        <v>2.62375663408156</v>
      </c>
      <c r="L254" s="31" t="n">
        <f aca="false">IFERROR(('SA Data'!Y254/'SA Data'!Y242-1)*100,"")</f>
        <v>-3.02111457262678</v>
      </c>
      <c r="M254" s="31" t="n">
        <f aca="false">IFERROR((AVERAGE('SA Data'!Y247:Y254)/AVERAGE('SA Data'!Y235:Y242)-1)*100,"")</f>
        <v>-2.78187053190174</v>
      </c>
    </row>
    <row r="255" customFormat="false" ht="15" hidden="false" customHeight="false" outlineLevel="0" collapsed="false">
      <c r="A255" s="20" t="n">
        <v>45565</v>
      </c>
      <c r="B255" s="30" t="n">
        <f aca="false">'SA Data'!B255</f>
        <v>147.82665</v>
      </c>
      <c r="C255" s="31" t="n">
        <f aca="false">IFERROR((B255/B254-1)*100,"")</f>
        <v>0.0352225619287827</v>
      </c>
      <c r="D255" s="31" t="n">
        <f aca="false">IFERROR((AVERAGE(B253:B255)/AVERAGE(B250:B252)-1)*100,"")</f>
        <v>3.57173166728353</v>
      </c>
      <c r="E255" s="31" t="n">
        <f aca="false">IFERROR(((AVERAGE(B253:B255)/AVERAGE(B250:B252))^4-1)*100,"")</f>
        <v>15.0707516571426</v>
      </c>
      <c r="F255" s="31" t="n">
        <f aca="false">IFERROR((B255/B243-1)*100,"")</f>
        <v>-1.25024841639766</v>
      </c>
      <c r="G255" s="31" t="n">
        <f aca="false">IFERROR((AVERAGE(B247:B255)/AVERAGE(B235:B243)-1)*100,"")</f>
        <v>-2.86561366861192</v>
      </c>
      <c r="H255" s="30" t="n">
        <f aca="false">'SA Data'!U255</f>
        <v>146.245947198504</v>
      </c>
      <c r="I255" s="31" t="n">
        <f aca="false">IFERROR((H255/H254-1)*100,"")</f>
        <v>-0.946969621713401</v>
      </c>
      <c r="J255" s="31" t="n">
        <f aca="false">IFERROR((AVERAGE(H253:H255)/AVERAGE(H250:H252)-1)*100,"")</f>
        <v>1.24600338773484</v>
      </c>
      <c r="K255" s="31" t="n">
        <f aca="false">IFERROR(((AVERAGE(H253:H255)/AVERAGE(H250:H252))^4-1)*100,"")</f>
        <v>5.07794120809213</v>
      </c>
      <c r="L255" s="31" t="n">
        <f aca="false">IFERROR(('SA Data'!Y255/'SA Data'!Y243-1)*100,"")</f>
        <v>-2.75791053660046</v>
      </c>
      <c r="M255" s="31" t="n">
        <f aca="false">IFERROR((AVERAGE('SA Data'!Y247:Y255)/AVERAGE('SA Data'!Y235:Y243)-1)*100,"")</f>
        <v>-2.77923920461779</v>
      </c>
    </row>
    <row r="256" customFormat="false" ht="15" hidden="false" customHeight="false" outlineLevel="0" collapsed="false">
      <c r="A256" s="20" t="n">
        <v>45596</v>
      </c>
      <c r="B256" s="30" t="n">
        <f aca="false">'SA Data'!B256</f>
        <v>149.04702</v>
      </c>
      <c r="C256" s="31" t="n">
        <f aca="false">IFERROR((B256/B255-1)*100,"")</f>
        <v>0.825541267423713</v>
      </c>
      <c r="D256" s="31" t="n">
        <f aca="false">IFERROR((AVERAGE(B254:B256)/AVERAGE(B251:B253)-1)*100,"")</f>
        <v>2.4918017188402</v>
      </c>
      <c r="E256" s="31" t="n">
        <f aca="false">IFERROR(((AVERAGE(B254:B256)/AVERAGE(B251:B253))^4-1)*100,"")</f>
        <v>10.3459786906504</v>
      </c>
      <c r="F256" s="31" t="n">
        <f aca="false">IFERROR((B256/B244-1)*100,"")</f>
        <v>0.698457928180885</v>
      </c>
      <c r="G256" s="31" t="n">
        <f aca="false">IFERROR((AVERAGE(B247:B256)/AVERAGE(B235:B244)-1)*100,"")</f>
        <v>-2.51069429646784</v>
      </c>
      <c r="H256" s="30" t="n">
        <f aca="false">'SA Data'!U256</f>
        <v>148.827868734492</v>
      </c>
      <c r="I256" s="31" t="n">
        <f aca="false">IFERROR((H256/H255-1)*100,"")</f>
        <v>1.76546535849227</v>
      </c>
      <c r="J256" s="31" t="n">
        <f aca="false">IFERROR((AVERAGE(H254:H256)/AVERAGE(H251:H253)-1)*100,"")</f>
        <v>0.994735481227971</v>
      </c>
      <c r="K256" s="31" t="n">
        <f aca="false">IFERROR(((AVERAGE(H254:H256)/AVERAGE(H251:H253))^4-1)*100,"")</f>
        <v>4.03870654045364</v>
      </c>
      <c r="L256" s="31" t="n">
        <f aca="false">IFERROR(('SA Data'!Y256/'SA Data'!Y244-1)*100,"")</f>
        <v>-0.305355812387265</v>
      </c>
      <c r="M256" s="31" t="n">
        <f aca="false">IFERROR((AVERAGE('SA Data'!Y247:Y256)/AVERAGE('SA Data'!Y235:Y244)-1)*100,"")</f>
        <v>-2.53457297331496</v>
      </c>
    </row>
    <row r="257" customFormat="false" ht="15" hidden="false" customHeight="false" outlineLevel="0" collapsed="false">
      <c r="A257" s="20" t="n">
        <v>45626</v>
      </c>
      <c r="B257" s="30" t="n">
        <f aca="false">'SA Data'!B257</f>
        <v>150.80206</v>
      </c>
      <c r="C257" s="31" t="n">
        <f aca="false">IFERROR((B257/B256-1)*100,"")</f>
        <v>1.17750760800184</v>
      </c>
      <c r="D257" s="31" t="n">
        <f aca="false">IFERROR((AVERAGE(B255:B257)/AVERAGE(B252:B254)-1)*100,"")</f>
        <v>2.02824086050775</v>
      </c>
      <c r="E257" s="31" t="n">
        <f aca="false">IFERROR(((AVERAGE(B255:B257)/AVERAGE(B252:B254))^4-1)*100,"")</f>
        <v>8.36314350360512</v>
      </c>
      <c r="F257" s="31" t="n">
        <f aca="false">IFERROR((B257/B245-1)*100,"")</f>
        <v>3.01510434918639</v>
      </c>
      <c r="G257" s="31" t="n">
        <f aca="false">IFERROR((AVERAGE(B247:B257)/AVERAGE(B235:B245)-1)*100,"")</f>
        <v>-2.01525735225326</v>
      </c>
      <c r="H257" s="30" t="n">
        <f aca="false">'SA Data'!U257</f>
        <v>149.534023033165</v>
      </c>
      <c r="I257" s="31" t="n">
        <f aca="false">IFERROR((H257/H256-1)*100,"")</f>
        <v>0.474477196157963</v>
      </c>
      <c r="J257" s="31" t="n">
        <f aca="false">IFERROR((AVERAGE(H255:H257)/AVERAGE(H252:H254)-1)*100,"")</f>
        <v>1.391125265223</v>
      </c>
      <c r="K257" s="31" t="n">
        <f aca="false">IFERROR(((AVERAGE(H255:H257)/AVERAGE(H252:H254))^4-1)*100,"")</f>
        <v>5.68169543488031</v>
      </c>
      <c r="L257" s="31" t="n">
        <f aca="false">IFERROR(('SA Data'!Y257/'SA Data'!Y245-1)*100,"")</f>
        <v>0.251350430876363</v>
      </c>
      <c r="M257" s="31" t="n">
        <f aca="false">IFERROR((AVERAGE('SA Data'!Y247:Y257)/AVERAGE('SA Data'!Y235:Y245)-1)*100,"")</f>
        <v>-2.28458602731716</v>
      </c>
    </row>
    <row r="258" customFormat="false" ht="15" hidden="false" customHeight="false" outlineLevel="0" collapsed="false">
      <c r="A258" s="20" t="n">
        <v>45657</v>
      </c>
      <c r="B258" s="30" t="n">
        <f aca="false">'SA Data'!B258</f>
        <v>151.48527</v>
      </c>
      <c r="C258" s="31" t="n">
        <f aca="false">IFERROR((B258/B257-1)*100,"")</f>
        <v>0.453050840286928</v>
      </c>
      <c r="D258" s="31" t="n">
        <f aca="false">IFERROR((AVERAGE(B256:B258)/AVERAGE(B253:B255)-1)*100,"")</f>
        <v>1.90798411657007</v>
      </c>
      <c r="E258" s="31" t="n">
        <f aca="false">IFERROR(((AVERAGE(B256:B258)/AVERAGE(B253:B255))^4-1)*100,"")</f>
        <v>7.85315225489986</v>
      </c>
      <c r="F258" s="31" t="n">
        <f aca="false">IFERROR((B258/B246-1)*100,"")</f>
        <v>6.03202394498903</v>
      </c>
      <c r="G258" s="31" t="n">
        <f aca="false">IFERROR((AVERAGE(B247:B258)/AVERAGE(B235:B246)-1)*100,"")</f>
        <v>-1.3677581326039</v>
      </c>
      <c r="H258" s="30" t="n">
        <f aca="false">'SA Data'!U258</f>
        <v>150.42883920932</v>
      </c>
      <c r="I258" s="31" t="n">
        <f aca="false">IFERROR((H258/H257-1)*100,"")</f>
        <v>0.598403064402442</v>
      </c>
      <c r="J258" s="31" t="n">
        <f aca="false">IFERROR((AVERAGE(H256:H258)/AVERAGE(H253:H255)-1)*100,"")</f>
        <v>1.47719375667217</v>
      </c>
      <c r="K258" s="31" t="n">
        <f aca="false">IFERROR(((AVERAGE(H256:H258)/AVERAGE(H253:H255))^4-1)*100,"")</f>
        <v>6.04099522656294</v>
      </c>
      <c r="L258" s="31" t="n">
        <f aca="false">IFERROR(('SA Data'!Y258/'SA Data'!Y246-1)*100,"")</f>
        <v>4.85796022923246</v>
      </c>
      <c r="M258" s="31" t="n">
        <f aca="false">IFERROR((AVERAGE('SA Data'!Y247:Y258)/AVERAGE('SA Data'!Y235:Y246)-1)*100,"")</f>
        <v>-1.71842143328157</v>
      </c>
    </row>
    <row r="259" customFormat="false" ht="15" hidden="false" customHeight="false" outlineLevel="0" collapsed="false">
      <c r="A259" s="20" t="n">
        <v>45688</v>
      </c>
      <c r="B259" s="30" t="n">
        <f aca="false">'SA Data'!B259</f>
        <v>151.93093</v>
      </c>
      <c r="C259" s="31" t="n">
        <f aca="false">IFERROR((B259/B258-1)*100,"")</f>
        <v>0.294193620277383</v>
      </c>
      <c r="D259" s="31" t="n">
        <f aca="false">IFERROR((AVERAGE(B257:B259)/AVERAGE(B254:B256)-1)*100,"")</f>
        <v>2.15226070709775</v>
      </c>
      <c r="E259" s="31" t="n">
        <f aca="false">IFERROR(((AVERAGE(B257:B259)/AVERAGE(B254:B256))^4-1)*100,"")</f>
        <v>8.8909857583219</v>
      </c>
      <c r="F259" s="31" t="n">
        <f aca="false">IFERROR((B259/B247-1)*100,"")</f>
        <v>5.83562928067249</v>
      </c>
      <c r="G259" s="31" t="n">
        <f aca="false">IFERROR((AVERAGE(B259:B259)/AVERAGE(B247:B247)-1)*100,"")</f>
        <v>5.83562928067249</v>
      </c>
      <c r="H259" s="30" t="n">
        <f aca="false">'SA Data'!U259</f>
        <v>151.912207689183</v>
      </c>
      <c r="I259" s="31" t="n">
        <f aca="false">IFERROR((H259/H258-1)*100,"")</f>
        <v>0.986093150528622</v>
      </c>
      <c r="J259" s="31" t="n">
        <f aca="false">IFERROR((AVERAGE(H257:H259)/AVERAGE(H254:H256)-1)*100,"")</f>
        <v>2.0683965883677</v>
      </c>
      <c r="K259" s="31" t="n">
        <f aca="false">IFERROR(((AVERAGE(H257:H259)/AVERAGE(H254:H256))^4-1)*100,"")</f>
        <v>8.5338401828581</v>
      </c>
      <c r="L259" s="31" t="n">
        <f aca="false">IFERROR(('SA Data'!Y259/'SA Data'!Y247-1)*100,"")</f>
        <v>5.05038981758514</v>
      </c>
      <c r="M259" s="31" t="n">
        <f aca="false">IFERROR((AVERAGE('SA Data'!Y259:Y259)/AVERAGE('SA Data'!Y247:Y247)-1)*100,"")</f>
        <v>5.05038981758514</v>
      </c>
    </row>
    <row r="260" customFormat="false" ht="15" hidden="false" customHeight="false" outlineLevel="0" collapsed="false">
      <c r="A260" s="20" t="n">
        <v>45716</v>
      </c>
      <c r="B260" s="30" t="n">
        <f aca="false">'SA Data'!B260</f>
        <v>153.54265</v>
      </c>
      <c r="C260" s="31" t="n">
        <f aca="false">IFERROR((B260/B259-1)*100,"")</f>
        <v>1.06082415213282</v>
      </c>
      <c r="D260" s="31" t="n">
        <f aca="false">IFERROR((AVERAGE(B258:B260)/AVERAGE(B255:B257)-1)*100,"")</f>
        <v>2.07362592562255</v>
      </c>
      <c r="E260" s="31" t="n">
        <f aca="false">IFERROR(((AVERAGE(B258:B260)/AVERAGE(B255:B257))^4-1)*100,"")</f>
        <v>8.55608423455705</v>
      </c>
      <c r="F260" s="31" t="n">
        <f aca="false">IFERROR((B260/B248-1)*100,"")</f>
        <v>6.76859041051865</v>
      </c>
      <c r="G260" s="31" t="n">
        <f aca="false">IFERROR((AVERAGE(B259:B260)/AVERAGE(B247:B248)-1)*100,"")</f>
        <v>6.30252403506109</v>
      </c>
      <c r="H260" s="30" t="n">
        <f aca="false">'SA Data'!U260</f>
        <v>152.06095917234</v>
      </c>
      <c r="I260" s="31" t="n">
        <f aca="false">IFERROR((H260/H259-1)*100,"")</f>
        <v>0.0979193742358442</v>
      </c>
      <c r="J260" s="31" t="n">
        <f aca="false">IFERROR((AVERAGE(H258:H260)/AVERAGE(H255:H257)-1)*100,"")</f>
        <v>2.20287773770602</v>
      </c>
      <c r="K260" s="31" t="n">
        <f aca="false">IFERROR(((AVERAGE(H258:H260)/AVERAGE(H255:H257))^4-1)*100,"")</f>
        <v>9.10697065464319</v>
      </c>
      <c r="L260" s="31" t="n">
        <f aca="false">IFERROR(('SA Data'!Y260/'SA Data'!Y248-1)*100,"")</f>
        <v>4.85361511910476</v>
      </c>
      <c r="M260" s="31" t="n">
        <f aca="false">IFERROR((AVERAGE('SA Data'!Y259:Y260)/AVERAGE('SA Data'!Y247:Y248)-1)*100,"")</f>
        <v>4.95310867509664</v>
      </c>
    </row>
    <row r="261" customFormat="false" ht="15" hidden="false" customHeight="false" outlineLevel="0" collapsed="false">
      <c r="A261" s="20" t="n">
        <v>45747</v>
      </c>
      <c r="B261" s="30" t="n">
        <f aca="false">'SA Data'!B261</f>
        <v>149.34718</v>
      </c>
      <c r="C261" s="31" t="n">
        <f aca="false">IFERROR((B261/B260-1)*100,"")</f>
        <v>-2.73244600115994</v>
      </c>
      <c r="D261" s="31" t="n">
        <f aca="false">IFERROR((AVERAGE(B259:B261)/AVERAGE(B256:B258)-1)*100,"")</f>
        <v>0.772467240749575</v>
      </c>
      <c r="E261" s="31" t="n">
        <f aca="false">IFERROR(((AVERAGE(B259:B261)/AVERAGE(B256:B258))^4-1)*100,"")</f>
        <v>3.1258560315609</v>
      </c>
      <c r="F261" s="31" t="n">
        <f aca="false">IFERROR((B261/B249-1)*100,"")</f>
        <v>5.08931071298622</v>
      </c>
      <c r="G261" s="31" t="n">
        <f aca="false">IFERROR((AVERAGE(B259:B261)/AVERAGE(B247:B249)-1)*100,"")</f>
        <v>5.90107009683545</v>
      </c>
      <c r="H261" s="30" t="n">
        <f aca="false">'SA Data'!U261</f>
        <v>148.333895050223</v>
      </c>
      <c r="I261" s="31" t="n">
        <f aca="false">IFERROR((H261/H260-1)*100,"")</f>
        <v>-2.45103288996912</v>
      </c>
      <c r="J261" s="31" t="n">
        <f aca="false">IFERROR((AVERAGE(H259:H261)/AVERAGE(H256:H258)-1)*100,"")</f>
        <v>0.783512379392004</v>
      </c>
      <c r="K261" s="31" t="n">
        <f aca="false">IFERROR(((AVERAGE(H259:H261)/AVERAGE(H256:H258))^4-1)*100,"")</f>
        <v>3.17107579003313</v>
      </c>
      <c r="L261" s="31" t="n">
        <f aca="false">IFERROR(('SA Data'!Y261/'SA Data'!Y249-1)*100,"")</f>
        <v>5.23960993318251</v>
      </c>
      <c r="M261" s="31" t="n">
        <f aca="false">IFERROR((AVERAGE('SA Data'!Y259:Y261)/AVERAGE('SA Data'!Y247:Y249)-1)*100,"")</f>
        <v>5.0517577781136</v>
      </c>
    </row>
    <row r="262" customFormat="false" ht="15" hidden="false" customHeight="false" outlineLevel="0" collapsed="false">
      <c r="A262" s="20" t="n">
        <v>45777</v>
      </c>
      <c r="B262" s="30" t="n">
        <f aca="false">'SA Data'!B262</f>
        <v>152.3841</v>
      </c>
      <c r="C262" s="31" t="n">
        <f aca="false">IFERROR((B262/B261-1)*100,"")</f>
        <v>2.03346323646685</v>
      </c>
      <c r="D262" s="31" t="n">
        <f aca="false">IFERROR((AVERAGE(B260:B262)/AVERAGE(B257:B259)-1)*100,"")</f>
        <v>0.232414698607686</v>
      </c>
      <c r="E262" s="31" t="n">
        <f aca="false">IFERROR(((AVERAGE(B260:B262)/AVERAGE(B257:B259))^4-1)*100,"")</f>
        <v>0.932904814576263</v>
      </c>
      <c r="F262" s="31" t="n">
        <f aca="false">IFERROR((B262/B250-1)*100,"")</f>
        <v>8.03083198375227</v>
      </c>
      <c r="G262" s="31" t="n">
        <f aca="false">IFERROR((AVERAGE(B259:B262)/AVERAGE(B247:B250)-1)*100,"")</f>
        <v>6.42762311756335</v>
      </c>
      <c r="H262" s="30" t="n">
        <f aca="false">'SA Data'!U262</f>
        <v>152.934950032782</v>
      </c>
      <c r="I262" s="31" t="n">
        <f aca="false">IFERROR((H262/H261-1)*100,"")</f>
        <v>3.10182307354701</v>
      </c>
      <c r="J262" s="31" t="n">
        <f aca="false">IFERROR((AVERAGE(H260:H262)/AVERAGE(H257:H259)-1)*100,"")</f>
        <v>0.32193285721589</v>
      </c>
      <c r="K262" s="31" t="n">
        <f aca="false">IFERROR(((AVERAGE(H260:H262)/AVERAGE(H257:H259))^4-1)*100,"")</f>
        <v>1.29396323162525</v>
      </c>
      <c r="L262" s="31" t="n">
        <f aca="false">IFERROR(('SA Data'!Y262/'SA Data'!Y250-1)*100,"")</f>
        <v>7.32168217375291</v>
      </c>
      <c r="M262" s="31" t="n">
        <f aca="false">IFERROR((AVERAGE('SA Data'!Y259:Y262)/AVERAGE('SA Data'!Y247:Y250)-1)*100,"")</f>
        <v>5.64308038229218</v>
      </c>
    </row>
    <row r="263" customFormat="false" ht="15" hidden="false" customHeight="false" outlineLevel="0" collapsed="false">
      <c r="A263" s="20" t="n">
        <v>45808</v>
      </c>
      <c r="B263" s="30" t="n">
        <f aca="false">'SA Data'!B263</f>
        <v>152.27052</v>
      </c>
      <c r="C263" s="31" t="n">
        <f aca="false">IFERROR((B263/B262-1)*100,"")</f>
        <v>-0.0745353353794664</v>
      </c>
      <c r="D263" s="31" t="n">
        <f aca="false">IFERROR((AVERAGE(B261:B263)/AVERAGE(B258:B260)-1)*100,"")</f>
        <v>-0.647115161463663</v>
      </c>
      <c r="E263" s="31" t="n">
        <f aca="false">IFERROR(((AVERAGE(B261:B263)/AVERAGE(B258:B260))^4-1)*100,"")</f>
        <v>-2.56344338243324</v>
      </c>
      <c r="F263" s="31" t="n">
        <f aca="false">IFERROR((B263/B251-1)*100,"")</f>
        <v>6.60499229186999</v>
      </c>
      <c r="G263" s="31" t="n">
        <f aca="false">IFERROR((AVERAGE(B259:B263)/AVERAGE(B247:B251)-1)*100,"")</f>
        <v>6.46313731397539</v>
      </c>
      <c r="H263" s="30" t="n">
        <f aca="false">'SA Data'!U263</f>
        <v>152.57863811702</v>
      </c>
      <c r="I263" s="31" t="n">
        <f aca="false">IFERROR((H263/H262-1)*100,"")</f>
        <v>-0.232982660723069</v>
      </c>
      <c r="J263" s="31" t="n">
        <f aca="false">IFERROR((AVERAGE(H261:H263)/AVERAGE(H258:H260)-1)*100,"")</f>
        <v>-0.122033543736255</v>
      </c>
      <c r="K263" s="31" t="n">
        <f aca="false">IFERROR(((AVERAGE(H261:H263)/AVERAGE(H258:H260))^4-1)*100,"")</f>
        <v>-0.487241370513913</v>
      </c>
      <c r="L263" s="31" t="n">
        <f aca="false">IFERROR(('SA Data'!Y263/'SA Data'!Y251-1)*100,"")</f>
        <v>4.85857525498441</v>
      </c>
      <c r="M263" s="31" t="n">
        <f aca="false">IFERROR((AVERAGE('SA Data'!Y259:Y263)/AVERAGE('SA Data'!Y247:Y251)-1)*100,"")</f>
        <v>5.47220505244852</v>
      </c>
    </row>
    <row r="264" customFormat="false" ht="15" hidden="false" customHeight="false" outlineLevel="0" collapsed="false">
      <c r="A264" s="20" t="n">
        <v>45838</v>
      </c>
      <c r="B264" s="30" t="n">
        <f aca="false">'SA Data'!B264</f>
        <v>151.5483</v>
      </c>
      <c r="C264" s="31" t="n">
        <f aca="false">IFERROR((B264/B263-1)*100,"")</f>
        <v>-0.474300606578337</v>
      </c>
      <c r="D264" s="31" t="n">
        <f aca="false">IFERROR((AVERAGE(B262:B264)/AVERAGE(B259:B261)-1)*100,"")</f>
        <v>0.303891141644463</v>
      </c>
      <c r="E264" s="31" t="n">
        <f aca="false">IFERROR(((AVERAGE(B262:B264)/AVERAGE(B259:B261))^4-1)*100,"")</f>
        <v>1.22111679038217</v>
      </c>
      <c r="F264" s="31" t="n">
        <f aca="false">IFERROR((B264/B252-1)*100,"")</f>
        <v>5.44782778864972</v>
      </c>
      <c r="G264" s="31" t="n">
        <f aca="false">IFERROR((AVERAGE(B259:B264)/AVERAGE(B247:B252)-1)*100,"")</f>
        <v>6.29288758405218</v>
      </c>
      <c r="H264" s="30" t="n">
        <f aca="false">'SA Data'!U264</f>
        <v>151.060948931883</v>
      </c>
      <c r="I264" s="31" t="n">
        <f aca="false">IFERROR((H264/H263-1)*100,"")</f>
        <v>-0.994693099811805</v>
      </c>
      <c r="J264" s="31" t="n">
        <f aca="false">IFERROR((AVERAGE(H262:H264)/AVERAGE(H259:H261)-1)*100,"")</f>
        <v>0.943490723293761</v>
      </c>
      <c r="K264" s="31" t="n">
        <f aca="false">IFERROR(((AVERAGE(H262:H264)/AVERAGE(H259:H261))^4-1)*100,"")</f>
        <v>3.8277101189282</v>
      </c>
      <c r="L264" s="31" t="n">
        <f aca="false">IFERROR(('SA Data'!Y264/'SA Data'!Y252-1)*100,"")</f>
        <v>6.26392708621328</v>
      </c>
      <c r="M264" s="31" t="n">
        <f aca="false">IFERROR((AVERAGE('SA Data'!Y259:Y264)/AVERAGE('SA Data'!Y247:Y252)-1)*100,"")</f>
        <v>5.60724721487869</v>
      </c>
    </row>
    <row r="265" customFormat="false" ht="15" hidden="false" customHeight="false" outlineLevel="0" collapsed="false">
      <c r="A265" s="20" t="n">
        <v>45869</v>
      </c>
      <c r="B265" s="30" t="n">
        <f aca="false">'SA Data'!B265</f>
        <v>151.2933</v>
      </c>
      <c r="C265" s="31" t="n">
        <f aca="false">IFERROR((B265/B264-1)*100,"")</f>
        <v>-0.16826318737988</v>
      </c>
      <c r="D265" s="31" t="n">
        <f aca="false">IFERROR((AVERAGE(B263:B265)/AVERAGE(B260:B262)-1)*100,"")</f>
        <v>-0.0355412399739352</v>
      </c>
      <c r="E265" s="31" t="n">
        <f aca="false">IFERROR(((AVERAGE(B263:B265)/AVERAGE(B260:B262))^4-1)*100,"")</f>
        <v>-0.142089187067807</v>
      </c>
      <c r="F265" s="31" t="n">
        <f aca="false">IFERROR((B265/B253-1)*100,"")</f>
        <v>2.72289512960564</v>
      </c>
      <c r="G265" s="31" t="n">
        <f aca="false">IFERROR((AVERAGE(B259:B265)/AVERAGE(B247:B253)-1)*100,"")</f>
        <v>5.76937688057371</v>
      </c>
      <c r="H265" s="30" t="n">
        <f aca="false">'SA Data'!U265</f>
        <v>151.66300037164</v>
      </c>
      <c r="I265" s="31" t="n">
        <f aca="false">IFERROR((H265/H264-1)*100,"")</f>
        <v>0.398548694426659</v>
      </c>
      <c r="J265" s="31" t="n">
        <f aca="false">IFERROR((AVERAGE(H263:H265)/AVERAGE(H260:H262)-1)*100,"")</f>
        <v>0.435176144758209</v>
      </c>
      <c r="K265" s="31" t="n">
        <f aca="false">IFERROR(((AVERAGE(H263:H265)/AVERAGE(H260:H262))^4-1)*100,"")</f>
        <v>1.75210027667836</v>
      </c>
      <c r="L265" s="31" t="n">
        <f aca="false">IFERROR(('SA Data'!Y265/'SA Data'!Y253-1)*100,"")</f>
        <v>2.16905551203734</v>
      </c>
      <c r="M265" s="31" t="n">
        <f aca="false">IFERROR((AVERAGE('SA Data'!Y259:Y265)/AVERAGE('SA Data'!Y247:Y253)-1)*100,"")</f>
        <v>5.10462089600683</v>
      </c>
    </row>
    <row r="266" customFormat="false" ht="15" hidden="false" customHeight="false" outlineLevel="0" collapsed="false">
      <c r="A266" s="20" t="n">
        <v>45900</v>
      </c>
      <c r="B266" s="30" t="n">
        <f aca="false">'SA Data'!B266</f>
        <v>152.17594</v>
      </c>
      <c r="C266" s="31" t="n">
        <f aca="false">IFERROR((B266/B265-1)*100,"")</f>
        <v>0.583396621000398</v>
      </c>
      <c r="D266" s="31" t="n">
        <f aca="false">IFERROR((AVERAGE(B264:B266)/AVERAGE(B261:B263)-1)*100,"")</f>
        <v>0.223730390496257</v>
      </c>
      <c r="E266" s="31" t="n">
        <f aca="false">IFERROR(((AVERAGE(B264:B266)/AVERAGE(B261:B263))^4-1)*100,"")</f>
        <v>0.897929361304084</v>
      </c>
      <c r="F266" s="31" t="n">
        <f aca="false">IFERROR((B266/B254-1)*100,"")</f>
        <v>2.978414423047</v>
      </c>
      <c r="G266" s="31" t="n">
        <f aca="false">IFERROR((AVERAGE(B259:B266)/AVERAGE(B247:B254)-1)*100,"")</f>
        <v>5.41140706318524</v>
      </c>
      <c r="H266" s="30" t="n">
        <f aca="false">'SA Data'!U266</f>
        <v>149.605712744037</v>
      </c>
      <c r="I266" s="31" t="n">
        <f aca="false">IFERROR((H266/H265-1)*100,"")</f>
        <v>-1.35648617168439</v>
      </c>
      <c r="J266" s="31" t="n">
        <f aca="false">IFERROR((AVERAGE(H264:H266)/AVERAGE(H261:H263)-1)*100,"")</f>
        <v>-0.334434189601152</v>
      </c>
      <c r="K266" s="31" t="n">
        <f aca="false">IFERROR(((AVERAGE(H264:H266)/AVERAGE(H261:H263))^4-1)*100,"")</f>
        <v>-1.33104093434552</v>
      </c>
      <c r="L266" s="31" t="n">
        <f aca="false">IFERROR(('SA Data'!Y266/'SA Data'!Y254-1)*100,"")</f>
        <v>1.26329914393197</v>
      </c>
      <c r="M266" s="31" t="n">
        <f aca="false">IFERROR((AVERAGE('SA Data'!Y259:Y266)/AVERAGE('SA Data'!Y247:Y254)-1)*100,"")</f>
        <v>4.62077312194473</v>
      </c>
    </row>
    <row r="267" customFormat="false" ht="15" hidden="false" customHeight="false" outlineLevel="0" collapsed="false">
      <c r="A267" s="20" t="n">
        <v>45930</v>
      </c>
      <c r="B267" s="30" t="n">
        <f aca="false">'SA Data'!B267</f>
        <v>153.27772</v>
      </c>
      <c r="C267" s="31" t="n">
        <f aca="false">IFERROR((B267/B266-1)*100,"")</f>
        <v>0.724017213233563</v>
      </c>
      <c r="D267" s="31" t="n">
        <f aca="false">IFERROR((AVERAGE(B265:B267)/AVERAGE(B262:B264)-1)*100,"")</f>
        <v>0.119253949536291</v>
      </c>
      <c r="E267" s="31" t="n">
        <f aca="false">IFERROR(((AVERAGE(B265:B267)/AVERAGE(B262:B264))^4-1)*100,"")</f>
        <v>0.477869767004457</v>
      </c>
      <c r="F267" s="31" t="n">
        <f aca="false">IFERROR((B267/B255-1)*100,"")</f>
        <v>3.68747448447218</v>
      </c>
      <c r="G267" s="31" t="n">
        <f aca="false">IFERROR((AVERAGE(B259:B267)/AVERAGE(B247:B255)-1)*100,"")</f>
        <v>5.2153696692671</v>
      </c>
      <c r="H267" s="30" t="n">
        <f aca="false">'SA Data'!U267</f>
        <v>152.339205330988</v>
      </c>
      <c r="I267" s="31" t="n">
        <f aca="false">IFERROR((H267/H266-1)*100,"")</f>
        <v>1.82713115482946</v>
      </c>
      <c r="J267" s="31" t="n">
        <f aca="false">IFERROR((AVERAGE(H265:H267)/AVERAGE(H262:H264)-1)*100,"")</f>
        <v>-0.649755602662971</v>
      </c>
      <c r="K267" s="31" t="n">
        <f aca="false">IFERROR(((AVERAGE(H265:H267)/AVERAGE(H262:H264))^4-1)*100,"")</f>
        <v>-2.57380101795958</v>
      </c>
      <c r="L267" s="31" t="n">
        <f aca="false">IFERROR(('SA Data'!Y267/'SA Data'!Y255-1)*100,"")</f>
        <v>3.91721113414592</v>
      </c>
      <c r="M267" s="31" t="n">
        <f aca="false">IFERROR((AVERAGE('SA Data'!Y259:Y267)/AVERAGE('SA Data'!Y247:Y255)-1)*100,"")</f>
        <v>4.5434898012696</v>
      </c>
    </row>
    <row r="268" customFormat="false" ht="15" hidden="false" customHeight="false" outlineLevel="0" collapsed="false">
      <c r="A268" s="20" t="n">
        <v>45961</v>
      </c>
      <c r="B268" s="30" t="n">
        <f aca="false">'SA Data'!B268</f>
        <v>153.09073</v>
      </c>
      <c r="C268" s="31" t="n">
        <f aca="false">IFERROR((B268/B267-1)*100,"")</f>
        <v>-0.121994246782886</v>
      </c>
      <c r="D268" s="31" t="n">
        <f aca="false">IFERROR((AVERAGE(B266:B268)/AVERAGE(B263:B265)-1)*100,"")</f>
        <v>0.754159216854089</v>
      </c>
      <c r="E268" s="31" t="n">
        <f aca="false">IFERROR(((AVERAGE(B266:B268)/AVERAGE(B263:B265))^4-1)*100,"")</f>
        <v>3.05093413143118</v>
      </c>
      <c r="F268" s="31" t="n">
        <f aca="false">IFERROR((B268/B256-1)*100,"")</f>
        <v>2.71304317255052</v>
      </c>
      <c r="G268" s="31" t="n">
        <f aca="false">IFERROR((AVERAGE(B259:B268)/AVERAGE(B247:B256)-1)*100,"")</f>
        <v>4.95797882057196</v>
      </c>
      <c r="H268" s="30" t="n">
        <f aca="false">'SA Data'!U268</f>
        <v>153.340253511576</v>
      </c>
      <c r="I268" s="31" t="n">
        <f aca="false">IFERROR((H268/H267-1)*100,"")</f>
        <v>0.657117895825166</v>
      </c>
      <c r="J268" s="31" t="n">
        <f aca="false">IFERROR((AVERAGE(H266:H268)/AVERAGE(H263:H265)-1)*100,"")</f>
        <v>-0.00382511200769375</v>
      </c>
      <c r="K268" s="31" t="n">
        <f aca="false">IFERROR(((AVERAGE(H266:H268)/AVERAGE(H263:H265))^4-1)*100,"")</f>
        <v>-0.0152995701642511</v>
      </c>
      <c r="L268" s="31" t="n">
        <f aca="false">IFERROR(('SA Data'!Y268/'SA Data'!Y256-1)*100,"")</f>
        <v>2.43528072557269</v>
      </c>
      <c r="M268" s="31" t="n">
        <f aca="false">IFERROR((AVERAGE('SA Data'!Y259:Y268)/AVERAGE('SA Data'!Y247:Y256)-1)*100,"")</f>
        <v>4.33021982348061</v>
      </c>
    </row>
    <row r="269" customFormat="false" ht="15" hidden="false" customHeight="false" outlineLevel="0" collapsed="false">
      <c r="A269" s="20" t="n">
        <v>45991</v>
      </c>
      <c r="B269" s="30" t="n">
        <f aca="false">'SA Data'!B269</f>
        <v>153.01279</v>
      </c>
      <c r="C269" s="31" t="n">
        <f aca="false">IFERROR((B269/B268-1)*100,"")</f>
        <v>-0.0509109859231915</v>
      </c>
      <c r="D269" s="31" t="n">
        <f aca="false">IFERROR((AVERAGE(B267:B269)/AVERAGE(B264:B266)-1)*100,"")</f>
        <v>0.959017975438914</v>
      </c>
      <c r="E269" s="31" t="n">
        <f aca="false">IFERROR(((AVERAGE(B267:B269)/AVERAGE(B264:B266))^4-1)*100,"")</f>
        <v>3.89160848573509</v>
      </c>
      <c r="F269" s="31" t="n">
        <f aca="false">IFERROR((B269/B257-1)*100,"")</f>
        <v>1.46598130025544</v>
      </c>
      <c r="G269" s="31" t="n">
        <f aca="false">IFERROR((AVERAGE(B259:B269)/AVERAGE(B247:B257)-1)*100,"")</f>
        <v>4.62881680739655</v>
      </c>
      <c r="H269" s="30" t="n">
        <f aca="false">'SA Data'!U269</f>
        <v>149.533445294191</v>
      </c>
      <c r="I269" s="31" t="n">
        <f aca="false">IFERROR((H269/H268-1)*100,"")</f>
        <v>-2.48258896813214</v>
      </c>
      <c r="J269" s="31" t="n">
        <f aca="false">IFERROR((AVERAGE(H267:H269)/AVERAGE(H264:H266)-1)*100,"")</f>
        <v>0.637420521162224</v>
      </c>
      <c r="K269" s="31" t="n">
        <f aca="false">IFERROR(((AVERAGE(H267:H269)/AVERAGE(H264:H266))^4-1)*100,"")</f>
        <v>2.57416413981826</v>
      </c>
      <c r="L269" s="31" t="n">
        <f aca="false">IFERROR(('SA Data'!Y269/'SA Data'!Y257-1)*100,"")</f>
        <v>-0.402013939687196</v>
      </c>
      <c r="M269" s="31" t="n">
        <f aca="false">IFERROR((AVERAGE('SA Data'!Y259:Y269)/AVERAGE('SA Data'!Y247:Y257)-1)*100,"")</f>
        <v>3.89456602587488</v>
      </c>
    </row>
    <row r="270" customFormat="false" ht="15" hidden="false" customHeight="false" outlineLevel="0" collapsed="false">
      <c r="A270" s="20" t="n">
        <v>46022</v>
      </c>
      <c r="B270" s="30" t="n">
        <f aca="false">'SA Data'!B270</f>
        <v>155.94782</v>
      </c>
      <c r="C270" s="31" t="n">
        <f aca="false">IFERROR((B270/B269-1)*100,"")</f>
        <v>1.91815991329876</v>
      </c>
      <c r="D270" s="31" t="n">
        <f aca="false">IFERROR((AVERAGE(B268:B270)/AVERAGE(B265:B267)-1)*100,"")</f>
        <v>1.16133887349794</v>
      </c>
      <c r="E270" s="31" t="n">
        <f aca="false">IFERROR(((AVERAGE(B268:B270)/AVERAGE(B265:B267))^4-1)*100,"")</f>
        <v>4.72690631455288</v>
      </c>
      <c r="F270" s="31" t="n">
        <f aca="false">IFERROR((B270/B258-1)*100,"")</f>
        <v>2.94586397740189</v>
      </c>
      <c r="G270" s="31" t="n">
        <f aca="false">IFERROR((AVERAGE(B259:B270)/AVERAGE(B247:B258)-1)*100,"")</f>
        <v>4.48324403362763</v>
      </c>
      <c r="H270" s="30" t="n">
        <f aca="false">'SA Data'!U270</f>
        <v>155.295265622969</v>
      </c>
      <c r="I270" s="31" t="n">
        <f aca="false">IFERROR((H270/H269-1)*100,"")</f>
        <v>3.85319840484004</v>
      </c>
      <c r="J270" s="31" t="n">
        <f aca="false">IFERROR((AVERAGE(H268:H270)/AVERAGE(H265:H267)-1)*100,"")</f>
        <v>1.0055040480093</v>
      </c>
      <c r="K270" s="31" t="n">
        <f aca="false">IFERROR(((AVERAGE(H268:H270)/AVERAGE(H265:H267))^4-1)*100,"")</f>
        <v>4.08308615894737</v>
      </c>
      <c r="L270" s="31" t="n">
        <f aca="false">IFERROR(('SA Data'!Y270/'SA Data'!Y258-1)*100,"")</f>
        <v>2.94042927086722</v>
      </c>
      <c r="M270" s="31" t="n">
        <f aca="false">IFERROR((AVERAGE('SA Data'!Y259:Y270)/AVERAGE('SA Data'!Y247:Y258)-1)*100,"")</f>
        <v>3.81387419811758</v>
      </c>
    </row>
    <row r="271" customFormat="false" ht="15" hidden="false" customHeight="false" outlineLevel="0" collapsed="false">
      <c r="A271" s="20" t="n">
        <v>46053</v>
      </c>
      <c r="B271" s="30" t="n">
        <f aca="false">'SA Data'!B271</f>
        <v>156.30087</v>
      </c>
      <c r="C271" s="31" t="n">
        <f aca="false">IFERROR((B271/B270-1)*100,"")</f>
        <v>0.226389827058826</v>
      </c>
      <c r="D271" s="31" t="n">
        <f aca="false">IFERROR((AVERAGE(B269:B271)/AVERAGE(B266:B268)-1)*100,"")</f>
        <v>1.46487235401573</v>
      </c>
      <c r="E271" s="31" t="n">
        <f aca="false">IFERROR(((AVERAGE(B269:B271)/AVERAGE(B266:B268))^4-1)*100,"")</f>
        <v>5.98950244068333</v>
      </c>
      <c r="F271" s="31" t="n">
        <f aca="false">IFERROR((B271/B259-1)*100,"")</f>
        <v>2.87626752498653</v>
      </c>
      <c r="G271" s="31" t="n">
        <f aca="false">IFERROR((AVERAGE(B271:B271)/AVERAGE(B259:B259)-1)*100,"")</f>
        <v>2.87626752498653</v>
      </c>
      <c r="H271" s="30" t="n">
        <f aca="false">'SA Data'!U271</f>
        <v>155.016136913528</v>
      </c>
      <c r="I271" s="31" t="n">
        <f aca="false">IFERROR((H271/H270-1)*100,"")</f>
        <v>-0.179740643297688</v>
      </c>
      <c r="J271" s="31" t="n">
        <f aca="false">IFERROR((AVERAGE(H269:H271)/AVERAGE(H266:H268)-1)*100,"")</f>
        <v>1.00149895684032</v>
      </c>
      <c r="K271" s="31" t="n">
        <f aca="false">IFERROR(((AVERAGE(H269:H271)/AVERAGE(H266:H268))^4-1)*100,"")</f>
        <v>4.06657864444953</v>
      </c>
      <c r="L271" s="31" t="n">
        <f aca="false">IFERROR(('SA Data'!Y271/'SA Data'!Y259-1)*100,"")</f>
        <v>1.74865152652788</v>
      </c>
      <c r="M271" s="31" t="n">
        <f aca="false">IFERROR((AVERAGE('SA Data'!Y271:Y271)/AVERAGE('SA Data'!Y259:Y259)-1)*100,"")</f>
        <v>1.74865152652788</v>
      </c>
    </row>
    <row r="272" customFormat="false" ht="15" hidden="false" customHeight="false" outlineLevel="0" collapsed="false">
      <c r="A272" s="20" t="n">
        <v>46081</v>
      </c>
      <c r="B272" s="30" t="n">
        <f aca="false">'SA Data'!B272</f>
        <v>152.46233</v>
      </c>
      <c r="C272" s="31" t="n">
        <f aca="false">IFERROR((B272/B271-1)*100,"")</f>
        <v>-2.45586604860228</v>
      </c>
      <c r="D272" s="31" t="n">
        <f aca="false">IFERROR((AVERAGE(B270:B272)/AVERAGE(B267:B269)-1)*100,"")</f>
        <v>1.16020845779423</v>
      </c>
      <c r="E272" s="31" t="n">
        <f aca="false">IFERROR(((AVERAGE(B270:B272)/AVERAGE(B267:B269))^4-1)*100,"")</f>
        <v>4.72222535811186</v>
      </c>
      <c r="F272" s="31" t="n">
        <f aca="false">IFERROR((B272/B260-1)*100,"")</f>
        <v>-0.703596036671239</v>
      </c>
      <c r="G272" s="31" t="n">
        <f aca="false">IFERROR((AVERAGE(B271:B272)/AVERAGE(B259:B260)-1)*100,"")</f>
        <v>1.07689182154478</v>
      </c>
      <c r="H272" s="30" t="n">
        <f aca="false">'SA Data'!U272</f>
        <v>150.588093368048</v>
      </c>
      <c r="I272" s="31" t="n">
        <f aca="false">IFERROR((H272/H271-1)*100,"")</f>
        <v>-2.85650489919647</v>
      </c>
      <c r="J272" s="31" t="n">
        <f aca="false">IFERROR((AVERAGE(H270:H272)/AVERAGE(H267:H269)-1)*100,"")</f>
        <v>1.24921585396931</v>
      </c>
      <c r="K272" s="31" t="n">
        <f aca="false">IFERROR(((AVERAGE(H270:H272)/AVERAGE(H267:H269))^4-1)*100,"")</f>
        <v>5.09127804679994</v>
      </c>
      <c r="L272" s="31" t="n">
        <f aca="false">IFERROR(('SA Data'!Y272/'SA Data'!Y260-1)*100,"")</f>
        <v>-0.806292484960891</v>
      </c>
      <c r="M272" s="31" t="n">
        <f aca="false">IFERROR((AVERAGE('SA Data'!Y271:Y272)/AVERAGE('SA Data'!Y259:Y260)-1)*100,"")</f>
        <v>0.486740032410893</v>
      </c>
    </row>
    <row r="273" customFormat="false" ht="15" hidden="false" customHeight="false" outlineLevel="0" collapsed="false">
      <c r="A273" s="20" t="n">
        <v>46112</v>
      </c>
      <c r="B273" s="30" t="n">
        <f aca="false">'SA Data'!B273</f>
        <v>156.73111</v>
      </c>
      <c r="C273" s="31" t="n">
        <f aca="false">IFERROR((B273/B272-1)*100,"")</f>
        <v>2.79989161912979</v>
      </c>
      <c r="D273" s="31" t="n">
        <f aca="false">IFERROR((AVERAGE(B271:B273)/AVERAGE(B268:B270)-1)*100,"")</f>
        <v>0.74514879666836</v>
      </c>
      <c r="E273" s="31" t="n">
        <f aca="false">IFERROR(((AVERAGE(B271:B273)/AVERAGE(B268:B270))^4-1)*100,"")</f>
        <v>3.01407579529578</v>
      </c>
      <c r="F273" s="31" t="n">
        <f aca="false">IFERROR((B273/B261-1)*100,"")</f>
        <v>4.94413754581773</v>
      </c>
      <c r="G273" s="31" t="n">
        <f aca="false">IFERROR((AVERAGE(B271:B273)/AVERAGE(B259:B261)-1)*100,"")</f>
        <v>2.34675963339932</v>
      </c>
      <c r="H273" s="30" t="n">
        <f aca="false">'SA Data'!U273</f>
        <v>156.790892176388</v>
      </c>
      <c r="I273" s="31" t="n">
        <f aca="false">IFERROR((H273/H272-1)*100,"")</f>
        <v>4.11904996577686</v>
      </c>
      <c r="J273" s="31" t="n">
        <f aca="false">IFERROR((AVERAGE(H271:H273)/AVERAGE(H268:H270)-1)*100,"")</f>
        <v>0.922401637242531</v>
      </c>
      <c r="K273" s="31" t="n">
        <f aca="false">IFERROR(((AVERAGE(H271:H273)/AVERAGE(H268:H270))^4-1)*100,"")</f>
        <v>3.74097068056436</v>
      </c>
      <c r="L273" s="31" t="n">
        <f aca="false">IFERROR(('SA Data'!Y273/'SA Data'!Y261-1)*100,"")</f>
        <v>5.42799937983425</v>
      </c>
      <c r="M273" s="31" t="n">
        <f aca="false">IFERROR((AVERAGE('SA Data'!Y271:Y273)/AVERAGE('SA Data'!Y259:Y261)-1)*100,"")</f>
        <v>2.19117392808388</v>
      </c>
    </row>
    <row r="274" customFormat="false" ht="15" hidden="false" customHeight="false" outlineLevel="0" collapsed="false">
      <c r="A274" s="20" t="n">
        <v>46142</v>
      </c>
      <c r="B274" s="30" t="n">
        <f aca="false">'SA Data'!B274</f>
        <v>154.3364</v>
      </c>
      <c r="C274" s="31" t="n">
        <f aca="false">IFERROR((B274/B273-1)*100,"")</f>
        <v>-1.52790980680224</v>
      </c>
      <c r="D274" s="31" t="n">
        <f aca="false">IFERROR((AVERAGE(B272:B274)/AVERAGE(B269:B271)-1)*100,"")</f>
        <v>-0.372186410102127</v>
      </c>
      <c r="E274" s="31" t="n">
        <f aca="false">IFERROR(((AVERAGE(B272:B274)/AVERAGE(B269:B271))^4-1)*100,"")</f>
        <v>-1.4804548802982</v>
      </c>
      <c r="F274" s="31" t="n">
        <f aca="false">IFERROR((B274/B262-1)*100,"")</f>
        <v>1.28117041082372</v>
      </c>
      <c r="G274" s="31" t="n">
        <f aca="false">IFERROR((AVERAGE(B271:B274)/AVERAGE(B259:B262)-1)*100,"")</f>
        <v>2.07933941767198</v>
      </c>
      <c r="H274" s="30" t="n">
        <f aca="false">'SA Data'!U274</f>
        <v>154.698315259386</v>
      </c>
      <c r="I274" s="31" t="n">
        <f aca="false">IFERROR((H274/H273-1)*100,"")</f>
        <v>-1.33462912797779</v>
      </c>
      <c r="J274" s="31" t="n">
        <f aca="false">IFERROR((AVERAGE(H272:H274)/AVERAGE(H269:H271)-1)*100,"")</f>
        <v>0.485479609843464</v>
      </c>
      <c r="K274" s="31" t="n">
        <f aca="false">IFERROR(((AVERAGE(H272:H274)/AVERAGE(H269:H271))^4-1)*100,"")</f>
        <v>1.95610569118165</v>
      </c>
      <c r="L274" s="31" t="n">
        <f aca="false">IFERROR(('SA Data'!Y274/'SA Data'!Y262-1)*100,"")</f>
        <v>1.19720887932422</v>
      </c>
      <c r="M274" s="31" t="n">
        <f aca="false">IFERROR((AVERAGE('SA Data'!Y271:Y274)/AVERAGE('SA Data'!Y259:Y262)-1)*100,"")</f>
        <v>1.9281285852883</v>
      </c>
    </row>
    <row r="275" customFormat="false" ht="15" hidden="false" customHeight="false" outlineLevel="0" collapsed="false">
      <c r="A275" s="20" t="n">
        <v>46173</v>
      </c>
      <c r="B275" s="30" t="n">
        <f aca="false">'SA Data'!B275</f>
        <v>153.62027</v>
      </c>
      <c r="C275" s="31" t="n">
        <f aca="false">IFERROR((B275/B274-1)*100,"")</f>
        <v>-0.464005898802866</v>
      </c>
      <c r="D275" s="31" t="n">
        <f aca="false">IFERROR((AVERAGE(B273:B275)/AVERAGE(B270:B272)-1)*100,"")</f>
        <v>-0.00500095736916117</v>
      </c>
      <c r="E275" s="31" t="n">
        <f aca="false">IFERROR(((AVERAGE(B273:B275)/AVERAGE(B270:B272))^4-1)*100,"")</f>
        <v>-0.0200023289521956</v>
      </c>
      <c r="F275" s="31" t="n">
        <f aca="false">IFERROR((B275/B263-1)*100,"")</f>
        <v>0.886415834135201</v>
      </c>
      <c r="G275" s="31" t="n">
        <f aca="false">IFERROR((AVERAGE(B271:B275)/AVERAGE(B259:B263)-1)*100,"")</f>
        <v>1.84016498335997</v>
      </c>
      <c r="H275" s="30" t="n">
        <f aca="false">'SA Data'!U275</f>
        <v>151.641789052674</v>
      </c>
      <c r="I275" s="31" t="n">
        <f aca="false">IFERROR((H275/H274-1)*100,"")</f>
        <v>-1.97579799210308</v>
      </c>
      <c r="J275" s="31" t="n">
        <f aca="false">IFERROR((AVERAGE(H273:H275)/AVERAGE(H270:H272)-1)*100,"")</f>
        <v>0.484162079527506</v>
      </c>
      <c r="K275" s="31" t="n">
        <f aca="false">IFERROR(((AVERAGE(H273:H275)/AVERAGE(H270:H272))^4-1)*100,"")</f>
        <v>1.95075854575317</v>
      </c>
      <c r="L275" s="31" t="n">
        <f aca="false">IFERROR(('SA Data'!Y275/'SA Data'!Y263-1)*100,"")</f>
        <v>-0.00861358364081521</v>
      </c>
      <c r="M275" s="31" t="n">
        <f aca="false">IFERROR((AVERAGE('SA Data'!Y271:Y275)/AVERAGE('SA Data'!Y259:Y263)-1)*100,"")</f>
        <v>1.50873545247763</v>
      </c>
    </row>
    <row r="276" customFormat="false" ht="15" hidden="false" customHeight="false" outlineLevel="0" collapsed="false">
      <c r="A276" s="20" t="n">
        <v>46203</v>
      </c>
      <c r="B276" s="30" t="str">
        <f aca="false">'SA Data'!B276</f>
        <v/>
      </c>
      <c r="C276" s="31" t="str">
        <f aca="false">IFERROR((B276/B275-1)*100,"")</f>
        <v/>
      </c>
      <c r="D276" s="31" t="n">
        <f aca="false">IFERROR((AVERAGE(B274:B276)/AVERAGE(B271:B273)-1)*100,"")</f>
        <v>-0.7646291100744</v>
      </c>
      <c r="E276" s="31" t="n">
        <f aca="false">IFERROR(((AVERAGE(B274:B276)/AVERAGE(B271:B273))^4-1)*100,"")</f>
        <v>-3.023615456426</v>
      </c>
      <c r="F276" s="31" t="str">
        <f aca="false">IFERROR((B276/B264-1)*100,"")</f>
        <v/>
      </c>
      <c r="G276" s="31" t="n">
        <f aca="false">IFERROR((AVERAGE(B271:B276)/AVERAGE(B259:B264)-1)*100,"")</f>
        <v>1.87892986491855</v>
      </c>
      <c r="H276" s="30" t="str">
        <f aca="false">'SA Data'!U276</f>
        <v/>
      </c>
      <c r="I276" s="31" t="str">
        <f aca="false">IFERROR((H276/H275-1)*100,"")</f>
        <v/>
      </c>
      <c r="J276" s="31" t="n">
        <f aca="false">IFERROR((AVERAGE(H274:H276)/AVERAGE(H271:H273)-1)*100,"")</f>
        <v>-0.623917911274352</v>
      </c>
      <c r="K276" s="31" t="n">
        <f aca="false">IFERROR(((AVERAGE(H274:H276)/AVERAGE(H271:H273))^4-1)*100,"")</f>
        <v>-2.47241222986155</v>
      </c>
      <c r="L276" s="31" t="str">
        <f aca="false">IFERROR(('SA Data'!Y276/'SA Data'!Y264-1)*100,"")</f>
        <v/>
      </c>
      <c r="M276" s="31" t="n">
        <f aca="false">IFERROR((AVERAGE('SA Data'!Y271:Y276)/AVERAGE('SA Data'!Y259:Y264)-1)*100,"")</f>
        <v>0.904361766697859</v>
      </c>
    </row>
    <row r="277" customFormat="false" ht="15" hidden="false" customHeight="false" outlineLevel="0" collapsed="false">
      <c r="A277" s="20" t="n">
        <v>46234</v>
      </c>
      <c r="B277" s="30" t="str">
        <f aca="false">'SA Data'!B277</f>
        <v/>
      </c>
      <c r="C277" s="31" t="str">
        <f aca="false">IFERROR((B277/B276-1)*100,"")</f>
        <v/>
      </c>
      <c r="D277" s="31" t="n">
        <f aca="false">IFERROR((AVERAGE(B275:B277)/AVERAGE(B272:B274)-1)*100,"")</f>
        <v>-0.575805432504628</v>
      </c>
      <c r="E277" s="31" t="n">
        <f aca="false">IFERROR(((AVERAGE(B275:B277)/AVERAGE(B272:B274))^4-1)*100,"")</f>
        <v>-2.28340487007892</v>
      </c>
      <c r="F277" s="31" t="str">
        <f aca="false">IFERROR((B277/B265-1)*100,"")</f>
        <v/>
      </c>
      <c r="G277" s="31" t="n">
        <f aca="false">IFERROR((AVERAGE(B271:B277)/AVERAGE(B259:B265)-1)*100,"")</f>
        <v>1.93109894562733</v>
      </c>
      <c r="H277" s="30" t="str">
        <f aca="false">'SA Data'!U277</f>
        <v/>
      </c>
      <c r="I277" s="31" t="str">
        <f aca="false">IFERROR((H277/H276-1)*100,"")</f>
        <v/>
      </c>
      <c r="J277" s="31" t="n">
        <f aca="false">IFERROR((AVERAGE(H275:H277)/AVERAGE(H272:H274)-1)*100,"")</f>
        <v>-1.5477786148247</v>
      </c>
      <c r="K277" s="31" t="n">
        <f aca="false">IFERROR(((AVERAGE(H275:H277)/AVERAGE(H272:H274))^4-1)*100,"")</f>
        <v>-6.04885475680004</v>
      </c>
      <c r="L277" s="31" t="str">
        <f aca="false">IFERROR(('SA Data'!Y277/'SA Data'!Y265-1)*100,"")</f>
        <v/>
      </c>
      <c r="M277" s="31" t="n">
        <f aca="false">IFERROR((AVERAGE('SA Data'!Y271:Y277)/AVERAGE('SA Data'!Y259:Y265)-1)*100,"")</f>
        <v>0.992776405711116</v>
      </c>
    </row>
    <row r="278" customFormat="false" ht="15" hidden="false" customHeight="false" outlineLevel="0" collapsed="false">
      <c r="A278" s="20" t="n">
        <v>46265</v>
      </c>
      <c r="B278" s="30" t="str">
        <f aca="false">'SA Data'!B278</f>
        <v/>
      </c>
      <c r="C278" s="31" t="str">
        <f aca="false">IFERROR((B278/B277-1)*100,"")</f>
        <v/>
      </c>
      <c r="D278" s="31" t="str">
        <f aca="false">IFERROR((AVERAGE(B276:B278)/AVERAGE(B273:B275)-1)*100,"")</f>
        <v/>
      </c>
      <c r="E278" s="31" t="str">
        <f aca="false">IFERROR(((AVERAGE(B276:B278)/AVERAGE(B273:B275))^4-1)*100,"")</f>
        <v/>
      </c>
      <c r="F278" s="31" t="str">
        <f aca="false">IFERROR((B278/B266-1)*100,"")</f>
        <v/>
      </c>
      <c r="G278" s="31" t="n">
        <f aca="false">IFERROR((AVERAGE(B271:B278)/AVERAGE(B259:B266)-1)*100,"")</f>
        <v>1.89615333451267</v>
      </c>
      <c r="H278" s="30" t="str">
        <f aca="false">'SA Data'!U278</f>
        <v/>
      </c>
      <c r="I278" s="31" t="str">
        <f aca="false">IFERROR((H278/H277-1)*100,"")</f>
        <v/>
      </c>
      <c r="J278" s="31" t="str">
        <f aca="false">IFERROR((AVERAGE(H276:H278)/AVERAGE(H273:H275)-1)*100,"")</f>
        <v/>
      </c>
      <c r="K278" s="31" t="str">
        <f aca="false">IFERROR(((AVERAGE(H276:H278)/AVERAGE(H273:H275))^4-1)*100,"")</f>
        <v/>
      </c>
      <c r="L278" s="31" t="str">
        <f aca="false">IFERROR(('SA Data'!Y278/'SA Data'!Y266-1)*100,"")</f>
        <v/>
      </c>
      <c r="M278" s="31" t="n">
        <f aca="false">IFERROR((AVERAGE('SA Data'!Y271:Y278)/AVERAGE('SA Data'!Y259:Y266)-1)*100,"")</f>
        <v>1.34868392423577</v>
      </c>
    </row>
    <row r="279" customFormat="false" ht="15" hidden="false" customHeight="false" outlineLevel="0" collapsed="false">
      <c r="A279" s="20" t="n">
        <v>46295</v>
      </c>
      <c r="B279" s="30" t="str">
        <f aca="false">'SA Data'!B279</f>
        <v/>
      </c>
      <c r="C279" s="31" t="str">
        <f aca="false">IFERROR((B279/B278-1)*100,"")</f>
        <v/>
      </c>
      <c r="D279" s="31" t="str">
        <f aca="false">IFERROR((AVERAGE(B277:B279)/AVERAGE(B274:B276)-1)*100,"")</f>
        <v/>
      </c>
      <c r="E279" s="31" t="str">
        <f aca="false">IFERROR(((AVERAGE(B277:B279)/AVERAGE(B274:B276))^4-1)*100,"")</f>
        <v/>
      </c>
      <c r="F279" s="31" t="str">
        <f aca="false">IFERROR((B279/B267-1)*100,"")</f>
        <v/>
      </c>
      <c r="G279" s="31" t="n">
        <f aca="false">IFERROR((AVERAGE(B271:B279)/AVERAGE(B259:B267)-1)*100,"")</f>
        <v>1.78693146973825</v>
      </c>
      <c r="H279" s="30" t="str">
        <f aca="false">'SA Data'!U279</f>
        <v/>
      </c>
      <c r="I279" s="31" t="str">
        <f aca="false">IFERROR((H279/H278-1)*100,"")</f>
        <v/>
      </c>
      <c r="J279" s="31" t="str">
        <f aca="false">IFERROR((AVERAGE(H277:H279)/AVERAGE(H274:H276)-1)*100,"")</f>
        <v/>
      </c>
      <c r="K279" s="31" t="str">
        <f aca="false">IFERROR(((AVERAGE(H277:H279)/AVERAGE(H274:H276))^4-1)*100,"")</f>
        <v/>
      </c>
      <c r="L279" s="31" t="str">
        <f aca="false">IFERROR(('SA Data'!Y279/'SA Data'!Y267-1)*100,"")</f>
        <v/>
      </c>
      <c r="M279" s="31" t="n">
        <f aca="false">IFERROR((AVERAGE('SA Data'!Y271:Y279)/AVERAGE('SA Data'!Y259:Y267)-1)*100,"")</f>
        <v>1.56798088024521</v>
      </c>
    </row>
    <row r="280" customFormat="false" ht="15" hidden="false" customHeight="false" outlineLevel="0" collapsed="false">
      <c r="A280" s="20" t="n">
        <v>46326</v>
      </c>
      <c r="B280" s="30" t="str">
        <f aca="false">'SA Data'!B280</f>
        <v/>
      </c>
      <c r="C280" s="31" t="str">
        <f aca="false">IFERROR((B280/B279-1)*100,"")</f>
        <v/>
      </c>
      <c r="D280" s="31" t="str">
        <f aca="false">IFERROR((AVERAGE(B278:B280)/AVERAGE(B275:B277)-1)*100,"")</f>
        <v/>
      </c>
      <c r="E280" s="31" t="str">
        <f aca="false">IFERROR(((AVERAGE(B278:B280)/AVERAGE(B275:B277))^4-1)*100,"")</f>
        <v/>
      </c>
      <c r="F280" s="31" t="str">
        <f aca="false">IFERROR((B280/B268-1)*100,"")</f>
        <v/>
      </c>
      <c r="G280" s="31" t="n">
        <f aca="false">IFERROR((AVERAGE(B271:B280)/AVERAGE(B259:B268)-1)*100,"")</f>
        <v>1.71222640759166</v>
      </c>
      <c r="H280" s="30" t="str">
        <f aca="false">'SA Data'!U280</f>
        <v/>
      </c>
      <c r="I280" s="31" t="str">
        <f aca="false">IFERROR((H280/H279-1)*100,"")</f>
        <v/>
      </c>
      <c r="J280" s="31" t="str">
        <f aca="false">IFERROR((AVERAGE(H278:H280)/AVERAGE(H275:H277)-1)*100,"")</f>
        <v/>
      </c>
      <c r="K280" s="31" t="str">
        <f aca="false">IFERROR(((AVERAGE(H278:H280)/AVERAGE(H275:H277))^4-1)*100,"")</f>
        <v/>
      </c>
      <c r="L280" s="31" t="str">
        <f aca="false">IFERROR(('SA Data'!Y280/'SA Data'!Y268-1)*100,"")</f>
        <v/>
      </c>
      <c r="M280" s="31" t="n">
        <f aca="false">IFERROR((AVERAGE('SA Data'!Y271:Y280)/AVERAGE('SA Data'!Y259:Y268)-1)*100,"")</f>
        <v>1.64423659515989</v>
      </c>
    </row>
    <row r="281" customFormat="false" ht="15" hidden="false" customHeight="false" outlineLevel="0" collapsed="false">
      <c r="A281" s="20" t="n">
        <v>46356</v>
      </c>
      <c r="B281" s="30" t="str">
        <f aca="false">'SA Data'!B281</f>
        <v/>
      </c>
      <c r="C281" s="31" t="str">
        <f aca="false">IFERROR((B281/B280-1)*100,"")</f>
        <v/>
      </c>
      <c r="D281" s="31" t="str">
        <f aca="false">IFERROR((AVERAGE(B279:B281)/AVERAGE(B276:B278)-1)*100,"")</f>
        <v/>
      </c>
      <c r="E281" s="31" t="str">
        <f aca="false">IFERROR(((AVERAGE(B279:B281)/AVERAGE(B276:B278))^4-1)*100,"")</f>
        <v/>
      </c>
      <c r="F281" s="31" t="str">
        <f aca="false">IFERROR((B281/B269-1)*100,"")</f>
        <v/>
      </c>
      <c r="G281" s="31" t="n">
        <f aca="false">IFERROR((AVERAGE(B271:B281)/AVERAGE(B259:B269)-1)*100,"")</f>
        <v>1.65591874600657</v>
      </c>
      <c r="H281" s="30" t="str">
        <f aca="false">'SA Data'!U281</f>
        <v/>
      </c>
      <c r="I281" s="31" t="str">
        <f aca="false">IFERROR((H281/H280-1)*100,"")</f>
        <v/>
      </c>
      <c r="J281" s="31" t="str">
        <f aca="false">IFERROR((AVERAGE(H279:H281)/AVERAGE(H276:H278)-1)*100,"")</f>
        <v/>
      </c>
      <c r="K281" s="31" t="str">
        <f aca="false">IFERROR(((AVERAGE(H279:H281)/AVERAGE(H276:H278))^4-1)*100,"")</f>
        <v/>
      </c>
      <c r="L281" s="31" t="str">
        <f aca="false">IFERROR(('SA Data'!Y281/'SA Data'!Y269-1)*100,"")</f>
        <v/>
      </c>
      <c r="M281" s="31" t="n">
        <f aca="false">IFERROR((AVERAGE('SA Data'!Y271:Y281)/AVERAGE('SA Data'!Y259:Y269)-1)*100,"")</f>
        <v>1.94112966570104</v>
      </c>
    </row>
    <row r="282" customFormat="false" ht="15" hidden="false" customHeight="false" outlineLevel="0" collapsed="false">
      <c r="A282" s="20" t="n">
        <v>46387</v>
      </c>
      <c r="B282" s="30" t="str">
        <f aca="false">'SA Data'!B282</f>
        <v/>
      </c>
      <c r="C282" s="31" t="str">
        <f aca="false">IFERROR((B282/B281-1)*100,"")</f>
        <v/>
      </c>
      <c r="D282" s="31" t="str">
        <f aca="false">IFERROR((AVERAGE(B280:B282)/AVERAGE(B277:B279)-1)*100,"")</f>
        <v/>
      </c>
      <c r="E282" s="31" t="str">
        <f aca="false">IFERROR(((AVERAGE(B280:B282)/AVERAGE(B277:B279))^4-1)*100,"")</f>
        <v/>
      </c>
      <c r="F282" s="31" t="str">
        <f aca="false">IFERROR((B282/B270-1)*100,"")</f>
        <v/>
      </c>
      <c r="G282" s="31" t="n">
        <f aca="false">IFERROR((AVERAGE(B271:B282)/AVERAGE(B259:B270)-1)*100,"")</f>
        <v>1.4460626382901</v>
      </c>
      <c r="H282" s="30" t="str">
        <f aca="false">'SA Data'!U282</f>
        <v/>
      </c>
      <c r="I282" s="31" t="str">
        <f aca="false">IFERROR((H282/H281-1)*100,"")</f>
        <v/>
      </c>
      <c r="J282" s="31" t="str">
        <f aca="false">IFERROR((AVERAGE(H280:H282)/AVERAGE(H277:H279)-1)*100,"")</f>
        <v/>
      </c>
      <c r="K282" s="31" t="str">
        <f aca="false">IFERROR(((AVERAGE(H280:H282)/AVERAGE(H277:H279))^4-1)*100,"")</f>
        <v/>
      </c>
      <c r="L282" s="31" t="str">
        <f aca="false">IFERROR(('SA Data'!Y282/'SA Data'!Y270-1)*100,"")</f>
        <v/>
      </c>
      <c r="M282" s="31" t="n">
        <f aca="false">IFERROR((AVERAGE('SA Data'!Y271:Y282)/AVERAGE('SA Data'!Y259:Y270)-1)*100,"")</f>
        <v>1.88267484187818</v>
      </c>
    </row>
    <row r="283" customFormat="false" ht="15" hidden="false" customHeight="false" outlineLevel="0" collapsed="false">
      <c r="A283" s="20" t="n">
        <v>46418</v>
      </c>
      <c r="B283" s="30" t="str">
        <f aca="false">'SA Data'!B283</f>
        <v/>
      </c>
      <c r="C283" s="31" t="str">
        <f aca="false">IFERROR((B283/B282-1)*100,"")</f>
        <v/>
      </c>
      <c r="D283" s="31" t="str">
        <f aca="false">IFERROR((AVERAGE(B281:B283)/AVERAGE(B278:B280)-1)*100,"")</f>
        <v/>
      </c>
      <c r="E283" s="31" t="str">
        <f aca="false">IFERROR(((AVERAGE(B281:B283)/AVERAGE(B278:B280))^4-1)*100,"")</f>
        <v/>
      </c>
      <c r="F283" s="31" t="str">
        <f aca="false">IFERROR((B283/B271-1)*100,"")</f>
        <v/>
      </c>
      <c r="G283" s="31" t="str">
        <f aca="false">IFERROR((AVERAGE(B283:B283)/AVERAGE(B271:B271)-1)*100,"")</f>
        <v/>
      </c>
      <c r="H283" s="30" t="str">
        <f aca="false">'SA Data'!U283</f>
        <v/>
      </c>
      <c r="I283" s="31" t="str">
        <f aca="false">IFERROR((H283/H282-1)*100,"")</f>
        <v/>
      </c>
      <c r="J283" s="31" t="str">
        <f aca="false">IFERROR((AVERAGE(H281:H283)/AVERAGE(H278:H280)-1)*100,"")</f>
        <v/>
      </c>
      <c r="K283" s="31" t="str">
        <f aca="false">IFERROR(((AVERAGE(H281:H283)/AVERAGE(H278:H280))^4-1)*100,"")</f>
        <v/>
      </c>
      <c r="L283" s="31" t="str">
        <f aca="false">IFERROR(('SA Data'!Y283/'SA Data'!Y271-1)*100,"")</f>
        <v/>
      </c>
      <c r="M283" s="31" t="str">
        <f aca="false">IFERROR((AVERAGE('SA Data'!Y283:Y283)/AVERAGE('SA Data'!Y271:Y271)-1)*100,"")</f>
        <v/>
      </c>
    </row>
    <row r="284" customFormat="false" ht="15" hidden="false" customHeight="false" outlineLevel="0" collapsed="false">
      <c r="A284" s="20" t="n">
        <v>46446</v>
      </c>
      <c r="B284" s="30" t="str">
        <f aca="false">'SA Data'!B284</f>
        <v/>
      </c>
      <c r="C284" s="31" t="str">
        <f aca="false">IFERROR((B284/B283-1)*100,"")</f>
        <v/>
      </c>
      <c r="D284" s="31" t="str">
        <f aca="false">IFERROR((AVERAGE(B282:B284)/AVERAGE(B279:B281)-1)*100,"")</f>
        <v/>
      </c>
      <c r="E284" s="31" t="str">
        <f aca="false">IFERROR(((AVERAGE(B282:B284)/AVERAGE(B279:B281))^4-1)*100,"")</f>
        <v/>
      </c>
      <c r="F284" s="31" t="str">
        <f aca="false">IFERROR((B284/B272-1)*100,"")</f>
        <v/>
      </c>
      <c r="G284" s="31" t="str">
        <f aca="false">IFERROR((AVERAGE(B283:B284)/AVERAGE(B271:B272)-1)*100,"")</f>
        <v/>
      </c>
      <c r="H284" s="30" t="str">
        <f aca="false">'SA Data'!U284</f>
        <v/>
      </c>
      <c r="I284" s="31" t="str">
        <f aca="false">IFERROR((H284/H283-1)*100,"")</f>
        <v/>
      </c>
      <c r="J284" s="31" t="str">
        <f aca="false">IFERROR((AVERAGE(H282:H284)/AVERAGE(H279:H281)-1)*100,"")</f>
        <v/>
      </c>
      <c r="K284" s="31" t="str">
        <f aca="false">IFERROR(((AVERAGE(H282:H284)/AVERAGE(H279:H281))^4-1)*100,"")</f>
        <v/>
      </c>
      <c r="L284" s="31" t="str">
        <f aca="false">IFERROR(('SA Data'!Y284/'SA Data'!Y272-1)*100,"")</f>
        <v/>
      </c>
      <c r="M284" s="31" t="str">
        <f aca="false">IFERROR((AVERAGE('SA Data'!Y283:Y284)/AVERAGE('SA Data'!Y271:Y272)-1)*100,"")</f>
        <v/>
      </c>
    </row>
    <row r="285" customFormat="false" ht="15" hidden="false" customHeight="false" outlineLevel="0" collapsed="false">
      <c r="A285" s="20" t="n">
        <v>46477</v>
      </c>
      <c r="B285" s="30" t="str">
        <f aca="false">'SA Data'!B285</f>
        <v/>
      </c>
      <c r="C285" s="31" t="str">
        <f aca="false">IFERROR((B285/B284-1)*100,"")</f>
        <v/>
      </c>
      <c r="D285" s="31" t="str">
        <f aca="false">IFERROR((AVERAGE(B283:B285)/AVERAGE(B280:B282)-1)*100,"")</f>
        <v/>
      </c>
      <c r="E285" s="31" t="str">
        <f aca="false">IFERROR(((AVERAGE(B283:B285)/AVERAGE(B280:B282))^4-1)*100,"")</f>
        <v/>
      </c>
      <c r="F285" s="31" t="str">
        <f aca="false">IFERROR((B285/B273-1)*100,"")</f>
        <v/>
      </c>
      <c r="G285" s="31" t="str">
        <f aca="false">IFERROR((AVERAGE(B283:B285)/AVERAGE(B271:B273)-1)*100,"")</f>
        <v/>
      </c>
      <c r="H285" s="30" t="str">
        <f aca="false">'SA Data'!U285</f>
        <v/>
      </c>
      <c r="I285" s="31" t="str">
        <f aca="false">IFERROR((H285/H284-1)*100,"")</f>
        <v/>
      </c>
      <c r="J285" s="31" t="str">
        <f aca="false">IFERROR((AVERAGE(H283:H285)/AVERAGE(H280:H282)-1)*100,"")</f>
        <v/>
      </c>
      <c r="K285" s="31" t="str">
        <f aca="false">IFERROR(((AVERAGE(H283:H285)/AVERAGE(H280:H282))^4-1)*100,"")</f>
        <v/>
      </c>
      <c r="L285" s="31" t="str">
        <f aca="false">IFERROR(('SA Data'!Y285/'SA Data'!Y273-1)*100,"")</f>
        <v/>
      </c>
      <c r="M285" s="31" t="str">
        <f aca="false">IFERROR((AVERAGE('SA Data'!Y283:Y285)/AVERAGE('SA Data'!Y271:Y273)-1)*100,"")</f>
        <v/>
      </c>
    </row>
    <row r="286" customFormat="false" ht="15" hidden="false" customHeight="false" outlineLevel="0" collapsed="false">
      <c r="A286" s="20" t="n">
        <v>46507</v>
      </c>
      <c r="B286" s="30" t="str">
        <f aca="false">'SA Data'!B286</f>
        <v/>
      </c>
      <c r="C286" s="31" t="str">
        <f aca="false">IFERROR((B286/B285-1)*100,"")</f>
        <v/>
      </c>
      <c r="D286" s="31" t="str">
        <f aca="false">IFERROR((AVERAGE(B284:B286)/AVERAGE(B281:B283)-1)*100,"")</f>
        <v/>
      </c>
      <c r="E286" s="31" t="str">
        <f aca="false">IFERROR(((AVERAGE(B284:B286)/AVERAGE(B281:B283))^4-1)*100,"")</f>
        <v/>
      </c>
      <c r="F286" s="31" t="str">
        <f aca="false">IFERROR((B286/B274-1)*100,"")</f>
        <v/>
      </c>
      <c r="G286" s="31" t="str">
        <f aca="false">IFERROR((AVERAGE(B283:B286)/AVERAGE(B271:B274)-1)*100,"")</f>
        <v/>
      </c>
      <c r="H286" s="30" t="str">
        <f aca="false">'SA Data'!U286</f>
        <v/>
      </c>
      <c r="I286" s="31" t="str">
        <f aca="false">IFERROR((H286/H285-1)*100,"")</f>
        <v/>
      </c>
      <c r="J286" s="31" t="str">
        <f aca="false">IFERROR((AVERAGE(H284:H286)/AVERAGE(H281:H283)-1)*100,"")</f>
        <v/>
      </c>
      <c r="K286" s="31" t="str">
        <f aca="false">IFERROR(((AVERAGE(H284:H286)/AVERAGE(H281:H283))^4-1)*100,"")</f>
        <v/>
      </c>
      <c r="L286" s="31" t="str">
        <f aca="false">IFERROR(('SA Data'!Y286/'SA Data'!Y274-1)*100,"")</f>
        <v/>
      </c>
      <c r="M286" s="31" t="str">
        <f aca="false">IFERROR((AVERAGE('SA Data'!Y283:Y286)/AVERAGE('SA Data'!Y271:Y274)-1)*100,"")</f>
        <v/>
      </c>
    </row>
    <row r="287" customFormat="false" ht="15" hidden="false" customHeight="false" outlineLevel="0" collapsed="false">
      <c r="A287" s="20" t="n">
        <v>46538</v>
      </c>
      <c r="B287" s="30" t="str">
        <f aca="false">'SA Data'!B287</f>
        <v/>
      </c>
      <c r="C287" s="31" t="str">
        <f aca="false">IFERROR((B287/B286-1)*100,"")</f>
        <v/>
      </c>
      <c r="D287" s="31" t="str">
        <f aca="false">IFERROR((AVERAGE(B285:B287)/AVERAGE(B282:B284)-1)*100,"")</f>
        <v/>
      </c>
      <c r="E287" s="31" t="str">
        <f aca="false">IFERROR(((AVERAGE(B285:B287)/AVERAGE(B282:B284))^4-1)*100,"")</f>
        <v/>
      </c>
      <c r="F287" s="31" t="str">
        <f aca="false">IFERROR((B287/B275-1)*100,"")</f>
        <v/>
      </c>
      <c r="G287" s="31" t="str">
        <f aca="false">IFERROR((AVERAGE(B283:B287)/AVERAGE(B271:B275)-1)*100,"")</f>
        <v/>
      </c>
      <c r="H287" s="30" t="str">
        <f aca="false">'SA Data'!U287</f>
        <v/>
      </c>
      <c r="I287" s="31" t="str">
        <f aca="false">IFERROR((H287/H286-1)*100,"")</f>
        <v/>
      </c>
      <c r="J287" s="31" t="str">
        <f aca="false">IFERROR((AVERAGE(H285:H287)/AVERAGE(H282:H284)-1)*100,"")</f>
        <v/>
      </c>
      <c r="K287" s="31" t="str">
        <f aca="false">IFERROR(((AVERAGE(H285:H287)/AVERAGE(H282:H284))^4-1)*100,"")</f>
        <v/>
      </c>
      <c r="L287" s="31" t="str">
        <f aca="false">IFERROR(('SA Data'!Y287/'SA Data'!Y275-1)*100,"")</f>
        <v/>
      </c>
      <c r="M287" s="31" t="str">
        <f aca="false">IFERROR((AVERAGE('SA Data'!Y283:Y287)/AVERAGE('SA Data'!Y271:Y275)-1)*100,"")</f>
        <v/>
      </c>
    </row>
    <row r="288" customFormat="false" ht="15" hidden="false" customHeight="false" outlineLevel="0" collapsed="false">
      <c r="A288" s="20" t="n">
        <v>46568</v>
      </c>
      <c r="B288" s="30" t="str">
        <f aca="false">'SA Data'!B288</f>
        <v/>
      </c>
      <c r="C288" s="31" t="str">
        <f aca="false">IFERROR((B288/B287-1)*100,"")</f>
        <v/>
      </c>
      <c r="D288" s="31" t="str">
        <f aca="false">IFERROR((AVERAGE(B286:B288)/AVERAGE(B283:B285)-1)*100,"")</f>
        <v/>
      </c>
      <c r="E288" s="31" t="str">
        <f aca="false">IFERROR(((AVERAGE(B286:B288)/AVERAGE(B283:B285))^4-1)*100,"")</f>
        <v/>
      </c>
      <c r="F288" s="31" t="str">
        <f aca="false">IFERROR((B288/B276-1)*100,"")</f>
        <v/>
      </c>
      <c r="G288" s="31" t="str">
        <f aca="false">IFERROR((AVERAGE(B283:B288)/AVERAGE(B271:B276)-1)*100,"")</f>
        <v/>
      </c>
      <c r="H288" s="30" t="str">
        <f aca="false">'SA Data'!U288</f>
        <v/>
      </c>
      <c r="I288" s="31" t="str">
        <f aca="false">IFERROR((H288/H287-1)*100,"")</f>
        <v/>
      </c>
      <c r="J288" s="31" t="str">
        <f aca="false">IFERROR((AVERAGE(H286:H288)/AVERAGE(H283:H285)-1)*100,"")</f>
        <v/>
      </c>
      <c r="K288" s="31" t="str">
        <f aca="false">IFERROR(((AVERAGE(H286:H288)/AVERAGE(H283:H285))^4-1)*100,"")</f>
        <v/>
      </c>
      <c r="L288" s="31" t="str">
        <f aca="false">IFERROR(('SA Data'!Y288/'SA Data'!Y276-1)*100,"")</f>
        <v/>
      </c>
      <c r="M288" s="31" t="str">
        <f aca="false">IFERROR((AVERAGE('SA Data'!Y283:Y288)/AVERAGE('SA Data'!Y271:Y276)-1)*100,"")</f>
        <v/>
      </c>
    </row>
    <row r="289" customFormat="false" ht="15" hidden="false" customHeight="false" outlineLevel="0" collapsed="false">
      <c r="A289" s="20" t="n">
        <v>46599</v>
      </c>
      <c r="B289" s="30" t="str">
        <f aca="false">'SA Data'!B289</f>
        <v/>
      </c>
      <c r="C289" s="31" t="str">
        <f aca="false">IFERROR((B289/B288-1)*100,"")</f>
        <v/>
      </c>
      <c r="D289" s="31" t="str">
        <f aca="false">IFERROR((AVERAGE(B287:B289)/AVERAGE(B284:B286)-1)*100,"")</f>
        <v/>
      </c>
      <c r="E289" s="31" t="str">
        <f aca="false">IFERROR(((AVERAGE(B287:B289)/AVERAGE(B284:B286))^4-1)*100,"")</f>
        <v/>
      </c>
      <c r="F289" s="31" t="str">
        <f aca="false">IFERROR((B289/B277-1)*100,"")</f>
        <v/>
      </c>
      <c r="G289" s="31" t="str">
        <f aca="false">IFERROR((AVERAGE(B283:B289)/AVERAGE(B271:B277)-1)*100,"")</f>
        <v/>
      </c>
      <c r="H289" s="30" t="str">
        <f aca="false">'SA Data'!U289</f>
        <v/>
      </c>
      <c r="I289" s="31" t="str">
        <f aca="false">IFERROR((H289/H288-1)*100,"")</f>
        <v/>
      </c>
      <c r="J289" s="31" t="str">
        <f aca="false">IFERROR((AVERAGE(H287:H289)/AVERAGE(H284:H286)-1)*100,"")</f>
        <v/>
      </c>
      <c r="K289" s="31" t="str">
        <f aca="false">IFERROR(((AVERAGE(H287:H289)/AVERAGE(H284:H286))^4-1)*100,"")</f>
        <v/>
      </c>
      <c r="L289" s="31" t="str">
        <f aca="false">IFERROR(('SA Data'!Y289/'SA Data'!Y277-1)*100,"")</f>
        <v/>
      </c>
      <c r="M289" s="31" t="str">
        <f aca="false">IFERROR((AVERAGE('SA Data'!Y283:Y289)/AVERAGE('SA Data'!Y271:Y277)-1)*100,"")</f>
        <v/>
      </c>
    </row>
    <row r="290" customFormat="false" ht="15" hidden="false" customHeight="false" outlineLevel="0" collapsed="false">
      <c r="A290" s="20" t="n">
        <v>46630</v>
      </c>
      <c r="B290" s="30" t="str">
        <f aca="false">'SA Data'!B290</f>
        <v/>
      </c>
      <c r="C290" s="31" t="str">
        <f aca="false">IFERROR((B290/B289-1)*100,"")</f>
        <v/>
      </c>
      <c r="D290" s="31" t="str">
        <f aca="false">IFERROR((AVERAGE(B288:B290)/AVERAGE(B285:B287)-1)*100,"")</f>
        <v/>
      </c>
      <c r="E290" s="31" t="str">
        <f aca="false">IFERROR(((AVERAGE(B288:B290)/AVERAGE(B285:B287))^4-1)*100,"")</f>
        <v/>
      </c>
      <c r="F290" s="31" t="str">
        <f aca="false">IFERROR((B290/B278-1)*100,"")</f>
        <v/>
      </c>
      <c r="G290" s="31" t="str">
        <f aca="false">IFERROR((AVERAGE(B283:B290)/AVERAGE(B271:B278)-1)*100,"")</f>
        <v/>
      </c>
      <c r="H290" s="30" t="str">
        <f aca="false">'SA Data'!U290</f>
        <v/>
      </c>
      <c r="I290" s="31" t="str">
        <f aca="false">IFERROR((H290/H289-1)*100,"")</f>
        <v/>
      </c>
      <c r="J290" s="31" t="str">
        <f aca="false">IFERROR((AVERAGE(H288:H290)/AVERAGE(H285:H287)-1)*100,"")</f>
        <v/>
      </c>
      <c r="K290" s="31" t="str">
        <f aca="false">IFERROR(((AVERAGE(H288:H290)/AVERAGE(H285:H287))^4-1)*100,"")</f>
        <v/>
      </c>
      <c r="L290" s="31" t="str">
        <f aca="false">IFERROR(('SA Data'!Y290/'SA Data'!Y278-1)*100,"")</f>
        <v/>
      </c>
      <c r="M290" s="31" t="str">
        <f aca="false">IFERROR((AVERAGE('SA Data'!Y283:Y290)/AVERAGE('SA Data'!Y271:Y278)-1)*100,"")</f>
        <v/>
      </c>
    </row>
    <row r="291" customFormat="false" ht="15" hidden="false" customHeight="false" outlineLevel="0" collapsed="false">
      <c r="A291" s="20" t="n">
        <v>46660</v>
      </c>
      <c r="B291" s="30" t="str">
        <f aca="false">'SA Data'!B291</f>
        <v/>
      </c>
      <c r="C291" s="31" t="str">
        <f aca="false">IFERROR((B291/B290-1)*100,"")</f>
        <v/>
      </c>
      <c r="D291" s="31" t="str">
        <f aca="false">IFERROR((AVERAGE(B289:B291)/AVERAGE(B286:B288)-1)*100,"")</f>
        <v/>
      </c>
      <c r="E291" s="31" t="str">
        <f aca="false">IFERROR(((AVERAGE(B289:B291)/AVERAGE(B286:B288))^4-1)*100,"")</f>
        <v/>
      </c>
      <c r="F291" s="31" t="str">
        <f aca="false">IFERROR((B291/B279-1)*100,"")</f>
        <v/>
      </c>
      <c r="G291" s="31" t="str">
        <f aca="false">IFERROR((AVERAGE(B283:B291)/AVERAGE(B271:B279)-1)*100,"")</f>
        <v/>
      </c>
      <c r="H291" s="30" t="str">
        <f aca="false">'SA Data'!U291</f>
        <v/>
      </c>
      <c r="I291" s="31" t="str">
        <f aca="false">IFERROR((H291/H290-1)*100,"")</f>
        <v/>
      </c>
      <c r="J291" s="31" t="str">
        <f aca="false">IFERROR((AVERAGE(H289:H291)/AVERAGE(H286:H288)-1)*100,"")</f>
        <v/>
      </c>
      <c r="K291" s="31" t="str">
        <f aca="false">IFERROR(((AVERAGE(H289:H291)/AVERAGE(H286:H288))^4-1)*100,"")</f>
        <v/>
      </c>
      <c r="L291" s="31" t="str">
        <f aca="false">IFERROR(('SA Data'!Y291/'SA Data'!Y279-1)*100,"")</f>
        <v/>
      </c>
      <c r="M291" s="31" t="str">
        <f aca="false">IFERROR((AVERAGE('SA Data'!Y283:Y291)/AVERAGE('SA Data'!Y271:Y279)-1)*100,"")</f>
        <v/>
      </c>
    </row>
    <row r="292" customFormat="false" ht="15" hidden="false" customHeight="false" outlineLevel="0" collapsed="false">
      <c r="A292" s="20" t="n">
        <v>46691</v>
      </c>
      <c r="B292" s="30" t="str">
        <f aca="false">'SA Data'!B292</f>
        <v/>
      </c>
      <c r="C292" s="31" t="str">
        <f aca="false">IFERROR((B292/B291-1)*100,"")</f>
        <v/>
      </c>
      <c r="D292" s="31" t="str">
        <f aca="false">IFERROR((AVERAGE(B290:B292)/AVERAGE(B287:B289)-1)*100,"")</f>
        <v/>
      </c>
      <c r="E292" s="31" t="str">
        <f aca="false">IFERROR(((AVERAGE(B290:B292)/AVERAGE(B287:B289))^4-1)*100,"")</f>
        <v/>
      </c>
      <c r="F292" s="31" t="str">
        <f aca="false">IFERROR((B292/B280-1)*100,"")</f>
        <v/>
      </c>
      <c r="G292" s="31" t="str">
        <f aca="false">IFERROR((AVERAGE(B283:B292)/AVERAGE(B271:B280)-1)*100,"")</f>
        <v/>
      </c>
      <c r="H292" s="30" t="str">
        <f aca="false">'SA Data'!U292</f>
        <v/>
      </c>
      <c r="I292" s="31" t="str">
        <f aca="false">IFERROR((H292/H291-1)*100,"")</f>
        <v/>
      </c>
      <c r="J292" s="31" t="str">
        <f aca="false">IFERROR((AVERAGE(H290:H292)/AVERAGE(H287:H289)-1)*100,"")</f>
        <v/>
      </c>
      <c r="K292" s="31" t="str">
        <f aca="false">IFERROR(((AVERAGE(H290:H292)/AVERAGE(H287:H289))^4-1)*100,"")</f>
        <v/>
      </c>
      <c r="L292" s="31" t="str">
        <f aca="false">IFERROR(('SA Data'!Y292/'SA Data'!Y280-1)*100,"")</f>
        <v/>
      </c>
      <c r="M292" s="31" t="str">
        <f aca="false">IFERROR((AVERAGE('SA Data'!Y283:Y292)/AVERAGE('SA Data'!Y271:Y280)-1)*100,"")</f>
        <v/>
      </c>
    </row>
    <row r="293" customFormat="false" ht="15" hidden="false" customHeight="false" outlineLevel="0" collapsed="false">
      <c r="A293" s="20" t="n">
        <v>46721</v>
      </c>
      <c r="B293" s="30" t="str">
        <f aca="false">'SA Data'!B293</f>
        <v/>
      </c>
      <c r="C293" s="31" t="str">
        <f aca="false">IFERROR((B293/B292-1)*100,"")</f>
        <v/>
      </c>
      <c r="D293" s="31" t="str">
        <f aca="false">IFERROR((AVERAGE(B291:B293)/AVERAGE(B288:B290)-1)*100,"")</f>
        <v/>
      </c>
      <c r="E293" s="31" t="str">
        <f aca="false">IFERROR(((AVERAGE(B291:B293)/AVERAGE(B288:B290))^4-1)*100,"")</f>
        <v/>
      </c>
      <c r="F293" s="31" t="str">
        <f aca="false">IFERROR((B293/B281-1)*100,"")</f>
        <v/>
      </c>
      <c r="G293" s="31" t="str">
        <f aca="false">IFERROR((AVERAGE(B283:B293)/AVERAGE(B271:B281)-1)*100,"")</f>
        <v/>
      </c>
      <c r="H293" s="30" t="str">
        <f aca="false">'SA Data'!U293</f>
        <v/>
      </c>
      <c r="I293" s="31" t="str">
        <f aca="false">IFERROR((H293/H292-1)*100,"")</f>
        <v/>
      </c>
      <c r="J293" s="31" t="str">
        <f aca="false">IFERROR((AVERAGE(H291:H293)/AVERAGE(H288:H290)-1)*100,"")</f>
        <v/>
      </c>
      <c r="K293" s="31" t="str">
        <f aca="false">IFERROR(((AVERAGE(H291:H293)/AVERAGE(H288:H290))^4-1)*100,"")</f>
        <v/>
      </c>
      <c r="L293" s="31" t="str">
        <f aca="false">IFERROR(('SA Data'!Y293/'SA Data'!Y281-1)*100,"")</f>
        <v/>
      </c>
      <c r="M293" s="31" t="str">
        <f aca="false">IFERROR((AVERAGE('SA Data'!Y283:Y293)/AVERAGE('SA Data'!Y271:Y281)-1)*100,"")</f>
        <v/>
      </c>
    </row>
    <row r="294" customFormat="false" ht="15" hidden="false" customHeight="false" outlineLevel="0" collapsed="false">
      <c r="A294" s="20" t="n">
        <v>46752</v>
      </c>
      <c r="B294" s="30" t="str">
        <f aca="false">'SA Data'!B294</f>
        <v/>
      </c>
      <c r="C294" s="31" t="str">
        <f aca="false">IFERROR((B294/B293-1)*100,"")</f>
        <v/>
      </c>
      <c r="D294" s="31" t="str">
        <f aca="false">IFERROR((AVERAGE(B292:B294)/AVERAGE(B289:B291)-1)*100,"")</f>
        <v/>
      </c>
      <c r="E294" s="31" t="str">
        <f aca="false">IFERROR(((AVERAGE(B292:B294)/AVERAGE(B289:B291))^4-1)*100,"")</f>
        <v/>
      </c>
      <c r="F294" s="31" t="str">
        <f aca="false">IFERROR((B294/B282-1)*100,"")</f>
        <v/>
      </c>
      <c r="G294" s="31" t="str">
        <f aca="false">IFERROR((AVERAGE(B283:B294)/AVERAGE(B271:B282)-1)*100,"")</f>
        <v/>
      </c>
      <c r="H294" s="30" t="str">
        <f aca="false">'SA Data'!U294</f>
        <v/>
      </c>
      <c r="I294" s="31" t="str">
        <f aca="false">IFERROR((H294/H293-1)*100,"")</f>
        <v/>
      </c>
      <c r="J294" s="31" t="str">
        <f aca="false">IFERROR((AVERAGE(H292:H294)/AVERAGE(H289:H291)-1)*100,"")</f>
        <v/>
      </c>
      <c r="K294" s="31" t="str">
        <f aca="false">IFERROR(((AVERAGE(H292:H294)/AVERAGE(H289:H291))^4-1)*100,"")</f>
        <v/>
      </c>
      <c r="L294" s="31" t="str">
        <f aca="false">IFERROR(('SA Data'!Y294/'SA Data'!Y282-1)*100,"")</f>
        <v/>
      </c>
      <c r="M294" s="31" t="str">
        <f aca="false">IFERROR((AVERAGE('SA Data'!Y283:Y294)/AVERAGE('SA Data'!Y271:Y282)-1)*100,"")</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29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6" topLeftCell="B7" activePane="bottomRight" state="frozen"/>
      <selection pane="topLeft" activeCell="A1" activeCellId="0" sqref="A1"/>
      <selection pane="topRight" activeCell="B1" activeCellId="0" sqref="B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19" min="2" style="0" width="11"/>
  </cols>
  <sheetData>
    <row r="1" customFormat="false" ht="17.35" hidden="false" customHeight="false" outlineLevel="0" collapsed="false">
      <c r="A1" s="4" t="s">
        <v>484</v>
      </c>
    </row>
    <row r="2" customFormat="false" ht="15" hidden="false" customHeight="false" outlineLevel="0" collapsed="false">
      <c r="A2" s="5" t="s">
        <v>485</v>
      </c>
    </row>
    <row r="6" customFormat="false" ht="35.05" hidden="false" customHeight="false" outlineLevel="0" collapsed="false">
      <c r="A6" s="7" t="s">
        <v>368</v>
      </c>
      <c r="B6" s="7" t="s">
        <v>486</v>
      </c>
      <c r="C6" s="7" t="s">
        <v>487</v>
      </c>
      <c r="D6" s="7" t="s">
        <v>488</v>
      </c>
      <c r="E6" s="7" t="s">
        <v>489</v>
      </c>
      <c r="F6" s="7" t="s">
        <v>490</v>
      </c>
      <c r="G6" s="7" t="s">
        <v>491</v>
      </c>
      <c r="H6" s="7" t="s">
        <v>492</v>
      </c>
      <c r="I6" s="7" t="s">
        <v>493</v>
      </c>
      <c r="J6" s="7" t="s">
        <v>494</v>
      </c>
      <c r="K6" s="7" t="s">
        <v>495</v>
      </c>
      <c r="L6" s="7" t="s">
        <v>496</v>
      </c>
      <c r="M6" s="7" t="s">
        <v>497</v>
      </c>
      <c r="N6" s="7" t="s">
        <v>498</v>
      </c>
      <c r="O6" s="7" t="s">
        <v>499</v>
      </c>
      <c r="P6" s="7" t="s">
        <v>500</v>
      </c>
      <c r="Q6" s="7" t="s">
        <v>501</v>
      </c>
      <c r="R6" s="7" t="s">
        <v>502</v>
      </c>
      <c r="S6" s="7" t="s">
        <v>503</v>
      </c>
    </row>
    <row r="7" customFormat="false" ht="15" hidden="false" customHeight="false" outlineLevel="0" collapsed="false">
      <c r="A7" s="20" t="n">
        <v>38017</v>
      </c>
      <c r="B7" s="30" t="n">
        <f aca="false">'SA Data'!R7</f>
        <v>152.122490943548</v>
      </c>
      <c r="C7" s="31"/>
      <c r="D7" s="31"/>
      <c r="E7" s="31"/>
      <c r="F7" s="31"/>
      <c r="G7" s="31"/>
      <c r="H7" s="30" t="n">
        <f aca="false">'SA Data'!S7</f>
        <v>97.3709648391369</v>
      </c>
      <c r="I7" s="31"/>
      <c r="J7" s="31"/>
      <c r="K7" s="31"/>
      <c r="L7" s="31"/>
      <c r="M7" s="31"/>
      <c r="N7" s="30" t="n">
        <f aca="false">'SA Data'!T7</f>
        <v>97.4278006328807</v>
      </c>
      <c r="O7" s="31"/>
      <c r="P7" s="31"/>
      <c r="Q7" s="31"/>
      <c r="R7" s="31"/>
      <c r="S7" s="31"/>
    </row>
    <row r="8" customFormat="false" ht="15" hidden="false" customHeight="false" outlineLevel="0" collapsed="false">
      <c r="A8" s="20" t="n">
        <v>38046</v>
      </c>
      <c r="B8" s="30" t="n">
        <f aca="false">'SA Data'!R8</f>
        <v>137.645423880149</v>
      </c>
      <c r="C8" s="31" t="n">
        <f aca="false">IFERROR((B8/B7-1)*100,"")</f>
        <v>-9.51671707030578</v>
      </c>
      <c r="D8" s="31"/>
      <c r="E8" s="31"/>
      <c r="F8" s="31"/>
      <c r="G8" s="31"/>
      <c r="H8" s="30" t="n">
        <f aca="false">'SA Data'!S8</f>
        <v>98.3644013635702</v>
      </c>
      <c r="I8" s="31" t="n">
        <f aca="false">IFERROR((H8/H7-1)*100,"")</f>
        <v>1.02025950556672</v>
      </c>
      <c r="J8" s="31"/>
      <c r="K8" s="31"/>
      <c r="L8" s="31"/>
      <c r="M8" s="31"/>
      <c r="N8" s="30" t="n">
        <f aca="false">'SA Data'!T8</f>
        <v>97.8587784791874</v>
      </c>
      <c r="O8" s="31" t="n">
        <f aca="false">IFERROR((N8/N7-1)*100,"")</f>
        <v>0.442356127827059</v>
      </c>
      <c r="P8" s="31"/>
      <c r="Q8" s="31"/>
      <c r="R8" s="31"/>
      <c r="S8" s="31"/>
    </row>
    <row r="9" customFormat="false" ht="15" hidden="false" customHeight="false" outlineLevel="0" collapsed="false">
      <c r="A9" s="20" t="n">
        <v>38077</v>
      </c>
      <c r="B9" s="30" t="n">
        <f aca="false">'SA Data'!R9</f>
        <v>113.662051207078</v>
      </c>
      <c r="C9" s="31" t="n">
        <f aca="false">IFERROR((B9/B8-1)*100,"")</f>
        <v>-17.4240247129128</v>
      </c>
      <c r="D9" s="31"/>
      <c r="E9" s="31"/>
      <c r="F9" s="31"/>
      <c r="G9" s="31"/>
      <c r="H9" s="30" t="n">
        <f aca="false">'SA Data'!S9</f>
        <v>99.089461582653</v>
      </c>
      <c r="I9" s="31" t="n">
        <f aca="false">IFERROR((H9/H8-1)*100,"")</f>
        <v>0.737116486281275</v>
      </c>
      <c r="J9" s="31"/>
      <c r="K9" s="31"/>
      <c r="L9" s="31"/>
      <c r="M9" s="31"/>
      <c r="N9" s="30" t="n">
        <f aca="false">'SA Data'!T9</f>
        <v>99.3663380829987</v>
      </c>
      <c r="O9" s="31" t="n">
        <f aca="false">IFERROR((N9/N8-1)*100,"")</f>
        <v>1.54054610862731</v>
      </c>
      <c r="P9" s="31"/>
      <c r="Q9" s="31"/>
      <c r="R9" s="31"/>
      <c r="S9" s="31"/>
    </row>
    <row r="10" customFormat="false" ht="15" hidden="false" customHeight="false" outlineLevel="0" collapsed="false">
      <c r="A10" s="20" t="n">
        <v>38107</v>
      </c>
      <c r="B10" s="30" t="n">
        <f aca="false">'SA Data'!R10</f>
        <v>93.2266598964898</v>
      </c>
      <c r="C10" s="31" t="n">
        <f aca="false">IFERROR((B10/B9-1)*100,"")</f>
        <v>-17.9790801710569</v>
      </c>
      <c r="D10" s="31"/>
      <c r="E10" s="31"/>
      <c r="F10" s="31"/>
      <c r="G10" s="31"/>
      <c r="H10" s="30" t="n">
        <f aca="false">'SA Data'!S10</f>
        <v>97.0150191202008</v>
      </c>
      <c r="I10" s="31" t="n">
        <f aca="false">IFERROR((H10/H9-1)*100,"")</f>
        <v>-2.09350462634396</v>
      </c>
      <c r="J10" s="31"/>
      <c r="K10" s="31"/>
      <c r="L10" s="31"/>
      <c r="M10" s="31"/>
      <c r="N10" s="30" t="n">
        <f aca="false">'SA Data'!T10</f>
        <v>98.1841802012394</v>
      </c>
      <c r="O10" s="31" t="n">
        <f aca="false">IFERROR((N10/N9-1)*100,"")</f>
        <v>-1.18969653563346</v>
      </c>
      <c r="P10" s="31"/>
      <c r="Q10" s="31"/>
      <c r="R10" s="31"/>
      <c r="S10" s="31"/>
    </row>
    <row r="11" customFormat="false" ht="15" hidden="false" customHeight="false" outlineLevel="0" collapsed="false">
      <c r="A11" s="20" t="n">
        <v>38138</v>
      </c>
      <c r="B11" s="30" t="n">
        <f aca="false">'SA Data'!R11</f>
        <v>86.1881177356952</v>
      </c>
      <c r="C11" s="31" t="n">
        <f aca="false">IFERROR((B11/B10-1)*100,"")</f>
        <v>-7.54992420473888</v>
      </c>
      <c r="D11" s="31"/>
      <c r="E11" s="31"/>
      <c r="F11" s="31"/>
      <c r="G11" s="31"/>
      <c r="H11" s="30" t="n">
        <f aca="false">'SA Data'!S11</f>
        <v>98.5655027893669</v>
      </c>
      <c r="I11" s="31" t="n">
        <f aca="false">IFERROR((H11/H10-1)*100,"")</f>
        <v>1.59818931463083</v>
      </c>
      <c r="J11" s="31"/>
      <c r="K11" s="31"/>
      <c r="L11" s="31"/>
      <c r="M11" s="31"/>
      <c r="N11" s="30" t="n">
        <f aca="false">'SA Data'!T11</f>
        <v>98.0305977284055</v>
      </c>
      <c r="O11" s="31" t="n">
        <f aca="false">IFERROR((N11/N10-1)*100,"")</f>
        <v>-0.156422829542546</v>
      </c>
      <c r="P11" s="31"/>
      <c r="Q11" s="31"/>
      <c r="R11" s="31"/>
      <c r="S11" s="31"/>
    </row>
    <row r="12" customFormat="false" ht="15" hidden="false" customHeight="false" outlineLevel="0" collapsed="false">
      <c r="A12" s="20" t="n">
        <v>38168</v>
      </c>
      <c r="B12" s="30" t="n">
        <f aca="false">'SA Data'!R12</f>
        <v>88.0848893287709</v>
      </c>
      <c r="C12" s="31" t="n">
        <f aca="false">IFERROR((B12/B11-1)*100,"")</f>
        <v>2.20073444333981</v>
      </c>
      <c r="D12" s="31" t="n">
        <f aca="false">IFERROR((AVERAGE(B10:B12)/AVERAGE(B7:B9)-1)*100,"")</f>
        <v>-33.6936545411329</v>
      </c>
      <c r="E12" s="31" t="n">
        <f aca="false">IFERROR(((AVERAGE(B10:B12)/AVERAGE(B7:B9))^4-1)*100,"")</f>
        <v>-80.6705112257743</v>
      </c>
      <c r="F12" s="31"/>
      <c r="G12" s="31"/>
      <c r="H12" s="30" t="n">
        <f aca="false">'SA Data'!S12</f>
        <v>101.28253511621</v>
      </c>
      <c r="I12" s="31" t="n">
        <f aca="false">IFERROR((H12/H11-1)*100,"")</f>
        <v>2.75657532295979</v>
      </c>
      <c r="J12" s="31" t="n">
        <f aca="false">IFERROR((AVERAGE(H10:H12)/AVERAGE(H7:H9)-1)*100,"")</f>
        <v>0.691335684219041</v>
      </c>
      <c r="K12" s="31" t="n">
        <f aca="false">IFERROR(((AVERAGE(H10:H12)/AVERAGE(H7:H9))^4-1)*100,"")</f>
        <v>2.79415183518534</v>
      </c>
      <c r="L12" s="31"/>
      <c r="M12" s="31"/>
      <c r="N12" s="30" t="n">
        <f aca="false">'SA Data'!T12</f>
        <v>99.9841646536952</v>
      </c>
      <c r="O12" s="31" t="n">
        <f aca="false">IFERROR((N12/N11-1)*100,"")</f>
        <v>1.99281343841449</v>
      </c>
      <c r="P12" s="31" t="n">
        <f aca="false">IFERROR((AVERAGE(N10:N12)/AVERAGE(N7:N9)-1)*100,"")</f>
        <v>0.524693732202186</v>
      </c>
      <c r="Q12" s="31" t="n">
        <f aca="false">IFERROR(((AVERAGE(N10:N12)/AVERAGE(N7:N9))^4-1)*100,"")</f>
        <v>2.1153509953685</v>
      </c>
      <c r="R12" s="31"/>
      <c r="S12" s="31"/>
    </row>
    <row r="13" customFormat="false" ht="15" hidden="false" customHeight="false" outlineLevel="0" collapsed="false">
      <c r="A13" s="20" t="n">
        <v>38199</v>
      </c>
      <c r="B13" s="30" t="n">
        <f aca="false">'SA Data'!R13</f>
        <v>108.550916950829</v>
      </c>
      <c r="C13" s="31" t="n">
        <f aca="false">IFERROR((B13/B12-1)*100,"")</f>
        <v>23.2344364374123</v>
      </c>
      <c r="D13" s="31" t="n">
        <f aca="false">IFERROR((AVERAGE(B11:B13)/AVERAGE(B8:B10)-1)*100,"")</f>
        <v>-17.9112037683402</v>
      </c>
      <c r="E13" s="31" t="n">
        <f aca="false">IFERROR(((AVERAGE(B11:B13)/AVERAGE(B8:B10))^4-1)*100,"")</f>
        <v>-54.5916680644699</v>
      </c>
      <c r="F13" s="31"/>
      <c r="G13" s="31"/>
      <c r="H13" s="30" t="n">
        <f aca="false">'SA Data'!S13</f>
        <v>100.3619623528</v>
      </c>
      <c r="I13" s="31" t="n">
        <f aca="false">IFERROR((H13/H12-1)*100,"")</f>
        <v>-0.908915601641669</v>
      </c>
      <c r="J13" s="31" t="n">
        <f aca="false">IFERROR((AVERAGE(H11:H13)/AVERAGE(H8:H10)-1)*100,"")</f>
        <v>1.94965191284902</v>
      </c>
      <c r="K13" s="31" t="n">
        <f aca="false">IFERROR(((AVERAGE(H11:H13)/AVERAGE(H8:H10))^4-1)*100,"")</f>
        <v>8.02965501691937</v>
      </c>
      <c r="L13" s="31"/>
      <c r="M13" s="31"/>
      <c r="N13" s="30" t="n">
        <f aca="false">'SA Data'!T13</f>
        <v>99.9142861418304</v>
      </c>
      <c r="O13" s="31" t="n">
        <f aca="false">IFERROR((N13/N12-1)*100,"")</f>
        <v>-0.0698895791216736</v>
      </c>
      <c r="P13" s="31" t="n">
        <f aca="false">IFERROR((AVERAGE(N11:N13)/AVERAGE(N8:N10)-1)*100,"")</f>
        <v>0.852969689211758</v>
      </c>
      <c r="Q13" s="31" t="n">
        <f aca="false">IFERROR(((AVERAGE(N11:N13)/AVERAGE(N8:N10))^4-1)*100,"")</f>
        <v>3.45578095735595</v>
      </c>
      <c r="R13" s="31"/>
      <c r="S13" s="31"/>
    </row>
    <row r="14" customFormat="false" ht="15" hidden="false" customHeight="false" outlineLevel="0" collapsed="false">
      <c r="A14" s="20" t="n">
        <v>38230</v>
      </c>
      <c r="B14" s="30" t="n">
        <f aca="false">'SA Data'!R14</f>
        <v>112.808843681497</v>
      </c>
      <c r="C14" s="31" t="n">
        <f aca="false">IFERROR((B14/B13-1)*100,"")</f>
        <v>3.92251567307955</v>
      </c>
      <c r="D14" s="31" t="n">
        <f aca="false">IFERROR((AVERAGE(B12:B14)/AVERAGE(B9:B11)-1)*100,"")</f>
        <v>5.58482265099529</v>
      </c>
      <c r="E14" s="31" t="n">
        <f aca="false">IFERROR(((AVERAGE(B12:B14)/AVERAGE(B9:B11))^4-1)*100,"")</f>
        <v>24.2813548704575</v>
      </c>
      <c r="F14" s="31"/>
      <c r="G14" s="31"/>
      <c r="H14" s="30" t="n">
        <f aca="false">'SA Data'!S14</f>
        <v>99.6362605293292</v>
      </c>
      <c r="I14" s="31" t="n">
        <f aca="false">IFERROR((H14/H13-1)*100,"")</f>
        <v>-0.723084529694795</v>
      </c>
      <c r="J14" s="31" t="n">
        <f aca="false">IFERROR((AVERAGE(H12:H14)/AVERAGE(H9:H11)-1)*100,"")</f>
        <v>2.24345025841197</v>
      </c>
      <c r="K14" s="31" t="n">
        <f aca="false">IFERROR(((AVERAGE(H12:H14)/AVERAGE(H9:H11))^4-1)*100,"")</f>
        <v>9.28032708518527</v>
      </c>
      <c r="L14" s="31"/>
      <c r="M14" s="31"/>
      <c r="N14" s="30" t="n">
        <f aca="false">'SA Data'!T14</f>
        <v>99.9955815337399</v>
      </c>
      <c r="O14" s="31" t="n">
        <f aca="false">IFERROR((N14/N13-1)*100,"")</f>
        <v>0.0813651331042831</v>
      </c>
      <c r="P14" s="31" t="n">
        <f aca="false">IFERROR((AVERAGE(N12:N14)/AVERAGE(N9:N11)-1)*100,"")</f>
        <v>1.45913121068175</v>
      </c>
      <c r="Q14" s="31" t="n">
        <f aca="false">IFERROR(((AVERAGE(N12:N14)/AVERAGE(N9:N11))^4-1)*100,"")</f>
        <v>5.96551584246776</v>
      </c>
      <c r="R14" s="31"/>
      <c r="S14" s="31"/>
    </row>
    <row r="15" customFormat="false" ht="15" hidden="false" customHeight="false" outlineLevel="0" collapsed="false">
      <c r="A15" s="20" t="n">
        <v>38260</v>
      </c>
      <c r="B15" s="30" t="n">
        <f aca="false">'SA Data'!R15</f>
        <v>113.349880358795</v>
      </c>
      <c r="C15" s="31" t="n">
        <f aca="false">IFERROR((B15/B14-1)*100,"")</f>
        <v>0.47960484270666</v>
      </c>
      <c r="D15" s="31" t="n">
        <f aca="false">IFERROR((AVERAGE(B13:B15)/AVERAGE(B10:B12)-1)*100,"")</f>
        <v>25.1252552175981</v>
      </c>
      <c r="E15" s="31" t="n">
        <f aca="false">IFERROR(((AVERAGE(B13:B15)/AVERAGE(B10:B12))^4-1)*100,"")</f>
        <v>145.120653201807</v>
      </c>
      <c r="F15" s="31"/>
      <c r="G15" s="31"/>
      <c r="H15" s="30" t="n">
        <f aca="false">'SA Data'!S15</f>
        <v>100.453027569418</v>
      </c>
      <c r="I15" s="31" t="n">
        <f aca="false">IFERROR((H15/H14-1)*100,"")</f>
        <v>0.819748789998709</v>
      </c>
      <c r="J15" s="31" t="n">
        <f aca="false">IFERROR((AVERAGE(H13:H15)/AVERAGE(H10:H12)-1)*100,"")</f>
        <v>1.2087032525097</v>
      </c>
      <c r="K15" s="31" t="n">
        <f aca="false">IFERROR(((AVERAGE(H13:H15)/AVERAGE(H10:H12))^4-1)*100,"")</f>
        <v>4.9231793061701</v>
      </c>
      <c r="L15" s="31"/>
      <c r="M15" s="31"/>
      <c r="N15" s="30" t="n">
        <f aca="false">'SA Data'!T15</f>
        <v>101.153477684052</v>
      </c>
      <c r="O15" s="31" t="n">
        <f aca="false">IFERROR((N15/N14-1)*100,"")</f>
        <v>1.15794731382335</v>
      </c>
      <c r="P15" s="31" t="n">
        <f aca="false">IFERROR((AVERAGE(N13:N15)/AVERAGE(N10:N12)-1)*100,"")</f>
        <v>1.64227553746699</v>
      </c>
      <c r="Q15" s="31" t="n">
        <f aca="false">IFERROR(((AVERAGE(N13:N15)/AVERAGE(N10:N12))^4-1)*100,"")</f>
        <v>6.7327052926444</v>
      </c>
      <c r="R15" s="31"/>
      <c r="S15" s="31"/>
    </row>
    <row r="16" customFormat="false" ht="15" hidden="false" customHeight="false" outlineLevel="0" collapsed="false">
      <c r="A16" s="20" t="n">
        <v>38291</v>
      </c>
      <c r="B16" s="30" t="n">
        <f aca="false">'SA Data'!R16</f>
        <v>116.048014110656</v>
      </c>
      <c r="C16" s="31" t="n">
        <f aca="false">IFERROR((B16/B15-1)*100,"")</f>
        <v>2.38035871173414</v>
      </c>
      <c r="D16" s="31" t="n">
        <f aca="false">IFERROR((AVERAGE(B14:B16)/AVERAGE(B11:B13)-1)*100,"")</f>
        <v>20.9963900127632</v>
      </c>
      <c r="E16" s="31" t="n">
        <f aca="false">IFERROR(((AVERAGE(B14:B16)/AVERAGE(B11:B13))^4-1)*100,"")</f>
        <v>114.33330089439</v>
      </c>
      <c r="F16" s="31"/>
      <c r="G16" s="31"/>
      <c r="H16" s="30" t="n">
        <f aca="false">'SA Data'!S16</f>
        <v>100.042763992303</v>
      </c>
      <c r="I16" s="31" t="n">
        <f aca="false">IFERROR((H16/H15-1)*100,"")</f>
        <v>-0.408413352033499</v>
      </c>
      <c r="J16" s="31" t="n">
        <f aca="false">IFERROR((AVERAGE(H14:H16)/AVERAGE(H11:H13)-1)*100,"")</f>
        <v>-0.0259645472367898</v>
      </c>
      <c r="K16" s="31" t="n">
        <f aca="false">IFERROR(((AVERAGE(H14:H16)/AVERAGE(H11:H13))^4-1)*100,"")</f>
        <v>-0.103817746485591</v>
      </c>
      <c r="L16" s="31"/>
      <c r="M16" s="31"/>
      <c r="N16" s="30" t="n">
        <f aca="false">'SA Data'!T16</f>
        <v>101.413116224507</v>
      </c>
      <c r="O16" s="31" t="n">
        <f aca="false">IFERROR((N16/N15-1)*100,"")</f>
        <v>0.256677819091977</v>
      </c>
      <c r="P16" s="31" t="n">
        <f aca="false">IFERROR((AVERAGE(N14:N16)/AVERAGE(N11:N13)-1)*100,"")</f>
        <v>1.55511083639617</v>
      </c>
      <c r="Q16" s="31" t="n">
        <f aca="false">IFERROR(((AVERAGE(N14:N16)/AVERAGE(N11:N13))^4-1)*100,"")</f>
        <v>6.36705571008449</v>
      </c>
      <c r="R16" s="31"/>
      <c r="S16" s="31"/>
    </row>
    <row r="17" customFormat="false" ht="15" hidden="false" customHeight="false" outlineLevel="0" collapsed="false">
      <c r="A17" s="20" t="n">
        <v>38321</v>
      </c>
      <c r="B17" s="30" t="n">
        <f aca="false">'SA Data'!R17</f>
        <v>114.359674156125</v>
      </c>
      <c r="C17" s="31" t="n">
        <f aca="false">IFERROR((B17/B16-1)*100,"")</f>
        <v>-1.45486328867366</v>
      </c>
      <c r="D17" s="31" t="n">
        <f aca="false">IFERROR((AVERAGE(B15:B17)/AVERAGE(B12:B14)-1)*100,"")</f>
        <v>11.0885480388147</v>
      </c>
      <c r="E17" s="31" t="n">
        <f aca="false">IFERROR(((AVERAGE(B15:B17)/AVERAGE(B12:B14))^4-1)*100,"")</f>
        <v>52.2920251154796</v>
      </c>
      <c r="F17" s="31"/>
      <c r="G17" s="31"/>
      <c r="H17" s="30" t="n">
        <f aca="false">'SA Data'!S17</f>
        <v>101.460653698523</v>
      </c>
      <c r="I17" s="31" t="n">
        <f aca="false">IFERROR((H17/H16-1)*100,"")</f>
        <v>1.41728361916216</v>
      </c>
      <c r="J17" s="31" t="n">
        <f aca="false">IFERROR((AVERAGE(H15:H17)/AVERAGE(H12:H14)-1)*100,"")</f>
        <v>0.22427162836216</v>
      </c>
      <c r="K17" s="31" t="n">
        <f aca="false">IFERROR(((AVERAGE(H15:H17)/AVERAGE(H12:H14))^4-1)*100,"")</f>
        <v>0.900108893920315</v>
      </c>
      <c r="L17" s="31"/>
      <c r="M17" s="31"/>
      <c r="N17" s="30" t="n">
        <f aca="false">'SA Data'!T17</f>
        <v>102.652068939803</v>
      </c>
      <c r="O17" s="31" t="n">
        <f aca="false">IFERROR((N17/N16-1)*100,"")</f>
        <v>1.22168883219518</v>
      </c>
      <c r="P17" s="31" t="n">
        <f aca="false">IFERROR((AVERAGE(N15:N17)/AVERAGE(N12:N14)-1)*100,"")</f>
        <v>1.77550399310717</v>
      </c>
      <c r="Q17" s="31" t="n">
        <f aca="false">IFERROR(((AVERAGE(N15:N17)/AVERAGE(N12:N14))^4-1)*100,"")</f>
        <v>7.29340962568084</v>
      </c>
      <c r="R17" s="31"/>
      <c r="S17" s="31"/>
    </row>
    <row r="18" customFormat="false" ht="15" hidden="false" customHeight="false" outlineLevel="0" collapsed="false">
      <c r="A18" s="20" t="n">
        <v>38352</v>
      </c>
      <c r="B18" s="30" t="n">
        <f aca="false">'SA Data'!R18</f>
        <v>115.596288277326</v>
      </c>
      <c r="C18" s="31" t="n">
        <f aca="false">IFERROR((B18/B17-1)*100,"")</f>
        <v>1.08133756966855</v>
      </c>
      <c r="D18" s="31" t="n">
        <f aca="false">IFERROR((AVERAGE(B16:B18)/AVERAGE(B13:B15)-1)*100,"")</f>
        <v>3.37436815968049</v>
      </c>
      <c r="E18" s="31" t="n">
        <f aca="false">IFERROR(((AVERAGE(B16:B18)/AVERAGE(B13:B15))^4-1)*100,"")</f>
        <v>14.1961526254502</v>
      </c>
      <c r="F18" s="31"/>
      <c r="G18" s="31"/>
      <c r="H18" s="30" t="n">
        <f aca="false">'SA Data'!S18</f>
        <v>103.216758805147</v>
      </c>
      <c r="I18" s="31" t="n">
        <f aca="false">IFERROR((H18/H17-1)*100,"")</f>
        <v>1.73082376528173</v>
      </c>
      <c r="J18" s="31" t="n">
        <f aca="false">IFERROR((AVERAGE(H16:H18)/AVERAGE(H13:H15)-1)*100,"")</f>
        <v>1.42083816859118</v>
      </c>
      <c r="K18" s="31" t="n">
        <f aca="false">IFERROR(((AVERAGE(H16:H18)/AVERAGE(H13:H15))^4-1)*100,"")</f>
        <v>5.80563096041848</v>
      </c>
      <c r="L18" s="31"/>
      <c r="M18" s="31"/>
      <c r="N18" s="30" t="n">
        <f aca="false">'SA Data'!T18</f>
        <v>104.118907712125</v>
      </c>
      <c r="O18" s="31" t="n">
        <f aca="false">IFERROR((N18/N17-1)*100,"")</f>
        <v>1.42894223903329</v>
      </c>
      <c r="P18" s="31" t="n">
        <f aca="false">IFERROR((AVERAGE(N16:N18)/AVERAGE(N13:N15)-1)*100,"")</f>
        <v>2.36519909400039</v>
      </c>
      <c r="Q18" s="31" t="n">
        <f aca="false">IFERROR(((AVERAGE(N16:N18)/AVERAGE(N13:N15))^4-1)*100,"")</f>
        <v>9.8017702032144</v>
      </c>
      <c r="R18" s="31"/>
      <c r="S18" s="31"/>
    </row>
    <row r="19" customFormat="false" ht="15" hidden="false" customHeight="false" outlineLevel="0" collapsed="false">
      <c r="A19" s="20" t="n">
        <v>38383</v>
      </c>
      <c r="B19" s="30" t="n">
        <f aca="false">'SA Data'!R19</f>
        <v>115.292957515589</v>
      </c>
      <c r="C19" s="31" t="n">
        <f aca="false">IFERROR((B19/B18-1)*100,"")</f>
        <v>-0.262405278107958</v>
      </c>
      <c r="D19" s="31" t="n">
        <f aca="false">IFERROR((AVERAGE(B17:B19)/AVERAGE(B14:B16)-1)*100,"")</f>
        <v>0.888989449632094</v>
      </c>
      <c r="E19" s="31" t="n">
        <f aca="false">IFERROR(((AVERAGE(B17:B19)/AVERAGE(B14:B16))^4-1)*100,"")</f>
        <v>3.60365758574135</v>
      </c>
      <c r="F19" s="31" t="n">
        <f aca="false">IFERROR(('SA Data'!V19/'SA Data'!V7-1)*100,"")</f>
        <v>-0.575878428886933</v>
      </c>
      <c r="G19" s="31" t="n">
        <f aca="false">IFERROR((AVERAGE('SA Data'!V19:V19)/AVERAGE('SA Data'!V7:V7)-1)*100,"")</f>
        <v>-0.575878428886933</v>
      </c>
      <c r="H19" s="30" t="n">
        <f aca="false">'SA Data'!S19</f>
        <v>105.526985296758</v>
      </c>
      <c r="I19" s="31" t="n">
        <f aca="false">IFERROR((H19/H18-1)*100,"")</f>
        <v>2.23822809236982</v>
      </c>
      <c r="J19" s="31" t="n">
        <f aca="false">IFERROR((AVERAGE(H17:H19)/AVERAGE(H14:H16)-1)*100,"")</f>
        <v>3.35597135967385</v>
      </c>
      <c r="K19" s="31" t="n">
        <f aca="false">IFERROR(((AVERAGE(H17:H19)/AVERAGE(H14:H16))^4-1)*100,"")</f>
        <v>14.1148836193322</v>
      </c>
      <c r="L19" s="31" t="n">
        <f aca="false">IFERROR(('SA Data'!W19/'SA Data'!W7-1)*100,"")</f>
        <v>6.35485092658104</v>
      </c>
      <c r="M19" s="31" t="n">
        <f aca="false">IFERROR((AVERAGE('SA Data'!W19:W19)/AVERAGE('SA Data'!W7:W7)-1)*100,"")</f>
        <v>6.35485092658104</v>
      </c>
      <c r="N19" s="30" t="n">
        <f aca="false">'SA Data'!T19</f>
        <v>104.821438471541</v>
      </c>
      <c r="O19" s="31" t="n">
        <f aca="false">IFERROR((N19/N18-1)*100,"")</f>
        <v>0.674738887347526</v>
      </c>
      <c r="P19" s="31" t="n">
        <f aca="false">IFERROR((AVERAGE(N17:N19)/AVERAGE(N14:N16)-1)*100,"")</f>
        <v>2.98458975183173</v>
      </c>
      <c r="Q19" s="31" t="n">
        <f aca="false">IFERROR(((AVERAGE(N17:N19)/AVERAGE(N14:N16))^4-1)*100,"")</f>
        <v>12.483539337773</v>
      </c>
      <c r="R19" s="31" t="n">
        <f aca="false">IFERROR(('SA Data'!X19/'SA Data'!X7-1)*100,"")</f>
        <v>7.46993258334765</v>
      </c>
      <c r="S19" s="31" t="n">
        <f aca="false">IFERROR((AVERAGE('SA Data'!X19:X19)/AVERAGE('SA Data'!X7:X7)-1)*100,"")</f>
        <v>7.46993258334765</v>
      </c>
    </row>
    <row r="20" customFormat="false" ht="15" hidden="false" customHeight="false" outlineLevel="0" collapsed="false">
      <c r="A20" s="20" t="n">
        <v>38411</v>
      </c>
      <c r="B20" s="30" t="n">
        <f aca="false">'SA Data'!R20</f>
        <v>118.828518879066</v>
      </c>
      <c r="C20" s="31" t="n">
        <f aca="false">IFERROR((B20/B19-1)*100,"")</f>
        <v>3.06658918260343</v>
      </c>
      <c r="D20" s="31" t="n">
        <f aca="false">IFERROR((AVERAGE(B18:B20)/AVERAGE(B15:B17)-1)*100,"")</f>
        <v>1.73383703818804</v>
      </c>
      <c r="E20" s="31" t="n">
        <f aca="false">IFERROR(((AVERAGE(B18:B20)/AVERAGE(B15:B17))^4-1)*100,"")</f>
        <v>7.11781354046845</v>
      </c>
      <c r="F20" s="31" t="n">
        <f aca="false">IFERROR(('SA Data'!V20/'SA Data'!V8-1)*100,"")</f>
        <v>7.01983734813878</v>
      </c>
      <c r="G20" s="31" t="n">
        <f aca="false">IFERROR((AVERAGE('SA Data'!V19:V20)/AVERAGE('SA Data'!V7:V8)-1)*100,"")</f>
        <v>3.19836962191062</v>
      </c>
      <c r="H20" s="30" t="n">
        <f aca="false">'SA Data'!S20</f>
        <v>105.491978749939</v>
      </c>
      <c r="I20" s="31" t="n">
        <f aca="false">IFERROR((H20/H19-1)*100,"")</f>
        <v>-0.0331730757965554</v>
      </c>
      <c r="J20" s="31" t="n">
        <f aca="false">IFERROR((AVERAGE(H18:H20)/AVERAGE(H15:H17)-1)*100,"")</f>
        <v>4.06657244259736</v>
      </c>
      <c r="K20" s="31" t="n">
        <f aca="false">IFERROR(((AVERAGE(H18:H20)/AVERAGE(H15:H17))^4-1)*100,"")</f>
        <v>17.2856835109771</v>
      </c>
      <c r="L20" s="31" t="n">
        <f aca="false">IFERROR(('SA Data'!W20/'SA Data'!W8-1)*100,"")</f>
        <v>5.87043345709168</v>
      </c>
      <c r="M20" s="31" t="n">
        <f aca="false">IFERROR((AVERAGE('SA Data'!W19:W20)/AVERAGE('SA Data'!W7:W8)-1)*100,"")</f>
        <v>6.11445471464487</v>
      </c>
      <c r="N20" s="30" t="n">
        <f aca="false">'SA Data'!T20</f>
        <v>105.55731709537</v>
      </c>
      <c r="O20" s="31" t="n">
        <f aca="false">IFERROR((N20/N19-1)*100,"")</f>
        <v>0.702030648081009</v>
      </c>
      <c r="P20" s="31" t="n">
        <f aca="false">IFERROR((AVERAGE(N18:N20)/AVERAGE(N15:N17)-1)*100,"")</f>
        <v>3.04011568102707</v>
      </c>
      <c r="Q20" s="31" t="n">
        <f aca="false">IFERROR(((AVERAGE(N18:N20)/AVERAGE(N15:N17))^4-1)*100,"")</f>
        <v>12.7263254140633</v>
      </c>
      <c r="R20" s="31" t="n">
        <f aca="false">IFERROR(('SA Data'!X20/'SA Data'!X8-1)*100,"")</f>
        <v>7.83903009246116</v>
      </c>
      <c r="S20" s="31" t="n">
        <f aca="false">IFERROR((AVERAGE('SA Data'!X19:X20)/AVERAGE('SA Data'!X7:X8)-1)*100,"")</f>
        <v>7.65304390712545</v>
      </c>
    </row>
    <row r="21" customFormat="false" ht="15" hidden="false" customHeight="false" outlineLevel="0" collapsed="false">
      <c r="A21" s="20" t="n">
        <v>38442</v>
      </c>
      <c r="B21" s="30" t="n">
        <f aca="false">'SA Data'!R21</f>
        <v>125.350869995437</v>
      </c>
      <c r="C21" s="31" t="n">
        <f aca="false">IFERROR((B21/B20-1)*100,"")</f>
        <v>5.48887689411475</v>
      </c>
      <c r="D21" s="31" t="n">
        <f aca="false">IFERROR((AVERAGE(B19:B21)/AVERAGE(B16:B18)-1)*100,"")</f>
        <v>3.89254770436696</v>
      </c>
      <c r="E21" s="31" t="n">
        <f aca="false">IFERROR(((AVERAGE(B19:B21)/AVERAGE(B16:B18))^4-1)*100,"")</f>
        <v>16.5031278966715</v>
      </c>
      <c r="F21" s="31" t="n">
        <f aca="false">IFERROR(('SA Data'!V21/'SA Data'!V9-1)*100,"")</f>
        <v>24.4244817003938</v>
      </c>
      <c r="G21" s="31" t="n">
        <f aca="false">IFERROR((AVERAGE('SA Data'!V19:V21)/AVERAGE('SA Data'!V7:V9)-1)*100,"")</f>
        <v>12.9712915219776</v>
      </c>
      <c r="H21" s="30" t="n">
        <f aca="false">'SA Data'!S21</f>
        <v>106.373259454193</v>
      </c>
      <c r="I21" s="31" t="n">
        <f aca="false">IFERROR((H21/H20-1)*100,"")</f>
        <v>0.835400676616716</v>
      </c>
      <c r="J21" s="31" t="n">
        <f aca="false">IFERROR((AVERAGE(H19:H21)/AVERAGE(H16:H18)-1)*100,"")</f>
        <v>4.15858482055052</v>
      </c>
      <c r="K21" s="31" t="n">
        <f aca="false">IFERROR(((AVERAGE(H19:H21)/AVERAGE(H16:H18))^4-1)*100,"")</f>
        <v>17.7010351610228</v>
      </c>
      <c r="L21" s="31" t="n">
        <f aca="false">IFERROR(('SA Data'!W21/'SA Data'!W9-1)*100,"")</f>
        <v>6.49724413374153</v>
      </c>
      <c r="M21" s="31" t="n">
        <f aca="false">IFERROR((AVERAGE('SA Data'!W19:W21)/AVERAGE('SA Data'!W7:W9)-1)*100,"")</f>
        <v>6.24990611374829</v>
      </c>
      <c r="N21" s="30" t="n">
        <f aca="false">'SA Data'!T21</f>
        <v>107.475914448948</v>
      </c>
      <c r="O21" s="31" t="n">
        <f aca="false">IFERROR((N21/N20-1)*100,"")</f>
        <v>1.81758821308831</v>
      </c>
      <c r="P21" s="31" t="n">
        <f aca="false">IFERROR((AVERAGE(N19:N21)/AVERAGE(N16:N18)-1)*100,"")</f>
        <v>3.13792222342266</v>
      </c>
      <c r="Q21" s="31" t="n">
        <f aca="false">IFERROR(((AVERAGE(N19:N21)/AVERAGE(N16:N18))^4-1)*100,"")</f>
        <v>13.1549382917767</v>
      </c>
      <c r="R21" s="31" t="n">
        <f aca="false">IFERROR(('SA Data'!X21/'SA Data'!X9-1)*100,"")</f>
        <v>8.19306714185228</v>
      </c>
      <c r="S21" s="31" t="n">
        <f aca="false">IFERROR((AVERAGE('SA Data'!X19:X21)/AVERAGE('SA Data'!X7:X9)-1)*100,"")</f>
        <v>7.8402592716212</v>
      </c>
    </row>
    <row r="22" customFormat="false" ht="15" hidden="false" customHeight="false" outlineLevel="0" collapsed="false">
      <c r="A22" s="20" t="n">
        <v>38472</v>
      </c>
      <c r="B22" s="30" t="n">
        <f aca="false">'SA Data'!R22</f>
        <v>126.075796354183</v>
      </c>
      <c r="C22" s="31" t="n">
        <f aca="false">IFERROR((B22/B21-1)*100,"")</f>
        <v>0.578317772164128</v>
      </c>
      <c r="D22" s="31" t="n">
        <f aca="false">IFERROR((AVERAGE(B20:B22)/AVERAGE(B17:B19)-1)*100,"")</f>
        <v>7.24296698258697</v>
      </c>
      <c r="E22" s="31" t="n">
        <f aca="false">IFERROR(((AVERAGE(B20:B22)/AVERAGE(B17:B19))^4-1)*100,"")</f>
        <v>32.2742423570964</v>
      </c>
      <c r="F22" s="31" t="n">
        <f aca="false">IFERROR(('SA Data'!V22/'SA Data'!V10-1)*100,"")</f>
        <v>38.4567537861792</v>
      </c>
      <c r="G22" s="31" t="n">
        <f aca="false">IFERROR((AVERAGE('SA Data'!V19:V22)/AVERAGE('SA Data'!V7:V10)-1)*100,"")</f>
        <v>22.7267115759935</v>
      </c>
      <c r="H22" s="30" t="n">
        <f aca="false">'SA Data'!S22</f>
        <v>106.215165856444</v>
      </c>
      <c r="I22" s="31" t="n">
        <f aca="false">IFERROR((H22/H21-1)*100,"")</f>
        <v>-0.148621560117301</v>
      </c>
      <c r="J22" s="31" t="n">
        <f aca="false">IFERROR((AVERAGE(H20:H22)/AVERAGE(H17:H19)-1)*100,"")</f>
        <v>2.53897311449964</v>
      </c>
      <c r="K22" s="31" t="n">
        <f aca="false">IFERROR(((AVERAGE(H20:H22)/AVERAGE(H17:H19))^4-1)*100,"")</f>
        <v>10.5492639611888</v>
      </c>
      <c r="L22" s="31" t="n">
        <f aca="false">IFERROR(('SA Data'!W22/'SA Data'!W10-1)*100,"")</f>
        <v>9.33586959753237</v>
      </c>
      <c r="M22" s="31" t="n">
        <f aca="false">IFERROR((AVERAGE('SA Data'!W19:W22)/AVERAGE('SA Data'!W7:W10)-1)*100,"")</f>
        <v>7.03304824406534</v>
      </c>
      <c r="N22" s="30" t="n">
        <f aca="false">'SA Data'!T22</f>
        <v>107.681313860828</v>
      </c>
      <c r="O22" s="31" t="n">
        <f aca="false">IFERROR((N22/N21-1)*100,"")</f>
        <v>0.191112039319497</v>
      </c>
      <c r="P22" s="31" t="n">
        <f aca="false">IFERROR((AVERAGE(N20:N22)/AVERAGE(N17:N19)-1)*100,"")</f>
        <v>2.92758418977015</v>
      </c>
      <c r="Q22" s="31" t="n">
        <f aca="false">IFERROR(((AVERAGE(N20:N22)/AVERAGE(N17:N19))^4-1)*100,"")</f>
        <v>12.2346918040409</v>
      </c>
      <c r="R22" s="31" t="n">
        <f aca="false">IFERROR(('SA Data'!X22/'SA Data'!X10-1)*100,"")</f>
        <v>9.75182584306589</v>
      </c>
      <c r="S22" s="31" t="n">
        <f aca="false">IFERROR((AVERAGE('SA Data'!X19:X22)/AVERAGE('SA Data'!X7:X10)-1)*100,"")</f>
        <v>8.32416814119577</v>
      </c>
    </row>
    <row r="23" customFormat="false" ht="15" hidden="false" customHeight="false" outlineLevel="0" collapsed="false">
      <c r="A23" s="20" t="n">
        <v>38503</v>
      </c>
      <c r="B23" s="30" t="n">
        <f aca="false">'SA Data'!R23</f>
        <v>122.962910637118</v>
      </c>
      <c r="C23" s="31" t="n">
        <f aca="false">IFERROR((B23/B22-1)*100,"")</f>
        <v>-2.46905893683221</v>
      </c>
      <c r="D23" s="31" t="n">
        <f aca="false">IFERROR((AVERAGE(B21:B23)/AVERAGE(B18:B20)-1)*100,"")</f>
        <v>7.05477811168667</v>
      </c>
      <c r="E23" s="31" t="n">
        <f aca="false">IFERROR(((AVERAGE(B21:B23)/AVERAGE(B18:B20))^4-1)*100,"")</f>
        <v>31.3482293655276</v>
      </c>
      <c r="F23" s="31" t="n">
        <f aca="false">IFERROR(('SA Data'!V23/'SA Data'!V11-1)*100,"")</f>
        <v>40.8623174136724</v>
      </c>
      <c r="G23" s="31" t="n">
        <f aca="false">IFERROR((AVERAGE('SA Data'!V19:V23)/AVERAGE('SA Data'!V7:V11)-1)*100,"")</f>
        <v>29.0208066908824</v>
      </c>
      <c r="H23" s="30" t="n">
        <f aca="false">'SA Data'!S23</f>
        <v>107.360084562221</v>
      </c>
      <c r="I23" s="31" t="n">
        <f aca="false">IFERROR((H23/H22-1)*100,"")</f>
        <v>1.07792394480117</v>
      </c>
      <c r="J23" s="31" t="n">
        <f aca="false">IFERROR((AVERAGE(H21:H23)/AVERAGE(H18:H20)-1)*100,"")</f>
        <v>1.8179941380208</v>
      </c>
      <c r="K23" s="31" t="n">
        <f aca="false">IFERROR(((AVERAGE(H21:H23)/AVERAGE(H18:H20))^4-1)*100,"")</f>
        <v>7.47269709986302</v>
      </c>
      <c r="L23" s="31" t="n">
        <f aca="false">IFERROR(('SA Data'!W23/'SA Data'!W11-1)*100,"")</f>
        <v>8.82421700951293</v>
      </c>
      <c r="M23" s="31" t="n">
        <f aca="false">IFERROR((AVERAGE('SA Data'!W19:W23)/AVERAGE('SA Data'!W7:W11)-1)*100,"")</f>
        <v>7.40332806518902</v>
      </c>
      <c r="N23" s="30" t="n">
        <f aca="false">'SA Data'!T23</f>
        <v>108.554463458377</v>
      </c>
      <c r="O23" s="31" t="n">
        <f aca="false">IFERROR((N23/N22-1)*100,"")</f>
        <v>0.810864546727741</v>
      </c>
      <c r="P23" s="31" t="n">
        <f aca="false">IFERROR((AVERAGE(N21:N23)/AVERAGE(N18:N20)-1)*100,"")</f>
        <v>2.92976055626264</v>
      </c>
      <c r="Q23" s="31" t="n">
        <f aca="false">IFERROR(((AVERAGE(N21:N23)/AVERAGE(N18:N20))^4-1)*100,"")</f>
        <v>12.2441847527728</v>
      </c>
      <c r="R23" s="31" t="n">
        <f aca="false">IFERROR(('SA Data'!X23/'SA Data'!X11-1)*100,"")</f>
        <v>10.566941846393</v>
      </c>
      <c r="S23" s="31" t="n">
        <f aca="false">IFERROR((AVERAGE('SA Data'!X19:X23)/AVERAGE('SA Data'!X7:X11)-1)*100,"")</f>
        <v>8.7842845250024</v>
      </c>
    </row>
    <row r="24" customFormat="false" ht="15" hidden="false" customHeight="false" outlineLevel="0" collapsed="false">
      <c r="A24" s="20" t="n">
        <v>38533</v>
      </c>
      <c r="B24" s="30" t="n">
        <f aca="false">'SA Data'!R24</f>
        <v>121.981539136623</v>
      </c>
      <c r="C24" s="31" t="n">
        <f aca="false">IFERROR((B24/B23-1)*100,"")</f>
        <v>-0.798103668342121</v>
      </c>
      <c r="D24" s="31" t="n">
        <f aca="false">IFERROR((AVERAGE(B22:B24)/AVERAGE(B19:B21)-1)*100,"")</f>
        <v>3.21245844187992</v>
      </c>
      <c r="E24" s="31" t="n">
        <f aca="false">IFERROR(((AVERAGE(B22:B24)/AVERAGE(B19:B21))^4-1)*100,"")</f>
        <v>13.4823945082063</v>
      </c>
      <c r="F24" s="31" t="n">
        <f aca="false">IFERROR(('SA Data'!V24/'SA Data'!V12-1)*100,"")</f>
        <v>35.6652235263753</v>
      </c>
      <c r="G24" s="31" t="n">
        <f aca="false">IFERROR((AVERAGE('SA Data'!V19:V24)/AVERAGE('SA Data'!V7:V12)-1)*100,"")</f>
        <v>30.3117927242025</v>
      </c>
      <c r="H24" s="30" t="n">
        <f aca="false">'SA Data'!S24</f>
        <v>108.67065742369</v>
      </c>
      <c r="I24" s="31" t="n">
        <f aca="false">IFERROR((H24/H23-1)*100,"")</f>
        <v>1.22072636847543</v>
      </c>
      <c r="J24" s="31" t="n">
        <f aca="false">IFERROR((AVERAGE(H22:H24)/AVERAGE(H19:H21)-1)*100,"")</f>
        <v>1.52923858307821</v>
      </c>
      <c r="K24" s="31" t="n">
        <f aca="false">IFERROR(((AVERAGE(H22:H24)/AVERAGE(H19:H21))^4-1)*100,"")</f>
        <v>6.2587045328472</v>
      </c>
      <c r="L24" s="31" t="n">
        <f aca="false">IFERROR(('SA Data'!W24/'SA Data'!W12-1)*100,"")</f>
        <v>7.41072548577442</v>
      </c>
      <c r="M24" s="31" t="n">
        <f aca="false">IFERROR((AVERAGE('SA Data'!W19:W24)/AVERAGE('SA Data'!W7:W12)-1)*100,"")</f>
        <v>7.40459578927699</v>
      </c>
      <c r="N24" s="30" t="n">
        <f aca="false">'SA Data'!T24</f>
        <v>109.15180658583</v>
      </c>
      <c r="O24" s="31" t="n">
        <f aca="false">IFERROR((N24/N23-1)*100,"")</f>
        <v>0.550270443446199</v>
      </c>
      <c r="P24" s="31" t="n">
        <f aca="false">IFERROR((AVERAGE(N22:N24)/AVERAGE(N19:N21)-1)*100,"")</f>
        <v>2.36992393058133</v>
      </c>
      <c r="Q24" s="31" t="n">
        <f aca="false">IFERROR(((AVERAGE(N22:N24)/AVERAGE(N19:N21))^4-1)*100,"")</f>
        <v>9.82204394253237</v>
      </c>
      <c r="R24" s="31" t="n">
        <f aca="false">IFERROR(('SA Data'!X24/'SA Data'!X12-1)*100,"")</f>
        <v>9.30615104608976</v>
      </c>
      <c r="S24" s="31" t="n">
        <f aca="false">IFERROR((AVERAGE('SA Data'!X19:X24)/AVERAGE('SA Data'!X7:X12)-1)*100,"")</f>
        <v>8.87395494270806</v>
      </c>
    </row>
    <row r="25" customFormat="false" ht="15" hidden="false" customHeight="false" outlineLevel="0" collapsed="false">
      <c r="A25" s="20" t="n">
        <v>38564</v>
      </c>
      <c r="B25" s="30" t="n">
        <f aca="false">'SA Data'!R25</f>
        <v>109.260201544076</v>
      </c>
      <c r="C25" s="31" t="n">
        <f aca="false">IFERROR((B25/B24-1)*100,"")</f>
        <v>-10.4289039821829</v>
      </c>
      <c r="D25" s="31" t="n">
        <f aca="false">IFERROR((AVERAGE(B23:B25)/AVERAGE(B20:B22)-1)*100,"")</f>
        <v>-4.33499233804282</v>
      </c>
      <c r="E25" s="31" t="n">
        <f aca="false">IFERROR(((AVERAGE(B23:B25)/AVERAGE(B20:B22))^4-1)*100,"")</f>
        <v>-16.2446722380622</v>
      </c>
      <c r="F25" s="31" t="n">
        <f aca="false">IFERROR(('SA Data'!V25/'SA Data'!V13-1)*100,"")</f>
        <v>3.66837128347735</v>
      </c>
      <c r="G25" s="31" t="n">
        <f aca="false">IFERROR((AVERAGE('SA Data'!V19:V25)/AVERAGE('SA Data'!V7:V13)-1)*100,"")</f>
        <v>27.3100169866212</v>
      </c>
      <c r="H25" s="30" t="n">
        <f aca="false">'SA Data'!S25</f>
        <v>106.369024387839</v>
      </c>
      <c r="I25" s="31" t="n">
        <f aca="false">IFERROR((H25/H24-1)*100,"")</f>
        <v>-2.11798942825624</v>
      </c>
      <c r="J25" s="31" t="n">
        <f aca="false">IFERROR((AVERAGE(H23:H25)/AVERAGE(H20:H22)-1)*100,"")</f>
        <v>1.35794668833209</v>
      </c>
      <c r="K25" s="31" t="n">
        <f aca="false">IFERROR(((AVERAGE(H23:H25)/AVERAGE(H20:H22))^4-1)*100,"")</f>
        <v>5.54343293814721</v>
      </c>
      <c r="L25" s="31" t="n">
        <f aca="false">IFERROR(('SA Data'!W25/'SA Data'!W13-1)*100,"")</f>
        <v>6.48426433162697</v>
      </c>
      <c r="M25" s="31" t="n">
        <f aca="false">IFERROR((AVERAGE('SA Data'!W19:W25)/AVERAGE('SA Data'!W7:W13)-1)*100,"")</f>
        <v>7.26857706393438</v>
      </c>
      <c r="N25" s="30" t="n">
        <f aca="false">'SA Data'!T25</f>
        <v>109.060217153396</v>
      </c>
      <c r="O25" s="31" t="n">
        <f aca="false">IFERROR((N25/N24-1)*100,"")</f>
        <v>-0.0839101388226848</v>
      </c>
      <c r="P25" s="31" t="n">
        <f aca="false">IFERROR((AVERAGE(N23:N25)/AVERAGE(N20:N22)-1)*100,"")</f>
        <v>1.88701818460106</v>
      </c>
      <c r="Q25" s="31" t="n">
        <f aca="false">IFERROR(((AVERAGE(N23:N25)/AVERAGE(N20:N22))^4-1)*100,"")</f>
        <v>7.76442342185313</v>
      </c>
      <c r="R25" s="31" t="n">
        <f aca="false">IFERROR(('SA Data'!X25/'SA Data'!X13-1)*100,"")</f>
        <v>9.21164684297637</v>
      </c>
      <c r="S25" s="31" t="n">
        <f aca="false">IFERROR((AVERAGE('SA Data'!X19:X25)/AVERAGE('SA Data'!X7:X13)-1)*100,"")</f>
        <v>8.92331701762517</v>
      </c>
    </row>
    <row r="26" customFormat="false" ht="15" hidden="false" customHeight="false" outlineLevel="0" collapsed="false">
      <c r="A26" s="20" t="n">
        <v>38595</v>
      </c>
      <c r="B26" s="30" t="n">
        <f aca="false">'SA Data'!R26</f>
        <v>105.10223823339</v>
      </c>
      <c r="C26" s="31" t="n">
        <f aca="false">IFERROR((B26/B25-1)*100,"")</f>
        <v>-3.80556071828958</v>
      </c>
      <c r="D26" s="31" t="n">
        <f aca="false">IFERROR((AVERAGE(B24:B26)/AVERAGE(B21:B23)-1)*100,"")</f>
        <v>-10.1620345253355</v>
      </c>
      <c r="E26" s="31" t="n">
        <f aca="false">IFERROR(((AVERAGE(B24:B26)/AVERAGE(B21:B23))^4-1)*100,"")</f>
        <v>-34.8612182046102</v>
      </c>
      <c r="F26" s="31" t="n">
        <f aca="false">IFERROR(('SA Data'!V26/'SA Data'!V14-1)*100,"")</f>
        <v>-2.33025997652182</v>
      </c>
      <c r="G26" s="31" t="n">
        <f aca="false">IFERROR((AVERAGE('SA Data'!V19:V26)/AVERAGE('SA Data'!V7:V14)-1)*100,"")</f>
        <v>25.1727655126834</v>
      </c>
      <c r="H26" s="30" t="n">
        <f aca="false">'SA Data'!S26</f>
        <v>107.705582884191</v>
      </c>
      <c r="I26" s="31" t="n">
        <f aca="false">IFERROR((H26/H25-1)*100,"")</f>
        <v>1.25652980653306</v>
      </c>
      <c r="J26" s="31" t="n">
        <f aca="false">IFERROR((AVERAGE(H24:H26)/AVERAGE(H21:H23)-1)*100,"")</f>
        <v>0.874126534914432</v>
      </c>
      <c r="K26" s="31" t="n">
        <f aca="false">IFERROR(((AVERAGE(H24:H26)/AVERAGE(H21:H23))^4-1)*100,"")</f>
        <v>3.54261972249952</v>
      </c>
      <c r="L26" s="31" t="n">
        <f aca="false">IFERROR(('SA Data'!W26/'SA Data'!W14-1)*100,"")</f>
        <v>8.23006414697856</v>
      </c>
      <c r="M26" s="31" t="n">
        <f aca="false">IFERROR((AVERAGE('SA Data'!W19:W26)/AVERAGE('SA Data'!W7:W14)-1)*100,"")</f>
        <v>7.3921900518926</v>
      </c>
      <c r="N26" s="30" t="n">
        <f aca="false">'SA Data'!T26</f>
        <v>110.104339038031</v>
      </c>
      <c r="O26" s="31" t="n">
        <f aca="false">IFERROR((N26/N25-1)*100,"")</f>
        <v>0.957381079818376</v>
      </c>
      <c r="P26" s="31" t="n">
        <f aca="false">IFERROR((AVERAGE(N24:N26)/AVERAGE(N21:N23)-1)*100,"")</f>
        <v>1.42246051847952</v>
      </c>
      <c r="Q26" s="31" t="n">
        <f aca="false">IFERROR(((AVERAGE(N24:N26)/AVERAGE(N21:N23))^4-1)*100,"")</f>
        <v>5.81240108282863</v>
      </c>
      <c r="R26" s="31" t="n">
        <f aca="false">IFERROR(('SA Data'!X26/'SA Data'!X14-1)*100,"")</f>
        <v>10.057120181088</v>
      </c>
      <c r="S26" s="31" t="n">
        <f aca="false">IFERROR((AVERAGE('SA Data'!X19:X26)/AVERAGE('SA Data'!X7:X14)-1)*100,"")</f>
        <v>9.06758270085799</v>
      </c>
    </row>
    <row r="27" customFormat="false" ht="15" hidden="false" customHeight="false" outlineLevel="0" collapsed="false">
      <c r="A27" s="20" t="n">
        <v>38625</v>
      </c>
      <c r="B27" s="30" t="n">
        <f aca="false">'SA Data'!R27</f>
        <v>104.016730634339</v>
      </c>
      <c r="C27" s="31" t="n">
        <f aca="false">IFERROR((B27/B26-1)*100,"")</f>
        <v>-1.03281111544038</v>
      </c>
      <c r="D27" s="31" t="n">
        <f aca="false">IFERROR((AVERAGE(B25:B27)/AVERAGE(B22:B24)-1)*100,"")</f>
        <v>-14.1881949207616</v>
      </c>
      <c r="E27" s="31" t="n">
        <f aca="false">IFERROR(((AVERAGE(B25:B27)/AVERAGE(B22:B24))^4-1)*100,"")</f>
        <v>-45.7764246463533</v>
      </c>
      <c r="F27" s="31" t="n">
        <f aca="false">IFERROR(('SA Data'!V27/'SA Data'!V15-1)*100,"")</f>
        <v>-2.75311612551508</v>
      </c>
      <c r="G27" s="31" t="n">
        <f aca="false">IFERROR((AVERAGE('SA Data'!V19:V27)/AVERAGE('SA Data'!V7:V15)-1)*100,"")</f>
        <v>23.4143246176516</v>
      </c>
      <c r="H27" s="30" t="n">
        <f aca="false">'SA Data'!S27</f>
        <v>106.372569382923</v>
      </c>
      <c r="I27" s="31" t="n">
        <f aca="false">IFERROR((H27/H26-1)*100,"")</f>
        <v>-1.23764568704055</v>
      </c>
      <c r="J27" s="31" t="n">
        <f aca="false">IFERROR((AVERAGE(H25:H27)/AVERAGE(H22:H24)-1)*100,"")</f>
        <v>-0.558185889603813</v>
      </c>
      <c r="K27" s="31" t="n">
        <f aca="false">IFERROR(((AVERAGE(H25:H27)/AVERAGE(H22:H24))^4-1)*100,"")</f>
        <v>-2.21411873802043</v>
      </c>
      <c r="L27" s="31" t="n">
        <f aca="false">IFERROR(('SA Data'!W27/'SA Data'!W15-1)*100,"")</f>
        <v>5.94914105390485</v>
      </c>
      <c r="M27" s="31" t="n">
        <f aca="false">IFERROR((AVERAGE('SA Data'!W19:W27)/AVERAGE('SA Data'!W7:W15)-1)*100,"")</f>
        <v>7.2251648229116</v>
      </c>
      <c r="N27" s="30" t="n">
        <f aca="false">'SA Data'!T27</f>
        <v>110.739794550672</v>
      </c>
      <c r="O27" s="31" t="n">
        <f aca="false">IFERROR((N27/N26-1)*100,"")</f>
        <v>0.577139391773529</v>
      </c>
      <c r="P27" s="31" t="n">
        <f aca="false">IFERROR((AVERAGE(N25:N27)/AVERAGE(N22:N24)-1)*100,"")</f>
        <v>1.38811898808737</v>
      </c>
      <c r="Q27" s="31" t="n">
        <f aca="false">IFERROR(((AVERAGE(N25:N27)/AVERAGE(N22:N24))^4-1)*100,"")</f>
        <v>5.6691620170348</v>
      </c>
      <c r="R27" s="31" t="n">
        <f aca="false">IFERROR(('SA Data'!X27/'SA Data'!X15-1)*100,"")</f>
        <v>9.71366979605333</v>
      </c>
      <c r="S27" s="31" t="n">
        <f aca="false">IFERROR((AVERAGE('SA Data'!X19:X27)/AVERAGE('SA Data'!X7:X15)-1)*100,"")</f>
        <v>9.14070609638999</v>
      </c>
    </row>
    <row r="28" customFormat="false" ht="15" hidden="false" customHeight="false" outlineLevel="0" collapsed="false">
      <c r="A28" s="20" t="n">
        <v>38656</v>
      </c>
      <c r="B28" s="30" t="n">
        <f aca="false">'SA Data'!R28</f>
        <v>107.914640183608</v>
      </c>
      <c r="C28" s="31" t="n">
        <f aca="false">IFERROR((B28/B27-1)*100,"")</f>
        <v>3.74738710349558</v>
      </c>
      <c r="D28" s="31" t="n">
        <f aca="false">IFERROR((AVERAGE(B26:B28)/AVERAGE(B23:B25)-1)*100,"")</f>
        <v>-10.494227596443</v>
      </c>
      <c r="E28" s="31" t="n">
        <f aca="false">IFERROR(((AVERAGE(B26:B28)/AVERAGE(B23:B25))^4-1)*100,"")</f>
        <v>-35.8193399903689</v>
      </c>
      <c r="F28" s="31" t="n">
        <f aca="false">IFERROR(('SA Data'!V28/'SA Data'!V16-1)*100,"")</f>
        <v>-3.60545346996231</v>
      </c>
      <c r="G28" s="31" t="n">
        <f aca="false">IFERROR((AVERAGE('SA Data'!V19:V28)/AVERAGE('SA Data'!V7:V16)-1)*100,"")</f>
        <v>21.7619710006013</v>
      </c>
      <c r="H28" s="30" t="n">
        <f aca="false">'SA Data'!S28</f>
        <v>107.803439497059</v>
      </c>
      <c r="I28" s="31" t="n">
        <f aca="false">IFERROR((H28/H27-1)*100,"")</f>
        <v>1.34514952721041</v>
      </c>
      <c r="J28" s="31" t="n">
        <f aca="false">IFERROR((AVERAGE(H26:H28)/AVERAGE(H23:H25)-1)*100,"")</f>
        <v>-0.16072425095266</v>
      </c>
      <c r="K28" s="31" t="n">
        <f aca="false">IFERROR(((AVERAGE(H26:H28)/AVERAGE(H23:H25))^4-1)*100,"")</f>
        <v>-0.641348726802526</v>
      </c>
      <c r="L28" s="31" t="n">
        <f aca="false">IFERROR(('SA Data'!W28/'SA Data'!W16-1)*100,"")</f>
        <v>8.08928915359553</v>
      </c>
      <c r="M28" s="31" t="n">
        <f aca="false">IFERROR((AVERAGE('SA Data'!W19:W28)/AVERAGE('SA Data'!W7:W16)-1)*100,"")</f>
        <v>7.31517631850505</v>
      </c>
      <c r="N28" s="30" t="n">
        <f aca="false">'SA Data'!T28</f>
        <v>110.155256713204</v>
      </c>
      <c r="O28" s="31" t="n">
        <f aca="false">IFERROR((N28/N27-1)*100,"")</f>
        <v>-0.527848042196388</v>
      </c>
      <c r="P28" s="31" t="n">
        <f aca="false">IFERROR((AVERAGE(N26:N28)/AVERAGE(N23:N25)-1)*100,"")</f>
        <v>1.29539082805181</v>
      </c>
      <c r="Q28" s="31" t="n">
        <f aca="false">IFERROR(((AVERAGE(N26:N28)/AVERAGE(N23:N25))^4-1)*100,"")</f>
        <v>5.28311785756228</v>
      </c>
      <c r="R28" s="31" t="n">
        <f aca="false">IFERROR(('SA Data'!X28/'SA Data'!X16-1)*100,"")</f>
        <v>8.77694894207126</v>
      </c>
      <c r="S28" s="31" t="n">
        <f aca="false">IFERROR((AVERAGE('SA Data'!X19:X28)/AVERAGE('SA Data'!X7:X16)-1)*100,"")</f>
        <v>9.10367617257775</v>
      </c>
    </row>
    <row r="29" customFormat="false" ht="15" hidden="false" customHeight="false" outlineLevel="0" collapsed="false">
      <c r="A29" s="20" t="n">
        <v>38686</v>
      </c>
      <c r="B29" s="30" t="n">
        <f aca="false">'SA Data'!R29</f>
        <v>115.566678818539</v>
      </c>
      <c r="C29" s="31" t="n">
        <f aca="false">IFERROR((B29/B28-1)*100,"")</f>
        <v>7.09082532445224</v>
      </c>
      <c r="D29" s="31" t="n">
        <f aca="false">IFERROR((AVERAGE(B27:B29)/AVERAGE(B24:B26)-1)*100,"")</f>
        <v>-2.63002456775421</v>
      </c>
      <c r="E29" s="31" t="n">
        <f aca="false">IFERROR(((AVERAGE(B27:B29)/AVERAGE(B24:B26))^4-1)*100,"")</f>
        <v>-10.1123054548252</v>
      </c>
      <c r="F29" s="31" t="n">
        <f aca="false">IFERROR(('SA Data'!V29/'SA Data'!V17-1)*100,"")</f>
        <v>1.10374770900405</v>
      </c>
      <c r="G29" s="31" t="n">
        <f aca="false">IFERROR((AVERAGE('SA Data'!V19:V29)/AVERAGE('SA Data'!V7:V17)-1)*100,"")</f>
        <v>20.3010698102737</v>
      </c>
      <c r="H29" s="30" t="n">
        <f aca="false">'SA Data'!S29</f>
        <v>110.56127656973</v>
      </c>
      <c r="I29" s="31" t="n">
        <f aca="false">IFERROR((H29/H28-1)*100,"")</f>
        <v>2.55820879698976</v>
      </c>
      <c r="J29" s="31" t="n">
        <f aca="false">IFERROR((AVERAGE(H27:H29)/AVERAGE(H24:H26)-1)*100,"")</f>
        <v>0.61721145804261</v>
      </c>
      <c r="K29" s="31" t="n">
        <f aca="false">IFERROR(((AVERAGE(H27:H29)/AVERAGE(H24:H26))^4-1)*100,"")</f>
        <v>2.49179702700768</v>
      </c>
      <c r="L29" s="31" t="n">
        <f aca="false">IFERROR(('SA Data'!W29/'SA Data'!W17-1)*100,"")</f>
        <v>9.14649878219673</v>
      </c>
      <c r="M29" s="31" t="n">
        <f aca="false">IFERROR((AVERAGE('SA Data'!W19:W29)/AVERAGE('SA Data'!W7:W17)-1)*100,"")</f>
        <v>7.48668264278689</v>
      </c>
      <c r="N29" s="30" t="n">
        <f aca="false">'SA Data'!T29</f>
        <v>112.643936101086</v>
      </c>
      <c r="O29" s="31" t="n">
        <f aca="false">IFERROR((N29/N28-1)*100,"")</f>
        <v>2.25924705015366</v>
      </c>
      <c r="P29" s="31" t="n">
        <f aca="false">IFERROR((AVERAGE(N27:N29)/AVERAGE(N24:N26)-1)*100,"")</f>
        <v>1.59072930253186</v>
      </c>
      <c r="Q29" s="31" t="n">
        <f aca="false">IFERROR(((AVERAGE(N27:N29)/AVERAGE(N24:N26))^4-1)*100,"")</f>
        <v>6.51635888110202</v>
      </c>
      <c r="R29" s="31" t="n">
        <f aca="false">IFERROR(('SA Data'!X29/'SA Data'!X17-1)*100,"")</f>
        <v>9.73817364834644</v>
      </c>
      <c r="S29" s="31" t="n">
        <f aca="false">IFERROR((AVERAGE('SA Data'!X19:X29)/AVERAGE('SA Data'!X7:X17)-1)*100,"")</f>
        <v>9.16301942972546</v>
      </c>
    </row>
    <row r="30" customFormat="false" ht="15" hidden="false" customHeight="false" outlineLevel="0" collapsed="false">
      <c r="A30" s="20" t="n">
        <v>38717</v>
      </c>
      <c r="B30" s="30" t="n">
        <f aca="false">'SA Data'!R30</f>
        <v>132.654764283697</v>
      </c>
      <c r="C30" s="31" t="n">
        <f aca="false">IFERROR((B30/B29-1)*100,"")</f>
        <v>14.7863429492416</v>
      </c>
      <c r="D30" s="31" t="n">
        <f aca="false">IFERROR((AVERAGE(B28:B30)/AVERAGE(B25:B27)-1)*100,"")</f>
        <v>11.8591027249686</v>
      </c>
      <c r="E30" s="31" t="n">
        <f aca="false">IFERROR(((AVERAGE(B28:B30)/AVERAGE(B25:B27))^4-1)*100,"")</f>
        <v>56.5616267841298</v>
      </c>
      <c r="F30" s="31" t="n">
        <f aca="false">IFERROR(('SA Data'!V30/'SA Data'!V18-1)*100,"")</f>
        <v>8.98174300368826</v>
      </c>
      <c r="G30" s="31" t="n">
        <f aca="false">IFERROR((AVERAGE('SA Data'!V19:V30)/AVERAGE('SA Data'!V7:V18)-1)*100,"")</f>
        <v>19.4282278228805</v>
      </c>
      <c r="H30" s="30" t="n">
        <f aca="false">'SA Data'!S30</f>
        <v>111.792882023357</v>
      </c>
      <c r="I30" s="31" t="n">
        <f aca="false">IFERROR((H30/H29-1)*100,"")</f>
        <v>1.11395733826367</v>
      </c>
      <c r="J30" s="31" t="n">
        <f aca="false">IFERROR((AVERAGE(H28:H30)/AVERAGE(H25:H27)-1)*100,"")</f>
        <v>3.03027211428617</v>
      </c>
      <c r="K30" s="31" t="n">
        <f aca="false">IFERROR(((AVERAGE(H28:H30)/AVERAGE(H25:H27))^4-1)*100,"")</f>
        <v>12.6832559705237</v>
      </c>
      <c r="L30" s="31" t="n">
        <f aca="false">IFERROR(('SA Data'!W30/'SA Data'!W18-1)*100,"")</f>
        <v>8.24588228187089</v>
      </c>
      <c r="M30" s="31" t="n">
        <f aca="false">IFERROR((AVERAGE('SA Data'!W19:W30)/AVERAGE('SA Data'!W7:W18)-1)*100,"")</f>
        <v>7.55104641269424</v>
      </c>
      <c r="N30" s="30" t="n">
        <f aca="false">'SA Data'!T30</f>
        <v>114.232110057969</v>
      </c>
      <c r="O30" s="31" t="n">
        <f aca="false">IFERROR((N30/N29-1)*100,"")</f>
        <v>1.40990630463962</v>
      </c>
      <c r="P30" s="31" t="n">
        <f aca="false">IFERROR((AVERAGE(N28:N30)/AVERAGE(N25:N27)-1)*100,"")</f>
        <v>2.1603086210074</v>
      </c>
      <c r="Q30" s="31" t="n">
        <f aca="false">IFERROR(((AVERAGE(N28:N30)/AVERAGE(N25:N27))^4-1)*100,"")</f>
        <v>8.92530507110583</v>
      </c>
      <c r="R30" s="31" t="n">
        <f aca="false">IFERROR(('SA Data'!X30/'SA Data'!X18-1)*100,"")</f>
        <v>9.68815021464689</v>
      </c>
      <c r="S30" s="31" t="n">
        <f aca="false">IFERROR((AVERAGE('SA Data'!X19:X30)/AVERAGE('SA Data'!X7:X18)-1)*100,"")</f>
        <v>9.20824464354544</v>
      </c>
    </row>
    <row r="31" customFormat="false" ht="15" hidden="false" customHeight="false" outlineLevel="0" collapsed="false">
      <c r="A31" s="20" t="n">
        <v>38748</v>
      </c>
      <c r="B31" s="30" t="n">
        <f aca="false">'SA Data'!R31</f>
        <v>127.323770776958</v>
      </c>
      <c r="C31" s="31" t="n">
        <f aca="false">IFERROR((B31/B30-1)*100,"")</f>
        <v>-4.01869735740387</v>
      </c>
      <c r="D31" s="31" t="n">
        <f aca="false">IFERROR((AVERAGE(B29:B31)/AVERAGE(B26:B28)-1)*100,"")</f>
        <v>18.4559627614688</v>
      </c>
      <c r="E31" s="31" t="n">
        <f aca="false">IFERROR(((AVERAGE(B29:B31)/AVERAGE(B26:B28))^4-1)*100,"")</f>
        <v>96.8918353863643</v>
      </c>
      <c r="F31" s="31" t="n">
        <f aca="false">IFERROR(('SA Data'!V31/'SA Data'!V19-1)*100,"")</f>
        <v>5.49952260282673</v>
      </c>
      <c r="G31" s="31" t="n">
        <f aca="false">IFERROR((AVERAGE('SA Data'!V31:V31)/AVERAGE('SA Data'!V19:V19)-1)*100,"")</f>
        <v>5.49952260282673</v>
      </c>
      <c r="H31" s="30" t="n">
        <f aca="false">'SA Data'!S31</f>
        <v>115.173092924293</v>
      </c>
      <c r="I31" s="31" t="n">
        <f aca="false">IFERROR((H31/H30-1)*100,"")</f>
        <v>3.02363696127799</v>
      </c>
      <c r="J31" s="31" t="n">
        <f aca="false">IFERROR((AVERAGE(H29:H31)/AVERAGE(H26:H28)-1)*100,"")</f>
        <v>4.86068795281391</v>
      </c>
      <c r="K31" s="31" t="n">
        <f aca="false">IFERROR(((AVERAGE(H29:H31)/AVERAGE(H26:H28))^4-1)*100,"")</f>
        <v>20.9068232593532</v>
      </c>
      <c r="L31" s="31" t="n">
        <f aca="false">IFERROR(('SA Data'!W31/'SA Data'!W19-1)*100,"")</f>
        <v>8.96348030828205</v>
      </c>
      <c r="M31" s="31" t="n">
        <f aca="false">IFERROR((AVERAGE('SA Data'!W31:W31)/AVERAGE('SA Data'!W19:W19)-1)*100,"")</f>
        <v>8.96348030828205</v>
      </c>
      <c r="N31" s="30" t="n">
        <f aca="false">'SA Data'!T31</f>
        <v>114.216395446393</v>
      </c>
      <c r="O31" s="31" t="n">
        <f aca="false">IFERROR((N31/N30-1)*100,"")</f>
        <v>-0.0137567375478209</v>
      </c>
      <c r="P31" s="31" t="n">
        <f aca="false">IFERROR((AVERAGE(N29:N31)/AVERAGE(N26:N28)-1)*100,"")</f>
        <v>3.0492658292621</v>
      </c>
      <c r="Q31" s="31" t="n">
        <f aca="false">IFERROR(((AVERAGE(N29:N31)/AVERAGE(N26:N28))^4-1)*100,"")</f>
        <v>12.7663719525383</v>
      </c>
      <c r="R31" s="31" t="n">
        <f aca="false">IFERROR(('SA Data'!X31/'SA Data'!X19-1)*100,"")</f>
        <v>8.85901781702063</v>
      </c>
      <c r="S31" s="31" t="n">
        <f aca="false">IFERROR((AVERAGE('SA Data'!X31:X31)/AVERAGE('SA Data'!X19:X19)-1)*100,"")</f>
        <v>8.85901781702063</v>
      </c>
    </row>
    <row r="32" customFormat="false" ht="15" hidden="false" customHeight="false" outlineLevel="0" collapsed="false">
      <c r="A32" s="20" t="n">
        <v>38776</v>
      </c>
      <c r="B32" s="30" t="n">
        <f aca="false">'SA Data'!R32</f>
        <v>118.933443499692</v>
      </c>
      <c r="C32" s="31" t="n">
        <f aca="false">IFERROR((B32/B31-1)*100,"")</f>
        <v>-6.58975714123613</v>
      </c>
      <c r="D32" s="31" t="n">
        <f aca="false">IFERROR((AVERAGE(B30:B32)/AVERAGE(B27:B29)-1)*100,"")</f>
        <v>15.6990030874772</v>
      </c>
      <c r="E32" s="31" t="n">
        <f aca="false">IFERROR(((AVERAGE(B30:B32)/AVERAGE(B27:B29))^4-1)*100,"")</f>
        <v>79.1919384600985</v>
      </c>
      <c r="F32" s="31" t="n">
        <f aca="false">IFERROR(('SA Data'!V32/'SA Data'!V20-1)*100,"")</f>
        <v>-2.30070129664275</v>
      </c>
      <c r="G32" s="31" t="n">
        <f aca="false">IFERROR((AVERAGE('SA Data'!V31:V32)/AVERAGE('SA Data'!V19:V20)-1)*100,"")</f>
        <v>1.48013162566778</v>
      </c>
      <c r="H32" s="30" t="n">
        <f aca="false">'SA Data'!S32</f>
        <v>115.314126314154</v>
      </c>
      <c r="I32" s="31" t="n">
        <f aca="false">IFERROR((H32/H31-1)*100,"")</f>
        <v>0.122453418832547</v>
      </c>
      <c r="J32" s="31" t="n">
        <f aca="false">IFERROR((AVERAGE(H30:H32)/AVERAGE(H27:H29)-1)*100,"")</f>
        <v>5.40215632701282</v>
      </c>
      <c r="K32" s="31" t="n">
        <f aca="false">IFERROR(((AVERAGE(H30:H32)/AVERAGE(H27:H29))^4-1)*100,"")</f>
        <v>23.4235356358588</v>
      </c>
      <c r="L32" s="31" t="n">
        <f aca="false">IFERROR(('SA Data'!W32/'SA Data'!W20-1)*100,"")</f>
        <v>8.89779108292752</v>
      </c>
      <c r="M32" s="31" t="n">
        <f aca="false">IFERROR((AVERAGE('SA Data'!W31:W32)/AVERAGE('SA Data'!W19:W20)-1)*100,"")</f>
        <v>8.93095644639244</v>
      </c>
      <c r="N32" s="30" t="n">
        <f aca="false">'SA Data'!T32</f>
        <v>115.013831830393</v>
      </c>
      <c r="O32" s="31" t="n">
        <f aca="false">IFERROR((N32/N31-1)*100,"")</f>
        <v>0.698180310176499</v>
      </c>
      <c r="P32" s="31" t="n">
        <f aca="false">IFERROR((AVERAGE(N30:N32)/AVERAGE(N27:N29)-1)*100,"")</f>
        <v>2.97516942417784</v>
      </c>
      <c r="Q32" s="31" t="n">
        <f aca="false">IFERROR(((AVERAGE(N30:N32)/AVERAGE(N27:N29))^4-1)*100,"")</f>
        <v>12.442388077538</v>
      </c>
      <c r="R32" s="31" t="n">
        <f aca="false">IFERROR(('SA Data'!X32/'SA Data'!X20-1)*100,"")</f>
        <v>8.76973582534848</v>
      </c>
      <c r="S32" s="31" t="n">
        <f aca="false">IFERROR((AVERAGE('SA Data'!X31:X32)/AVERAGE('SA Data'!X19:X20)-1)*100,"")</f>
        <v>8.81464800213099</v>
      </c>
    </row>
    <row r="33" customFormat="false" ht="15" hidden="false" customHeight="false" outlineLevel="0" collapsed="false">
      <c r="A33" s="20" t="n">
        <v>38807</v>
      </c>
      <c r="B33" s="30" t="n">
        <f aca="false">'SA Data'!R33</f>
        <v>116.99166030373</v>
      </c>
      <c r="C33" s="31" t="n">
        <f aca="false">IFERROR((B33/B32-1)*100,"")</f>
        <v>-1.63266373092662</v>
      </c>
      <c r="D33" s="31" t="n">
        <f aca="false">IFERROR((AVERAGE(B31:B33)/AVERAGE(B28:B30)-1)*100,"")</f>
        <v>1.99721163576303</v>
      </c>
      <c r="E33" s="31" t="n">
        <f aca="false">IFERROR(((AVERAGE(B31:B33)/AVERAGE(B28:B30))^4-1)*100,"")</f>
        <v>8.23138034759545</v>
      </c>
      <c r="F33" s="31" t="n">
        <f aca="false">IFERROR(('SA Data'!V33/'SA Data'!V21-1)*100,"")</f>
        <v>-7.49883609890265</v>
      </c>
      <c r="G33" s="31" t="n">
        <f aca="false">IFERROR((AVERAGE('SA Data'!V31:V33)/AVERAGE('SA Data'!V19:V21)-1)*100,"")</f>
        <v>-3.0730831037027</v>
      </c>
      <c r="H33" s="30" t="n">
        <f aca="false">'SA Data'!S33</f>
        <v>117.083569025343</v>
      </c>
      <c r="I33" s="31" t="n">
        <f aca="false">IFERROR((H33/H32-1)*100,"")</f>
        <v>1.53445442266882</v>
      </c>
      <c r="J33" s="31" t="n">
        <f aca="false">IFERROR((AVERAGE(H31:H33)/AVERAGE(H28:H30)-1)*100,"")</f>
        <v>5.27420549288393</v>
      </c>
      <c r="K33" s="31" t="n">
        <f aca="false">IFERROR(((AVERAGE(H31:H33)/AVERAGE(H28:H30))^4-1)*100,"")</f>
        <v>22.8253159290033</v>
      </c>
      <c r="L33" s="31" t="n">
        <f aca="false">IFERROR(('SA Data'!W33/'SA Data'!W21-1)*100,"")</f>
        <v>9.96016005507419</v>
      </c>
      <c r="M33" s="31" t="n">
        <f aca="false">IFERROR((AVERAGE('SA Data'!W31:W33)/AVERAGE('SA Data'!W19:W21)-1)*100,"")</f>
        <v>9.29599159629877</v>
      </c>
      <c r="N33" s="30" t="n">
        <f aca="false">'SA Data'!T33</f>
        <v>116.332212155318</v>
      </c>
      <c r="O33" s="31" t="n">
        <f aca="false">IFERROR((N33/N32-1)*100,"")</f>
        <v>1.14627980299666</v>
      </c>
      <c r="P33" s="31" t="n">
        <f aca="false">IFERROR((AVERAGE(N31:N33)/AVERAGE(N28:N30)-1)*100,"")</f>
        <v>2.53125940740258</v>
      </c>
      <c r="Q33" s="31" t="n">
        <f aca="false">IFERROR(((AVERAGE(N31:N33)/AVERAGE(N28:N30))^4-1)*100,"")</f>
        <v>10.5160025232519</v>
      </c>
      <c r="R33" s="31" t="n">
        <f aca="false">IFERROR(('SA Data'!X33/'SA Data'!X21-1)*100,"")</f>
        <v>8.30584510453141</v>
      </c>
      <c r="S33" s="31" t="n">
        <f aca="false">IFERROR((AVERAGE('SA Data'!X31:X33)/AVERAGE('SA Data'!X19:X21)-1)*100,"")</f>
        <v>8.63767903052508</v>
      </c>
    </row>
    <row r="34" customFormat="false" ht="15" hidden="false" customHeight="false" outlineLevel="0" collapsed="false">
      <c r="A34" s="20" t="n">
        <v>38837</v>
      </c>
      <c r="B34" s="30" t="n">
        <f aca="false">'SA Data'!R34</f>
        <v>114.109634810441</v>
      </c>
      <c r="C34" s="31" t="n">
        <f aca="false">IFERROR((B34/B33-1)*100,"")</f>
        <v>-2.46344524541893</v>
      </c>
      <c r="D34" s="31" t="n">
        <f aca="false">IFERROR((AVERAGE(B32:B34)/AVERAGE(B29:B31)-1)*100,"")</f>
        <v>-6.79291715685031</v>
      </c>
      <c r="E34" s="31" t="n">
        <f aca="false">IFERROR(((AVERAGE(B32:B34)/AVERAGE(B29:B31))^4-1)*100,"")</f>
        <v>-24.5262961706101</v>
      </c>
      <c r="F34" s="31" t="n">
        <f aca="false">IFERROR(('SA Data'!V34/'SA Data'!V22-1)*100,"")</f>
        <v>-8.02415158087403</v>
      </c>
      <c r="G34" s="31" t="n">
        <f aca="false">IFERROR((AVERAGE('SA Data'!V31:V34)/AVERAGE('SA Data'!V19:V22)-1)*100,"")</f>
        <v>-5.21118027681233</v>
      </c>
      <c r="H34" s="30" t="n">
        <f aca="false">'SA Data'!S34</f>
        <v>115.135123473578</v>
      </c>
      <c r="I34" s="31" t="n">
        <f aca="false">IFERROR((H34/H33-1)*100,"")</f>
        <v>-1.66414943444657</v>
      </c>
      <c r="J34" s="31" t="n">
        <f aca="false">IFERROR((AVERAGE(H32:H34)/AVERAGE(H29:H31)-1)*100,"")</f>
        <v>2.96437317304445</v>
      </c>
      <c r="K34" s="31" t="n">
        <f aca="false">IFERROR(((AVERAGE(H32:H34)/AVERAGE(H29:H31))^4-1)*100,"")</f>
        <v>12.3952401925798</v>
      </c>
      <c r="L34" s="31" t="n">
        <f aca="false">IFERROR(('SA Data'!W34/'SA Data'!W22-1)*100,"")</f>
        <v>8.43833363405262</v>
      </c>
      <c r="M34" s="31" t="n">
        <f aca="false">IFERROR((AVERAGE('SA Data'!W31:W34)/AVERAGE('SA Data'!W19:W22)-1)*100,"")</f>
        <v>9.07365615407805</v>
      </c>
      <c r="N34" s="30" t="n">
        <f aca="false">'SA Data'!T34</f>
        <v>115.46276808743</v>
      </c>
      <c r="O34" s="31" t="n">
        <f aca="false">IFERROR((N34/N33-1)*100,"")</f>
        <v>-0.747380327236402</v>
      </c>
      <c r="P34" s="31" t="n">
        <f aca="false">IFERROR((AVERAGE(N32:N34)/AVERAGE(N29:N31)-1)*100,"")</f>
        <v>1.67590065636949</v>
      </c>
      <c r="Q34" s="31" t="n">
        <f aca="false">IFERROR(((AVERAGE(N32:N34)/AVERAGE(N29:N31))^4-1)*100,"")</f>
        <v>6.8740118972203</v>
      </c>
      <c r="R34" s="31" t="n">
        <f aca="false">IFERROR(('SA Data'!X34/'SA Data'!X22-1)*100,"")</f>
        <v>7.28150903791891</v>
      </c>
      <c r="S34" s="31" t="n">
        <f aca="false">IFERROR((AVERAGE('SA Data'!X31:X34)/AVERAGE('SA Data'!X19:X22)-1)*100,"")</f>
        <v>8.28984291117099</v>
      </c>
    </row>
    <row r="35" customFormat="false" ht="15" hidden="false" customHeight="false" outlineLevel="0" collapsed="false">
      <c r="A35" s="20" t="n">
        <v>38868</v>
      </c>
      <c r="B35" s="30" t="n">
        <f aca="false">'SA Data'!R35</f>
        <v>114.450660955136</v>
      </c>
      <c r="C35" s="31" t="n">
        <f aca="false">IFERROR((B35/B34-1)*100,"")</f>
        <v>0.298858326259199</v>
      </c>
      <c r="D35" s="31" t="n">
        <f aca="false">IFERROR((AVERAGE(B33:B35)/AVERAGE(B30:B32)-1)*100,"")</f>
        <v>-8.80416148831916</v>
      </c>
      <c r="E35" s="31" t="n">
        <f aca="false">IFERROR(((AVERAGE(B33:B35)/AVERAGE(B30:B32))^4-1)*100,"")</f>
        <v>-30.8328177788256</v>
      </c>
      <c r="F35" s="31" t="n">
        <f aca="false">IFERROR(('SA Data'!V35/'SA Data'!V23-1)*100,"")</f>
        <v>-4.75331610131687</v>
      </c>
      <c r="G35" s="31" t="n">
        <f aca="false">IFERROR((AVERAGE('SA Data'!V31:V35)/AVERAGE('SA Data'!V19:V23)-1)*100,"")</f>
        <v>-5.03769086528397</v>
      </c>
      <c r="H35" s="30" t="n">
        <f aca="false">'SA Data'!S35</f>
        <v>116.743911489852</v>
      </c>
      <c r="I35" s="31" t="n">
        <f aca="false">IFERROR((H35/H34-1)*100,"")</f>
        <v>1.39730428711755</v>
      </c>
      <c r="J35" s="31" t="n">
        <f aca="false">IFERROR((AVERAGE(H33:H35)/AVERAGE(H30:H32)-1)*100,"")</f>
        <v>1.95234917318763</v>
      </c>
      <c r="K35" s="31" t="n">
        <f aca="false">IFERROR(((AVERAGE(H33:H35)/AVERAGE(H30:H32))^4-1)*100,"")</f>
        <v>8.04108794139686</v>
      </c>
      <c r="L35" s="31" t="n">
        <f aca="false">IFERROR(('SA Data'!W35/'SA Data'!W23-1)*100,"")</f>
        <v>8.73705160593103</v>
      </c>
      <c r="M35" s="31" t="n">
        <f aca="false">IFERROR((AVERAGE('SA Data'!W31:W35)/AVERAGE('SA Data'!W19:W23)-1)*100,"")</f>
        <v>9.00315092469259</v>
      </c>
      <c r="N35" s="30" t="n">
        <f aca="false">'SA Data'!T35</f>
        <v>117.246432532502</v>
      </c>
      <c r="O35" s="31" t="n">
        <f aca="false">IFERROR((N35/N34-1)*100,"")</f>
        <v>1.54479619241532</v>
      </c>
      <c r="P35" s="31" t="n">
        <f aca="false">IFERROR((AVERAGE(N33:N35)/AVERAGE(N30:N32)-1)*100,"")</f>
        <v>1.62436309139069</v>
      </c>
      <c r="Q35" s="31" t="n">
        <f aca="false">IFERROR(((AVERAGE(N33:N35)/AVERAGE(N30:N32))^4-1)*100,"")</f>
        <v>6.65748704353475</v>
      </c>
      <c r="R35" s="31" t="n">
        <f aca="false">IFERROR(('SA Data'!X35/'SA Data'!X23-1)*100,"")</f>
        <v>7.95016033281757</v>
      </c>
      <c r="S35" s="31" t="n">
        <f aca="false">IFERROR((AVERAGE('SA Data'!X31:X35)/AVERAGE('SA Data'!X19:X23)-1)*100,"")</f>
        <v>8.21901333330384</v>
      </c>
    </row>
    <row r="36" customFormat="false" ht="15" hidden="false" customHeight="false" outlineLevel="0" collapsed="false">
      <c r="A36" s="20" t="n">
        <v>38898</v>
      </c>
      <c r="B36" s="30" t="n">
        <f aca="false">'SA Data'!R36</f>
        <v>115.373322549511</v>
      </c>
      <c r="C36" s="31" t="n">
        <f aca="false">IFERROR((B36/B35-1)*100,"")</f>
        <v>0.806165370015943</v>
      </c>
      <c r="D36" s="31" t="n">
        <f aca="false">IFERROR((AVERAGE(B34:B36)/AVERAGE(B31:B33)-1)*100,"")</f>
        <v>-5.31736162640659</v>
      </c>
      <c r="E36" s="31" t="n">
        <f aca="false">IFERROR(((AVERAGE(B34:B36)/AVERAGE(B31:B33))^4-1)*100,"")</f>
        <v>-19.6323249325327</v>
      </c>
      <c r="F36" s="31" t="n">
        <f aca="false">IFERROR(('SA Data'!V36/'SA Data'!V24-1)*100,"")</f>
        <v>-4.01715404874159</v>
      </c>
      <c r="G36" s="31" t="n">
        <f aca="false">IFERROR((AVERAGE('SA Data'!V31:V36)/AVERAGE('SA Data'!V19:V24)-1)*100,"")</f>
        <v>-4.83125832071931</v>
      </c>
      <c r="H36" s="30" t="n">
        <f aca="false">'SA Data'!S36</f>
        <v>117.844107334122</v>
      </c>
      <c r="I36" s="31" t="n">
        <f aca="false">IFERROR((H36/H35-1)*100,"")</f>
        <v>0.942401047069352</v>
      </c>
      <c r="J36" s="31" t="n">
        <f aca="false">IFERROR((AVERAGE(H34:H36)/AVERAGE(H31:H33)-1)*100,"")</f>
        <v>0.619256308769511</v>
      </c>
      <c r="K36" s="31" t="n">
        <f aca="false">IFERROR(((AVERAGE(H34:H36)/AVERAGE(H31:H33))^4-1)*100,"")</f>
        <v>2.50012907325219</v>
      </c>
      <c r="L36" s="31" t="n">
        <f aca="false">IFERROR(('SA Data'!W36/'SA Data'!W24-1)*100,"")</f>
        <v>8.70490407634974</v>
      </c>
      <c r="M36" s="31" t="n">
        <f aca="false">IFERROR((AVERAGE('SA Data'!W31:W36)/AVERAGE('SA Data'!W19:W24)-1)*100,"")</f>
        <v>8.95203631146742</v>
      </c>
      <c r="N36" s="30" t="n">
        <f aca="false">'SA Data'!T36</f>
        <v>117.835647390043</v>
      </c>
      <c r="O36" s="31" t="n">
        <f aca="false">IFERROR((N36/N35-1)*100,"")</f>
        <v>0.502543953631651</v>
      </c>
      <c r="P36" s="31" t="n">
        <f aca="false">IFERROR((AVERAGE(N34:N36)/AVERAGE(N31:N33)-1)*100,"")</f>
        <v>1.44182584949288</v>
      </c>
      <c r="Q36" s="31" t="n">
        <f aca="false">IFERROR(((AVERAGE(N34:N36)/AVERAGE(N31:N33))^4-1)*100,"")</f>
        <v>5.89323836911471</v>
      </c>
      <c r="R36" s="31" t="n">
        <f aca="false">IFERROR(('SA Data'!X36/'SA Data'!X24-1)*100,"")</f>
        <v>8.04971323364196</v>
      </c>
      <c r="S36" s="31" t="n">
        <f aca="false">IFERROR((AVERAGE('SA Data'!X31:X36)/AVERAGE('SA Data'!X19:X24)-1)*100,"")</f>
        <v>8.18980763649469</v>
      </c>
    </row>
    <row r="37" customFormat="false" ht="15" hidden="false" customHeight="false" outlineLevel="0" collapsed="false">
      <c r="A37" s="20" t="n">
        <v>38929</v>
      </c>
      <c r="B37" s="30" t="n">
        <f aca="false">'SA Data'!R37</f>
        <v>117.732386476579</v>
      </c>
      <c r="C37" s="31" t="n">
        <f aca="false">IFERROR((B37/B36-1)*100,"")</f>
        <v>2.04472218961695</v>
      </c>
      <c r="D37" s="31" t="n">
        <f aca="false">IFERROR((AVERAGE(B35:B37)/AVERAGE(B32:B34)-1)*100,"")</f>
        <v>-0.708035048878652</v>
      </c>
      <c r="E37" s="31" t="n">
        <f aca="false">IFERROR(((AVERAGE(B35:B37)/AVERAGE(B32:B34))^4-1)*100,"")</f>
        <v>-2.80220310542115</v>
      </c>
      <c r="F37" s="31" t="n">
        <f aca="false">IFERROR(('SA Data'!V37/'SA Data'!V25-1)*100,"")</f>
        <v>6.4118912993324</v>
      </c>
      <c r="G37" s="31" t="n">
        <f aca="false">IFERROR((AVERAGE('SA Data'!V31:V37)/AVERAGE('SA Data'!V19:V25)-1)*100,"")</f>
        <v>-3.79978039529112</v>
      </c>
      <c r="H37" s="30" t="n">
        <f aca="false">'SA Data'!S37</f>
        <v>117.916321233534</v>
      </c>
      <c r="I37" s="31" t="n">
        <f aca="false">IFERROR((H37/H36-1)*100,"")</f>
        <v>0.0612791772494958</v>
      </c>
      <c r="J37" s="31" t="n">
        <f aca="false">IFERROR((AVERAGE(H35:H37)/AVERAGE(H32:H34)-1)*100,"")</f>
        <v>1.43051849359523</v>
      </c>
      <c r="K37" s="31" t="n">
        <f aca="false">IFERROR(((AVERAGE(H35:H37)/AVERAGE(H32:H34))^4-1)*100,"")</f>
        <v>5.8460321072785</v>
      </c>
      <c r="L37" s="31" t="n">
        <f aca="false">IFERROR(('SA Data'!W37/'SA Data'!W25-1)*100,"")</f>
        <v>10.9262018140531</v>
      </c>
      <c r="M37" s="31" t="n">
        <f aca="false">IFERROR((AVERAGE('SA Data'!W31:W37)/AVERAGE('SA Data'!W19:W25)-1)*100,"")</f>
        <v>9.24167122211108</v>
      </c>
      <c r="N37" s="30" t="n">
        <f aca="false">'SA Data'!T37</f>
        <v>118.359743127262</v>
      </c>
      <c r="O37" s="31" t="n">
        <f aca="false">IFERROR((N37/N36-1)*100,"")</f>
        <v>0.444768411620311</v>
      </c>
      <c r="P37" s="31" t="n">
        <f aca="false">IFERROR((AVERAGE(N35:N37)/AVERAGE(N32:N34)-1)*100,"")</f>
        <v>1.91258432477974</v>
      </c>
      <c r="Q37" s="31" t="n">
        <f aca="false">IFERROR(((AVERAGE(N35:N37)/AVERAGE(N32:N34))^4-1)*100,"")</f>
        <v>7.87262788505629</v>
      </c>
      <c r="R37" s="31" t="n">
        <f aca="false">IFERROR(('SA Data'!X37/'SA Data'!X25-1)*100,"")</f>
        <v>8.51162027168364</v>
      </c>
      <c r="S37" s="31" t="n">
        <f aca="false">IFERROR((AVERAGE('SA Data'!X31:X37)/AVERAGE('SA Data'!X19:X25)-1)*100,"")</f>
        <v>8.23697308321765</v>
      </c>
    </row>
    <row r="38" customFormat="false" ht="15" hidden="false" customHeight="false" outlineLevel="0" collapsed="false">
      <c r="A38" s="20" t="n">
        <v>38960</v>
      </c>
      <c r="B38" s="30" t="n">
        <f aca="false">'SA Data'!R38</f>
        <v>121.937577316195</v>
      </c>
      <c r="C38" s="31" t="n">
        <f aca="false">IFERROR((B38/B37-1)*100,"")</f>
        <v>3.57182162484468</v>
      </c>
      <c r="D38" s="31" t="n">
        <f aca="false">IFERROR((AVERAGE(B36:B38)/AVERAGE(B33:B35)-1)*100,"")</f>
        <v>2.74671582847987</v>
      </c>
      <c r="E38" s="31" t="n">
        <f aca="false">IFERROR(((AVERAGE(B36:B38)/AVERAGE(B33:B35))^4-1)*100,"")</f>
        <v>11.4478760848804</v>
      </c>
      <c r="F38" s="31" t="n">
        <f aca="false">IFERROR(('SA Data'!V38/'SA Data'!V26-1)*100,"")</f>
        <v>13.5031976166105</v>
      </c>
      <c r="G38" s="31" t="n">
        <f aca="false">IFERROR((AVERAGE('SA Data'!V31:V38)/AVERAGE('SA Data'!V19:V26)-1)*100,"")</f>
        <v>-2.82626144909935</v>
      </c>
      <c r="H38" s="30" t="n">
        <f aca="false">'SA Data'!S38</f>
        <v>118.148913762581</v>
      </c>
      <c r="I38" s="31" t="n">
        <f aca="false">IFERROR((H38/H37-1)*100,"")</f>
        <v>0.197252192583353</v>
      </c>
      <c r="J38" s="31" t="n">
        <f aca="false">IFERROR((AVERAGE(H36:H38)/AVERAGE(H33:H35)-1)*100,"")</f>
        <v>1.41755542998601</v>
      </c>
      <c r="K38" s="31" t="n">
        <f aca="false">IFERROR(((AVERAGE(H36:H38)/AVERAGE(H33:H35))^4-1)*100,"")</f>
        <v>5.7919329720121</v>
      </c>
      <c r="L38" s="31" t="n">
        <f aca="false">IFERROR(('SA Data'!W38/'SA Data'!W26-1)*100,"")</f>
        <v>10.0176612282783</v>
      </c>
      <c r="M38" s="31" t="n">
        <f aca="false">IFERROR((AVERAGE('SA Data'!W31:W38)/AVERAGE('SA Data'!W19:W26)-1)*100,"")</f>
        <v>9.34221425810113</v>
      </c>
      <c r="N38" s="30" t="n">
        <f aca="false">'SA Data'!T38</f>
        <v>119.989249609056</v>
      </c>
      <c r="O38" s="31" t="n">
        <f aca="false">IFERROR((N38/N37-1)*100,"")</f>
        <v>1.37674046828713</v>
      </c>
      <c r="P38" s="31" t="n">
        <f aca="false">IFERROR((AVERAGE(N36:N38)/AVERAGE(N33:N35)-1)*100,"")</f>
        <v>2.04652717117855</v>
      </c>
      <c r="Q38" s="31" t="n">
        <f aca="false">IFERROR(((AVERAGE(N36:N38)/AVERAGE(N33:N35))^4-1)*100,"")</f>
        <v>8.44085120026754</v>
      </c>
      <c r="R38" s="31" t="n">
        <f aca="false">IFERROR(('SA Data'!X38/'SA Data'!X26-1)*100,"")</f>
        <v>8.99026882368104</v>
      </c>
      <c r="S38" s="31" t="n">
        <f aca="false">IFERROR((AVERAGE('SA Data'!X31:X38)/AVERAGE('SA Data'!X19:X26)-1)*100,"")</f>
        <v>8.33369242693205</v>
      </c>
    </row>
    <row r="39" customFormat="false" ht="15" hidden="false" customHeight="false" outlineLevel="0" collapsed="false">
      <c r="A39" s="20" t="n">
        <v>38990</v>
      </c>
      <c r="B39" s="30" t="n">
        <f aca="false">'SA Data'!R39</f>
        <v>121.557337446857</v>
      </c>
      <c r="C39" s="31" t="n">
        <f aca="false">IFERROR((B39/B38-1)*100,"")</f>
        <v>-0.311831576210753</v>
      </c>
      <c r="D39" s="31" t="n">
        <f aca="false">IFERROR((AVERAGE(B37:B39)/AVERAGE(B34:B36)-1)*100,"")</f>
        <v>5.02820370083732</v>
      </c>
      <c r="E39" s="31" t="n">
        <f aca="false">IFERROR(((AVERAGE(B37:B39)/AVERAGE(B34:B36))^4-1)*100,"")</f>
        <v>21.6812748650846</v>
      </c>
      <c r="F39" s="31" t="n">
        <f aca="false">IFERROR(('SA Data'!V39/'SA Data'!V27-1)*100,"")</f>
        <v>13.8535181005576</v>
      </c>
      <c r="G39" s="31" t="n">
        <f aca="false">IFERROR((AVERAGE('SA Data'!V31:V39)/AVERAGE('SA Data'!V19:V27)-1)*100,"")</f>
        <v>-1.99865986773182</v>
      </c>
      <c r="H39" s="30" t="n">
        <f aca="false">'SA Data'!S39</f>
        <v>117.413208399168</v>
      </c>
      <c r="I39" s="31" t="n">
        <f aca="false">IFERROR((H39/H38-1)*100,"")</f>
        <v>-0.622693294405141</v>
      </c>
      <c r="J39" s="31" t="n">
        <f aca="false">IFERROR((AVERAGE(H37:H39)/AVERAGE(H34:H36)-1)*100,"")</f>
        <v>1.07379256432933</v>
      </c>
      <c r="K39" s="31" t="n">
        <f aca="false">IFERROR(((AVERAGE(H37:H39)/AVERAGE(H34:H36))^4-1)*100,"")</f>
        <v>4.36484866128772</v>
      </c>
      <c r="L39" s="31" t="n">
        <f aca="false">IFERROR(('SA Data'!W39/'SA Data'!W27-1)*100,"")</f>
        <v>10.4036052199095</v>
      </c>
      <c r="M39" s="31" t="n">
        <f aca="false">IFERROR((AVERAGE('SA Data'!W31:W39)/AVERAGE('SA Data'!W19:W27)-1)*100,"")</f>
        <v>9.46360263403914</v>
      </c>
      <c r="N39" s="30" t="n">
        <f aca="false">'SA Data'!T39</f>
        <v>119.683847703742</v>
      </c>
      <c r="O39" s="31" t="n">
        <f aca="false">IFERROR((N39/N38-1)*100,"")</f>
        <v>-0.254524389734212</v>
      </c>
      <c r="P39" s="31" t="n">
        <f aca="false">IFERROR((AVERAGE(N37:N39)/AVERAGE(N34:N36)-1)*100,"")</f>
        <v>2.13610112160929</v>
      </c>
      <c r="Q39" s="31" t="n">
        <f aca="false">IFERROR(((AVERAGE(N37:N39)/AVERAGE(N34:N36))^4-1)*100,"")</f>
        <v>8.82209973710248</v>
      </c>
      <c r="R39" s="31" t="n">
        <f aca="false">IFERROR(('SA Data'!X39/'SA Data'!X27-1)*100,"")</f>
        <v>8.06638173012162</v>
      </c>
      <c r="S39" s="31" t="n">
        <f aca="false">IFERROR((AVERAGE('SA Data'!X31:X39)/AVERAGE('SA Data'!X19:X27)-1)*100,"")</f>
        <v>8.30327968308417</v>
      </c>
    </row>
    <row r="40" customFormat="false" ht="15" hidden="false" customHeight="false" outlineLevel="0" collapsed="false">
      <c r="A40" s="20" t="n">
        <v>39021</v>
      </c>
      <c r="B40" s="30" t="n">
        <f aca="false">'SA Data'!R40</f>
        <v>114.834582074512</v>
      </c>
      <c r="C40" s="31" t="n">
        <f aca="false">IFERROR((B40/B39-1)*100,"")</f>
        <v>-5.530522067649</v>
      </c>
      <c r="D40" s="31" t="n">
        <f aca="false">IFERROR((AVERAGE(B38:B40)/AVERAGE(B35:B37)-1)*100,"")</f>
        <v>3.09967757371843</v>
      </c>
      <c r="E40" s="31" t="n">
        <f aca="false">IFERROR(((AVERAGE(B38:B40)/AVERAGE(B35:B37))^4-1)*100,"")</f>
        <v>12.9871953543857</v>
      </c>
      <c r="F40" s="31" t="n">
        <f aca="false">IFERROR(('SA Data'!V40/'SA Data'!V28-1)*100,"")</f>
        <v>4.7171065474332</v>
      </c>
      <c r="G40" s="31" t="n">
        <f aca="false">IFERROR((AVERAGE('SA Data'!V31:V40)/AVERAGE('SA Data'!V19:V28)-1)*100,"")</f>
        <v>-1.67352945528306</v>
      </c>
      <c r="H40" s="30" t="n">
        <f aca="false">'SA Data'!S40</f>
        <v>118.707679919694</v>
      </c>
      <c r="I40" s="31" t="n">
        <f aca="false">IFERROR((H40/H39-1)*100,"")</f>
        <v>1.10249224782641</v>
      </c>
      <c r="J40" s="31" t="n">
        <f aca="false">IFERROR((AVERAGE(H38:H40)/AVERAGE(H35:H37)-1)*100,"")</f>
        <v>0.500834124097893</v>
      </c>
      <c r="K40" s="31" t="n">
        <f aca="false">IFERROR(((AVERAGE(H38:H40)/AVERAGE(H35:H37))^4-1)*100,"")</f>
        <v>2.01843689915626</v>
      </c>
      <c r="L40" s="31" t="n">
        <f aca="false">IFERROR(('SA Data'!W40/'SA Data'!W28-1)*100,"")</f>
        <v>9.89980150108734</v>
      </c>
      <c r="M40" s="31" t="n">
        <f aca="false">IFERROR((AVERAGE('SA Data'!W31:W40)/AVERAGE('SA Data'!W19:W28)-1)*100,"")</f>
        <v>9.50936703635372</v>
      </c>
      <c r="N40" s="30" t="n">
        <f aca="false">'SA Data'!T40</f>
        <v>120.943250466765</v>
      </c>
      <c r="O40" s="31" t="n">
        <f aca="false">IFERROR((N40/N39-1)*100,"")</f>
        <v>1.05227462785182</v>
      </c>
      <c r="P40" s="31" t="n">
        <f aca="false">IFERROR((AVERAGE(N38:N40)/AVERAGE(N35:N37)-1)*100,"")</f>
        <v>2.02990259269471</v>
      </c>
      <c r="Q40" s="31" t="n">
        <f aca="false">IFERROR(((AVERAGE(N38:N40)/AVERAGE(N35:N37))^4-1)*100,"")</f>
        <v>8.37020331062239</v>
      </c>
      <c r="R40" s="31" t="n">
        <f aca="false">IFERROR(('SA Data'!X40/'SA Data'!X28-1)*100,"")</f>
        <v>9.70152062612772</v>
      </c>
      <c r="S40" s="31" t="n">
        <f aca="false">IFERROR((AVERAGE('SA Data'!X31:X40)/AVERAGE('SA Data'!X19:X28)-1)*100,"")</f>
        <v>8.44519222490594</v>
      </c>
    </row>
    <row r="41" customFormat="false" ht="15" hidden="false" customHeight="false" outlineLevel="0" collapsed="false">
      <c r="A41" s="20" t="n">
        <v>39051</v>
      </c>
      <c r="B41" s="30" t="n">
        <f aca="false">'SA Data'!R41</f>
        <v>117.131655516974</v>
      </c>
      <c r="C41" s="31" t="n">
        <f aca="false">IFERROR((B41/B40-1)*100,"")</f>
        <v>2.00033247908884</v>
      </c>
      <c r="D41" s="31" t="n">
        <f aca="false">IFERROR((AVERAGE(B39:B41)/AVERAGE(B36:B38)-1)*100,"")</f>
        <v>-0.428035499445212</v>
      </c>
      <c r="E41" s="31" t="n">
        <f aca="false">IFERROR(((AVERAGE(B39:B41)/AVERAGE(B36:B38))^4-1)*100,"")</f>
        <v>-1.70118046979117</v>
      </c>
      <c r="F41" s="31" t="n">
        <f aca="false">IFERROR(('SA Data'!V41/'SA Data'!V29-1)*100,"")</f>
        <v>0.871347635534692</v>
      </c>
      <c r="G41" s="31" t="n">
        <f aca="false">IFERROR((AVERAGE('SA Data'!V31:V41)/AVERAGE('SA Data'!V19:V29)-1)*100,"")</f>
        <v>-1.52228047593561</v>
      </c>
      <c r="H41" s="30" t="n">
        <f aca="false">'SA Data'!S41</f>
        <v>120.253215289353</v>
      </c>
      <c r="I41" s="31" t="n">
        <f aca="false">IFERROR((H41/H40-1)*100,"")</f>
        <v>1.30196746386138</v>
      </c>
      <c r="J41" s="31" t="n">
        <f aca="false">IFERROR((AVERAGE(H39:H41)/AVERAGE(H36:H38)-1)*100,"")</f>
        <v>0.696438602538518</v>
      </c>
      <c r="K41" s="31" t="n">
        <f aca="false">IFERROR(((AVERAGE(H39:H41)/AVERAGE(H36:H38))^4-1)*100,"")</f>
        <v>2.81499136556576</v>
      </c>
      <c r="L41" s="31" t="n">
        <f aca="false">IFERROR(('SA Data'!W41/'SA Data'!W29-1)*100,"")</f>
        <v>8.91839532388898</v>
      </c>
      <c r="M41" s="31" t="n">
        <f aca="false">IFERROR((AVERAGE('SA Data'!W31:W41)/AVERAGE('SA Data'!W19:W29)-1)*100,"")</f>
        <v>9.45316692715836</v>
      </c>
      <c r="N41" s="30" t="n">
        <f aca="false">'SA Data'!T41</f>
        <v>122.564233347393</v>
      </c>
      <c r="O41" s="31" t="n">
        <f aca="false">IFERROR((N41/N40-1)*100,"")</f>
        <v>1.34028387228853</v>
      </c>
      <c r="P41" s="31" t="n">
        <f aca="false">IFERROR((AVERAGE(N39:N41)/AVERAGE(N36:N38)-1)*100,"")</f>
        <v>1.96715147207154</v>
      </c>
      <c r="Q41" s="31" t="n">
        <f aca="false">IFERROR(((AVERAGE(N39:N41)/AVERAGE(N36:N38))^4-1)*100,"")</f>
        <v>8.10384686014194</v>
      </c>
      <c r="R41" s="31" t="n">
        <f aca="false">IFERROR(('SA Data'!X41/'SA Data'!X29-1)*100,"")</f>
        <v>8.98682452750233</v>
      </c>
      <c r="S41" s="31" t="n">
        <f aca="false">IFERROR((AVERAGE('SA Data'!X31:X41)/AVERAGE('SA Data'!X19:X29)-1)*100,"")</f>
        <v>8.4961168953007</v>
      </c>
    </row>
    <row r="42" customFormat="false" ht="15" hidden="false" customHeight="false" outlineLevel="0" collapsed="false">
      <c r="A42" s="20" t="n">
        <v>39082</v>
      </c>
      <c r="B42" s="30" t="n">
        <f aca="false">'SA Data'!R42</f>
        <v>127.027051801414</v>
      </c>
      <c r="C42" s="31" t="n">
        <f aca="false">IFERROR((B42/B41-1)*100,"")</f>
        <v>8.44809734888956</v>
      </c>
      <c r="D42" s="31" t="n">
        <f aca="false">IFERROR((AVERAGE(B40:B42)/AVERAGE(B37:B39)-1)*100,"")</f>
        <v>-0.618450443547347</v>
      </c>
      <c r="E42" s="31" t="n">
        <f aca="false">IFERROR(((AVERAGE(B40:B42)/AVERAGE(B37:B39))^4-1)*100,"")</f>
        <v>-2.45094738903583</v>
      </c>
      <c r="F42" s="31" t="n">
        <f aca="false">IFERROR(('SA Data'!V42/'SA Data'!V30-1)*100,"")</f>
        <v>-3.43374338205752</v>
      </c>
      <c r="G42" s="31" t="n">
        <f aca="false">IFERROR((AVERAGE('SA Data'!V31:V42)/AVERAGE('SA Data'!V19:V30)-1)*100,"")</f>
        <v>-1.6567821428645</v>
      </c>
      <c r="H42" s="30" t="n">
        <f aca="false">'SA Data'!S42</f>
        <v>122.059807543407</v>
      </c>
      <c r="I42" s="31" t="n">
        <f aca="false">IFERROR((H42/H41-1)*100,"")</f>
        <v>1.50232345115027</v>
      </c>
      <c r="J42" s="31" t="n">
        <f aca="false">IFERROR((AVERAGE(H40:H42)/AVERAGE(H37:H39)-1)*100,"")</f>
        <v>2.13372540761589</v>
      </c>
      <c r="K42" s="31" t="n">
        <f aca="false">IFERROR(((AVERAGE(H40:H42)/AVERAGE(H37:H39))^4-1)*100,"")</f>
        <v>8.81197516166983</v>
      </c>
      <c r="L42" s="31" t="n">
        <f aca="false">IFERROR(('SA Data'!W42/'SA Data'!W30-1)*100,"")</f>
        <v>8.87876227358662</v>
      </c>
      <c r="M42" s="31" t="n">
        <f aca="false">IFERROR((AVERAGE('SA Data'!W31:W42)/AVERAGE('SA Data'!W19:W30)-1)*100,"")</f>
        <v>9.40415518108713</v>
      </c>
      <c r="N42" s="30" t="n">
        <f aca="false">'SA Data'!T42</f>
        <v>123.184683227008</v>
      </c>
      <c r="O42" s="31" t="n">
        <f aca="false">IFERROR((N42/N41-1)*100,"")</f>
        <v>0.506224257004018</v>
      </c>
      <c r="P42" s="31" t="n">
        <f aca="false">IFERROR((AVERAGE(N40:N42)/AVERAGE(N37:N39)-1)*100,"")</f>
        <v>2.41858444897478</v>
      </c>
      <c r="Q42" s="31" t="n">
        <f aca="false">IFERROR(((AVERAGE(N40:N42)/AVERAGE(N37:N39))^4-1)*100,"")</f>
        <v>10.0310041103305</v>
      </c>
      <c r="R42" s="31" t="n">
        <f aca="false">IFERROR(('SA Data'!X42/'SA Data'!X30-1)*100,"")</f>
        <v>7.83786199773218</v>
      </c>
      <c r="S42" s="31" t="n">
        <f aca="false">IFERROR((AVERAGE('SA Data'!X31:X42)/AVERAGE('SA Data'!X19:X30)-1)*100,"")</f>
        <v>8.43917767247326</v>
      </c>
    </row>
    <row r="43" customFormat="false" ht="15" hidden="false" customHeight="false" outlineLevel="0" collapsed="false">
      <c r="A43" s="20" t="n">
        <v>39113</v>
      </c>
      <c r="B43" s="30" t="n">
        <f aca="false">'SA Data'!R43</f>
        <v>128.007238868453</v>
      </c>
      <c r="C43" s="31" t="n">
        <f aca="false">IFERROR((B43/B42-1)*100,"")</f>
        <v>0.771636476749116</v>
      </c>
      <c r="D43" s="31" t="n">
        <f aca="false">IFERROR((AVERAGE(B41:B43)/AVERAGE(B38:B40)-1)*100,"")</f>
        <v>3.86137604394592</v>
      </c>
      <c r="E43" s="31" t="n">
        <f aca="false">IFERROR(((AVERAGE(B41:B43)/AVERAGE(B38:B40))^4-1)*100,"")</f>
        <v>16.3633695819344</v>
      </c>
      <c r="F43" s="31" t="n">
        <f aca="false">IFERROR(('SA Data'!V43/'SA Data'!V31-1)*100,"")</f>
        <v>1.09144925479239</v>
      </c>
      <c r="G43" s="31" t="n">
        <f aca="false">IFERROR((AVERAGE('SA Data'!V43:V43)/AVERAGE('SA Data'!V31:V31)-1)*100,"")</f>
        <v>1.09144925479239</v>
      </c>
      <c r="H43" s="30" t="n">
        <f aca="false">'SA Data'!S43</f>
        <v>121.688484195134</v>
      </c>
      <c r="I43" s="31" t="n">
        <f aca="false">IFERROR((H43/H42-1)*100,"")</f>
        <v>-0.304214266551683</v>
      </c>
      <c r="J43" s="31" t="n">
        <f aca="false">IFERROR((AVERAGE(H41:H43)/AVERAGE(H38:H40)-1)*100,"")</f>
        <v>2.74697557885952</v>
      </c>
      <c r="K43" s="31" t="n">
        <f aca="false">IFERROR(((AVERAGE(H41:H43)/AVERAGE(H38:H40))^4-1)*100,"")</f>
        <v>11.4490030790687</v>
      </c>
      <c r="L43" s="31" t="n">
        <f aca="false">IFERROR(('SA Data'!W43/'SA Data'!W31-1)*100,"")</f>
        <v>5.57579882818404</v>
      </c>
      <c r="M43" s="31" t="n">
        <f aca="false">IFERROR((AVERAGE('SA Data'!W43:W43)/AVERAGE('SA Data'!W31:W31)-1)*100,"")</f>
        <v>5.57579882818404</v>
      </c>
      <c r="N43" s="30" t="n">
        <f aca="false">'SA Data'!T43</f>
        <v>125.150453425098</v>
      </c>
      <c r="O43" s="31" t="n">
        <f aca="false">IFERROR((N43/N42-1)*100,"")</f>
        <v>1.59579108911418</v>
      </c>
      <c r="P43" s="31" t="n">
        <f aca="false">IFERROR((AVERAGE(N41:N43)/AVERAGE(N38:N40)-1)*100,"")</f>
        <v>2.85151305071232</v>
      </c>
      <c r="Q43" s="31" t="n">
        <f aca="false">IFERROR(((AVERAGE(N41:N43)/AVERAGE(N38:N40))^4-1)*100,"")</f>
        <v>11.9032603243095</v>
      </c>
      <c r="R43" s="31" t="n">
        <f aca="false">IFERROR(('SA Data'!X43/'SA Data'!X31-1)*100,"")</f>
        <v>9.57082030587797</v>
      </c>
      <c r="S43" s="31" t="n">
        <f aca="false">IFERROR((AVERAGE('SA Data'!X43:X43)/AVERAGE('SA Data'!X31:X31)-1)*100,"")</f>
        <v>9.57082030587797</v>
      </c>
    </row>
    <row r="44" customFormat="false" ht="15" hidden="false" customHeight="false" outlineLevel="0" collapsed="false">
      <c r="A44" s="20" t="n">
        <v>39141</v>
      </c>
      <c r="B44" s="30" t="n">
        <f aca="false">'SA Data'!R44</f>
        <v>122.619088388606</v>
      </c>
      <c r="C44" s="31" t="n">
        <f aca="false">IFERROR((B44/B43-1)*100,"")</f>
        <v>-4.20925451363308</v>
      </c>
      <c r="D44" s="31" t="n">
        <f aca="false">IFERROR((AVERAGE(B42:B44)/AVERAGE(B39:B41)-1)*100,"")</f>
        <v>6.82551482387352</v>
      </c>
      <c r="E44" s="31" t="n">
        <f aca="false">IFERROR(((AVERAGE(B42:B44)/AVERAGE(B39:B41))^4-1)*100,"")</f>
        <v>30.226682746927</v>
      </c>
      <c r="F44" s="31" t="n">
        <f aca="false">IFERROR(('SA Data'!V44/'SA Data'!V32-1)*100,"")</f>
        <v>2.87191095588468</v>
      </c>
      <c r="G44" s="31" t="n">
        <f aca="false">IFERROR((AVERAGE('SA Data'!V43:V44)/AVERAGE('SA Data'!V31:V32)-1)*100,"")</f>
        <v>1.97472487807948</v>
      </c>
      <c r="H44" s="30" t="n">
        <f aca="false">'SA Data'!S44</f>
        <v>123.780752830524</v>
      </c>
      <c r="I44" s="31" t="n">
        <f aca="false">IFERROR((H44/H43-1)*100,"")</f>
        <v>1.71936453085761</v>
      </c>
      <c r="J44" s="31" t="n">
        <f aca="false">IFERROR((AVERAGE(H42:H44)/AVERAGE(H39:H41)-1)*100,"")</f>
        <v>3.13012108565367</v>
      </c>
      <c r="K44" s="31" t="n">
        <f aca="false">IFERROR(((AVERAGE(H42:H44)/AVERAGE(H39:H41))^4-1)*100,"")</f>
        <v>13.1207069597403</v>
      </c>
      <c r="L44" s="31" t="n">
        <f aca="false">IFERROR(('SA Data'!W44/'SA Data'!W32-1)*100,"")</f>
        <v>7.30041178294412</v>
      </c>
      <c r="M44" s="31" t="n">
        <f aca="false">IFERROR((AVERAGE('SA Data'!W43:W44)/AVERAGE('SA Data'!W31:W32)-1)*100,"")</f>
        <v>6.42942429928468</v>
      </c>
      <c r="N44" s="30" t="n">
        <f aca="false">'SA Data'!T44</f>
        <v>125.669156548678</v>
      </c>
      <c r="O44" s="31" t="n">
        <f aca="false">IFERROR((N44/N43-1)*100,"")</f>
        <v>0.414463639070894</v>
      </c>
      <c r="P44" s="31" t="n">
        <f aca="false">IFERROR((AVERAGE(N42:N44)/AVERAGE(N39:N41)-1)*100,"")</f>
        <v>2.97720808415045</v>
      </c>
      <c r="Q44" s="31" t="n">
        <f aca="false">IFERROR(((AVERAGE(N42:N44)/AVERAGE(N39:N41))^4-1)*100,"")</f>
        <v>12.4512926942345</v>
      </c>
      <c r="R44" s="31" t="n">
        <f aca="false">IFERROR(('SA Data'!X44/'SA Data'!X32-1)*100,"")</f>
        <v>9.08757952275727</v>
      </c>
      <c r="S44" s="31" t="n">
        <f aca="false">IFERROR((AVERAGE('SA Data'!X43:X44)/AVERAGE('SA Data'!X31:X32)-1)*100,"")</f>
        <v>9.33076680790823</v>
      </c>
    </row>
    <row r="45" customFormat="false" ht="15" hidden="false" customHeight="false" outlineLevel="0" collapsed="false">
      <c r="A45" s="20" t="n">
        <v>39172</v>
      </c>
      <c r="B45" s="30" t="n">
        <f aca="false">'SA Data'!R45</f>
        <v>124.282789431014</v>
      </c>
      <c r="C45" s="31" t="n">
        <f aca="false">IFERROR((B45/B44-1)*100,"")</f>
        <v>1.35680428249085</v>
      </c>
      <c r="D45" s="31" t="n">
        <f aca="false">IFERROR((AVERAGE(B43:B45)/AVERAGE(B40:B42)-1)*100,"")</f>
        <v>4.43346094911328</v>
      </c>
      <c r="E45" s="31" t="n">
        <f aca="false">IFERROR(((AVERAGE(B43:B45)/AVERAGE(B40:B42))^4-1)*100,"")</f>
        <v>18.9484215887881</v>
      </c>
      <c r="F45" s="31" t="n">
        <f aca="false">IFERROR(('SA Data'!V45/'SA Data'!V33-1)*100,"")</f>
        <v>6.38142460037112</v>
      </c>
      <c r="G45" s="31" t="n">
        <f aca="false">IFERROR((AVERAGE('SA Data'!V43:V45)/AVERAGE('SA Data'!V31:V33)-1)*100,"")</f>
        <v>4.10731787359155</v>
      </c>
      <c r="H45" s="30" t="n">
        <f aca="false">'SA Data'!S45</f>
        <v>125.466301179139</v>
      </c>
      <c r="I45" s="31" t="n">
        <f aca="false">IFERROR((H45/H44-1)*100,"")</f>
        <v>1.36172087345672</v>
      </c>
      <c r="J45" s="31" t="n">
        <f aca="false">IFERROR((AVERAGE(H43:H45)/AVERAGE(H40:H42)-1)*100,"")</f>
        <v>2.74633431732643</v>
      </c>
      <c r="K45" s="31" t="n">
        <f aca="false">IFERROR(((AVERAGE(H43:H45)/AVERAGE(H40:H42))^4-1)*100,"")</f>
        <v>11.4462208155865</v>
      </c>
      <c r="L45" s="31" t="n">
        <f aca="false">IFERROR(('SA Data'!W45/'SA Data'!W33-1)*100,"")</f>
        <v>7.18493160058422</v>
      </c>
      <c r="M45" s="31" t="n">
        <f aca="false">IFERROR((AVERAGE('SA Data'!W43:W45)/AVERAGE('SA Data'!W31:W33)-1)*100,"")</f>
        <v>6.69901392742067</v>
      </c>
      <c r="N45" s="30" t="n">
        <f aca="false">'SA Data'!T45</f>
        <v>127.58041744342</v>
      </c>
      <c r="O45" s="31" t="n">
        <f aca="false">IFERROR((N45/N44-1)*100,"")</f>
        <v>1.52086713019548</v>
      </c>
      <c r="P45" s="31" t="n">
        <f aca="false">IFERROR((AVERAGE(N43:N45)/AVERAGE(N40:N42)-1)*100,"")</f>
        <v>3.19283077969761</v>
      </c>
      <c r="Q45" s="31" t="n">
        <f aca="false">IFERROR(((AVERAGE(N43:N45)/AVERAGE(N40:N42))^4-1)*100,"")</f>
        <v>13.3960964449674</v>
      </c>
      <c r="R45" s="31" t="n">
        <f aca="false">IFERROR(('SA Data'!X45/'SA Data'!X33-1)*100,"")</f>
        <v>9.58198414483233</v>
      </c>
      <c r="S45" s="31" t="n">
        <f aca="false">IFERROR((AVERAGE('SA Data'!X43:X45)/AVERAGE('SA Data'!X31:X33)-1)*100,"")</f>
        <v>9.41787692059473</v>
      </c>
    </row>
    <row r="46" customFormat="false" ht="15" hidden="false" customHeight="false" outlineLevel="0" collapsed="false">
      <c r="A46" s="20" t="n">
        <v>39202</v>
      </c>
      <c r="B46" s="30" t="n">
        <f aca="false">'SA Data'!R46</f>
        <v>132.609978255839</v>
      </c>
      <c r="C46" s="31" t="n">
        <f aca="false">IFERROR((B46/B45-1)*100,"")</f>
        <v>6.70019466327463</v>
      </c>
      <c r="D46" s="31" t="n">
        <f aca="false">IFERROR((AVERAGE(B44:B46)/AVERAGE(B41:B43)-1)*100,"")</f>
        <v>1.97382645131334</v>
      </c>
      <c r="E46" s="31" t="n">
        <f aca="false">IFERROR(((AVERAGE(B44:B46)/AVERAGE(B41:B43))^4-1)*100,"")</f>
        <v>8.13215643951775</v>
      </c>
      <c r="F46" s="31" t="n">
        <f aca="false">IFERROR(('SA Data'!V46/'SA Data'!V34-1)*100,"")</f>
        <v>16.2666756340109</v>
      </c>
      <c r="G46" s="31" t="n">
        <f aca="false">IFERROR((AVERAGE('SA Data'!V43:V46)/AVERAGE('SA Data'!V31:V34)-1)*100,"")</f>
        <v>9.20245445199017</v>
      </c>
      <c r="H46" s="30" t="n">
        <f aca="false">'SA Data'!S46</f>
        <v>123.766613197448</v>
      </c>
      <c r="I46" s="31" t="n">
        <f aca="false">IFERROR((H46/H45-1)*100,"")</f>
        <v>-1.35469681158783</v>
      </c>
      <c r="J46" s="31" t="n">
        <f aca="false">IFERROR((AVERAGE(H44:H46)/AVERAGE(H41:H43)-1)*100,"")</f>
        <v>2.4758579305898</v>
      </c>
      <c r="K46" s="31" t="n">
        <f aca="false">IFERROR(((AVERAGE(H44:H46)/AVERAGE(H41:H43))^4-1)*100,"")</f>
        <v>10.2773323246134</v>
      </c>
      <c r="L46" s="31" t="n">
        <f aca="false">IFERROR(('SA Data'!W46/'SA Data'!W34-1)*100,"")</f>
        <v>7.11983874975228</v>
      </c>
      <c r="M46" s="31" t="n">
        <f aca="false">IFERROR((AVERAGE('SA Data'!W43:W46)/AVERAGE('SA Data'!W31:W34)-1)*100,"")</f>
        <v>6.80747125215775</v>
      </c>
      <c r="N46" s="30" t="n">
        <f aca="false">'SA Data'!T46</f>
        <v>125.957324947175</v>
      </c>
      <c r="O46" s="31" t="n">
        <f aca="false">IFERROR((N46/N45-1)*100,"")</f>
        <v>-1.2722113070099</v>
      </c>
      <c r="P46" s="31" t="n">
        <f aca="false">IFERROR((AVERAGE(N44:N46)/AVERAGE(N41:N43)-1)*100,"")</f>
        <v>2.239833661563</v>
      </c>
      <c r="Q46" s="31" t="n">
        <f aca="false">IFERROR(((AVERAGE(N44:N46)/AVERAGE(N41:N43))^4-1)*100,"")</f>
        <v>9.26486587310331</v>
      </c>
      <c r="R46" s="31" t="n">
        <f aca="false">IFERROR(('SA Data'!X46/'SA Data'!X34-1)*100,"")</f>
        <v>8.99555054150842</v>
      </c>
      <c r="S46" s="31" t="n">
        <f aca="false">IFERROR((AVERAGE('SA Data'!X43:X46)/AVERAGE('SA Data'!X31:X34)-1)*100,"")</f>
        <v>9.31056550955767</v>
      </c>
    </row>
    <row r="47" customFormat="false" ht="15" hidden="false" customHeight="false" outlineLevel="0" collapsed="false">
      <c r="A47" s="20" t="n">
        <v>39233</v>
      </c>
      <c r="B47" s="30" t="n">
        <f aca="false">'SA Data'!R47</f>
        <v>134.487419987129</v>
      </c>
      <c r="C47" s="31" t="n">
        <f aca="false">IFERROR((B47/B46-1)*100,"")</f>
        <v>1.41576203840981</v>
      </c>
      <c r="D47" s="31" t="n">
        <f aca="false">IFERROR((AVERAGE(B45:B47)/AVERAGE(B42:B44)-1)*100,"")</f>
        <v>3.63476388050086</v>
      </c>
      <c r="E47" s="31" t="n">
        <f aca="false">IFERROR(((AVERAGE(B45:B47)/AVERAGE(B42:B44))^4-1)*100,"")</f>
        <v>15.3511288594921</v>
      </c>
      <c r="F47" s="31" t="n">
        <f aca="false">IFERROR(('SA Data'!V47/'SA Data'!V35-1)*100,"")</f>
        <v>17.5971746292543</v>
      </c>
      <c r="G47" s="31" t="n">
        <f aca="false">IFERROR((AVERAGE('SA Data'!V43:V47)/AVERAGE('SA Data'!V31:V35)-1)*100,"")</f>
        <v>12.3928250292115</v>
      </c>
      <c r="H47" s="30" t="n">
        <f aca="false">'SA Data'!S47</f>
        <v>125.357127856414</v>
      </c>
      <c r="I47" s="31" t="n">
        <f aca="false">IFERROR((H47/H46-1)*100,"")</f>
        <v>1.28509184979342</v>
      </c>
      <c r="J47" s="31" t="n">
        <f aca="false">IFERROR((AVERAGE(H45:H47)/AVERAGE(H42:H44)-1)*100,"")</f>
        <v>1.92120807002194</v>
      </c>
      <c r="K47" s="31" t="n">
        <f aca="false">IFERROR(((AVERAGE(H45:H47)/AVERAGE(H42:H44))^4-1)*100,"")</f>
        <v>7.90914483344483</v>
      </c>
      <c r="L47" s="31" t="n">
        <f aca="false">IFERROR(('SA Data'!W47/'SA Data'!W35-1)*100,"")</f>
        <v>7.51447327119821</v>
      </c>
      <c r="M47" s="31" t="n">
        <f aca="false">IFERROR((AVERAGE('SA Data'!W43:W47)/AVERAGE('SA Data'!W31:W35)-1)*100,"")</f>
        <v>6.95519846528914</v>
      </c>
      <c r="N47" s="30" t="n">
        <f aca="false">'SA Data'!T47</f>
        <v>128.255293651338</v>
      </c>
      <c r="O47" s="31" t="n">
        <f aca="false">IFERROR((N47/N46-1)*100,"")</f>
        <v>1.82440259439196</v>
      </c>
      <c r="P47" s="31" t="n">
        <f aca="false">IFERROR((AVERAGE(N45:N47)/AVERAGE(N42:N44)-1)*100,"")</f>
        <v>2.0825276561645</v>
      </c>
      <c r="Q47" s="31" t="n">
        <f aca="false">IFERROR(((AVERAGE(N45:N47)/AVERAGE(N42:N44))^4-1)*100,"")</f>
        <v>8.59395742340245</v>
      </c>
      <c r="R47" s="31" t="n">
        <f aca="false">IFERROR(('SA Data'!X47/'SA Data'!X35-1)*100,"")</f>
        <v>9.47515394484302</v>
      </c>
      <c r="S47" s="31" t="n">
        <f aca="false">IFERROR((AVERAGE('SA Data'!X43:X47)/AVERAGE('SA Data'!X31:X35)-1)*100,"")</f>
        <v>9.34479972806528</v>
      </c>
    </row>
    <row r="48" customFormat="false" ht="15" hidden="false" customHeight="false" outlineLevel="0" collapsed="false">
      <c r="A48" s="20" t="n">
        <v>39263</v>
      </c>
      <c r="B48" s="30" t="n">
        <f aca="false">'SA Data'!R48</f>
        <v>133.90070887193</v>
      </c>
      <c r="C48" s="31" t="n">
        <f aca="false">IFERROR((B48/B47-1)*100,"")</f>
        <v>-0.436257246406668</v>
      </c>
      <c r="D48" s="31" t="n">
        <f aca="false">IFERROR((AVERAGE(B46:B48)/AVERAGE(B43:B45)-1)*100,"")</f>
        <v>6.95875060529176</v>
      </c>
      <c r="E48" s="31" t="n">
        <f aca="false">IFERROR(((AVERAGE(B46:B48)/AVERAGE(B43:B45))^4-1)*100,"")</f>
        <v>30.8775887247009</v>
      </c>
      <c r="F48" s="31" t="n">
        <f aca="false">IFERROR(('SA Data'!V48/'SA Data'!V36-1)*100,"")</f>
        <v>16.2350614033626</v>
      </c>
      <c r="G48" s="31" t="n">
        <f aca="false">IFERROR((AVERAGE('SA Data'!V43:V48)/AVERAGE('SA Data'!V31:V36)-1)*100,"")</f>
        <v>13.1766748510679</v>
      </c>
      <c r="H48" s="30" t="n">
        <f aca="false">'SA Data'!S48</f>
        <v>124.143666510106</v>
      </c>
      <c r="I48" s="31" t="n">
        <f aca="false">IFERROR((H48/H47-1)*100,"")</f>
        <v>-0.968003469014789</v>
      </c>
      <c r="J48" s="31" t="n">
        <f aca="false">IFERROR((AVERAGE(H46:H48)/AVERAGE(H43:H45)-1)*100,"")</f>
        <v>0.628645443479559</v>
      </c>
      <c r="K48" s="31" t="n">
        <f aca="false">IFERROR(((AVERAGE(H46:H48)/AVERAGE(H43:H45))^4-1)*100,"")</f>
        <v>2.53839301075181</v>
      </c>
      <c r="L48" s="31" t="n">
        <f aca="false">IFERROR(('SA Data'!W48/'SA Data'!W36-1)*100,"")</f>
        <v>5.57263553091409</v>
      </c>
      <c r="M48" s="31" t="n">
        <f aca="false">IFERROR((AVERAGE('SA Data'!W43:W48)/AVERAGE('SA Data'!W31:W36)-1)*100,"")</f>
        <v>6.71878733959233</v>
      </c>
      <c r="N48" s="30" t="n">
        <f aca="false">'SA Data'!T48</f>
        <v>128.761589870813</v>
      </c>
      <c r="O48" s="31" t="n">
        <f aca="false">IFERROR((N48/N47-1)*100,"")</f>
        <v>0.394756586695899</v>
      </c>
      <c r="P48" s="31" t="n">
        <f aca="false">IFERROR((AVERAGE(N46:N48)/AVERAGE(N43:N45)-1)*100,"")</f>
        <v>1.20882154352635</v>
      </c>
      <c r="Q48" s="31" t="n">
        <f aca="false">IFERROR(((AVERAGE(N46:N48)/AVERAGE(N43:N45))^4-1)*100,"")</f>
        <v>4.92366983676327</v>
      </c>
      <c r="R48" s="31" t="n">
        <f aca="false">IFERROR(('SA Data'!X48/'SA Data'!X36-1)*100,"")</f>
        <v>9.40285467315343</v>
      </c>
      <c r="S48" s="31" t="n">
        <f aca="false">IFERROR((AVERAGE('SA Data'!X43:X48)/AVERAGE('SA Data'!X31:X36)-1)*100,"")</f>
        <v>9.35480172799641</v>
      </c>
    </row>
    <row r="49" customFormat="false" ht="15" hidden="false" customHeight="false" outlineLevel="0" collapsed="false">
      <c r="A49" s="20" t="n">
        <v>39294</v>
      </c>
      <c r="B49" s="30" t="n">
        <f aca="false">'SA Data'!R49</f>
        <v>125.237033478875</v>
      </c>
      <c r="C49" s="31" t="n">
        <f aca="false">IFERROR((B49/B48-1)*100,"")</f>
        <v>-6.4702236948878</v>
      </c>
      <c r="D49" s="31" t="n">
        <f aca="false">IFERROR((AVERAGE(B47:B49)/AVERAGE(B44:B46)-1)*100,"")</f>
        <v>3.71880510095821</v>
      </c>
      <c r="E49" s="31" t="n">
        <f aca="false">IFERROR(((AVERAGE(B47:B49)/AVERAGE(B44:B46))^4-1)*100,"")</f>
        <v>15.7257540449365</v>
      </c>
      <c r="F49" s="31" t="n">
        <f aca="false">IFERROR(('SA Data'!V49/'SA Data'!V37-1)*100,"")</f>
        <v>5.51894287871613</v>
      </c>
      <c r="G49" s="31" t="n">
        <f aca="false">IFERROR((AVERAGE('SA Data'!V43:V49)/AVERAGE('SA Data'!V31:V37)-1)*100,"")</f>
        <v>12.3995582113352</v>
      </c>
      <c r="H49" s="30" t="n">
        <f aca="false">'SA Data'!S49</f>
        <v>122.564998515426</v>
      </c>
      <c r="I49" s="31" t="n">
        <f aca="false">IFERROR((H49/H48-1)*100,"")</f>
        <v>-1.27164602034018</v>
      </c>
      <c r="J49" s="31" t="n">
        <f aca="false">IFERROR((AVERAGE(H47:H49)/AVERAGE(H44:H46)-1)*100,"")</f>
        <v>-0.254112491979586</v>
      </c>
      <c r="K49" s="31" t="n">
        <f aca="false">IFERROR(((AVERAGE(H47:H49)/AVERAGE(H44:H46))^4-1)*100,"")</f>
        <v>-1.01258213777234</v>
      </c>
      <c r="L49" s="31" t="n">
        <f aca="false">IFERROR(('SA Data'!W49/'SA Data'!W37-1)*100,"")</f>
        <v>3.92758096006705</v>
      </c>
      <c r="M49" s="31" t="n">
        <f aca="false">IFERROR((AVERAGE('SA Data'!W43:W49)/AVERAGE('SA Data'!W31:W37)-1)*100,"")</f>
        <v>6.302967596966</v>
      </c>
      <c r="N49" s="30" t="n">
        <f aca="false">'SA Data'!T49</f>
        <v>129.363656875128</v>
      </c>
      <c r="O49" s="31" t="n">
        <f aca="false">IFERROR((N49/N48-1)*100,"")</f>
        <v>0.467582766661923</v>
      </c>
      <c r="P49" s="31" t="n">
        <f aca="false">IFERROR((AVERAGE(N47:N49)/AVERAGE(N44:N46)-1)*100,"")</f>
        <v>1.89174866756698</v>
      </c>
      <c r="Q49" s="31" t="n">
        <f aca="false">IFERROR(((AVERAGE(N47:N49)/AVERAGE(N44:N46))^4-1)*100,"")</f>
        <v>7.78443826896513</v>
      </c>
      <c r="R49" s="31" t="n">
        <f aca="false">IFERROR(('SA Data'!X49/'SA Data'!X37-1)*100,"")</f>
        <v>9.18626578632902</v>
      </c>
      <c r="S49" s="31" t="n">
        <f aca="false">IFERROR((AVERAGE('SA Data'!X43:X49)/AVERAGE('SA Data'!X31:X37)-1)*100,"")</f>
        <v>9.33003811533637</v>
      </c>
    </row>
    <row r="50" customFormat="false" ht="15" hidden="false" customHeight="false" outlineLevel="0" collapsed="false">
      <c r="A50" s="20" t="n">
        <v>39325</v>
      </c>
      <c r="B50" s="30" t="n">
        <f aca="false">'SA Data'!R50</f>
        <v>121.141048897852</v>
      </c>
      <c r="C50" s="31" t="n">
        <f aca="false">IFERROR((B50/B49-1)*100,"")</f>
        <v>-3.27058575825707</v>
      </c>
      <c r="D50" s="31" t="n">
        <f aca="false">IFERROR((AVERAGE(B48:B50)/AVERAGE(B45:B47)-1)*100,"")</f>
        <v>-2.83647378557969</v>
      </c>
      <c r="E50" s="31" t="n">
        <f aca="false">IFERROR(((AVERAGE(B48:B50)/AVERAGE(B45:B47))^4-1)*100,"")</f>
        <v>-10.8722238334436</v>
      </c>
      <c r="F50" s="31" t="n">
        <f aca="false">IFERROR(('SA Data'!V50/'SA Data'!V38-1)*100,"")</f>
        <v>-2.12073067036194</v>
      </c>
      <c r="G50" s="31" t="n">
        <f aca="false">IFERROR((AVERAGE('SA Data'!V43:V50)/AVERAGE('SA Data'!V31:V38)-1)*100,"")</f>
        <v>11.4453173841418</v>
      </c>
      <c r="H50" s="30" t="n">
        <f aca="false">'SA Data'!S50</f>
        <v>125.94345399947</v>
      </c>
      <c r="I50" s="31" t="n">
        <f aca="false">IFERROR((H50/H49-1)*100,"")</f>
        <v>2.75646026595311</v>
      </c>
      <c r="J50" s="31" t="n">
        <f aca="false">IFERROR((AVERAGE(H48:H50)/AVERAGE(H45:H47)-1)*100,"")</f>
        <v>-0.517345094505406</v>
      </c>
      <c r="K50" s="31" t="n">
        <f aca="false">IFERROR(((AVERAGE(H48:H50)/AVERAGE(H45:H47))^4-1)*100,"")</f>
        <v>-2.0533769357058</v>
      </c>
      <c r="L50" s="31" t="n">
        <f aca="false">IFERROR(('SA Data'!W50/'SA Data'!W38-1)*100,"")</f>
        <v>6.80924012159769</v>
      </c>
      <c r="M50" s="31" t="n">
        <f aca="false">IFERROR((AVERAGE('SA Data'!W43:W50)/AVERAGE('SA Data'!W31:W38)-1)*100,"")</f>
        <v>6.36896924347787</v>
      </c>
      <c r="N50" s="30" t="n">
        <f aca="false">'SA Data'!T50</f>
        <v>130.752409413039</v>
      </c>
      <c r="O50" s="31" t="n">
        <f aca="false">IFERROR((N50/N49-1)*100,"")</f>
        <v>1.07352603618112</v>
      </c>
      <c r="P50" s="31" t="n">
        <f aca="false">IFERROR((AVERAGE(N48:N50)/AVERAGE(N45:N47)-1)*100,"")</f>
        <v>1.85561795220088</v>
      </c>
      <c r="Q50" s="31" t="n">
        <f aca="false">IFERROR(((AVERAGE(N48:N50)/AVERAGE(N45:N47))^4-1)*100,"")</f>
        <v>7.63163853738098</v>
      </c>
      <c r="R50" s="31" t="n">
        <f aca="false">IFERROR(('SA Data'!X50/'SA Data'!X38-1)*100,"")</f>
        <v>9.07104808782506</v>
      </c>
      <c r="S50" s="31" t="n">
        <f aca="false">IFERROR((AVERAGE('SA Data'!X43:X50)/AVERAGE('SA Data'!X31:X38)-1)*100,"")</f>
        <v>9.29658357639362</v>
      </c>
    </row>
    <row r="51" customFormat="false" ht="15" hidden="false" customHeight="false" outlineLevel="0" collapsed="false">
      <c r="A51" s="20" t="n">
        <v>39355</v>
      </c>
      <c r="B51" s="30" t="n">
        <f aca="false">'SA Data'!R51</f>
        <v>117.612438716318</v>
      </c>
      <c r="C51" s="31" t="n">
        <f aca="false">IFERROR((B51/B50-1)*100,"")</f>
        <v>-2.91281131675626</v>
      </c>
      <c r="D51" s="31" t="n">
        <f aca="false">IFERROR((AVERAGE(B49:B51)/AVERAGE(B46:B48)-1)*100,"")</f>
        <v>-9.22886800840915</v>
      </c>
      <c r="E51" s="31" t="n">
        <f aca="false">IFERROR(((AVERAGE(B49:B51)/AVERAGE(B46:B48))^4-1)*100,"")</f>
        <v>-32.1123139560675</v>
      </c>
      <c r="F51" s="31" t="n">
        <f aca="false">IFERROR(('SA Data'!V51/'SA Data'!V39-1)*100,"")</f>
        <v>-4.15683428974341</v>
      </c>
      <c r="G51" s="31" t="n">
        <f aca="false">IFERROR((AVERAGE('SA Data'!V43:V51)/AVERAGE('SA Data'!V31:V39)-1)*100,"")</f>
        <v>10.5459648943137</v>
      </c>
      <c r="H51" s="30" t="n">
        <f aca="false">'SA Data'!S51</f>
        <v>126.630215655831</v>
      </c>
      <c r="I51" s="31" t="n">
        <f aca="false">IFERROR((H51/H50-1)*100,"")</f>
        <v>0.545293649294587</v>
      </c>
      <c r="J51" s="31" t="n">
        <f aca="false">IFERROR((AVERAGE(H49:H51)/AVERAGE(H46:H48)-1)*100,"")</f>
        <v>0.501319046035054</v>
      </c>
      <c r="K51" s="31" t="n">
        <f aca="false">IFERROR(((AVERAGE(H49:H51)/AVERAGE(H46:H48))^4-1)*100,"")</f>
        <v>2.02040589121606</v>
      </c>
      <c r="L51" s="31" t="n">
        <f aca="false">IFERROR(('SA Data'!W51/'SA Data'!W39-1)*100,"")</f>
        <v>8.16180352988651</v>
      </c>
      <c r="M51" s="31" t="n">
        <f aca="false">IFERROR((AVERAGE('SA Data'!W43:W51)/AVERAGE('SA Data'!W31:W39)-1)*100,"")</f>
        <v>6.5757715522947</v>
      </c>
      <c r="N51" s="30" t="n">
        <f aca="false">'SA Data'!T51</f>
        <v>129.180619046639</v>
      </c>
      <c r="O51" s="31" t="n">
        <f aca="false">IFERROR((N51/N50-1)*100,"")</f>
        <v>-1.20211197136273</v>
      </c>
      <c r="P51" s="31" t="n">
        <f aca="false">IFERROR((AVERAGE(N49:N51)/AVERAGE(N46:N48)-1)*100,"")</f>
        <v>1.65088842163847</v>
      </c>
      <c r="Q51" s="31" t="n">
        <f aca="false">IFERROR(((AVERAGE(N49:N51)/AVERAGE(N46:N48))^4-1)*100,"")</f>
        <v>6.76888682341523</v>
      </c>
      <c r="R51" s="31" t="n">
        <f aca="false">IFERROR(('SA Data'!X51/'SA Data'!X39-1)*100,"")</f>
        <v>8.08274957990019</v>
      </c>
      <c r="S51" s="31" t="n">
        <f aca="false">IFERROR((AVERAGE('SA Data'!X43:X51)/AVERAGE('SA Data'!X31:X39)-1)*100,"")</f>
        <v>9.15878410064033</v>
      </c>
    </row>
    <row r="52" customFormat="false" ht="15" hidden="false" customHeight="false" outlineLevel="0" collapsed="false">
      <c r="A52" s="20" t="n">
        <v>39386</v>
      </c>
      <c r="B52" s="30" t="n">
        <f aca="false">'SA Data'!R52</f>
        <v>120.855282150768</v>
      </c>
      <c r="C52" s="31" t="n">
        <f aca="false">IFERROR((B52/B51-1)*100,"")</f>
        <v>2.75722829136436</v>
      </c>
      <c r="D52" s="31" t="n">
        <f aca="false">IFERROR((AVERAGE(B50:B52)/AVERAGE(B47:B49)-1)*100,"")</f>
        <v>-8.64182370124835</v>
      </c>
      <c r="E52" s="31" t="n">
        <f aca="false">IFERROR(((AVERAGE(B50:B52)/AVERAGE(B47:B49))^4-1)*100,"")</f>
        <v>-30.3390029411347</v>
      </c>
      <c r="F52" s="31" t="n">
        <f aca="false">IFERROR(('SA Data'!V52/'SA Data'!V40-1)*100,"")</f>
        <v>5.0446474973467</v>
      </c>
      <c r="G52" s="31" t="n">
        <f aca="false">IFERROR((AVERAGE('SA Data'!V43:V52)/AVERAGE('SA Data'!V31:V40)-1)*100,"")</f>
        <v>10.2623193941459</v>
      </c>
      <c r="H52" s="30" t="n">
        <f aca="false">'SA Data'!S52</f>
        <v>130.521188034763</v>
      </c>
      <c r="I52" s="31" t="n">
        <f aca="false">IFERROR((H52/H51-1)*100,"")</f>
        <v>3.07270453483832</v>
      </c>
      <c r="J52" s="31" t="n">
        <f aca="false">IFERROR((AVERAGE(H50:H52)/AVERAGE(H47:H49)-1)*100,"")</f>
        <v>2.96427809788415</v>
      </c>
      <c r="K52" s="31" t="n">
        <f aca="false">IFERROR(((AVERAGE(H50:H52)/AVERAGE(H47:H49))^4-1)*100,"")</f>
        <v>12.3948250594478</v>
      </c>
      <c r="L52" s="31" t="n">
        <f aca="false">IFERROR(('SA Data'!W52/'SA Data'!W40-1)*100,"")</f>
        <v>10.0174190626842</v>
      </c>
      <c r="M52" s="31" t="n">
        <f aca="false">IFERROR((AVERAGE('SA Data'!W43:W52)/AVERAGE('SA Data'!W31:W40)-1)*100,"")</f>
        <v>6.93814409984497</v>
      </c>
      <c r="N52" s="30" t="n">
        <f aca="false">'SA Data'!T52</f>
        <v>132.685581920295</v>
      </c>
      <c r="O52" s="31" t="n">
        <f aca="false">IFERROR((N52/N51-1)*100,"")</f>
        <v>2.71322656565882</v>
      </c>
      <c r="P52" s="31" t="n">
        <f aca="false">IFERROR((AVERAGE(N50:N52)/AVERAGE(N47:N49)-1)*100,"")</f>
        <v>1.61448865315039</v>
      </c>
      <c r="Q52" s="31" t="n">
        <f aca="false">IFERROR(((AVERAGE(N50:N52)/AVERAGE(N47:N49))^4-1)*100,"")</f>
        <v>6.61603913690416</v>
      </c>
      <c r="R52" s="31" t="n">
        <f aca="false">IFERROR(('SA Data'!X52/'SA Data'!X40-1)*100,"")</f>
        <v>9.84108526454062</v>
      </c>
      <c r="S52" s="31" t="n">
        <f aca="false">IFERROR((AVERAGE('SA Data'!X43:X52)/AVERAGE('SA Data'!X31:X40)-1)*100,"")</f>
        <v>9.22883556540406</v>
      </c>
    </row>
    <row r="53" customFormat="false" ht="15" hidden="false" customHeight="false" outlineLevel="0" collapsed="false">
      <c r="A53" s="20" t="n">
        <v>39416</v>
      </c>
      <c r="B53" s="30" t="n">
        <f aca="false">'SA Data'!R53</f>
        <v>121.18852251658</v>
      </c>
      <c r="C53" s="31" t="n">
        <f aca="false">IFERROR((B53/B52-1)*100,"")</f>
        <v>0.275735044329251</v>
      </c>
      <c r="D53" s="31" t="n">
        <f aca="false">IFERROR((AVERAGE(B51:B53)/AVERAGE(B48:B50)-1)*100,"")</f>
        <v>-5.42300763008008</v>
      </c>
      <c r="E53" s="31" t="n">
        <f aca="false">IFERROR(((AVERAGE(B51:B53)/AVERAGE(B48:B50))^4-1)*100,"")</f>
        <v>-19.9904190430516</v>
      </c>
      <c r="F53" s="31" t="n">
        <f aca="false">IFERROR(('SA Data'!V53/'SA Data'!V41-1)*100,"")</f>
        <v>4.65191249107413</v>
      </c>
      <c r="G53" s="31" t="n">
        <f aca="false">IFERROR((AVERAGE('SA Data'!V43:V53)/AVERAGE('SA Data'!V31:V41)-1)*100,"")</f>
        <v>9.92077289296216</v>
      </c>
      <c r="H53" s="30" t="n">
        <f aca="false">'SA Data'!S53</f>
        <v>130.977859987971</v>
      </c>
      <c r="I53" s="31" t="n">
        <f aca="false">IFERROR((H53/H52-1)*100,"")</f>
        <v>0.349883386815564</v>
      </c>
      <c r="J53" s="31" t="n">
        <f aca="false">IFERROR((AVERAGE(H51:H53)/AVERAGE(H48:H50)-1)*100,"")</f>
        <v>4.15324208917902</v>
      </c>
      <c r="K53" s="31" t="n">
        <f aca="false">IFERROR(((AVERAGE(H51:H53)/AVERAGE(H48:H50))^4-1)*100,"")</f>
        <v>17.6768874968972</v>
      </c>
      <c r="L53" s="31" t="n">
        <f aca="false">IFERROR(('SA Data'!W53/'SA Data'!W41-1)*100,"")</f>
        <v>9.01749403398349</v>
      </c>
      <c r="M53" s="31" t="n">
        <f aca="false">IFERROR((AVERAGE('SA Data'!W43:W53)/AVERAGE('SA Data'!W31:W41)-1)*100,"")</f>
        <v>7.13491956664158</v>
      </c>
      <c r="N53" s="30" t="n">
        <f aca="false">'SA Data'!T53</f>
        <v>133.290559396548</v>
      </c>
      <c r="O53" s="31" t="n">
        <f aca="false">IFERROR((N53/N52-1)*100,"")</f>
        <v>0.455948165201869</v>
      </c>
      <c r="P53" s="31" t="n">
        <f aca="false">IFERROR((AVERAGE(N51:N53)/AVERAGE(N48:N50)-1)*100,"")</f>
        <v>1.61467343393384</v>
      </c>
      <c r="Q53" s="31" t="n">
        <f aca="false">IFERROR(((AVERAGE(N51:N53)/AVERAGE(N48:N50))^4-1)*100,"")</f>
        <v>6.61681464241477</v>
      </c>
      <c r="R53" s="31" t="n">
        <f aca="false">IFERROR(('SA Data'!X53/'SA Data'!X41-1)*100,"")</f>
        <v>8.86827288150474</v>
      </c>
      <c r="S53" s="31" t="n">
        <f aca="false">IFERROR((AVERAGE('SA Data'!X43:X53)/AVERAGE('SA Data'!X31:X41)-1)*100,"")</f>
        <v>9.19478186968443</v>
      </c>
    </row>
    <row r="54" customFormat="false" ht="15" hidden="false" customHeight="false" outlineLevel="0" collapsed="false">
      <c r="A54" s="20" t="n">
        <v>39447</v>
      </c>
      <c r="B54" s="30" t="n">
        <f aca="false">'SA Data'!R54</f>
        <v>122.291789894159</v>
      </c>
      <c r="C54" s="31" t="n">
        <f aca="false">IFERROR((B54/B53-1)*100,"")</f>
        <v>0.910372826294337</v>
      </c>
      <c r="D54" s="31" t="n">
        <f aca="false">IFERROR((AVERAGE(B52:B54)/AVERAGE(B49:B51)-1)*100,"")</f>
        <v>0.0948028721807992</v>
      </c>
      <c r="E54" s="31" t="n">
        <f aca="false">IFERROR(((AVERAGE(B52:B54)/AVERAGE(B49:B51))^4-1)*100,"")</f>
        <v>0.379751084697921</v>
      </c>
      <c r="F54" s="31" t="n">
        <f aca="false">IFERROR(('SA Data'!V54/'SA Data'!V42-1)*100,"")</f>
        <v>-1.87981652425774</v>
      </c>
      <c r="G54" s="31" t="n">
        <f aca="false">IFERROR((AVERAGE('SA Data'!V43:V54)/AVERAGE('SA Data'!V31:V42)-1)*100,"")</f>
        <v>9.10541839000736</v>
      </c>
      <c r="H54" s="30" t="n">
        <f aca="false">'SA Data'!S54</f>
        <v>131.554143243697</v>
      </c>
      <c r="I54" s="31" t="n">
        <f aca="false">IFERROR((H54/H53-1)*100,"")</f>
        <v>0.439985243138641</v>
      </c>
      <c r="J54" s="31" t="n">
        <f aca="false">IFERROR((AVERAGE(H52:H54)/AVERAGE(H49:H51)-1)*100,"")</f>
        <v>4.77544028800361</v>
      </c>
      <c r="K54" s="31" t="n">
        <f aca="false">IFERROR(((AVERAGE(H52:H54)/AVERAGE(H49:H51))^4-1)*100,"")</f>
        <v>20.5141322504113</v>
      </c>
      <c r="L54" s="31" t="n">
        <f aca="false">IFERROR(('SA Data'!W54/'SA Data'!W42-1)*100,"")</f>
        <v>7.8097134513458</v>
      </c>
      <c r="M54" s="31" t="n">
        <f aca="false">IFERROR((AVERAGE('SA Data'!W43:W54)/AVERAGE('SA Data'!W31:W42)-1)*100,"")</f>
        <v>7.19222063529599</v>
      </c>
      <c r="N54" s="30" t="n">
        <f aca="false">'SA Data'!T54</f>
        <v>132.323957042042</v>
      </c>
      <c r="O54" s="31" t="n">
        <f aca="false">IFERROR((N54/N53-1)*100,"")</f>
        <v>-0.72518440832019</v>
      </c>
      <c r="P54" s="31" t="n">
        <f aca="false">IFERROR((AVERAGE(N52:N54)/AVERAGE(N49:N51)-1)*100,"")</f>
        <v>2.31273816686521</v>
      </c>
      <c r="Q54" s="31" t="n">
        <f aca="false">IFERROR(((AVERAGE(N52:N54)/AVERAGE(N49:N51))^4-1)*100,"")</f>
        <v>9.57685485692976</v>
      </c>
      <c r="R54" s="31" t="n">
        <f aca="false">IFERROR(('SA Data'!X54/'SA Data'!X42-1)*100,"")</f>
        <v>7.41384736707804</v>
      </c>
      <c r="S54" s="31" t="n">
        <f aca="false">IFERROR((AVERAGE('SA Data'!X43:X54)/AVERAGE('SA Data'!X31:X42)-1)*100,"")</f>
        <v>9.04158480745732</v>
      </c>
    </row>
    <row r="55" customFormat="false" ht="15" hidden="false" customHeight="false" outlineLevel="0" collapsed="false">
      <c r="A55" s="20" t="n">
        <v>39478</v>
      </c>
      <c r="B55" s="30" t="n">
        <f aca="false">'SA Data'!R55</f>
        <v>118.301920540347</v>
      </c>
      <c r="C55" s="31" t="n">
        <f aca="false">IFERROR((B55/B54-1)*100,"")</f>
        <v>-3.26258153328604</v>
      </c>
      <c r="D55" s="31" t="n">
        <f aca="false">IFERROR((AVERAGE(B53:B55)/AVERAGE(B50:B52)-1)*100,"")</f>
        <v>0.60439660233258</v>
      </c>
      <c r="E55" s="31" t="n">
        <f aca="false">IFERROR(((AVERAGE(B53:B55)/AVERAGE(B50:B52))^4-1)*100,"")</f>
        <v>2.4395925712295</v>
      </c>
      <c r="F55" s="31" t="n">
        <f aca="false">IFERROR(('SA Data'!V55/'SA Data'!V43-1)*100,"")</f>
        <v>-5.15645535655848</v>
      </c>
      <c r="G55" s="31" t="n">
        <f aca="false">IFERROR((AVERAGE('SA Data'!V55:V55)/AVERAGE('SA Data'!V43:V43)-1)*100,"")</f>
        <v>-5.15645535655848</v>
      </c>
      <c r="H55" s="30" t="n">
        <f aca="false">'SA Data'!S55</f>
        <v>133.42024363001</v>
      </c>
      <c r="I55" s="31" t="n">
        <f aca="false">IFERROR((H55/H54-1)*100,"")</f>
        <v>1.41850369764147</v>
      </c>
      <c r="J55" s="31" t="n">
        <f aca="false">IFERROR((AVERAGE(H53:H55)/AVERAGE(H50:H52)-1)*100,"")</f>
        <v>3.35618944329863</v>
      </c>
      <c r="K55" s="31" t="n">
        <f aca="false">IFERROR(((AVERAGE(H53:H55)/AVERAGE(H50:H52))^4-1)*100,"")</f>
        <v>14.1158467631506</v>
      </c>
      <c r="L55" s="31" t="n">
        <f aca="false">IFERROR(('SA Data'!W55/'SA Data'!W43-1)*100,"")</f>
        <v>9.14399724795647</v>
      </c>
      <c r="M55" s="31" t="n">
        <f aca="false">IFERROR((AVERAGE('SA Data'!W55:W55)/AVERAGE('SA Data'!W43:W43)-1)*100,"")</f>
        <v>9.14399724795647</v>
      </c>
      <c r="N55" s="30" t="n">
        <f aca="false">'SA Data'!T55</f>
        <v>135.299146523854</v>
      </c>
      <c r="O55" s="31" t="n">
        <f aca="false">IFERROR((N55/N54-1)*100,"")</f>
        <v>2.2484133246309</v>
      </c>
      <c r="P55" s="31" t="n">
        <f aca="false">IFERROR((AVERAGE(N53:N55)/AVERAGE(N50:N52)-1)*100,"")</f>
        <v>2.11275073650807</v>
      </c>
      <c r="Q55" s="31" t="n">
        <f aca="false">IFERROR(((AVERAGE(N53:N55)/AVERAGE(N50:N52))^4-1)*100,"")</f>
        <v>8.72261809869848</v>
      </c>
      <c r="R55" s="31" t="n">
        <f aca="false">IFERROR(('SA Data'!X55/'SA Data'!X43-1)*100,"")</f>
        <v>7.97037629973698</v>
      </c>
      <c r="S55" s="31" t="n">
        <f aca="false">IFERROR((AVERAGE('SA Data'!X55:X55)/AVERAGE('SA Data'!X43:X43)-1)*100,"")</f>
        <v>7.97037629973698</v>
      </c>
    </row>
    <row r="56" customFormat="false" ht="15" hidden="false" customHeight="false" outlineLevel="0" collapsed="false">
      <c r="A56" s="20" t="n">
        <v>39507</v>
      </c>
      <c r="B56" s="30" t="n">
        <f aca="false">'SA Data'!R56</f>
        <v>118.822528360154</v>
      </c>
      <c r="C56" s="31" t="n">
        <f aca="false">IFERROR((B56/B55-1)*100,"")</f>
        <v>0.440067090567298</v>
      </c>
      <c r="D56" s="31" t="n">
        <f aca="false">IFERROR((AVERAGE(B54:B56)/AVERAGE(B51:B53)-1)*100,"")</f>
        <v>-0.0667316620858949</v>
      </c>
      <c r="E56" s="31" t="n">
        <f aca="false">IFERROR(((AVERAGE(B54:B56)/AVERAGE(B51:B53))^4-1)*100,"")</f>
        <v>-0.266659580305761</v>
      </c>
      <c r="F56" s="31" t="n">
        <f aca="false">IFERROR(('SA Data'!V56/'SA Data'!V44-1)*100,"")</f>
        <v>-1.77222949851726</v>
      </c>
      <c r="G56" s="31" t="n">
        <f aca="false">IFERROR((AVERAGE('SA Data'!V55:V56)/AVERAGE('SA Data'!V43:V44)-1)*100,"")</f>
        <v>-3.46279152445049</v>
      </c>
      <c r="H56" s="30" t="n">
        <f aca="false">'SA Data'!S56</f>
        <v>133.925824379542</v>
      </c>
      <c r="I56" s="31" t="n">
        <f aca="false">IFERROR((H56/H55-1)*100,"")</f>
        <v>0.378938559679631</v>
      </c>
      <c r="J56" s="31" t="n">
        <f aca="false">IFERROR((AVERAGE(H54:H56)/AVERAGE(H51:H53)-1)*100,"")</f>
        <v>2.7750928833862</v>
      </c>
      <c r="K56" s="31" t="n">
        <f aca="false">IFERROR(((AVERAGE(H54:H56)/AVERAGE(H51:H53))^4-1)*100,"")</f>
        <v>11.5710478238861</v>
      </c>
      <c r="L56" s="31" t="n">
        <f aca="false">IFERROR(('SA Data'!W56/'SA Data'!W44-1)*100,"")</f>
        <v>8.02262497163449</v>
      </c>
      <c r="M56" s="31" t="n">
        <f aca="false">IFERROR((AVERAGE('SA Data'!W55:W56)/AVERAGE('SA Data'!W43:W44)-1)*100,"")</f>
        <v>8.58441334651974</v>
      </c>
      <c r="N56" s="30" t="n">
        <f aca="false">'SA Data'!T56</f>
        <v>136.617964628832</v>
      </c>
      <c r="O56" s="31" t="n">
        <f aca="false">IFERROR((N56/N55-1)*100,"")</f>
        <v>0.974742368197457</v>
      </c>
      <c r="P56" s="31" t="n">
        <f aca="false">IFERROR((AVERAGE(N54:N56)/AVERAGE(N51:N53)-1)*100,"")</f>
        <v>2.29891241716025</v>
      </c>
      <c r="Q56" s="31" t="n">
        <f aca="false">IFERROR(((AVERAGE(N54:N56)/AVERAGE(N51:N53))^4-1)*100,"")</f>
        <v>9.51763739724269</v>
      </c>
      <c r="R56" s="31" t="n">
        <f aca="false">IFERROR(('SA Data'!X56/'SA Data'!X44-1)*100,"")</f>
        <v>8.49447082781931</v>
      </c>
      <c r="S56" s="31" t="n">
        <f aca="false">IFERROR((AVERAGE('SA Data'!X55:X56)/AVERAGE('SA Data'!X43:X44)-1)*100,"")</f>
        <v>8.23014510450455</v>
      </c>
    </row>
    <row r="57" customFormat="false" ht="15" hidden="false" customHeight="false" outlineLevel="0" collapsed="false">
      <c r="A57" s="20" t="n">
        <v>39538</v>
      </c>
      <c r="B57" s="30" t="n">
        <f aca="false">'SA Data'!R57</f>
        <v>122.796098846927</v>
      </c>
      <c r="C57" s="31" t="n">
        <f aca="false">IFERROR((B57/B56-1)*100,"")</f>
        <v>3.34412214721478</v>
      </c>
      <c r="D57" s="31" t="n">
        <f aca="false">IFERROR((AVERAGE(B55:B57)/AVERAGE(B52:B54)-1)*100,"")</f>
        <v>-1.21180770695559</v>
      </c>
      <c r="E57" s="31" t="n">
        <f aca="false">IFERROR(((AVERAGE(B55:B57)/AVERAGE(B52:B54))^4-1)*100,"")</f>
        <v>-4.75983180142048</v>
      </c>
      <c r="F57" s="31" t="n">
        <f aca="false">IFERROR(('SA Data'!V57/'SA Data'!V45-1)*100,"")</f>
        <v>-0.869003286037573</v>
      </c>
      <c r="G57" s="31" t="n">
        <f aca="false">IFERROR((AVERAGE('SA Data'!V55:V57)/AVERAGE('SA Data'!V43:V45)-1)*100,"")</f>
        <v>-2.18012553054239</v>
      </c>
      <c r="H57" s="30" t="n">
        <f aca="false">'SA Data'!S57</f>
        <v>128.699265065691</v>
      </c>
      <c r="I57" s="31" t="n">
        <f aca="false">IFERROR((H57/H56-1)*100,"")</f>
        <v>-3.90257766794763</v>
      </c>
      <c r="J57" s="31" t="n">
        <f aca="false">IFERROR((AVERAGE(H55:H57)/AVERAGE(H52:H54)-1)*100,"")</f>
        <v>0.761256205342198</v>
      </c>
      <c r="K57" s="31" t="n">
        <f aca="false">IFERROR(((AVERAGE(H55:H57)/AVERAGE(H52:H54))^4-1)*100,"")</f>
        <v>3.07997228035315</v>
      </c>
      <c r="L57" s="31" t="n">
        <f aca="false">IFERROR(('SA Data'!W57/'SA Data'!W45-1)*100,"")</f>
        <v>2.80412187715748</v>
      </c>
      <c r="M57" s="31" t="n">
        <f aca="false">IFERROR((AVERAGE('SA Data'!W55:W57)/AVERAGE('SA Data'!W43:W45)-1)*100,"")</f>
        <v>6.51242369824983</v>
      </c>
      <c r="N57" s="30" t="n">
        <f aca="false">'SA Data'!T57</f>
        <v>132.60142387398</v>
      </c>
      <c r="O57" s="31" t="n">
        <f aca="false">IFERROR((N57/N56-1)*100,"")</f>
        <v>-2.93997994024011</v>
      </c>
      <c r="P57" s="31" t="n">
        <f aca="false">IFERROR((AVERAGE(N55:N57)/AVERAGE(N52:N54)-1)*100,"")</f>
        <v>1.56124407033824</v>
      </c>
      <c r="Q57" s="31" t="n">
        <f aca="false">IFERROR(((AVERAGE(N55:N57)/AVERAGE(N52:N54))^4-1)*100,"")</f>
        <v>6.39275340788812</v>
      </c>
      <c r="R57" s="31" t="n">
        <f aca="false">IFERROR(('SA Data'!X57/'SA Data'!X45-1)*100,"")</f>
        <v>3.9189444875857</v>
      </c>
      <c r="S57" s="31" t="n">
        <f aca="false">IFERROR((AVERAGE('SA Data'!X55:X57)/AVERAGE('SA Data'!X43:X45)-1)*100,"")</f>
        <v>6.73298558249629</v>
      </c>
    </row>
    <row r="58" customFormat="false" ht="15" hidden="false" customHeight="false" outlineLevel="0" collapsed="false">
      <c r="A58" s="20" t="n">
        <v>39568</v>
      </c>
      <c r="B58" s="30" t="n">
        <f aca="false">'SA Data'!R58</f>
        <v>133.304163715756</v>
      </c>
      <c r="C58" s="31" t="n">
        <f aca="false">IFERROR((B58/B57-1)*100,"")</f>
        <v>8.55732793427622</v>
      </c>
      <c r="D58" s="31" t="n">
        <f aca="false">IFERROR((AVERAGE(B56:B58)/AVERAGE(B53:B55)-1)*100,"")</f>
        <v>3.63217338357449</v>
      </c>
      <c r="E58" s="31" t="n">
        <f aca="false">IFERROR(((AVERAGE(B56:B58)/AVERAGE(B53:B55))^4-1)*100,"")</f>
        <v>15.3395958360261</v>
      </c>
      <c r="F58" s="31" t="n">
        <f aca="false">IFERROR(('SA Data'!V58/'SA Data'!V46-1)*100,"")</f>
        <v>-0.800801526577699</v>
      </c>
      <c r="G58" s="31" t="n">
        <f aca="false">IFERROR((AVERAGE('SA Data'!V55:V58)/AVERAGE('SA Data'!V43:V46)-1)*100,"")</f>
        <v>-1.56475833227132</v>
      </c>
      <c r="H58" s="30" t="n">
        <f aca="false">'SA Data'!S58</f>
        <v>135.209088515399</v>
      </c>
      <c r="I58" s="31" t="n">
        <f aca="false">IFERROR((H58/H57-1)*100,"")</f>
        <v>5.05816676294502</v>
      </c>
      <c r="J58" s="31" t="n">
        <f aca="false">IFERROR((AVERAGE(H56:H58)/AVERAGE(H53:H55)-1)*100,"")</f>
        <v>0.475292440911868</v>
      </c>
      <c r="K58" s="31" t="n">
        <f aca="false">IFERROR(((AVERAGE(H56:H58)/AVERAGE(H53:H55))^4-1)*100,"")</f>
        <v>1.91476693692001</v>
      </c>
      <c r="L58" s="31" t="n">
        <f aca="false">IFERROR(('SA Data'!W58/'SA Data'!W46-1)*100,"")</f>
        <v>9.05676624185709</v>
      </c>
      <c r="M58" s="31" t="n">
        <f aca="false">IFERROR((AVERAGE('SA Data'!W55:W58)/AVERAGE('SA Data'!W43:W46)-1)*100,"")</f>
        <v>7.17008364966119</v>
      </c>
      <c r="N58" s="30" t="n">
        <f aca="false">'SA Data'!T58</f>
        <v>138.661895251158</v>
      </c>
      <c r="O58" s="31" t="n">
        <f aca="false">IFERROR((N58/N57-1)*100,"")</f>
        <v>4.57044215674336</v>
      </c>
      <c r="P58" s="31" t="n">
        <f aca="false">IFERROR((AVERAGE(N56:N58)/AVERAGE(N53:N55)-1)*100,"")</f>
        <v>1.73793547968395</v>
      </c>
      <c r="Q58" s="31" t="n">
        <f aca="false">IFERROR(((AVERAGE(N56:N58)/AVERAGE(N53:N55))^4-1)*100,"")</f>
        <v>7.13507594340981</v>
      </c>
      <c r="R58" s="31" t="n">
        <f aca="false">IFERROR(('SA Data'!X58/'SA Data'!X46-1)*100,"")</f>
        <v>9.84434000789514</v>
      </c>
      <c r="S58" s="31" t="n">
        <f aca="false">IFERROR((AVERAGE('SA Data'!X55:X58)/AVERAGE('SA Data'!X43:X46)-1)*100,"")</f>
        <v>7.52128972861064</v>
      </c>
    </row>
    <row r="59" customFormat="false" ht="15" hidden="false" customHeight="false" outlineLevel="0" collapsed="false">
      <c r="A59" s="20" t="n">
        <v>39599</v>
      </c>
      <c r="B59" s="30" t="n">
        <f aca="false">'SA Data'!R59</f>
        <v>133.411476734012</v>
      </c>
      <c r="C59" s="31" t="n">
        <f aca="false">IFERROR((B59/B58-1)*100,"")</f>
        <v>0.0805023753683187</v>
      </c>
      <c r="D59" s="31" t="n">
        <f aca="false">IFERROR((AVERAGE(B57:B59)/AVERAGE(B54:B56)-1)*100,"")</f>
        <v>8.37343927557739</v>
      </c>
      <c r="E59" s="31" t="n">
        <f aca="false">IFERROR(((AVERAGE(B57:B59)/AVERAGE(B54:B56))^4-1)*100,"")</f>
        <v>37.9403820154707</v>
      </c>
      <c r="F59" s="31" t="n">
        <f aca="false">IFERROR(('SA Data'!V59/'SA Data'!V47-1)*100,"")</f>
        <v>-2.34387667599125</v>
      </c>
      <c r="G59" s="31" t="n">
        <f aca="false">IFERROR((AVERAGE('SA Data'!V55:V59)/AVERAGE('SA Data'!V43:V47)-1)*100,"")</f>
        <v>-1.87456919192451</v>
      </c>
      <c r="H59" s="30" t="n">
        <f aca="false">'SA Data'!S59</f>
        <v>132.06099123071</v>
      </c>
      <c r="I59" s="31" t="n">
        <f aca="false">IFERROR((H59/H58-1)*100,"")</f>
        <v>-2.32831780707552</v>
      </c>
      <c r="J59" s="31" t="n">
        <f aca="false">IFERROR((AVERAGE(H57:H59)/AVERAGE(H54:H56)-1)*100,"")</f>
        <v>-0.734736748381371</v>
      </c>
      <c r="K59" s="31" t="n">
        <f aca="false">IFERROR(((AVERAGE(H57:H59)/AVERAGE(H54:H56))^4-1)*100,"")</f>
        <v>-2.90671507228799</v>
      </c>
      <c r="L59" s="31" t="n">
        <f aca="false">IFERROR(('SA Data'!W59/'SA Data'!W47-1)*100,"")</f>
        <v>5.27520778671953</v>
      </c>
      <c r="M59" s="31" t="n">
        <f aca="false">IFERROR((AVERAGE('SA Data'!W55:W59)/AVERAGE('SA Data'!W43:W47)-1)*100,"")</f>
        <v>6.77208128871403</v>
      </c>
      <c r="N59" s="30" t="n">
        <f aca="false">'SA Data'!T59</f>
        <v>137.129641144155</v>
      </c>
      <c r="O59" s="31" t="n">
        <f aca="false">IFERROR((N59/N58-1)*100,"")</f>
        <v>-1.10502896576444</v>
      </c>
      <c r="P59" s="31" t="n">
        <f aca="false">IFERROR((AVERAGE(N57:N59)/AVERAGE(N54:N56)-1)*100,"")</f>
        <v>1.02708319397296</v>
      </c>
      <c r="Q59" s="31" t="n">
        <f aca="false">IFERROR(((AVERAGE(N57:N59)/AVERAGE(N54:N56))^4-1)*100,"")</f>
        <v>4.17206126992433</v>
      </c>
      <c r="R59" s="31" t="n">
        <f aca="false">IFERROR(('SA Data'!X59/'SA Data'!X47-1)*100,"")</f>
        <v>6.85393269518968</v>
      </c>
      <c r="S59" s="31" t="n">
        <f aca="false">IFERROR((AVERAGE('SA Data'!X55:X59)/AVERAGE('SA Data'!X43:X47)-1)*100,"")</f>
        <v>7.3823146991171</v>
      </c>
    </row>
    <row r="60" customFormat="false" ht="15" hidden="false" customHeight="false" outlineLevel="0" collapsed="false">
      <c r="A60" s="20" t="n">
        <v>39629</v>
      </c>
      <c r="B60" s="30" t="n">
        <f aca="false">'SA Data'!R60</f>
        <v>131.043315074948</v>
      </c>
      <c r="C60" s="31" t="n">
        <f aca="false">IFERROR((B60/B59-1)*100,"")</f>
        <v>-1.7750809128555</v>
      </c>
      <c r="D60" s="31" t="n">
        <f aca="false">IFERROR((AVERAGE(B58:B60)/AVERAGE(B55:B57)-1)*100,"")</f>
        <v>10.512989051084</v>
      </c>
      <c r="E60" s="31" t="n">
        <f aca="false">IFERROR(((AVERAGE(B58:B60)/AVERAGE(B55:B57))^4-1)*100,"")</f>
        <v>49.1603184297766</v>
      </c>
      <c r="F60" s="31" t="n">
        <f aca="false">IFERROR(('SA Data'!V60/'SA Data'!V48-1)*100,"")</f>
        <v>-3.28004521001972</v>
      </c>
      <c r="G60" s="31" t="n">
        <f aca="false">IFERROR((AVERAGE('SA Data'!V55:V60)/AVERAGE('SA Data'!V43:V48)-1)*100,"")</f>
        <v>-2.16904691309553</v>
      </c>
      <c r="H60" s="30" t="n">
        <f aca="false">'SA Data'!S60</f>
        <v>129.266091754016</v>
      </c>
      <c r="I60" s="31" t="n">
        <f aca="false">IFERROR((H60/H59-1)*100,"")</f>
        <v>-2.11637020943749</v>
      </c>
      <c r="J60" s="31" t="n">
        <f aca="false">IFERROR((AVERAGE(H58:H60)/AVERAGE(H55:H57)-1)*100,"")</f>
        <v>0.123934909438272</v>
      </c>
      <c r="K60" s="31" t="n">
        <f aca="false">IFERROR(((AVERAGE(H58:H60)/AVERAGE(H55:H57))^4-1)*100,"")</f>
        <v>0.496661991144887</v>
      </c>
      <c r="L60" s="31" t="n">
        <f aca="false">IFERROR(('SA Data'!W60/'SA Data'!W48-1)*100,"")</f>
        <v>3.97651219660105</v>
      </c>
      <c r="M60" s="31" t="n">
        <f aca="false">IFERROR((AVERAGE('SA Data'!W55:W60)/AVERAGE('SA Data'!W43:W48)-1)*100,"")</f>
        <v>6.29918738705917</v>
      </c>
      <c r="N60" s="30" t="n">
        <f aca="false">'SA Data'!T60</f>
        <v>134.490638950285</v>
      </c>
      <c r="O60" s="31" t="n">
        <f aca="false">IFERROR((N60/N59-1)*100,"")</f>
        <v>-1.9244578866034</v>
      </c>
      <c r="P60" s="31" t="n">
        <f aca="false">IFERROR((AVERAGE(N58:N60)/AVERAGE(N55:N57)-1)*100,"")</f>
        <v>1.42481488976827</v>
      </c>
      <c r="Q60" s="31" t="n">
        <f aca="false">IFERROR(((AVERAGE(N58:N60)/AVERAGE(N55:N57))^4-1)*100,"")</f>
        <v>5.82222653381637</v>
      </c>
      <c r="R60" s="31" t="n">
        <f aca="false">IFERROR(('SA Data'!X60/'SA Data'!X48-1)*100,"")</f>
        <v>4.4155949020257</v>
      </c>
      <c r="S60" s="31" t="n">
        <f aca="false">IFERROR((AVERAGE('SA Data'!X55:X60)/AVERAGE('SA Data'!X43:X48)-1)*100,"")</f>
        <v>6.87096859072844</v>
      </c>
    </row>
    <row r="61" customFormat="false" ht="15" hidden="false" customHeight="false" outlineLevel="0" collapsed="false">
      <c r="A61" s="20" t="n">
        <v>39660</v>
      </c>
      <c r="B61" s="30" t="n">
        <f aca="false">'SA Data'!R61</f>
        <v>125.658404193652</v>
      </c>
      <c r="C61" s="31" t="n">
        <f aca="false">IFERROR((B61/B60-1)*100,"")</f>
        <v>-4.10926026880212</v>
      </c>
      <c r="D61" s="31" t="n">
        <f aca="false">IFERROR((AVERAGE(B59:B61)/AVERAGE(B56:B58)-1)*100,"")</f>
        <v>4.05160887722662</v>
      </c>
      <c r="E61" s="31" t="n">
        <f aca="false">IFERROR(((AVERAGE(B59:B61)/AVERAGE(B56:B58))^4-1)*100,"")</f>
        <v>17.2182407784327</v>
      </c>
      <c r="F61" s="31" t="n">
        <f aca="false">IFERROR(('SA Data'!V61/'SA Data'!V49-1)*100,"")</f>
        <v>1.41304789147974</v>
      </c>
      <c r="G61" s="31" t="n">
        <f aca="false">IFERROR((AVERAGE('SA Data'!V55:V61)/AVERAGE('SA Data'!V43:V49)-1)*100,"")</f>
        <v>-1.82778411298794</v>
      </c>
      <c r="H61" s="30" t="n">
        <f aca="false">'SA Data'!S61</f>
        <v>133.589417568052</v>
      </c>
      <c r="I61" s="31" t="n">
        <f aca="false">IFERROR((H61/H60-1)*100,"")</f>
        <v>3.34451653590881</v>
      </c>
      <c r="J61" s="31" t="n">
        <f aca="false">IFERROR((AVERAGE(H59:H61)/AVERAGE(H56:H58)-1)*100,"")</f>
        <v>-0.733390334337636</v>
      </c>
      <c r="K61" s="31" t="n">
        <f aca="false">IFERROR(((AVERAGE(H59:H61)/AVERAGE(H56:H58))^4-1)*100,"")</f>
        <v>-2.90144715004134</v>
      </c>
      <c r="L61" s="31" t="n">
        <f aca="false">IFERROR(('SA Data'!W61/'SA Data'!W49-1)*100,"")</f>
        <v>9.099220296489</v>
      </c>
      <c r="M61" s="31" t="n">
        <f aca="false">IFERROR((AVERAGE('SA Data'!W55:W61)/AVERAGE('SA Data'!W43:W49)-1)*100,"")</f>
        <v>6.707001003217</v>
      </c>
      <c r="N61" s="30" t="n">
        <f aca="false">'SA Data'!T61</f>
        <v>137.972264382651</v>
      </c>
      <c r="O61" s="31" t="n">
        <f aca="false">IFERROR((N61/N60-1)*100,"")</f>
        <v>2.58874926875272</v>
      </c>
      <c r="P61" s="31" t="n">
        <f aca="false">IFERROR((AVERAGE(N59:N61)/AVERAGE(N56:N58)-1)*100,"")</f>
        <v>0.419548724416141</v>
      </c>
      <c r="Q61" s="31" t="n">
        <f aca="false">IFERROR(((AVERAGE(N59:N61)/AVERAGE(N56:N58))^4-1)*100,"")</f>
        <v>1.68878573635414</v>
      </c>
      <c r="R61" s="31" t="n">
        <f aca="false">IFERROR(('SA Data'!X61/'SA Data'!X49-1)*100,"")</f>
        <v>6.75189941653165</v>
      </c>
      <c r="S61" s="31" t="n">
        <f aca="false">IFERROR((AVERAGE('SA Data'!X55:X61)/AVERAGE('SA Data'!X43:X49)-1)*100,"")</f>
        <v>6.85349632099104</v>
      </c>
    </row>
    <row r="62" customFormat="false" ht="15" hidden="false" customHeight="false" outlineLevel="0" collapsed="false">
      <c r="A62" s="20" t="n">
        <v>39691</v>
      </c>
      <c r="B62" s="30" t="n">
        <f aca="false">'SA Data'!R62</f>
        <v>120.043875375697</v>
      </c>
      <c r="C62" s="31" t="n">
        <f aca="false">IFERROR((B62/B61-1)*100,"")</f>
        <v>-4.46808858825122</v>
      </c>
      <c r="D62" s="31" t="n">
        <f aca="false">IFERROR((AVERAGE(B60:B62)/AVERAGE(B57:B59)-1)*100,"")</f>
        <v>-3.27747365854714</v>
      </c>
      <c r="E62" s="31" t="n">
        <f aca="false">IFERROR(((AVERAGE(B60:B62)/AVERAGE(B57:B59))^4-1)*100,"")</f>
        <v>-12.479351662896</v>
      </c>
      <c r="F62" s="31" t="n">
        <f aca="false">IFERROR(('SA Data'!V62/'SA Data'!V50-1)*100,"")</f>
        <v>1.79403890037433</v>
      </c>
      <c r="G62" s="31" t="n">
        <f aca="false">IFERROR((AVERAGE('SA Data'!V55:V62)/AVERAGE('SA Data'!V43:V50)-1)*100,"")</f>
        <v>-1.61873956065082</v>
      </c>
      <c r="H62" s="30" t="n">
        <f aca="false">'SA Data'!S62</f>
        <v>130.653301384461</v>
      </c>
      <c r="I62" s="31" t="n">
        <f aca="false">IFERROR((H62/H61-1)*100,"")</f>
        <v>-2.19786584674239</v>
      </c>
      <c r="J62" s="31" t="n">
        <f aca="false">IFERROR((AVERAGE(H60:H62)/AVERAGE(H57:H59)-1)*100,"")</f>
        <v>-0.621395099774991</v>
      </c>
      <c r="K62" s="31" t="n">
        <f aca="false">IFERROR(((AVERAGE(H60:H62)/AVERAGE(H57:H59))^4-1)*100,"")</f>
        <v>-2.46250831398144</v>
      </c>
      <c r="L62" s="31" t="n">
        <f aca="false">IFERROR(('SA Data'!W62/'SA Data'!W50-1)*100,"")</f>
        <v>3.79971810654831</v>
      </c>
      <c r="M62" s="31" t="n">
        <f aca="false">IFERROR((AVERAGE('SA Data'!W55:W62)/AVERAGE('SA Data'!W43:W50)-1)*100,"")</f>
        <v>6.32641608083473</v>
      </c>
      <c r="N62" s="30" t="n">
        <f aca="false">'SA Data'!T62</f>
        <v>135.982342217956</v>
      </c>
      <c r="O62" s="31" t="n">
        <f aca="false">IFERROR((N62/N61-1)*100,"")</f>
        <v>-1.44226245296385</v>
      </c>
      <c r="P62" s="31" t="n">
        <f aca="false">IFERROR((AVERAGE(N60:N62)/AVERAGE(N57:N59)-1)*100,"")</f>
        <v>0.0128026892447508</v>
      </c>
      <c r="Q62" s="31" t="n">
        <f aca="false">IFERROR(((AVERAGE(N60:N62)/AVERAGE(N57:N59))^4-1)*100,"")</f>
        <v>0.0512205923495435</v>
      </c>
      <c r="R62" s="31" t="n">
        <f aca="false">IFERROR(('SA Data'!X62/'SA Data'!X50-1)*100,"")</f>
        <v>4.1517924733363</v>
      </c>
      <c r="S62" s="31" t="n">
        <f aca="false">IFERROR((AVERAGE('SA Data'!X55:X62)/AVERAGE('SA Data'!X43:X50)-1)*100,"")</f>
        <v>6.50522906185342</v>
      </c>
    </row>
    <row r="63" customFormat="false" ht="15" hidden="false" customHeight="false" outlineLevel="0" collapsed="false">
      <c r="A63" s="20" t="n">
        <v>39721</v>
      </c>
      <c r="B63" s="30" t="n">
        <f aca="false">'SA Data'!R63</f>
        <v>119.88223781073</v>
      </c>
      <c r="C63" s="31" t="n">
        <f aca="false">IFERROR((B63/B62-1)*100,"")</f>
        <v>-0.134648739438592</v>
      </c>
      <c r="D63" s="31" t="n">
        <f aca="false">IFERROR((AVERAGE(B61:B63)/AVERAGE(B58:B60)-1)*100,"")</f>
        <v>-8.08892865836126</v>
      </c>
      <c r="E63" s="31" t="n">
        <f aca="false">IFERROR(((AVERAGE(B61:B63)/AVERAGE(B58:B60))^4-1)*100,"")</f>
        <v>-28.6372933598047</v>
      </c>
      <c r="F63" s="31" t="n">
        <f aca="false">IFERROR(('SA Data'!V63/'SA Data'!V51-1)*100,"")</f>
        <v>4.40018846608041</v>
      </c>
      <c r="G63" s="31" t="n">
        <f aca="false">IFERROR((AVERAGE('SA Data'!V55:V63)/AVERAGE('SA Data'!V43:V51)-1)*100,"")</f>
        <v>-1.31793608413777</v>
      </c>
      <c r="H63" s="30" t="n">
        <f aca="false">'SA Data'!S63</f>
        <v>133.983877102742</v>
      </c>
      <c r="I63" s="31" t="n">
        <f aca="false">IFERROR((H63/H62-1)*100,"")</f>
        <v>2.54917073123155</v>
      </c>
      <c r="J63" s="31" t="n">
        <f aca="false">IFERROR((AVERAGE(H61:H63)/AVERAGE(H58:H60)-1)*100,"")</f>
        <v>0.426297694037703</v>
      </c>
      <c r="K63" s="31" t="n">
        <f aca="false">IFERROR(((AVERAGE(H61:H63)/AVERAGE(H58:H60))^4-1)*100,"")</f>
        <v>1.71612558099792</v>
      </c>
      <c r="L63" s="31" t="n">
        <f aca="false">IFERROR(('SA Data'!W63/'SA Data'!W51-1)*100,"")</f>
        <v>5.77479644825494</v>
      </c>
      <c r="M63" s="31" t="n">
        <f aca="false">IFERROR((AVERAGE('SA Data'!W55:W63)/AVERAGE('SA Data'!W43:W51)-1)*100,"")</f>
        <v>6.26184019335672</v>
      </c>
      <c r="N63" s="30" t="n">
        <f aca="false">'SA Data'!T63</f>
        <v>137.354876487886</v>
      </c>
      <c r="O63" s="31" t="n">
        <f aca="false">IFERROR((N63/N62-1)*100,"")</f>
        <v>1.00934742521897</v>
      </c>
      <c r="P63" s="31" t="n">
        <f aca="false">IFERROR((AVERAGE(N61:N63)/AVERAGE(N58:N60)-1)*100,"")</f>
        <v>0.250390537203016</v>
      </c>
      <c r="Q63" s="31" t="n">
        <f aca="false">IFERROR(((AVERAGE(N61:N63)/AVERAGE(N58:N60))^4-1)*100,"")</f>
        <v>1.0053301573461</v>
      </c>
      <c r="R63" s="31" t="n">
        <f aca="false">IFERROR(('SA Data'!X63/'SA Data'!X51-1)*100,"")</f>
        <v>6.23659597240296</v>
      </c>
      <c r="S63" s="31" t="n">
        <f aca="false">IFERROR((AVERAGE('SA Data'!X55:X63)/AVERAGE('SA Data'!X43:X51)-1)*100,"")</f>
        <v>6.47503333624828</v>
      </c>
    </row>
    <row r="64" customFormat="false" ht="15" hidden="false" customHeight="false" outlineLevel="0" collapsed="false">
      <c r="A64" s="20" t="n">
        <v>39752</v>
      </c>
      <c r="B64" s="30" t="n">
        <f aca="false">'SA Data'!R64</f>
        <v>118.58324809829</v>
      </c>
      <c r="C64" s="31" t="n">
        <f aca="false">IFERROR((B64/B63-1)*100,"")</f>
        <v>-1.08355477522133</v>
      </c>
      <c r="D64" s="31" t="n">
        <f aca="false">IFERROR((AVERAGE(B62:B64)/AVERAGE(B59:B61)-1)*100,"")</f>
        <v>-8.10119602252153</v>
      </c>
      <c r="E64" s="31" t="n">
        <f aca="false">IFERROR(((AVERAGE(B62:B64)/AVERAGE(B59:B61))^4-1)*100,"")</f>
        <v>-28.6753848343922</v>
      </c>
      <c r="F64" s="31" t="n">
        <f aca="false">IFERROR(('SA Data'!V64/'SA Data'!V52-1)*100,"")</f>
        <v>0.393604792359459</v>
      </c>
      <c r="G64" s="31" t="n">
        <f aca="false">IFERROR((AVERAGE('SA Data'!V55:V64)/AVERAGE('SA Data'!V43:V52)-1)*100,"")</f>
        <v>-1.2338656527107</v>
      </c>
      <c r="H64" s="30" t="n">
        <f aca="false">'SA Data'!S64</f>
        <v>128.282968234968</v>
      </c>
      <c r="I64" s="31" t="n">
        <f aca="false">IFERROR((H64/H63-1)*100,"")</f>
        <v>-4.25492155552588</v>
      </c>
      <c r="J64" s="31" t="n">
        <f aca="false">IFERROR((AVERAGE(H62:H64)/AVERAGE(H59:H61)-1)*100,"")</f>
        <v>-0.505512893943871</v>
      </c>
      <c r="K64" s="31" t="n">
        <f aca="false">IFERROR(((AVERAGE(H62:H64)/AVERAGE(H59:H61))^4-1)*100,"")</f>
        <v>-2.00677058548691</v>
      </c>
      <c r="L64" s="31" t="n">
        <f aca="false">IFERROR(('SA Data'!W64/'SA Data'!W52-1)*100,"")</f>
        <v>-1.44102729262048</v>
      </c>
      <c r="M64" s="31" t="n">
        <f aca="false">IFERROR((AVERAGE('SA Data'!W55:W64)/AVERAGE('SA Data'!W43:W52)-1)*100,"")</f>
        <v>5.42744818223895</v>
      </c>
      <c r="N64" s="30" t="n">
        <f aca="false">'SA Data'!T64</f>
        <v>136.631163065426</v>
      </c>
      <c r="O64" s="31" t="n">
        <f aca="false">IFERROR((N64/N63-1)*100,"")</f>
        <v>-0.526893140574936</v>
      </c>
      <c r="P64" s="31" t="n">
        <f aca="false">IFERROR((AVERAGE(N62:N64)/AVERAGE(N59:N61)-1)*100,"")</f>
        <v>0.0917588220891386</v>
      </c>
      <c r="Q64" s="31" t="n">
        <f aca="false">IFERROR(((AVERAGE(N62:N64)/AVERAGE(N59:N61))^4-1)*100,"")</f>
        <v>0.367540778345332</v>
      </c>
      <c r="R64" s="31" t="n">
        <f aca="false">IFERROR(('SA Data'!X64/'SA Data'!X52-1)*100,"")</f>
        <v>3.14823519400793</v>
      </c>
      <c r="S64" s="31" t="n">
        <f aca="false">IFERROR((AVERAGE('SA Data'!X55:X64)/AVERAGE('SA Data'!X43:X52)-1)*100,"")</f>
        <v>6.1315583852501</v>
      </c>
    </row>
    <row r="65" customFormat="false" ht="15" hidden="false" customHeight="false" outlineLevel="0" collapsed="false">
      <c r="A65" s="20" t="n">
        <v>39782</v>
      </c>
      <c r="B65" s="30" t="n">
        <f aca="false">'SA Data'!R65</f>
        <v>115.354441358158</v>
      </c>
      <c r="C65" s="31" t="n">
        <f aca="false">IFERROR((B65/B64-1)*100,"")</f>
        <v>-2.72281860373358</v>
      </c>
      <c r="D65" s="31" t="n">
        <f aca="false">IFERROR((AVERAGE(B63:B65)/AVERAGE(B60:B62)-1)*100,"")</f>
        <v>-6.08518525578615</v>
      </c>
      <c r="E65" s="31" t="n">
        <f aca="false">IFERROR(((AVERAGE(B63:B65)/AVERAGE(B60:B62))^4-1)*100,"")</f>
        <v>-22.207733562261</v>
      </c>
      <c r="F65" s="31" t="n">
        <f aca="false">IFERROR(('SA Data'!V65/'SA Data'!V53-1)*100,"")</f>
        <v>-4.28643420989865</v>
      </c>
      <c r="G65" s="31" t="n">
        <f aca="false">IFERROR((AVERAGE('SA Data'!V55:V65)/AVERAGE('SA Data'!V43:V53)-1)*100,"")</f>
        <v>-1.4107902855332</v>
      </c>
      <c r="H65" s="30" t="n">
        <f aca="false">'SA Data'!S65</f>
        <v>123.152385977365</v>
      </c>
      <c r="I65" s="31" t="n">
        <f aca="false">IFERROR((H65/H64-1)*100,"")</f>
        <v>-3.99942590056526</v>
      </c>
      <c r="J65" s="31" t="n">
        <f aca="false">IFERROR((AVERAGE(H63:H65)/AVERAGE(H60:H62)-1)*100,"")</f>
        <v>-2.05575559462813</v>
      </c>
      <c r="K65" s="31" t="n">
        <f aca="false">IFERROR(((AVERAGE(H63:H65)/AVERAGE(H60:H62))^4-1)*100,"")</f>
        <v>-7.97291181147012</v>
      </c>
      <c r="L65" s="31" t="n">
        <f aca="false">IFERROR(('SA Data'!W65/'SA Data'!W53-1)*100,"")</f>
        <v>-5.91677389575239</v>
      </c>
      <c r="M65" s="31" t="n">
        <f aca="false">IFERROR((AVERAGE('SA Data'!W55:W65)/AVERAGE('SA Data'!W43:W53)-1)*100,"")</f>
        <v>4.33504429968918</v>
      </c>
      <c r="N65" s="30" t="n">
        <f aca="false">'SA Data'!T65</f>
        <v>132.413621283949</v>
      </c>
      <c r="O65" s="31" t="n">
        <f aca="false">IFERROR((N65/N64-1)*100,"")</f>
        <v>-3.08680808012868</v>
      </c>
      <c r="P65" s="31" t="n">
        <f aca="false">IFERROR((AVERAGE(N63:N65)/AVERAGE(N60:N62)-1)*100,"")</f>
        <v>-0.500822260979816</v>
      </c>
      <c r="Q65" s="31" t="n">
        <f aca="false">IFERROR(((AVERAGE(N63:N65)/AVERAGE(N60:N62))^4-1)*100,"")</f>
        <v>-1.98828985186573</v>
      </c>
      <c r="R65" s="31" t="n">
        <f aca="false">IFERROR(('SA Data'!X65/'SA Data'!X53-1)*100,"")</f>
        <v>-0.634945497956296</v>
      </c>
      <c r="S65" s="31" t="n">
        <f aca="false">IFERROR((AVERAGE('SA Data'!X55:X65)/AVERAGE('SA Data'!X43:X53)-1)*100,"")</f>
        <v>5.49440021435383</v>
      </c>
    </row>
    <row r="66" customFormat="false" ht="15" hidden="false" customHeight="false" outlineLevel="0" collapsed="false">
      <c r="A66" s="20" t="n">
        <v>39813</v>
      </c>
      <c r="B66" s="30" t="n">
        <f aca="false">'SA Data'!R66</f>
        <v>103.561226608943</v>
      </c>
      <c r="C66" s="31" t="n">
        <f aca="false">IFERROR((B66/B65-1)*100,"")</f>
        <v>-10.223459634813</v>
      </c>
      <c r="D66" s="31" t="n">
        <f aca="false">IFERROR((AVERAGE(B64:B66)/AVERAGE(B61:B63)-1)*100,"")</f>
        <v>-7.68238258993044</v>
      </c>
      <c r="E66" s="31" t="n">
        <f aca="false">IFERROR(((AVERAGE(B64:B66)/AVERAGE(B61:B63))^4-1)*100,"")</f>
        <v>-27.3662696037792</v>
      </c>
      <c r="F66" s="31" t="n">
        <f aca="false">IFERROR(('SA Data'!V66/'SA Data'!V54-1)*100,"")</f>
        <v>-16.9045622317142</v>
      </c>
      <c r="G66" s="31" t="n">
        <f aca="false">IFERROR((AVERAGE('SA Data'!V55:V66)/AVERAGE('SA Data'!V43:V54)-1)*100,"")</f>
        <v>-2.3735368240676</v>
      </c>
      <c r="H66" s="30" t="n">
        <f aca="false">'SA Data'!S66</f>
        <v>121.056431342687</v>
      </c>
      <c r="I66" s="31" t="n">
        <f aca="false">IFERROR((H66/H65-1)*100,"")</f>
        <v>-1.70191963236754</v>
      </c>
      <c r="J66" s="31" t="n">
        <f aca="false">IFERROR((AVERAGE(H64:H66)/AVERAGE(H61:H63)-1)*100,"")</f>
        <v>-6.46235353317899</v>
      </c>
      <c r="K66" s="31" t="n">
        <f aca="false">IFERROR(((AVERAGE(H64:H66)/AVERAGE(H61:H63))^4-1)*100,"")</f>
        <v>-23.4499016330937</v>
      </c>
      <c r="L66" s="31" t="n">
        <f aca="false">IFERROR(('SA Data'!W66/'SA Data'!W54-1)*100,"")</f>
        <v>-7.86312264394368</v>
      </c>
      <c r="M66" s="31" t="n">
        <f aca="false">IFERROR((AVERAGE('SA Data'!W55:W66)/AVERAGE('SA Data'!W43:W54)-1)*100,"")</f>
        <v>3.2932528711648</v>
      </c>
      <c r="N66" s="30" t="n">
        <f aca="false">'SA Data'!T66</f>
        <v>132.939350965075</v>
      </c>
      <c r="O66" s="31" t="n">
        <f aca="false">IFERROR((N66/N65-1)*100,"")</f>
        <v>0.397035951459301</v>
      </c>
      <c r="P66" s="31" t="n">
        <f aca="false">IFERROR((AVERAGE(N64:N66)/AVERAGE(N61:N63)-1)*100,"")</f>
        <v>-2.26723383667711</v>
      </c>
      <c r="Q66" s="31" t="n">
        <f aca="false">IFERROR(((AVERAGE(N64:N66)/AVERAGE(N61:N63))^4-1)*100,"")</f>
        <v>-8.76514971682646</v>
      </c>
      <c r="R66" s="31" t="n">
        <f aca="false">IFERROR(('SA Data'!X66/'SA Data'!X54-1)*100,"")</f>
        <v>0.573344679434107</v>
      </c>
      <c r="S66" s="31" t="n">
        <f aca="false">IFERROR((AVERAGE('SA Data'!X55:X66)/AVERAGE('SA Data'!X43:X54)-1)*100,"")</f>
        <v>5.07740711009235</v>
      </c>
    </row>
    <row r="67" customFormat="false" ht="15" hidden="false" customHeight="false" outlineLevel="0" collapsed="false">
      <c r="A67" s="20" t="n">
        <v>39844</v>
      </c>
      <c r="B67" s="30" t="n">
        <f aca="false">'SA Data'!R67</f>
        <v>105.317637404987</v>
      </c>
      <c r="C67" s="31" t="n">
        <f aca="false">IFERROR((B67/B66-1)*100,"")</f>
        <v>1.69601196659843</v>
      </c>
      <c r="D67" s="31" t="n">
        <f aca="false">IFERROR((AVERAGE(B65:B67)/AVERAGE(B62:B64)-1)*100,"")</f>
        <v>-9.56071433945311</v>
      </c>
      <c r="E67" s="31" t="n">
        <f aca="false">IFERROR(((AVERAGE(B65:B67)/AVERAGE(B62:B64))^4-1)*100,"")</f>
        <v>-33.0996340255547</v>
      </c>
      <c r="F67" s="31" t="n">
        <f aca="false">IFERROR(('SA Data'!V67/'SA Data'!V55-1)*100,"")</f>
        <v>-11.8372956917053</v>
      </c>
      <c r="G67" s="31" t="n">
        <f aca="false">IFERROR((AVERAGE('SA Data'!V67:V67)/AVERAGE('SA Data'!V55:V55)-1)*100,"")</f>
        <v>-11.8372956917053</v>
      </c>
      <c r="H67" s="30" t="n">
        <f aca="false">'SA Data'!S67</f>
        <v>117.154814359432</v>
      </c>
      <c r="I67" s="31" t="n">
        <f aca="false">IFERROR((H67/H66-1)*100,"")</f>
        <v>-3.2229737321519</v>
      </c>
      <c r="J67" s="31" t="n">
        <f aca="false">IFERROR((AVERAGE(H65:H67)/AVERAGE(H62:H64)-1)*100,"")</f>
        <v>-8.03127946121864</v>
      </c>
      <c r="K67" s="31" t="n">
        <f aca="false">IFERROR(((AVERAGE(H65:H67)/AVERAGE(H62:H64))^4-1)*100,"")</f>
        <v>-28.458082088347</v>
      </c>
      <c r="L67" s="31" t="n">
        <f aca="false">IFERROR(('SA Data'!W67/'SA Data'!W55-1)*100,"")</f>
        <v>-12.2995550988139</v>
      </c>
      <c r="M67" s="31" t="n">
        <f aca="false">IFERROR((AVERAGE('SA Data'!W67:W67)/AVERAGE('SA Data'!W55:W55)-1)*100,"")</f>
        <v>-12.2995550988139</v>
      </c>
      <c r="N67" s="30" t="n">
        <f aca="false">'SA Data'!T67</f>
        <v>131.847544091756</v>
      </c>
      <c r="O67" s="31" t="n">
        <f aca="false">IFERROR((N67/N66-1)*100,"")</f>
        <v>-0.82128193450105</v>
      </c>
      <c r="P67" s="31" t="n">
        <f aca="false">IFERROR((AVERAGE(N65:N67)/AVERAGE(N62:N64)-1)*100,"")</f>
        <v>-3.11435369121028</v>
      </c>
      <c r="Q67" s="31" t="n">
        <f aca="false">IFERROR(((AVERAGE(N65:N67)/AVERAGE(N62:N64))^4-1)*100,"")</f>
        <v>-11.88745144992</v>
      </c>
      <c r="R67" s="31" t="n">
        <f aca="false">IFERROR(('SA Data'!X67/'SA Data'!X55-1)*100,"")</f>
        <v>-2.58050164586073</v>
      </c>
      <c r="S67" s="31" t="n">
        <f aca="false">IFERROR((AVERAGE('SA Data'!X67:X67)/AVERAGE('SA Data'!X55:X55)-1)*100,"")</f>
        <v>-2.58050164586073</v>
      </c>
    </row>
    <row r="68" customFormat="false" ht="15" hidden="false" customHeight="false" outlineLevel="0" collapsed="false">
      <c r="A68" s="20" t="n">
        <v>39872</v>
      </c>
      <c r="B68" s="30" t="n">
        <f aca="false">'SA Data'!R68</f>
        <v>108.069850664017</v>
      </c>
      <c r="C68" s="31" t="n">
        <f aca="false">IFERROR((B68/B67-1)*100,"")</f>
        <v>2.61325009451838</v>
      </c>
      <c r="D68" s="31" t="n">
        <f aca="false">IFERROR((AVERAGE(B66:B68)/AVERAGE(B63:B65)-1)*100,"")</f>
        <v>-10.4208976792282</v>
      </c>
      <c r="E68" s="31" t="n">
        <f aca="false">IFERROR(((AVERAGE(B66:B68)/AVERAGE(B63:B65))^4-1)*100,"")</f>
        <v>-35.6087547182899</v>
      </c>
      <c r="F68" s="31" t="n">
        <f aca="false">IFERROR(('SA Data'!V68/'SA Data'!V56-1)*100,"")</f>
        <v>-8.7145666186132</v>
      </c>
      <c r="G68" s="31" t="n">
        <f aca="false">IFERROR((AVERAGE('SA Data'!V67:V68)/AVERAGE('SA Data'!V55:V56)-1)*100,"")</f>
        <v>-10.247132373332</v>
      </c>
      <c r="H68" s="30" t="n">
        <f aca="false">'SA Data'!S68</f>
        <v>117.448089099876</v>
      </c>
      <c r="I68" s="31" t="n">
        <f aca="false">IFERROR((H68/H67-1)*100,"")</f>
        <v>0.250330933515897</v>
      </c>
      <c r="J68" s="31" t="n">
        <f aca="false">IFERROR((AVERAGE(H66:H68)/AVERAGE(H63:H65)-1)*100,"")</f>
        <v>-7.72143528270164</v>
      </c>
      <c r="K68" s="31" t="n">
        <f aca="false">IFERROR(((AVERAGE(H66:H68)/AVERAGE(H63:H65))^4-1)*100,"")</f>
        <v>-27.4890952767464</v>
      </c>
      <c r="L68" s="31" t="n">
        <f aca="false">IFERROR(('SA Data'!W68/'SA Data'!W56-1)*100,"")</f>
        <v>-12.7050939388123</v>
      </c>
      <c r="M68" s="31" t="n">
        <f aca="false">IFERROR((AVERAGE('SA Data'!W67:W68)/AVERAGE('SA Data'!W55:W56)-1)*100,"")</f>
        <v>-12.5008788847542</v>
      </c>
      <c r="N68" s="30" t="n">
        <f aca="false">'SA Data'!T68</f>
        <v>132.194557279753</v>
      </c>
      <c r="O68" s="31" t="n">
        <f aca="false">IFERROR((N68/N67-1)*100,"")</f>
        <v>0.263192758262787</v>
      </c>
      <c r="P68" s="31" t="n">
        <f aca="false">IFERROR((AVERAGE(N66:N68)/AVERAGE(N63:N65)-1)*100,"")</f>
        <v>-2.31747449820042</v>
      </c>
      <c r="Q68" s="31" t="n">
        <f aca="false">IFERROR(((AVERAGE(N66:N68)/AVERAGE(N63:N65))^4-1)*100,"")</f>
        <v>-8.9526064385603</v>
      </c>
      <c r="R68" s="31" t="n">
        <f aca="false">IFERROR(('SA Data'!X68/'SA Data'!X56-1)*100,"")</f>
        <v>-3.31711239437005</v>
      </c>
      <c r="S68" s="31" t="n">
        <f aca="false">IFERROR((AVERAGE('SA Data'!X67:X68)/AVERAGE('SA Data'!X55:X56)-1)*100,"")</f>
        <v>-2.94649633851964</v>
      </c>
    </row>
    <row r="69" customFormat="false" ht="15" hidden="false" customHeight="false" outlineLevel="0" collapsed="false">
      <c r="A69" s="20" t="n">
        <v>39903</v>
      </c>
      <c r="B69" s="30" t="n">
        <f aca="false">'SA Data'!R69</f>
        <v>96.9658983051827</v>
      </c>
      <c r="C69" s="31" t="n">
        <f aca="false">IFERROR((B69/B68-1)*100,"")</f>
        <v>-10.2747919892623</v>
      </c>
      <c r="D69" s="31" t="n">
        <f aca="false">IFERROR((AVERAGE(B67:B69)/AVERAGE(B64:B66)-1)*100,"")</f>
        <v>-8.04314574033928</v>
      </c>
      <c r="E69" s="31" t="n">
        <f aca="false">IFERROR(((AVERAGE(B67:B69)/AVERAGE(B64:B66))^4-1)*100,"")</f>
        <v>-28.4949977733623</v>
      </c>
      <c r="F69" s="31" t="n">
        <f aca="false">IFERROR(('SA Data'!V69/'SA Data'!V57-1)*100,"")</f>
        <v>-20.6186160476871</v>
      </c>
      <c r="G69" s="31" t="n">
        <f aca="false">IFERROR((AVERAGE('SA Data'!V67:V69)/AVERAGE('SA Data'!V55:V57)-1)*100,"")</f>
        <v>-15.4447260329788</v>
      </c>
      <c r="H69" s="30" t="n">
        <f aca="false">'SA Data'!S69</f>
        <v>116.230152033769</v>
      </c>
      <c r="I69" s="31" t="n">
        <f aca="false">IFERROR((H69/H68-1)*100,"")</f>
        <v>-1.03700032537087</v>
      </c>
      <c r="J69" s="31" t="n">
        <f aca="false">IFERROR((AVERAGE(H67:H69)/AVERAGE(H64:H66)-1)*100,"")</f>
        <v>-5.81455240138275</v>
      </c>
      <c r="K69" s="31" t="n">
        <f aca="false">IFERROR(((AVERAGE(H67:H69)/AVERAGE(H64:H66))^4-1)*100,"")</f>
        <v>-21.3071591045247</v>
      </c>
      <c r="L69" s="31" t="n">
        <f aca="false">IFERROR(('SA Data'!W69/'SA Data'!W57-1)*100,"")</f>
        <v>-9.90672670825477</v>
      </c>
      <c r="M69" s="31" t="n">
        <f aca="false">IFERROR((AVERAGE('SA Data'!W67:W69)/AVERAGE('SA Data'!W55:W57)-1)*100,"")</f>
        <v>-11.6033600883555</v>
      </c>
      <c r="N69" s="30" t="n">
        <f aca="false">'SA Data'!T69</f>
        <v>131.825027240839</v>
      </c>
      <c r="O69" s="31" t="n">
        <f aca="false">IFERROR((N69/N68-1)*100,"")</f>
        <v>-0.279534987307706</v>
      </c>
      <c r="P69" s="31" t="n">
        <f aca="false">IFERROR((AVERAGE(N67:N69)/AVERAGE(N64:N66)-1)*100,"")</f>
        <v>-1.52170351133798</v>
      </c>
      <c r="Q69" s="31" t="n">
        <f aca="false">IFERROR(((AVERAGE(N67:N69)/AVERAGE(N64:N66))^4-1)*100,"")</f>
        <v>-5.94928324029503</v>
      </c>
      <c r="R69" s="31" t="n">
        <f aca="false">IFERROR(('SA Data'!X69/'SA Data'!X57-1)*100,"")</f>
        <v>-0.826966893916936</v>
      </c>
      <c r="S69" s="31" t="n">
        <f aca="false">IFERROR((AVERAGE('SA Data'!X67:X69)/AVERAGE('SA Data'!X55:X57)-1)*100,"")</f>
        <v>-2.22984920633256</v>
      </c>
    </row>
    <row r="70" customFormat="false" ht="15" hidden="false" customHeight="false" outlineLevel="0" collapsed="false">
      <c r="A70" s="20" t="n">
        <v>39933</v>
      </c>
      <c r="B70" s="30" t="n">
        <f aca="false">'SA Data'!R70</f>
        <v>79.3291115373725</v>
      </c>
      <c r="C70" s="31" t="n">
        <f aca="false">IFERROR((B70/B69-1)*100,"")</f>
        <v>-18.1886488714843</v>
      </c>
      <c r="D70" s="31" t="n">
        <f aca="false">IFERROR((AVERAGE(B68:B70)/AVERAGE(B65:B67)-1)*100,"")</f>
        <v>-12.2962213335125</v>
      </c>
      <c r="E70" s="31" t="n">
        <f aca="false">IFERROR(((AVERAGE(B68:B70)/AVERAGE(B65:B67))^4-1)*100,"")</f>
        <v>-40.8338622397941</v>
      </c>
      <c r="F70" s="31" t="n">
        <f aca="false">IFERROR(('SA Data'!V70/'SA Data'!V58-1)*100,"")</f>
        <v>-40.4230648607134</v>
      </c>
      <c r="G70" s="31" t="n">
        <f aca="false">IFERROR((AVERAGE('SA Data'!V67:V70)/AVERAGE('SA Data'!V55:V58)-1)*100,"")</f>
        <v>-26.6749689976127</v>
      </c>
      <c r="H70" s="30" t="n">
        <f aca="false">'SA Data'!S70</f>
        <v>117.742923529829</v>
      </c>
      <c r="I70" s="31" t="n">
        <f aca="false">IFERROR((H70/H69-1)*100,"")</f>
        <v>1.30153103096784</v>
      </c>
      <c r="J70" s="31" t="n">
        <f aca="false">IFERROR((AVERAGE(H68:H70)/AVERAGE(H65:H67)-1)*100,"")</f>
        <v>-2.75137455581787</v>
      </c>
      <c r="K70" s="31" t="n">
        <f aca="false">IFERROR(((AVERAGE(H68:H70)/AVERAGE(H65:H67))^4-1)*100,"")</f>
        <v>-10.5595684309796</v>
      </c>
      <c r="L70" s="31" t="n">
        <f aca="false">IFERROR(('SA Data'!W70/'SA Data'!W58-1)*100,"")</f>
        <v>-12.888720580136</v>
      </c>
      <c r="M70" s="31" t="n">
        <f aca="false">IFERROR((AVERAGE('SA Data'!W67:W70)/AVERAGE('SA Data'!W55:W58)-1)*100,"")</f>
        <v>-11.9414481295555</v>
      </c>
      <c r="N70" s="30" t="n">
        <f aca="false">'SA Data'!T70</f>
        <v>132.24264853744</v>
      </c>
      <c r="O70" s="31" t="n">
        <f aca="false">IFERROR((N70/N69-1)*100,"")</f>
        <v>0.316799704382365</v>
      </c>
      <c r="P70" s="31" t="n">
        <f aca="false">IFERROR((AVERAGE(N68:N70)/AVERAGE(N65:N67)-1)*100,"")</f>
        <v>-0.236224084346948</v>
      </c>
      <c r="Q70" s="31" t="n">
        <f aca="false">IFERROR(((AVERAGE(N68:N70)/AVERAGE(N65:N67))^4-1)*100,"")</f>
        <v>-0.941553497885761</v>
      </c>
      <c r="R70" s="31" t="n">
        <f aca="false">IFERROR(('SA Data'!X70/'SA Data'!X58-1)*100,"")</f>
        <v>-4.62086315003283</v>
      </c>
      <c r="S70" s="31" t="n">
        <f aca="false">IFERROR((AVERAGE('SA Data'!X67:X70)/AVERAGE('SA Data'!X55:X58)-1)*100,"")</f>
        <v>-2.84873377236656</v>
      </c>
    </row>
    <row r="71" customFormat="false" ht="15" hidden="false" customHeight="false" outlineLevel="0" collapsed="false">
      <c r="A71" s="20" t="n">
        <v>39964</v>
      </c>
      <c r="B71" s="30" t="n">
        <f aca="false">'SA Data'!R71</f>
        <v>77.4856106376262</v>
      </c>
      <c r="C71" s="31" t="n">
        <f aca="false">IFERROR((B71/B70-1)*100,"")</f>
        <v>-2.32386429649835</v>
      </c>
      <c r="D71" s="31" t="n">
        <f aca="false">IFERROR((AVERAGE(B69:B71)/AVERAGE(B66:B68)-1)*100,"")</f>
        <v>-19.9300679486744</v>
      </c>
      <c r="E71" s="31" t="n">
        <f aca="false">IFERROR(((AVERAGE(B69:B71)/AVERAGE(B66:B68))^4-1)*100,"")</f>
        <v>-58.8965912545354</v>
      </c>
      <c r="F71" s="31" t="n">
        <f aca="false">IFERROR(('SA Data'!V71/'SA Data'!V59-1)*100,"")</f>
        <v>-41.7996059798782</v>
      </c>
      <c r="G71" s="31" t="n">
        <f aca="false">IFERROR((AVERAGE('SA Data'!V67:V71)/AVERAGE('SA Data'!V55:V59)-1)*100,"")</f>
        <v>-32.6604088422506</v>
      </c>
      <c r="H71" s="30" t="n">
        <f aca="false">'SA Data'!S71</f>
        <v>116.778738381863</v>
      </c>
      <c r="I71" s="31" t="n">
        <f aca="false">IFERROR((H71/H70-1)*100,"")</f>
        <v>-0.818890103168268</v>
      </c>
      <c r="J71" s="31" t="n">
        <f aca="false">IFERROR((AVERAGE(H69:H71)/AVERAGE(H66:H68)-1)*100,"")</f>
        <v>-1.37983749513176</v>
      </c>
      <c r="K71" s="31" t="n">
        <f aca="false">IFERROR(((AVERAGE(H69:H71)/AVERAGE(H66:H68))^4-1)*100,"")</f>
        <v>-5.40616012219201</v>
      </c>
      <c r="L71" s="31" t="n">
        <f aca="false">IFERROR(('SA Data'!W71/'SA Data'!W59-1)*100,"")</f>
        <v>-11.4762820629221</v>
      </c>
      <c r="M71" s="31" t="n">
        <f aca="false">IFERROR((AVERAGE('SA Data'!W67:W71)/AVERAGE('SA Data'!W55:W59)-1)*100,"")</f>
        <v>-11.8451137489635</v>
      </c>
      <c r="N71" s="30" t="n">
        <f aca="false">'SA Data'!T71</f>
        <v>130.826731266768</v>
      </c>
      <c r="O71" s="31" t="n">
        <f aca="false">IFERROR((N71/N70-1)*100,"")</f>
        <v>-1.07069639509786</v>
      </c>
      <c r="P71" s="31" t="n">
        <f aca="false">IFERROR((AVERAGE(N69:N71)/AVERAGE(N66:N68)-1)*100,"")</f>
        <v>-0.525728665470926</v>
      </c>
      <c r="Q71" s="31" t="n">
        <f aca="false">IFERROR(((AVERAGE(N69:N71)/AVERAGE(N66:N68))^4-1)*100,"")</f>
        <v>-2.08638927030081</v>
      </c>
      <c r="R71" s="31" t="n">
        <f aca="false">IFERROR(('SA Data'!X71/'SA Data'!X59-1)*100,"")</f>
        <v>-4.63359464591903</v>
      </c>
      <c r="S71" s="31" t="n">
        <f aca="false">IFERROR((AVERAGE('SA Data'!X67:X71)/AVERAGE('SA Data'!X55:X59)-1)*100,"")</f>
        <v>-3.21859657123202</v>
      </c>
    </row>
    <row r="72" customFormat="false" ht="15" hidden="false" customHeight="false" outlineLevel="0" collapsed="false">
      <c r="A72" s="20" t="n">
        <v>39994</v>
      </c>
      <c r="B72" s="30" t="n">
        <f aca="false">'SA Data'!R72</f>
        <v>79.7094025480293</v>
      </c>
      <c r="C72" s="31" t="n">
        <f aca="false">IFERROR((B72/B71-1)*100,"")</f>
        <v>2.86994177641975</v>
      </c>
      <c r="D72" s="31" t="n">
        <f aca="false">IFERROR((AVERAGE(B70:B72)/AVERAGE(B67:B69)-1)*100,"")</f>
        <v>-23.7887726999518</v>
      </c>
      <c r="E72" s="31" t="n">
        <f aca="false">IFERROR(((AVERAGE(B70:B72)/AVERAGE(B67:B69))^4-1)*100,"")</f>
        <v>-66.2653800261598</v>
      </c>
      <c r="F72" s="31" t="n">
        <f aca="false">IFERROR(('SA Data'!V72/'SA Data'!V60-1)*100,"")</f>
        <v>-38.9791303094648</v>
      </c>
      <c r="G72" s="31" t="n">
        <f aca="false">IFERROR((AVERAGE('SA Data'!V67:V72)/AVERAGE('SA Data'!V55:V60)-1)*100,"")</f>
        <v>-33.9692833710646</v>
      </c>
      <c r="H72" s="30" t="n">
        <f aca="false">'SA Data'!S72</f>
        <v>118.705507735465</v>
      </c>
      <c r="I72" s="31" t="n">
        <f aca="false">IFERROR((H72/H71-1)*100,"")</f>
        <v>1.64993164021134</v>
      </c>
      <c r="J72" s="31" t="n">
        <f aca="false">IFERROR((AVERAGE(H70:H72)/AVERAGE(H67:H69)-1)*100,"")</f>
        <v>0.682408375321142</v>
      </c>
      <c r="K72" s="31" t="n">
        <f aca="false">IFERROR(((AVERAGE(H70:H72)/AVERAGE(H67:H69))^4-1)*100,"")</f>
        <v>2.75770170348395</v>
      </c>
      <c r="L72" s="31" t="n">
        <f aca="false">IFERROR(('SA Data'!W72/'SA Data'!W60-1)*100,"")</f>
        <v>-8.22538559281443</v>
      </c>
      <c r="M72" s="31" t="n">
        <f aca="false">IFERROR((AVERAGE('SA Data'!W67:W72)/AVERAGE('SA Data'!W55:W60)-1)*100,"")</f>
        <v>-11.2461855792695</v>
      </c>
      <c r="N72" s="30" t="n">
        <f aca="false">'SA Data'!T72</f>
        <v>133.154891317961</v>
      </c>
      <c r="O72" s="31" t="n">
        <f aca="false">IFERROR((N72/N71-1)*100,"")</f>
        <v>1.77957518975638</v>
      </c>
      <c r="P72" s="31" t="n">
        <f aca="false">IFERROR((AVERAGE(N70:N72)/AVERAGE(N67:N69)-1)*100,"")</f>
        <v>0.0902177735930598</v>
      </c>
      <c r="Q72" s="31" t="n">
        <f aca="false">IFERROR(((AVERAGE(N70:N72)/AVERAGE(N67:N69))^4-1)*100,"")</f>
        <v>0.361359742960699</v>
      </c>
      <c r="R72" s="31" t="n">
        <f aca="false">IFERROR(('SA Data'!X72/'SA Data'!X60-1)*100,"")</f>
        <v>-1.01110107469196</v>
      </c>
      <c r="S72" s="31" t="n">
        <f aca="false">IFERROR((AVERAGE('SA Data'!X67:X72)/AVERAGE('SA Data'!X55:X60)-1)*100,"")</f>
        <v>-2.8468526519752</v>
      </c>
    </row>
    <row r="73" customFormat="false" ht="15" hidden="false" customHeight="false" outlineLevel="0" collapsed="false">
      <c r="A73" s="20" t="n">
        <v>40025</v>
      </c>
      <c r="B73" s="30" t="n">
        <f aca="false">'SA Data'!R73</f>
        <v>101.18958661032</v>
      </c>
      <c r="C73" s="31" t="n">
        <f aca="false">IFERROR((B73/B72-1)*100,"")</f>
        <v>26.9481182591327</v>
      </c>
      <c r="D73" s="31" t="n">
        <f aca="false">IFERROR((AVERAGE(B71:B73)/AVERAGE(B68:B70)-1)*100,"")</f>
        <v>-9.13624161027299</v>
      </c>
      <c r="E73" s="31" t="n">
        <f aca="false">IFERROR(((AVERAGE(B71:B73)/AVERAGE(B68:B70))^4-1)*100,"")</f>
        <v>-31.8347885657295</v>
      </c>
      <c r="F73" s="31" t="n">
        <f aca="false">IFERROR(('SA Data'!V73/'SA Data'!V61-1)*100,"")</f>
        <v>-20.0179748015861</v>
      </c>
      <c r="G73" s="31" t="n">
        <f aca="false">IFERROR((AVERAGE('SA Data'!V67:V73)/AVERAGE('SA Data'!V55:V61)-1)*100,"")</f>
        <v>-32.5962785568673</v>
      </c>
      <c r="H73" s="30" t="n">
        <f aca="false">'SA Data'!S73</f>
        <v>121.892251460166</v>
      </c>
      <c r="I73" s="31" t="n">
        <f aca="false">IFERROR((H73/H72-1)*100,"")</f>
        <v>2.6845794988742</v>
      </c>
      <c r="J73" s="31" t="n">
        <f aca="false">IFERROR((AVERAGE(H71:H73)/AVERAGE(H68:H70)-1)*100,"")</f>
        <v>1.69464264331403</v>
      </c>
      <c r="K73" s="31" t="n">
        <f aca="false">IFERROR(((AVERAGE(H71:H73)/AVERAGE(H68:H70))^4-1)*100,"")</f>
        <v>6.95283432105838</v>
      </c>
      <c r="L73" s="31" t="n">
        <f aca="false">IFERROR(('SA Data'!W73/'SA Data'!W61-1)*100,"")</f>
        <v>-8.80362785193096</v>
      </c>
      <c r="M73" s="31" t="n">
        <f aca="false">IFERROR((AVERAGE('SA Data'!W67:W73)/AVERAGE('SA Data'!W55:W61)-1)*100,"")</f>
        <v>-10.8824614143591</v>
      </c>
      <c r="N73" s="30" t="n">
        <f aca="false">'SA Data'!T73</f>
        <v>133.2347584952</v>
      </c>
      <c r="O73" s="31" t="n">
        <f aca="false">IFERROR((N73/N72-1)*100,"")</f>
        <v>0.0599806559478111</v>
      </c>
      <c r="P73" s="31" t="n">
        <f aca="false">IFERROR((AVERAGE(N71:N73)/AVERAGE(N68:N70)-1)*100,"")</f>
        <v>0.240787019881394</v>
      </c>
      <c r="Q73" s="31" t="n">
        <f aca="false">IFERROR(((AVERAGE(N71:N73)/AVERAGE(N68:N70))^4-1)*100,"")</f>
        <v>0.966632370401066</v>
      </c>
      <c r="R73" s="31" t="n">
        <f aca="false">IFERROR(('SA Data'!X73/'SA Data'!X61-1)*100,"")</f>
        <v>-3.35171853079915</v>
      </c>
      <c r="S73" s="31" t="n">
        <f aca="false">IFERROR((AVERAGE('SA Data'!X67:X73)/AVERAGE('SA Data'!X55:X61)-1)*100,"")</f>
        <v>-2.92086648195108</v>
      </c>
    </row>
    <row r="74" customFormat="false" ht="15" hidden="false" customHeight="false" outlineLevel="0" collapsed="false">
      <c r="A74" s="20" t="n">
        <v>40056</v>
      </c>
      <c r="B74" s="30" t="n">
        <f aca="false">'SA Data'!R74</f>
        <v>110.76735265301</v>
      </c>
      <c r="C74" s="31" t="n">
        <f aca="false">IFERROR((B74/B73-1)*100,"")</f>
        <v>9.46516965186726</v>
      </c>
      <c r="D74" s="31" t="n">
        <f aca="false">IFERROR((AVERAGE(B72:B74)/AVERAGE(B69:B71)-1)*100,"")</f>
        <v>14.9285320760485</v>
      </c>
      <c r="E74" s="31" t="n">
        <f aca="false">IFERROR(((AVERAGE(B72:B74)/AVERAGE(B69:B71))^4-1)*100,"")</f>
        <v>74.466255009902</v>
      </c>
      <c r="F74" s="31" t="n">
        <f aca="false">IFERROR(('SA Data'!V74/'SA Data'!V62-1)*100,"")</f>
        <v>-8.83473425671061</v>
      </c>
      <c r="G74" s="31" t="n">
        <f aca="false">IFERROR((AVERAGE('SA Data'!V67:V74)/AVERAGE('SA Data'!V55:V62)-1)*100,"")</f>
        <v>-31.1772332650476</v>
      </c>
      <c r="H74" s="30" t="n">
        <f aca="false">'SA Data'!S74</f>
        <v>119.938644655243</v>
      </c>
      <c r="I74" s="31" t="n">
        <f aca="false">IFERROR((H74/H73-1)*100,"")</f>
        <v>-1.602732562177</v>
      </c>
      <c r="J74" s="31" t="n">
        <f aca="false">IFERROR((AVERAGE(H72:H74)/AVERAGE(H69:H71)-1)*100,"")</f>
        <v>2.78960493328579</v>
      </c>
      <c r="K74" s="31" t="n">
        <f aca="false">IFERROR(((AVERAGE(H72:H74)/AVERAGE(H69:H71))^4-1)*100,"")</f>
        <v>11.6340773979083</v>
      </c>
      <c r="L74" s="31" t="n">
        <f aca="false">IFERROR(('SA Data'!W74/'SA Data'!W62-1)*100,"")</f>
        <v>-7.94245644647212</v>
      </c>
      <c r="M74" s="31" t="n">
        <f aca="false">IFERROR((AVERAGE('SA Data'!W67:W74)/AVERAGE('SA Data'!W55:W62)-1)*100,"")</f>
        <v>-10.5067387889419</v>
      </c>
      <c r="N74" s="30" t="n">
        <f aca="false">'SA Data'!T74</f>
        <v>132.954615309505</v>
      </c>
      <c r="O74" s="31" t="n">
        <f aca="false">IFERROR((N74/N73-1)*100,"")</f>
        <v>-0.210262838960618</v>
      </c>
      <c r="P74" s="31" t="n">
        <f aca="false">IFERROR((AVERAGE(N72:N74)/AVERAGE(N69:N71)-1)*100,"")</f>
        <v>1.12684758209565</v>
      </c>
      <c r="Q74" s="31" t="n">
        <f aca="false">IFERROR(((AVERAGE(N72:N74)/AVERAGE(N69:N71))^4-1)*100,"")</f>
        <v>4.58415141101036</v>
      </c>
      <c r="R74" s="31" t="n">
        <f aca="false">IFERROR(('SA Data'!X74/'SA Data'!X62-1)*100,"")</f>
        <v>-2.10556438160419</v>
      </c>
      <c r="S74" s="31" t="n">
        <f aca="false">IFERROR((AVERAGE('SA Data'!X67:X74)/AVERAGE('SA Data'!X55:X62)-1)*100,"")</f>
        <v>-2.81809105590778</v>
      </c>
    </row>
    <row r="75" customFormat="false" ht="15" hidden="false" customHeight="false" outlineLevel="0" collapsed="false">
      <c r="A75" s="20" t="n">
        <v>40086</v>
      </c>
      <c r="B75" s="30" t="n">
        <f aca="false">'SA Data'!R75</f>
        <v>113.822442541418</v>
      </c>
      <c r="C75" s="31" t="n">
        <f aca="false">IFERROR((B75/B74-1)*100,"")</f>
        <v>2.75811402478681</v>
      </c>
      <c r="D75" s="31" t="n">
        <f aca="false">IFERROR((AVERAGE(B73:B75)/AVERAGE(B70:B72)-1)*100,"")</f>
        <v>37.7362170502649</v>
      </c>
      <c r="E75" s="31" t="n">
        <f aca="false">IFERROR(((AVERAGE(B73:B75)/AVERAGE(B70:B72))^4-1)*100,"")</f>
        <v>259.908914190291</v>
      </c>
      <c r="F75" s="31" t="n">
        <f aca="false">IFERROR(('SA Data'!V75/'SA Data'!V63-1)*100,"")</f>
        <v>-4.89352387805669</v>
      </c>
      <c r="G75" s="31" t="n">
        <f aca="false">IFERROR((AVERAGE('SA Data'!V67:V75)/AVERAGE('SA Data'!V55:V63)-1)*100,"")</f>
        <v>-29.7875577158025</v>
      </c>
      <c r="H75" s="30" t="n">
        <f aca="false">'SA Data'!S75</f>
        <v>120.884322919281</v>
      </c>
      <c r="I75" s="31" t="n">
        <f aca="false">IFERROR((H75/H74-1)*100,"")</f>
        <v>0.788468359598804</v>
      </c>
      <c r="J75" s="31" t="n">
        <f aca="false">IFERROR((AVERAGE(H73:H75)/AVERAGE(H70:H72)-1)*100,"")</f>
        <v>2.68610407206507</v>
      </c>
      <c r="K75" s="31" t="n">
        <f aca="false">IFERROR(((AVERAGE(H73:H75)/AVERAGE(H70:H72))^4-1)*100,"")</f>
        <v>11.1851299148638</v>
      </c>
      <c r="L75" s="31" t="n">
        <f aca="false">IFERROR(('SA Data'!W75/'SA Data'!W63-1)*100,"")</f>
        <v>-9.61047149351197</v>
      </c>
      <c r="M75" s="31" t="n">
        <f aca="false">IFERROR((AVERAGE('SA Data'!W67:W75)/AVERAGE('SA Data'!W55:W63)-1)*100,"")</f>
        <v>-10.4022972929464</v>
      </c>
      <c r="N75" s="30" t="n">
        <f aca="false">'SA Data'!T75</f>
        <v>135.963979812946</v>
      </c>
      <c r="O75" s="31" t="n">
        <f aca="false">IFERROR((N75/N74-1)*100,"")</f>
        <v>2.26345245438488</v>
      </c>
      <c r="P75" s="31" t="n">
        <f aca="false">IFERROR((AVERAGE(N73:N75)/AVERAGE(N70:N72)-1)*100,"")</f>
        <v>1.49639558391779</v>
      </c>
      <c r="Q75" s="31" t="n">
        <f aca="false">IFERROR(((AVERAGE(N73:N75)/AVERAGE(N70:N72))^4-1)*100,"")</f>
        <v>6.12127962574387</v>
      </c>
      <c r="R75" s="31" t="n">
        <f aca="false">IFERROR(('SA Data'!X75/'SA Data'!X63-1)*100,"")</f>
        <v>-0.93710237663589</v>
      </c>
      <c r="S75" s="31" t="n">
        <f aca="false">IFERROR((AVERAGE('SA Data'!X67:X75)/AVERAGE('SA Data'!X55:X63)-1)*100,"")</f>
        <v>-2.60713183783345</v>
      </c>
    </row>
    <row r="76" customFormat="false" ht="15" hidden="false" customHeight="false" outlineLevel="0" collapsed="false">
      <c r="A76" s="20" t="n">
        <v>40117</v>
      </c>
      <c r="B76" s="30" t="n">
        <f aca="false">'SA Data'!R76</f>
        <v>110.954597721335</v>
      </c>
      <c r="C76" s="31" t="n">
        <f aca="false">IFERROR((B76/B75-1)*100,"")</f>
        <v>-2.51957764747445</v>
      </c>
      <c r="D76" s="31" t="n">
        <f aca="false">IFERROR((AVERAGE(B74:B76)/AVERAGE(B71:B73)-1)*100,"")</f>
        <v>29.8623808000609</v>
      </c>
      <c r="E76" s="31" t="n">
        <f aca="false">IFERROR(((AVERAGE(B74:B76)/AVERAGE(B71:B73))^4-1)*100,"")</f>
        <v>184.40252153506</v>
      </c>
      <c r="F76" s="31" t="n">
        <f aca="false">IFERROR(('SA Data'!V76/'SA Data'!V64-1)*100,"")</f>
        <v>-6.08735184001896</v>
      </c>
      <c r="G76" s="31" t="n">
        <f aca="false">IFERROR((AVERAGE('SA Data'!V67:V76)/AVERAGE('SA Data'!V55:V64)-1)*100,"")</f>
        <v>-28.6042270715763</v>
      </c>
      <c r="H76" s="30" t="n">
        <f aca="false">'SA Data'!S76</f>
        <v>124.103371956506</v>
      </c>
      <c r="I76" s="31" t="n">
        <f aca="false">IFERROR((H76/H75-1)*100,"")</f>
        <v>2.66291687746347</v>
      </c>
      <c r="J76" s="31" t="n">
        <f aca="false">IFERROR((AVERAGE(H74:H76)/AVERAGE(H71:H73)-1)*100,"")</f>
        <v>2.11257371559521</v>
      </c>
      <c r="K76" s="31" t="n">
        <f aca="false">IFERROR(((AVERAGE(H74:H76)/AVERAGE(H71:H73))^4-1)*100,"")</f>
        <v>8.72186418199685</v>
      </c>
      <c r="L76" s="31" t="n">
        <f aca="false">IFERROR(('SA Data'!W76/'SA Data'!W64-1)*100,"")</f>
        <v>-2.79499306388067</v>
      </c>
      <c r="M76" s="31" t="n">
        <f aca="false">IFERROR((AVERAGE('SA Data'!W67:W76)/AVERAGE('SA Data'!W55:W64)-1)*100,"")</f>
        <v>-9.63194218108703</v>
      </c>
      <c r="N76" s="30" t="n">
        <f aca="false">'SA Data'!T76</f>
        <v>135.814975098891</v>
      </c>
      <c r="O76" s="31" t="n">
        <f aca="false">IFERROR((N76/N75-1)*100,"")</f>
        <v>-0.109591315479785</v>
      </c>
      <c r="P76" s="31" t="n">
        <f aca="false">IFERROR((AVERAGE(N74:N76)/AVERAGE(N71:N73)-1)*100,"")</f>
        <v>1.89246705309003</v>
      </c>
      <c r="Q76" s="31" t="n">
        <f aca="false">IFERROR(((AVERAGE(N74:N76)/AVERAGE(N71:N73))^4-1)*100,"")</f>
        <v>7.78747802831619</v>
      </c>
      <c r="R76" s="31" t="n">
        <f aca="false">IFERROR(('SA Data'!X76/'SA Data'!X64-1)*100,"")</f>
        <v>-0.383392986443276</v>
      </c>
      <c r="S76" s="31" t="n">
        <f aca="false">IFERROR((AVERAGE('SA Data'!X67:X76)/AVERAGE('SA Data'!X55:X64)-1)*100,"")</f>
        <v>-2.38399582714136</v>
      </c>
    </row>
    <row r="77" customFormat="false" ht="15" hidden="false" customHeight="false" outlineLevel="0" collapsed="false">
      <c r="A77" s="20" t="n">
        <v>40147</v>
      </c>
      <c r="B77" s="30" t="n">
        <f aca="false">'SA Data'!R77</f>
        <v>109.942361503719</v>
      </c>
      <c r="C77" s="31" t="n">
        <f aca="false">IFERROR((B77/B76-1)*100,"")</f>
        <v>-0.912297677071638</v>
      </c>
      <c r="D77" s="31" t="n">
        <f aca="false">IFERROR((AVERAGE(B75:B77)/AVERAGE(B72:B74)-1)*100,"")</f>
        <v>14.7610655681887</v>
      </c>
      <c r="E77" s="31" t="n">
        <f aca="false">IFERROR(((AVERAGE(B75:B77)/AVERAGE(B72:B74))^4-1)*100,"")</f>
        <v>73.4515911773555</v>
      </c>
      <c r="F77" s="31" t="n">
        <f aca="false">IFERROR(('SA Data'!V77/'SA Data'!V65-1)*100,"")</f>
        <v>-4.55884170013126</v>
      </c>
      <c r="G77" s="31" t="n">
        <f aca="false">IFERROR((AVERAGE('SA Data'!V67:V77)/AVERAGE('SA Data'!V55:V65)-1)*100,"")</f>
        <v>-27.2512241665785</v>
      </c>
      <c r="H77" s="30" t="n">
        <f aca="false">'SA Data'!S77</f>
        <v>124.331775941581</v>
      </c>
      <c r="I77" s="31" t="n">
        <f aca="false">IFERROR((H77/H76-1)*100,"")</f>
        <v>0.184043335385531</v>
      </c>
      <c r="J77" s="31" t="n">
        <f aca="false">IFERROR((AVERAGE(H75:H77)/AVERAGE(H72:H74)-1)*100,"")</f>
        <v>2.43611099258858</v>
      </c>
      <c r="K77" s="31" t="n">
        <f aca="false">IFERROR(((AVERAGE(H75:H77)/AVERAGE(H72:H74))^4-1)*100,"")</f>
        <v>10.1063403699078</v>
      </c>
      <c r="L77" s="31" t="n">
        <f aca="false">IFERROR(('SA Data'!W77/'SA Data'!W65-1)*100,"")</f>
        <v>1.2759762464017</v>
      </c>
      <c r="M77" s="31" t="n">
        <f aca="false">IFERROR((AVERAGE('SA Data'!W67:W77)/AVERAGE('SA Data'!W55:W65)-1)*100,"")</f>
        <v>-8.68476245672049</v>
      </c>
      <c r="N77" s="30" t="n">
        <f aca="false">'SA Data'!T77</f>
        <v>135.996470037816</v>
      </c>
      <c r="O77" s="31" t="n">
        <f aca="false">IFERROR((N77/N76-1)*100,"")</f>
        <v>0.133633966941593</v>
      </c>
      <c r="P77" s="31" t="n">
        <f aca="false">IFERROR((AVERAGE(N75:N77)/AVERAGE(N72:N74)-1)*100,"")</f>
        <v>2.11125100905045</v>
      </c>
      <c r="Q77" s="31" t="n">
        <f aca="false">IFERROR(((AVERAGE(N75:N77)/AVERAGE(N72:N74))^4-1)*100,"")</f>
        <v>8.7162310137429</v>
      </c>
      <c r="R77" s="31" t="n">
        <f aca="false">IFERROR(('SA Data'!X77/'SA Data'!X65-1)*100,"")</f>
        <v>2.78529856423364</v>
      </c>
      <c r="S77" s="31" t="n">
        <f aca="false">IFERROR((AVERAGE('SA Data'!X67:X77)/AVERAGE('SA Data'!X55:X65)-1)*100,"")</f>
        <v>-1.92551787544003</v>
      </c>
    </row>
    <row r="78" customFormat="false" ht="15" hidden="false" customHeight="false" outlineLevel="0" collapsed="false">
      <c r="A78" s="20" t="n">
        <v>40178</v>
      </c>
      <c r="B78" s="30" t="n">
        <f aca="false">'SA Data'!R78</f>
        <v>95.7942410392075</v>
      </c>
      <c r="C78" s="31" t="n">
        <f aca="false">IFERROR((B78/B77-1)*100,"")</f>
        <v>-12.8686707025419</v>
      </c>
      <c r="D78" s="31" t="n">
        <f aca="false">IFERROR((AVERAGE(B76:B78)/AVERAGE(B73:B75)-1)*100,"")</f>
        <v>-2.78967364052954</v>
      </c>
      <c r="E78" s="31" t="n">
        <f aca="false">IFERROR(((AVERAGE(B76:B78)/AVERAGE(B73:B75))^4-1)*100,"")</f>
        <v>-10.7003812644704</v>
      </c>
      <c r="F78" s="31" t="n">
        <f aca="false">IFERROR(('SA Data'!V78/'SA Data'!V66-1)*100,"")</f>
        <v>-8.65857603914506</v>
      </c>
      <c r="G78" s="31" t="n">
        <f aca="false">IFERROR((AVERAGE('SA Data'!V67:V78)/AVERAGE('SA Data'!V55:V66)-1)*100,"")</f>
        <v>-26.267879693905</v>
      </c>
      <c r="H78" s="30" t="n">
        <f aca="false">'SA Data'!S78</f>
        <v>125.417879319592</v>
      </c>
      <c r="I78" s="31" t="n">
        <f aca="false">IFERROR((H78/H77-1)*100,"")</f>
        <v>0.873552532959465</v>
      </c>
      <c r="J78" s="31" t="n">
        <f aca="false">IFERROR((AVERAGE(H76:H78)/AVERAGE(H73:H75)-1)*100,"")</f>
        <v>3.07067572533368</v>
      </c>
      <c r="K78" s="31" t="n">
        <f aca="false">IFERROR(((AVERAGE(H76:H78)/AVERAGE(H73:H75))^4-1)*100,"")</f>
        <v>12.8601161941714</v>
      </c>
      <c r="L78" s="31" t="n">
        <f aca="false">IFERROR(('SA Data'!W78/'SA Data'!W66-1)*100,"")</f>
        <v>3.72642832029055</v>
      </c>
      <c r="M78" s="31" t="n">
        <f aca="false">IFERROR((AVERAGE('SA Data'!W67:W78)/AVERAGE('SA Data'!W55:W66)-1)*100,"")</f>
        <v>-7.73926319617815</v>
      </c>
      <c r="N78" s="30" t="n">
        <f aca="false">'SA Data'!T78</f>
        <v>137.216548765625</v>
      </c>
      <c r="O78" s="31" t="n">
        <f aca="false">IFERROR((N78/N77-1)*100,"")</f>
        <v>0.89713999743517</v>
      </c>
      <c r="P78" s="31" t="n">
        <f aca="false">IFERROR((AVERAGE(N76:N78)/AVERAGE(N73:N75)-1)*100,"")</f>
        <v>1.70945740544954</v>
      </c>
      <c r="Q78" s="31" t="n">
        <f aca="false">IFERROR(((AVERAGE(N76:N78)/AVERAGE(N73:N75))^4-1)*100,"")</f>
        <v>7.01517101965776</v>
      </c>
      <c r="R78" s="31" t="n">
        <f aca="false">IFERROR(('SA Data'!X78/'SA Data'!X66-1)*100,"")</f>
        <v>3.15732621779334</v>
      </c>
      <c r="S78" s="31" t="n">
        <f aca="false">IFERROR((AVERAGE('SA Data'!X67:X78)/AVERAGE('SA Data'!X55:X66)-1)*100,"")</f>
        <v>-1.51327710463518</v>
      </c>
    </row>
    <row r="79" customFormat="false" ht="15" hidden="false" customHeight="false" outlineLevel="0" collapsed="false">
      <c r="A79" s="20" t="n">
        <v>40209</v>
      </c>
      <c r="B79" s="30" t="n">
        <f aca="false">'SA Data'!R79</f>
        <v>100.730748743133</v>
      </c>
      <c r="C79" s="31" t="n">
        <f aca="false">IFERROR((B79/B78-1)*100,"")</f>
        <v>5.15324058145101</v>
      </c>
      <c r="D79" s="31" t="n">
        <f aca="false">IFERROR((AVERAGE(B77:B79)/AVERAGE(B74:B76)-1)*100,"")</f>
        <v>-8.66563180419582</v>
      </c>
      <c r="E79" s="31" t="n">
        <f aca="false">IFERROR(((AVERAGE(B77:B79)/AVERAGE(B74:B76))^4-1)*100,"")</f>
        <v>-30.411589678682</v>
      </c>
      <c r="F79" s="31" t="n">
        <f aca="false">IFERROR(('SA Data'!V79/'SA Data'!V67-1)*100,"")</f>
        <v>-4.56434776417887</v>
      </c>
      <c r="G79" s="31" t="n">
        <f aca="false">IFERROR((AVERAGE('SA Data'!V79:V79)/AVERAGE('SA Data'!V67:V67)-1)*100,"")</f>
        <v>-4.56434776417887</v>
      </c>
      <c r="H79" s="30" t="n">
        <f aca="false">'SA Data'!S79</f>
        <v>126.425632616105</v>
      </c>
      <c r="I79" s="31" t="n">
        <f aca="false">IFERROR((H79/H78-1)*100,"")</f>
        <v>0.803516453938302</v>
      </c>
      <c r="J79" s="31" t="n">
        <f aca="false">IFERROR((AVERAGE(H77:H79)/AVERAGE(H74:H76)-1)*100,"")</f>
        <v>3.08252573949694</v>
      </c>
      <c r="K79" s="31" t="n">
        <f aca="false">IFERROR(((AVERAGE(H77:H79)/AVERAGE(H74:H76))^4-1)*100,"")</f>
        <v>12.9120271619998</v>
      </c>
      <c r="L79" s="31" t="n">
        <f aca="false">IFERROR(('SA Data'!W79/'SA Data'!W67-1)*100,"")</f>
        <v>7.3531003228001</v>
      </c>
      <c r="M79" s="31" t="n">
        <f aca="false">IFERROR((AVERAGE('SA Data'!W79:W79)/AVERAGE('SA Data'!W67:W67)-1)*100,"")</f>
        <v>7.3531003228001</v>
      </c>
      <c r="N79" s="30" t="n">
        <f aca="false">'SA Data'!T79</f>
        <v>137.643969981755</v>
      </c>
      <c r="O79" s="31" t="n">
        <f aca="false">IFERROR((N79/N78-1)*100,"")</f>
        <v>0.31149392691705</v>
      </c>
      <c r="P79" s="31" t="n">
        <f aca="false">IFERROR((AVERAGE(N77:N79)/AVERAGE(N74:N76)-1)*100,"")</f>
        <v>1.51295049741129</v>
      </c>
      <c r="Q79" s="31" t="n">
        <f aca="false">IFERROR(((AVERAGE(N77:N79)/AVERAGE(N74:N76))^4-1)*100,"")</f>
        <v>6.19053365081062</v>
      </c>
      <c r="R79" s="31" t="n">
        <f aca="false">IFERROR(('SA Data'!X79/'SA Data'!X67-1)*100,"")</f>
        <v>4.35912310533453</v>
      </c>
      <c r="S79" s="31" t="n">
        <f aca="false">IFERROR((AVERAGE('SA Data'!X79:X79)/AVERAGE('SA Data'!X67:X67)-1)*100,"")</f>
        <v>4.35912310533453</v>
      </c>
    </row>
    <row r="80" customFormat="false" ht="15" hidden="false" customHeight="false" outlineLevel="0" collapsed="false">
      <c r="A80" s="20" t="n">
        <v>40237</v>
      </c>
      <c r="B80" s="30" t="n">
        <f aca="false">'SA Data'!R80</f>
        <v>112.040158294404</v>
      </c>
      <c r="C80" s="31" t="n">
        <f aca="false">IFERROR((B80/B79-1)*100,"")</f>
        <v>11.2273657174043</v>
      </c>
      <c r="D80" s="31" t="n">
        <f aca="false">IFERROR((AVERAGE(B78:B80)/AVERAGE(B75:B77)-1)*100,"")</f>
        <v>-7.81378478561442</v>
      </c>
      <c r="E80" s="31" t="n">
        <f aca="false">IFERROR(((AVERAGE(B78:B80)/AVERAGE(B75:B77))^4-1)*100,"")</f>
        <v>-27.7789264197326</v>
      </c>
      <c r="F80" s="31" t="n">
        <f aca="false">IFERROR(('SA Data'!V80/'SA Data'!V68-1)*100,"")</f>
        <v>3.18263051772401</v>
      </c>
      <c r="G80" s="31" t="n">
        <f aca="false">IFERROR((AVERAGE('SA Data'!V79:V80)/AVERAGE('SA Data'!V67:V68)-1)*100,"")</f>
        <v>-0.552052258971192</v>
      </c>
      <c r="H80" s="30" t="n">
        <f aca="false">'SA Data'!S80</f>
        <v>126.183658846047</v>
      </c>
      <c r="I80" s="31" t="n">
        <f aca="false">IFERROR((H80/H79-1)*100,"")</f>
        <v>-0.191396131505184</v>
      </c>
      <c r="J80" s="31" t="n">
        <f aca="false">IFERROR((AVERAGE(H78:H80)/AVERAGE(H75:H77)-1)*100,"")</f>
        <v>2.35776899200708</v>
      </c>
      <c r="K80" s="31" t="n">
        <f aca="false">IFERROR(((AVERAGE(H78:H80)/AVERAGE(H75:H77))^4-1)*100,"")</f>
        <v>9.76989415402416</v>
      </c>
      <c r="L80" s="31" t="n">
        <f aca="false">IFERROR(('SA Data'!W80/'SA Data'!W68-1)*100,"")</f>
        <v>6.95470642332472</v>
      </c>
      <c r="M80" s="31" t="n">
        <f aca="false">IFERROR((AVERAGE('SA Data'!W79:W80)/AVERAGE('SA Data'!W67:W68)-1)*100,"")</f>
        <v>7.15578513055273</v>
      </c>
      <c r="N80" s="30" t="n">
        <f aca="false">'SA Data'!T80</f>
        <v>138.79346639908</v>
      </c>
      <c r="O80" s="31" t="n">
        <f aca="false">IFERROR((N80/N79-1)*100,"")</f>
        <v>0.835122975221592</v>
      </c>
      <c r="P80" s="31" t="n">
        <f aca="false">IFERROR((AVERAGE(N78:N80)/AVERAGE(N75:N77)-1)*100,"")</f>
        <v>1.44161708556454</v>
      </c>
      <c r="Q80" s="31" t="n">
        <f aca="false">IFERROR(((AVERAGE(N78:N80)/AVERAGE(N75:N77))^4-1)*100,"")</f>
        <v>5.89236667265225</v>
      </c>
      <c r="R80" s="31" t="n">
        <f aca="false">IFERROR(('SA Data'!X80/'SA Data'!X68-1)*100,"")</f>
        <v>4.88410842428155</v>
      </c>
      <c r="S80" s="31" t="n">
        <f aca="false">IFERROR((AVERAGE('SA Data'!X79:X80)/AVERAGE('SA Data'!X67:X68)-1)*100,"")</f>
        <v>4.61897284696959</v>
      </c>
    </row>
    <row r="81" customFormat="false" ht="15" hidden="false" customHeight="false" outlineLevel="0" collapsed="false">
      <c r="A81" s="20" t="n">
        <v>40268</v>
      </c>
      <c r="B81" s="30" t="n">
        <f aca="false">'SA Data'!R81</f>
        <v>120.967806396335</v>
      </c>
      <c r="C81" s="31" t="n">
        <f aca="false">IFERROR((B81/B80-1)*100,"")</f>
        <v>7.96825730866271</v>
      </c>
      <c r="D81" s="31" t="n">
        <f aca="false">IFERROR((AVERAGE(B79:B81)/AVERAGE(B76:B78)-1)*100,"")</f>
        <v>5.38300816548896</v>
      </c>
      <c r="E81" s="31" t="n">
        <f aca="false">IFERROR(((AVERAGE(B79:B81)/AVERAGE(B76:B78))^4-1)*100,"")</f>
        <v>23.333871820825</v>
      </c>
      <c r="F81" s="31" t="n">
        <f aca="false">IFERROR(('SA Data'!V81/'SA Data'!V69-1)*100,"")</f>
        <v>23.2843258412063</v>
      </c>
      <c r="G81" s="31" t="n">
        <f aca="false">IFERROR((AVERAGE('SA Data'!V79:V81)/AVERAGE('SA Data'!V67:V69)-1)*100,"")</f>
        <v>10.6624413255088</v>
      </c>
      <c r="H81" s="30" t="n">
        <f aca="false">'SA Data'!S81</f>
        <v>128.979817419008</v>
      </c>
      <c r="I81" s="31" t="n">
        <f aca="false">IFERROR((H81/H80-1)*100,"")</f>
        <v>2.21594348945935</v>
      </c>
      <c r="J81" s="31" t="n">
        <f aca="false">IFERROR((AVERAGE(H79:H81)/AVERAGE(H76:H78)-1)*100,"")</f>
        <v>2.06928421071126</v>
      </c>
      <c r="K81" s="31" t="n">
        <f aca="false">IFERROR(((AVERAGE(H79:H81)/AVERAGE(H76:H78))^4-1)*100,"")</f>
        <v>8.53761562448261</v>
      </c>
      <c r="L81" s="31" t="n">
        <f aca="false">IFERROR(('SA Data'!W81/'SA Data'!W69-1)*100,"")</f>
        <v>10.4999257068709</v>
      </c>
      <c r="M81" s="31" t="n">
        <f aca="false">IFERROR((AVERAGE('SA Data'!W79:W81)/AVERAGE('SA Data'!W67:W69)-1)*100,"")</f>
        <v>8.33498993015589</v>
      </c>
      <c r="N81" s="30" t="n">
        <f aca="false">'SA Data'!T81</f>
        <v>140.863135582912</v>
      </c>
      <c r="O81" s="31" t="n">
        <f aca="false">IFERROR((N81/N80-1)*100,"")</f>
        <v>1.4911863198811</v>
      </c>
      <c r="P81" s="31" t="n">
        <f aca="false">IFERROR((AVERAGE(N79:N81)/AVERAGE(N76:N78)-1)*100,"")</f>
        <v>2.0224967935546</v>
      </c>
      <c r="Q81" s="31" t="n">
        <f aca="false">IFERROR(((AVERAGE(N79:N81)/AVERAGE(N76:N78))^4-1)*100,"")</f>
        <v>8.33874270696706</v>
      </c>
      <c r="R81" s="31" t="n">
        <f aca="false">IFERROR(('SA Data'!X81/'SA Data'!X69-1)*100,"")</f>
        <v>6.52843130297458</v>
      </c>
      <c r="S81" s="31" t="n">
        <f aca="false">IFERROR((AVERAGE('SA Data'!X79:X81)/AVERAGE('SA Data'!X67:X69)-1)*100,"")</f>
        <v>5.27385542637551</v>
      </c>
    </row>
    <row r="82" customFormat="false" ht="15" hidden="false" customHeight="false" outlineLevel="0" collapsed="false">
      <c r="A82" s="20" t="n">
        <v>40298</v>
      </c>
      <c r="B82" s="30" t="n">
        <f aca="false">'SA Data'!R82</f>
        <v>139.40937987055</v>
      </c>
      <c r="C82" s="31" t="n">
        <f aca="false">IFERROR((B82/B81-1)*100,"")</f>
        <v>15.2450259483036</v>
      </c>
      <c r="D82" s="31" t="n">
        <f aca="false">IFERROR((AVERAGE(B80:B82)/AVERAGE(B77:B79)-1)*100,"")</f>
        <v>21.5194189522888</v>
      </c>
      <c r="E82" s="31" t="n">
        <f aca="false">IFERROR(((AVERAGE(B80:B82)/AVERAGE(B77:B79))^4-1)*100,"")</f>
        <v>118.063378836961</v>
      </c>
      <c r="F82" s="31" t="n">
        <f aca="false">IFERROR(('SA Data'!V82/'SA Data'!V70-1)*100,"")</f>
        <v>75.6525509918229</v>
      </c>
      <c r="G82" s="31" t="n">
        <f aca="false">IFERROR((AVERAGE('SA Data'!V79:V82)/AVERAGE('SA Data'!V67:V70)-1)*100,"")</f>
        <v>34.4034284264575</v>
      </c>
      <c r="H82" s="30" t="n">
        <f aca="false">'SA Data'!S82</f>
        <v>131.077184316009</v>
      </c>
      <c r="I82" s="31" t="n">
        <f aca="false">IFERROR((H82/H81-1)*100,"")</f>
        <v>1.62612022483188</v>
      </c>
      <c r="J82" s="31" t="n">
        <f aca="false">IFERROR((AVERAGE(H80:H82)/AVERAGE(H77:H79)-1)*100,"")</f>
        <v>2.67571343151867</v>
      </c>
      <c r="K82" s="31" t="n">
        <f aca="false">IFERROR(((AVERAGE(H80:H82)/AVERAGE(H77:H79))^4-1)*100,"")</f>
        <v>11.1401341721883</v>
      </c>
      <c r="L82" s="31" t="n">
        <f aca="false">IFERROR(('SA Data'!W82/'SA Data'!W70-1)*100,"")</f>
        <v>11.0699908281912</v>
      </c>
      <c r="M82" s="31" t="n">
        <f aca="false">IFERROR((AVERAGE('SA Data'!W79:W82)/AVERAGE('SA Data'!W67:W70)-1)*100,"")</f>
        <v>9.04663785753612</v>
      </c>
      <c r="N82" s="30" t="n">
        <f aca="false">'SA Data'!T82</f>
        <v>141.420582417617</v>
      </c>
      <c r="O82" s="31" t="n">
        <f aca="false">IFERROR((N82/N81-1)*100,"")</f>
        <v>0.395736494433718</v>
      </c>
      <c r="P82" s="31" t="n">
        <f aca="false">IFERROR((AVERAGE(N80:N82)/AVERAGE(N77:N79)-1)*100,"")</f>
        <v>2.48753115886653</v>
      </c>
      <c r="Q82" s="31" t="n">
        <f aca="false">IFERROR(((AVERAGE(N80:N82)/AVERAGE(N77:N79))^4-1)*100,"")</f>
        <v>10.3275885497864</v>
      </c>
      <c r="R82" s="31" t="n">
        <f aca="false">IFERROR(('SA Data'!X82/'SA Data'!X70-1)*100,"")</f>
        <v>6.83039532155374</v>
      </c>
      <c r="S82" s="31" t="n">
        <f aca="false">IFERROR((AVERAGE('SA Data'!X79:X82)/AVERAGE('SA Data'!X67:X70)-1)*100,"")</f>
        <v>5.66939753313394</v>
      </c>
    </row>
    <row r="83" customFormat="false" ht="15" hidden="false" customHeight="false" outlineLevel="0" collapsed="false">
      <c r="A83" s="20" t="n">
        <v>40329</v>
      </c>
      <c r="B83" s="30" t="n">
        <f aca="false">'SA Data'!R83</f>
        <v>143.387315636581</v>
      </c>
      <c r="C83" s="31" t="n">
        <f aca="false">IFERROR((B83/B82-1)*100,"")</f>
        <v>2.85342045831105</v>
      </c>
      <c r="D83" s="31" t="n">
        <f aca="false">IFERROR((AVERAGE(B81:B83)/AVERAGE(B78:B80)-1)*100,"")</f>
        <v>30.8522703941421</v>
      </c>
      <c r="E83" s="31" t="n">
        <f aca="false">IFERROR(((AVERAGE(B81:B83)/AVERAGE(B78:B80))^4-1)*100,"")</f>
        <v>193.173728055357</v>
      </c>
      <c r="F83" s="31" t="n">
        <f aca="false">IFERROR(('SA Data'!V83/'SA Data'!V71-1)*100,"")</f>
        <v>86.5724285827194</v>
      </c>
      <c r="G83" s="31" t="n">
        <f aca="false">IFERROR((AVERAGE('SA Data'!V79:V83)/AVERAGE('SA Data'!V67:V71)-1)*100,"")</f>
        <v>52.2468885093585</v>
      </c>
      <c r="H83" s="30" t="n">
        <f aca="false">'SA Data'!S83</f>
        <v>130.497690958048</v>
      </c>
      <c r="I83" s="31" t="n">
        <f aca="false">IFERROR((H83/H82-1)*100,"")</f>
        <v>-0.442100859112482</v>
      </c>
      <c r="J83" s="31" t="n">
        <f aca="false">IFERROR((AVERAGE(H81:H83)/AVERAGE(H78:H80)-1)*100,"")</f>
        <v>3.31392102991281</v>
      </c>
      <c r="K83" s="31" t="n">
        <f aca="false">IFERROR(((AVERAGE(H81:H83)/AVERAGE(H78:H80))^4-1)*100,"")</f>
        <v>13.9292865696461</v>
      </c>
      <c r="L83" s="31" t="n">
        <f aca="false">IFERROR(('SA Data'!W83/'SA Data'!W71-1)*100,"")</f>
        <v>11.8045028567339</v>
      </c>
      <c r="M83" s="31" t="n">
        <f aca="false">IFERROR((AVERAGE('SA Data'!W79:W83)/AVERAGE('SA Data'!W67:W71)-1)*100,"")</f>
        <v>9.62017235172101</v>
      </c>
      <c r="N83" s="30" t="n">
        <f aca="false">'SA Data'!T83</f>
        <v>141.274930976545</v>
      </c>
      <c r="O83" s="31" t="n">
        <f aca="false">IFERROR((N83/N82-1)*100,"")</f>
        <v>-0.10299168521436</v>
      </c>
      <c r="P83" s="31" t="n">
        <f aca="false">IFERROR((AVERAGE(N81:N83)/AVERAGE(N78:N80)-1)*100,"")</f>
        <v>2.39443210660881</v>
      </c>
      <c r="Q83" s="31" t="n">
        <f aca="false">IFERROR(((AVERAGE(N81:N83)/AVERAGE(N78:N80))^4-1)*100,"")</f>
        <v>9.9272508079483</v>
      </c>
      <c r="R83" s="31" t="n">
        <f aca="false">IFERROR(('SA Data'!X83/'SA Data'!X71-1)*100,"")</f>
        <v>7.96327985883061</v>
      </c>
      <c r="S83" s="31" t="n">
        <f aca="false">IFERROR((AVERAGE('SA Data'!X79:X83)/AVERAGE('SA Data'!X67:X71)-1)*100,"")</f>
        <v>6.13779109301091</v>
      </c>
    </row>
    <row r="84" customFormat="false" ht="15" hidden="false" customHeight="false" outlineLevel="0" collapsed="false">
      <c r="A84" s="20" t="n">
        <v>40359</v>
      </c>
      <c r="B84" s="30" t="n">
        <f aca="false">'SA Data'!R84</f>
        <v>141.11506731792</v>
      </c>
      <c r="C84" s="31" t="n">
        <f aca="false">IFERROR((B84/B83-1)*100,"")</f>
        <v>-1.58469269654212</v>
      </c>
      <c r="D84" s="31" t="n">
        <f aca="false">IFERROR((AVERAGE(B82:B84)/AVERAGE(B79:B81)-1)*100,"")</f>
        <v>27.0190558546174</v>
      </c>
      <c r="E84" s="31" t="n">
        <f aca="false">IFERROR(((AVERAGE(B82:B84)/AVERAGE(B79:B81))^4-1)*100,"")</f>
        <v>160.300810899227</v>
      </c>
      <c r="F84" s="31" t="n">
        <f aca="false">IFERROR(('SA Data'!V84/'SA Data'!V72-1)*100,"")</f>
        <v>78.1556806687777</v>
      </c>
      <c r="G84" s="31" t="n">
        <f aca="false">IFERROR((AVERAGE('SA Data'!V79:V84)/AVERAGE('SA Data'!V67:V72)-1)*100,"")</f>
        <v>57.2065079526595</v>
      </c>
      <c r="H84" s="30" t="n">
        <f aca="false">'SA Data'!S84</f>
        <v>132.984900606792</v>
      </c>
      <c r="I84" s="31" t="n">
        <f aca="false">IFERROR((H84/H83-1)*100,"")</f>
        <v>1.90594150017833</v>
      </c>
      <c r="J84" s="31" t="n">
        <f aca="false">IFERROR((AVERAGE(H82:H84)/AVERAGE(H79:H81)-1)*100,"")</f>
        <v>3.39911876356214</v>
      </c>
      <c r="K84" s="31" t="n">
        <f aca="false">IFERROR(((AVERAGE(H82:H84)/AVERAGE(H79:H81))^4-1)*100,"")</f>
        <v>14.3055584301423</v>
      </c>
      <c r="L84" s="31" t="n">
        <f aca="false">IFERROR(('SA Data'!W84/'SA Data'!W72-1)*100,"")</f>
        <v>12.0660881419337</v>
      </c>
      <c r="M84" s="31" t="n">
        <f aca="false">IFERROR((AVERAGE('SA Data'!W79:W84)/AVERAGE('SA Data'!W67:W72)-1)*100,"")</f>
        <v>10.0386534301315</v>
      </c>
      <c r="N84" s="30" t="n">
        <f aca="false">'SA Data'!T84</f>
        <v>143.149299431204</v>
      </c>
      <c r="O84" s="31" t="n">
        <f aca="false">IFERROR((N84/N83-1)*100,"")</f>
        <v>1.32675234148236</v>
      </c>
      <c r="P84" s="31" t="n">
        <f aca="false">IFERROR((AVERAGE(N82:N84)/AVERAGE(N79:N81)-1)*100,"")</f>
        <v>2.04750279191124</v>
      </c>
      <c r="Q84" s="31" t="n">
        <f aca="false">IFERROR(((AVERAGE(N82:N84)/AVERAGE(N79:N81))^4-1)*100,"")</f>
        <v>8.4449982756404</v>
      </c>
      <c r="R84" s="31" t="n">
        <f aca="false">IFERROR(('SA Data'!X84/'SA Data'!X72-1)*100,"")</f>
        <v>7.52376592791837</v>
      </c>
      <c r="S84" s="31" t="n">
        <f aca="false">IFERROR((AVERAGE('SA Data'!X79:X84)/AVERAGE('SA Data'!X67:X72)-1)*100,"")</f>
        <v>6.37560048965302</v>
      </c>
    </row>
    <row r="85" customFormat="false" ht="15" hidden="false" customHeight="false" outlineLevel="0" collapsed="false">
      <c r="A85" s="20" t="n">
        <v>40390</v>
      </c>
      <c r="B85" s="30" t="n">
        <f aca="false">'SA Data'!R85</f>
        <v>122.702303213126</v>
      </c>
      <c r="C85" s="31" t="n">
        <f aca="false">IFERROR((B85/B84-1)*100,"")</f>
        <v>-13.0480496907617</v>
      </c>
      <c r="D85" s="31" t="n">
        <f aca="false">IFERROR((AVERAGE(B83:B85)/AVERAGE(B80:B82)-1)*100,"")</f>
        <v>9.34095635296412</v>
      </c>
      <c r="E85" s="31" t="n">
        <f aca="false">IFERROR(((AVERAGE(B83:B85)/AVERAGE(B80:B82))^4-1)*100,"")</f>
        <v>42.9326588398733</v>
      </c>
      <c r="F85" s="31" t="n">
        <f aca="false">IFERROR(('SA Data'!V85/'SA Data'!V73-1)*100,"")</f>
        <v>22.7535980968637</v>
      </c>
      <c r="G85" s="31" t="n">
        <f aca="false">IFERROR((AVERAGE('SA Data'!V79:V85)/AVERAGE('SA Data'!V67:V73)-1)*100,"")</f>
        <v>53.1831233930374</v>
      </c>
      <c r="H85" s="30" t="n">
        <f aca="false">'SA Data'!S85</f>
        <v>132.619970073466</v>
      </c>
      <c r="I85" s="31" t="n">
        <f aca="false">IFERROR((H85/H84-1)*100,"")</f>
        <v>-0.274415013780227</v>
      </c>
      <c r="J85" s="31" t="n">
        <f aca="false">IFERROR((AVERAGE(H83:H85)/AVERAGE(H80:H82)-1)*100,"")</f>
        <v>2.55330473037334</v>
      </c>
      <c r="K85" s="31" t="n">
        <f aca="false">IFERROR(((AVERAGE(H83:H85)/AVERAGE(H80:H82))^4-1)*100,"")</f>
        <v>10.6110816966273</v>
      </c>
      <c r="L85" s="31" t="n">
        <f aca="false">IFERROR(('SA Data'!W85/'SA Data'!W73-1)*100,"")</f>
        <v>9.00467931788007</v>
      </c>
      <c r="M85" s="31" t="n">
        <f aca="false">IFERROR((AVERAGE('SA Data'!W79:W85)/AVERAGE('SA Data'!W67:W73)-1)*100,"")</f>
        <v>9.88109147414511</v>
      </c>
      <c r="N85" s="30" t="n">
        <f aca="false">'SA Data'!T85</f>
        <v>142.63036424858</v>
      </c>
      <c r="O85" s="31" t="n">
        <f aca="false">IFERROR((N85/N84-1)*100,"")</f>
        <v>-0.362513253425456</v>
      </c>
      <c r="P85" s="31" t="n">
        <f aca="false">IFERROR((AVERAGE(N83:N85)/AVERAGE(N80:N82)-1)*100,"")</f>
        <v>1.41955215769849</v>
      </c>
      <c r="Q85" s="31" t="n">
        <f aca="false">IFERROR(((AVERAGE(N83:N85)/AVERAGE(N80:N82))^4-1)*100,"")</f>
        <v>5.80026462314838</v>
      </c>
      <c r="R85" s="31" t="n">
        <f aca="false">IFERROR(('SA Data'!X85/'SA Data'!X73-1)*100,"")</f>
        <v>7.25278588876477</v>
      </c>
      <c r="S85" s="31" t="n">
        <f aca="false">IFERROR((AVERAGE('SA Data'!X79:X85)/AVERAGE('SA Data'!X67:X73)-1)*100,"")</f>
        <v>6.50362599447212</v>
      </c>
    </row>
    <row r="86" customFormat="false" ht="15" hidden="false" customHeight="false" outlineLevel="0" collapsed="false">
      <c r="A86" s="20" t="n">
        <v>40421</v>
      </c>
      <c r="B86" s="30" t="n">
        <f aca="false">'SA Data'!R86</f>
        <v>112.192574385447</v>
      </c>
      <c r="C86" s="31" t="n">
        <f aca="false">IFERROR((B86/B85-1)*100,"")</f>
        <v>-8.56522538898399</v>
      </c>
      <c r="D86" s="31" t="n">
        <f aca="false">IFERROR((AVERAGE(B84:B86)/AVERAGE(B81:B83)-1)*100,"")</f>
        <v>-6.87394678237667</v>
      </c>
      <c r="E86" s="31" t="n">
        <f aca="false">IFERROR(((AVERAGE(B84:B86)/AVERAGE(B81:B83))^4-1)*100,"")</f>
        <v>-24.7884065375598</v>
      </c>
      <c r="F86" s="31" t="n">
        <f aca="false">IFERROR(('SA Data'!V86/'SA Data'!V74-1)*100,"")</f>
        <v>2.06054279063386</v>
      </c>
      <c r="G86" s="31" t="n">
        <f aca="false">IFERROR((AVERAGE('SA Data'!V79:V86)/AVERAGE('SA Data'!V67:V74)-1)*100,"")</f>
        <v>49.1389325888536</v>
      </c>
      <c r="H86" s="30" t="n">
        <f aca="false">'SA Data'!S86</f>
        <v>134.929011333757</v>
      </c>
      <c r="I86" s="31" t="n">
        <f aca="false">IFERROR((H86/H85-1)*100,"")</f>
        <v>1.74109620067884</v>
      </c>
      <c r="J86" s="31" t="n">
        <f aca="false">IFERROR((AVERAGE(H84:H86)/AVERAGE(H81:H83)-1)*100,"")</f>
        <v>2.55513235601859</v>
      </c>
      <c r="K86" s="31" t="n">
        <f aca="false">IFERROR(((AVERAGE(H84:H86)/AVERAGE(H81:H83))^4-1)*100,"")</f>
        <v>10.6189668078539</v>
      </c>
      <c r="L86" s="31" t="n">
        <f aca="false">IFERROR(('SA Data'!W86/'SA Data'!W74-1)*100,"")</f>
        <v>12.6047206403539</v>
      </c>
      <c r="M86" s="31" t="n">
        <f aca="false">IFERROR((AVERAGE('SA Data'!W79:W86)/AVERAGE('SA Data'!W67:W74)-1)*100,"")</f>
        <v>10.2391353979881</v>
      </c>
      <c r="N86" s="30" t="n">
        <f aca="false">'SA Data'!T86</f>
        <v>143.536870641985</v>
      </c>
      <c r="O86" s="31" t="n">
        <f aca="false">IFERROR((N86/N85-1)*100,"")</f>
        <v>0.635563400668526</v>
      </c>
      <c r="P86" s="31" t="n">
        <f aca="false">IFERROR((AVERAGE(N84:N86)/AVERAGE(N81:N83)-1)*100,"")</f>
        <v>1.35940686339435</v>
      </c>
      <c r="Q86" s="31" t="n">
        <f aca="false">IFERROR(((AVERAGE(N84:N86)/AVERAGE(N81:N83))^4-1)*100,"")</f>
        <v>5.54951495634357</v>
      </c>
      <c r="R86" s="31" t="n">
        <f aca="false">IFERROR(('SA Data'!X86/'SA Data'!X74-1)*100,"")</f>
        <v>7.99265250194077</v>
      </c>
      <c r="S86" s="31" t="n">
        <f aca="false">IFERROR((AVERAGE('SA Data'!X79:X86)/AVERAGE('SA Data'!X67:X74)-1)*100,"")</f>
        <v>6.69270605601577</v>
      </c>
    </row>
    <row r="87" customFormat="false" ht="15" hidden="false" customHeight="false" outlineLevel="0" collapsed="false">
      <c r="A87" s="20" t="n">
        <v>40451</v>
      </c>
      <c r="B87" s="30" t="n">
        <f aca="false">'SA Data'!R87</f>
        <v>111.595601399625</v>
      </c>
      <c r="C87" s="31" t="n">
        <f aca="false">IFERROR((B87/B86-1)*100,"")</f>
        <v>-0.532096699886375</v>
      </c>
      <c r="D87" s="31" t="n">
        <f aca="false">IFERROR((AVERAGE(B85:B87)/AVERAGE(B82:B84)-1)*100,"")</f>
        <v>-18.263537513302</v>
      </c>
      <c r="E87" s="31" t="n">
        <f aca="false">IFERROR(((AVERAGE(B85:B87)/AVERAGE(B82:B84))^4-1)*100,"")</f>
        <v>-55.3662526328355</v>
      </c>
      <c r="F87" s="31" t="n">
        <f aca="false">IFERROR(('SA Data'!V87/'SA Data'!V75-1)*100,"")</f>
        <v>-0.625205165114295</v>
      </c>
      <c r="G87" s="31" t="n">
        <f aca="false">IFERROR((AVERAGE('SA Data'!V79:V87)/AVERAGE('SA Data'!V67:V75)-1)*100,"")</f>
        <v>45.5749197984848</v>
      </c>
      <c r="H87" s="30" t="n">
        <f aca="false">'SA Data'!S87</f>
        <v>133.586497463679</v>
      </c>
      <c r="I87" s="31" t="n">
        <f aca="false">IFERROR((H87/H86-1)*100,"")</f>
        <v>-0.994977919727613</v>
      </c>
      <c r="J87" s="31" t="n">
        <f aca="false">IFERROR((AVERAGE(H85:H87)/AVERAGE(H82:H84)-1)*100,"")</f>
        <v>1.66659233708564</v>
      </c>
      <c r="K87" s="31" t="n">
        <f aca="false">IFERROR(((AVERAGE(H85:H87)/AVERAGE(H82:H84))^4-1)*100,"")</f>
        <v>6.83488046819514</v>
      </c>
      <c r="L87" s="31" t="n">
        <f aca="false">IFERROR(('SA Data'!W87/'SA Data'!W75-1)*100,"")</f>
        <v>10.9564389361172</v>
      </c>
      <c r="M87" s="31" t="n">
        <f aca="false">IFERROR((AVERAGE('SA Data'!W79:W87)/AVERAGE('SA Data'!W67:W75)-1)*100,"")</f>
        <v>10.3234610589739</v>
      </c>
      <c r="N87" s="30" t="n">
        <f aca="false">'SA Data'!T87</f>
        <v>144.201437104287</v>
      </c>
      <c r="O87" s="31" t="n">
        <f aca="false">IFERROR((N87/N86-1)*100,"")</f>
        <v>0.462993556519797</v>
      </c>
      <c r="P87" s="31" t="n">
        <f aca="false">IFERROR((AVERAGE(N85:N87)/AVERAGE(N82:N84)-1)*100,"")</f>
        <v>1.06232576592182</v>
      </c>
      <c r="Q87" s="31" t="n">
        <f aca="false">IFERROR(((AVERAGE(N85:N87)/AVERAGE(N82:N84))^4-1)*100,"")</f>
        <v>4.31749604841958</v>
      </c>
      <c r="R87" s="31" t="n">
        <f aca="false">IFERROR(('SA Data'!X87/'SA Data'!X75-1)*100,"")</f>
        <v>6.2425511129675</v>
      </c>
      <c r="S87" s="31" t="n">
        <f aca="false">IFERROR((AVERAGE('SA Data'!X79:X87)/AVERAGE('SA Data'!X67:X75)-1)*100,"")</f>
        <v>6.64135395463674</v>
      </c>
    </row>
    <row r="88" customFormat="false" ht="15" hidden="false" customHeight="false" outlineLevel="0" collapsed="false">
      <c r="A88" s="20" t="n">
        <v>40482</v>
      </c>
      <c r="B88" s="30" t="n">
        <f aca="false">'SA Data'!R88</f>
        <v>116.813641109362</v>
      </c>
      <c r="C88" s="31" t="n">
        <f aca="false">IFERROR((B88/B87-1)*100,"")</f>
        <v>4.67584711609836</v>
      </c>
      <c r="D88" s="31" t="n">
        <f aca="false">IFERROR((AVERAGE(B86:B88)/AVERAGE(B83:B85)-1)*100,"")</f>
        <v>-16.356115618418</v>
      </c>
      <c r="E88" s="31" t="n">
        <f aca="false">IFERROR(((AVERAGE(B86:B88)/AVERAGE(B83:B85))^4-1)*100,"")</f>
        <v>-51.0517947833661</v>
      </c>
      <c r="F88" s="31" t="n">
        <f aca="false">IFERROR(('SA Data'!V88/'SA Data'!V76-1)*100,"")</f>
        <v>5.77080273209947</v>
      </c>
      <c r="G88" s="31" t="n">
        <f aca="false">IFERROR((AVERAGE('SA Data'!V79:V88)/AVERAGE('SA Data'!V67:V76)-1)*100,"")</f>
        <v>42.9607513115364</v>
      </c>
      <c r="H88" s="30" t="n">
        <f aca="false">'SA Data'!S88</f>
        <v>132.421690846114</v>
      </c>
      <c r="I88" s="31" t="n">
        <f aca="false">IFERROR((H88/H87-1)*100,"")</f>
        <v>-0.871949365901503</v>
      </c>
      <c r="J88" s="31" t="n">
        <f aca="false">IFERROR((AVERAGE(H86:H88)/AVERAGE(H83:H85)-1)*100,"")</f>
        <v>1.22055206743621</v>
      </c>
      <c r="K88" s="31" t="n">
        <f aca="false">IFERROR(((AVERAGE(H86:H88)/AVERAGE(H83:H85))^4-1)*100,"")</f>
        <v>4.97232265573424</v>
      </c>
      <c r="L88" s="31" t="n">
        <f aca="false">IFERROR(('SA Data'!W88/'SA Data'!W76-1)*100,"")</f>
        <v>7.14119420925665</v>
      </c>
      <c r="M88" s="31" t="n">
        <f aca="false">IFERROR((AVERAGE('SA Data'!W79:W88)/AVERAGE('SA Data'!W67:W76)-1)*100,"")</f>
        <v>9.97682761212062</v>
      </c>
      <c r="N88" s="30" t="n">
        <f aca="false">'SA Data'!T88</f>
        <v>142.981087326406</v>
      </c>
      <c r="O88" s="31" t="n">
        <f aca="false">IFERROR((N88/N87-1)*100,"")</f>
        <v>-0.846281287056949</v>
      </c>
      <c r="P88" s="31" t="n">
        <f aca="false">IFERROR((AVERAGE(N86:N88)/AVERAGE(N83:N85)-1)*100,"")</f>
        <v>0.858157355571243</v>
      </c>
      <c r="Q88" s="31" t="n">
        <f aca="false">IFERROR(((AVERAGE(N86:N88)/AVERAGE(N83:N85))^4-1)*100,"")</f>
        <v>3.47706879795304</v>
      </c>
      <c r="R88" s="31" t="n">
        <f aca="false">IFERROR(('SA Data'!X88/'SA Data'!X76-1)*100,"")</f>
        <v>5.68206194586327</v>
      </c>
      <c r="S88" s="31" t="n">
        <f aca="false">IFERROR((AVERAGE('SA Data'!X79:X88)/AVERAGE('SA Data'!X67:X76)-1)*100,"")</f>
        <v>6.54312321222454</v>
      </c>
    </row>
    <row r="89" customFormat="false" ht="15" hidden="false" customHeight="false" outlineLevel="0" collapsed="false">
      <c r="A89" s="20" t="n">
        <v>40512</v>
      </c>
      <c r="B89" s="30" t="n">
        <f aca="false">'SA Data'!R89</f>
        <v>124.232304629304</v>
      </c>
      <c r="C89" s="31" t="n">
        <f aca="false">IFERROR((B89/B88-1)*100,"")</f>
        <v>6.35085376116011</v>
      </c>
      <c r="D89" s="31" t="n">
        <f aca="false">IFERROR((AVERAGE(B87:B89)/AVERAGE(B84:B86)-1)*100,"")</f>
        <v>-6.21483503139608</v>
      </c>
      <c r="E89" s="31" t="n">
        <f aca="false">IFERROR(((AVERAGE(B87:B89)/AVERAGE(B84:B86))^4-1)*100,"")</f>
        <v>-22.6364149796986</v>
      </c>
      <c r="F89" s="31" t="n">
        <f aca="false">IFERROR(('SA Data'!V89/'SA Data'!V77-1)*100,"")</f>
        <v>12.2103474231236</v>
      </c>
      <c r="G89" s="31" t="n">
        <f aca="false">IFERROR((AVERAGE('SA Data'!V79:V89)/AVERAGE('SA Data'!V67:V77)-1)*100,"")</f>
        <v>40.690741035032</v>
      </c>
      <c r="H89" s="30" t="n">
        <f aca="false">'SA Data'!S89</f>
        <v>136.12796880806</v>
      </c>
      <c r="I89" s="31" t="n">
        <f aca="false">IFERROR((H89/H88-1)*100,"")</f>
        <v>2.79884506704606</v>
      </c>
      <c r="J89" s="31" t="n">
        <f aca="false">IFERROR((AVERAGE(H87:H89)/AVERAGE(H84:H86)-1)*100,"")</f>
        <v>0.400034847434627</v>
      </c>
      <c r="K89" s="31" t="n">
        <f aca="false">IFERROR(((AVERAGE(H87:H89)/AVERAGE(H84:H86))^4-1)*100,"")</f>
        <v>1.60976669478845</v>
      </c>
      <c r="L89" s="31" t="n">
        <f aca="false">IFERROR(('SA Data'!W89/'SA Data'!W77-1)*100,"")</f>
        <v>9.63747876903811</v>
      </c>
      <c r="M89" s="31" t="n">
        <f aca="false">IFERROR((AVERAGE('SA Data'!W79:W89)/AVERAGE('SA Data'!W67:W77)-1)*100,"")</f>
        <v>9.94414625600766</v>
      </c>
      <c r="N89" s="30" t="n">
        <f aca="false">'SA Data'!T89</f>
        <v>147.029751580591</v>
      </c>
      <c r="O89" s="31" t="n">
        <f aca="false">IFERROR((N89/N88-1)*100,"")</f>
        <v>2.83160824266373</v>
      </c>
      <c r="P89" s="31" t="n">
        <f aca="false">IFERROR((AVERAGE(N87:N89)/AVERAGE(N84:N86)-1)*100,"")</f>
        <v>1.14035712536664</v>
      </c>
      <c r="Q89" s="31" t="n">
        <f aca="false">IFERROR(((AVERAGE(N87:N89)/AVERAGE(N84:N86))^4-1)*100,"")</f>
        <v>4.64004822966522</v>
      </c>
      <c r="R89" s="31" t="n">
        <f aca="false">IFERROR(('SA Data'!X89/'SA Data'!X77-1)*100,"")</f>
        <v>8.16082173962116</v>
      </c>
      <c r="S89" s="31" t="n">
        <f aca="false">IFERROR((AVERAGE('SA Data'!X79:X89)/AVERAGE('SA Data'!X67:X77)-1)*100,"")</f>
        <v>6.6934927128995</v>
      </c>
    </row>
    <row r="90" customFormat="false" ht="15" hidden="false" customHeight="false" outlineLevel="0" collapsed="false">
      <c r="A90" s="20" t="n">
        <v>40543</v>
      </c>
      <c r="B90" s="30" t="n">
        <f aca="false">'SA Data'!R90</f>
        <v>138.086731682048</v>
      </c>
      <c r="C90" s="31" t="n">
        <f aca="false">IFERROR((B90/B89-1)*100,"")</f>
        <v>11.1520325523098</v>
      </c>
      <c r="D90" s="31" t="n">
        <f aca="false">IFERROR((AVERAGE(B88:B90)/AVERAGE(B85:B87)-1)*100,"")</f>
        <v>9.42080674680974</v>
      </c>
      <c r="E90" s="31" t="n">
        <f aca="false">IFERROR(((AVERAGE(B88:B90)/AVERAGE(B85:B87))^4-1)*100,"")</f>
        <v>43.3506444872696</v>
      </c>
      <c r="F90" s="31" t="n">
        <f aca="false">IFERROR(('SA Data'!V90/'SA Data'!V78-1)*100,"")</f>
        <v>39.3494341439269</v>
      </c>
      <c r="G90" s="31" t="n">
        <f aca="false">IFERROR((AVERAGE('SA Data'!V79:V90)/AVERAGE('SA Data'!V67:V78)-1)*100,"")</f>
        <v>40.6028582844183</v>
      </c>
      <c r="H90" s="30" t="n">
        <f aca="false">'SA Data'!S90</f>
        <v>134.612151994352</v>
      </c>
      <c r="I90" s="31" t="n">
        <f aca="false">IFERROR((H90/H89-1)*100,"")</f>
        <v>-1.11352341989671</v>
      </c>
      <c r="J90" s="31" t="n">
        <f aca="false">IFERROR((AVERAGE(H88:H90)/AVERAGE(H85:H87)-1)*100,"")</f>
        <v>0.505149228716584</v>
      </c>
      <c r="K90" s="31" t="n">
        <f aca="false">IFERROR(((AVERAGE(H88:H90)/AVERAGE(H85:H87))^4-1)*100,"")</f>
        <v>2.03595908530934</v>
      </c>
      <c r="L90" s="31" t="n">
        <f aca="false">IFERROR(('SA Data'!W90/'SA Data'!W78-1)*100,"")</f>
        <v>7.27267812924084</v>
      </c>
      <c r="M90" s="31" t="n">
        <f aca="false">IFERROR((AVERAGE('SA Data'!W79:W90)/AVERAGE('SA Data'!W67:W78)-1)*100,"")</f>
        <v>9.71533876211255</v>
      </c>
      <c r="N90" s="30" t="n">
        <f aca="false">'SA Data'!T90</f>
        <v>147.001094752049</v>
      </c>
      <c r="O90" s="31" t="n">
        <f aca="false">IFERROR((N90/N89-1)*100,"")</f>
        <v>-0.0194904964705422</v>
      </c>
      <c r="P90" s="31" t="n">
        <f aca="false">IFERROR((AVERAGE(N88:N90)/AVERAGE(N85:N87)-1)*100,"")</f>
        <v>1.5436211082468</v>
      </c>
      <c r="Q90" s="31" t="n">
        <f aca="false">IFERROR(((AVERAGE(N88:N90)/AVERAGE(N85:N87))^4-1)*100,"")</f>
        <v>6.31892731334622</v>
      </c>
      <c r="R90" s="31" t="n">
        <f aca="false">IFERROR(('SA Data'!X90/'SA Data'!X78-1)*100,"")</f>
        <v>6.94860852222141</v>
      </c>
      <c r="S90" s="31" t="n">
        <f aca="false">IFERROR((AVERAGE('SA Data'!X79:X90)/AVERAGE('SA Data'!X67:X78)-1)*100,"")</f>
        <v>6.71516495858018</v>
      </c>
    </row>
    <row r="91" customFormat="false" ht="15" hidden="false" customHeight="false" outlineLevel="0" collapsed="false">
      <c r="A91" s="20" t="n">
        <v>40574</v>
      </c>
      <c r="B91" s="30" t="n">
        <f aca="false">'SA Data'!R91</f>
        <v>132.129839578409</v>
      </c>
      <c r="C91" s="31" t="n">
        <f aca="false">IFERROR((B91/B90-1)*100,"")</f>
        <v>-4.31387725024526</v>
      </c>
      <c r="D91" s="31" t="n">
        <f aca="false">IFERROR((AVERAGE(B89:B91)/AVERAGE(B86:B88)-1)*100,"")</f>
        <v>15.8093868923832</v>
      </c>
      <c r="E91" s="31" t="n">
        <f aca="false">IFERROR(((AVERAGE(B89:B91)/AVERAGE(B86:B88))^4-1)*100,"")</f>
        <v>79.8767572488229</v>
      </c>
      <c r="F91" s="31" t="n">
        <f aca="false">IFERROR(('SA Data'!V91/'SA Data'!V79-1)*100,"")</f>
        <v>26.8959055846386</v>
      </c>
      <c r="G91" s="31" t="n">
        <f aca="false">IFERROR((AVERAGE('SA Data'!V91:V91)/AVERAGE('SA Data'!V79:V79)-1)*100,"")</f>
        <v>26.8959055846386</v>
      </c>
      <c r="H91" s="30" t="n">
        <f aca="false">'SA Data'!S91</f>
        <v>139.090508433034</v>
      </c>
      <c r="I91" s="31" t="n">
        <f aca="false">IFERROR((H91/H90-1)*100,"")</f>
        <v>3.32685895911531</v>
      </c>
      <c r="J91" s="31" t="n">
        <f aca="false">IFERROR((AVERAGE(H89:H91)/AVERAGE(H86:H88)-1)*100,"")</f>
        <v>2.21816025048396</v>
      </c>
      <c r="K91" s="31" t="n">
        <f aca="false">IFERROR(((AVERAGE(H89:H91)/AVERAGE(H86:H88))^4-1)*100,"")</f>
        <v>9.17224485224537</v>
      </c>
      <c r="L91" s="31" t="n">
        <f aca="false">IFERROR(('SA Data'!W91/'SA Data'!W79-1)*100,"")</f>
        <v>9.26690271781721</v>
      </c>
      <c r="M91" s="31" t="n">
        <f aca="false">IFERROR((AVERAGE('SA Data'!W91:W91)/AVERAGE('SA Data'!W79:W79)-1)*100,"")</f>
        <v>9.26690271781721</v>
      </c>
      <c r="N91" s="30" t="n">
        <f aca="false">'SA Data'!T91</f>
        <v>147.975950764701</v>
      </c>
      <c r="O91" s="31" t="n">
        <f aca="false">IFERROR((N91/N90-1)*100,"")</f>
        <v>0.663162416780838</v>
      </c>
      <c r="P91" s="31" t="n">
        <f aca="false">IFERROR((AVERAGE(N89:N91)/AVERAGE(N86:N88)-1)*100,"")</f>
        <v>2.62059293214729</v>
      </c>
      <c r="Q91" s="31" t="n">
        <f aca="false">IFERROR(((AVERAGE(N89:N91)/AVERAGE(N86:N88))^4-1)*100,"")</f>
        <v>10.9016681066607</v>
      </c>
      <c r="R91" s="31" t="n">
        <f aca="false">IFERROR(('SA Data'!X91/'SA Data'!X79-1)*100,"")</f>
        <v>7.12919892996062</v>
      </c>
      <c r="S91" s="31" t="n">
        <f aca="false">IFERROR((AVERAGE('SA Data'!X91:X91)/AVERAGE('SA Data'!X79:X79)-1)*100,"")</f>
        <v>7.12919892996062</v>
      </c>
    </row>
    <row r="92" customFormat="false" ht="15" hidden="false" customHeight="false" outlineLevel="0" collapsed="false">
      <c r="A92" s="20" t="n">
        <v>40602</v>
      </c>
      <c r="B92" s="30" t="n">
        <f aca="false">'SA Data'!R92</f>
        <v>125.462904254263</v>
      </c>
      <c r="C92" s="31" t="n">
        <f aca="false">IFERROR((B92/B91-1)*100,"")</f>
        <v>-5.04574541634112</v>
      </c>
      <c r="D92" s="31" t="n">
        <f aca="false">IFERROR((AVERAGE(B90:B92)/AVERAGE(B87:B89)-1)*100,"")</f>
        <v>12.2044406638089</v>
      </c>
      <c r="E92" s="31" t="n">
        <f aca="false">IFERROR(((AVERAGE(B90:B92)/AVERAGE(B87:B89))^4-1)*100,"")</f>
        <v>58.503983214528</v>
      </c>
      <c r="F92" s="31" t="n">
        <f aca="false">IFERROR(('SA Data'!V92/'SA Data'!V80-1)*100,"")</f>
        <v>10.5493331677943</v>
      </c>
      <c r="G92" s="31" t="n">
        <f aca="false">IFERROR((AVERAGE('SA Data'!V91:V92)/AVERAGE('SA Data'!V79:V80)-1)*100,"")</f>
        <v>18.1117899167853</v>
      </c>
      <c r="H92" s="30" t="n">
        <f aca="false">'SA Data'!S92</f>
        <v>139.484935323508</v>
      </c>
      <c r="I92" s="31" t="n">
        <f aca="false">IFERROR((H92/H91-1)*100,"")</f>
        <v>0.283575705428807</v>
      </c>
      <c r="J92" s="31" t="n">
        <f aca="false">IFERROR((AVERAGE(H90:H92)/AVERAGE(H87:H89)-1)*100,"")</f>
        <v>2.74818328007316</v>
      </c>
      <c r="K92" s="31" t="n">
        <f aca="false">IFERROR(((AVERAGE(H90:H92)/AVERAGE(H87:H89))^4-1)*100,"")</f>
        <v>11.4542431153284</v>
      </c>
      <c r="L92" s="31" t="n">
        <f aca="false">IFERROR(('SA Data'!W92/'SA Data'!W80-1)*100,"")</f>
        <v>9.92511192753678</v>
      </c>
      <c r="M92" s="31" t="n">
        <f aca="false">IFERROR((AVERAGE('SA Data'!W91:W92)/AVERAGE('SA Data'!W79:W80)-1)*100,"")</f>
        <v>9.59228663065408</v>
      </c>
      <c r="N92" s="30" t="n">
        <f aca="false">'SA Data'!T92</f>
        <v>147.654484108579</v>
      </c>
      <c r="O92" s="31" t="n">
        <f aca="false">IFERROR((N92/N91-1)*100,"")</f>
        <v>-0.217242500865888</v>
      </c>
      <c r="P92" s="31" t="n">
        <f aca="false">IFERROR((AVERAGE(N90:N92)/AVERAGE(N87:N89)-1)*100,"")</f>
        <v>1.93897180691986</v>
      </c>
      <c r="Q92" s="31" t="n">
        <f aca="false">IFERROR(((AVERAGE(N90:N92)/AVERAGE(N87:N89))^4-1)*100,"")</f>
        <v>7.98439397485287</v>
      </c>
      <c r="R92" s="31" t="n">
        <f aca="false">IFERROR(('SA Data'!X92/'SA Data'!X80-1)*100,"")</f>
        <v>6.16437329131885</v>
      </c>
      <c r="S92" s="31" t="n">
        <f aca="false">IFERROR((AVERAGE('SA Data'!X91:X92)/AVERAGE('SA Data'!X79:X80)-1)*100,"")</f>
        <v>6.65043303548092</v>
      </c>
    </row>
    <row r="93" customFormat="false" ht="15" hidden="false" customHeight="false" outlineLevel="0" collapsed="false">
      <c r="A93" s="20" t="n">
        <v>40633</v>
      </c>
      <c r="B93" s="30" t="n">
        <f aca="false">'SA Data'!R93</f>
        <v>127.88106766193</v>
      </c>
      <c r="C93" s="31" t="n">
        <f aca="false">IFERROR((B93/B92-1)*100,"")</f>
        <v>1.92739313826691</v>
      </c>
      <c r="D93" s="31" t="n">
        <f aca="false">IFERROR((AVERAGE(B91:B93)/AVERAGE(B88:B90)-1)*100,"")</f>
        <v>1.67253693799958</v>
      </c>
      <c r="E93" s="31" t="n">
        <f aca="false">IFERROR(((AVERAGE(B91:B93)/AVERAGE(B88:B90))^4-1)*100,"")</f>
        <v>6.85986985429454</v>
      </c>
      <c r="F93" s="31" t="n">
        <f aca="false">IFERROR(('SA Data'!V93/'SA Data'!V81-1)*100,"")</f>
        <v>5.45490083448705</v>
      </c>
      <c r="G93" s="31" t="n">
        <f aca="false">IFERROR((AVERAGE('SA Data'!V91:V93)/AVERAGE('SA Data'!V79:V81)-1)*100,"")</f>
        <v>11.4778124354576</v>
      </c>
      <c r="H93" s="30" t="n">
        <f aca="false">'SA Data'!S93</f>
        <v>140.954322515253</v>
      </c>
      <c r="I93" s="31" t="n">
        <f aca="false">IFERROR((H93/H92-1)*100,"")</f>
        <v>1.05343791308865</v>
      </c>
      <c r="J93" s="31" t="n">
        <f aca="false">IFERROR((AVERAGE(H91:H93)/AVERAGE(H88:H90)-1)*100,"")</f>
        <v>4.05989708110999</v>
      </c>
      <c r="K93" s="31" t="n">
        <f aca="false">IFERROR(((AVERAGE(H91:H93)/AVERAGE(H88:H90))^4-1)*100,"")</f>
        <v>17.2555931951946</v>
      </c>
      <c r="L93" s="31" t="n">
        <f aca="false">IFERROR(('SA Data'!W93/'SA Data'!W81-1)*100,"")</f>
        <v>8.74741336419191</v>
      </c>
      <c r="M93" s="31" t="n">
        <f aca="false">IFERROR((AVERAGE('SA Data'!W91:W93)/AVERAGE('SA Data'!W79:W81)-1)*100,"")</f>
        <v>9.28841544537924</v>
      </c>
      <c r="N93" s="30" t="n">
        <f aca="false">'SA Data'!T93</f>
        <v>149.666901551105</v>
      </c>
      <c r="O93" s="31" t="n">
        <f aca="false">IFERROR((N93/N92-1)*100,"")</f>
        <v>1.36292335087189</v>
      </c>
      <c r="P93" s="31" t="n">
        <f aca="false">IFERROR((AVERAGE(N91:N93)/AVERAGE(N88:N90)-1)*100,"")</f>
        <v>1.89592139875123</v>
      </c>
      <c r="Q93" s="31" t="n">
        <f aca="false">IFERROR(((AVERAGE(N91:N93)/AVERAGE(N88:N90))^4-1)*100,"")</f>
        <v>7.80209556197882</v>
      </c>
      <c r="R93" s="31" t="n">
        <f aca="false">IFERROR(('SA Data'!X93/'SA Data'!X81-1)*100,"")</f>
        <v>6.17461484905244</v>
      </c>
      <c r="S93" s="31" t="n">
        <f aca="false">IFERROR((AVERAGE('SA Data'!X91:X93)/AVERAGE('SA Data'!X79:X81)-1)*100,"")</f>
        <v>6.4852979845083</v>
      </c>
    </row>
    <row r="94" customFormat="false" ht="15" hidden="false" customHeight="false" outlineLevel="0" collapsed="false">
      <c r="A94" s="20" t="n">
        <v>40663</v>
      </c>
      <c r="B94" s="30" t="n">
        <f aca="false">'SA Data'!R94</f>
        <v>128.146254506252</v>
      </c>
      <c r="C94" s="31" t="n">
        <f aca="false">IFERROR((B94/B93-1)*100,"")</f>
        <v>0.207369901714149</v>
      </c>
      <c r="D94" s="31" t="n">
        <f aca="false">IFERROR((AVERAGE(B92:B94)/AVERAGE(B89:B91)-1)*100,"")</f>
        <v>-3.28525450556459</v>
      </c>
      <c r="E94" s="31" t="n">
        <f aca="false">IFERROR(((AVERAGE(B92:B94)/AVERAGE(B89:B91))^4-1)*100,"")</f>
        <v>-12.5075106712667</v>
      </c>
      <c r="F94" s="31" t="n">
        <f aca="false">IFERROR(('SA Data'!V94/'SA Data'!V82-1)*100,"")</f>
        <v>-7.20764749619706</v>
      </c>
      <c r="G94" s="31" t="n">
        <f aca="false">IFERROR((AVERAGE('SA Data'!V91:V94)/AVERAGE('SA Data'!V79:V82)-1)*100,"")</f>
        <v>2.55710269131018</v>
      </c>
      <c r="H94" s="30" t="n">
        <f aca="false">'SA Data'!S94</f>
        <v>138.203002688308</v>
      </c>
      <c r="I94" s="31" t="n">
        <f aca="false">IFERROR((H94/H93-1)*100,"")</f>
        <v>-1.95192299026316</v>
      </c>
      <c r="J94" s="31" t="n">
        <f aca="false">IFERROR((AVERAGE(H92:H94)/AVERAGE(H89:H91)-1)*100,"")</f>
        <v>2.15006655506946</v>
      </c>
      <c r="K94" s="31" t="n">
        <f aca="false">IFERROR(((AVERAGE(H92:H94)/AVERAGE(H89:H91))^4-1)*100,"")</f>
        <v>8.88163048109611</v>
      </c>
      <c r="L94" s="31" t="n">
        <f aca="false">IFERROR(('SA Data'!W94/'SA Data'!W82-1)*100,"")</f>
        <v>5.48944836719734</v>
      </c>
      <c r="M94" s="31" t="n">
        <f aca="false">IFERROR((AVERAGE('SA Data'!W91:W94)/AVERAGE('SA Data'!W79:W82)-1)*100,"")</f>
        <v>8.28158184236967</v>
      </c>
      <c r="N94" s="30" t="n">
        <f aca="false">'SA Data'!T94</f>
        <v>149.919933115888</v>
      </c>
      <c r="O94" s="31" t="n">
        <f aca="false">IFERROR((N94/N93-1)*100,"")</f>
        <v>0.169063140989301</v>
      </c>
      <c r="P94" s="31" t="n">
        <f aca="false">IFERROR((AVERAGE(N92:N94)/AVERAGE(N89:N91)-1)*100,"")</f>
        <v>1.18426271102769</v>
      </c>
      <c r="Q94" s="31" t="n">
        <f aca="false">IFERROR(((AVERAGE(N92:N94)/AVERAGE(N89:N91))^4-1)*100,"")</f>
        <v>4.82186586221893</v>
      </c>
      <c r="R94" s="31" t="n">
        <f aca="false">IFERROR(('SA Data'!X94/'SA Data'!X82-1)*100,"")</f>
        <v>6.02359442130254</v>
      </c>
      <c r="S94" s="31" t="n">
        <f aca="false">IFERROR((AVERAGE('SA Data'!X91:X94)/AVERAGE('SA Data'!X79:X82)-1)*100,"")</f>
        <v>6.36668252480241</v>
      </c>
    </row>
    <row r="95" customFormat="false" ht="15" hidden="false" customHeight="false" outlineLevel="0" collapsed="false">
      <c r="A95" s="20" t="n">
        <v>40694</v>
      </c>
      <c r="B95" s="30" t="n">
        <f aca="false">'SA Data'!R95</f>
        <v>126.91553707771</v>
      </c>
      <c r="C95" s="31" t="n">
        <f aca="false">IFERROR((B95/B94-1)*100,"")</f>
        <v>-0.960400624492486</v>
      </c>
      <c r="D95" s="31" t="n">
        <f aca="false">IFERROR((AVERAGE(B93:B95)/AVERAGE(B90:B92)-1)*100,"")</f>
        <v>-3.21892265254877</v>
      </c>
      <c r="E95" s="31" t="n">
        <f aca="false">IFERROR(((AVERAGE(B93:B95)/AVERAGE(B90:B92))^4-1)*100,"")</f>
        <v>-12.2672365669344</v>
      </c>
      <c r="F95" s="31" t="n">
        <f aca="false">IFERROR(('SA Data'!V95/'SA Data'!V83-1)*100,"")</f>
        <v>-10.1650241794658</v>
      </c>
      <c r="G95" s="31" t="n">
        <f aca="false">IFERROR((AVERAGE('SA Data'!V91:V95)/AVERAGE('SA Data'!V79:V83)-1)*100,"")</f>
        <v>-2.7753292550992</v>
      </c>
      <c r="H95" s="30" t="n">
        <f aca="false">'SA Data'!S95</f>
        <v>142.14721125854</v>
      </c>
      <c r="I95" s="31" t="n">
        <f aca="false">IFERROR((H95/H94-1)*100,"")</f>
        <v>2.85392393327917</v>
      </c>
      <c r="J95" s="31" t="n">
        <f aca="false">IFERROR((AVERAGE(H93:H95)/AVERAGE(H90:H92)-1)*100,"")</f>
        <v>1.96446863233037</v>
      </c>
      <c r="K95" s="31" t="n">
        <f aca="false">IFERROR(((AVERAGE(H93:H95)/AVERAGE(H90:H92))^4-1)*100,"")</f>
        <v>8.09247010414411</v>
      </c>
      <c r="L95" s="31" t="n">
        <f aca="false">IFERROR(('SA Data'!W95/'SA Data'!W83-1)*100,"")</f>
        <v>8.95375269067755</v>
      </c>
      <c r="M95" s="31" t="n">
        <f aca="false">IFERROR((AVERAGE('SA Data'!W91:W95)/AVERAGE('SA Data'!W79:W83)-1)*100,"")</f>
        <v>8.42415410024386</v>
      </c>
      <c r="N95" s="30" t="n">
        <f aca="false">'SA Data'!T95</f>
        <v>152.068287856914</v>
      </c>
      <c r="O95" s="31" t="n">
        <f aca="false">IFERROR((N95/N94-1)*100,"")</f>
        <v>1.4330014003977</v>
      </c>
      <c r="P95" s="31" t="n">
        <f aca="false">IFERROR((AVERAGE(N93:N95)/AVERAGE(N90:N92)-1)*100,"")</f>
        <v>2.03862406869582</v>
      </c>
      <c r="Q95" s="31" t="n">
        <f aca="false">IFERROR(((AVERAGE(N93:N95)/AVERAGE(N90:N92))^4-1)*100,"")</f>
        <v>8.40726183157088</v>
      </c>
      <c r="R95" s="31" t="n">
        <f aca="false">IFERROR(('SA Data'!X95/'SA Data'!X83-1)*100,"")</f>
        <v>7.41206683110343</v>
      </c>
      <c r="S95" s="31" t="n">
        <f aca="false">IFERROR((AVERAGE('SA Data'!X91:X95)/AVERAGE('SA Data'!X79:X83)-1)*100,"")</f>
        <v>6.58381349889536</v>
      </c>
    </row>
    <row r="96" customFormat="false" ht="15" hidden="false" customHeight="false" outlineLevel="0" collapsed="false">
      <c r="A96" s="20" t="n">
        <v>40724</v>
      </c>
      <c r="B96" s="30" t="n">
        <f aca="false">'SA Data'!R96</f>
        <v>127.752735125047</v>
      </c>
      <c r="C96" s="31" t="n">
        <f aca="false">IFERROR((B96/B95-1)*100,"")</f>
        <v>0.659649769140702</v>
      </c>
      <c r="D96" s="31" t="n">
        <f aca="false">IFERROR((AVERAGE(B94:B96)/AVERAGE(B91:B93)-1)*100,"")</f>
        <v>-0.689874306968774</v>
      </c>
      <c r="E96" s="31" t="n">
        <f aca="false">IFERROR(((AVERAGE(B94:B96)/AVERAGE(B91:B93))^4-1)*100,"")</f>
        <v>-2.73107273960621</v>
      </c>
      <c r="F96" s="31" t="n">
        <f aca="false">IFERROR(('SA Data'!V96/'SA Data'!V84-1)*100,"")</f>
        <v>-8.462211348397</v>
      </c>
      <c r="G96" s="31" t="n">
        <f aca="false">IFERROR((AVERAGE('SA Data'!V91:V96)/AVERAGE('SA Data'!V79:V84)-1)*100,"")</f>
        <v>-4.00901505220298</v>
      </c>
      <c r="H96" s="30" t="n">
        <f aca="false">'SA Data'!S96</f>
        <v>143.295171636148</v>
      </c>
      <c r="I96" s="31" t="n">
        <f aca="false">IFERROR((H96/H95-1)*100,"")</f>
        <v>0.807585577968117</v>
      </c>
      <c r="J96" s="31" t="n">
        <f aca="false">IFERROR((AVERAGE(H94:H96)/AVERAGE(H91:H93)-1)*100,"")</f>
        <v>0.981007700067327</v>
      </c>
      <c r="K96" s="31" t="n">
        <f aca="false">IFERROR(((AVERAGE(H94:H96)/AVERAGE(H91:H93))^4-1)*100,"")</f>
        <v>3.98215193224132</v>
      </c>
      <c r="L96" s="31" t="n">
        <f aca="false">IFERROR(('SA Data'!W96/'SA Data'!W84-1)*100,"")</f>
        <v>8.23000683742306</v>
      </c>
      <c r="M96" s="31" t="n">
        <f aca="false">IFERROR((AVERAGE('SA Data'!W91:W96)/AVERAGE('SA Data'!W79:W84)-1)*100,"")</f>
        <v>8.39032468096399</v>
      </c>
      <c r="N96" s="30" t="n">
        <f aca="false">'SA Data'!T96</f>
        <v>152.635256087455</v>
      </c>
      <c r="O96" s="31" t="n">
        <f aca="false">IFERROR((N96/N95-1)*100,"")</f>
        <v>0.372837912842328</v>
      </c>
      <c r="P96" s="31" t="n">
        <f aca="false">IFERROR((AVERAGE(N94:N96)/AVERAGE(N91:N93)-1)*100,"")</f>
        <v>2.09436254677813</v>
      </c>
      <c r="Q96" s="31" t="n">
        <f aca="false">IFERROR(((AVERAGE(N94:N96)/AVERAGE(N91:N93))^4-1)*100,"")</f>
        <v>8.64432534247264</v>
      </c>
      <c r="R96" s="31" t="n">
        <f aca="false">IFERROR(('SA Data'!X96/'SA Data'!X84-1)*100,"")</f>
        <v>6.84505507066375</v>
      </c>
      <c r="S96" s="31" t="n">
        <f aca="false">IFERROR((AVERAGE('SA Data'!X91:X96)/AVERAGE('SA Data'!X79:X84)-1)*100,"")</f>
        <v>6.62912186450042</v>
      </c>
    </row>
    <row r="97" customFormat="false" ht="15" hidden="false" customHeight="false" outlineLevel="0" collapsed="false">
      <c r="A97" s="20" t="n">
        <v>40755</v>
      </c>
      <c r="B97" s="30" t="n">
        <f aca="false">'SA Data'!R97</f>
        <v>120.478411392842</v>
      </c>
      <c r="C97" s="31" t="n">
        <f aca="false">IFERROR((B97/B96-1)*100,"")</f>
        <v>-5.69406496470245</v>
      </c>
      <c r="D97" s="31" t="n">
        <f aca="false">IFERROR((AVERAGE(B95:B97)/AVERAGE(B92:B94)-1)*100,"")</f>
        <v>-1.66283233159988</v>
      </c>
      <c r="E97" s="31" t="n">
        <f aca="false">IFERROR(((AVERAGE(B95:B97)/AVERAGE(B92:B94))^4-1)*100,"")</f>
        <v>-6.48726009944752</v>
      </c>
      <c r="F97" s="31" t="n">
        <f aca="false">IFERROR(('SA Data'!V97/'SA Data'!V85-1)*100,"")</f>
        <v>-2.48843913917661</v>
      </c>
      <c r="G97" s="31" t="n">
        <f aca="false">IFERROR((AVERAGE('SA Data'!V91:V97)/AVERAGE('SA Data'!V79:V85)-1)*100,"")</f>
        <v>-3.86671762299085</v>
      </c>
      <c r="H97" s="30" t="n">
        <f aca="false">'SA Data'!S97</f>
        <v>141.000456611171</v>
      </c>
      <c r="I97" s="31" t="n">
        <f aca="false">IFERROR((H97/H96-1)*100,"")</f>
        <v>-1.60139033212043</v>
      </c>
      <c r="J97" s="31" t="n">
        <f aca="false">IFERROR((AVERAGE(H95:H97)/AVERAGE(H92:H94)-1)*100,"")</f>
        <v>1.86330423712349</v>
      </c>
      <c r="K97" s="31" t="n">
        <f aca="false">IFERROR(((AVERAGE(H95:H97)/AVERAGE(H92:H94))^4-1)*100,"")</f>
        <v>7.66413084779698</v>
      </c>
      <c r="L97" s="31" t="n">
        <f aca="false">IFERROR(('SA Data'!W97/'SA Data'!W85-1)*100,"")</f>
        <v>6.55038748533621</v>
      </c>
      <c r="M97" s="31" t="n">
        <f aca="false">IFERROR((AVERAGE('SA Data'!W91:W97)/AVERAGE('SA Data'!W79:W85)-1)*100,"")</f>
        <v>8.11218248824079</v>
      </c>
      <c r="N97" s="30" t="n">
        <f aca="false">'SA Data'!T97</f>
        <v>150.327421461679</v>
      </c>
      <c r="O97" s="31" t="n">
        <f aca="false">IFERROR((N97/N96-1)*100,"")</f>
        <v>-1.51199315605965</v>
      </c>
      <c r="P97" s="31" t="n">
        <f aca="false">IFERROR((AVERAGE(N95:N97)/AVERAGE(N92:N94)-1)*100,"")</f>
        <v>1.74170996807754</v>
      </c>
      <c r="Q97" s="31" t="n">
        <f aca="false">IFERROR(((AVERAGE(N95:N97)/AVERAGE(N92:N94))^4-1)*100,"")</f>
        <v>7.15097571975825</v>
      </c>
      <c r="R97" s="31" t="n">
        <f aca="false">IFERROR(('SA Data'!X97/'SA Data'!X85-1)*100,"")</f>
        <v>5.6261107141395</v>
      </c>
      <c r="S97" s="31" t="n">
        <f aca="false">IFERROR((AVERAGE('SA Data'!X91:X97)/AVERAGE('SA Data'!X79:X85)-1)*100,"")</f>
        <v>6.4817023244869</v>
      </c>
    </row>
    <row r="98" customFormat="false" ht="15" hidden="false" customHeight="false" outlineLevel="0" collapsed="false">
      <c r="A98" s="20" t="n">
        <v>40786</v>
      </c>
      <c r="B98" s="30" t="n">
        <f aca="false">'SA Data'!R98</f>
        <v>120.483169104367</v>
      </c>
      <c r="C98" s="31" t="n">
        <f aca="false">IFERROR((B98/B97-1)*100,"")</f>
        <v>0.00394901581906026</v>
      </c>
      <c r="D98" s="31" t="n">
        <f aca="false">IFERROR((AVERAGE(B96:B98)/AVERAGE(B93:B95)-1)*100,"")</f>
        <v>-3.71557878155908</v>
      </c>
      <c r="E98" s="31" t="n">
        <f aca="false">IFERROR(((AVERAGE(B96:B98)/AVERAGE(B93:B95))^4-1)*100,"")</f>
        <v>-14.0543112000955</v>
      </c>
      <c r="F98" s="31" t="n">
        <f aca="false">IFERROR(('SA Data'!V98/'SA Data'!V86-1)*100,"")</f>
        <v>5.15237443145769</v>
      </c>
      <c r="G98" s="31" t="n">
        <f aca="false">IFERROR((AVERAGE('SA Data'!V91:V98)/AVERAGE('SA Data'!V79:V86)-1)*100,"")</f>
        <v>-3.3784605627981</v>
      </c>
      <c r="H98" s="30" t="n">
        <f aca="false">'SA Data'!S98</f>
        <v>142.319583422555</v>
      </c>
      <c r="I98" s="31" t="n">
        <f aca="false">IFERROR((H98/H97-1)*100,"")</f>
        <v>0.935547900402267</v>
      </c>
      <c r="J98" s="31" t="n">
        <f aca="false">IFERROR((AVERAGE(H96:H98)/AVERAGE(H93:H95)-1)*100,"")</f>
        <v>1.26053121866885</v>
      </c>
      <c r="K98" s="31" t="n">
        <f aca="false">IFERROR(((AVERAGE(H96:H98)/AVERAGE(H93:H95))^4-1)*100,"")</f>
        <v>5.13826489945877</v>
      </c>
      <c r="L98" s="31" t="n">
        <f aca="false">IFERROR(('SA Data'!W98/'SA Data'!W86-1)*100,"")</f>
        <v>5.76202615804986</v>
      </c>
      <c r="M98" s="31" t="n">
        <f aca="false">IFERROR((AVERAGE('SA Data'!W91:W98)/AVERAGE('SA Data'!W79:W86)-1)*100,"")</f>
        <v>7.79660509611735</v>
      </c>
      <c r="N98" s="30" t="n">
        <f aca="false">'SA Data'!T98</f>
        <v>153.29017808241</v>
      </c>
      <c r="O98" s="31" t="n">
        <f aca="false">IFERROR((N98/N97-1)*100,"")</f>
        <v>1.97086904832391</v>
      </c>
      <c r="P98" s="31" t="n">
        <f aca="false">IFERROR((AVERAGE(N96:N98)/AVERAGE(N93:N95)-1)*100,"")</f>
        <v>1.01797430790647</v>
      </c>
      <c r="Q98" s="31" t="n">
        <f aca="false">IFERROR(((AVERAGE(N96:N98)/AVERAGE(N93:N95))^4-1)*100,"")</f>
        <v>4.13449656616154</v>
      </c>
      <c r="R98" s="31" t="n">
        <f aca="false">IFERROR(('SA Data'!X98/'SA Data'!X86-1)*100,"")</f>
        <v>6.83452910307083</v>
      </c>
      <c r="S98" s="31" t="n">
        <f aca="false">IFERROR((AVERAGE('SA Data'!X91:X98)/AVERAGE('SA Data'!X79:X86)-1)*100,"")</f>
        <v>6.52705097036579</v>
      </c>
    </row>
    <row r="99" customFormat="false" ht="15" hidden="false" customHeight="false" outlineLevel="0" collapsed="false">
      <c r="A99" s="20" t="n">
        <v>40816</v>
      </c>
      <c r="B99" s="30" t="n">
        <f aca="false">'SA Data'!R99</f>
        <v>120.330834549087</v>
      </c>
      <c r="C99" s="31" t="n">
        <f aca="false">IFERROR((B99/B98-1)*100,"")</f>
        <v>-0.126436378136519</v>
      </c>
      <c r="D99" s="31" t="n">
        <f aca="false">IFERROR((AVERAGE(B97:B99)/AVERAGE(B94:B96)-1)*100,"")</f>
        <v>-5.62207287370573</v>
      </c>
      <c r="E99" s="31" t="n">
        <f aca="false">IFERROR(((AVERAGE(B97:B99)/AVERAGE(B94:B96))^4-1)*100,"")</f>
        <v>-20.6619105688214</v>
      </c>
      <c r="F99" s="31" t="n">
        <f aca="false">IFERROR(('SA Data'!V99/'SA Data'!V87-1)*100,"")</f>
        <v>5.26071631610523</v>
      </c>
      <c r="G99" s="31" t="n">
        <f aca="false">IFERROR((AVERAGE('SA Data'!V91:V99)/AVERAGE('SA Data'!V79:V87)-1)*100,"")</f>
        <v>-2.9560985783449</v>
      </c>
      <c r="H99" s="30" t="n">
        <f aca="false">'SA Data'!S99</f>
        <v>142.976507759983</v>
      </c>
      <c r="I99" s="31" t="n">
        <f aca="false">IFERROR((H99/H98-1)*100,"")</f>
        <v>0.4615839378044</v>
      </c>
      <c r="J99" s="31" t="n">
        <f aca="false">IFERROR((AVERAGE(H97:H99)/AVERAGE(H94:H96)-1)*100,"")</f>
        <v>0.625797495012237</v>
      </c>
      <c r="K99" s="31" t="n">
        <f aca="false">IFERROR(((AVERAGE(H97:H99)/AVERAGE(H94:H96))^4-1)*100,"")</f>
        <v>2.52678551425594</v>
      </c>
      <c r="L99" s="31" t="n">
        <f aca="false">IFERROR(('SA Data'!W99/'SA Data'!W87-1)*100,"")</f>
        <v>7.23724612964396</v>
      </c>
      <c r="M99" s="31" t="n">
        <f aca="false">IFERROR((AVERAGE('SA Data'!W91:W99)/AVERAGE('SA Data'!W79:W87)-1)*100,"")</f>
        <v>7.73046999572393</v>
      </c>
      <c r="N99" s="30" t="n">
        <f aca="false">'SA Data'!T99</f>
        <v>154.143980546219</v>
      </c>
      <c r="O99" s="31" t="n">
        <f aca="false">IFERROR((N99/N98-1)*100,"")</f>
        <v>0.556984455553455</v>
      </c>
      <c r="P99" s="31" t="n">
        <f aca="false">IFERROR((AVERAGE(N97:N99)/AVERAGE(N94:N96)-1)*100,"")</f>
        <v>0.690264183086797</v>
      </c>
      <c r="Q99" s="31" t="n">
        <f aca="false">IFERROR(((AVERAGE(N97:N99)/AVERAGE(N94:N96))^4-1)*100,"")</f>
        <v>2.78977639250377</v>
      </c>
      <c r="R99" s="31" t="n">
        <f aca="false">IFERROR(('SA Data'!X99/'SA Data'!X87-1)*100,"")</f>
        <v>7.06645507217494</v>
      </c>
      <c r="S99" s="31" t="n">
        <f aca="false">IFERROR((AVERAGE('SA Data'!X91:X99)/AVERAGE('SA Data'!X79:X87)-1)*100,"")</f>
        <v>6.58835418960959</v>
      </c>
    </row>
    <row r="100" customFormat="false" ht="15" hidden="false" customHeight="false" outlineLevel="0" collapsed="false">
      <c r="A100" s="20" t="n">
        <v>40847</v>
      </c>
      <c r="B100" s="30" t="n">
        <f aca="false">'SA Data'!R100</f>
        <v>121.314426471147</v>
      </c>
      <c r="C100" s="31" t="n">
        <f aca="false">IFERROR((B100/B99-1)*100,"")</f>
        <v>0.817406382782449</v>
      </c>
      <c r="D100" s="31" t="n">
        <f aca="false">IFERROR((AVERAGE(B98:B100)/AVERAGE(B95:B97)-1)*100,"")</f>
        <v>-3.47017687754153</v>
      </c>
      <c r="E100" s="31" t="n">
        <f aca="false">IFERROR(((AVERAGE(B98:B100)/AVERAGE(B95:B97))^4-1)*100,"")</f>
        <v>-13.1747501686925</v>
      </c>
      <c r="F100" s="31" t="n">
        <f aca="false">IFERROR(('SA Data'!V100/'SA Data'!V88-1)*100,"")</f>
        <v>4.1065977776322</v>
      </c>
      <c r="G100" s="31" t="n">
        <f aca="false">IFERROR((AVERAGE('SA Data'!V91:V100)/AVERAGE('SA Data'!V79:V88)-1)*100,"")</f>
        <v>-2.61291610976506</v>
      </c>
      <c r="H100" s="30" t="n">
        <f aca="false">'SA Data'!S100</f>
        <v>139.737003312033</v>
      </c>
      <c r="I100" s="31" t="n">
        <f aca="false">IFERROR((H100/H99-1)*100,"")</f>
        <v>-2.26575994805296</v>
      </c>
      <c r="J100" s="31" t="n">
        <f aca="false">IFERROR((AVERAGE(H98:H100)/AVERAGE(H95:H97)-1)*100,"")</f>
        <v>-0.330582408869151</v>
      </c>
      <c r="K100" s="31" t="n">
        <f aca="false">IFERROR(((AVERAGE(H98:H100)/AVERAGE(H95:H97))^4-1)*100,"")</f>
        <v>-1.31578699083382</v>
      </c>
      <c r="L100" s="31" t="n">
        <f aca="false">IFERROR(('SA Data'!W100/'SA Data'!W88-1)*100,"")</f>
        <v>5.7715816339365</v>
      </c>
      <c r="M100" s="31" t="n">
        <f aca="false">IFERROR((AVERAGE('SA Data'!W91:W100)/AVERAGE('SA Data'!W79:W88)-1)*100,"")</f>
        <v>7.52259662807264</v>
      </c>
      <c r="N100" s="30" t="n">
        <f aca="false">'SA Data'!T100</f>
        <v>152.37674318509</v>
      </c>
      <c r="O100" s="31" t="n">
        <f aca="false">IFERROR((N100/N99-1)*100,"")</f>
        <v>-1.14648483506582</v>
      </c>
      <c r="P100" s="31" t="n">
        <f aca="false">IFERROR((AVERAGE(N98:N100)/AVERAGE(N95:N97)-1)*100,"")</f>
        <v>1.0504639840075</v>
      </c>
      <c r="Q100" s="31" t="n">
        <f aca="false">IFERROR(((AVERAGE(N98:N100)/AVERAGE(N95:N97))^4-1)*100,"")</f>
        <v>4.26852929271011</v>
      </c>
      <c r="R100" s="31" t="n">
        <f aca="false">IFERROR(('SA Data'!X100/'SA Data'!X88-1)*100,"")</f>
        <v>6.79698957119816</v>
      </c>
      <c r="S100" s="31" t="n">
        <f aca="false">IFERROR((AVERAGE('SA Data'!X91:X100)/AVERAGE('SA Data'!X79:X88)-1)*100,"")</f>
        <v>6.60954562697003</v>
      </c>
    </row>
    <row r="101" customFormat="false" ht="15" hidden="false" customHeight="false" outlineLevel="0" collapsed="false">
      <c r="A101" s="20" t="n">
        <v>40877</v>
      </c>
      <c r="B101" s="30" t="n">
        <f aca="false">'SA Data'!R101</f>
        <v>124.21482010959</v>
      </c>
      <c r="C101" s="31" t="n">
        <f aca="false">IFERROR((B101/B100-1)*100,"")</f>
        <v>2.39080686676052</v>
      </c>
      <c r="D101" s="31" t="n">
        <f aca="false">IFERROR((AVERAGE(B99:B101)/AVERAGE(B96:B98)-1)*100,"")</f>
        <v>-0.774104603889569</v>
      </c>
      <c r="E101" s="31" t="n">
        <f aca="false">IFERROR(((AVERAGE(B99:B101)/AVERAGE(B96:B98))^4-1)*100,"")</f>
        <v>-3.06064932934497</v>
      </c>
      <c r="F101" s="31" t="n">
        <f aca="false">IFERROR(('SA Data'!V101/'SA Data'!V89-1)*100,"")</f>
        <v>0.321902060987056</v>
      </c>
      <c r="G101" s="31" t="n">
        <f aca="false">IFERROR((AVERAGE('SA Data'!V91:V101)/AVERAGE('SA Data'!V79:V89)-1)*100,"")</f>
        <v>-2.44012333125553</v>
      </c>
      <c r="H101" s="30" t="n">
        <f aca="false">'SA Data'!S101</f>
        <v>140.175783972182</v>
      </c>
      <c r="I101" s="31" t="n">
        <f aca="false">IFERROR((H101/H100-1)*100,"")</f>
        <v>0.314004629947462</v>
      </c>
      <c r="J101" s="31" t="n">
        <f aca="false">IFERROR((AVERAGE(H99:H101)/AVERAGE(H96:H98)-1)*100,"")</f>
        <v>-0.873367035153561</v>
      </c>
      <c r="K101" s="31" t="n">
        <f aca="false">IFERROR(((AVERAGE(H99:H101)/AVERAGE(H96:H98))^4-1)*100,"")</f>
        <v>-3.44796783137233</v>
      </c>
      <c r="L101" s="31" t="n">
        <f aca="false">IFERROR(('SA Data'!W101/'SA Data'!W89-1)*100,"")</f>
        <v>3.13202210235664</v>
      </c>
      <c r="M101" s="31" t="n">
        <f aca="false">IFERROR((AVERAGE('SA Data'!W91:W101)/AVERAGE('SA Data'!W79:W89)-1)*100,"")</f>
        <v>7.10093704176054</v>
      </c>
      <c r="N101" s="30" t="n">
        <f aca="false">'SA Data'!T101</f>
        <v>153.379464133086</v>
      </c>
      <c r="O101" s="31" t="n">
        <f aca="false">IFERROR((N101/N100-1)*100,"")</f>
        <v>0.658053799442282</v>
      </c>
      <c r="P101" s="31" t="n">
        <f aca="false">IFERROR((AVERAGE(N99:N101)/AVERAGE(N96:N98)-1)*100,"")</f>
        <v>0.799410280469015</v>
      </c>
      <c r="Q101" s="31" t="n">
        <f aca="false">IFERROR(((AVERAGE(N99:N101)/AVERAGE(N96:N98))^4-1)*100,"")</f>
        <v>3.23618928549001</v>
      </c>
      <c r="R101" s="31" t="n">
        <f aca="false">IFERROR(('SA Data'!X101/'SA Data'!X89-1)*100,"")</f>
        <v>4.34636046305541</v>
      </c>
      <c r="S101" s="31" t="n">
        <f aca="false">IFERROR((AVERAGE('SA Data'!X91:X101)/AVERAGE('SA Data'!X79:X89)-1)*100,"")</f>
        <v>6.39628322289851</v>
      </c>
    </row>
    <row r="102" customFormat="false" ht="15" hidden="false" customHeight="false" outlineLevel="0" collapsed="false">
      <c r="A102" s="20" t="n">
        <v>40908</v>
      </c>
      <c r="B102" s="30" t="n">
        <f aca="false">'SA Data'!R102</f>
        <v>132.612622982677</v>
      </c>
      <c r="C102" s="31" t="n">
        <f aca="false">IFERROR((B102/B101-1)*100,"")</f>
        <v>6.76070928225656</v>
      </c>
      <c r="D102" s="31" t="n">
        <f aca="false">IFERROR((AVERAGE(B100:B102)/AVERAGE(B97:B99)-1)*100,"")</f>
        <v>4.6636612935699</v>
      </c>
      <c r="E102" s="31" t="n">
        <f aca="false">IFERROR(((AVERAGE(B100:B102)/AVERAGE(B97:B99))^4-1)*100,"")</f>
        <v>20.0006757869977</v>
      </c>
      <c r="F102" s="31" t="n">
        <f aca="false">IFERROR(('SA Data'!V102/'SA Data'!V90-1)*100,"")</f>
        <v>-4.78434978699615</v>
      </c>
      <c r="G102" s="31" t="n">
        <f aca="false">IFERROR((AVERAGE('SA Data'!V91:V102)/AVERAGE('SA Data'!V79:V90)-1)*100,"")</f>
        <v>-2.59234837530595</v>
      </c>
      <c r="H102" s="30" t="n">
        <f aca="false">'SA Data'!S102</f>
        <v>139.716686860896</v>
      </c>
      <c r="I102" s="31" t="n">
        <f aca="false">IFERROR((H102/H101-1)*100,"")</f>
        <v>-0.327515279941037</v>
      </c>
      <c r="J102" s="31" t="n">
        <f aca="false">IFERROR((AVERAGE(H100:H102)/AVERAGE(H97:H99)-1)*100,"")</f>
        <v>-1.56395206179901</v>
      </c>
      <c r="K102" s="31" t="n">
        <f aca="false">IFERROR(((AVERAGE(H100:H102)/AVERAGE(H97:H99))^4-1)*100,"")</f>
        <v>-6.11057563839582</v>
      </c>
      <c r="L102" s="31" t="n">
        <f aca="false">IFERROR(('SA Data'!W102/'SA Data'!W90-1)*100,"")</f>
        <v>3.77498935871956</v>
      </c>
      <c r="M102" s="31" t="n">
        <f aca="false">IFERROR((AVERAGE('SA Data'!W91:W102)/AVERAGE('SA Data'!W79:W90)-1)*100,"")</f>
        <v>6.82241636891505</v>
      </c>
      <c r="N102" s="30" t="n">
        <f aca="false">'SA Data'!T102</f>
        <v>153.694190620691</v>
      </c>
      <c r="O102" s="31" t="n">
        <f aca="false">IFERROR((N102/N101-1)*100,"")</f>
        <v>0.205194671518782</v>
      </c>
      <c r="P102" s="31" t="n">
        <f aca="false">IFERROR((AVERAGE(N100:N102)/AVERAGE(N97:N99)-1)*100,"")</f>
        <v>0.368929574261401</v>
      </c>
      <c r="Q102" s="31" t="n">
        <f aca="false">IFERROR(((AVERAGE(N100:N102)/AVERAGE(N97:N99))^4-1)*100,"")</f>
        <v>1.48390494327586</v>
      </c>
      <c r="R102" s="31" t="n">
        <f aca="false">IFERROR(('SA Data'!X102/'SA Data'!X90-1)*100,"")</f>
        <v>4.48065487620357</v>
      </c>
      <c r="S102" s="31" t="n">
        <f aca="false">IFERROR((AVERAGE('SA Data'!X91:X102)/AVERAGE('SA Data'!X79:X90)-1)*100,"")</f>
        <v>6.23319342433193</v>
      </c>
    </row>
    <row r="103" customFormat="false" ht="15" hidden="false" customHeight="false" outlineLevel="0" collapsed="false">
      <c r="A103" s="20" t="n">
        <v>40939</v>
      </c>
      <c r="B103" s="30" t="n">
        <f aca="false">'SA Data'!R103</f>
        <v>131.960926207219</v>
      </c>
      <c r="C103" s="31" t="n">
        <f aca="false">IFERROR((B103/B102-1)*100,"")</f>
        <v>-0.491428915890824</v>
      </c>
      <c r="D103" s="31" t="n">
        <f aca="false">IFERROR((AVERAGE(B101:B103)/AVERAGE(B98:B100)-1)*100,"")</f>
        <v>7.36201219156227</v>
      </c>
      <c r="E103" s="31" t="n">
        <f aca="false">IFERROR(((AVERAGE(B101:B103)/AVERAGE(B98:B100))^4-1)*100,"")</f>
        <v>32.8625458702985</v>
      </c>
      <c r="F103" s="31" t="n">
        <f aca="false">IFERROR(('SA Data'!V103/'SA Data'!V91-1)*100,"")</f>
        <v>-0.753524370375469</v>
      </c>
      <c r="G103" s="31" t="n">
        <f aca="false">IFERROR((AVERAGE('SA Data'!V103:V103)/AVERAGE('SA Data'!V91:V91)-1)*100,"")</f>
        <v>-0.753524370375469</v>
      </c>
      <c r="H103" s="30" t="n">
        <f aca="false">'SA Data'!S103</f>
        <v>137.962995824099</v>
      </c>
      <c r="I103" s="31" t="n">
        <f aca="false">IFERROR((H103/H102-1)*100,"")</f>
        <v>-1.25517651198166</v>
      </c>
      <c r="J103" s="31" t="n">
        <f aca="false">IFERROR((AVERAGE(H101:H103)/AVERAGE(H98:H100)-1)*100,"")</f>
        <v>-1.68872210902253</v>
      </c>
      <c r="K103" s="31" t="n">
        <f aca="false">IFERROR(((AVERAGE(H101:H103)/AVERAGE(H98:H100))^4-1)*100,"")</f>
        <v>-6.585699708907</v>
      </c>
      <c r="L103" s="31" t="n">
        <f aca="false">IFERROR(('SA Data'!W103/'SA Data'!W91-1)*100,"")</f>
        <v>-1.14917489769472</v>
      </c>
      <c r="M103" s="31" t="n">
        <f aca="false">IFERROR((AVERAGE('SA Data'!W103:W103)/AVERAGE('SA Data'!W91:W91)-1)*100,"")</f>
        <v>-1.14917489769472</v>
      </c>
      <c r="N103" s="30" t="n">
        <f aca="false">'SA Data'!T103</f>
        <v>153.288508800382</v>
      </c>
      <c r="O103" s="31" t="n">
        <f aca="false">IFERROR((N103/N102-1)*100,"")</f>
        <v>-0.26395390656635</v>
      </c>
      <c r="P103" s="31" t="n">
        <f aca="false">IFERROR((AVERAGE(N101:N103)/AVERAGE(N98:N100)-1)*100,"")</f>
        <v>0.119888793037615</v>
      </c>
      <c r="Q103" s="31" t="n">
        <f aca="false">IFERROR(((AVERAGE(N101:N103)/AVERAGE(N98:N100))^4-1)*100,"")</f>
        <v>0.480418260998938</v>
      </c>
      <c r="R103" s="31" t="n">
        <f aca="false">IFERROR(('SA Data'!X103/'SA Data'!X91-1)*100,"")</f>
        <v>3.28887182262108</v>
      </c>
      <c r="S103" s="31" t="n">
        <f aca="false">IFERROR((AVERAGE('SA Data'!X103:X103)/AVERAGE('SA Data'!X91:X91)-1)*100,"")</f>
        <v>3.28887182262108</v>
      </c>
    </row>
    <row r="104" customFormat="false" ht="15" hidden="false" customHeight="false" outlineLevel="0" collapsed="false">
      <c r="A104" s="20" t="n">
        <v>40968</v>
      </c>
      <c r="B104" s="30" t="n">
        <f aca="false">'SA Data'!R104</f>
        <v>120.156840287338</v>
      </c>
      <c r="C104" s="31" t="n">
        <f aca="false">IFERROR((B104/B103-1)*100,"")</f>
        <v>-8.94513721534875</v>
      </c>
      <c r="D104" s="31" t="n">
        <f aca="false">IFERROR((AVERAGE(B102:B104)/AVERAGE(B99:B101)-1)*100,"")</f>
        <v>5.15779373610181</v>
      </c>
      <c r="E104" s="31" t="n">
        <f aca="false">IFERROR(((AVERAGE(B102:B104)/AVERAGE(B99:B101))^4-1)*100,"")</f>
        <v>22.2829376055685</v>
      </c>
      <c r="F104" s="31" t="n">
        <f aca="false">IFERROR(('SA Data'!V104/'SA Data'!V92-1)*100,"")</f>
        <v>-4.02138646672471</v>
      </c>
      <c r="G104" s="31" t="n">
        <f aca="false">IFERROR((AVERAGE('SA Data'!V103:V104)/AVERAGE('SA Data'!V91:V92)-1)*100,"")</f>
        <v>-2.39713121189228</v>
      </c>
      <c r="H104" s="30" t="n">
        <f aca="false">'SA Data'!S104</f>
        <v>139.401039301338</v>
      </c>
      <c r="I104" s="31" t="n">
        <f aca="false">IFERROR((H104/H103-1)*100,"")</f>
        <v>1.04233999026213</v>
      </c>
      <c r="J104" s="31" t="n">
        <f aca="false">IFERROR((AVERAGE(H102:H104)/AVERAGE(H99:H101)-1)*100,"")</f>
        <v>-1.37354459569802</v>
      </c>
      <c r="K104" s="31" t="n">
        <f aca="false">IFERROR(((AVERAGE(H102:H104)/AVERAGE(H99:H101))^4-1)*100,"")</f>
        <v>-5.38201388335211</v>
      </c>
      <c r="L104" s="31" t="n">
        <f aca="false">IFERROR(('SA Data'!W104/'SA Data'!W92-1)*100,"")</f>
        <v>-0.34132301874783</v>
      </c>
      <c r="M104" s="31" t="n">
        <f aca="false">IFERROR((AVERAGE('SA Data'!W103:W104)/AVERAGE('SA Data'!W91:W92)-1)*100,"")</f>
        <v>-0.748602712066782</v>
      </c>
      <c r="N104" s="30" t="n">
        <f aca="false">'SA Data'!T104</f>
        <v>152.296170493213</v>
      </c>
      <c r="O104" s="31" t="n">
        <f aca="false">IFERROR((N104/N103-1)*100,"")</f>
        <v>-0.647366404002292</v>
      </c>
      <c r="P104" s="31" t="n">
        <f aca="false">IFERROR((AVERAGE(N102:N104)/AVERAGE(N99:N101)-1)*100,"")</f>
        <v>-0.135098433639402</v>
      </c>
      <c r="Q104" s="31" t="n">
        <f aca="false">IFERROR(((AVERAGE(N102:N104)/AVERAGE(N99:N101))^4-1)*100,"")</f>
        <v>-0.539299625322498</v>
      </c>
      <c r="R104" s="31" t="n">
        <f aca="false">IFERROR(('SA Data'!X104/'SA Data'!X92-1)*100,"")</f>
        <v>3.18872195373543</v>
      </c>
      <c r="S104" s="31" t="n">
        <f aca="false">IFERROR((AVERAGE('SA Data'!X103:X104)/AVERAGE('SA Data'!X91:X92)-1)*100,"")</f>
        <v>3.23940193407029</v>
      </c>
    </row>
    <row r="105" customFormat="false" ht="15" hidden="false" customHeight="false" outlineLevel="0" collapsed="false">
      <c r="A105" s="20" t="n">
        <v>40999</v>
      </c>
      <c r="B105" s="30" t="n">
        <f aca="false">'SA Data'!R105</f>
        <v>114.1420038941</v>
      </c>
      <c r="C105" s="31" t="n">
        <f aca="false">IFERROR((B105/B104-1)*100,"")</f>
        <v>-5.00582104094535</v>
      </c>
      <c r="D105" s="31" t="n">
        <f aca="false">IFERROR((AVERAGE(B103:B105)/AVERAGE(B100:B102)-1)*100,"")</f>
        <v>-3.14223314875854</v>
      </c>
      <c r="E105" s="31" t="n">
        <f aca="false">IFERROR(((AVERAGE(B103:B105)/AVERAGE(B100:B102))^4-1)*100,"")</f>
        <v>-11.9888274547514</v>
      </c>
      <c r="F105" s="31" t="n">
        <f aca="false">IFERROR(('SA Data'!V105/'SA Data'!V93-1)*100,"")</f>
        <v>-10.7002102513606</v>
      </c>
      <c r="G105" s="31" t="n">
        <f aca="false">IFERROR((AVERAGE('SA Data'!V103:V105)/AVERAGE('SA Data'!V91:V93)-1)*100,"")</f>
        <v>-6.51397625622203</v>
      </c>
      <c r="H105" s="30" t="n">
        <f aca="false">'SA Data'!S105</f>
        <v>141.722405943973</v>
      </c>
      <c r="I105" s="31" t="n">
        <f aca="false">IFERROR((H105/H104-1)*100,"")</f>
        <v>1.66524342592405</v>
      </c>
      <c r="J105" s="31" t="n">
        <f aca="false">IFERROR((AVERAGE(H103:H105)/AVERAGE(H100:H102)-1)*100,"")</f>
        <v>-0.129407753544408</v>
      </c>
      <c r="K105" s="31" t="n">
        <f aca="false">IFERROR(((AVERAGE(H103:H105)/AVERAGE(H100:H102))^4-1)*100,"")</f>
        <v>-0.51662709874043</v>
      </c>
      <c r="L105" s="31" t="n">
        <f aca="false">IFERROR(('SA Data'!W105/'SA Data'!W93-1)*100,"")</f>
        <v>0.199695743860429</v>
      </c>
      <c r="M105" s="31" t="n">
        <f aca="false">IFERROR((AVERAGE('SA Data'!W103:W105)/AVERAGE('SA Data'!W91:W93)-1)*100,"")</f>
        <v>-0.409221496057022</v>
      </c>
      <c r="N105" s="30" t="n">
        <f aca="false">'SA Data'!T105</f>
        <v>153.534043689268</v>
      </c>
      <c r="O105" s="31" t="n">
        <f aca="false">IFERROR((N105/N104-1)*100,"")</f>
        <v>0.812806515125408</v>
      </c>
      <c r="P105" s="31" t="n">
        <f aca="false">IFERROR((AVERAGE(N103:N105)/AVERAGE(N100:N102)-1)*100,"")</f>
        <v>-0.0721895023907626</v>
      </c>
      <c r="Q105" s="31" t="n">
        <f aca="false">IFERROR(((AVERAGE(N103:N105)/AVERAGE(N100:N102))^4-1)*100,"")</f>
        <v>-0.288445480561728</v>
      </c>
      <c r="R105" s="31" t="n">
        <f aca="false">IFERROR(('SA Data'!X105/'SA Data'!X93-1)*100,"")</f>
        <v>2.54770168854575</v>
      </c>
      <c r="S105" s="31" t="n">
        <f aca="false">IFERROR((AVERAGE('SA Data'!X103:X105)/AVERAGE('SA Data'!X91:X93)-1)*100,"")</f>
        <v>3.00004434541472</v>
      </c>
    </row>
    <row r="106" customFormat="false" ht="15" hidden="false" customHeight="false" outlineLevel="0" collapsed="false">
      <c r="A106" s="20" t="n">
        <v>41029</v>
      </c>
      <c r="B106" s="30" t="n">
        <f aca="false">'SA Data'!R106</f>
        <v>99.2630652597206</v>
      </c>
      <c r="C106" s="31" t="n">
        <f aca="false">IFERROR((B106/B105-1)*100,"")</f>
        <v>-13.0354629555861</v>
      </c>
      <c r="D106" s="31" t="n">
        <f aca="false">IFERROR((AVERAGE(B104:B106)/AVERAGE(B101:B103)-1)*100,"")</f>
        <v>-14.2047613095613</v>
      </c>
      <c r="E106" s="31" t="n">
        <f aca="false">IFERROR(((AVERAGE(B104:B106)/AVERAGE(B101:B103))^4-1)*100,"")</f>
        <v>-45.8182850284064</v>
      </c>
      <c r="F106" s="31" t="n">
        <f aca="false">IFERROR(('SA Data'!V106/'SA Data'!V94-1)*100,"")</f>
        <v>-22.6757481154676</v>
      </c>
      <c r="G106" s="31" t="n">
        <f aca="false">IFERROR((AVERAGE('SA Data'!V103:V106)/AVERAGE('SA Data'!V91:V94)-1)*100,"")</f>
        <v>-13.4951915361241</v>
      </c>
      <c r="H106" s="30" t="n">
        <f aca="false">'SA Data'!S106</f>
        <v>135.744823471687</v>
      </c>
      <c r="I106" s="31" t="n">
        <f aca="false">IFERROR((H106/H105-1)*100,"")</f>
        <v>-4.2178104672095</v>
      </c>
      <c r="J106" s="31" t="n">
        <f aca="false">IFERROR((AVERAGE(H104:H106)/AVERAGE(H101:H103)-1)*100,"")</f>
        <v>-0.236253446216228</v>
      </c>
      <c r="K106" s="31" t="n">
        <f aca="false">IFERROR(((AVERAGE(H104:H106)/AVERAGE(H101:H103))^4-1)*100,"")</f>
        <v>-0.941670114958304</v>
      </c>
      <c r="L106" s="31" t="n">
        <f aca="false">IFERROR(('SA Data'!W106/'SA Data'!W94-1)*100,"")</f>
        <v>-1.947255712034</v>
      </c>
      <c r="M106" s="31" t="n">
        <f aca="false">IFERROR((AVERAGE('SA Data'!W103:W106)/AVERAGE('SA Data'!W91:W94)-1)*100,"")</f>
        <v>-0.806333119045333</v>
      </c>
      <c r="N106" s="30" t="n">
        <f aca="false">'SA Data'!T106</f>
        <v>150.049613032732</v>
      </c>
      <c r="O106" s="31" t="n">
        <f aca="false">IFERROR((N106/N105-1)*100,"")</f>
        <v>-2.26948406542858</v>
      </c>
      <c r="P106" s="31" t="n">
        <f aca="false">IFERROR((AVERAGE(N104:N106)/AVERAGE(N101:N103)-1)*100,"")</f>
        <v>-0.973654373405053</v>
      </c>
      <c r="Q106" s="31" t="n">
        <f aca="false">IFERROR(((AVERAGE(N104:N106)/AVERAGE(N101:N103))^4-1)*100,"")</f>
        <v>-3.83810563542381</v>
      </c>
      <c r="R106" s="31" t="n">
        <f aca="false">IFERROR(('SA Data'!X106/'SA Data'!X94-1)*100,"")</f>
        <v>0.118779556260185</v>
      </c>
      <c r="S106" s="31" t="n">
        <f aca="false">IFERROR((AVERAGE('SA Data'!X103:X106)/AVERAGE('SA Data'!X91:X94)-1)*100,"")</f>
        <v>2.26221121624008</v>
      </c>
    </row>
    <row r="107" customFormat="false" ht="15" hidden="false" customHeight="false" outlineLevel="0" collapsed="false">
      <c r="A107" s="20" t="n">
        <v>41060</v>
      </c>
      <c r="B107" s="30" t="n">
        <f aca="false">'SA Data'!R107</f>
        <v>96.6383766436702</v>
      </c>
      <c r="C107" s="31" t="n">
        <f aca="false">IFERROR((B107/B106-1)*100,"")</f>
        <v>-2.64417445621177</v>
      </c>
      <c r="D107" s="31" t="n">
        <f aca="false">IFERROR((AVERAGE(B105:B107)/AVERAGE(B102:B104)-1)*100,"")</f>
        <v>-19.4128006839355</v>
      </c>
      <c r="E107" s="31" t="n">
        <f aca="false">IFERROR(((AVERAGE(B105:B107)/AVERAGE(B102:B104))^4-1)*100,"")</f>
        <v>-57.8241104554037</v>
      </c>
      <c r="F107" s="31" t="n">
        <f aca="false">IFERROR(('SA Data'!V107/'SA Data'!V95-1)*100,"")</f>
        <v>-24.0370440077786</v>
      </c>
      <c r="G107" s="31" t="n">
        <f aca="false">IFERROR((AVERAGE('SA Data'!V103:V107)/AVERAGE('SA Data'!V91:V95)-1)*100,"")</f>
        <v>-17.5779295051906</v>
      </c>
      <c r="H107" s="30" t="n">
        <f aca="false">'SA Data'!S107</f>
        <v>135.889340294006</v>
      </c>
      <c r="I107" s="31" t="n">
        <f aca="false">IFERROR((H107/H106-1)*100,"")</f>
        <v>0.106462124023099</v>
      </c>
      <c r="J107" s="31" t="n">
        <f aca="false">IFERROR((AVERAGE(H105:H107)/AVERAGE(H102:H104)-1)*100,"")</f>
        <v>-0.892909233236905</v>
      </c>
      <c r="K107" s="31" t="n">
        <f aca="false">IFERROR(((AVERAGE(H105:H107)/AVERAGE(H102:H104))^4-1)*100,"")</f>
        <v>-3.52408384528663</v>
      </c>
      <c r="L107" s="31" t="n">
        <f aca="false">IFERROR(('SA Data'!W107/'SA Data'!W95-1)*100,"")</f>
        <v>-4.41524899604542</v>
      </c>
      <c r="M107" s="31" t="n">
        <f aca="false">IFERROR((AVERAGE('SA Data'!W103:W107)/AVERAGE('SA Data'!W91:W95)-1)*100,"")</f>
        <v>-1.5755490382837</v>
      </c>
      <c r="N107" s="30" t="n">
        <f aca="false">'SA Data'!T107</f>
        <v>152.527207931861</v>
      </c>
      <c r="O107" s="31" t="n">
        <f aca="false">IFERROR((N107/N106-1)*100,"")</f>
        <v>1.65118379784732</v>
      </c>
      <c r="P107" s="31" t="n">
        <f aca="false">IFERROR((AVERAGE(N105:N107)/AVERAGE(N102:N104)-1)*100,"")</f>
        <v>-0.689778143073883</v>
      </c>
      <c r="Q107" s="31" t="n">
        <f aca="false">IFERROR(((AVERAGE(N105:N107)/AVERAGE(N102:N104))^4-1)*100,"")</f>
        <v>-2.73069598960541</v>
      </c>
      <c r="R107" s="31" t="n">
        <f aca="false">IFERROR(('SA Data'!X107/'SA Data'!X95-1)*100,"")</f>
        <v>0.182300136995317</v>
      </c>
      <c r="S107" s="31" t="n">
        <f aca="false">IFERROR((AVERAGE('SA Data'!X103:X107)/AVERAGE('SA Data'!X91:X95)-1)*100,"")</f>
        <v>1.82684733973444</v>
      </c>
    </row>
    <row r="108" customFormat="false" ht="15" hidden="false" customHeight="false" outlineLevel="0" collapsed="false">
      <c r="A108" s="20" t="n">
        <v>41090</v>
      </c>
      <c r="B108" s="30" t="n">
        <f aca="false">'SA Data'!R108</f>
        <v>97.4751647028375</v>
      </c>
      <c r="C108" s="31" t="n">
        <f aca="false">IFERROR((B108/B107-1)*100,"")</f>
        <v>0.865896229044383</v>
      </c>
      <c r="D108" s="31" t="n">
        <f aca="false">IFERROR((AVERAGE(B106:B108)/AVERAGE(B103:B105)-1)*100,"")</f>
        <v>-19.899309090127</v>
      </c>
      <c r="E108" s="31" t="n">
        <f aca="false">IFERROR(((AVERAGE(B106:B108)/AVERAGE(B103:B105))^4-1)*100,"")</f>
        <v>-58.8333953652804</v>
      </c>
      <c r="F108" s="31" t="n">
        <f aca="false">IFERROR(('SA Data'!V108/'SA Data'!V96-1)*100,"")</f>
        <v>-23.5204636142653</v>
      </c>
      <c r="G108" s="31" t="n">
        <f aca="false">IFERROR((AVERAGE('SA Data'!V103:V108)/AVERAGE('SA Data'!V91:V96)-1)*100,"")</f>
        <v>-18.8072694482998</v>
      </c>
      <c r="H108" s="30" t="n">
        <f aca="false">'SA Data'!S108</f>
        <v>135.091497678173</v>
      </c>
      <c r="I108" s="31" t="n">
        <f aca="false">IFERROR((H108/H107-1)*100,"")</f>
        <v>-0.587126712152009</v>
      </c>
      <c r="J108" s="31" t="n">
        <f aca="false">IFERROR((AVERAGE(H106:H108)/AVERAGE(H103:H105)-1)*100,"")</f>
        <v>-2.94945825352925</v>
      </c>
      <c r="K108" s="31" t="n">
        <f aca="false">IFERROR(((AVERAGE(H106:H108)/AVERAGE(H103:H105))^4-1)*100,"")</f>
        <v>-11.2860623904489</v>
      </c>
      <c r="L108" s="31" t="n">
        <f aca="false">IFERROR(('SA Data'!W108/'SA Data'!W96-1)*100,"")</f>
        <v>-5.80233832134618</v>
      </c>
      <c r="M108" s="31" t="n">
        <f aca="false">IFERROR((AVERAGE('SA Data'!W103:W108)/AVERAGE('SA Data'!W91:W96)-1)*100,"")</f>
        <v>-2.31096158828462</v>
      </c>
      <c r="N108" s="30" t="n">
        <f aca="false">'SA Data'!T108</f>
        <v>152.072851722281</v>
      </c>
      <c r="O108" s="31" t="n">
        <f aca="false">IFERROR((N108/N107-1)*100,"")</f>
        <v>-0.297885351564786</v>
      </c>
      <c r="P108" s="31" t="n">
        <f aca="false">IFERROR((AVERAGE(N106:N108)/AVERAGE(N103:N105)-1)*100,"")</f>
        <v>-0.973397527104525</v>
      </c>
      <c r="Q108" s="31" t="n">
        <f aca="false">IFERROR(((AVERAGE(N106:N108)/AVERAGE(N103:N105))^4-1)*100,"")</f>
        <v>-3.83710796464212</v>
      </c>
      <c r="R108" s="31" t="n">
        <f aca="false">IFERROR(('SA Data'!X108/'SA Data'!X96-1)*100,"")</f>
        <v>-0.341871699113394</v>
      </c>
      <c r="S108" s="31" t="n">
        <f aca="false">IFERROR((AVERAGE('SA Data'!X103:X108)/AVERAGE('SA Data'!X91:X96)-1)*100,"")</f>
        <v>1.44995440608657</v>
      </c>
    </row>
    <row r="109" customFormat="false" ht="15" hidden="false" customHeight="false" outlineLevel="0" collapsed="false">
      <c r="A109" s="20" t="n">
        <v>41121</v>
      </c>
      <c r="B109" s="30" t="n">
        <f aca="false">'SA Data'!R109</f>
        <v>114.836063480638</v>
      </c>
      <c r="C109" s="31" t="n">
        <f aca="false">IFERROR((B109/B108-1)*100,"")</f>
        <v>17.8105867589218</v>
      </c>
      <c r="D109" s="31" t="n">
        <f aca="false">IFERROR((AVERAGE(B107:B109)/AVERAGE(B104:B106)-1)*100,"")</f>
        <v>-7.37863164749448</v>
      </c>
      <c r="E109" s="31" t="n">
        <f aca="false">IFERROR(((AVERAGE(B107:B109)/AVERAGE(B104:B106))^4-1)*100,"")</f>
        <v>-26.4055996127396</v>
      </c>
      <c r="F109" s="31" t="n">
        <f aca="false">IFERROR(('SA Data'!V109/'SA Data'!V97-1)*100,"")</f>
        <v>-4.34384292427329</v>
      </c>
      <c r="G109" s="31" t="n">
        <f aca="false">IFERROR((AVERAGE('SA Data'!V103:V109)/AVERAGE('SA Data'!V91:V97)-1)*100,"")</f>
        <v>-17.4343581528671</v>
      </c>
      <c r="H109" s="30" t="n">
        <f aca="false">'SA Data'!S109</f>
        <v>137.236542191886</v>
      </c>
      <c r="I109" s="31" t="n">
        <f aca="false">IFERROR((H109/H108-1)*100,"")</f>
        <v>1.58784568280015</v>
      </c>
      <c r="J109" s="31" t="n">
        <f aca="false">IFERROR((AVERAGE(H107:H109)/AVERAGE(H104:H106)-1)*100,"")</f>
        <v>-2.07520917328565</v>
      </c>
      <c r="K109" s="31" t="n">
        <f aca="false">IFERROR(((AVERAGE(H107:H109)/AVERAGE(H104:H106))^4-1)*100,"")</f>
        <v>-8.04600331009137</v>
      </c>
      <c r="L109" s="31" t="n">
        <f aca="false">IFERROR(('SA Data'!W109/'SA Data'!W97-1)*100,"")</f>
        <v>-2.59761131778605</v>
      </c>
      <c r="M109" s="31" t="n">
        <f aca="false">IFERROR((AVERAGE('SA Data'!W103:W109)/AVERAGE('SA Data'!W91:W97)-1)*100,"")</f>
        <v>-2.35366826820688</v>
      </c>
      <c r="N109" s="30" t="n">
        <f aca="false">'SA Data'!T109</f>
        <v>153.482683471085</v>
      </c>
      <c r="O109" s="31" t="n">
        <f aca="false">IFERROR((N109/N108-1)*100,"")</f>
        <v>0.927076551032524</v>
      </c>
      <c r="P109" s="31" t="n">
        <f aca="false">IFERROR((AVERAGE(N107:N109)/AVERAGE(N104:N106)-1)*100,"")</f>
        <v>0.483222941333317</v>
      </c>
      <c r="Q109" s="31" t="n">
        <f aca="false">IFERROR(((AVERAGE(N107:N109)/AVERAGE(N104:N106))^4-1)*100,"")</f>
        <v>1.94694721839475</v>
      </c>
      <c r="R109" s="31" t="n">
        <f aca="false">IFERROR(('SA Data'!X109/'SA Data'!X97-1)*100,"")</f>
        <v>2.05915868158679</v>
      </c>
      <c r="S109" s="31" t="n">
        <f aca="false">IFERROR((AVERAGE('SA Data'!X103:X109)/AVERAGE('SA Data'!X91:X97)-1)*100,"")</f>
        <v>1.53877394955162</v>
      </c>
    </row>
    <row r="110" customFormat="false" ht="15" hidden="false" customHeight="false" outlineLevel="0" collapsed="false">
      <c r="A110" s="20" t="n">
        <v>41152</v>
      </c>
      <c r="B110" s="30" t="n">
        <f aca="false">'SA Data'!R110</f>
        <v>127.287213305358</v>
      </c>
      <c r="C110" s="31" t="n">
        <f aca="false">IFERROR((B110/B109-1)*100,"")</f>
        <v>10.8425432284334</v>
      </c>
      <c r="D110" s="31" t="n">
        <f aca="false">IFERROR((AVERAGE(B108:B110)/AVERAGE(B105:B107)-1)*100,"")</f>
        <v>9.53253361486881</v>
      </c>
      <c r="E110" s="31" t="n">
        <f aca="false">IFERROR(((AVERAGE(B108:B110)/AVERAGE(B105:B107))^4-1)*100,"")</f>
        <v>43.9370289680122</v>
      </c>
      <c r="F110" s="31" t="n">
        <f aca="false">IFERROR(('SA Data'!V110/'SA Data'!V98-1)*100,"")</f>
        <v>5.56721928841291</v>
      </c>
      <c r="G110" s="31" t="n">
        <f aca="false">IFERROR((AVERAGE('SA Data'!V103:V110)/AVERAGE('SA Data'!V91:V98)-1)*100,"")</f>
        <v>-16.0792047364655</v>
      </c>
      <c r="H110" s="30" t="n">
        <f aca="false">'SA Data'!S110</f>
        <v>135.439844918472</v>
      </c>
      <c r="I110" s="31" t="n">
        <f aca="false">IFERROR((H110/H109-1)*100,"")</f>
        <v>-1.30919742272584</v>
      </c>
      <c r="J110" s="31" t="n">
        <f aca="false">IFERROR((AVERAGE(H108:H110)/AVERAGE(H105:H107)-1)*100,"")</f>
        <v>-1.3520251837441</v>
      </c>
      <c r="K110" s="31" t="n">
        <f aca="false">IFERROR(((AVERAGE(H108:H110)/AVERAGE(H105:H107))^4-1)*100,"")</f>
        <v>-5.2994076533701</v>
      </c>
      <c r="L110" s="31" t="n">
        <f aca="false">IFERROR(('SA Data'!W110/'SA Data'!W98-1)*100,"")</f>
        <v>-4.39541510339584</v>
      </c>
      <c r="M110" s="31" t="n">
        <f aca="false">IFERROR((AVERAGE('SA Data'!W103:W110)/AVERAGE('SA Data'!W91:W98)-1)*100,"")</f>
        <v>-2.62265799922647</v>
      </c>
      <c r="N110" s="30" t="n">
        <f aca="false">'SA Data'!T110</f>
        <v>154.359727057149</v>
      </c>
      <c r="O110" s="31" t="n">
        <f aca="false">IFERROR((N110/N109-1)*100,"")</f>
        <v>0.571428363271598</v>
      </c>
      <c r="P110" s="31" t="n">
        <f aca="false">IFERROR((AVERAGE(N108:N110)/AVERAGE(N105:N107)-1)*100,"")</f>
        <v>0.834094929867879</v>
      </c>
      <c r="Q110" s="31" t="n">
        <f aca="false">IFERROR(((AVERAGE(N108:N110)/AVERAGE(N105:N107))^4-1)*100,"")</f>
        <v>3.37835518133731</v>
      </c>
      <c r="R110" s="31" t="n">
        <f aca="false">IFERROR(('SA Data'!X110/'SA Data'!X98-1)*100,"")</f>
        <v>0.740512985349051</v>
      </c>
      <c r="S110" s="31" t="n">
        <f aca="false">IFERROR((AVERAGE('SA Data'!X103:X110)/AVERAGE('SA Data'!X91:X98)-1)*100,"")</f>
        <v>1.4358777316406</v>
      </c>
    </row>
    <row r="111" customFormat="false" ht="15" hidden="false" customHeight="false" outlineLevel="0" collapsed="false">
      <c r="A111" s="20" t="n">
        <v>41182</v>
      </c>
      <c r="B111" s="30" t="n">
        <f aca="false">'SA Data'!R111</f>
        <v>129.940305024849</v>
      </c>
      <c r="C111" s="31" t="n">
        <f aca="false">IFERROR((B111/B110-1)*100,"")</f>
        <v>2.0843348287672</v>
      </c>
      <c r="D111" s="31" t="n">
        <f aca="false">IFERROR((AVERAGE(B109:B111)/AVERAGE(B106:B108)-1)*100,"")</f>
        <v>26.8211484599488</v>
      </c>
      <c r="E111" s="31" t="n">
        <f aca="false">IFERROR(((AVERAGE(B109:B111)/AVERAGE(B106:B108))^4-1)*100,"")</f>
        <v>158.682307872514</v>
      </c>
      <c r="F111" s="31" t="n">
        <f aca="false">IFERROR(('SA Data'!V111/'SA Data'!V99-1)*100,"")</f>
        <v>7.67569032912066</v>
      </c>
      <c r="G111" s="31" t="n">
        <f aca="false">IFERROR((AVERAGE('SA Data'!V103:V111)/AVERAGE('SA Data'!V91:V99)-1)*100,"")</f>
        <v>-14.8195148421016</v>
      </c>
      <c r="H111" s="30" t="n">
        <f aca="false">'SA Data'!S111</f>
        <v>133.630149802262</v>
      </c>
      <c r="I111" s="31" t="n">
        <f aca="false">IFERROR((H111/H110-1)*100,"")</f>
        <v>-1.33616153894703</v>
      </c>
      <c r="J111" s="31" t="n">
        <f aca="false">IFERROR((AVERAGE(H109:H111)/AVERAGE(H106:H108)-1)*100,"")</f>
        <v>-0.103048460173127</v>
      </c>
      <c r="K111" s="31" t="n">
        <f aca="false">IFERROR(((AVERAGE(H109:H111)/AVERAGE(H106:H108))^4-1)*100,"")</f>
        <v>-0.411557139179131</v>
      </c>
      <c r="L111" s="31" t="n">
        <f aca="false">IFERROR(('SA Data'!W111/'SA Data'!W99-1)*100,"")</f>
        <v>-6.23788510757063</v>
      </c>
      <c r="M111" s="31" t="n">
        <f aca="false">IFERROR((AVERAGE('SA Data'!W103:W111)/AVERAGE('SA Data'!W91:W99)-1)*100,"")</f>
        <v>-3.04814284427553</v>
      </c>
      <c r="N111" s="30" t="n">
        <f aca="false">'SA Data'!T111</f>
        <v>151.202298672942</v>
      </c>
      <c r="O111" s="31" t="n">
        <f aca="false">IFERROR((N111/N110-1)*100,"")</f>
        <v>-2.04550010835256</v>
      </c>
      <c r="P111" s="31" t="n">
        <f aca="false">IFERROR((AVERAGE(N109:N111)/AVERAGE(N106:N108)-1)*100,"")</f>
        <v>0.966686391376603</v>
      </c>
      <c r="Q111" s="31" t="n">
        <f aca="false">IFERROR(((AVERAGE(N109:N111)/AVERAGE(N106:N108))^4-1)*100,"")</f>
        <v>3.92317673415741</v>
      </c>
      <c r="R111" s="31" t="n">
        <f aca="false">IFERROR(('SA Data'!X111/'SA Data'!X99-1)*100,"")</f>
        <v>-1.86160303123307</v>
      </c>
      <c r="S111" s="31" t="n">
        <f aca="false">IFERROR((AVERAGE('SA Data'!X103:X111)/AVERAGE('SA Data'!X91:X99)-1)*100,"")</f>
        <v>1.05943841655674</v>
      </c>
    </row>
    <row r="112" customFormat="false" ht="15" hidden="false" customHeight="false" outlineLevel="0" collapsed="false">
      <c r="A112" s="20" t="n">
        <v>41213</v>
      </c>
      <c r="B112" s="30" t="n">
        <f aca="false">'SA Data'!R112</f>
        <v>126.985590045658</v>
      </c>
      <c r="C112" s="31" t="n">
        <f aca="false">IFERROR((B112/B111-1)*100,"")</f>
        <v>-2.2739018340967</v>
      </c>
      <c r="D112" s="31" t="n">
        <f aca="false">IFERROR((AVERAGE(B110:B112)/AVERAGE(B107:B109)-1)*100,"")</f>
        <v>24.361093968975</v>
      </c>
      <c r="E112" s="31" t="n">
        <f aca="false">IFERROR(((AVERAGE(B110:B112)/AVERAGE(B107:B109))^4-1)*100,"")</f>
        <v>139.187310234151</v>
      </c>
      <c r="F112" s="31" t="n">
        <f aca="false">IFERROR(('SA Data'!V112/'SA Data'!V100-1)*100,"")</f>
        <v>5.08280693252587</v>
      </c>
      <c r="G112" s="31" t="n">
        <f aca="false">IFERROR((AVERAGE('SA Data'!V103:V112)/AVERAGE('SA Data'!V91:V100)-1)*100,"")</f>
        <v>-13.7857180163278</v>
      </c>
      <c r="H112" s="30" t="n">
        <f aca="false">'SA Data'!S112</f>
        <v>137.563423008718</v>
      </c>
      <c r="I112" s="31" t="n">
        <f aca="false">IFERROR((H112/H111-1)*100,"")</f>
        <v>2.94340252725638</v>
      </c>
      <c r="J112" s="31" t="n">
        <f aca="false">IFERROR((AVERAGE(H110:H112)/AVERAGE(H107:H109)-1)*100,"")</f>
        <v>-0.388019352330726</v>
      </c>
      <c r="K112" s="31" t="n">
        <f aca="false">IFERROR(((AVERAGE(H110:H112)/AVERAGE(H107:H109))^4-1)*100,"")</f>
        <v>-1.54306721351293</v>
      </c>
      <c r="L112" s="31" t="n">
        <f aca="false">IFERROR(('SA Data'!W112/'SA Data'!W100-1)*100,"")</f>
        <v>-1.72291153755835</v>
      </c>
      <c r="M112" s="31" t="n">
        <f aca="false">IFERROR((AVERAGE('SA Data'!W103:W112)/AVERAGE('SA Data'!W91:W100)-1)*100,"")</f>
        <v>-2.90980210012081</v>
      </c>
      <c r="N112" s="30" t="n">
        <f aca="false">'SA Data'!T112</f>
        <v>154.94606893254</v>
      </c>
      <c r="O112" s="31" t="n">
        <f aca="false">IFERROR((N112/N111-1)*100,"")</f>
        <v>2.47600088917648</v>
      </c>
      <c r="P112" s="31" t="n">
        <f aca="false">IFERROR((AVERAGE(N110:N112)/AVERAGE(N107:N109)-1)*100,"")</f>
        <v>0.529457084730423</v>
      </c>
      <c r="Q112" s="31" t="n">
        <f aca="false">IFERROR(((AVERAGE(N110:N112)/AVERAGE(N107:N109))^4-1)*100,"")</f>
        <v>2.13470727375948</v>
      </c>
      <c r="R112" s="31" t="n">
        <f aca="false">IFERROR(('SA Data'!X112/'SA Data'!X100-1)*100,"")</f>
        <v>1.60587730702189</v>
      </c>
      <c r="S112" s="31" t="n">
        <f aca="false">IFERROR((AVERAGE('SA Data'!X103:X112)/AVERAGE('SA Data'!X91:X100)-1)*100,"")</f>
        <v>1.11503869590446</v>
      </c>
    </row>
    <row r="113" customFormat="false" ht="15" hidden="false" customHeight="false" outlineLevel="0" collapsed="false">
      <c r="A113" s="20" t="n">
        <v>41243</v>
      </c>
      <c r="B113" s="30" t="n">
        <f aca="false">'SA Data'!R113</f>
        <v>122.984264846587</v>
      </c>
      <c r="C113" s="31" t="n">
        <f aca="false">IFERROR((B113/B112-1)*100,"")</f>
        <v>-3.15100728959271</v>
      </c>
      <c r="D113" s="31" t="n">
        <f aca="false">IFERROR((AVERAGE(B111:B113)/AVERAGE(B108:B110)-1)*100,"")</f>
        <v>11.8704073704015</v>
      </c>
      <c r="E113" s="31" t="n">
        <f aca="false">IFERROR(((AVERAGE(B111:B113)/AVERAGE(B108:B110))^4-1)*100,"")</f>
        <v>56.6249257719893</v>
      </c>
      <c r="F113" s="31" t="n">
        <f aca="false">IFERROR(('SA Data'!V113/'SA Data'!V101-1)*100,"")</f>
        <v>-0.855217995063207</v>
      </c>
      <c r="G113" s="31" t="n">
        <f aca="false">IFERROR((AVERAGE('SA Data'!V103:V113)/AVERAGE('SA Data'!V91:V101)-1)*100,"")</f>
        <v>-13.0028578006292</v>
      </c>
      <c r="H113" s="30" t="n">
        <f aca="false">'SA Data'!S113</f>
        <v>136.92889611208</v>
      </c>
      <c r="I113" s="31" t="n">
        <f aca="false">IFERROR((H113/H112-1)*100,"")</f>
        <v>-0.46126134604646</v>
      </c>
      <c r="J113" s="31" t="n">
        <f aca="false">IFERROR((AVERAGE(H111:H113)/AVERAGE(H108:H110)-1)*100,"")</f>
        <v>0.0869573469997498</v>
      </c>
      <c r="K113" s="31" t="n">
        <f aca="false">IFERROR(((AVERAGE(H111:H113)/AVERAGE(H108:H110))^4-1)*100,"")</f>
        <v>0.348283345881995</v>
      </c>
      <c r="L113" s="31" t="n">
        <f aca="false">IFERROR(('SA Data'!W113/'SA Data'!W101-1)*100,"")</f>
        <v>-1.93327970220395</v>
      </c>
      <c r="M113" s="31" t="n">
        <f aca="false">IFERROR((AVERAGE('SA Data'!W103:W113)/AVERAGE('SA Data'!W91:W101)-1)*100,"")</f>
        <v>-2.81949475053882</v>
      </c>
      <c r="N113" s="30" t="n">
        <f aca="false">'SA Data'!T113</f>
        <v>155.1628696898</v>
      </c>
      <c r="O113" s="31" t="n">
        <f aca="false">IFERROR((N113/N112-1)*100,"")</f>
        <v>0.139920140442262</v>
      </c>
      <c r="P113" s="31" t="n">
        <f aca="false">IFERROR((AVERAGE(N111:N113)/AVERAGE(N108:N110)-1)*100,"")</f>
        <v>0.303528749608284</v>
      </c>
      <c r="Q113" s="31" t="n">
        <f aca="false">IFERROR(((AVERAGE(N111:N113)/AVERAGE(N108:N110))^4-1)*100,"")</f>
        <v>1.21965397463661</v>
      </c>
      <c r="R113" s="31" t="n">
        <f aca="false">IFERROR(('SA Data'!X113/'SA Data'!X101-1)*100,"")</f>
        <v>1.24214186291167</v>
      </c>
      <c r="S113" s="31" t="n">
        <f aca="false">IFERROR((AVERAGE('SA Data'!X103:X113)/AVERAGE('SA Data'!X91:X101)-1)*100,"")</f>
        <v>1.12678500524734</v>
      </c>
    </row>
    <row r="114" customFormat="false" ht="15" hidden="false" customHeight="false" outlineLevel="0" collapsed="false">
      <c r="A114" s="20" t="n">
        <v>41274</v>
      </c>
      <c r="B114" s="30" t="n">
        <f aca="false">'SA Data'!R114</f>
        <v>112.276846641416</v>
      </c>
      <c r="C114" s="31" t="n">
        <f aca="false">IFERROR((B114/B113-1)*100,"")</f>
        <v>-8.70633183727019</v>
      </c>
      <c r="D114" s="31" t="n">
        <f aca="false">IFERROR((AVERAGE(B112:B114)/AVERAGE(B109:B111)-1)*100,"")</f>
        <v>-2.6384953424911</v>
      </c>
      <c r="E114" s="31" t="n">
        <f aca="false">IFERROR(((AVERAGE(B112:B114)/AVERAGE(B109:B111))^4-1)*100,"")</f>
        <v>-10.1435807654838</v>
      </c>
      <c r="F114" s="31" t="n">
        <f aca="false">IFERROR(('SA Data'!V114/'SA Data'!V102-1)*100,"")</f>
        <v>-15.9005423892609</v>
      </c>
      <c r="G114" s="31" t="n">
        <f aca="false">IFERROR((AVERAGE('SA Data'!V103:V114)/AVERAGE('SA Data'!V91:V102)-1)*100,"")</f>
        <v>-13.1867879488559</v>
      </c>
      <c r="H114" s="30" t="n">
        <f aca="false">'SA Data'!S114</f>
        <v>138.275800079783</v>
      </c>
      <c r="I114" s="31" t="n">
        <f aca="false">IFERROR((H114/H113-1)*100,"")</f>
        <v>0.983652104082267</v>
      </c>
      <c r="J114" s="31" t="n">
        <f aca="false">IFERROR((AVERAGE(H112:H114)/AVERAGE(H109:H111)-1)*100,"")</f>
        <v>1.59032201082991</v>
      </c>
      <c r="K114" s="31" t="n">
        <f aca="false">IFERROR(((AVERAGE(H112:H114)/AVERAGE(H109:H111))^4-1)*100,"")</f>
        <v>6.51465073436472</v>
      </c>
      <c r="L114" s="31" t="n">
        <f aca="false">IFERROR(('SA Data'!W114/'SA Data'!W102-1)*100,"")</f>
        <v>-0.908426280694241</v>
      </c>
      <c r="M114" s="31" t="n">
        <f aca="false">IFERROR((AVERAGE('SA Data'!W103:W114)/AVERAGE('SA Data'!W91:W102)-1)*100,"")</f>
        <v>-2.66402404506276</v>
      </c>
      <c r="N114" s="30" t="n">
        <f aca="false">'SA Data'!T114</f>
        <v>155.281444416824</v>
      </c>
      <c r="O114" s="31" t="n">
        <f aca="false">IFERROR((N114/N113-1)*100,"")</f>
        <v>0.0764195243756038</v>
      </c>
      <c r="P114" s="31" t="n">
        <f aca="false">IFERROR((AVERAGE(N112:N114)/AVERAGE(N109:N111)-1)*100,"")</f>
        <v>1.38236509664391</v>
      </c>
      <c r="Q114" s="31" t="n">
        <f aca="false">IFERROR(((AVERAGE(N112:N114)/AVERAGE(N109:N111))^4-1)*100,"")</f>
        <v>5.64517667684321</v>
      </c>
      <c r="R114" s="31" t="n">
        <f aca="false">IFERROR(('SA Data'!X114/'SA Data'!X102-1)*100,"")</f>
        <v>1.155343253407</v>
      </c>
      <c r="S114" s="31" t="n">
        <f aca="false">IFERROR((AVERAGE('SA Data'!X103:X114)/AVERAGE('SA Data'!X91:X102)-1)*100,"")</f>
        <v>1.129176242973</v>
      </c>
    </row>
    <row r="115" customFormat="false" ht="15" hidden="false" customHeight="false" outlineLevel="0" collapsed="false">
      <c r="A115" s="20" t="n">
        <v>41305</v>
      </c>
      <c r="B115" s="30" t="n">
        <f aca="false">'SA Data'!R115</f>
        <v>120.505996498207</v>
      </c>
      <c r="C115" s="31" t="n">
        <f aca="false">IFERROR((B115/B114-1)*100,"")</f>
        <v>7.32933824110091</v>
      </c>
      <c r="D115" s="31" t="n">
        <f aca="false">IFERROR((AVERAGE(B113:B115)/AVERAGE(B110:B112)-1)*100,"")</f>
        <v>-7.4037037699991</v>
      </c>
      <c r="E115" s="31" t="n">
        <f aca="false">IFERROR(((AVERAGE(B113:B115)/AVERAGE(B110:B112))^4-1)*100,"")</f>
        <v>-26.4852537475974</v>
      </c>
      <c r="F115" s="31" t="n">
        <f aca="false">IFERROR(('SA Data'!V115/'SA Data'!V103-1)*100,"")</f>
        <v>-8.90981898145214</v>
      </c>
      <c r="G115" s="31" t="n">
        <f aca="false">IFERROR((AVERAGE('SA Data'!V115:V115)/AVERAGE('SA Data'!V103:V103)-1)*100,"")</f>
        <v>-8.90981898145214</v>
      </c>
      <c r="H115" s="30" t="n">
        <f aca="false">'SA Data'!S115</f>
        <v>137.101614601161</v>
      </c>
      <c r="I115" s="31" t="n">
        <f aca="false">IFERROR((H115/H114-1)*100,"")</f>
        <v>-0.849161948761146</v>
      </c>
      <c r="J115" s="31" t="n">
        <f aca="false">IFERROR((AVERAGE(H113:H115)/AVERAGE(H110:H112)-1)*100,"")</f>
        <v>1.39508776608905</v>
      </c>
      <c r="K115" s="31" t="n">
        <f aca="false">IFERROR(((AVERAGE(H113:H115)/AVERAGE(H110:H112))^4-1)*100,"")</f>
        <v>5.69821713174503</v>
      </c>
      <c r="L115" s="31" t="n">
        <f aca="false">IFERROR(('SA Data'!W115/'SA Data'!W103-1)*100,"")</f>
        <v>-1.08938426301133</v>
      </c>
      <c r="M115" s="31" t="n">
        <f aca="false">IFERROR((AVERAGE('SA Data'!W115:W115)/AVERAGE('SA Data'!W103:W103)-1)*100,"")</f>
        <v>-1.08938426301133</v>
      </c>
      <c r="N115" s="30" t="n">
        <f aca="false">'SA Data'!T115</f>
        <v>154.874097396848</v>
      </c>
      <c r="O115" s="31" t="n">
        <f aca="false">IFERROR((N115/N114-1)*100,"")</f>
        <v>-0.262328201225859</v>
      </c>
      <c r="P115" s="31" t="n">
        <f aca="false">IFERROR((AVERAGE(N113:N115)/AVERAGE(N110:N112)-1)*100,"")</f>
        <v>1.04456727180122</v>
      </c>
      <c r="Q115" s="31" t="n">
        <f aca="false">IFERROR(((AVERAGE(N113:N115)/AVERAGE(N110:N112))^4-1)*100,"")</f>
        <v>4.24419342449331</v>
      </c>
      <c r="R115" s="31" t="n">
        <f aca="false">IFERROR(('SA Data'!X115/'SA Data'!X103-1)*100,"")</f>
        <v>0.837181364069872</v>
      </c>
      <c r="S115" s="31" t="n">
        <f aca="false">IFERROR((AVERAGE('SA Data'!X115:X115)/AVERAGE('SA Data'!X103:X103)-1)*100,"")</f>
        <v>0.837181364069872</v>
      </c>
    </row>
    <row r="116" customFormat="false" ht="15" hidden="false" customHeight="false" outlineLevel="0" collapsed="false">
      <c r="A116" s="20" t="n">
        <v>41333</v>
      </c>
      <c r="B116" s="30" t="n">
        <f aca="false">'SA Data'!R116</f>
        <v>127.558051721503</v>
      </c>
      <c r="C116" s="31" t="n">
        <f aca="false">IFERROR((B116/B115-1)*100,"")</f>
        <v>5.85203676847763</v>
      </c>
      <c r="D116" s="31" t="n">
        <f aca="false">IFERROR((AVERAGE(B114:B116)/AVERAGE(B111:B113)-1)*100,"")</f>
        <v>-5.15102440541159</v>
      </c>
      <c r="E116" s="31" t="n">
        <f aca="false">IFERROR(((AVERAGE(B114:B116)/AVERAGE(B111:B113))^4-1)*100,"")</f>
        <v>-19.0660794335034</v>
      </c>
      <c r="F116" s="31" t="n">
        <f aca="false">IFERROR(('SA Data'!V116/'SA Data'!V104-1)*100,"")</f>
        <v>7.02728254091209</v>
      </c>
      <c r="G116" s="31" t="n">
        <f aca="false">IFERROR((AVERAGE('SA Data'!V115:V116)/AVERAGE('SA Data'!V103:V104)-1)*100,"")</f>
        <v>-1.02747383237355</v>
      </c>
      <c r="H116" s="30" t="n">
        <f aca="false">'SA Data'!S116</f>
        <v>135.708682538926</v>
      </c>
      <c r="I116" s="31" t="n">
        <f aca="false">IFERROR((H116/H115-1)*100,"")</f>
        <v>-1.01598516274727</v>
      </c>
      <c r="J116" s="31" t="n">
        <f aca="false">IFERROR((AVERAGE(H114:H116)/AVERAGE(H111:H113)-1)*100,"")</f>
        <v>0.726161513388579</v>
      </c>
      <c r="K116" s="31" t="n">
        <f aca="false">IFERROR(((AVERAGE(H114:H116)/AVERAGE(H111:H113))^4-1)*100,"")</f>
        <v>2.93643812927127</v>
      </c>
      <c r="L116" s="31" t="n">
        <f aca="false">IFERROR(('SA Data'!W116/'SA Data'!W104-1)*100,"")</f>
        <v>-3.39125874864407</v>
      </c>
      <c r="M116" s="31" t="n">
        <f aca="false">IFERROR((AVERAGE('SA Data'!W115:W116)/AVERAGE('SA Data'!W103:W104)-1)*100,"")</f>
        <v>-2.23544907278477</v>
      </c>
      <c r="N116" s="30" t="n">
        <f aca="false">'SA Data'!T116</f>
        <v>153.827239748187</v>
      </c>
      <c r="O116" s="31" t="n">
        <f aca="false">IFERROR((N116/N115-1)*100,"")</f>
        <v>-0.675941081341136</v>
      </c>
      <c r="P116" s="31" t="n">
        <f aca="false">IFERROR((AVERAGE(N114:N116)/AVERAGE(N111:N113)-1)*100,"")</f>
        <v>0.579119702836795</v>
      </c>
      <c r="Q116" s="31" t="n">
        <f aca="false">IFERROR(((AVERAGE(N114:N116)/AVERAGE(N111:N113))^4-1)*100,"")</f>
        <v>2.33667939162021</v>
      </c>
      <c r="R116" s="31" t="n">
        <f aca="false">IFERROR(('SA Data'!X116/'SA Data'!X104-1)*100,"")</f>
        <v>0.802071083978162</v>
      </c>
      <c r="S116" s="31" t="n">
        <f aca="false">IFERROR((AVERAGE('SA Data'!X115:X116)/AVERAGE('SA Data'!X103:X104)-1)*100,"")</f>
        <v>0.819846853086514</v>
      </c>
    </row>
    <row r="117" customFormat="false" ht="15" hidden="false" customHeight="false" outlineLevel="0" collapsed="false">
      <c r="A117" s="20" t="n">
        <v>41364</v>
      </c>
      <c r="B117" s="30" t="n">
        <f aca="false">'SA Data'!R117</f>
        <v>127.443816987875</v>
      </c>
      <c r="C117" s="31" t="n">
        <f aca="false">IFERROR((B117/B116-1)*100,"")</f>
        <v>-0.089555094395144</v>
      </c>
      <c r="D117" s="31" t="n">
        <f aca="false">IFERROR((AVERAGE(B115:B117)/AVERAGE(B112:B114)-1)*100,"")</f>
        <v>3.66081005507575</v>
      </c>
      <c r="E117" s="31" t="n">
        <f aca="false">IFERROR(((AVERAGE(B115:B117)/AVERAGE(B112:B114))^4-1)*100,"")</f>
        <v>15.4671358195676</v>
      </c>
      <c r="F117" s="31" t="n">
        <f aca="false">IFERROR(('SA Data'!V117/'SA Data'!V105-1)*100,"")</f>
        <v>11.9279235607175</v>
      </c>
      <c r="G117" s="31" t="n">
        <f aca="false">IFERROR((AVERAGE('SA Data'!V115:V117)/AVERAGE('SA Data'!V103:V105)-1)*100,"")</f>
        <v>5.10844824588022</v>
      </c>
      <c r="H117" s="30" t="n">
        <f aca="false">'SA Data'!S117</f>
        <v>136.911426009757</v>
      </c>
      <c r="I117" s="31" t="n">
        <f aca="false">IFERROR((H117/H116-1)*100,"")</f>
        <v>0.886268622117226</v>
      </c>
      <c r="J117" s="31" t="n">
        <f aca="false">IFERROR((AVERAGE(H115:H117)/AVERAGE(H112:H114)-1)*100,"")</f>
        <v>-0.738040538750262</v>
      </c>
      <c r="K117" s="31" t="n">
        <f aca="false">IFERROR(((AVERAGE(H115:H117)/AVERAGE(H112:H114))^4-1)*100,"")</f>
        <v>-2.91964043349373</v>
      </c>
      <c r="L117" s="31" t="n">
        <f aca="false">IFERROR(('SA Data'!W117/'SA Data'!W105-1)*100,"")</f>
        <v>-2.97026543198295</v>
      </c>
      <c r="M117" s="31" t="n">
        <f aca="false">IFERROR((AVERAGE('SA Data'!W115:W117)/AVERAGE('SA Data'!W103:W105)-1)*100,"")</f>
        <v>-2.50003628470445</v>
      </c>
      <c r="N117" s="30" t="n">
        <f aca="false">'SA Data'!T117</f>
        <v>154.682375062363</v>
      </c>
      <c r="O117" s="31" t="n">
        <f aca="false">IFERROR((N117/N116-1)*100,"")</f>
        <v>0.555906298244779</v>
      </c>
      <c r="P117" s="31" t="n">
        <f aca="false">IFERROR((AVERAGE(N115:N117)/AVERAGE(N112:N114)-1)*100,"")</f>
        <v>-0.431180124235075</v>
      </c>
      <c r="Q117" s="31" t="n">
        <f aca="false">IFERROR(((AVERAGE(N115:N117)/AVERAGE(N112:N114))^4-1)*100,"")</f>
        <v>-1.71359754976856</v>
      </c>
      <c r="R117" s="31" t="n">
        <f aca="false">IFERROR(('SA Data'!X117/'SA Data'!X105-1)*100,"")</f>
        <v>1.21021853992953</v>
      </c>
      <c r="S117" s="31" t="n">
        <f aca="false">IFERROR((AVERAGE('SA Data'!X115:X117)/AVERAGE('SA Data'!X103:X105)-1)*100,"")</f>
        <v>0.954338744773975</v>
      </c>
    </row>
    <row r="118" customFormat="false" ht="15" hidden="false" customHeight="false" outlineLevel="0" collapsed="false">
      <c r="A118" s="20" t="n">
        <v>41394</v>
      </c>
      <c r="B118" s="30" t="n">
        <f aca="false">'SA Data'!R118</f>
        <v>120.903173969724</v>
      </c>
      <c r="C118" s="31" t="n">
        <f aca="false">IFERROR((B118/B117-1)*100,"")</f>
        <v>-5.13217759224313</v>
      </c>
      <c r="D118" s="31" t="n">
        <f aca="false">IFERROR((AVERAGE(B116:B118)/AVERAGE(B113:B115)-1)*100,"")</f>
        <v>5.66042622851808</v>
      </c>
      <c r="E118" s="31" t="n">
        <f aca="false">IFERROR(((AVERAGE(B116:B118)/AVERAGE(B113:B115))^4-1)*100,"")</f>
        <v>24.6377019932394</v>
      </c>
      <c r="F118" s="31" t="n">
        <f aca="false">IFERROR(('SA Data'!V118/'SA Data'!V106-1)*100,"")</f>
        <v>21.7121074213096</v>
      </c>
      <c r="G118" s="31" t="n">
        <f aca="false">IFERROR((AVERAGE('SA Data'!V115:V118)/AVERAGE('SA Data'!V103:V106)-1)*100,"")</f>
        <v>11.5193828474407</v>
      </c>
      <c r="H118" s="30" t="n">
        <f aca="false">'SA Data'!S118</f>
        <v>141.198304169494</v>
      </c>
      <c r="I118" s="31" t="n">
        <f aca="false">IFERROR((H118/H117-1)*100,"")</f>
        <v>3.1311325027257</v>
      </c>
      <c r="J118" s="31" t="n">
        <f aca="false">IFERROR((AVERAGE(H116:H118)/AVERAGE(H113:H115)-1)*100,"")</f>
        <v>0.366742367402662</v>
      </c>
      <c r="K118" s="31" t="n">
        <f aca="false">IFERROR(((AVERAGE(H116:H118)/AVERAGE(H113:H115))^4-1)*100,"")</f>
        <v>1.47505921627786</v>
      </c>
      <c r="L118" s="31" t="n">
        <f aca="false">IFERROR(('SA Data'!W118/'SA Data'!W106-1)*100,"")</f>
        <v>3.2023290961402</v>
      </c>
      <c r="M118" s="31" t="n">
        <f aca="false">IFERROR((AVERAGE('SA Data'!W115:W118)/AVERAGE('SA Data'!W103:W106)-1)*100,"")</f>
        <v>-1.0446527713606</v>
      </c>
      <c r="N118" s="30" t="n">
        <f aca="false">'SA Data'!T118</f>
        <v>157.936142772507</v>
      </c>
      <c r="O118" s="31" t="n">
        <f aca="false">IFERROR((N118/N117-1)*100,"")</f>
        <v>2.10351548379888</v>
      </c>
      <c r="P118" s="31" t="n">
        <f aca="false">IFERROR((AVERAGE(N116:N118)/AVERAGE(N113:N115)-1)*100,"")</f>
        <v>0.242274118477703</v>
      </c>
      <c r="Q118" s="31" t="n">
        <f aca="false">IFERROR(((AVERAGE(N116:N118)/AVERAGE(N113:N115))^4-1)*100,"")</f>
        <v>0.97262397054636</v>
      </c>
      <c r="R118" s="31" t="n">
        <f aca="false">IFERROR(('SA Data'!X118/'SA Data'!X106-1)*100,"")</f>
        <v>4.83675478833232</v>
      </c>
      <c r="S118" s="31" t="n">
        <f aca="false">IFERROR((AVERAGE('SA Data'!X115:X118)/AVERAGE('SA Data'!X103:X106)-1)*100,"")</f>
        <v>1.92770754199394</v>
      </c>
    </row>
    <row r="119" customFormat="false" ht="15" hidden="false" customHeight="false" outlineLevel="0" collapsed="false">
      <c r="A119" s="20" t="n">
        <v>41425</v>
      </c>
      <c r="B119" s="30" t="n">
        <f aca="false">'SA Data'!R119</f>
        <v>120.394197310258</v>
      </c>
      <c r="C119" s="31" t="n">
        <f aca="false">IFERROR((B119/B118-1)*100,"")</f>
        <v>-0.420978740882916</v>
      </c>
      <c r="D119" s="31" t="n">
        <f aca="false">IFERROR((AVERAGE(B117:B119)/AVERAGE(B114:B116)-1)*100,"")</f>
        <v>2.33120734463657</v>
      </c>
      <c r="E119" s="31" t="n">
        <f aca="false">IFERROR(((AVERAGE(B117:B119)/AVERAGE(B114:B116))^4-1)*100,"")</f>
        <v>9.65599817799898</v>
      </c>
      <c r="F119" s="31" t="n">
        <f aca="false">IFERROR(('SA Data'!V119/'SA Data'!V107-1)*100,"")</f>
        <v>24.4163796712458</v>
      </c>
      <c r="G119" s="31" t="n">
        <f aca="false">IFERROR((AVERAGE('SA Data'!V115:V119)/AVERAGE('SA Data'!V103:V107)-1)*100,"")</f>
        <v>16.1228124135463</v>
      </c>
      <c r="H119" s="30" t="n">
        <f aca="false">'SA Data'!S119</f>
        <v>140.174365025278</v>
      </c>
      <c r="I119" s="31" t="n">
        <f aca="false">IFERROR((H119/H118-1)*100,"")</f>
        <v>-0.725178075075716</v>
      </c>
      <c r="J119" s="31" t="n">
        <f aca="false">IFERROR((AVERAGE(H117:H119)/AVERAGE(H114:H116)-1)*100,"")</f>
        <v>1.7509709117721</v>
      </c>
      <c r="K119" s="31" t="n">
        <f aca="false">IFERROR(((AVERAGE(H117:H119)/AVERAGE(H114:H116))^4-1)*100,"")</f>
        <v>7.18999431493894</v>
      </c>
      <c r="L119" s="31" t="n">
        <f aca="false">IFERROR(('SA Data'!W119/'SA Data'!W107-1)*100,"")</f>
        <v>3.2262095000708</v>
      </c>
      <c r="M119" s="31" t="n">
        <f aca="false">IFERROR((AVERAGE('SA Data'!W115:W119)/AVERAGE('SA Data'!W103:W107)-1)*100,"")</f>
        <v>-0.160611209186001</v>
      </c>
      <c r="N119" s="30" t="n">
        <f aca="false">'SA Data'!T119</f>
        <v>157.509567484096</v>
      </c>
      <c r="O119" s="31" t="n">
        <f aca="false">IFERROR((N119/N118-1)*100,"")</f>
        <v>-0.270093520661607</v>
      </c>
      <c r="P119" s="31" t="n">
        <f aca="false">IFERROR((AVERAGE(N117:N119)/AVERAGE(N114:N116)-1)*100,"")</f>
        <v>1.32446806246149</v>
      </c>
      <c r="Q119" s="31" t="n">
        <f aca="false">IFERROR(((AVERAGE(N117:N119)/AVERAGE(N114:N116))^4-1)*100,"")</f>
        <v>5.40405762706777</v>
      </c>
      <c r="R119" s="31" t="n">
        <f aca="false">IFERROR(('SA Data'!X119/'SA Data'!X107-1)*100,"")</f>
        <v>3.18165010544411</v>
      </c>
      <c r="S119" s="31" t="n">
        <f aca="false">IFERROR((AVERAGE('SA Data'!X115:X119)/AVERAGE('SA Data'!X103:X107)-1)*100,"")</f>
        <v>2.18594186649466</v>
      </c>
    </row>
    <row r="120" customFormat="false" ht="15" hidden="false" customHeight="false" outlineLevel="0" collapsed="false">
      <c r="A120" s="20" t="n">
        <v>41455</v>
      </c>
      <c r="B120" s="30" t="n">
        <f aca="false">'SA Data'!R120</f>
        <v>119.840672341194</v>
      </c>
      <c r="C120" s="31" t="n">
        <f aca="false">IFERROR((B120/B119-1)*100,"")</f>
        <v>-0.459760504601614</v>
      </c>
      <c r="D120" s="31" t="n">
        <f aca="false">IFERROR((AVERAGE(B118:B120)/AVERAGE(B115:B117)-1)*100,"")</f>
        <v>-3.82676980107052</v>
      </c>
      <c r="E120" s="31" t="n">
        <f aca="false">IFERROR(((AVERAGE(B118:B120)/AVERAGE(B115:B117))^4-1)*100,"")</f>
        <v>-14.4506306686125</v>
      </c>
      <c r="F120" s="31" t="n">
        <f aca="false">IFERROR(('SA Data'!V120/'SA Data'!V108-1)*100,"")</f>
        <v>23.0578915662503</v>
      </c>
      <c r="G120" s="31" t="n">
        <f aca="false">IFERROR((AVERAGE('SA Data'!V115:V120)/AVERAGE('SA Data'!V103:V108)-1)*100,"")</f>
        <v>17.4741997072091</v>
      </c>
      <c r="H120" s="30" t="n">
        <f aca="false">'SA Data'!S120</f>
        <v>136.726628442906</v>
      </c>
      <c r="I120" s="31" t="n">
        <f aca="false">IFERROR((H120/H119-1)*100,"")</f>
        <v>-2.45960563598812</v>
      </c>
      <c r="J120" s="31" t="n">
        <f aca="false">IFERROR((AVERAGE(H118:H120)/AVERAGE(H115:H117)-1)*100,"")</f>
        <v>2.04469863677936</v>
      </c>
      <c r="K120" s="31" t="n">
        <f aca="false">IFERROR(((AVERAGE(H118:H120)/AVERAGE(H115:H117))^4-1)*100,"")</f>
        <v>8.43307896136098</v>
      </c>
      <c r="L120" s="31" t="n">
        <f aca="false">IFERROR(('SA Data'!W120/'SA Data'!W108-1)*100,"")</f>
        <v>2.02951883627558</v>
      </c>
      <c r="M120" s="31" t="n">
        <f aca="false">IFERROR((AVERAGE('SA Data'!W115:W120)/AVERAGE('SA Data'!W103:W108)-1)*100,"")</f>
        <v>0.206827265819842</v>
      </c>
      <c r="N120" s="30" t="n">
        <f aca="false">'SA Data'!T120</f>
        <v>155.555081970421</v>
      </c>
      <c r="O120" s="31" t="n">
        <f aca="false">IFERROR((N120/N119-1)*100,"")</f>
        <v>-1.24086780561617</v>
      </c>
      <c r="P120" s="31" t="n">
        <f aca="false">IFERROR((AVERAGE(N118:N120)/AVERAGE(N115:N117)-1)*100,"")</f>
        <v>1.64379537281134</v>
      </c>
      <c r="Q120" s="31" t="n">
        <f aca="false">IFERROR(((AVERAGE(N118:N120)/AVERAGE(N115:N117))^4-1)*100,"")</f>
        <v>6.73908924166389</v>
      </c>
      <c r="R120" s="31" t="n">
        <f aca="false">IFERROR(('SA Data'!X120/'SA Data'!X108-1)*100,"")</f>
        <v>2.55576868637855</v>
      </c>
      <c r="S120" s="31" t="n">
        <f aca="false">IFERROR((AVERAGE('SA Data'!X115:X120)/AVERAGE('SA Data'!X103:X108)-1)*100,"")</f>
        <v>2.24907741764773</v>
      </c>
    </row>
    <row r="121" customFormat="false" ht="15" hidden="false" customHeight="false" outlineLevel="0" collapsed="false">
      <c r="A121" s="20" t="n">
        <v>41486</v>
      </c>
      <c r="B121" s="30" t="n">
        <f aca="false">'SA Data'!R121</f>
        <v>122.220234128997</v>
      </c>
      <c r="C121" s="31" t="n">
        <f aca="false">IFERROR((B121/B120-1)*100,"")</f>
        <v>1.9856045041442</v>
      </c>
      <c r="D121" s="31" t="n">
        <f aca="false">IFERROR((AVERAGE(B119:B121)/AVERAGE(B116:B118)-1)*100,"")</f>
        <v>-3.57801502283474</v>
      </c>
      <c r="E121" s="31" t="n">
        <f aca="false">IFERROR(((AVERAGE(B119:B121)/AVERAGE(B116:B118))^4-1)*100,"")</f>
        <v>-13.5620872784239</v>
      </c>
      <c r="F121" s="31" t="n">
        <f aca="false">IFERROR(('SA Data'!V121/'SA Data'!V109-1)*100,"")</f>
        <v>6.08428849127518</v>
      </c>
      <c r="G121" s="31" t="n">
        <f aca="false">IFERROR((AVERAGE('SA Data'!V115:V121)/AVERAGE('SA Data'!V103:V109)-1)*100,"")</f>
        <v>16.221620519811</v>
      </c>
      <c r="H121" s="30" t="n">
        <f aca="false">'SA Data'!S121</f>
        <v>137.580236421493</v>
      </c>
      <c r="I121" s="31" t="n">
        <f aca="false">IFERROR((H121/H120-1)*100,"")</f>
        <v>0.624317287940279</v>
      </c>
      <c r="J121" s="31" t="n">
        <f aca="false">IFERROR((AVERAGE(H119:H121)/AVERAGE(H116:H118)-1)*100,"")</f>
        <v>0.160171019734379</v>
      </c>
      <c r="K121" s="31" t="n">
        <f aca="false">IFERROR(((AVERAGE(H119:H121)/AVERAGE(H116:H118))^4-1)*100,"")</f>
        <v>0.642225008588793</v>
      </c>
      <c r="L121" s="31" t="n">
        <f aca="false">IFERROR(('SA Data'!W121/'SA Data'!W109-1)*100,"")</f>
        <v>-0.122130610215354</v>
      </c>
      <c r="M121" s="31" t="n">
        <f aca="false">IFERROR((AVERAGE('SA Data'!W115:W121)/AVERAGE('SA Data'!W103:W109)-1)*100,"")</f>
        <v>0.157939719839262</v>
      </c>
      <c r="N121" s="30" t="n">
        <f aca="false">'SA Data'!T121</f>
        <v>157.246684594808</v>
      </c>
      <c r="O121" s="31" t="n">
        <f aca="false">IFERROR((N121/N120-1)*100,"")</f>
        <v>1.08746214071538</v>
      </c>
      <c r="P121" s="31" t="n">
        <f aca="false">IFERROR((AVERAGE(N119:N121)/AVERAGE(N116:N118)-1)*100,"")</f>
        <v>0.828730115651055</v>
      </c>
      <c r="Q121" s="31" t="n">
        <f aca="false">IFERROR(((AVERAGE(N119:N121)/AVERAGE(N116:N118))^4-1)*100,"")</f>
        <v>3.35635621718224</v>
      </c>
      <c r="R121" s="31" t="n">
        <f aca="false">IFERROR(('SA Data'!X121/'SA Data'!X109-1)*100,"")</f>
        <v>2.30049387573517</v>
      </c>
      <c r="S121" s="31" t="n">
        <f aca="false">IFERROR((AVERAGE('SA Data'!X115:X121)/AVERAGE('SA Data'!X103:X109)-1)*100,"")</f>
        <v>2.25661214980855</v>
      </c>
    </row>
    <row r="122" customFormat="false" ht="15" hidden="false" customHeight="false" outlineLevel="0" collapsed="false">
      <c r="A122" s="20" t="n">
        <v>41517</v>
      </c>
      <c r="B122" s="30" t="n">
        <f aca="false">'SA Data'!R122</f>
        <v>121.594577597619</v>
      </c>
      <c r="C122" s="31" t="n">
        <f aca="false">IFERROR((B122/B121-1)*100,"")</f>
        <v>-0.51190912522523</v>
      </c>
      <c r="D122" s="31" t="n">
        <f aca="false">IFERROR((AVERAGE(B120:B122)/AVERAGE(B117:B119)-1)*100,"")</f>
        <v>-1.37920697818884</v>
      </c>
      <c r="E122" s="31" t="n">
        <f aca="false">IFERROR(((AVERAGE(B120:B122)/AVERAGE(B117:B119))^4-1)*100,"")</f>
        <v>-5.40374099858856</v>
      </c>
      <c r="F122" s="31" t="n">
        <f aca="false">IFERROR(('SA Data'!V122/'SA Data'!V110-1)*100,"")</f>
        <v>-4.66185226421325</v>
      </c>
      <c r="G122" s="31" t="n">
        <f aca="false">IFERROR((AVERAGE('SA Data'!V115:V122)/AVERAGE('SA Data'!V103:V110)-1)*100,"")</f>
        <v>14.6738981648494</v>
      </c>
      <c r="H122" s="30" t="n">
        <f aca="false">'SA Data'!S122</f>
        <v>138.33298883706</v>
      </c>
      <c r="I122" s="31" t="n">
        <f aca="false">IFERROR((H122/H121-1)*100,"")</f>
        <v>0.547137027196909</v>
      </c>
      <c r="J122" s="31" t="n">
        <f aca="false">IFERROR((AVERAGE(H120:H122)/AVERAGE(H117:H119)-1)*100,"")</f>
        <v>-1.34937989939855</v>
      </c>
      <c r="K122" s="31" t="n">
        <f aca="false">IFERROR(((AVERAGE(H120:H122)/AVERAGE(H117:H119))^4-1)*100,"")</f>
        <v>-5.28924950987524</v>
      </c>
      <c r="L122" s="31" t="n">
        <f aca="false">IFERROR(('SA Data'!W122/'SA Data'!W110-1)*100,"")</f>
        <v>2.37831126231267</v>
      </c>
      <c r="M122" s="31" t="n">
        <f aca="false">IFERROR((AVERAGE('SA Data'!W115:W122)/AVERAGE('SA Data'!W103:W110)-1)*100,"")</f>
        <v>0.445136962737847</v>
      </c>
      <c r="N122" s="30" t="n">
        <f aca="false">'SA Data'!T122</f>
        <v>156.93461907285</v>
      </c>
      <c r="O122" s="31" t="n">
        <f aca="false">IFERROR((N122/N121-1)*100,"")</f>
        <v>-0.198456026441252</v>
      </c>
      <c r="P122" s="31" t="n">
        <f aca="false">IFERROR((AVERAGE(N120:N122)/AVERAGE(N117:N119)-1)*100,"")</f>
        <v>-0.0833176517463174</v>
      </c>
      <c r="Q122" s="31" t="n">
        <f aca="false">IFERROR(((AVERAGE(N120:N122)/AVERAGE(N117:N119))^4-1)*100,"")</f>
        <v>-0.332854328422361</v>
      </c>
      <c r="R122" s="31" t="n">
        <f aca="false">IFERROR(('SA Data'!X122/'SA Data'!X110-1)*100,"")</f>
        <v>1.60497452790884</v>
      </c>
      <c r="S122" s="31" t="n">
        <f aca="false">IFERROR((AVERAGE('SA Data'!X115:X122)/AVERAGE('SA Data'!X103:X110)-1)*100,"")</f>
        <v>2.17319156382265</v>
      </c>
    </row>
    <row r="123" customFormat="false" ht="15" hidden="false" customHeight="false" outlineLevel="0" collapsed="false">
      <c r="A123" s="20" t="n">
        <v>41547</v>
      </c>
      <c r="B123" s="30" t="n">
        <f aca="false">'SA Data'!R123</f>
        <v>124.360875027459</v>
      </c>
      <c r="C123" s="31" t="n">
        <f aca="false">IFERROR((B123/B122-1)*100,"")</f>
        <v>2.27501709738573</v>
      </c>
      <c r="D123" s="31" t="n">
        <f aca="false">IFERROR((AVERAGE(B121:B123)/AVERAGE(B118:B120)-1)*100,"")</f>
        <v>1.94874044903499</v>
      </c>
      <c r="E123" s="31" t="n">
        <f aca="false">IFERROR(((AVERAGE(B121:B123)/AVERAGE(B118:B120))^4-1)*100,"")</f>
        <v>8.02579178446754</v>
      </c>
      <c r="F123" s="31" t="n">
        <f aca="false">IFERROR(('SA Data'!V123/'SA Data'!V111-1)*100,"")</f>
        <v>-5.27554710033464</v>
      </c>
      <c r="G123" s="31" t="n">
        <f aca="false">IFERROR((AVERAGE('SA Data'!V115:V123)/AVERAGE('SA Data'!V103:V111)-1)*100,"")</f>
        <v>13.3366287611109</v>
      </c>
      <c r="H123" s="30" t="n">
        <f aca="false">'SA Data'!S123</f>
        <v>139.445640903428</v>
      </c>
      <c r="I123" s="31" t="n">
        <f aca="false">IFERROR((H123/H122-1)*100,"")</f>
        <v>0.804328798012532</v>
      </c>
      <c r="J123" s="31" t="n">
        <f aca="false">IFERROR((AVERAGE(H121:H123)/AVERAGE(H118:H120)-1)*100,"")</f>
        <v>-0.655449911344386</v>
      </c>
      <c r="K123" s="31" t="n">
        <f aca="false">IFERROR(((AVERAGE(H121:H123)/AVERAGE(H118:H120))^4-1)*100,"")</f>
        <v>-2.59613522196897</v>
      </c>
      <c r="L123" s="31" t="n">
        <f aca="false">IFERROR(('SA Data'!W123/'SA Data'!W111-1)*100,"")</f>
        <v>3.66828997358299</v>
      </c>
      <c r="M123" s="31" t="n">
        <f aca="false">IFERROR((AVERAGE('SA Data'!W115:W123)/AVERAGE('SA Data'!W103:W111)-1)*100,"")</f>
        <v>0.811997245309026</v>
      </c>
      <c r="N123" s="30" t="n">
        <f aca="false">'SA Data'!T123</f>
        <v>156.7713115495</v>
      </c>
      <c r="O123" s="31" t="n">
        <f aca="false">IFERROR((N123/N122-1)*100,"")</f>
        <v>-0.104060865801747</v>
      </c>
      <c r="P123" s="31" t="n">
        <f aca="false">IFERROR((AVERAGE(N121:N123)/AVERAGE(N118:N120)-1)*100,"")</f>
        <v>-0.0102286473103397</v>
      </c>
      <c r="Q123" s="31" t="n">
        <f aca="false">IFERROR(((AVERAGE(N121:N123)/AVERAGE(N118:N120))^4-1)*100,"")</f>
        <v>-0.040908312155874</v>
      </c>
      <c r="R123" s="31" t="n">
        <f aca="false">IFERROR(('SA Data'!X123/'SA Data'!X111-1)*100,"")</f>
        <v>3.38238341379922</v>
      </c>
      <c r="S123" s="31" t="n">
        <f aca="false">IFERROR((AVERAGE('SA Data'!X115:X123)/AVERAGE('SA Data'!X103:X111)-1)*100,"")</f>
        <v>2.30724254419845</v>
      </c>
    </row>
    <row r="124" customFormat="false" ht="15" hidden="false" customHeight="false" outlineLevel="0" collapsed="false">
      <c r="A124" s="20" t="n">
        <v>41578</v>
      </c>
      <c r="B124" s="30" t="n">
        <f aca="false">'SA Data'!R124</f>
        <v>124.181375626093</v>
      </c>
      <c r="C124" s="31" t="n">
        <f aca="false">IFERROR((B124/B123-1)*100,"")</f>
        <v>-0.144337518794613</v>
      </c>
      <c r="D124" s="31" t="n">
        <f aca="false">IFERROR((AVERAGE(B122:B124)/AVERAGE(B119:B121)-1)*100,"")</f>
        <v>2.1193588917912</v>
      </c>
      <c r="E124" s="31" t="n">
        <f aca="false">IFERROR(((AVERAGE(B122:B124)/AVERAGE(B119:B121))^4-1)*100,"")</f>
        <v>8.75076446367531</v>
      </c>
      <c r="F124" s="31" t="n">
        <f aca="false">IFERROR(('SA Data'!V124/'SA Data'!V112-1)*100,"")</f>
        <v>-1.14474700507415</v>
      </c>
      <c r="G124" s="31" t="n">
        <f aca="false">IFERROR((AVERAGE('SA Data'!V115:V124)/AVERAGE('SA Data'!V103:V112)-1)*100,"")</f>
        <v>12.4197884009957</v>
      </c>
      <c r="H124" s="30" t="n">
        <f aca="false">'SA Data'!S124</f>
        <v>139.44472831499</v>
      </c>
      <c r="I124" s="31" t="n">
        <f aca="false">IFERROR((H124/H123-1)*100,"")</f>
        <v>-0.00065444027672612</v>
      </c>
      <c r="J124" s="31" t="n">
        <f aca="false">IFERROR((AVERAGE(H122:H124)/AVERAGE(H119:H121)-1)*100,"")</f>
        <v>0.661580782929594</v>
      </c>
      <c r="K124" s="31" t="n">
        <f aca="false">IFERROR(((AVERAGE(H122:H124)/AVERAGE(H119:H121))^4-1)*100,"")</f>
        <v>2.67270049791819</v>
      </c>
      <c r="L124" s="31" t="n">
        <f aca="false">IFERROR(('SA Data'!W124/'SA Data'!W112-1)*100,"")</f>
        <v>1.16662662553078</v>
      </c>
      <c r="M124" s="31" t="n">
        <f aca="false">IFERROR((AVERAGE('SA Data'!W115:W124)/AVERAGE('SA Data'!W103:W112)-1)*100,"")</f>
        <v>0.849469517580537</v>
      </c>
      <c r="N124" s="30" t="n">
        <f aca="false">'SA Data'!T124</f>
        <v>157.021495021447</v>
      </c>
      <c r="O124" s="31" t="n">
        <f aca="false">IFERROR((N124/N123-1)*100,"")</f>
        <v>0.159584983677119</v>
      </c>
      <c r="P124" s="31" t="n">
        <f aca="false">IFERROR((AVERAGE(N122:N124)/AVERAGE(N119:N121)-1)*100,"")</f>
        <v>0.0884715218089305</v>
      </c>
      <c r="Q124" s="31" t="n">
        <f aca="false">IFERROR(((AVERAGE(N122:N124)/AVERAGE(N119:N121))^4-1)*100,"")</f>
        <v>0.354355996901345</v>
      </c>
      <c r="R124" s="31" t="n">
        <f aca="false">IFERROR(('SA Data'!X124/'SA Data'!X112-1)*100,"")</f>
        <v>1.20124488798088</v>
      </c>
      <c r="S124" s="31" t="n">
        <f aca="false">IFERROR((AVERAGE('SA Data'!X115:X124)/AVERAGE('SA Data'!X103:X112)-1)*100,"")</f>
        <v>2.19416075872312</v>
      </c>
    </row>
    <row r="125" customFormat="false" ht="15" hidden="false" customHeight="false" outlineLevel="0" collapsed="false">
      <c r="A125" s="20" t="n">
        <v>41608</v>
      </c>
      <c r="B125" s="30" t="n">
        <f aca="false">'SA Data'!R125</f>
        <v>123.10863983047</v>
      </c>
      <c r="C125" s="31" t="n">
        <f aca="false">IFERROR((B125/B124-1)*100,"")</f>
        <v>-0.863845959359888</v>
      </c>
      <c r="D125" s="31" t="n">
        <f aca="false">IFERROR((AVERAGE(B123:B125)/AVERAGE(B120:B122)-1)*100,"")</f>
        <v>2.19862115834906</v>
      </c>
      <c r="E125" s="31" t="n">
        <f aca="false">IFERROR(((AVERAGE(B123:B125)/AVERAGE(B120:B122))^4-1)*100,"")</f>
        <v>9.08879529690603</v>
      </c>
      <c r="F125" s="31" t="n">
        <f aca="false">IFERROR(('SA Data'!V125/'SA Data'!V113-1)*100,"")</f>
        <v>-0.186663264133558</v>
      </c>
      <c r="G125" s="31" t="n">
        <f aca="false">IFERROR((AVERAGE('SA Data'!V115:V125)/AVERAGE('SA Data'!V103:V113)-1)*100,"")</f>
        <v>11.5499739024137</v>
      </c>
      <c r="H125" s="30" t="n">
        <f aca="false">'SA Data'!S125</f>
        <v>136.270804141585</v>
      </c>
      <c r="I125" s="31" t="n">
        <f aca="false">IFERROR((H125/H124-1)*100,"")</f>
        <v>-2.27611628761946</v>
      </c>
      <c r="J125" s="31" t="n">
        <f aca="false">IFERROR((AVERAGE(H123:H125)/AVERAGE(H120:H122)-1)*100,"")</f>
        <v>0.6110218477269</v>
      </c>
      <c r="K125" s="31" t="n">
        <f aca="false">IFERROR(((AVERAGE(H123:H125)/AVERAGE(H120:H122))^4-1)*100,"")</f>
        <v>2.4665796416403</v>
      </c>
      <c r="L125" s="31" t="n">
        <f aca="false">IFERROR(('SA Data'!W125/'SA Data'!W113-1)*100,"")</f>
        <v>-0.0225925413662287</v>
      </c>
      <c r="M125" s="31" t="n">
        <f aca="false">IFERROR((AVERAGE('SA Data'!W115:W125)/AVERAGE('SA Data'!W103:W113)-1)*100,"")</f>
        <v>0.768087064223688</v>
      </c>
      <c r="N125" s="30" t="n">
        <f aca="false">'SA Data'!T125</f>
        <v>155.040477079299</v>
      </c>
      <c r="O125" s="31" t="n">
        <f aca="false">IFERROR((N125/N124-1)*100,"")</f>
        <v>-1.26162213770631</v>
      </c>
      <c r="P125" s="31" t="n">
        <f aca="false">IFERROR((AVERAGE(N123:N125)/AVERAGE(N120:N122)-1)*100,"")</f>
        <v>-0.192257192639089</v>
      </c>
      <c r="Q125" s="31" t="n">
        <f aca="false">IFERROR(((AVERAGE(N123:N125)/AVERAGE(N120:N122))^4-1)*100,"")</f>
        <v>-0.76681384205064</v>
      </c>
      <c r="R125" s="31" t="n">
        <f aca="false">IFERROR(('SA Data'!X125/'SA Data'!X113-1)*100,"")</f>
        <v>0.162371339733802</v>
      </c>
      <c r="S125" s="31" t="n">
        <f aca="false">IFERROR((AVERAGE('SA Data'!X115:X125)/AVERAGE('SA Data'!X103:X113)-1)*100,"")</f>
        <v>2.00617762709321</v>
      </c>
    </row>
    <row r="126" customFormat="false" ht="15" hidden="false" customHeight="false" outlineLevel="0" collapsed="false">
      <c r="A126" s="20" t="n">
        <v>41639</v>
      </c>
      <c r="B126" s="30" t="n">
        <f aca="false">'SA Data'!R126</f>
        <v>117.706461009117</v>
      </c>
      <c r="C126" s="31" t="n">
        <f aca="false">IFERROR((B126/B125-1)*100,"")</f>
        <v>-4.38813947485102</v>
      </c>
      <c r="D126" s="31" t="n">
        <f aca="false">IFERROR((AVERAGE(B124:B126)/AVERAGE(B121:B123)-1)*100,"")</f>
        <v>-0.863503594282611</v>
      </c>
      <c r="E126" s="31" t="n">
        <f aca="false">IFERROR(((AVERAGE(B124:B126)/AVERAGE(B121:B123))^4-1)*100,"")</f>
        <v>-3.40953305830858</v>
      </c>
      <c r="F126" s="31" t="n">
        <f aca="false">IFERROR(('SA Data'!V126/'SA Data'!V114-1)*100,"")</f>
        <v>5.37786522963124</v>
      </c>
      <c r="G126" s="31" t="n">
        <f aca="false">IFERROR((AVERAGE('SA Data'!V115:V126)/AVERAGE('SA Data'!V103:V114)-1)*100,"")</f>
        <v>11.1704468446866</v>
      </c>
      <c r="H126" s="30" t="n">
        <f aca="false">'SA Data'!S126</f>
        <v>137.588986925253</v>
      </c>
      <c r="I126" s="31" t="n">
        <f aca="false">IFERROR((H126/H125-1)*100,"")</f>
        <v>0.967325900783234</v>
      </c>
      <c r="J126" s="31" t="n">
        <f aca="false">IFERROR((AVERAGE(H124:H126)/AVERAGE(H121:H123)-1)*100,"")</f>
        <v>-0.494595625015959</v>
      </c>
      <c r="K126" s="31" t="n">
        <f aca="false">IFERROR(((AVERAGE(H124:H126)/AVERAGE(H121:H123))^4-1)*100,"")</f>
        <v>-1.96375334643416</v>
      </c>
      <c r="L126" s="31" t="n">
        <f aca="false">IFERROR(('SA Data'!W126/'SA Data'!W114-1)*100,"")</f>
        <v>-0.383297783089209</v>
      </c>
      <c r="M126" s="31" t="n">
        <f aca="false">IFERROR((AVERAGE('SA Data'!W115:W126)/AVERAGE('SA Data'!W103:W114)-1)*100,"")</f>
        <v>0.672729275926187</v>
      </c>
      <c r="N126" s="30" t="n">
        <f aca="false">'SA Data'!T126</f>
        <v>155.72662036459</v>
      </c>
      <c r="O126" s="31" t="n">
        <f aca="false">IFERROR((N126/N125-1)*100,"")</f>
        <v>0.44255751673179</v>
      </c>
      <c r="P126" s="31" t="n">
        <f aca="false">IFERROR((AVERAGE(N124:N126)/AVERAGE(N121:N123)-1)*100,"")</f>
        <v>-0.671834628280577</v>
      </c>
      <c r="Q126" s="31" t="n">
        <f aca="false">IFERROR(((AVERAGE(N124:N126)/AVERAGE(N121:N123))^4-1)*100,"")</f>
        <v>-2.66037789951563</v>
      </c>
      <c r="R126" s="31" t="n">
        <f aca="false">IFERROR(('SA Data'!X126/'SA Data'!X114-1)*100,"")</f>
        <v>0.229044672926104</v>
      </c>
      <c r="S126" s="31" t="n">
        <f aca="false">IFERROR((AVERAGE('SA Data'!X115:X126)/AVERAGE('SA Data'!X103:X114)-1)*100,"")</f>
        <v>1.85733632200833</v>
      </c>
    </row>
    <row r="127" customFormat="false" ht="15" hidden="false" customHeight="false" outlineLevel="0" collapsed="false">
      <c r="A127" s="20" t="n">
        <v>41670</v>
      </c>
      <c r="B127" s="30" t="n">
        <f aca="false">'SA Data'!R127</f>
        <v>122.530390867434</v>
      </c>
      <c r="C127" s="31" t="n">
        <f aca="false">IFERROR((B127/B126-1)*100,"")</f>
        <v>4.09827108636252</v>
      </c>
      <c r="D127" s="31" t="n">
        <f aca="false">IFERROR((AVERAGE(B125:B127)/AVERAGE(B122:B124)-1)*100,"")</f>
        <v>-1.83481783648474</v>
      </c>
      <c r="E127" s="31" t="n">
        <f aca="false">IFERROR(((AVERAGE(B125:B127)/AVERAGE(B122:B124))^4-1)*100,"")</f>
        <v>-7.13973742981179</v>
      </c>
      <c r="F127" s="31" t="n">
        <f aca="false">IFERROR(('SA Data'!V127/'SA Data'!V115-1)*100,"")</f>
        <v>1.66750990334428</v>
      </c>
      <c r="G127" s="31" t="n">
        <f aca="false">IFERROR((AVERAGE('SA Data'!V127:V127)/AVERAGE('SA Data'!V115:V115)-1)*100,"")</f>
        <v>1.66750990334428</v>
      </c>
      <c r="H127" s="30" t="n">
        <f aca="false">'SA Data'!S127</f>
        <v>137.251451449808</v>
      </c>
      <c r="I127" s="31" t="n">
        <f aca="false">IFERROR((H127/H126-1)*100,"")</f>
        <v>-0.24532157913767</v>
      </c>
      <c r="J127" s="31" t="n">
        <f aca="false">IFERROR((AVERAGE(H125:H127)/AVERAGE(H122:H124)-1)*100,"")</f>
        <v>-1.46495046857338</v>
      </c>
      <c r="K127" s="31" t="n">
        <f aca="false">IFERROR(((AVERAGE(H125:H127)/AVERAGE(H122:H124))^4-1)*100,"")</f>
        <v>-5.73229003639989</v>
      </c>
      <c r="L127" s="31" t="n">
        <f aca="false">IFERROR(('SA Data'!W127/'SA Data'!W115-1)*100,"")</f>
        <v>0.4004636895097</v>
      </c>
      <c r="M127" s="31" t="n">
        <f aca="false">IFERROR((AVERAGE('SA Data'!W127:W127)/AVERAGE('SA Data'!W115:W115)-1)*100,"")</f>
        <v>0.4004636895097</v>
      </c>
      <c r="N127" s="30" t="n">
        <f aca="false">'SA Data'!T127</f>
        <v>156.534432701419</v>
      </c>
      <c r="O127" s="31" t="n">
        <f aca="false">IFERROR((N127/N126-1)*100,"")</f>
        <v>0.518737474002262</v>
      </c>
      <c r="P127" s="31" t="n">
        <f aca="false">IFERROR((AVERAGE(N125:N127)/AVERAGE(N122:N124)-1)*100,"")</f>
        <v>-0.727787528802715</v>
      </c>
      <c r="Q127" s="31" t="n">
        <f aca="false">IFERROR(((AVERAGE(N125:N127)/AVERAGE(N122:N124))^4-1)*100,"")</f>
        <v>-2.87952354968337</v>
      </c>
      <c r="R127" s="31" t="n">
        <f aca="false">IFERROR(('SA Data'!X127/'SA Data'!X115-1)*100,"")</f>
        <v>1.26588730880473</v>
      </c>
      <c r="S127" s="31" t="n">
        <f aca="false">IFERROR((AVERAGE('SA Data'!X127:X127)/AVERAGE('SA Data'!X115:X115)-1)*100,"")</f>
        <v>1.26588730880473</v>
      </c>
    </row>
    <row r="128" customFormat="false" ht="15" hidden="false" customHeight="false" outlineLevel="0" collapsed="false">
      <c r="A128" s="20" t="n">
        <v>41698</v>
      </c>
      <c r="B128" s="30" t="n">
        <f aca="false">'SA Data'!R128</f>
        <v>120.146915720691</v>
      </c>
      <c r="C128" s="31" t="n">
        <f aca="false">IFERROR((B128/B127-1)*100,"")</f>
        <v>-1.94521141234415</v>
      </c>
      <c r="D128" s="31" t="n">
        <f aca="false">IFERROR((AVERAGE(B126:B128)/AVERAGE(B123:B125)-1)*100,"")</f>
        <v>-3.03164156881395</v>
      </c>
      <c r="E128" s="31" t="n">
        <f aca="false">IFERROR(((AVERAGE(B126:B128)/AVERAGE(B123:B125))^4-1)*100,"")</f>
        <v>-11.5861761133102</v>
      </c>
      <c r="F128" s="31" t="n">
        <f aca="false">IFERROR(('SA Data'!V128/'SA Data'!V116-1)*100,"")</f>
        <v>-5.79153335954977</v>
      </c>
      <c r="G128" s="31" t="n">
        <f aca="false">IFERROR((AVERAGE('SA Data'!V127:V128)/AVERAGE('SA Data'!V115:V116)-1)*100,"")</f>
        <v>-2.32190382607188</v>
      </c>
      <c r="H128" s="30" t="n">
        <f aca="false">'SA Data'!S128</f>
        <v>136.183613218394</v>
      </c>
      <c r="I128" s="31" t="n">
        <f aca="false">IFERROR((H128/H127-1)*100,"")</f>
        <v>-0.778015984628266</v>
      </c>
      <c r="J128" s="31" t="n">
        <f aca="false">IFERROR((AVERAGE(H126:H128)/AVERAGE(H123:H125)-1)*100,"")</f>
        <v>-0.996509797162715</v>
      </c>
      <c r="K128" s="31" t="n">
        <f aca="false">IFERROR(((AVERAGE(H126:H128)/AVERAGE(H123:H125))^4-1)*100,"")</f>
        <v>-3.92685212234568</v>
      </c>
      <c r="L128" s="31" t="n">
        <f aca="false">IFERROR(('SA Data'!W128/'SA Data'!W116-1)*100,"")</f>
        <v>0.294583993650921</v>
      </c>
      <c r="M128" s="31" t="n">
        <f aca="false">IFERROR((AVERAGE('SA Data'!W127:W128)/AVERAGE('SA Data'!W115:W116)-1)*100,"")</f>
        <v>0.348371185069429</v>
      </c>
      <c r="N128" s="30" t="n">
        <f aca="false">'SA Data'!T128</f>
        <v>154.600111277603</v>
      </c>
      <c r="O128" s="31" t="n">
        <f aca="false">IFERROR((N128/N127-1)*100,"")</f>
        <v>-1.23571625132797</v>
      </c>
      <c r="P128" s="31" t="n">
        <f aca="false">IFERROR((AVERAGE(N126:N128)/AVERAGE(N123:N125)-1)*100,"")</f>
        <v>-0.420644048835395</v>
      </c>
      <c r="Q128" s="31" t="n">
        <f aca="false">IFERROR(((AVERAGE(N126:N128)/AVERAGE(N123:N125))^4-1)*100,"")</f>
        <v>-1.6719894508255</v>
      </c>
      <c r="R128" s="31" t="n">
        <f aca="false">IFERROR(('SA Data'!X128/'SA Data'!X116-1)*100,"")</f>
        <v>0.694130261373749</v>
      </c>
      <c r="S128" s="31" t="n">
        <f aca="false">IFERROR((AVERAGE('SA Data'!X127:X128)/AVERAGE('SA Data'!X115:X116)-1)*100,"")</f>
        <v>0.983651412660302</v>
      </c>
    </row>
    <row r="129" customFormat="false" ht="15" hidden="false" customHeight="false" outlineLevel="0" collapsed="false">
      <c r="A129" s="20" t="n">
        <v>41729</v>
      </c>
      <c r="B129" s="30" t="n">
        <f aca="false">'SA Data'!R129</f>
        <v>118.533632688796</v>
      </c>
      <c r="C129" s="31" t="n">
        <f aca="false">IFERROR((B129/B128-1)*100,"")</f>
        <v>-1.34275859036213</v>
      </c>
      <c r="D129" s="31" t="n">
        <f aca="false">IFERROR((AVERAGE(B127:B129)/AVERAGE(B124:B126)-1)*100,"")</f>
        <v>-1.0371434884564</v>
      </c>
      <c r="E129" s="31" t="n">
        <f aca="false">IFERROR(((AVERAGE(B127:B129)/AVERAGE(B124:B126))^4-1)*100,"")</f>
        <v>-4.08447904807857</v>
      </c>
      <c r="F129" s="31" t="n">
        <f aca="false">IFERROR(('SA Data'!V129/'SA Data'!V117-1)*100,"")</f>
        <v>-5.72438739104421</v>
      </c>
      <c r="G129" s="31" t="n">
        <f aca="false">IFERROR((AVERAGE('SA Data'!V127:V129)/AVERAGE('SA Data'!V115:V117)-1)*100,"")</f>
        <v>-4.03793809073035</v>
      </c>
      <c r="H129" s="30" t="n">
        <f aca="false">'SA Data'!S129</f>
        <v>132.342371830385</v>
      </c>
      <c r="I129" s="31" t="n">
        <f aca="false">IFERROR((H129/H128-1)*100,"")</f>
        <v>-2.82063406692644</v>
      </c>
      <c r="J129" s="31" t="n">
        <f aca="false">IFERROR((AVERAGE(H127:H129)/AVERAGE(H124:H126)-1)*100,"")</f>
        <v>-1.82119539716107</v>
      </c>
      <c r="K129" s="31" t="n">
        <f aca="false">IFERROR(((AVERAGE(H127:H129)/AVERAGE(H124:H126))^4-1)*100,"")</f>
        <v>-7.08818160919936</v>
      </c>
      <c r="L129" s="31" t="n">
        <f aca="false">IFERROR(('SA Data'!W129/'SA Data'!W117-1)*100,"")</f>
        <v>-3.04213708829986</v>
      </c>
      <c r="M129" s="31" t="n">
        <f aca="false">IFERROR((AVERAGE('SA Data'!W127:W129)/AVERAGE('SA Data'!W115:W117)-1)*100,"")</f>
        <v>-0.866569935287764</v>
      </c>
      <c r="N129" s="30" t="n">
        <f aca="false">'SA Data'!T129</f>
        <v>150.880846608449</v>
      </c>
      <c r="O129" s="31" t="n">
        <f aca="false">IFERROR((N129/N128-1)*100,"")</f>
        <v>-2.40573220705861</v>
      </c>
      <c r="P129" s="31" t="n">
        <f aca="false">IFERROR((AVERAGE(N127:N129)/AVERAGE(N124:N126)-1)*100,"")</f>
        <v>-1.23414764080484</v>
      </c>
      <c r="Q129" s="31" t="n">
        <f aca="false">IFERROR(((AVERAGE(N127:N129)/AVERAGE(N124:N126))^4-1)*100,"")</f>
        <v>-4.84595292154434</v>
      </c>
      <c r="R129" s="31" t="n">
        <f aca="false">IFERROR(('SA Data'!X129/'SA Data'!X117-1)*100,"")</f>
        <v>-2.38531765721943</v>
      </c>
      <c r="S129" s="31" t="n">
        <f aca="false">IFERROR((AVERAGE('SA Data'!X127:X129)/AVERAGE('SA Data'!X115:X117)-1)*100,"")</f>
        <v>-0.179976656445369</v>
      </c>
    </row>
    <row r="130" customFormat="false" ht="15" hidden="false" customHeight="false" outlineLevel="0" collapsed="false">
      <c r="A130" s="20" t="n">
        <v>41759</v>
      </c>
      <c r="B130" s="30" t="n">
        <f aca="false">'SA Data'!R130</f>
        <v>127.257090841389</v>
      </c>
      <c r="C130" s="31" t="n">
        <f aca="false">IFERROR((B130/B129-1)*100,"")</f>
        <v>7.35947929268004</v>
      </c>
      <c r="D130" s="31" t="n">
        <f aca="false">IFERROR((AVERAGE(B128:B130)/AVERAGE(B125:B127)-1)*100,"")</f>
        <v>0.713411230638239</v>
      </c>
      <c r="E130" s="31" t="n">
        <f aca="false">IFERROR(((AVERAGE(B128:B130)/AVERAGE(B125:B127))^4-1)*100,"")</f>
        <v>2.8843277544806</v>
      </c>
      <c r="F130" s="31" t="n">
        <f aca="false">IFERROR(('SA Data'!V130/'SA Data'!V118-1)*100,"")</f>
        <v>5.63173455490282</v>
      </c>
      <c r="G130" s="31" t="n">
        <f aca="false">IFERROR((AVERAGE('SA Data'!V127:V130)/AVERAGE('SA Data'!V115:V118)-1)*100,"")</f>
        <v>0.0369222945556524</v>
      </c>
      <c r="H130" s="30" t="n">
        <f aca="false">'SA Data'!S130</f>
        <v>134.294766039297</v>
      </c>
      <c r="I130" s="31" t="n">
        <f aca="false">IFERROR((H130/H129-1)*100,"")</f>
        <v>1.4752601014395</v>
      </c>
      <c r="J130" s="31" t="n">
        <f aca="false">IFERROR((AVERAGE(H128:H130)/AVERAGE(H125:H127)-1)*100,"")</f>
        <v>-2.0166053785878</v>
      </c>
      <c r="K130" s="31" t="n">
        <f aca="false">IFERROR(((AVERAGE(H128:H130)/AVERAGE(H125:H127))^4-1)*100,"")</f>
        <v>-7.82568351056905</v>
      </c>
      <c r="L130" s="31" t="n">
        <f aca="false">IFERROR(('SA Data'!W130/'SA Data'!W118-1)*100,"")</f>
        <v>-5.1700664423921</v>
      </c>
      <c r="M130" s="31" t="n">
        <f aca="false">IFERROR((AVERAGE('SA Data'!W127:W130)/AVERAGE('SA Data'!W115:W118)-1)*100,"")</f>
        <v>-2.01206730397044</v>
      </c>
      <c r="N130" s="30" t="n">
        <f aca="false">'SA Data'!T130</f>
        <v>154.221529494266</v>
      </c>
      <c r="O130" s="31" t="n">
        <f aca="false">IFERROR((N130/N129-1)*100,"")</f>
        <v>2.21411992370761</v>
      </c>
      <c r="P130" s="31" t="n">
        <f aca="false">IFERROR((AVERAGE(N128:N130)/AVERAGE(N125:N127)-1)*100,"")</f>
        <v>-1.62615405145937</v>
      </c>
      <c r="Q130" s="31" t="n">
        <f aca="false">IFERROR(((AVERAGE(N128:N130)/AVERAGE(N125:N127))^4-1)*100,"")</f>
        <v>-6.34766665891137</v>
      </c>
      <c r="R130" s="31" t="n">
        <f aca="false">IFERROR(('SA Data'!X130/'SA Data'!X118-1)*100,"")</f>
        <v>-2.35958005279734</v>
      </c>
      <c r="S130" s="31" t="n">
        <f aca="false">IFERROR((AVERAGE('SA Data'!X127:X130)/AVERAGE('SA Data'!X115:X118)-1)*100,"")</f>
        <v>-0.742025599583274</v>
      </c>
    </row>
    <row r="131" customFormat="false" ht="15" hidden="false" customHeight="false" outlineLevel="0" collapsed="false">
      <c r="A131" s="20" t="n">
        <v>41790</v>
      </c>
      <c r="B131" s="30" t="n">
        <f aca="false">'SA Data'!R131</f>
        <v>131.472789744165</v>
      </c>
      <c r="C131" s="31" t="n">
        <f aca="false">IFERROR((B131/B130-1)*100,"")</f>
        <v>3.31274184794159</v>
      </c>
      <c r="D131" s="31" t="n">
        <f aca="false">IFERROR((AVERAGE(B129:B131)/AVERAGE(B126:B128)-1)*100,"")</f>
        <v>4.68382518714705</v>
      </c>
      <c r="E131" s="31" t="n">
        <f aca="false">IFERROR(((AVERAGE(B129:B131)/AVERAGE(B126:B128))^4-1)*100,"")</f>
        <v>20.09317704897</v>
      </c>
      <c r="F131" s="31" t="n">
        <f aca="false">IFERROR(('SA Data'!V131/'SA Data'!V119-1)*100,"")</f>
        <v>8.75526878159556</v>
      </c>
      <c r="G131" s="31" t="n">
        <f aca="false">IFERROR((AVERAGE('SA Data'!V127:V131)/AVERAGE('SA Data'!V115:V119)-1)*100,"")</f>
        <v>3.37108699315349</v>
      </c>
      <c r="H131" s="30" t="n">
        <f aca="false">'SA Data'!S131</f>
        <v>134.00243304456</v>
      </c>
      <c r="I131" s="31" t="n">
        <f aca="false">IFERROR((H131/H130-1)*100,"")</f>
        <v>-0.217680110222018</v>
      </c>
      <c r="J131" s="31" t="n">
        <f aca="false">IFERROR((AVERAGE(H129:H131)/AVERAGE(H126:H128)-1)*100,"")</f>
        <v>-2.52648978544049</v>
      </c>
      <c r="K131" s="31" t="n">
        <f aca="false">IFERROR(((AVERAGE(H129:H131)/AVERAGE(H126:H128))^4-1)*100,"")</f>
        <v>-9.72938014494605</v>
      </c>
      <c r="L131" s="31" t="n">
        <f aca="false">IFERROR(('SA Data'!W131/'SA Data'!W119-1)*100,"")</f>
        <v>-4.16124502284577</v>
      </c>
      <c r="M131" s="31" t="n">
        <f aca="false">IFERROR((AVERAGE('SA Data'!W127:W131)/AVERAGE('SA Data'!W115:W119)-1)*100,"")</f>
        <v>-2.47202460088001</v>
      </c>
      <c r="N131" s="30" t="n">
        <f aca="false">'SA Data'!T131</f>
        <v>154.030128481266</v>
      </c>
      <c r="O131" s="31" t="n">
        <f aca="false">IFERROR((N131/N130-1)*100,"")</f>
        <v>-0.12410784254786</v>
      </c>
      <c r="P131" s="31" t="n">
        <f aca="false">IFERROR((AVERAGE(N129:N131)/AVERAGE(N126:N128)-1)*100,"")</f>
        <v>-1.65545141680328</v>
      </c>
      <c r="Q131" s="31" t="n">
        <f aca="false">IFERROR(((AVERAGE(N129:N131)/AVERAGE(N126:N128))^4-1)*100,"")</f>
        <v>-6.45918171184784</v>
      </c>
      <c r="R131" s="31" t="n">
        <f aca="false">IFERROR(('SA Data'!X131/'SA Data'!X119-1)*100,"")</f>
        <v>-2.01709003724596</v>
      </c>
      <c r="S131" s="31" t="n">
        <f aca="false">IFERROR((AVERAGE('SA Data'!X127:X131)/AVERAGE('SA Data'!X115:X119)-1)*100,"")</f>
        <v>-1.00716836024508</v>
      </c>
    </row>
    <row r="132" customFormat="false" ht="15" hidden="false" customHeight="false" outlineLevel="0" collapsed="false">
      <c r="A132" s="20" t="n">
        <v>41820</v>
      </c>
      <c r="B132" s="30" t="n">
        <f aca="false">'SA Data'!R132</f>
        <v>130.429017871964</v>
      </c>
      <c r="C132" s="31" t="n">
        <f aca="false">IFERROR((B132/B131-1)*100,"")</f>
        <v>-0.793907145525796</v>
      </c>
      <c r="D132" s="31" t="n">
        <f aca="false">IFERROR((AVERAGE(B130:B132)/AVERAGE(B127:B129)-1)*100,"")</f>
        <v>7.737295896006</v>
      </c>
      <c r="E132" s="31" t="n">
        <f aca="false">IFERROR(((AVERAGE(B130:B132)/AVERAGE(B127:B129))^4-1)*100,"")</f>
        <v>34.7299919605737</v>
      </c>
      <c r="F132" s="31" t="n">
        <f aca="false">IFERROR(('SA Data'!V132/'SA Data'!V120-1)*100,"")</f>
        <v>8.21774218169624</v>
      </c>
      <c r="G132" s="31" t="n">
        <f aca="false">IFERROR((AVERAGE('SA Data'!V127:V132)/AVERAGE('SA Data'!V115:V120)-1)*100,"")</f>
        <v>4.36040862902027</v>
      </c>
      <c r="H132" s="30" t="n">
        <f aca="false">'SA Data'!S132</f>
        <v>132.441644507844</v>
      </c>
      <c r="I132" s="31" t="n">
        <f aca="false">IFERROR((H132/H131-1)*100,"")</f>
        <v>-1.16474641635591</v>
      </c>
      <c r="J132" s="31" t="n">
        <f aca="false">IFERROR((AVERAGE(H130:H132)/AVERAGE(H127:H129)-1)*100,"")</f>
        <v>-1.2417134255573</v>
      </c>
      <c r="K132" s="31" t="n">
        <f aca="false">IFERROR(((AVERAGE(H130:H132)/AVERAGE(H127:H129))^4-1)*100,"")</f>
        <v>-4.87510600649463</v>
      </c>
      <c r="L132" s="31" t="n">
        <f aca="false">IFERROR(('SA Data'!W132/'SA Data'!W120-1)*100,"")</f>
        <v>-2.85365712099844</v>
      </c>
      <c r="M132" s="31" t="n">
        <f aca="false">IFERROR((AVERAGE('SA Data'!W127:W132)/AVERAGE('SA Data'!W115:W120)-1)*100,"")</f>
        <v>-2.53721574886319</v>
      </c>
      <c r="N132" s="30" t="n">
        <f aca="false">'SA Data'!T132</f>
        <v>153.564022932278</v>
      </c>
      <c r="O132" s="31" t="n">
        <f aca="false">IFERROR((N132/N131-1)*100,"")</f>
        <v>-0.302606739073941</v>
      </c>
      <c r="P132" s="31" t="n">
        <f aca="false">IFERROR((AVERAGE(N130:N132)/AVERAGE(N127:N129)-1)*100,"")</f>
        <v>-0.0432257634118471</v>
      </c>
      <c r="Q132" s="31" t="n">
        <f aca="false">IFERROR(((AVERAGE(N130:N132)/AVERAGE(N127:N129))^4-1)*100,"")</f>
        <v>-0.172790977952908</v>
      </c>
      <c r="R132" s="31" t="n">
        <f aca="false">IFERROR(('SA Data'!X132/'SA Data'!X120-1)*100,"")</f>
        <v>-1.29826936603071</v>
      </c>
      <c r="S132" s="31" t="n">
        <f aca="false">IFERROR((AVERAGE('SA Data'!X127:X132)/AVERAGE('SA Data'!X115:X120)-1)*100,"")</f>
        <v>-1.05701317370507</v>
      </c>
    </row>
    <row r="133" customFormat="false" ht="15" hidden="false" customHeight="false" outlineLevel="0" collapsed="false">
      <c r="A133" s="20" t="n">
        <v>41851</v>
      </c>
      <c r="B133" s="30" t="n">
        <f aca="false">'SA Data'!R133</f>
        <v>126.241247683033</v>
      </c>
      <c r="C133" s="31" t="n">
        <f aca="false">IFERROR((B133/B132-1)*100,"")</f>
        <v>-3.21076571552673</v>
      </c>
      <c r="D133" s="31" t="n">
        <f aca="false">IFERROR((AVERAGE(B131:B133)/AVERAGE(B128:B130)-1)*100,"")</f>
        <v>6.06808747352239</v>
      </c>
      <c r="E133" s="31" t="n">
        <f aca="false">IFERROR(((AVERAGE(B131:B133)/AVERAGE(B128:B130))^4-1)*100,"")</f>
        <v>26.5723817494223</v>
      </c>
      <c r="F133" s="31" t="n">
        <f aca="false">IFERROR(('SA Data'!V133/'SA Data'!V121-1)*100,"")</f>
        <v>2.49674618877687</v>
      </c>
      <c r="G133" s="31" t="n">
        <f aca="false">IFERROR((AVERAGE('SA Data'!V127:V133)/AVERAGE('SA Data'!V115:V121)-1)*100,"")</f>
        <v>4.17333341687798</v>
      </c>
      <c r="H133" s="30" t="n">
        <f aca="false">'SA Data'!S133</f>
        <v>132.234015893369</v>
      </c>
      <c r="I133" s="31" t="n">
        <f aca="false">IFERROR((H133/H132-1)*100,"")</f>
        <v>-0.156769885519747</v>
      </c>
      <c r="J133" s="31" t="n">
        <f aca="false">IFERROR((AVERAGE(H131:H133)/AVERAGE(H128:H130)-1)*100,"")</f>
        <v>-1.02841217368091</v>
      </c>
      <c r="K133" s="31" t="n">
        <f aca="false">IFERROR(((AVERAGE(H131:H133)/AVERAGE(H128:H130))^4-1)*100,"")</f>
        <v>-4.05062475268522</v>
      </c>
      <c r="L133" s="31" t="n">
        <f aca="false">IFERROR(('SA Data'!W133/'SA Data'!W121-1)*100,"")</f>
        <v>-4.15533072149159</v>
      </c>
      <c r="M133" s="31" t="n">
        <f aca="false">IFERROR((AVERAGE('SA Data'!W127:W133)/AVERAGE('SA Data'!W115:W121)-1)*100,"")</f>
        <v>-2.77701687152263</v>
      </c>
      <c r="N133" s="30" t="n">
        <f aca="false">'SA Data'!T133</f>
        <v>154.124887368604</v>
      </c>
      <c r="O133" s="31" t="n">
        <f aca="false">IFERROR((N133/N132-1)*100,"")</f>
        <v>0.365231664042298</v>
      </c>
      <c r="P133" s="31" t="n">
        <f aca="false">IFERROR((AVERAGE(N131:N133)/AVERAGE(N128:N130)-1)*100,"")</f>
        <v>0.438664453029269</v>
      </c>
      <c r="Q133" s="31" t="n">
        <f aca="false">IFERROR(((AVERAGE(N131:N133)/AVERAGE(N128:N130))^4-1)*100,"")</f>
        <v>1.76623720355269</v>
      </c>
      <c r="R133" s="31" t="n">
        <f aca="false">IFERROR(('SA Data'!X133/'SA Data'!X121-1)*100,"")</f>
        <v>-1.98099218437713</v>
      </c>
      <c r="S133" s="31" t="n">
        <f aca="false">IFERROR((AVERAGE('SA Data'!X127:X133)/AVERAGE('SA Data'!X115:X121)-1)*100,"")</f>
        <v>-1.19247411802416</v>
      </c>
    </row>
    <row r="134" customFormat="false" ht="15" hidden="false" customHeight="false" outlineLevel="0" collapsed="false">
      <c r="A134" s="20" t="n">
        <v>41882</v>
      </c>
      <c r="B134" s="30" t="n">
        <f aca="false">'SA Data'!R134</f>
        <v>121.165447378304</v>
      </c>
      <c r="C134" s="31" t="n">
        <f aca="false">IFERROR((B134/B133-1)*100,"")</f>
        <v>-4.0207146221126</v>
      </c>
      <c r="D134" s="31" t="n">
        <f aca="false">IFERROR((AVERAGE(B132:B134)/AVERAGE(B129:B131)-1)*100,"")</f>
        <v>0.151671083689986</v>
      </c>
      <c r="E134" s="31" t="n">
        <f aca="false">IFERROR(((AVERAGE(B132:B134)/AVERAGE(B129:B131))^4-1)*100,"")</f>
        <v>0.608065977970584</v>
      </c>
      <c r="F134" s="31" t="n">
        <f aca="false">IFERROR(('SA Data'!V134/'SA Data'!V122-1)*100,"")</f>
        <v>-1.48222662894271</v>
      </c>
      <c r="G134" s="31" t="n">
        <f aca="false">IFERROR((AVERAGE('SA Data'!V127:V134)/AVERAGE('SA Data'!V115:V122)-1)*100,"")</f>
        <v>3.82486125742589</v>
      </c>
      <c r="H134" s="30" t="n">
        <f aca="false">'SA Data'!S134</f>
        <v>128.220965667252</v>
      </c>
      <c r="I134" s="31" t="n">
        <f aca="false">IFERROR((H134/H133-1)*100,"")</f>
        <v>-3.03480931060374</v>
      </c>
      <c r="J134" s="31" t="n">
        <f aca="false">IFERROR((AVERAGE(H132:H134)/AVERAGE(H129:H131)-1)*100,"")</f>
        <v>-1.93264605094019</v>
      </c>
      <c r="K134" s="31" t="n">
        <f aca="false">IFERROR(((AVERAGE(H132:H134)/AVERAGE(H129:H131))^4-1)*100,"")</f>
        <v>-7.50935047369405</v>
      </c>
      <c r="L134" s="31" t="n">
        <f aca="false">IFERROR(('SA Data'!W134/'SA Data'!W122-1)*100,"")</f>
        <v>-6.76795969440172</v>
      </c>
      <c r="M134" s="31" t="n">
        <f aca="false">IFERROR((AVERAGE('SA Data'!W127:W134)/AVERAGE('SA Data'!W115:W122)-1)*100,"")</f>
        <v>-3.30316637621564</v>
      </c>
      <c r="N134" s="30" t="n">
        <f aca="false">'SA Data'!T134</f>
        <v>152.44195895126</v>
      </c>
      <c r="O134" s="31" t="n">
        <f aca="false">IFERROR((N134/N133-1)*100,"")</f>
        <v>-1.09192515633026</v>
      </c>
      <c r="P134" s="31" t="n">
        <f aca="false">IFERROR((AVERAGE(N132:N134)/AVERAGE(N129:N131)-1)*100,"")</f>
        <v>0.217445869807076</v>
      </c>
      <c r="Q134" s="31" t="n">
        <f aca="false">IFERROR(((AVERAGE(N132:N134)/AVERAGE(N129:N131))^4-1)*100,"")</f>
        <v>0.872624556413415</v>
      </c>
      <c r="R134" s="31" t="n">
        <f aca="false">IFERROR(('SA Data'!X134/'SA Data'!X122-1)*100,"")</f>
        <v>-2.75146967069818</v>
      </c>
      <c r="S134" s="31" t="n">
        <f aca="false">IFERROR((AVERAGE('SA Data'!X127:X134)/AVERAGE('SA Data'!X115:X122)-1)*100,"")</f>
        <v>-1.39094188080314</v>
      </c>
    </row>
    <row r="135" customFormat="false" ht="15" hidden="false" customHeight="false" outlineLevel="0" collapsed="false">
      <c r="A135" s="20" t="n">
        <v>41912</v>
      </c>
      <c r="B135" s="30" t="n">
        <f aca="false">'SA Data'!R135</f>
        <v>127.7454320513</v>
      </c>
      <c r="C135" s="31" t="n">
        <f aca="false">IFERROR((B135/B134-1)*100,"")</f>
        <v>5.43057844902946</v>
      </c>
      <c r="D135" s="31" t="n">
        <f aca="false">IFERROR((AVERAGE(B133:B135)/AVERAGE(B130:B132)-1)*100,"")</f>
        <v>-3.5992422119601</v>
      </c>
      <c r="E135" s="31" t="n">
        <f aca="false">IFERROR(((AVERAGE(B133:B135)/AVERAGE(B130:B132))^4-1)*100,"")</f>
        <v>-13.6381789749568</v>
      </c>
      <c r="F135" s="31" t="n">
        <f aca="false">IFERROR(('SA Data'!V135/'SA Data'!V123-1)*100,"")</f>
        <v>0.436117142264414</v>
      </c>
      <c r="G135" s="31" t="n">
        <f aca="false">IFERROR((AVERAGE('SA Data'!V127:V135)/AVERAGE('SA Data'!V115:V123)-1)*100,"")</f>
        <v>3.63500772755783</v>
      </c>
      <c r="H135" s="30" t="n">
        <f aca="false">'SA Data'!S135</f>
        <v>131.836285273729</v>
      </c>
      <c r="I135" s="31" t="n">
        <f aca="false">IFERROR((H135/H134-1)*100,"")</f>
        <v>2.81960098152727</v>
      </c>
      <c r="J135" s="31" t="n">
        <f aca="false">IFERROR((AVERAGE(H133:H135)/AVERAGE(H130:H132)-1)*100,"")</f>
        <v>-2.10800048271818</v>
      </c>
      <c r="K135" s="31" t="n">
        <f aca="false">IFERROR(((AVERAGE(H133:H135)/AVERAGE(H130:H132))^4-1)*100,"")</f>
        <v>-8.16910912265532</v>
      </c>
      <c r="L135" s="31" t="n">
        <f aca="false">IFERROR(('SA Data'!W135/'SA Data'!W123-1)*100,"")</f>
        <v>-5.76335005959983</v>
      </c>
      <c r="M135" s="31" t="n">
        <f aca="false">IFERROR((AVERAGE('SA Data'!W127:W135)/AVERAGE('SA Data'!W115:W123)-1)*100,"")</f>
        <v>-3.59111898864107</v>
      </c>
      <c r="N135" s="30" t="n">
        <f aca="false">'SA Data'!T135</f>
        <v>155.626112959771</v>
      </c>
      <c r="O135" s="31" t="n">
        <f aca="false">IFERROR((N135/N134-1)*100,"")</f>
        <v>2.08876481935572</v>
      </c>
      <c r="P135" s="31" t="n">
        <f aca="false">IFERROR((AVERAGE(N133:N135)/AVERAGE(N130:N132)-1)*100,"")</f>
        <v>0.0816945780365952</v>
      </c>
      <c r="Q135" s="31" t="n">
        <f aca="false">IFERROR(((AVERAGE(N133:N135)/AVERAGE(N130:N132))^4-1)*100,"")</f>
        <v>0.327178970527742</v>
      </c>
      <c r="R135" s="31" t="n">
        <f aca="false">IFERROR(('SA Data'!X135/'SA Data'!X123-1)*100,"")</f>
        <v>-1.13579329289381</v>
      </c>
      <c r="S135" s="31" t="n">
        <f aca="false">IFERROR((AVERAGE('SA Data'!X127:X135)/AVERAGE('SA Data'!X115:X123)-1)*100,"")</f>
        <v>-1.362358860802</v>
      </c>
    </row>
    <row r="136" customFormat="false" ht="15" hidden="false" customHeight="false" outlineLevel="0" collapsed="false">
      <c r="A136" s="20" t="n">
        <v>41943</v>
      </c>
      <c r="B136" s="30" t="n">
        <f aca="false">'SA Data'!R136</f>
        <v>121.51233770998</v>
      </c>
      <c r="C136" s="31" t="n">
        <f aca="false">IFERROR((B136/B135-1)*100,"")</f>
        <v>-4.87930898289713</v>
      </c>
      <c r="D136" s="31" t="n">
        <f aca="false">IFERROR((AVERAGE(B134:B136)/AVERAGE(B131:B133)-1)*100,"")</f>
        <v>-4.56528538064926</v>
      </c>
      <c r="E136" s="31" t="n">
        <f aca="false">IFERROR(((AVERAGE(B134:B136)/AVERAGE(B131:B133))^4-1)*100,"")</f>
        <v>-17.0482568661178</v>
      </c>
      <c r="F136" s="31" t="n">
        <f aca="false">IFERROR(('SA Data'!V136/'SA Data'!V124-1)*100,"")</f>
        <v>-1.17632847418705</v>
      </c>
      <c r="G136" s="31" t="n">
        <f aca="false">IFERROR((AVERAGE('SA Data'!V127:V136)/AVERAGE('SA Data'!V115:V124)-1)*100,"")</f>
        <v>3.3671485113131</v>
      </c>
      <c r="H136" s="30" t="n">
        <f aca="false">'SA Data'!S136</f>
        <v>132.021176351742</v>
      </c>
      <c r="I136" s="31" t="n">
        <f aca="false">IFERROR((H136/H135-1)*100,"")</f>
        <v>0.140242936630575</v>
      </c>
      <c r="J136" s="31" t="n">
        <f aca="false">IFERROR((AVERAGE(H134:H136)/AVERAGE(H131:H133)-1)*100,"")</f>
        <v>-1.6553872062571</v>
      </c>
      <c r="K136" s="31" t="n">
        <f aca="false">IFERROR(((AVERAGE(H134:H136)/AVERAGE(H131:H133))^4-1)*100,"")</f>
        <v>-6.45893741511756</v>
      </c>
      <c r="L136" s="31" t="n">
        <f aca="false">IFERROR(('SA Data'!W136/'SA Data'!W124-1)*100,"")</f>
        <v>-5.34101083865446</v>
      </c>
      <c r="M136" s="31" t="n">
        <f aca="false">IFERROR((AVERAGE('SA Data'!W127:W136)/AVERAGE('SA Data'!W115:W124)-1)*100,"")</f>
        <v>-3.77660457833044</v>
      </c>
      <c r="N136" s="30" t="n">
        <f aca="false">'SA Data'!T136</f>
        <v>155.934755908965</v>
      </c>
      <c r="O136" s="31" t="n">
        <f aca="false">IFERROR((N136/N135-1)*100,"")</f>
        <v>0.198323368311404</v>
      </c>
      <c r="P136" s="31" t="n">
        <f aca="false">IFERROR((AVERAGE(N134:N136)/AVERAGE(N131:N133)-1)*100,"")</f>
        <v>0.494627434872874</v>
      </c>
      <c r="Q136" s="31" t="n">
        <f aca="false">IFERROR(((AVERAGE(N134:N136)/AVERAGE(N131:N133))^4-1)*100,"")</f>
        <v>1.99323758279504</v>
      </c>
      <c r="R136" s="31" t="n">
        <f aca="false">IFERROR(('SA Data'!X136/'SA Data'!X124-1)*100,"")</f>
        <v>-0.774254025673438</v>
      </c>
      <c r="S136" s="31" t="n">
        <f aca="false">IFERROR((AVERAGE('SA Data'!X127:X136)/AVERAGE('SA Data'!X115:X124)-1)*100,"")</f>
        <v>-1.30281280860747</v>
      </c>
    </row>
    <row r="137" customFormat="false" ht="15" hidden="false" customHeight="false" outlineLevel="0" collapsed="false">
      <c r="A137" s="20" t="n">
        <v>41973</v>
      </c>
      <c r="B137" s="30" t="n">
        <f aca="false">'SA Data'!R137</f>
        <v>121.82541894128</v>
      </c>
      <c r="C137" s="31" t="n">
        <f aca="false">IFERROR((B137/B136-1)*100,"")</f>
        <v>0.257653862315732</v>
      </c>
      <c r="D137" s="31" t="n">
        <f aca="false">IFERROR((AVERAGE(B135:B137)/AVERAGE(B132:B134)-1)*100,"")</f>
        <v>-1.78715880992762</v>
      </c>
      <c r="E137" s="31" t="n">
        <f aca="false">IFERROR(((AVERAGE(B135:B137)/AVERAGE(B132:B134))^4-1)*100,"")</f>
        <v>-6.95927207054703</v>
      </c>
      <c r="F137" s="31" t="n">
        <f aca="false">IFERROR(('SA Data'!V137/'SA Data'!V125-1)*100,"")</f>
        <v>-0.47416060966442</v>
      </c>
      <c r="G137" s="31" t="n">
        <f aca="false">IFERROR((AVERAGE('SA Data'!V127:V137)/AVERAGE('SA Data'!V115:V125)-1)*100,"")</f>
        <v>3.12999359176132</v>
      </c>
      <c r="H137" s="30" t="n">
        <f aca="false">'SA Data'!S137</f>
        <v>130.447821855774</v>
      </c>
      <c r="I137" s="31" t="n">
        <f aca="false">IFERROR((H137/H136-1)*100,"")</f>
        <v>-1.19174403640809</v>
      </c>
      <c r="J137" s="31" t="n">
        <f aca="false">IFERROR((AVERAGE(H135:H137)/AVERAGE(H132:H134)-1)*100,"")</f>
        <v>0.358531308063403</v>
      </c>
      <c r="K137" s="31" t="n">
        <f aca="false">IFERROR(((AVERAGE(H135:H137)/AVERAGE(H132:H134))^4-1)*100,"")</f>
        <v>1.44185636562866</v>
      </c>
      <c r="L137" s="31" t="n">
        <f aca="false">IFERROR(('SA Data'!W137/'SA Data'!W125-1)*100,"")</f>
        <v>-4.4083725905695</v>
      </c>
      <c r="M137" s="31" t="n">
        <f aca="false">IFERROR((AVERAGE('SA Data'!W127:W137)/AVERAGE('SA Data'!W115:W125)-1)*100,"")</f>
        <v>-3.83509973055193</v>
      </c>
      <c r="N137" s="30" t="n">
        <f aca="false">'SA Data'!T137</f>
        <v>153.405722519301</v>
      </c>
      <c r="O137" s="31" t="n">
        <f aca="false">IFERROR((N137/N136-1)*100,"")</f>
        <v>-1.62185355979301</v>
      </c>
      <c r="P137" s="31" t="n">
        <f aca="false">IFERROR((AVERAGE(N135:N137)/AVERAGE(N132:N134)-1)*100,"")</f>
        <v>1.05094495045595</v>
      </c>
      <c r="Q137" s="31" t="n">
        <f aca="false">IFERROR(((AVERAGE(N135:N137)/AVERAGE(N132:N134))^4-1)*100,"")</f>
        <v>4.27051444033975</v>
      </c>
      <c r="R137" s="31" t="n">
        <f aca="false">IFERROR(('SA Data'!X137/'SA Data'!X125-1)*100,"")</f>
        <v>-1.12079047436924</v>
      </c>
      <c r="S137" s="31" t="n">
        <f aca="false">IFERROR((AVERAGE('SA Data'!X127:X137)/AVERAGE('SA Data'!X115:X125)-1)*100,"")</f>
        <v>-1.28627633167887</v>
      </c>
    </row>
    <row r="138" customFormat="false" ht="15" hidden="false" customHeight="false" outlineLevel="0" collapsed="false">
      <c r="A138" s="20" t="n">
        <v>42004</v>
      </c>
      <c r="B138" s="30" t="n">
        <f aca="false">'SA Data'!R138</f>
        <v>118.719430918923</v>
      </c>
      <c r="C138" s="31" t="n">
        <f aca="false">IFERROR((B138/B137-1)*100,"")</f>
        <v>-2.54954019395086</v>
      </c>
      <c r="D138" s="31" t="n">
        <f aca="false">IFERROR((AVERAGE(B136:B138)/AVERAGE(B133:B135)-1)*100,"")</f>
        <v>-3.4905678512977</v>
      </c>
      <c r="E138" s="31" t="n">
        <f aca="false">IFERROR(((AVERAGE(B136:B138)/AVERAGE(B133:B135))^4-1)*100,"")</f>
        <v>-13.2480908390395</v>
      </c>
      <c r="F138" s="31" t="n">
        <f aca="false">IFERROR(('SA Data'!V138/'SA Data'!V126-1)*100,"")</f>
        <v>3.63250329143561</v>
      </c>
      <c r="G138" s="31" t="n">
        <f aca="false">IFERROR((AVERAGE('SA Data'!V127:V138)/AVERAGE('SA Data'!V115:V126)-1)*100,"")</f>
        <v>3.15928320747068</v>
      </c>
      <c r="H138" s="30" t="n">
        <f aca="false">'SA Data'!S138</f>
        <v>133.017865064921</v>
      </c>
      <c r="I138" s="31" t="n">
        <f aca="false">IFERROR((H138/H137-1)*100,"")</f>
        <v>1.97016950730546</v>
      </c>
      <c r="J138" s="31" t="n">
        <f aca="false">IFERROR((AVERAGE(H136:H138)/AVERAGE(H133:H135)-1)*100,"")</f>
        <v>0.814597904224113</v>
      </c>
      <c r="K138" s="31" t="n">
        <f aca="false">IFERROR(((AVERAGE(H136:H138)/AVERAGE(H133:H135))^4-1)*100,"")</f>
        <v>3.29842245896486</v>
      </c>
      <c r="L138" s="31" t="n">
        <f aca="false">IFERROR(('SA Data'!W138/'SA Data'!W126-1)*100,"")</f>
        <v>-3.89503296899705</v>
      </c>
      <c r="M138" s="31" t="n">
        <f aca="false">IFERROR((AVERAGE('SA Data'!W127:W138)/AVERAGE('SA Data'!W115:W126)-1)*100,"")</f>
        <v>-3.84001133883164</v>
      </c>
      <c r="N138" s="30" t="n">
        <f aca="false">'SA Data'!T138</f>
        <v>155.652632241695</v>
      </c>
      <c r="O138" s="31" t="n">
        <f aca="false">IFERROR((N138/N137-1)*100,"")</f>
        <v>1.46468442343244</v>
      </c>
      <c r="P138" s="31" t="n">
        <f aca="false">IFERROR((AVERAGE(N136:N138)/AVERAGE(N133:N135)-1)*100,"")</f>
        <v>0.605840338781838</v>
      </c>
      <c r="Q138" s="31" t="n">
        <f aca="false">IFERROR(((AVERAGE(N136:N138)/AVERAGE(N133:N135))^4-1)*100,"")</f>
        <v>2.44547298847819</v>
      </c>
      <c r="R138" s="31" t="n">
        <f aca="false">IFERROR(('SA Data'!X138/'SA Data'!X126-1)*100,"")</f>
        <v>-0.216461892438236</v>
      </c>
      <c r="S138" s="31" t="n">
        <f aca="false">IFERROR((AVERAGE('SA Data'!X127:X138)/AVERAGE('SA Data'!X115:X126)-1)*100,"")</f>
        <v>-1.19810786653197</v>
      </c>
    </row>
    <row r="139" customFormat="false" ht="15" hidden="false" customHeight="false" outlineLevel="0" collapsed="false">
      <c r="A139" s="20" t="n">
        <v>42035</v>
      </c>
      <c r="B139" s="30" t="n">
        <f aca="false">'SA Data'!R139</f>
        <v>113.04624643555</v>
      </c>
      <c r="C139" s="31" t="n">
        <f aca="false">IFERROR((B139/B138-1)*100,"")</f>
        <v>-4.7786486504029</v>
      </c>
      <c r="D139" s="31" t="n">
        <f aca="false">IFERROR((AVERAGE(B137:B139)/AVERAGE(B134:B136)-1)*100,"")</f>
        <v>-4.5440242579309</v>
      </c>
      <c r="E139" s="31" t="n">
        <f aca="false">IFERROR(((AVERAGE(B137:B139)/AVERAGE(B134:B136))^4-1)*100,"")</f>
        <v>-16.9743115874869</v>
      </c>
      <c r="F139" s="31" t="n">
        <f aca="false">IFERROR(('SA Data'!V139/'SA Data'!V127-1)*100,"")</f>
        <v>-5.66879350449521</v>
      </c>
      <c r="G139" s="31" t="n">
        <f aca="false">IFERROR((AVERAGE('SA Data'!V139:V139)/AVERAGE('SA Data'!V127:V127)-1)*100,"")</f>
        <v>-5.66879350449521</v>
      </c>
      <c r="H139" s="30" t="n">
        <f aca="false">'SA Data'!S139</f>
        <v>132.321074772454</v>
      </c>
      <c r="I139" s="31" t="n">
        <f aca="false">IFERROR((H139/H138-1)*100,"")</f>
        <v>-0.523832112420597</v>
      </c>
      <c r="J139" s="31" t="n">
        <f aca="false">IFERROR((AVERAGE(H137:H139)/AVERAGE(H134:H136)-1)*100,"")</f>
        <v>0.945814444837545</v>
      </c>
      <c r="K139" s="31" t="n">
        <f aca="false">IFERROR(((AVERAGE(H137:H139)/AVERAGE(H134:H136))^4-1)*100,"")</f>
        <v>3.83727091442641</v>
      </c>
      <c r="L139" s="31" t="n">
        <f aca="false">IFERROR(('SA Data'!W139/'SA Data'!W127-1)*100,"")</f>
        <v>-3.68685816289829</v>
      </c>
      <c r="M139" s="31" t="n">
        <f aca="false">IFERROR((AVERAGE('SA Data'!W139:W139)/AVERAGE('SA Data'!W127:W127)-1)*100,"")</f>
        <v>-3.68685816289829</v>
      </c>
      <c r="N139" s="30" t="n">
        <f aca="false">'SA Data'!T139</f>
        <v>154.424836605877</v>
      </c>
      <c r="O139" s="31" t="n">
        <f aca="false">IFERROR((N139/N138-1)*100,"")</f>
        <v>-0.78880492937049</v>
      </c>
      <c r="P139" s="31" t="n">
        <f aca="false">IFERROR((AVERAGE(N137:N139)/AVERAGE(N134:N136)-1)*100,"")</f>
        <v>-0.111989932381273</v>
      </c>
      <c r="Q139" s="31" t="n">
        <f aca="false">IFERROR(((AVERAGE(N137:N139)/AVERAGE(N134:N136))^4-1)*100,"")</f>
        <v>-0.447207786490178</v>
      </c>
      <c r="R139" s="31" t="n">
        <f aca="false">IFERROR(('SA Data'!X139/'SA Data'!X127-1)*100,"")</f>
        <v>-1.19542536983737</v>
      </c>
      <c r="S139" s="31" t="n">
        <f aca="false">IFERROR((AVERAGE('SA Data'!X139:X139)/AVERAGE('SA Data'!X127:X127)-1)*100,"")</f>
        <v>-1.19542536983737</v>
      </c>
    </row>
    <row r="140" customFormat="false" ht="15" hidden="false" customHeight="false" outlineLevel="0" collapsed="false">
      <c r="A140" s="20" t="n">
        <v>42063</v>
      </c>
      <c r="B140" s="30" t="n">
        <f aca="false">'SA Data'!R140</f>
        <v>121.216362005868</v>
      </c>
      <c r="C140" s="31" t="n">
        <f aca="false">IFERROR((B140/B139-1)*100,"")</f>
        <v>7.22723294928329</v>
      </c>
      <c r="D140" s="31" t="n">
        <f aca="false">IFERROR((AVERAGE(B138:B140)/AVERAGE(B135:B137)-1)*100,"")</f>
        <v>-4.87792222695594</v>
      </c>
      <c r="E140" s="31" t="n">
        <f aca="false">IFERROR(((AVERAGE(B138:B140)/AVERAGE(B135:B137))^4-1)*100,"")</f>
        <v>-18.1299015892689</v>
      </c>
      <c r="F140" s="31" t="n">
        <f aca="false">IFERROR(('SA Data'!V140/'SA Data'!V128-1)*100,"")</f>
        <v>2.02956905422986</v>
      </c>
      <c r="G140" s="31" t="n">
        <f aca="false">IFERROR((AVERAGE('SA Data'!V139:V140)/AVERAGE('SA Data'!V127:V128)-1)*100,"")</f>
        <v>-1.69763646724822</v>
      </c>
      <c r="H140" s="30" t="n">
        <f aca="false">'SA Data'!S140</f>
        <v>133.548703287193</v>
      </c>
      <c r="I140" s="31" t="n">
        <f aca="false">IFERROR((H140/H139-1)*100,"")</f>
        <v>0.927764920932117</v>
      </c>
      <c r="J140" s="31" t="n">
        <f aca="false">IFERROR((AVERAGE(H138:H140)/AVERAGE(H135:H137)-1)*100,"")</f>
        <v>1.16213498405771</v>
      </c>
      <c r="K140" s="31" t="n">
        <f aca="false">IFERROR(((AVERAGE(H138:H140)/AVERAGE(H135:H137))^4-1)*100,"")</f>
        <v>4.73020303565754</v>
      </c>
      <c r="L140" s="31" t="n">
        <f aca="false">IFERROR(('SA Data'!W140/'SA Data'!W128-1)*100,"")</f>
        <v>-1.72383577211783</v>
      </c>
      <c r="M140" s="31" t="n">
        <f aca="false">IFERROR((AVERAGE('SA Data'!W139:W140)/AVERAGE('SA Data'!W127:W128)-1)*100,"")</f>
        <v>-2.72157449246055</v>
      </c>
      <c r="N140" s="30" t="n">
        <f aca="false">'SA Data'!T140</f>
        <v>156.593003874014</v>
      </c>
      <c r="O140" s="31" t="n">
        <f aca="false">IFERROR((N140/N139-1)*100,"")</f>
        <v>1.40402756175197</v>
      </c>
      <c r="P140" s="31" t="n">
        <f aca="false">IFERROR((AVERAGE(N138:N140)/AVERAGE(N135:N137)-1)*100,"")</f>
        <v>0.366452421552266</v>
      </c>
      <c r="Q140" s="31" t="n">
        <f aca="false">IFERROR(((AVERAGE(N138:N140)/AVERAGE(N135:N137))^4-1)*100,"")</f>
        <v>1.47388663085168</v>
      </c>
      <c r="R140" s="31" t="n">
        <f aca="false">IFERROR(('SA Data'!X140/'SA Data'!X128-1)*100,"")</f>
        <v>1.5123911279483</v>
      </c>
      <c r="S140" s="31" t="n">
        <f aca="false">IFERROR((AVERAGE('SA Data'!X139:X140)/AVERAGE('SA Data'!X127:X128)-1)*100,"")</f>
        <v>0.137399344444988</v>
      </c>
    </row>
    <row r="141" customFormat="false" ht="15" hidden="false" customHeight="false" outlineLevel="0" collapsed="false">
      <c r="A141" s="20" t="n">
        <v>42094</v>
      </c>
      <c r="B141" s="30" t="n">
        <f aca="false">'SA Data'!R141</f>
        <v>128.641726772233</v>
      </c>
      <c r="C141" s="31" t="n">
        <f aca="false">IFERROR((B141/B140-1)*100,"")</f>
        <v>6.12571161474536</v>
      </c>
      <c r="D141" s="31" t="n">
        <f aca="false">IFERROR((AVERAGE(B139:B141)/AVERAGE(B136:B138)-1)*100,"")</f>
        <v>0.233981722377408</v>
      </c>
      <c r="E141" s="31" t="n">
        <f aca="false">IFERROR(((AVERAGE(B139:B141)/AVERAGE(B136:B138))^4-1)*100,"")</f>
        <v>0.939216863252046</v>
      </c>
      <c r="F141" s="31" t="n">
        <f aca="false">IFERROR(('SA Data'!V141/'SA Data'!V129-1)*100,"")</f>
        <v>9.77185402389296</v>
      </c>
      <c r="G141" s="31" t="n">
        <f aca="false">IFERROR((AVERAGE('SA Data'!V139:V141)/AVERAGE('SA Data'!V127:V129)-1)*100,"")</f>
        <v>3.98531355961989</v>
      </c>
      <c r="H141" s="30" t="n">
        <f aca="false">'SA Data'!S141</f>
        <v>132.822409301957</v>
      </c>
      <c r="I141" s="31" t="n">
        <f aca="false">IFERROR((H141/H140-1)*100,"")</f>
        <v>-0.543842034673281</v>
      </c>
      <c r="J141" s="31" t="n">
        <f aca="false">IFERROR((AVERAGE(H139:H141)/AVERAGE(H136:H138)-1)*100,"")</f>
        <v>0.810475489032858</v>
      </c>
      <c r="K141" s="31" t="n">
        <f aca="false">IFERROR(((AVERAGE(H139:H141)/AVERAGE(H136:H138))^4-1)*100,"")</f>
        <v>3.28152756969151</v>
      </c>
      <c r="L141" s="31" t="n">
        <f aca="false">IFERROR(('SA Data'!W141/'SA Data'!W129-1)*100,"")</f>
        <v>0.101860591099134</v>
      </c>
      <c r="M141" s="31" t="n">
        <f aca="false">IFERROR((AVERAGE('SA Data'!W139:W141)/AVERAGE('SA Data'!W127:W129)-1)*100,"")</f>
        <v>-1.73203955848023</v>
      </c>
      <c r="N141" s="30" t="n">
        <f aca="false">'SA Data'!T141</f>
        <v>156.607842308503</v>
      </c>
      <c r="O141" s="31" t="n">
        <f aca="false">IFERROR((N141/N140-1)*100,"")</f>
        <v>0.0094757965691139</v>
      </c>
      <c r="P141" s="31" t="n">
        <f aca="false">IFERROR((AVERAGE(N139:N141)/AVERAGE(N136:N138)-1)*100,"")</f>
        <v>0.566152929586727</v>
      </c>
      <c r="Q141" s="31" t="n">
        <f aca="false">IFERROR(((AVERAGE(N139:N141)/AVERAGE(N136:N138))^4-1)*100,"")</f>
        <v>2.2839161568712</v>
      </c>
      <c r="R141" s="31" t="n">
        <f aca="false">IFERROR(('SA Data'!X141/'SA Data'!X129-1)*100,"")</f>
        <v>3.81211272232269</v>
      </c>
      <c r="S141" s="31" t="n">
        <f aca="false">IFERROR((AVERAGE('SA Data'!X139:X141)/AVERAGE('SA Data'!X127:X129)-1)*100,"")</f>
        <v>1.37858890360472</v>
      </c>
    </row>
    <row r="142" customFormat="false" ht="15" hidden="false" customHeight="false" outlineLevel="0" collapsed="false">
      <c r="A142" s="20" t="n">
        <v>42124</v>
      </c>
      <c r="B142" s="30" t="n">
        <f aca="false">'SA Data'!R142</f>
        <v>144.935311111142</v>
      </c>
      <c r="C142" s="31" t="n">
        <f aca="false">IFERROR((B142/B141-1)*100,"")</f>
        <v>12.6658625841967</v>
      </c>
      <c r="D142" s="31" t="n">
        <f aca="false">IFERROR((AVERAGE(B140:B142)/AVERAGE(B137:B139)-1)*100,"")</f>
        <v>11.652528591678</v>
      </c>
      <c r="E142" s="31" t="n">
        <f aca="false">IFERROR(((AVERAGE(B140:B142)/AVERAGE(B137:B139))^4-1)*100,"")</f>
        <v>55.4083150797545</v>
      </c>
      <c r="F142" s="31" t="n">
        <f aca="false">IFERROR(('SA Data'!V142/'SA Data'!V130-1)*100,"")</f>
        <v>12.6474004066448</v>
      </c>
      <c r="G142" s="31" t="n">
        <f aca="false">IFERROR((AVERAGE('SA Data'!V139:V142)/AVERAGE('SA Data'!V127:V130)-1)*100,"")</f>
        <v>7.83972067691325</v>
      </c>
      <c r="H142" s="30" t="n">
        <f aca="false">'SA Data'!S142</f>
        <v>137.516990829502</v>
      </c>
      <c r="I142" s="31" t="n">
        <f aca="false">IFERROR((H142/H141-1)*100,"")</f>
        <v>3.53448002653911</v>
      </c>
      <c r="J142" s="31" t="n">
        <f aca="false">IFERROR((AVERAGE(H140:H142)/AVERAGE(H137:H139)-1)*100,"")</f>
        <v>2.04689557852984</v>
      </c>
      <c r="K142" s="31" t="n">
        <f aca="false">IFERROR(((AVERAGE(H140:H142)/AVERAGE(H137:H139))^4-1)*100,"")</f>
        <v>8.44241717705139</v>
      </c>
      <c r="L142" s="31" t="n">
        <f aca="false">IFERROR(('SA Data'!W142/'SA Data'!W130-1)*100,"")</f>
        <v>2.04554453274772</v>
      </c>
      <c r="M142" s="31" t="n">
        <f aca="false">IFERROR((AVERAGE('SA Data'!W139:W142)/AVERAGE('SA Data'!W127:W130)-1)*100,"")</f>
        <v>-0.758934717863458</v>
      </c>
      <c r="N142" s="30" t="n">
        <f aca="false">'SA Data'!T142</f>
        <v>157.791792459297</v>
      </c>
      <c r="O142" s="31" t="n">
        <f aca="false">IFERROR((N142/N141-1)*100,"")</f>
        <v>0.75599671979516</v>
      </c>
      <c r="P142" s="31" t="n">
        <f aca="false">IFERROR((AVERAGE(N140:N142)/AVERAGE(N137:N139)-1)*100,"")</f>
        <v>1.62021998096527</v>
      </c>
      <c r="Q142" s="31" t="n">
        <f aca="false">IFERROR(((AVERAGE(N140:N142)/AVERAGE(N137:N139))^4-1)*100,"")</f>
        <v>6.64009488635708</v>
      </c>
      <c r="R142" s="31" t="n">
        <f aca="false">IFERROR(('SA Data'!X142/'SA Data'!X130-1)*100,"")</f>
        <v>2.22494881820625</v>
      </c>
      <c r="S142" s="31" t="n">
        <f aca="false">IFERROR((AVERAGE('SA Data'!X139:X142)/AVERAGE('SA Data'!X127:X130)-1)*100,"")</f>
        <v>1.59328096014197</v>
      </c>
    </row>
    <row r="143" customFormat="false" ht="15" hidden="false" customHeight="false" outlineLevel="0" collapsed="false">
      <c r="A143" s="20" t="n">
        <v>42155</v>
      </c>
      <c r="B143" s="30" t="n">
        <f aca="false">'SA Data'!R143</f>
        <v>150.514540079823</v>
      </c>
      <c r="C143" s="31" t="n">
        <f aca="false">IFERROR((B143/B142-1)*100,"")</f>
        <v>3.84946147761249</v>
      </c>
      <c r="D143" s="31" t="n">
        <f aca="false">IFERROR((AVERAGE(B141:B143)/AVERAGE(B138:B140)-1)*100,"")</f>
        <v>20.1453702096909</v>
      </c>
      <c r="E143" s="31" t="n">
        <f aca="false">IFERROR(((AVERAGE(B141:B143)/AVERAGE(B138:B140))^4-1)*100,"")</f>
        <v>108.366626212223</v>
      </c>
      <c r="F143" s="31" t="n">
        <f aca="false">IFERROR(('SA Data'!V143/'SA Data'!V131-1)*100,"")</f>
        <v>12.8565350842427</v>
      </c>
      <c r="G143" s="31" t="n">
        <f aca="false">IFERROR((AVERAGE('SA Data'!V139:V143)/AVERAGE('SA Data'!V127:V131)-1)*100,"")</f>
        <v>9.85823661089627</v>
      </c>
      <c r="H143" s="30" t="n">
        <f aca="false">'SA Data'!S143</f>
        <v>134.281968675332</v>
      </c>
      <c r="I143" s="31" t="n">
        <f aca="false">IFERROR((H143/H142-1)*100,"")</f>
        <v>-2.35245269305018</v>
      </c>
      <c r="J143" s="31" t="n">
        <f aca="false">IFERROR((AVERAGE(H141:H143)/AVERAGE(H138:H140)-1)*100,"")</f>
        <v>1.43742875495196</v>
      </c>
      <c r="K143" s="31" t="n">
        <f aca="false">IFERROR(((AVERAGE(H141:H143)/AVERAGE(H138:H140))^4-1)*100,"")</f>
        <v>5.874879381467</v>
      </c>
      <c r="L143" s="31" t="n">
        <f aca="false">IFERROR(('SA Data'!W143/'SA Data'!W131-1)*100,"")</f>
        <v>0.48900144325712</v>
      </c>
      <c r="M143" s="31" t="n">
        <f aca="false">IFERROR((AVERAGE('SA Data'!W139:W143)/AVERAGE('SA Data'!W127:W131)-1)*100,"")</f>
        <v>-0.496482947018462</v>
      </c>
      <c r="N143" s="30" t="n">
        <f aca="false">'SA Data'!T143</f>
        <v>155.930201410361</v>
      </c>
      <c r="O143" s="31" t="n">
        <f aca="false">IFERROR((N143/N142-1)*100,"")</f>
        <v>-1.17977685652849</v>
      </c>
      <c r="P143" s="31" t="n">
        <f aca="false">IFERROR((AVERAGE(N141:N143)/AVERAGE(N138:N140)-1)*100,"")</f>
        <v>0.784142916785213</v>
      </c>
      <c r="Q143" s="31" t="n">
        <f aca="false">IFERROR(((AVERAGE(N141:N143)/AVERAGE(N138:N140))^4-1)*100,"")</f>
        <v>3.17365771360949</v>
      </c>
      <c r="R143" s="31" t="n">
        <f aca="false">IFERROR(('SA Data'!X143/'SA Data'!X131-1)*100,"")</f>
        <v>1.2679667276956</v>
      </c>
      <c r="S143" s="31" t="n">
        <f aca="false">IFERROR((AVERAGE('SA Data'!X139:X143)/AVERAGE('SA Data'!X127:X131)-1)*100,"")</f>
        <v>1.52632375912261</v>
      </c>
    </row>
    <row r="144" customFormat="false" ht="15" hidden="false" customHeight="false" outlineLevel="0" collapsed="false">
      <c r="A144" s="20" t="n">
        <v>42185</v>
      </c>
      <c r="B144" s="30" t="n">
        <f aca="false">'SA Data'!R144</f>
        <v>149.32721680874</v>
      </c>
      <c r="C144" s="31" t="n">
        <f aca="false">IFERROR((B144/B143-1)*100,"")</f>
        <v>-0.78884290544522</v>
      </c>
      <c r="D144" s="31" t="n">
        <f aca="false">IFERROR((AVERAGE(B142:B144)/AVERAGE(B139:B141)-1)*100,"")</f>
        <v>22.5604173997684</v>
      </c>
      <c r="E144" s="31" t="n">
        <f aca="false">IFERROR(((AVERAGE(B142:B144)/AVERAGE(B139:B141))^4-1)*100,"")</f>
        <v>125.632120747644</v>
      </c>
      <c r="F144" s="31" t="n">
        <f aca="false">IFERROR(('SA Data'!V144/'SA Data'!V132-1)*100,"")</f>
        <v>13.2760837510366</v>
      </c>
      <c r="G144" s="31" t="n">
        <f aca="false">IFERROR((AVERAGE('SA Data'!V139:V144)/AVERAGE('SA Data'!V127:V132)-1)*100,"")</f>
        <v>10.5816902688219</v>
      </c>
      <c r="H144" s="30" t="n">
        <f aca="false">'SA Data'!S144</f>
        <v>138.976386140353</v>
      </c>
      <c r="I144" s="31" t="n">
        <f aca="false">IFERROR((H144/H143-1)*100,"")</f>
        <v>3.49594030481606</v>
      </c>
      <c r="J144" s="31" t="n">
        <f aca="false">IFERROR((AVERAGE(H142:H144)/AVERAGE(H139:H141)-1)*100,"")</f>
        <v>3.0306985355157</v>
      </c>
      <c r="K144" s="31" t="n">
        <f aca="false">IFERROR(((AVERAGE(H142:H144)/AVERAGE(H139:H141))^4-1)*100,"")</f>
        <v>12.6851214739289</v>
      </c>
      <c r="L144" s="31" t="n">
        <f aca="false">IFERROR(('SA Data'!W144/'SA Data'!W132-1)*100,"")</f>
        <v>4.84762428153842</v>
      </c>
      <c r="M144" s="31" t="n">
        <f aca="false">IFERROR((AVERAGE('SA Data'!W139:W144)/AVERAGE('SA Data'!W127:W132)-1)*100,"")</f>
        <v>0.413443020973014</v>
      </c>
      <c r="N144" s="30" t="n">
        <f aca="false">'SA Data'!T144</f>
        <v>160.747867683345</v>
      </c>
      <c r="O144" s="31" t="n">
        <f aca="false">IFERROR((N144/N143-1)*100,"")</f>
        <v>3.08962999432381</v>
      </c>
      <c r="P144" s="31" t="n">
        <f aca="false">IFERROR((AVERAGE(N142:N144)/AVERAGE(N139:N141)-1)*100,"")</f>
        <v>1.46360198263651</v>
      </c>
      <c r="Q144" s="31" t="n">
        <f aca="false">IFERROR(((AVERAGE(N142:N144)/AVERAGE(N139:N141))^4-1)*100,"")</f>
        <v>5.98419445581795</v>
      </c>
      <c r="R144" s="31" t="n">
        <f aca="false">IFERROR(('SA Data'!X144/'SA Data'!X132-1)*100,"")</f>
        <v>4.4965074988532</v>
      </c>
      <c r="S144" s="31" t="n">
        <f aca="false">IFERROR((AVERAGE('SA Data'!X139:X144)/AVERAGE('SA Data'!X127:X132)-1)*100,"")</f>
        <v>2.03366403004688</v>
      </c>
    </row>
    <row r="145" customFormat="false" ht="15" hidden="false" customHeight="false" outlineLevel="0" collapsed="false">
      <c r="A145" s="20" t="n">
        <v>42216</v>
      </c>
      <c r="B145" s="30" t="n">
        <f aca="false">'SA Data'!R145</f>
        <v>130.797839519635</v>
      </c>
      <c r="C145" s="31" t="n">
        <f aca="false">IFERROR((B145/B144-1)*100,"")</f>
        <v>-12.4085733900993</v>
      </c>
      <c r="D145" s="31" t="n">
        <f aca="false">IFERROR((AVERAGE(B143:B145)/AVERAGE(B140:B142)-1)*100,"")</f>
        <v>9.07973550951242</v>
      </c>
      <c r="E145" s="31" t="n">
        <f aca="false">IFERROR(((AVERAGE(B143:B145)/AVERAGE(B140:B142))^4-1)*100,"")</f>
        <v>41.5716536283309</v>
      </c>
      <c r="F145" s="31" t="n">
        <f aca="false">IFERROR(('SA Data'!V145/'SA Data'!V133-1)*100,"")</f>
        <v>4.79232439462605</v>
      </c>
      <c r="G145" s="31" t="n">
        <f aca="false">IFERROR((AVERAGE('SA Data'!V139:V145)/AVERAGE('SA Data'!V127:V133)-1)*100,"")</f>
        <v>10.009904281447</v>
      </c>
      <c r="H145" s="30" t="n">
        <f aca="false">'SA Data'!S145</f>
        <v>137.768031471518</v>
      </c>
      <c r="I145" s="31" t="n">
        <f aca="false">IFERROR((H145/H144-1)*100,"")</f>
        <v>-0.869467614170827</v>
      </c>
      <c r="J145" s="31" t="n">
        <f aca="false">IFERROR((AVERAGE(H143:H145)/AVERAGE(H140:H142)-1)*100,"")</f>
        <v>1.76739121755023</v>
      </c>
      <c r="K145" s="31" t="n">
        <f aca="false">IFERROR(((AVERAGE(H143:H145)/AVERAGE(H140:H142))^4-1)*100,"")</f>
        <v>7.25920323046119</v>
      </c>
      <c r="L145" s="31" t="n">
        <f aca="false">IFERROR(('SA Data'!W145/'SA Data'!W133-1)*100,"")</f>
        <v>4.28520974149225</v>
      </c>
      <c r="M145" s="31" t="n">
        <f aca="false">IFERROR((AVERAGE('SA Data'!W139:W145)/AVERAGE('SA Data'!W127:W133)-1)*100,"")</f>
        <v>0.979095947825837</v>
      </c>
      <c r="N145" s="30" t="n">
        <f aca="false">'SA Data'!T145</f>
        <v>160.763735577838</v>
      </c>
      <c r="O145" s="31" t="n">
        <f aca="false">IFERROR((N145/N144-1)*100,"")</f>
        <v>0.00987129392229225</v>
      </c>
      <c r="P145" s="31" t="n">
        <f aca="false">IFERROR((AVERAGE(N143:N145)/AVERAGE(N140:N142)-1)*100,"")</f>
        <v>1.36927108846678</v>
      </c>
      <c r="Q145" s="31" t="n">
        <f aca="false">IFERROR(((AVERAGE(N143:N145)/AVERAGE(N140:N142))^4-1)*100,"")</f>
        <v>5.59060896831269</v>
      </c>
      <c r="R145" s="31" t="n">
        <f aca="false">IFERROR(('SA Data'!X145/'SA Data'!X133-1)*100,"")</f>
        <v>4.36935877716433</v>
      </c>
      <c r="S145" s="31" t="n">
        <f aca="false">IFERROR((AVERAGE('SA Data'!X139:X145)/AVERAGE('SA Data'!X127:X133)-1)*100,"")</f>
        <v>2.37335840420032</v>
      </c>
    </row>
    <row r="146" customFormat="false" ht="15" hidden="false" customHeight="false" outlineLevel="0" collapsed="false">
      <c r="A146" s="20" t="n">
        <v>42247</v>
      </c>
      <c r="B146" s="30" t="n">
        <f aca="false">'SA Data'!R146</f>
        <v>120.130058587672</v>
      </c>
      <c r="C146" s="31" t="n">
        <f aca="false">IFERROR((B146/B145-1)*100,"")</f>
        <v>-8.15593053458793</v>
      </c>
      <c r="D146" s="31" t="n">
        <f aca="false">IFERROR((AVERAGE(B144:B146)/AVERAGE(B141:B143)-1)*100,"")</f>
        <v>-5.62059335430148</v>
      </c>
      <c r="E146" s="31" t="n">
        <f aca="false">IFERROR(((AVERAGE(B144:B146)/AVERAGE(B141:B143))^4-1)*100,"")</f>
        <v>-20.6569354647209</v>
      </c>
      <c r="F146" s="31" t="n">
        <f aca="false">IFERROR(('SA Data'!V146/'SA Data'!V134-1)*100,"")</f>
        <v>0.911602700168546</v>
      </c>
      <c r="G146" s="31" t="n">
        <f aca="false">IFERROR((AVERAGE('SA Data'!V139:V146)/AVERAGE('SA Data'!V127:V134)-1)*100,"")</f>
        <v>9.477960145753</v>
      </c>
      <c r="H146" s="30" t="n">
        <f aca="false">'SA Data'!S146</f>
        <v>134.666351355833</v>
      </c>
      <c r="I146" s="31" t="n">
        <f aca="false">IFERROR((H146/H145-1)*100,"")</f>
        <v>-2.251378699801</v>
      </c>
      <c r="J146" s="31" t="n">
        <f aca="false">IFERROR((AVERAGE(H144:H146)/AVERAGE(H141:H143)-1)*100,"")</f>
        <v>1.6779638161315</v>
      </c>
      <c r="K146" s="31" t="n">
        <f aca="false">IFERROR(((AVERAGE(H144:H146)/AVERAGE(H141:H143))^4-1)*100,"")</f>
        <v>6.88268671085801</v>
      </c>
      <c r="L146" s="31" t="n">
        <f aca="false">IFERROR(('SA Data'!W146/'SA Data'!W134-1)*100,"")</f>
        <v>5.09403686374259</v>
      </c>
      <c r="M146" s="31" t="n">
        <f aca="false">IFERROR((AVERAGE('SA Data'!W139:W146)/AVERAGE('SA Data'!W127:W134)-1)*100,"")</f>
        <v>1.50215436977754</v>
      </c>
      <c r="N146" s="30" t="n">
        <f aca="false">'SA Data'!T146</f>
        <v>159.141770873788</v>
      </c>
      <c r="O146" s="31" t="n">
        <f aca="false">IFERROR((N146/N145-1)*100,"")</f>
        <v>-1.0089120523482</v>
      </c>
      <c r="P146" s="31" t="n">
        <f aca="false">IFERROR((AVERAGE(N144:N146)/AVERAGE(N141:N143)-1)*100,"")</f>
        <v>2.19495706262167</v>
      </c>
      <c r="Q146" s="31" t="n">
        <f aca="false">IFERROR(((AVERAGE(N144:N146)/AVERAGE(N141:N143))^4-1)*100,"")</f>
        <v>9.07315163014728</v>
      </c>
      <c r="R146" s="31" t="n">
        <f aca="false">IFERROR(('SA Data'!X146/'SA Data'!X134-1)*100,"")</f>
        <v>4.15125318535758</v>
      </c>
      <c r="S146" s="31" t="n">
        <f aca="false">IFERROR((AVERAGE('SA Data'!X139:X146)/AVERAGE('SA Data'!X127:X134)-1)*100,"")</f>
        <v>2.59657032728391</v>
      </c>
    </row>
    <row r="147" customFormat="false" ht="15" hidden="false" customHeight="false" outlineLevel="0" collapsed="false">
      <c r="A147" s="20" t="n">
        <v>42277</v>
      </c>
      <c r="B147" s="30" t="n">
        <f aca="false">'SA Data'!R147</f>
        <v>121.673690763431</v>
      </c>
      <c r="C147" s="31" t="n">
        <f aca="false">IFERROR((B147/B146-1)*100,"")</f>
        <v>1.28496747101217</v>
      </c>
      <c r="D147" s="31" t="n">
        <f aca="false">IFERROR((AVERAGE(B145:B147)/AVERAGE(B142:B144)-1)*100,"")</f>
        <v>-16.227338215426</v>
      </c>
      <c r="E147" s="31" t="n">
        <f aca="false">IFERROR(((AVERAGE(B145:B147)/AVERAGE(B142:B144))^4-1)*100,"")</f>
        <v>-50.7496569864145</v>
      </c>
      <c r="F147" s="31" t="n">
        <f aca="false">IFERROR(('SA Data'!V147/'SA Data'!V135-1)*100,"")</f>
        <v>-3.45116276922525</v>
      </c>
      <c r="G147" s="31" t="n">
        <f aca="false">IFERROR((AVERAGE('SA Data'!V139:V147)/AVERAGE('SA Data'!V127:V135)-1)*100,"")</f>
        <v>8.77596777139822</v>
      </c>
      <c r="H147" s="30" t="n">
        <f aca="false">'SA Data'!S147</f>
        <v>134.887235199827</v>
      </c>
      <c r="I147" s="31" t="n">
        <f aca="false">IFERROR((H147/H146-1)*100,"")</f>
        <v>0.164023040477446</v>
      </c>
      <c r="J147" s="31" t="n">
        <f aca="false">IFERROR((AVERAGE(H145:H147)/AVERAGE(H142:H144)-1)*100,"")</f>
        <v>-0.840782596770695</v>
      </c>
      <c r="K147" s="31" t="n">
        <f aca="false">IFERROR(((AVERAGE(H145:H147)/AVERAGE(H142:H144))^4-1)*100,"")</f>
        <v>-3.32095270970937</v>
      </c>
      <c r="L147" s="31" t="n">
        <f aca="false">IFERROR(('SA Data'!W147/'SA Data'!W135-1)*100,"")</f>
        <v>1.75440541013878</v>
      </c>
      <c r="M147" s="31" t="n">
        <f aca="false">IFERROR((AVERAGE('SA Data'!W139:W147)/AVERAGE('SA Data'!W127:W135)-1)*100,"")</f>
        <v>1.53101389963715</v>
      </c>
      <c r="N147" s="30" t="n">
        <f aca="false">'SA Data'!T147</f>
        <v>160.832884169058</v>
      </c>
      <c r="O147" s="31" t="n">
        <f aca="false">IFERROR((N147/N146-1)*100,"")</f>
        <v>1.0626457692315</v>
      </c>
      <c r="P147" s="31" t="n">
        <f aca="false">IFERROR((AVERAGE(N145:N147)/AVERAGE(N142:N144)-1)*100,"")</f>
        <v>1.32116485695488</v>
      </c>
      <c r="Q147" s="31" t="n">
        <f aca="false">IFERROR(((AVERAGE(N145:N147)/AVERAGE(N142:N144))^4-1)*100,"")</f>
        <v>5.39031349418924</v>
      </c>
      <c r="R147" s="31" t="n">
        <f aca="false">IFERROR(('SA Data'!X147/'SA Data'!X135-1)*100,"")</f>
        <v>2.87425730004449</v>
      </c>
      <c r="S147" s="31" t="n">
        <f aca="false">IFERROR((AVERAGE('SA Data'!X139:X147)/AVERAGE('SA Data'!X127:X135)-1)*100,"")</f>
        <v>2.62774966299826</v>
      </c>
    </row>
    <row r="148" customFormat="false" ht="15" hidden="false" customHeight="false" outlineLevel="0" collapsed="false">
      <c r="A148" s="20" t="n">
        <v>42308</v>
      </c>
      <c r="B148" s="30" t="n">
        <f aca="false">'SA Data'!R148</f>
        <v>120.128225200537</v>
      </c>
      <c r="C148" s="31" t="n">
        <f aca="false">IFERROR((B148/B147-1)*100,"")</f>
        <v>-1.2701723381591</v>
      </c>
      <c r="D148" s="31" t="n">
        <f aca="false">IFERROR((AVERAGE(B146:B148)/AVERAGE(B143:B145)-1)*100,"")</f>
        <v>-15.9547850289715</v>
      </c>
      <c r="E148" s="31" t="n">
        <f aca="false">IFERROR(((AVERAGE(B146:B148)/AVERAGE(B143:B145))^4-1)*100,"")</f>
        <v>-50.1055810407354</v>
      </c>
      <c r="F148" s="31" t="n">
        <f aca="false">IFERROR(('SA Data'!V148/'SA Data'!V136-1)*100,"")</f>
        <v>0.801016224368678</v>
      </c>
      <c r="G148" s="31" t="n">
        <f aca="false">IFERROR((AVERAGE('SA Data'!V139:V148)/AVERAGE('SA Data'!V127:V136)-1)*100,"")</f>
        <v>8.35149739088721</v>
      </c>
      <c r="H148" s="30" t="n">
        <f aca="false">'SA Data'!S148</f>
        <v>133.145437289234</v>
      </c>
      <c r="I148" s="31" t="n">
        <f aca="false">IFERROR((H148/H147-1)*100,"")</f>
        <v>-1.29129929011655</v>
      </c>
      <c r="J148" s="31" t="n">
        <f aca="false">IFERROR((AVERAGE(H146:H148)/AVERAGE(H143:H145)-1)*100,"")</f>
        <v>-2.02599217960933</v>
      </c>
      <c r="K148" s="31" t="n">
        <f aca="false">IFERROR(((AVERAGE(H146:H148)/AVERAGE(H143:H145))^4-1)*100,"")</f>
        <v>-7.86099960253244</v>
      </c>
      <c r="L148" s="31" t="n">
        <f aca="false">IFERROR(('SA Data'!W148/'SA Data'!W136-1)*100,"")</f>
        <v>1.59174532261617</v>
      </c>
      <c r="M148" s="31" t="n">
        <f aca="false">IFERROR((AVERAGE('SA Data'!W139:W148)/AVERAGE('SA Data'!W127:W136)-1)*100,"")</f>
        <v>1.53734666808014</v>
      </c>
      <c r="N148" s="30" t="n">
        <f aca="false">'SA Data'!T148</f>
        <v>159.469777111762</v>
      </c>
      <c r="O148" s="31" t="n">
        <f aca="false">IFERROR((N148/N147-1)*100,"")</f>
        <v>-0.84753007094186</v>
      </c>
      <c r="P148" s="31" t="n">
        <f aca="false">IFERROR((AVERAGE(N146:N148)/AVERAGE(N143:N145)-1)*100,"")</f>
        <v>0.419449546200168</v>
      </c>
      <c r="Q148" s="31" t="n">
        <f aca="false">IFERROR(((AVERAGE(N146:N148)/AVERAGE(N143:N145))^4-1)*100,"")</f>
        <v>1.68838400989586</v>
      </c>
      <c r="R148" s="31" t="n">
        <f aca="false">IFERROR(('SA Data'!X148/'SA Data'!X136-1)*100,"")</f>
        <v>2.58286478210552</v>
      </c>
      <c r="S148" s="31" t="n">
        <f aca="false">IFERROR((AVERAGE('SA Data'!X139:X148)/AVERAGE('SA Data'!X127:X136)-1)*100,"")</f>
        <v>2.62318069729854</v>
      </c>
    </row>
    <row r="149" customFormat="false" ht="15" hidden="false" customHeight="false" outlineLevel="0" collapsed="false">
      <c r="A149" s="20" t="n">
        <v>42338</v>
      </c>
      <c r="B149" s="30" t="n">
        <f aca="false">'SA Data'!R149</f>
        <v>125.449966331347</v>
      </c>
      <c r="C149" s="31" t="n">
        <f aca="false">IFERROR((B149/B148-1)*100,"")</f>
        <v>4.43005057464785</v>
      </c>
      <c r="D149" s="31" t="n">
        <f aca="false">IFERROR((AVERAGE(B147:B149)/AVERAGE(B144:B146)-1)*100,"")</f>
        <v>-8.24554924867201</v>
      </c>
      <c r="E149" s="31" t="n">
        <f aca="false">IFERROR(((AVERAGE(B147:B149)/AVERAGE(B144:B146))^4-1)*100,"")</f>
        <v>-29.1224724655852</v>
      </c>
      <c r="F149" s="31" t="n">
        <f aca="false">IFERROR(('SA Data'!V149/'SA Data'!V137-1)*100,"")</f>
        <v>3.44148742929007</v>
      </c>
      <c r="G149" s="31" t="n">
        <f aca="false">IFERROR((AVERAGE('SA Data'!V139:V149)/AVERAGE('SA Data'!V127:V137)-1)*100,"")</f>
        <v>8.05895681488456</v>
      </c>
      <c r="H149" s="30" t="n">
        <f aca="false">'SA Data'!S149</f>
        <v>131.722355927069</v>
      </c>
      <c r="I149" s="31" t="n">
        <f aca="false">IFERROR((H149/H148-1)*100,"")</f>
        <v>-1.06881722058048</v>
      </c>
      <c r="J149" s="31" t="n">
        <f aca="false">IFERROR((AVERAGE(H147:H149)/AVERAGE(H144:H146)-1)*100,"")</f>
        <v>-2.83311508369619</v>
      </c>
      <c r="K149" s="31" t="n">
        <f aca="false">IFERROR(((AVERAGE(H147:H149)/AVERAGE(H144:H146))^4-1)*100,"")</f>
        <v>-10.8598994906137</v>
      </c>
      <c r="L149" s="31" t="n">
        <f aca="false">IFERROR(('SA Data'!W149/'SA Data'!W137-1)*100,"")</f>
        <v>1.70618719825435</v>
      </c>
      <c r="M149" s="31" t="n">
        <f aca="false">IFERROR((AVERAGE('SA Data'!W139:W149)/AVERAGE('SA Data'!W127:W137)-1)*100,"")</f>
        <v>1.55288635338497</v>
      </c>
      <c r="N149" s="30" t="n">
        <f aca="false">'SA Data'!T149</f>
        <v>158.928059621531</v>
      </c>
      <c r="O149" s="31" t="n">
        <f aca="false">IFERROR((N149/N148-1)*100,"")</f>
        <v>-0.339699158074314</v>
      </c>
      <c r="P149" s="31" t="n">
        <f aca="false">IFERROR((AVERAGE(N147:N149)/AVERAGE(N144:N146)-1)*100,"")</f>
        <v>-0.295983198948635</v>
      </c>
      <c r="Q149" s="31" t="n">
        <f aca="false">IFERROR(((AVERAGE(N147:N149)/AVERAGE(N144:N146))^4-1)*100,"")</f>
        <v>-1.17868679684418</v>
      </c>
      <c r="R149" s="31" t="n">
        <f aca="false">IFERROR(('SA Data'!X149/'SA Data'!X137-1)*100,"")</f>
        <v>3.97058545682218</v>
      </c>
      <c r="S149" s="31" t="n">
        <f aca="false">IFERROR((AVERAGE('SA Data'!X139:X149)/AVERAGE('SA Data'!X127:X137)-1)*100,"")</f>
        <v>2.74579576385372</v>
      </c>
    </row>
    <row r="150" customFormat="false" ht="15" hidden="false" customHeight="false" outlineLevel="0" collapsed="false">
      <c r="A150" s="20" t="n">
        <v>42369</v>
      </c>
      <c r="B150" s="30" t="n">
        <f aca="false">'SA Data'!R150</f>
        <v>121.253933042867</v>
      </c>
      <c r="C150" s="31" t="n">
        <f aca="false">IFERROR((B150/B149-1)*100,"")</f>
        <v>-3.34478630101649</v>
      </c>
      <c r="D150" s="31" t="n">
        <f aca="false">IFERROR((AVERAGE(B148:B150)/AVERAGE(B145:B147)-1)*100,"")</f>
        <v>-1.54842718558251</v>
      </c>
      <c r="E150" s="31" t="n">
        <f aca="false">IFERROR(((AVERAGE(B148:B150)/AVERAGE(B145:B147))^4-1)*100,"")</f>
        <v>-6.05133040894861</v>
      </c>
      <c r="F150" s="31" t="n">
        <f aca="false">IFERROR(('SA Data'!V150/'SA Data'!V138-1)*100,"")</f>
        <v>1.72705205714152</v>
      </c>
      <c r="G150" s="31" t="n">
        <f aca="false">IFERROR((AVERAGE('SA Data'!V139:V150)/AVERAGE('SA Data'!V127:V138)-1)*100,"")</f>
        <v>7.68819818270516</v>
      </c>
      <c r="H150" s="30" t="n">
        <f aca="false">'SA Data'!S150</f>
        <v>130.542060030861</v>
      </c>
      <c r="I150" s="31" t="n">
        <f aca="false">IFERROR((H150/H149-1)*100,"")</f>
        <v>-0.896048273583727</v>
      </c>
      <c r="J150" s="31" t="n">
        <f aca="false">IFERROR((AVERAGE(H148:H150)/AVERAGE(H145:H147)-1)*100,"")</f>
        <v>-2.92441261470667</v>
      </c>
      <c r="K150" s="31" t="n">
        <f aca="false">IFERROR(((AVERAGE(H148:H150)/AVERAGE(H145:H147))^4-1)*100,"")</f>
        <v>-11.1944500223472</v>
      </c>
      <c r="L150" s="31" t="n">
        <f aca="false">IFERROR(('SA Data'!W150/'SA Data'!W138-1)*100,"")</f>
        <v>-0.838592869241117</v>
      </c>
      <c r="M150" s="31" t="n">
        <f aca="false">IFERROR((AVERAGE('SA Data'!W139:W150)/AVERAGE('SA Data'!W127:W138)-1)*100,"")</f>
        <v>1.35701360355465</v>
      </c>
      <c r="N150" s="30" t="n">
        <f aca="false">'SA Data'!T150</f>
        <v>157.471630034473</v>
      </c>
      <c r="O150" s="31" t="n">
        <f aca="false">IFERROR((N150/N149-1)*100,"")</f>
        <v>-0.916408084592557</v>
      </c>
      <c r="P150" s="31" t="n">
        <f aca="false">IFERROR((AVERAGE(N148:N150)/AVERAGE(N145:N147)-1)*100,"")</f>
        <v>-1.01280113007649</v>
      </c>
      <c r="Q150" s="31" t="n">
        <f aca="false">IFERROR(((AVERAGE(N148:N150)/AVERAGE(N145:N147))^4-1)*100,"")</f>
        <v>-3.99007305920265</v>
      </c>
      <c r="R150" s="31" t="n">
        <f aca="false">IFERROR(('SA Data'!X150/'SA Data'!X138-1)*100,"")</f>
        <v>1.84520294828212</v>
      </c>
      <c r="S150" s="31" t="n">
        <f aca="false">IFERROR((AVERAGE('SA Data'!X139:X150)/AVERAGE('SA Data'!X127:X138)-1)*100,"")</f>
        <v>2.67083621903843</v>
      </c>
    </row>
    <row r="151" customFormat="false" ht="15" hidden="false" customHeight="false" outlineLevel="0" collapsed="false">
      <c r="A151" s="20" t="n">
        <v>42400</v>
      </c>
      <c r="B151" s="30" t="n">
        <f aca="false">'SA Data'!R151</f>
        <v>116.888354255581</v>
      </c>
      <c r="C151" s="31" t="n">
        <f aca="false">IFERROR((B151/B150-1)*100,"")</f>
        <v>-3.60036056376186</v>
      </c>
      <c r="D151" s="31" t="n">
        <f aca="false">IFERROR((AVERAGE(B149:B151)/AVERAGE(B146:B148)-1)*100,"")</f>
        <v>0.458726831253986</v>
      </c>
      <c r="E151" s="31" t="n">
        <f aca="false">IFERROR(((AVERAGE(B149:B151)/AVERAGE(B146:B148))^4-1)*100,"")</f>
        <v>1.84757179965054</v>
      </c>
      <c r="F151" s="31" t="n">
        <f aca="false">IFERROR(('SA Data'!V151/'SA Data'!V139-1)*100,"")</f>
        <v>5.54125321768895</v>
      </c>
      <c r="G151" s="31" t="n">
        <f aca="false">IFERROR((AVERAGE('SA Data'!V151:V151)/AVERAGE('SA Data'!V139:V139)-1)*100,"")</f>
        <v>5.54125321768895</v>
      </c>
      <c r="H151" s="30" t="n">
        <f aca="false">'SA Data'!S151</f>
        <v>126.361262590006</v>
      </c>
      <c r="I151" s="31" t="n">
        <f aca="false">IFERROR((H151/H150-1)*100,"")</f>
        <v>-3.2026439906548</v>
      </c>
      <c r="J151" s="31" t="n">
        <f aca="false">IFERROR((AVERAGE(H149:H151)/AVERAGE(H146:H148)-1)*100,"")</f>
        <v>-3.4947552548274</v>
      </c>
      <c r="K151" s="31" t="n">
        <f aca="false">IFERROR(((AVERAGE(H149:H151)/AVERAGE(H146:H148))^4-1)*100,"")</f>
        <v>-13.2631460145141</v>
      </c>
      <c r="L151" s="31" t="n">
        <f aca="false">IFERROR(('SA Data'!W151/'SA Data'!W139-1)*100,"")</f>
        <v>-3.65502205633956</v>
      </c>
      <c r="M151" s="31" t="n">
        <f aca="false">IFERROR((AVERAGE('SA Data'!W151:W151)/AVERAGE('SA Data'!W139:W139)-1)*100,"")</f>
        <v>-3.65502205633956</v>
      </c>
      <c r="N151" s="30" t="n">
        <f aca="false">'SA Data'!T151</f>
        <v>155.310749772941</v>
      </c>
      <c r="O151" s="31" t="n">
        <f aca="false">IFERROR((N151/N150-1)*100,"")</f>
        <v>-1.37223464382663</v>
      </c>
      <c r="P151" s="31" t="n">
        <f aca="false">IFERROR((AVERAGE(N149:N151)/AVERAGE(N146:N148)-1)*100,"")</f>
        <v>-1.61311555771062</v>
      </c>
      <c r="Q151" s="31" t="n">
        <f aca="false">IFERROR(((AVERAGE(N149:N151)/AVERAGE(N146:N148))^4-1)*100,"")</f>
        <v>-6.29800597371885</v>
      </c>
      <c r="R151" s="31" t="n">
        <f aca="false">IFERROR(('SA Data'!X151/'SA Data'!X139-1)*100,"")</f>
        <v>1.65578488825036</v>
      </c>
      <c r="S151" s="31" t="n">
        <f aca="false">IFERROR((AVERAGE('SA Data'!X151:X151)/AVERAGE('SA Data'!X139:X139)-1)*100,"")</f>
        <v>1.65578488825036</v>
      </c>
    </row>
    <row r="152" customFormat="false" ht="15" hidden="false" customHeight="false" outlineLevel="0" collapsed="false">
      <c r="A152" s="20" t="n">
        <v>42429</v>
      </c>
      <c r="B152" s="30" t="n">
        <f aca="false">'SA Data'!R152</f>
        <v>121.62849852582</v>
      </c>
      <c r="C152" s="31" t="n">
        <f aca="false">IFERROR((B152/B151-1)*100,"")</f>
        <v>4.05527505321413</v>
      </c>
      <c r="D152" s="31" t="n">
        <f aca="false">IFERROR((AVERAGE(B150:B152)/AVERAGE(B147:B149)-1)*100,"")</f>
        <v>-2.03704782240748</v>
      </c>
      <c r="E152" s="31" t="n">
        <f aca="false">IFERROR(((AVERAGE(B150:B152)/AVERAGE(B147:B149))^4-1)*100,"")</f>
        <v>-7.9025813848896</v>
      </c>
      <c r="F152" s="31" t="n">
        <f aca="false">IFERROR(('SA Data'!V152/'SA Data'!V140-1)*100,"")</f>
        <v>0.0225018635226171</v>
      </c>
      <c r="G152" s="31" t="n">
        <f aca="false">IFERROR((AVERAGE('SA Data'!V151:V152)/AVERAGE('SA Data'!V139:V140)-1)*100,"")</f>
        <v>2.58649723517164</v>
      </c>
      <c r="H152" s="30" t="n">
        <f aca="false">'SA Data'!S152</f>
        <v>127.872199295077</v>
      </c>
      <c r="I152" s="31" t="n">
        <f aca="false">IFERROR((H152/H151-1)*100,"")</f>
        <v>1.19572776822692</v>
      </c>
      <c r="J152" s="31" t="n">
        <f aca="false">IFERROR((AVERAGE(H150:H152)/AVERAGE(H147:H149)-1)*100,"")</f>
        <v>-3.74717150139108</v>
      </c>
      <c r="K152" s="31" t="n">
        <f aca="false">IFERROR(((AVERAGE(H150:H152)/AVERAGE(H147:H149))^4-1)*100,"")</f>
        <v>-14.1670572470483</v>
      </c>
      <c r="L152" s="31" t="n">
        <f aca="false">IFERROR(('SA Data'!W152/'SA Data'!W140-1)*100,"")</f>
        <v>-3.14233666491339</v>
      </c>
      <c r="M152" s="31" t="n">
        <f aca="false">IFERROR((AVERAGE('SA Data'!W151:W152)/AVERAGE('SA Data'!W139:W140)-1)*100,"")</f>
        <v>-3.40033181002871</v>
      </c>
      <c r="N152" s="30" t="n">
        <f aca="false">'SA Data'!T152</f>
        <v>157.744268892437</v>
      </c>
      <c r="O152" s="31" t="n">
        <f aca="false">IFERROR((N152/N151-1)*100,"")</f>
        <v>1.56687101379225</v>
      </c>
      <c r="P152" s="31" t="n">
        <f aca="false">IFERROR((AVERAGE(N150:N152)/AVERAGE(N147:N149)-1)*100,"")</f>
        <v>-1.81625923023276</v>
      </c>
      <c r="Q152" s="31" t="n">
        <f aca="false">IFERROR(((AVERAGE(N150:N152)/AVERAGE(N147:N149))^4-1)*100,"")</f>
        <v>-7.06949477201079</v>
      </c>
      <c r="R152" s="31" t="n">
        <f aca="false">IFERROR(('SA Data'!X152/'SA Data'!X140-1)*100,"")</f>
        <v>2.11607333196866</v>
      </c>
      <c r="S152" s="31" t="n">
        <f aca="false">IFERROR((AVERAGE('SA Data'!X151:X152)/AVERAGE('SA Data'!X139:X140)-1)*100,"")</f>
        <v>1.88545613510478</v>
      </c>
    </row>
    <row r="153" customFormat="false" ht="15" hidden="false" customHeight="false" outlineLevel="0" collapsed="false">
      <c r="A153" s="20" t="n">
        <v>42460</v>
      </c>
      <c r="B153" s="30" t="n">
        <f aca="false">'SA Data'!R153</f>
        <v>121.980115679681</v>
      </c>
      <c r="C153" s="31" t="n">
        <f aca="false">IFERROR((B153/B152-1)*100,"")</f>
        <v>0.289091091415372</v>
      </c>
      <c r="D153" s="31" t="n">
        <f aca="false">IFERROR((AVERAGE(B151:B153)/AVERAGE(B148:B150)-1)*100,"")</f>
        <v>-1.72699054670111</v>
      </c>
      <c r="E153" s="31" t="n">
        <f aca="false">IFERROR(((AVERAGE(B151:B153)/AVERAGE(B148:B150))^4-1)*100,"")</f>
        <v>-6.73106380781599</v>
      </c>
      <c r="F153" s="31" t="n">
        <f aca="false">IFERROR(('SA Data'!V153/'SA Data'!V141-1)*100,"")</f>
        <v>-5.42412995192201</v>
      </c>
      <c r="G153" s="31" t="n">
        <f aca="false">IFERROR((AVERAGE('SA Data'!V151:V153)/AVERAGE('SA Data'!V139:V141)-1)*100,"")</f>
        <v>-1.60351436489614</v>
      </c>
      <c r="H153" s="30" t="n">
        <f aca="false">'SA Data'!S153</f>
        <v>128.074121421601</v>
      </c>
      <c r="I153" s="31" t="n">
        <f aca="false">IFERROR((H153/H152-1)*100,"")</f>
        <v>0.157909324808569</v>
      </c>
      <c r="J153" s="31" t="n">
        <f aca="false">IFERROR((AVERAGE(H151:H153)/AVERAGE(H148:H150)-1)*100,"")</f>
        <v>-3.31359217097982</v>
      </c>
      <c r="K153" s="31" t="n">
        <f aca="false">IFERROR(((AVERAGE(H151:H153)/AVERAGE(H148:H150))^4-1)*100,"")</f>
        <v>-12.610007696426</v>
      </c>
      <c r="L153" s="31" t="n">
        <f aca="false">IFERROR(('SA Data'!W153/'SA Data'!W141-1)*100,"")</f>
        <v>-4.38228322316989</v>
      </c>
      <c r="M153" s="31" t="n">
        <f aca="false">IFERROR((AVERAGE('SA Data'!W151:W153)/AVERAGE('SA Data'!W139:W141)-1)*100,"")</f>
        <v>-3.75090082707813</v>
      </c>
      <c r="N153" s="30" t="n">
        <f aca="false">'SA Data'!T153</f>
        <v>160.454373973142</v>
      </c>
      <c r="O153" s="31" t="n">
        <f aca="false">IFERROR((N153/N152-1)*100,"")</f>
        <v>1.71803711141665</v>
      </c>
      <c r="P153" s="31" t="n">
        <f aca="false">IFERROR((AVERAGE(N151:N153)/AVERAGE(N148:N150)-1)*100,"")</f>
        <v>-0.495949896780701</v>
      </c>
      <c r="Q153" s="31" t="n">
        <f aca="false">IFERROR(((AVERAGE(N151:N153)/AVERAGE(N148:N150))^4-1)*100,"")</f>
        <v>-1.96909034340084</v>
      </c>
      <c r="R153" s="31" t="n">
        <f aca="false">IFERROR(('SA Data'!X153/'SA Data'!X141-1)*100,"")</f>
        <v>2.55505686491084</v>
      </c>
      <c r="S153" s="31" t="n">
        <f aca="false">IFERROR((AVERAGE('SA Data'!X151:X153)/AVERAGE('SA Data'!X139:X141)-1)*100,"")</f>
        <v>2.11705282570291</v>
      </c>
    </row>
    <row r="154" customFormat="false" ht="15" hidden="false" customHeight="false" outlineLevel="0" collapsed="false">
      <c r="A154" s="20" t="n">
        <v>42490</v>
      </c>
      <c r="B154" s="30" t="n">
        <f aca="false">'SA Data'!R154</f>
        <v>133.403363023392</v>
      </c>
      <c r="C154" s="31" t="n">
        <f aca="false">IFERROR((B154/B153-1)*100,"")</f>
        <v>9.36484383545633</v>
      </c>
      <c r="D154" s="31" t="n">
        <f aca="false">IFERROR((AVERAGE(B152:B154)/AVERAGE(B149:B151)-1)*100,"")</f>
        <v>3.69087170178306</v>
      </c>
      <c r="E154" s="31" t="n">
        <f aca="false">IFERROR(((AVERAGE(B152:B154)/AVERAGE(B149:B151))^4-1)*100,"")</f>
        <v>15.6011360256833</v>
      </c>
      <c r="F154" s="31" t="n">
        <f aca="false">IFERROR(('SA Data'!V154/'SA Data'!V142-1)*100,"")</f>
        <v>-7.97949904000064</v>
      </c>
      <c r="G154" s="31" t="n">
        <f aca="false">IFERROR((AVERAGE('SA Data'!V151:V154)/AVERAGE('SA Data'!V139:V142)-1)*100,"")</f>
        <v>-4.56714950079052</v>
      </c>
      <c r="H154" s="30" t="n">
        <f aca="false">'SA Data'!S154</f>
        <v>130.722260116715</v>
      </c>
      <c r="I154" s="31" t="n">
        <f aca="false">IFERROR((H154/H153-1)*100,"")</f>
        <v>2.06766102762967</v>
      </c>
      <c r="J154" s="31" t="n">
        <f aca="false">IFERROR((AVERAGE(H152:H154)/AVERAGE(H149:H151)-1)*100,"")</f>
        <v>-0.503594544204089</v>
      </c>
      <c r="K154" s="31" t="n">
        <f aca="false">IFERROR(((AVERAGE(H152:H154)/AVERAGE(H149:H151))^4-1)*100,"")</f>
        <v>-1.99921275073677</v>
      </c>
      <c r="L154" s="31" t="n">
        <f aca="false">IFERROR(('SA Data'!W154/'SA Data'!W142-1)*100,"")</f>
        <v>-8.1253026428888</v>
      </c>
      <c r="M154" s="31" t="n">
        <f aca="false">IFERROR((AVERAGE('SA Data'!W151:W154)/AVERAGE('SA Data'!W139:W142)-1)*100,"")</f>
        <v>-4.90958959049563</v>
      </c>
      <c r="N154" s="30" t="n">
        <f aca="false">'SA Data'!T154</f>
        <v>161.812409967205</v>
      </c>
      <c r="O154" s="31" t="n">
        <f aca="false">IFERROR((N154/N153-1)*100,"")</f>
        <v>0.846368946159548</v>
      </c>
      <c r="P154" s="31" t="n">
        <f aca="false">IFERROR((AVERAGE(N152:N154)/AVERAGE(N149:N151)-1)*100,"")</f>
        <v>1.75968405827271</v>
      </c>
      <c r="Q154" s="31" t="n">
        <f aca="false">IFERROR(((AVERAGE(N152:N154)/AVERAGE(N149:N151))^4-1)*100,"")</f>
        <v>7.22671463664255</v>
      </c>
      <c r="R154" s="31" t="n">
        <f aca="false">IFERROR(('SA Data'!X154/'SA Data'!X142-1)*100,"")</f>
        <v>0.636084829210759</v>
      </c>
      <c r="S154" s="31" t="n">
        <f aca="false">IFERROR((AVERAGE('SA Data'!X151:X154)/AVERAGE('SA Data'!X139:X142)-1)*100,"")</f>
        <v>1.73904701199901</v>
      </c>
    </row>
    <row r="155" customFormat="false" ht="15" hidden="false" customHeight="false" outlineLevel="0" collapsed="false">
      <c r="A155" s="20" t="n">
        <v>42521</v>
      </c>
      <c r="B155" s="30" t="n">
        <f aca="false">'SA Data'!R155</f>
        <v>135.919314739365</v>
      </c>
      <c r="C155" s="31" t="n">
        <f aca="false">IFERROR((B155/B154-1)*100,"")</f>
        <v>1.88597323107385</v>
      </c>
      <c r="D155" s="31" t="n">
        <f aca="false">IFERROR((AVERAGE(B153:B155)/AVERAGE(B150:B152)-1)*100,"")</f>
        <v>8.7644713969554</v>
      </c>
      <c r="E155" s="31" t="n">
        <f aca="false">IFERROR(((AVERAGE(B153:B155)/AVERAGE(B150:B152))^4-1)*100,"")</f>
        <v>39.9420443211729</v>
      </c>
      <c r="F155" s="31" t="n">
        <f aca="false">IFERROR(('SA Data'!V155/'SA Data'!V143-1)*100,"")</f>
        <v>-9.98190870556029</v>
      </c>
      <c r="G155" s="31" t="n">
        <f aca="false">IFERROR((AVERAGE('SA Data'!V151:V155)/AVERAGE('SA Data'!V139:V143)-1)*100,"")</f>
        <v>-6.80523866246285</v>
      </c>
      <c r="H155" s="30" t="n">
        <f aca="false">'SA Data'!S155</f>
        <v>127.09723750456</v>
      </c>
      <c r="I155" s="31" t="n">
        <f aca="false">IFERROR((H155/H154-1)*100,"")</f>
        <v>-2.77307216760058</v>
      </c>
      <c r="J155" s="31" t="n">
        <f aca="false">IFERROR((AVERAGE(H153:H155)/AVERAGE(H150:H152)-1)*100,"")</f>
        <v>0.290584266214511</v>
      </c>
      <c r="K155" s="31" t="n">
        <f aca="false">IFERROR(((AVERAGE(H153:H155)/AVERAGE(H150:H152))^4-1)*100,"")</f>
        <v>1.16741323961733</v>
      </c>
      <c r="L155" s="31" t="n">
        <f aca="false">IFERROR(('SA Data'!W155/'SA Data'!W143-1)*100,"")</f>
        <v>-7.13314764586345</v>
      </c>
      <c r="M155" s="31" t="n">
        <f aca="false">IFERROR((AVERAGE('SA Data'!W151:W155)/AVERAGE('SA Data'!W139:W143)-1)*100,"")</f>
        <v>-5.38185453547228</v>
      </c>
      <c r="N155" s="30" t="n">
        <f aca="false">'SA Data'!T155</f>
        <v>159.658807393282</v>
      </c>
      <c r="O155" s="31" t="n">
        <f aca="false">IFERROR((N155/N154-1)*100,"")</f>
        <v>-1.33092546755791</v>
      </c>
      <c r="P155" s="31" t="n">
        <f aca="false">IFERROR((AVERAGE(N153:N155)/AVERAGE(N150:N152)-1)*100,"")</f>
        <v>2.42259235800477</v>
      </c>
      <c r="Q155" s="31" t="n">
        <f aca="false">IFERROR(((AVERAGE(N153:N155)/AVERAGE(N150:N152))^4-1)*100,"")</f>
        <v>10.0482283336061</v>
      </c>
      <c r="R155" s="31" t="n">
        <f aca="false">IFERROR(('SA Data'!X155/'SA Data'!X143-1)*100,"")</f>
        <v>1.10686099383317</v>
      </c>
      <c r="S155" s="31" t="n">
        <f aca="false">IFERROR((AVERAGE('SA Data'!X151:X155)/AVERAGE('SA Data'!X139:X143)-1)*100,"")</f>
        <v>1.60925960892908</v>
      </c>
    </row>
    <row r="156" customFormat="false" ht="15" hidden="false" customHeight="false" outlineLevel="0" collapsed="false">
      <c r="A156" s="20" t="n">
        <v>42551</v>
      </c>
      <c r="B156" s="30" t="n">
        <f aca="false">'SA Data'!R156</f>
        <v>137.339616391747</v>
      </c>
      <c r="C156" s="31" t="n">
        <f aca="false">IFERROR((B156/B155-1)*100,"")</f>
        <v>1.04495939749625</v>
      </c>
      <c r="D156" s="31" t="n">
        <f aca="false">IFERROR((AVERAGE(B154:B156)/AVERAGE(B151:B153)-1)*100,"")</f>
        <v>12.806023276838</v>
      </c>
      <c r="E156" s="31" t="n">
        <f aca="false">IFERROR(((AVERAGE(B154:B156)/AVERAGE(B151:B153))^4-1)*100,"")</f>
        <v>61.9306867273098</v>
      </c>
      <c r="F156" s="31" t="n">
        <f aca="false">IFERROR(('SA Data'!V156/'SA Data'!V144-1)*100,"")</f>
        <v>-8.69565181548351</v>
      </c>
      <c r="G156" s="31" t="n">
        <f aca="false">IFERROR((AVERAGE('SA Data'!V151:V156)/AVERAGE('SA Data'!V139:V144)-1)*100,"")</f>
        <v>-7.21513101320087</v>
      </c>
      <c r="H156" s="30" t="n">
        <f aca="false">'SA Data'!S156</f>
        <v>120.614180399513</v>
      </c>
      <c r="I156" s="31" t="n">
        <f aca="false">IFERROR((H156/H155-1)*100,"")</f>
        <v>-5.10086389943277</v>
      </c>
      <c r="J156" s="31" t="n">
        <f aca="false">IFERROR((AVERAGE(H154:H156)/AVERAGE(H151:H153)-1)*100,"")</f>
        <v>-1.01329543410807</v>
      </c>
      <c r="K156" s="31" t="n">
        <f aca="false">IFERROR(((AVERAGE(H154:H156)/AVERAGE(H151:H153))^4-1)*100,"")</f>
        <v>-3.99199079155675</v>
      </c>
      <c r="L156" s="31" t="n">
        <f aca="false">IFERROR(('SA Data'!W156/'SA Data'!W144-1)*100,"")</f>
        <v>-13.106808813475</v>
      </c>
      <c r="M156" s="31" t="n">
        <f aca="false">IFERROR((AVERAGE('SA Data'!W151:W156)/AVERAGE('SA Data'!W139:W144)-1)*100,"")</f>
        <v>-6.75524348633515</v>
      </c>
      <c r="N156" s="30" t="n">
        <f aca="false">'SA Data'!T156</f>
        <v>159.011962414094</v>
      </c>
      <c r="O156" s="31" t="n">
        <f aca="false">IFERROR((N156/N155-1)*100,"")</f>
        <v>-0.405142058712282</v>
      </c>
      <c r="P156" s="31" t="n">
        <f aca="false">IFERROR((AVERAGE(N154:N156)/AVERAGE(N151:N153)-1)*100,"")</f>
        <v>1.47278749787874</v>
      </c>
      <c r="Q156" s="31" t="n">
        <f aca="false">IFERROR(((AVERAGE(N154:N156)/AVERAGE(N151:N153))^4-1)*100,"")</f>
        <v>6.02257872847749</v>
      </c>
      <c r="R156" s="31" t="n">
        <f aca="false">IFERROR(('SA Data'!X156/'SA Data'!X144-1)*100,"")</f>
        <v>-1.62469151791884</v>
      </c>
      <c r="S156" s="31" t="n">
        <f aca="false">IFERROR((AVERAGE('SA Data'!X151:X156)/AVERAGE('SA Data'!X139:X144)-1)*100,"")</f>
        <v>1.04353148955192</v>
      </c>
    </row>
    <row r="157" customFormat="false" ht="15" hidden="false" customHeight="false" outlineLevel="0" collapsed="false">
      <c r="A157" s="20" t="n">
        <v>42582</v>
      </c>
      <c r="B157" s="30" t="n">
        <f aca="false">'SA Data'!R157</f>
        <v>127.288989974674</v>
      </c>
      <c r="C157" s="31" t="n">
        <f aca="false">IFERROR((B157/B156-1)*100,"")</f>
        <v>-7.31808248859823</v>
      </c>
      <c r="D157" s="31" t="n">
        <f aca="false">IFERROR((AVERAGE(B155:B157)/AVERAGE(B152:B154)-1)*100,"")</f>
        <v>6.24275760411832</v>
      </c>
      <c r="E157" s="31" t="n">
        <f aca="false">IFERROR(((AVERAGE(B155:B157)/AVERAGE(B152:B154))^4-1)*100,"")</f>
        <v>27.4081877411713</v>
      </c>
      <c r="F157" s="31" t="n">
        <f aca="false">IFERROR(('SA Data'!V157/'SA Data'!V145-1)*100,"")</f>
        <v>-1.5716252426613</v>
      </c>
      <c r="G157" s="31" t="n">
        <f aca="false">IFERROR((AVERAGE('SA Data'!V151:V157)/AVERAGE('SA Data'!V139:V145)-1)*100,"")</f>
        <v>-6.68418645816704</v>
      </c>
      <c r="H157" s="30" t="n">
        <f aca="false">'SA Data'!S157</f>
        <v>120.409681894966</v>
      </c>
      <c r="I157" s="31" t="n">
        <f aca="false">IFERROR((H157/H156-1)*100,"")</f>
        <v>-0.169547646777379</v>
      </c>
      <c r="J157" s="31" t="n">
        <f aca="false">IFERROR((AVERAGE(H155:H157)/AVERAGE(H152:H154)-1)*100,"")</f>
        <v>-4.79673859054638</v>
      </c>
      <c r="K157" s="31" t="n">
        <f aca="false">IFERROR(((AVERAGE(H155:H157)/AVERAGE(H152:H154))^4-1)*100,"")</f>
        <v>-17.8500495853022</v>
      </c>
      <c r="L157" s="31" t="n">
        <f aca="false">IFERROR(('SA Data'!W157/'SA Data'!W145-1)*100,"")</f>
        <v>-12.0567842436909</v>
      </c>
      <c r="M157" s="31" t="n">
        <f aca="false">IFERROR((AVERAGE('SA Data'!W151:W157)/AVERAGE('SA Data'!W139:W145)-1)*100,"")</f>
        <v>-7.55514073199768</v>
      </c>
      <c r="N157" s="30" t="n">
        <f aca="false">'SA Data'!T157</f>
        <v>157.264402309133</v>
      </c>
      <c r="O157" s="31" t="n">
        <f aca="false">IFERROR((N157/N156-1)*100,"")</f>
        <v>-1.09901172114975</v>
      </c>
      <c r="P157" s="31" t="n">
        <f aca="false">IFERROR((AVERAGE(N155:N157)/AVERAGE(N152:N154)-1)*100,"")</f>
        <v>-0.849122263377289</v>
      </c>
      <c r="Q157" s="31" t="n">
        <f aca="false">IFERROR(((AVERAGE(N155:N157)/AVERAGE(N152:N154))^4-1)*100,"")</f>
        <v>-3.35347290635386</v>
      </c>
      <c r="R157" s="31" t="n">
        <f aca="false">IFERROR(('SA Data'!X157/'SA Data'!X145-1)*100,"")</f>
        <v>-2.27950551189475</v>
      </c>
      <c r="S157" s="31" t="n">
        <f aca="false">IFERROR((AVERAGE('SA Data'!X151:X157)/AVERAGE('SA Data'!X139:X145)-1)*100,"")</f>
        <v>0.550819067165453</v>
      </c>
    </row>
    <row r="158" customFormat="false" ht="15" hidden="false" customHeight="false" outlineLevel="0" collapsed="false">
      <c r="A158" s="20" t="n">
        <v>42613</v>
      </c>
      <c r="B158" s="30" t="n">
        <f aca="false">'SA Data'!R158</f>
        <v>122.41850953312</v>
      </c>
      <c r="C158" s="31" t="n">
        <f aca="false">IFERROR((B158/B157-1)*100,"")</f>
        <v>-3.82631714064476</v>
      </c>
      <c r="D158" s="31" t="n">
        <f aca="false">IFERROR((AVERAGE(B156:B158)/AVERAGE(B153:B155)-1)*100,"")</f>
        <v>-1.08756635889515</v>
      </c>
      <c r="E158" s="31" t="n">
        <f aca="false">IFERROR(((AVERAGE(B156:B158)/AVERAGE(B153:B155))^4-1)*100,"")</f>
        <v>-4.27981055111357</v>
      </c>
      <c r="F158" s="31" t="n">
        <f aca="false">IFERROR(('SA Data'!V158/'SA Data'!V146-1)*100,"")</f>
        <v>3.35059583653707</v>
      </c>
      <c r="G158" s="31" t="n">
        <f aca="false">IFERROR((AVERAGE('SA Data'!V151:V158)/AVERAGE('SA Data'!V139:V146)-1)*100,"")</f>
        <v>-6.14339719685163</v>
      </c>
      <c r="H158" s="30" t="n">
        <f aca="false">'SA Data'!S158</f>
        <v>124.049946419057</v>
      </c>
      <c r="I158" s="31" t="n">
        <f aca="false">IFERROR((H158/H157-1)*100,"")</f>
        <v>3.02323240689766</v>
      </c>
      <c r="J158" s="31" t="n">
        <f aca="false">IFERROR((AVERAGE(H156:H158)/AVERAGE(H153:H155)-1)*100,"")</f>
        <v>-5.39522015963314</v>
      </c>
      <c r="K158" s="31" t="n">
        <f aca="false">IFERROR(((AVERAGE(H156:H158)/AVERAGE(H153:H155))^4-1)*100,"")</f>
        <v>-19.896347797124</v>
      </c>
      <c r="L158" s="31" t="n">
        <f aca="false">IFERROR(('SA Data'!W158/'SA Data'!W146-1)*100,"")</f>
        <v>-7.42614186034012</v>
      </c>
      <c r="M158" s="31" t="n">
        <f aca="false">IFERROR((AVERAGE('SA Data'!W151:W158)/AVERAGE('SA Data'!W139:W146)-1)*100,"")</f>
        <v>-7.53816317014971</v>
      </c>
      <c r="N158" s="30" t="n">
        <f aca="false">'SA Data'!T158</f>
        <v>159.328180677415</v>
      </c>
      <c r="O158" s="31" t="n">
        <f aca="false">IFERROR((N158/N157-1)*100,"")</f>
        <v>1.31229848457746</v>
      </c>
      <c r="P158" s="31" t="n">
        <f aca="false">IFERROR((AVERAGE(N156:N158)/AVERAGE(N153:N155)-1)*100,"")</f>
        <v>-1.31162279958932</v>
      </c>
      <c r="Q158" s="31" t="n">
        <f aca="false">IFERROR(((AVERAGE(N156:N158)/AVERAGE(N153:N155))^4-1)*100,"")</f>
        <v>-5.14416955903916</v>
      </c>
      <c r="R158" s="31" t="n">
        <f aca="false">IFERROR(('SA Data'!X158/'SA Data'!X146-1)*100,"")</f>
        <v>0.0742656220985793</v>
      </c>
      <c r="S158" s="31" t="n">
        <f aca="false">IFERROR((AVERAGE('SA Data'!X151:X158)/AVERAGE('SA Data'!X139:X146)-1)*100,"")</f>
        <v>0.490081889913285</v>
      </c>
    </row>
    <row r="159" customFormat="false" ht="15" hidden="false" customHeight="false" outlineLevel="0" collapsed="false">
      <c r="A159" s="20" t="n">
        <v>42643</v>
      </c>
      <c r="B159" s="30" t="n">
        <f aca="false">'SA Data'!R159</f>
        <v>115.368693284573</v>
      </c>
      <c r="C159" s="31" t="n">
        <f aca="false">IFERROR((B159/B158-1)*100,"")</f>
        <v>-5.75878294502501</v>
      </c>
      <c r="D159" s="31" t="n">
        <f aca="false">IFERROR((AVERAGE(B157:B159)/AVERAGE(B154:B156)-1)*100,"")</f>
        <v>-10.2262004518022</v>
      </c>
      <c r="E159" s="31" t="n">
        <f aca="false">IFERROR(((AVERAGE(B157:B159)/AVERAGE(B154:B156))^4-1)*100,"")</f>
        <v>-35.04711798253</v>
      </c>
      <c r="F159" s="31" t="n">
        <f aca="false">IFERROR(('SA Data'!V159/'SA Data'!V147-1)*100,"")</f>
        <v>-4.08375452420082</v>
      </c>
      <c r="G159" s="31" t="n">
        <f aca="false">IFERROR((AVERAGE('SA Data'!V151:V159)/AVERAGE('SA Data'!V139:V147)-1)*100,"")</f>
        <v>-6.04413833219639</v>
      </c>
      <c r="H159" s="30" t="n">
        <f aca="false">'SA Data'!S159</f>
        <v>126.566522282273</v>
      </c>
      <c r="I159" s="31" t="n">
        <f aca="false">IFERROR((H159/H158-1)*100,"")</f>
        <v>2.02867952454782</v>
      </c>
      <c r="J159" s="31" t="n">
        <f aca="false">IFERROR((AVERAGE(H157:H159)/AVERAGE(H154:H156)-1)*100,"")</f>
        <v>-1.95741760174015</v>
      </c>
      <c r="K159" s="31" t="n">
        <f aca="false">IFERROR(((AVERAGE(H157:H159)/AVERAGE(H154:H156))^4-1)*100,"")</f>
        <v>-7.60276663206608</v>
      </c>
      <c r="L159" s="31" t="n">
        <f aca="false">IFERROR(('SA Data'!W159/'SA Data'!W147-1)*100,"")</f>
        <v>-5.83814240844572</v>
      </c>
      <c r="M159" s="31" t="n">
        <f aca="false">IFERROR((AVERAGE('SA Data'!W151:W159)/AVERAGE('SA Data'!W139:W147)-1)*100,"")</f>
        <v>-7.34323930750436</v>
      </c>
      <c r="N159" s="30" t="n">
        <f aca="false">'SA Data'!T159</f>
        <v>159.511724679589</v>
      </c>
      <c r="O159" s="31" t="n">
        <f aca="false">IFERROR((N159/N158-1)*100,"")</f>
        <v>0.115198705836517</v>
      </c>
      <c r="P159" s="31" t="n">
        <f aca="false">IFERROR((AVERAGE(N157:N159)/AVERAGE(N154:N156)-1)*100,"")</f>
        <v>-0.911347637704896</v>
      </c>
      <c r="Q159" s="31" t="n">
        <f aca="false">IFERROR(((AVERAGE(N157:N159)/AVERAGE(N154:N156))^4-1)*100,"")</f>
        <v>-3.59585935955249</v>
      </c>
      <c r="R159" s="31" t="n">
        <f aca="false">IFERROR(('SA Data'!X159/'SA Data'!X147-1)*100,"")</f>
        <v>-0.731899600042008</v>
      </c>
      <c r="S159" s="31" t="n">
        <f aca="false">IFERROR((AVERAGE('SA Data'!X151:X159)/AVERAGE('SA Data'!X139:X147)-1)*100,"")</f>
        <v>0.352545415881456</v>
      </c>
    </row>
    <row r="160" customFormat="false" ht="15" hidden="false" customHeight="false" outlineLevel="0" collapsed="false">
      <c r="A160" s="20" t="n">
        <v>42674</v>
      </c>
      <c r="B160" s="30" t="n">
        <f aca="false">'SA Data'!R160</f>
        <v>121.489696549462</v>
      </c>
      <c r="C160" s="31" t="n">
        <f aca="false">IFERROR((B160/B159-1)*100,"")</f>
        <v>5.30560162434319</v>
      </c>
      <c r="D160" s="31" t="n">
        <f aca="false">IFERROR((AVERAGE(B158:B160)/AVERAGE(B155:B157)-1)*100,"")</f>
        <v>-10.3036414780771</v>
      </c>
      <c r="E160" s="31" t="n">
        <f aca="false">IFERROR(((AVERAGE(B158:B160)/AVERAGE(B155:B157))^4-1)*100,"")</f>
        <v>-35.2709477898834</v>
      </c>
      <c r="F160" s="31" t="n">
        <f aca="false">IFERROR(('SA Data'!V160/'SA Data'!V148-1)*100,"")</f>
        <v>1.43851754291242</v>
      </c>
      <c r="G160" s="31" t="n">
        <f aca="false">IFERROR((AVERAGE('SA Data'!V151:V160)/AVERAGE('SA Data'!V139:V148)-1)*100,"")</f>
        <v>-5.6736239222957</v>
      </c>
      <c r="H160" s="30" t="n">
        <f aca="false">'SA Data'!S160</f>
        <v>119.992545099361</v>
      </c>
      <c r="I160" s="31" t="n">
        <f aca="false">IFERROR((H160/H159-1)*100,"")</f>
        <v>-5.19408850331701</v>
      </c>
      <c r="J160" s="31" t="n">
        <f aca="false">IFERROR((AVERAGE(H158:H160)/AVERAGE(H155:H157)-1)*100,"")</f>
        <v>0.675841184602177</v>
      </c>
      <c r="K160" s="31" t="n">
        <f aca="false">IFERROR(((AVERAGE(H158:H160)/AVERAGE(H155:H157))^4-1)*100,"")</f>
        <v>2.73089410468894</v>
      </c>
      <c r="L160" s="31" t="n">
        <f aca="false">IFERROR(('SA Data'!W160/'SA Data'!W148-1)*100,"")</f>
        <v>-9.17848807381445</v>
      </c>
      <c r="M160" s="31" t="n">
        <f aca="false">IFERROR((AVERAGE('SA Data'!W151:W160)/AVERAGE('SA Data'!W139:W148)-1)*100,"")</f>
        <v>-7.53471237862555</v>
      </c>
      <c r="N160" s="30" t="n">
        <f aca="false">'SA Data'!T160</f>
        <v>156.949216482064</v>
      </c>
      <c r="O160" s="31" t="n">
        <f aca="false">IFERROR((N160/N159-1)*100,"")</f>
        <v>-1.6064701216613</v>
      </c>
      <c r="P160" s="31" t="n">
        <f aca="false">IFERROR((AVERAGE(N158:N160)/AVERAGE(N155:N157)-1)*100,"")</f>
        <v>-0.0306870107521839</v>
      </c>
      <c r="Q160" s="31" t="n">
        <f aca="false">IFERROR(((AVERAGE(N158:N160)/AVERAGE(N155:N157))^4-1)*100,"")</f>
        <v>-0.122691553009202</v>
      </c>
      <c r="R160" s="31" t="n">
        <f aca="false">IFERROR(('SA Data'!X160/'SA Data'!X148-1)*100,"")</f>
        <v>-1.33152208902158</v>
      </c>
      <c r="S160" s="31" t="n">
        <f aca="false">IFERROR((AVERAGE('SA Data'!X151:X160)/AVERAGE('SA Data'!X139:X148)-1)*100,"")</f>
        <v>0.181186514628506</v>
      </c>
    </row>
    <row r="161" customFormat="false" ht="15" hidden="false" customHeight="false" outlineLevel="0" collapsed="false">
      <c r="A161" s="20" t="n">
        <v>42704</v>
      </c>
      <c r="B161" s="30" t="n">
        <f aca="false">'SA Data'!R161</f>
        <v>126.128645631775</v>
      </c>
      <c r="C161" s="31" t="n">
        <f aca="false">IFERROR((B161/B160-1)*100,"")</f>
        <v>3.81838889557495</v>
      </c>
      <c r="D161" s="31" t="n">
        <f aca="false">IFERROR((AVERAGE(B159:B161)/AVERAGE(B156:B158)-1)*100,"")</f>
        <v>-6.21631823242309</v>
      </c>
      <c r="E161" s="31" t="n">
        <f aca="false">IFERROR(((AVERAGE(B159:B161)/AVERAGE(B156:B158))^4-1)*100,"")</f>
        <v>-22.6413088465181</v>
      </c>
      <c r="F161" s="31" t="n">
        <f aca="false">IFERROR(('SA Data'!V161/'SA Data'!V149-1)*100,"")</f>
        <v>-0.618062553788323</v>
      </c>
      <c r="G161" s="31" t="n">
        <f aca="false">IFERROR((AVERAGE('SA Data'!V151:V161)/AVERAGE('SA Data'!V139:V149)-1)*100,"")</f>
        <v>-5.38528244996498</v>
      </c>
      <c r="H161" s="30" t="n">
        <f aca="false">'SA Data'!S161</f>
        <v>125.792769958647</v>
      </c>
      <c r="I161" s="31" t="n">
        <f aca="false">IFERROR((H161/H160-1)*100,"")</f>
        <v>4.83382101319962</v>
      </c>
      <c r="J161" s="31" t="n">
        <f aca="false">IFERROR((AVERAGE(H159:H161)/AVERAGE(H156:H158)-1)*100,"")</f>
        <v>1.99357731314438</v>
      </c>
      <c r="K161" s="31" t="n">
        <f aca="false">IFERROR(((AVERAGE(H159:H161)/AVERAGE(H156:H158))^4-1)*100,"")</f>
        <v>8.21595534824777</v>
      </c>
      <c r="L161" s="31" t="n">
        <f aca="false">IFERROR(('SA Data'!W161/'SA Data'!W149-1)*100,"")</f>
        <v>-4.167158978792</v>
      </c>
      <c r="M161" s="31" t="n">
        <f aca="false">IFERROR((AVERAGE('SA Data'!W151:W161)/AVERAGE('SA Data'!W139:W149)-1)*100,"")</f>
        <v>-7.22430280615295</v>
      </c>
      <c r="N161" s="30" t="n">
        <f aca="false">'SA Data'!T161</f>
        <v>159.760661524301</v>
      </c>
      <c r="O161" s="31" t="n">
        <f aca="false">IFERROR((N161/N160-1)*100,"")</f>
        <v>1.79130874639213</v>
      </c>
      <c r="P161" s="31" t="n">
        <f aca="false">IFERROR((AVERAGE(N159:N161)/AVERAGE(N156:N158)-1)*100,"")</f>
        <v>0.129741671159311</v>
      </c>
      <c r="Q161" s="31" t="n">
        <f aca="false">IFERROR(((AVERAGE(N159:N161)/AVERAGE(N156:N158))^4-1)*100,"")</f>
        <v>0.519977532566207</v>
      </c>
      <c r="R161" s="31" t="n">
        <f aca="false">IFERROR(('SA Data'!X161/'SA Data'!X149-1)*100,"")</f>
        <v>0.552138747198083</v>
      </c>
      <c r="S161" s="31" t="n">
        <f aca="false">IFERROR((AVERAGE('SA Data'!X151:X161)/AVERAGE('SA Data'!X139:X149)-1)*100,"")</f>
        <v>0.215345910371823</v>
      </c>
    </row>
    <row r="162" customFormat="false" ht="15" hidden="false" customHeight="false" outlineLevel="0" collapsed="false">
      <c r="A162" s="20" t="n">
        <v>42735</v>
      </c>
      <c r="B162" s="30" t="n">
        <f aca="false">'SA Data'!R162</f>
        <v>126.626325687898</v>
      </c>
      <c r="C162" s="31" t="n">
        <f aca="false">IFERROR((B162/B161-1)*100,"")</f>
        <v>0.394581305166808</v>
      </c>
      <c r="D162" s="31" t="n">
        <f aca="false">IFERROR((AVERAGE(B160:B162)/AVERAGE(B157:B159)-1)*100,"")</f>
        <v>2.51138673454474</v>
      </c>
      <c r="E162" s="31" t="n">
        <f aca="false">IFERROR(((AVERAGE(B160:B162)/AVERAGE(B157:B159))^4-1)*100,"")</f>
        <v>10.4303463071265</v>
      </c>
      <c r="F162" s="31" t="n">
        <f aca="false">IFERROR(('SA Data'!V162/'SA Data'!V150-1)*100,"")</f>
        <v>4.40375686463577</v>
      </c>
      <c r="G162" s="31" t="n">
        <f aca="false">IFERROR((AVERAGE('SA Data'!V151:V162)/AVERAGE('SA Data'!V139:V150)-1)*100,"")</f>
        <v>-4.84382377138655</v>
      </c>
      <c r="H162" s="30" t="n">
        <f aca="false">'SA Data'!S162</f>
        <v>126.248123785215</v>
      </c>
      <c r="I162" s="31" t="n">
        <f aca="false">IFERROR((H162/H161-1)*100,"")</f>
        <v>0.361987280125753</v>
      </c>
      <c r="J162" s="31" t="n">
        <f aca="false">IFERROR((AVERAGE(H160:H162)/AVERAGE(H157:H159)-1)*100,"")</f>
        <v>0.271487129764036</v>
      </c>
      <c r="K162" s="31" t="n">
        <f aca="false">IFERROR(((AVERAGE(H160:H162)/AVERAGE(H157:H159))^4-1)*100,"")</f>
        <v>1.09037884419823</v>
      </c>
      <c r="L162" s="31" t="n">
        <f aca="false">IFERROR(('SA Data'!W162/'SA Data'!W150-1)*100,"")</f>
        <v>-3.19432861427401</v>
      </c>
      <c r="M162" s="31" t="n">
        <f aca="false">IFERROR((AVERAGE('SA Data'!W151:W162)/AVERAGE('SA Data'!W139:W150)-1)*100,"")</f>
        <v>-6.90138012609786</v>
      </c>
      <c r="N162" s="30" t="n">
        <f aca="false">'SA Data'!T162</f>
        <v>159.538945119082</v>
      </c>
      <c r="O162" s="31" t="n">
        <f aca="false">IFERROR((N162/N161-1)*100,"")</f>
        <v>-0.138780349996215</v>
      </c>
      <c r="P162" s="31" t="n">
        <f aca="false">IFERROR((AVERAGE(N160:N162)/AVERAGE(N157:N159)-1)*100,"")</f>
        <v>0.0303537390828224</v>
      </c>
      <c r="Q162" s="31" t="n">
        <f aca="false">IFERROR(((AVERAGE(N160:N162)/AVERAGE(N157:N159))^4-1)*100,"")</f>
        <v>0.121470248487277</v>
      </c>
      <c r="R162" s="31" t="n">
        <f aca="false">IFERROR(('SA Data'!X162/'SA Data'!X150-1)*100,"")</f>
        <v>1.41046113639964</v>
      </c>
      <c r="S162" s="31" t="n">
        <f aca="false">IFERROR((AVERAGE('SA Data'!X151:X162)/AVERAGE('SA Data'!X139:X150)-1)*100,"")</f>
        <v>0.314019680206945</v>
      </c>
    </row>
    <row r="163" customFormat="false" ht="15" hidden="false" customHeight="false" outlineLevel="0" collapsed="false">
      <c r="A163" s="20" t="n">
        <v>42766</v>
      </c>
      <c r="B163" s="30" t="n">
        <f aca="false">'SA Data'!R163</f>
        <v>121.167152103451</v>
      </c>
      <c r="C163" s="31" t="n">
        <f aca="false">IFERROR((B163/B162-1)*100,"")</f>
        <v>-4.31124693446672</v>
      </c>
      <c r="D163" s="31" t="n">
        <f aca="false">IFERROR((AVERAGE(B161:B163)/AVERAGE(B158:B160)-1)*100,"")</f>
        <v>4.07630551303611</v>
      </c>
      <c r="E163" s="31" t="n">
        <f aca="false">IFERROR(((AVERAGE(B161:B163)/AVERAGE(B158:B160))^4-1)*100,"")</f>
        <v>17.329567342315</v>
      </c>
      <c r="F163" s="31" t="n">
        <f aca="false">IFERROR(('SA Data'!V163/'SA Data'!V151-1)*100,"")</f>
        <v>4.42706947328004</v>
      </c>
      <c r="G163" s="31" t="n">
        <f aca="false">IFERROR((AVERAGE('SA Data'!V163:V163)/AVERAGE('SA Data'!V151:V151)-1)*100,"")</f>
        <v>4.42706947328004</v>
      </c>
      <c r="H163" s="30" t="n">
        <f aca="false">'SA Data'!S163</f>
        <v>124.780252781117</v>
      </c>
      <c r="I163" s="31" t="n">
        <f aca="false">IFERROR((H163/H162-1)*100,"")</f>
        <v>-1.16268738107774</v>
      </c>
      <c r="J163" s="31" t="n">
        <f aca="false">IFERROR((AVERAGE(H161:H163)/AVERAGE(H158:H160)-1)*100,"")</f>
        <v>1.67619580014569</v>
      </c>
      <c r="K163" s="31" t="n">
        <f aca="false">IFERROR(((AVERAGE(H161:H163)/AVERAGE(H158:H160))^4-1)*100,"")</f>
        <v>6.87525283382731</v>
      </c>
      <c r="L163" s="31" t="n">
        <f aca="false">IFERROR(('SA Data'!W163/'SA Data'!W151-1)*100,"")</f>
        <v>-1.14183676841811</v>
      </c>
      <c r="M163" s="31" t="n">
        <f aca="false">IFERROR((AVERAGE('SA Data'!W163:W163)/AVERAGE('SA Data'!W151:W151)-1)*100,"")</f>
        <v>-1.14183676841811</v>
      </c>
      <c r="N163" s="30" t="n">
        <f aca="false">'SA Data'!T163</f>
        <v>157.852154866495</v>
      </c>
      <c r="O163" s="31" t="n">
        <f aca="false">IFERROR((N163/N162-1)*100,"")</f>
        <v>-1.0572905890328</v>
      </c>
      <c r="P163" s="31" t="n">
        <f aca="false">IFERROR((AVERAGE(N161:N163)/AVERAGE(N158:N160)-1)*100,"")</f>
        <v>0.286395717822119</v>
      </c>
      <c r="Q163" s="31" t="n">
        <f aca="false">IFERROR(((AVERAGE(N161:N163)/AVERAGE(N158:N160))^4-1)*100,"")</f>
        <v>1.15051362480532</v>
      </c>
      <c r="R163" s="31" t="n">
        <f aca="false">IFERROR(('SA Data'!X163/'SA Data'!X151-1)*100,"")</f>
        <v>1.98344284208782</v>
      </c>
      <c r="S163" s="31" t="n">
        <f aca="false">IFERROR((AVERAGE('SA Data'!X163:X163)/AVERAGE('SA Data'!X151:X151)-1)*100,"")</f>
        <v>1.98344284208782</v>
      </c>
    </row>
    <row r="164" customFormat="false" ht="15" hidden="false" customHeight="false" outlineLevel="0" collapsed="false">
      <c r="A164" s="20" t="n">
        <v>42794</v>
      </c>
      <c r="B164" s="30" t="n">
        <f aca="false">'SA Data'!R164</f>
        <v>132.763157697065</v>
      </c>
      <c r="C164" s="31" t="n">
        <f aca="false">IFERROR((B164/B163-1)*100,"")</f>
        <v>9.57025513293701</v>
      </c>
      <c r="D164" s="31" t="n">
        <f aca="false">IFERROR((AVERAGE(B162:B164)/AVERAGE(B159:B161)-1)*100,"")</f>
        <v>4.84028306962991</v>
      </c>
      <c r="E164" s="31" t="n">
        <f aca="false">IFERROR(((AVERAGE(B162:B164)/AVERAGE(B159:B161))^4-1)*100,"")</f>
        <v>20.8127414966492</v>
      </c>
      <c r="F164" s="31" t="n">
        <f aca="false">IFERROR(('SA Data'!V164/'SA Data'!V152-1)*100,"")</f>
        <v>8.12821974867701</v>
      </c>
      <c r="G164" s="31" t="n">
        <f aca="false">IFERROR((AVERAGE('SA Data'!V163:V164)/AVERAGE('SA Data'!V151:V152)-1)*100,"")</f>
        <v>6.35914911349043</v>
      </c>
      <c r="H164" s="30" t="n">
        <f aca="false">'SA Data'!S164</f>
        <v>121.39969751126</v>
      </c>
      <c r="I164" s="31" t="n">
        <f aca="false">IFERROR((H164/H163-1)*100,"")</f>
        <v>-2.70920694141164</v>
      </c>
      <c r="J164" s="31" t="n">
        <f aca="false">IFERROR((AVERAGE(H162:H164)/AVERAGE(H159:H161)-1)*100,"")</f>
        <v>0.0204743819329556</v>
      </c>
      <c r="K164" s="31" t="n">
        <f aca="false">IFERROR(((AVERAGE(H162:H164)/AVERAGE(H159:H161))^4-1)*100,"")</f>
        <v>0.0819226831840769</v>
      </c>
      <c r="L164" s="31" t="n">
        <f aca="false">IFERROR(('SA Data'!W164/'SA Data'!W152-1)*100,"")</f>
        <v>-5.1888615715174</v>
      </c>
      <c r="M164" s="31" t="n">
        <f aca="false">IFERROR((AVERAGE('SA Data'!W163:W164)/AVERAGE('SA Data'!W151:W152)-1)*100,"")</f>
        <v>-3.15767459199035</v>
      </c>
      <c r="N164" s="30" t="n">
        <f aca="false">'SA Data'!T164</f>
        <v>157.770377546612</v>
      </c>
      <c r="O164" s="31" t="n">
        <f aca="false">IFERROR((N164/N163-1)*100,"")</f>
        <v>-0.0518062740115233</v>
      </c>
      <c r="P164" s="31" t="n">
        <f aca="false">IFERROR((AVERAGE(N162:N164)/AVERAGE(N159:N161)-1)*100,"")</f>
        <v>-0.222611731132227</v>
      </c>
      <c r="Q164" s="31" t="n">
        <f aca="false">IFERROR(((AVERAGE(N162:N164)/AVERAGE(N159:N161))^4-1)*100,"")</f>
        <v>-0.8874779758001</v>
      </c>
      <c r="R164" s="31" t="n">
        <f aca="false">IFERROR(('SA Data'!X164/'SA Data'!X152-1)*100,"")</f>
        <v>0.320597960254321</v>
      </c>
      <c r="S164" s="31" t="n">
        <f aca="false">IFERROR((AVERAGE('SA Data'!X163:X164)/AVERAGE('SA Data'!X151:X152)-1)*100,"")</f>
        <v>1.1518510249477</v>
      </c>
    </row>
    <row r="165" customFormat="false" ht="15" hidden="false" customHeight="false" outlineLevel="0" collapsed="false">
      <c r="A165" s="20" t="n">
        <v>42825</v>
      </c>
      <c r="B165" s="30" t="n">
        <f aca="false">'SA Data'!R165</f>
        <v>126.885391277369</v>
      </c>
      <c r="C165" s="31" t="n">
        <f aca="false">IFERROR((B165/B164-1)*100,"")</f>
        <v>-4.42725717107973</v>
      </c>
      <c r="D165" s="31" t="n">
        <f aca="false">IFERROR((AVERAGE(B163:B165)/AVERAGE(B160:B162)-1)*100,"")</f>
        <v>1.75581211247804</v>
      </c>
      <c r="E165" s="31" t="n">
        <f aca="false">IFERROR(((AVERAGE(B163:B165)/AVERAGE(B160:B162))^4-1)*100,"")</f>
        <v>7.21039570502839</v>
      </c>
      <c r="F165" s="31" t="n">
        <f aca="false">IFERROR(('SA Data'!V165/'SA Data'!V153-1)*100,"")</f>
        <v>4.20506504617852</v>
      </c>
      <c r="G165" s="31" t="n">
        <f aca="false">IFERROR((AVERAGE('SA Data'!V163:V165)/AVERAGE('SA Data'!V151:V153)-1)*100,"")</f>
        <v>5.27618987246996</v>
      </c>
      <c r="H165" s="30" t="n">
        <f aca="false">'SA Data'!S165</f>
        <v>129.701919891845</v>
      </c>
      <c r="I165" s="31" t="n">
        <f aca="false">IFERROR((H165/H164-1)*100,"")</f>
        <v>6.83875046707947</v>
      </c>
      <c r="J165" s="31" t="n">
        <f aca="false">IFERROR((AVERAGE(H163:H165)/AVERAGE(H160:H162)-1)*100,"")</f>
        <v>1.03443156963638</v>
      </c>
      <c r="K165" s="31" t="n">
        <f aca="false">IFERROR(((AVERAGE(H163:H165)/AVERAGE(H160:H162))^4-1)*100,"")</f>
        <v>4.20237310073637</v>
      </c>
      <c r="L165" s="31" t="n">
        <f aca="false">IFERROR(('SA Data'!W165/'SA Data'!W153-1)*100,"")</f>
        <v>1.43459206553624</v>
      </c>
      <c r="M165" s="31" t="n">
        <f aca="false">IFERROR((AVERAGE('SA Data'!W163:W165)/AVERAGE('SA Data'!W151:W153)-1)*100,"")</f>
        <v>-1.52893248079825</v>
      </c>
      <c r="N165" s="30" t="n">
        <f aca="false">'SA Data'!T165</f>
        <v>163.098397099649</v>
      </c>
      <c r="O165" s="31" t="n">
        <f aca="false">IFERROR((N165/N164-1)*100,"")</f>
        <v>3.37707219561048</v>
      </c>
      <c r="P165" s="31" t="n">
        <f aca="false">IFERROR((AVERAGE(N163:N165)/AVERAGE(N160:N162)-1)*100,"")</f>
        <v>0.519078739362588</v>
      </c>
      <c r="Q165" s="31" t="n">
        <f aca="false">IFERROR(((AVERAGE(N163:N165)/AVERAGE(N160:N162))^4-1)*100,"")</f>
        <v>2.09253753910788</v>
      </c>
      <c r="R165" s="31" t="n">
        <f aca="false">IFERROR(('SA Data'!X165/'SA Data'!X153-1)*100,"")</f>
        <v>1.7713995114218</v>
      </c>
      <c r="S165" s="31" t="n">
        <f aca="false">IFERROR((AVERAGE('SA Data'!X163:X165)/AVERAGE('SA Data'!X151:X153)-1)*100,"")</f>
        <v>1.36705512379538</v>
      </c>
    </row>
    <row r="166" customFormat="false" ht="15" hidden="false" customHeight="false" outlineLevel="0" collapsed="false">
      <c r="A166" s="20" t="n">
        <v>42855</v>
      </c>
      <c r="B166" s="30" t="n">
        <f aca="false">'SA Data'!R166</f>
        <v>138.1971443109</v>
      </c>
      <c r="C166" s="31" t="n">
        <f aca="false">IFERROR((B166/B165-1)*100,"")</f>
        <v>8.91493726713055</v>
      </c>
      <c r="D166" s="31" t="n">
        <f aca="false">IFERROR((AVERAGE(B164:B166)/AVERAGE(B161:B163)-1)*100,"")</f>
        <v>6.39800866640334</v>
      </c>
      <c r="E166" s="31" t="n">
        <f aca="false">IFERROR(((AVERAGE(B164:B166)/AVERAGE(B161:B163))^4-1)*100,"")</f>
        <v>28.1545409462677</v>
      </c>
      <c r="F166" s="31" t="n">
        <f aca="false">IFERROR(('SA Data'!V166/'SA Data'!V154-1)*100,"")</f>
        <v>4.45701698386956</v>
      </c>
      <c r="G166" s="31" t="n">
        <f aca="false">IFERROR((AVERAGE('SA Data'!V163:V166)/AVERAGE('SA Data'!V151:V154)-1)*100,"")</f>
        <v>4.90904308027189</v>
      </c>
      <c r="H166" s="30" t="n">
        <f aca="false">'SA Data'!S166</f>
        <v>126.833150413741</v>
      </c>
      <c r="I166" s="31" t="n">
        <f aca="false">IFERROR((H166/H165-1)*100,"")</f>
        <v>-2.21181728111337</v>
      </c>
      <c r="J166" s="31" t="n">
        <f aca="false">IFERROR((AVERAGE(H164:H166)/AVERAGE(H161:H163)-1)*100,"")</f>
        <v>0.295530466412464</v>
      </c>
      <c r="K166" s="31" t="n">
        <f aca="false">IFERROR(((AVERAGE(H164:H166)/AVERAGE(H161:H163))^4-1)*100,"")</f>
        <v>1.18737249311878</v>
      </c>
      <c r="L166" s="31" t="n">
        <f aca="false">IFERROR(('SA Data'!W166/'SA Data'!W154-1)*100,"")</f>
        <v>-3.10081504487282</v>
      </c>
      <c r="M166" s="31" t="n">
        <f aca="false">IFERROR((AVERAGE('SA Data'!W163:W166)/AVERAGE('SA Data'!W151:W154)-1)*100,"")</f>
        <v>-1.93121153322371</v>
      </c>
      <c r="N166" s="30" t="n">
        <f aca="false">'SA Data'!T166</f>
        <v>162.186124333992</v>
      </c>
      <c r="O166" s="31" t="n">
        <f aca="false">IFERROR((N166/N165-1)*100,"")</f>
        <v>-0.559338891049699</v>
      </c>
      <c r="P166" s="31" t="n">
        <f aca="false">IFERROR((AVERAGE(N164:N166)/AVERAGE(N161:N163)-1)*100,"")</f>
        <v>1.23716141206187</v>
      </c>
      <c r="Q166" s="31" t="n">
        <f aca="false">IFERROR(((AVERAGE(N164:N166)/AVERAGE(N161:N163))^4-1)*100,"")</f>
        <v>5.04123951650184</v>
      </c>
      <c r="R166" s="31" t="n">
        <f aca="false">IFERROR(('SA Data'!X166/'SA Data'!X154-1)*100,"")</f>
        <v>0.45819433698775</v>
      </c>
      <c r="S166" s="31" t="n">
        <f aca="false">IFERROR((AVERAGE('SA Data'!X163:X166)/AVERAGE('SA Data'!X151:X154)-1)*100,"")</f>
        <v>1.13759023663806</v>
      </c>
    </row>
    <row r="167" customFormat="false" ht="15" hidden="false" customHeight="false" outlineLevel="0" collapsed="false">
      <c r="A167" s="20" t="n">
        <v>42886</v>
      </c>
      <c r="B167" s="30" t="n">
        <f aca="false">'SA Data'!R167</f>
        <v>136.359840946841</v>
      </c>
      <c r="C167" s="31" t="n">
        <f aca="false">IFERROR((B167/B166-1)*100,"")</f>
        <v>-1.32947997820119</v>
      </c>
      <c r="D167" s="31" t="n">
        <f aca="false">IFERROR((AVERAGE(B165:B167)/AVERAGE(B162:B164)-1)*100,"")</f>
        <v>5.48820835035295</v>
      </c>
      <c r="E167" s="31" t="n">
        <f aca="false">IFERROR(((AVERAGE(B165:B167)/AVERAGE(B162:B164))^4-1)*100,"")</f>
        <v>23.8270893757281</v>
      </c>
      <c r="F167" s="31" t="n">
        <f aca="false">IFERROR(('SA Data'!V167/'SA Data'!V155-1)*100,"")</f>
        <v>0.26602322196112</v>
      </c>
      <c r="G167" s="31" t="n">
        <f aca="false">IFERROR((AVERAGE('SA Data'!V163:V167)/AVERAGE('SA Data'!V151:V155)-1)*100,"")</f>
        <v>3.05535321024801</v>
      </c>
      <c r="H167" s="30" t="n">
        <f aca="false">'SA Data'!S167</f>
        <v>131.134757252641</v>
      </c>
      <c r="I167" s="31" t="n">
        <f aca="false">IFERROR((H167/H166-1)*100,"")</f>
        <v>3.39154773406447</v>
      </c>
      <c r="J167" s="31" t="n">
        <f aca="false">IFERROR((AVERAGE(H165:H167)/AVERAGE(H162:H164)-1)*100,"")</f>
        <v>4.0925361275149</v>
      </c>
      <c r="K167" s="31" t="n">
        <f aca="false">IFERROR(((AVERAGE(H165:H167)/AVERAGE(H162:H164))^4-1)*100,"")</f>
        <v>17.4027742640904</v>
      </c>
      <c r="L167" s="31" t="n">
        <f aca="false">IFERROR(('SA Data'!W167/'SA Data'!W155-1)*100,"")</f>
        <v>2.50540421993919</v>
      </c>
      <c r="M167" s="31" t="n">
        <f aca="false">IFERROR((AVERAGE('SA Data'!W163:W167)/AVERAGE('SA Data'!W151:W155)-1)*100,"")</f>
        <v>-1.00635291402265</v>
      </c>
      <c r="N167" s="30" t="n">
        <f aca="false">'SA Data'!T167</f>
        <v>164.617762874846</v>
      </c>
      <c r="O167" s="31" t="n">
        <f aca="false">IFERROR((N167/N166-1)*100,"")</f>
        <v>1.49928888851611</v>
      </c>
      <c r="P167" s="31" t="n">
        <f aca="false">IFERROR((AVERAGE(N165:N167)/AVERAGE(N162:N164)-1)*100,"")</f>
        <v>3.10227311625828</v>
      </c>
      <c r="Q167" s="31" t="n">
        <f aca="false">IFERROR(((AVERAGE(N165:N167)/AVERAGE(N162:N164))^4-1)*100,"")</f>
        <v>12.9985736303792</v>
      </c>
      <c r="R167" s="31" t="n">
        <f aca="false">IFERROR(('SA Data'!X167/'SA Data'!X155-1)*100,"")</f>
        <v>2.86386965784837</v>
      </c>
      <c r="S167" s="31" t="n">
        <f aca="false">IFERROR((AVERAGE('SA Data'!X163:X167)/AVERAGE('SA Data'!X151:X155)-1)*100,"")</f>
        <v>1.49024202459558</v>
      </c>
    </row>
    <row r="168" customFormat="false" ht="15" hidden="false" customHeight="false" outlineLevel="0" collapsed="false">
      <c r="A168" s="20" t="n">
        <v>42916</v>
      </c>
      <c r="B168" s="30" t="n">
        <f aca="false">'SA Data'!R168</f>
        <v>141.087721061119</v>
      </c>
      <c r="C168" s="31" t="n">
        <f aca="false">IFERROR((B168/B167-1)*100,"")</f>
        <v>3.46720858681684</v>
      </c>
      <c r="D168" s="31" t="n">
        <f aca="false">IFERROR((AVERAGE(B166:B168)/AVERAGE(B163:B165)-1)*100,"")</f>
        <v>9.14589528278209</v>
      </c>
      <c r="E168" s="31" t="n">
        <f aca="false">IFERROR(((AVERAGE(B166:B168)/AVERAGE(B163:B165))^4-1)*100,"")</f>
        <v>41.915434196506</v>
      </c>
      <c r="F168" s="31" t="n">
        <f aca="false">IFERROR(('SA Data'!V168/'SA Data'!V156-1)*100,"")</f>
        <v>2.67717425192462</v>
      </c>
      <c r="G168" s="31" t="n">
        <f aca="false">IFERROR((AVERAGE('SA Data'!V163:V168)/AVERAGE('SA Data'!V151:V156)-1)*100,"")</f>
        <v>2.97466227554855</v>
      </c>
      <c r="H168" s="30" t="n">
        <f aca="false">'SA Data'!S168</f>
        <v>133.496099042789</v>
      </c>
      <c r="I168" s="31" t="n">
        <f aca="false">IFERROR((H168/H167-1)*100,"")</f>
        <v>1.80069863979608</v>
      </c>
      <c r="J168" s="31" t="n">
        <f aca="false">IFERROR((AVERAGE(H166:H168)/AVERAGE(H163:H165)-1)*100,"")</f>
        <v>4.14548765475487</v>
      </c>
      <c r="K168" s="31" t="n">
        <f aca="false">IFERROR(((AVERAGE(H166:H168)/AVERAGE(H163:H165))^4-1)*100,"")</f>
        <v>17.6418462140447</v>
      </c>
      <c r="L168" s="31" t="n">
        <f aca="false">IFERROR(('SA Data'!W168/'SA Data'!W156-1)*100,"")</f>
        <v>11.2198495410063</v>
      </c>
      <c r="M168" s="31" t="n">
        <f aca="false">IFERROR((AVERAGE('SA Data'!W163:W168)/AVERAGE('SA Data'!W151:W156)-1)*100,"")</f>
        <v>1.01923241317197</v>
      </c>
      <c r="N168" s="30" t="n">
        <f aca="false">'SA Data'!T168</f>
        <v>164.648654896329</v>
      </c>
      <c r="O168" s="31" t="n">
        <f aca="false">IFERROR((N168/N167-1)*100,"")</f>
        <v>0.0187659101564375</v>
      </c>
      <c r="P168" s="31" t="n">
        <f aca="false">IFERROR((AVERAGE(N166:N168)/AVERAGE(N163:N165)-1)*100,"")</f>
        <v>2.65950615640895</v>
      </c>
      <c r="Q168" s="31" t="n">
        <f aca="false">IFERROR(((AVERAGE(N166:N168)/AVERAGE(N163:N165))^4-1)*100,"")</f>
        <v>11.0699772784322</v>
      </c>
      <c r="R168" s="31" t="n">
        <f aca="false">IFERROR(('SA Data'!X168/'SA Data'!X156-1)*100,"")</f>
        <v>3.51474742494247</v>
      </c>
      <c r="S168" s="31" t="n">
        <f aca="false">IFERROR((AVERAGE('SA Data'!X163:X168)/AVERAGE('SA Data'!X151:X156)-1)*100,"")</f>
        <v>1.83504487212467</v>
      </c>
    </row>
    <row r="169" customFormat="false" ht="15" hidden="false" customHeight="false" outlineLevel="0" collapsed="false">
      <c r="A169" s="20" t="n">
        <v>42947</v>
      </c>
      <c r="B169" s="30" t="n">
        <f aca="false">'SA Data'!R169</f>
        <v>126.779790711633</v>
      </c>
      <c r="C169" s="31" t="n">
        <f aca="false">IFERROR((B169/B168-1)*100,"")</f>
        <v>-10.141159161036</v>
      </c>
      <c r="D169" s="31" t="n">
        <f aca="false">IFERROR((AVERAGE(B167:B169)/AVERAGE(B164:B166)-1)*100,"")</f>
        <v>1.60405391888514</v>
      </c>
      <c r="E169" s="31" t="n">
        <f aca="false">IFERROR(((AVERAGE(B167:B169)/AVERAGE(B164:B166))^4-1)*100,"")</f>
        <v>6.5722525195135</v>
      </c>
      <c r="F169" s="31" t="n">
        <f aca="false">IFERROR(('SA Data'!V169/'SA Data'!V157-1)*100,"")</f>
        <v>-1.2291483750845</v>
      </c>
      <c r="G169" s="31" t="n">
        <f aca="false">IFERROR((AVERAGE('SA Data'!V163:V169)/AVERAGE('SA Data'!V151:V157)-1)*100,"")</f>
        <v>2.55749674972283</v>
      </c>
      <c r="H169" s="30" t="n">
        <f aca="false">'SA Data'!S169</f>
        <v>128.584934870553</v>
      </c>
      <c r="I169" s="31" t="n">
        <f aca="false">IFERROR((H169/H168-1)*100,"")</f>
        <v>-3.67888216019092</v>
      </c>
      <c r="J169" s="31" t="n">
        <f aca="false">IFERROR((AVERAGE(H167:H169)/AVERAGE(H164:H166)-1)*100,"")</f>
        <v>4.04329652903022</v>
      </c>
      <c r="K169" s="31" t="n">
        <f aca="false">IFERROR(((AVERAGE(H167:H169)/AVERAGE(H164:H166))^4-1)*100,"")</f>
        <v>17.180788514447</v>
      </c>
      <c r="L169" s="31" t="n">
        <f aca="false">IFERROR(('SA Data'!W169/'SA Data'!W157-1)*100,"")</f>
        <v>6.717014317641</v>
      </c>
      <c r="M169" s="31" t="n">
        <f aca="false">IFERROR((AVERAGE('SA Data'!W163:W169)/AVERAGE('SA Data'!W151:W157)-1)*100,"")</f>
        <v>1.83705197584656</v>
      </c>
      <c r="N169" s="30" t="n">
        <f aca="false">'SA Data'!T169</f>
        <v>163.573783621003</v>
      </c>
      <c r="O169" s="31" t="n">
        <f aca="false">IFERROR((N169/N168-1)*100,"")</f>
        <v>-0.652827243564536</v>
      </c>
      <c r="P169" s="31" t="n">
        <f aca="false">IFERROR((AVERAGE(N167:N169)/AVERAGE(N164:N166)-1)*100,"")</f>
        <v>2.02571228085715</v>
      </c>
      <c r="Q169" s="31" t="n">
        <f aca="false">IFERROR(((AVERAGE(N167:N169)/AVERAGE(N164:N166))^4-1)*100,"")</f>
        <v>8.35240158935289</v>
      </c>
      <c r="R169" s="31" t="n">
        <f aca="false">IFERROR(('SA Data'!X169/'SA Data'!X157-1)*100,"")</f>
        <v>3.74659458678326</v>
      </c>
      <c r="S169" s="31" t="n">
        <f aca="false">IFERROR((AVERAGE('SA Data'!X163:X169)/AVERAGE('SA Data'!X151:X157)-1)*100,"")</f>
        <v>2.11049563250991</v>
      </c>
    </row>
    <row r="170" customFormat="false" ht="15" hidden="false" customHeight="false" outlineLevel="0" collapsed="false">
      <c r="A170" s="20" t="n">
        <v>42978</v>
      </c>
      <c r="B170" s="30" t="n">
        <f aca="false">'SA Data'!R170</f>
        <v>128.810740724859</v>
      </c>
      <c r="C170" s="31" t="n">
        <f aca="false">IFERROR((B170/B169-1)*100,"")</f>
        <v>1.60195091175543</v>
      </c>
      <c r="D170" s="31" t="n">
        <f aca="false">IFERROR((AVERAGE(B168:B170)/AVERAGE(B165:B167)-1)*100,"")</f>
        <v>-1.18675165253308</v>
      </c>
      <c r="E170" s="31" t="n">
        <f aca="false">IFERROR(((AVERAGE(B168:B170)/AVERAGE(B165:B167))^4-1)*100,"")</f>
        <v>-4.66317041618454</v>
      </c>
      <c r="F170" s="31" t="n">
        <f aca="false">IFERROR(('SA Data'!V170/'SA Data'!V158-1)*100,"")</f>
        <v>3.26348435223744</v>
      </c>
      <c r="G170" s="31" t="n">
        <f aca="false">IFERROR((AVERAGE('SA Data'!V163:V170)/AVERAGE('SA Data'!V151:V158)-1)*100,"")</f>
        <v>2.59939205246242</v>
      </c>
      <c r="H170" s="30" t="n">
        <f aca="false">'SA Data'!S170</f>
        <v>132.504450328195</v>
      </c>
      <c r="I170" s="31" t="n">
        <f aca="false">IFERROR((H170/H169-1)*100,"")</f>
        <v>3.04819181312919</v>
      </c>
      <c r="J170" s="31" t="n">
        <f aca="false">IFERROR((AVERAGE(H168:H170)/AVERAGE(H165:H167)-1)*100,"")</f>
        <v>1.78390377370077</v>
      </c>
      <c r="K170" s="31" t="n">
        <f aca="false">IFERROR(((AVERAGE(H168:H170)/AVERAGE(H165:H167))^4-1)*100,"")</f>
        <v>7.32883475818162</v>
      </c>
      <c r="L170" s="31" t="n">
        <f aca="false">IFERROR(('SA Data'!W170/'SA Data'!W158-1)*100,"")</f>
        <v>6.94350052705808</v>
      </c>
      <c r="M170" s="31" t="n">
        <f aca="false">IFERROR((AVERAGE('SA Data'!W163:W170)/AVERAGE('SA Data'!W151:W158)-1)*100,"")</f>
        <v>2.50992670407091</v>
      </c>
      <c r="N170" s="30" t="n">
        <f aca="false">'SA Data'!T170</f>
        <v>164.039669351334</v>
      </c>
      <c r="O170" s="31" t="n">
        <f aca="false">IFERROR((N170/N169-1)*100,"")</f>
        <v>0.284816869805082</v>
      </c>
      <c r="P170" s="31" t="n">
        <f aca="false">IFERROR((AVERAGE(N168:N170)/AVERAGE(N165:N167)-1)*100,"")</f>
        <v>0.481692703986925</v>
      </c>
      <c r="Q170" s="31" t="n">
        <f aca="false">IFERROR(((AVERAGE(N168:N170)/AVERAGE(N165:N167))^4-1)*100,"")</f>
        <v>1.9407372479002</v>
      </c>
      <c r="R170" s="31" t="n">
        <f aca="false">IFERROR(('SA Data'!X170/'SA Data'!X158-1)*100,"")</f>
        <v>2.75715965097765</v>
      </c>
      <c r="S170" s="31" t="n">
        <f aca="false">IFERROR((AVERAGE('SA Data'!X163:X170)/AVERAGE('SA Data'!X151:X158)-1)*100,"")</f>
        <v>2.19257252385265</v>
      </c>
    </row>
    <row r="171" customFormat="false" ht="15" hidden="false" customHeight="false" outlineLevel="0" collapsed="false">
      <c r="A171" s="20" t="n">
        <v>43008</v>
      </c>
      <c r="B171" s="30" t="n">
        <f aca="false">'SA Data'!R171</f>
        <v>123.881510273527</v>
      </c>
      <c r="C171" s="31" t="n">
        <f aca="false">IFERROR((B171/B170-1)*100,"")</f>
        <v>-3.82672316267618</v>
      </c>
      <c r="D171" s="31" t="n">
        <f aca="false">IFERROR((AVERAGE(B169:B171)/AVERAGE(B166:B168)-1)*100,"")</f>
        <v>-8.70278486864493</v>
      </c>
      <c r="E171" s="31" t="n">
        <f aca="false">IFERROR(((AVERAGE(B169:B171)/AVERAGE(B166:B168))^4-1)*100,"")</f>
        <v>-30.5247495164098</v>
      </c>
      <c r="F171" s="31" t="n">
        <f aca="false">IFERROR(('SA Data'!V171/'SA Data'!V159-1)*100,"")</f>
        <v>5.92652537986502</v>
      </c>
      <c r="G171" s="31" t="n">
        <f aca="false">IFERROR((AVERAGE('SA Data'!V163:V171)/AVERAGE('SA Data'!V151:V159)-1)*100,"")</f>
        <v>2.76307970385608</v>
      </c>
      <c r="H171" s="30" t="n">
        <f aca="false">'SA Data'!S171</f>
        <v>130.551111326883</v>
      </c>
      <c r="I171" s="31" t="n">
        <f aca="false">IFERROR((H171/H170-1)*100,"")</f>
        <v>-1.47416860073298</v>
      </c>
      <c r="J171" s="31" t="n">
        <f aca="false">IFERROR((AVERAGE(H169:H171)/AVERAGE(H166:H168)-1)*100,"")</f>
        <v>0.0450845578226389</v>
      </c>
      <c r="K171" s="31" t="n">
        <f aca="false">IFERROR(((AVERAGE(H169:H171)/AVERAGE(H166:H168))^4-1)*100,"")</f>
        <v>0.180460224991785</v>
      </c>
      <c r="L171" s="31" t="n">
        <f aca="false">IFERROR(('SA Data'!W171/'SA Data'!W159-1)*100,"")</f>
        <v>3.30553320646818</v>
      </c>
      <c r="M171" s="31" t="n">
        <f aca="false">IFERROR((AVERAGE('SA Data'!W163:W171)/AVERAGE('SA Data'!W151:W159)-1)*100,"")</f>
        <v>2.60263252668658</v>
      </c>
      <c r="N171" s="30" t="n">
        <f aca="false">'SA Data'!T171</f>
        <v>163.335001389662</v>
      </c>
      <c r="O171" s="31" t="n">
        <f aca="false">IFERROR((N171/N170-1)*100,"")</f>
        <v>-0.429571678886476</v>
      </c>
      <c r="P171" s="31" t="n">
        <f aca="false">IFERROR((AVERAGE(N169:N171)/AVERAGE(N166:N168)-1)*100,"")</f>
        <v>-0.102570991088691</v>
      </c>
      <c r="Q171" s="31" t="n">
        <f aca="false">IFERROR(((AVERAGE(N169:N171)/AVERAGE(N166:N168))^4-1)*100,"")</f>
        <v>-0.409653147403188</v>
      </c>
      <c r="R171" s="31" t="n">
        <f aca="false">IFERROR(('SA Data'!X171/'SA Data'!X159-1)*100,"")</f>
        <v>2.42847105906372</v>
      </c>
      <c r="S171" s="31" t="n">
        <f aca="false">IFERROR((AVERAGE('SA Data'!X163:X171)/AVERAGE('SA Data'!X151:X159)-1)*100,"")</f>
        <v>2.21883646046701</v>
      </c>
    </row>
    <row r="172" customFormat="false" ht="15" hidden="false" customHeight="false" outlineLevel="0" collapsed="false">
      <c r="A172" s="20" t="n">
        <v>43039</v>
      </c>
      <c r="B172" s="30" t="n">
        <f aca="false">'SA Data'!R172</f>
        <v>136.173350238016</v>
      </c>
      <c r="C172" s="31" t="n">
        <f aca="false">IFERROR((B172/B171-1)*100,"")</f>
        <v>9.92225549829819</v>
      </c>
      <c r="D172" s="31" t="n">
        <f aca="false">IFERROR((AVERAGE(B170:B172)/AVERAGE(B167:B169)-1)*100,"")</f>
        <v>-3.80027511246795</v>
      </c>
      <c r="E172" s="31" t="n">
        <f aca="false">IFERROR(((AVERAGE(B170:B172)/AVERAGE(B167:B169))^4-1)*100,"")</f>
        <v>-14.3563199875488</v>
      </c>
      <c r="F172" s="31" t="n">
        <f aca="false">IFERROR(('SA Data'!V172/'SA Data'!V160-1)*100,"")</f>
        <v>10.1851823159222</v>
      </c>
      <c r="G172" s="31" t="n">
        <f aca="false">IFERROR((AVERAGE('SA Data'!V163:V172)/AVERAGE('SA Data'!V151:V160)-1)*100,"")</f>
        <v>3.15830617867841</v>
      </c>
      <c r="H172" s="30" t="n">
        <f aca="false">'SA Data'!S172</f>
        <v>130.317085872409</v>
      </c>
      <c r="I172" s="31" t="n">
        <f aca="false">IFERROR((H172/H171-1)*100,"")</f>
        <v>-0.179259641756635</v>
      </c>
      <c r="J172" s="31" t="n">
        <f aca="false">IFERROR((AVERAGE(H170:H172)/AVERAGE(H167:H169)-1)*100,"")</f>
        <v>0.03989065674046</v>
      </c>
      <c r="K172" s="31" t="n">
        <f aca="false">IFERROR(((AVERAGE(H170:H172)/AVERAGE(H167:H169))^4-1)*100,"")</f>
        <v>0.159658128224716</v>
      </c>
      <c r="L172" s="31" t="n">
        <f aca="false">IFERROR(('SA Data'!W172/'SA Data'!W160-1)*100,"")</f>
        <v>8.14841488083269</v>
      </c>
      <c r="M172" s="31" t="n">
        <f aca="false">IFERROR((AVERAGE('SA Data'!W163:W172)/AVERAGE('SA Data'!W151:W160)-1)*100,"")</f>
        <v>3.17094290418831</v>
      </c>
      <c r="N172" s="30" t="n">
        <f aca="false">'SA Data'!T172</f>
        <v>163.913890874348</v>
      </c>
      <c r="O172" s="31" t="n">
        <f aca="false">IFERROR((N172/N171-1)*100,"")</f>
        <v>0.354418513950527</v>
      </c>
      <c r="P172" s="31" t="n">
        <f aca="false">IFERROR((AVERAGE(N170:N172)/AVERAGE(N167:N169)-1)*100,"")</f>
        <v>-0.314836284144626</v>
      </c>
      <c r="Q172" s="31" t="n">
        <f aca="false">IFERROR(((AVERAGE(N170:N172)/AVERAGE(N167:N169))^4-1)*100,"")</f>
        <v>-1.253410296471</v>
      </c>
      <c r="R172" s="31" t="n">
        <f aca="false">IFERROR(('SA Data'!X172/'SA Data'!X160-1)*100,"")</f>
        <v>4.21177624571678</v>
      </c>
      <c r="S172" s="31" t="n">
        <f aca="false">IFERROR((AVERAGE('SA Data'!X163:X172)/AVERAGE('SA Data'!X151:X160)-1)*100,"")</f>
        <v>2.41856200211881</v>
      </c>
    </row>
    <row r="173" customFormat="false" ht="15" hidden="false" customHeight="false" outlineLevel="0" collapsed="false">
      <c r="A173" s="20" t="n">
        <v>43069</v>
      </c>
      <c r="B173" s="30" t="n">
        <f aca="false">'SA Data'!R173</f>
        <v>130.199871619345</v>
      </c>
      <c r="C173" s="31" t="n">
        <f aca="false">IFERROR((B173/B172-1)*100,"")</f>
        <v>-4.38667228810238</v>
      </c>
      <c r="D173" s="31" t="n">
        <f aca="false">IFERROR((AVERAGE(B171:B173)/AVERAGE(B168:B170)-1)*100,"")</f>
        <v>-1.6193275850843</v>
      </c>
      <c r="E173" s="31" t="n">
        <f aca="false">IFERROR(((AVERAGE(B171:B173)/AVERAGE(B168:B170))^4-1)*100,"")</f>
        <v>-6.32166864907697</v>
      </c>
      <c r="F173" s="31" t="n">
        <f aca="false">IFERROR(('SA Data'!V173/'SA Data'!V161-1)*100,"")</f>
        <v>2.79591296783566</v>
      </c>
      <c r="G173" s="31" t="n">
        <f aca="false">IFERROR((AVERAGE('SA Data'!V163:V173)/AVERAGE('SA Data'!V151:V161)-1)*100,"")</f>
        <v>3.1365958429278</v>
      </c>
      <c r="H173" s="30" t="n">
        <f aca="false">'SA Data'!S173</f>
        <v>134.165767406144</v>
      </c>
      <c r="I173" s="31" t="n">
        <f aca="false">IFERROR((H173/H172-1)*100,"")</f>
        <v>2.95332074683083</v>
      </c>
      <c r="J173" s="31" t="n">
        <f aca="false">IFERROR((AVERAGE(H171:H173)/AVERAGE(H168:H170)-1)*100,"")</f>
        <v>0.113658606768219</v>
      </c>
      <c r="K173" s="31" t="n">
        <f aca="false">IFERROR(((AVERAGE(H171:H173)/AVERAGE(H168:H170))^4-1)*100,"")</f>
        <v>0.455410111282739</v>
      </c>
      <c r="L173" s="31" t="n">
        <f aca="false">IFERROR(('SA Data'!W173/'SA Data'!W161-1)*100,"")</f>
        <v>6.79068705247492</v>
      </c>
      <c r="M173" s="31" t="n">
        <f aca="false">IFERROR((AVERAGE('SA Data'!W163:W173)/AVERAGE('SA Data'!W151:W161)-1)*100,"")</f>
        <v>3.51559317636354</v>
      </c>
      <c r="N173" s="30" t="n">
        <f aca="false">'SA Data'!T173</f>
        <v>166.233686358214</v>
      </c>
      <c r="O173" s="31" t="n">
        <f aca="false">IFERROR((N173/N172-1)*100,"")</f>
        <v>1.4152525277092</v>
      </c>
      <c r="P173" s="31" t="n">
        <f aca="false">IFERROR((AVERAGE(N171:N173)/AVERAGE(N168:N170)-1)*100,"")</f>
        <v>0.247931078595909</v>
      </c>
      <c r="Q173" s="31" t="n">
        <f aca="false">IFERROR(((AVERAGE(N171:N173)/AVERAGE(N168:N170))^4-1)*100,"")</f>
        <v>0.995418603457687</v>
      </c>
      <c r="R173" s="31" t="n">
        <f aca="false">IFERROR(('SA Data'!X173/'SA Data'!X161-1)*100,"")</f>
        <v>4.06740851582703</v>
      </c>
      <c r="S173" s="31" t="n">
        <f aca="false">IFERROR((AVERAGE('SA Data'!X163:X173)/AVERAGE('SA Data'!X151:X161)-1)*100,"")</f>
        <v>2.57090745754927</v>
      </c>
    </row>
    <row r="174" customFormat="false" ht="15" hidden="false" customHeight="false" outlineLevel="0" collapsed="false">
      <c r="A174" s="20" t="n">
        <v>43100</v>
      </c>
      <c r="B174" s="30" t="n">
        <f aca="false">'SA Data'!R174</f>
        <v>124.299686707646</v>
      </c>
      <c r="C174" s="31" t="n">
        <f aca="false">IFERROR((B174/B173-1)*100,"")</f>
        <v>-4.53163650494843</v>
      </c>
      <c r="D174" s="31" t="n">
        <f aca="false">IFERROR((AVERAGE(B172:B174)/AVERAGE(B169:B171)-1)*100,"")</f>
        <v>2.95169752283044</v>
      </c>
      <c r="E174" s="31" t="n">
        <f aca="false">IFERROR(((AVERAGE(B172:B174)/AVERAGE(B169:B171))^4-1)*100,"")</f>
        <v>12.339903782707</v>
      </c>
      <c r="F174" s="31" t="n">
        <f aca="false">IFERROR(('SA Data'!V174/'SA Data'!V162-1)*100,"")</f>
        <v>3.02186117022087</v>
      </c>
      <c r="G174" s="31" t="n">
        <f aca="false">IFERROR((AVERAGE('SA Data'!V163:V174)/AVERAGE('SA Data'!V151:V162)-1)*100,"")</f>
        <v>3.12963280000924</v>
      </c>
      <c r="H174" s="30" t="n">
        <f aca="false">'SA Data'!S174</f>
        <v>130.771527159733</v>
      </c>
      <c r="I174" s="31" t="n">
        <f aca="false">IFERROR((H174/H173-1)*100,"")</f>
        <v>-2.52988546335795</v>
      </c>
      <c r="J174" s="31" t="n">
        <f aca="false">IFERROR((AVERAGE(H172:H174)/AVERAGE(H169:H171)-1)*100,"")</f>
        <v>0.922755421034216</v>
      </c>
      <c r="K174" s="31" t="n">
        <f aca="false">IFERROR(((AVERAGE(H172:H174)/AVERAGE(H169:H171))^4-1)*100,"")</f>
        <v>3.74242534539015</v>
      </c>
      <c r="L174" s="31" t="n">
        <f aca="false">IFERROR(('SA Data'!W174/'SA Data'!W162-1)*100,"")</f>
        <v>3.59540175770856</v>
      </c>
      <c r="M174" s="31" t="n">
        <f aca="false">IFERROR((AVERAGE('SA Data'!W163:W174)/AVERAGE('SA Data'!W151:W162)-1)*100,"")</f>
        <v>3.52224289749423</v>
      </c>
      <c r="N174" s="30" t="n">
        <f aca="false">'SA Data'!T174</f>
        <v>162.300809893452</v>
      </c>
      <c r="O174" s="31" t="n">
        <f aca="false">IFERROR((N174/N173-1)*100,"")</f>
        <v>-2.36587213513787</v>
      </c>
      <c r="P174" s="31" t="n">
        <f aca="false">IFERROR((AVERAGE(N172:N174)/AVERAGE(N169:N171)-1)*100,"")</f>
        <v>0.305517361484409</v>
      </c>
      <c r="Q174" s="31" t="n">
        <f aca="false">IFERROR(((AVERAGE(N172:N174)/AVERAGE(N169:N171))^4-1)*100,"")</f>
        <v>1.22768131304134</v>
      </c>
      <c r="R174" s="31" t="n">
        <f aca="false">IFERROR(('SA Data'!X174/'SA Data'!X162-1)*100,"")</f>
        <v>1.83157881156824</v>
      </c>
      <c r="S174" s="31" t="n">
        <f aca="false">IFERROR((AVERAGE('SA Data'!X163:X174)/AVERAGE('SA Data'!X151:X162)-1)*100,"")</f>
        <v>2.5091981605101</v>
      </c>
    </row>
    <row r="175" customFormat="false" ht="15" hidden="false" customHeight="false" outlineLevel="0" collapsed="false">
      <c r="A175" s="20" t="n">
        <v>43131</v>
      </c>
      <c r="B175" s="30" t="n">
        <f aca="false">'SA Data'!R175</f>
        <v>117.771108761668</v>
      </c>
      <c r="C175" s="31" t="n">
        <f aca="false">IFERROR((B175/B174-1)*100,"")</f>
        <v>-5.2522883354757</v>
      </c>
      <c r="D175" s="31" t="n">
        <f aca="false">IFERROR((AVERAGE(B173:B175)/AVERAGE(B170:B172)-1)*100,"")</f>
        <v>-4.26752433102322</v>
      </c>
      <c r="E175" s="31" t="n">
        <f aca="false">IFERROR(((AVERAGE(B173:B175)/AVERAGE(B170:B172))^4-1)*100,"")</f>
        <v>-16.0081474790442</v>
      </c>
      <c r="F175" s="31" t="n">
        <f aca="false">IFERROR(('SA Data'!V175/'SA Data'!V163-1)*100,"")</f>
        <v>2.51668462443504</v>
      </c>
      <c r="G175" s="31" t="n">
        <f aca="false">IFERROR((AVERAGE('SA Data'!V175:V175)/AVERAGE('SA Data'!V163:V163)-1)*100,"")</f>
        <v>2.51668462443504</v>
      </c>
      <c r="H175" s="30" t="n">
        <f aca="false">'SA Data'!S175</f>
        <v>132.021269521825</v>
      </c>
      <c r="I175" s="31" t="n">
        <f aca="false">IFERROR((H175/H174-1)*100,"")</f>
        <v>0.955668553572164</v>
      </c>
      <c r="J175" s="31" t="n">
        <f aca="false">IFERROR((AVERAGE(H173:H175)/AVERAGE(H170:H172)-1)*100,"")</f>
        <v>0.911582587847692</v>
      </c>
      <c r="K175" s="31" t="n">
        <f aca="false">IFERROR(((AVERAGE(H173:H175)/AVERAGE(H170:H172))^4-1)*100,"")</f>
        <v>3.69649301457702</v>
      </c>
      <c r="L175" s="31" t="n">
        <f aca="false">IFERROR(('SA Data'!W175/'SA Data'!W163-1)*100,"")</f>
        <v>5.31869796268836</v>
      </c>
      <c r="M175" s="31" t="n">
        <f aca="false">IFERROR((AVERAGE('SA Data'!W175:W175)/AVERAGE('SA Data'!W163:W163)-1)*100,"")</f>
        <v>5.31869796268836</v>
      </c>
      <c r="N175" s="30" t="n">
        <f aca="false">'SA Data'!T175</f>
        <v>163.784396600151</v>
      </c>
      <c r="O175" s="31" t="n">
        <f aca="false">IFERROR((N175/N174-1)*100,"")</f>
        <v>0.914096921434204</v>
      </c>
      <c r="P175" s="31" t="n">
        <f aca="false">IFERROR((AVERAGE(N173:N175)/AVERAGE(N170:N172)-1)*100,"")</f>
        <v>0.209720176078521</v>
      </c>
      <c r="Q175" s="31" t="n">
        <f aca="false">IFERROR(((AVERAGE(N173:N175)/AVERAGE(N170:N172))^4-1)*100,"")</f>
        <v>0.841523348995255</v>
      </c>
      <c r="R175" s="31" t="n">
        <f aca="false">IFERROR(('SA Data'!X175/'SA Data'!X163-1)*100,"")</f>
        <v>3.81651509868948</v>
      </c>
      <c r="S175" s="31" t="n">
        <f aca="false">IFERROR((AVERAGE('SA Data'!X175:X175)/AVERAGE('SA Data'!X163:X163)-1)*100,"")</f>
        <v>3.81651509868948</v>
      </c>
    </row>
    <row r="176" customFormat="false" ht="15" hidden="false" customHeight="false" outlineLevel="0" collapsed="false">
      <c r="A176" s="20" t="n">
        <v>43159</v>
      </c>
      <c r="B176" s="30" t="n">
        <f aca="false">'SA Data'!R176</f>
        <v>131.676018785222</v>
      </c>
      <c r="C176" s="31" t="n">
        <f aca="false">IFERROR((B176/B175-1)*100,"")</f>
        <v>11.8067242210422</v>
      </c>
      <c r="D176" s="31" t="n">
        <f aca="false">IFERROR((AVERAGE(B174:B176)/AVERAGE(B171:B173)-1)*100,"")</f>
        <v>-4.23003656770902</v>
      </c>
      <c r="E176" s="31" t="n">
        <f aca="false">IFERROR(((AVERAGE(B174:B176)/AVERAGE(B171:B173))^4-1)*100,"")</f>
        <v>-15.876509114015</v>
      </c>
      <c r="F176" s="31" t="n">
        <f aca="false">IFERROR(('SA Data'!V176/'SA Data'!V164-1)*100,"")</f>
        <v>-0.55633176977391</v>
      </c>
      <c r="G176" s="31" t="n">
        <f aca="false">IFERROR((AVERAGE('SA Data'!V175:V176)/AVERAGE('SA Data'!V163:V164)-1)*100,"")</f>
        <v>0.885821996199798</v>
      </c>
      <c r="H176" s="30" t="n">
        <f aca="false">'SA Data'!S176</f>
        <v>128.745519461918</v>
      </c>
      <c r="I176" s="31" t="n">
        <f aca="false">IFERROR((H176/H175-1)*100,"")</f>
        <v>-2.48122902602865</v>
      </c>
      <c r="J176" s="31" t="n">
        <f aca="false">IFERROR((AVERAGE(H174:H176)/AVERAGE(H171:H173)-1)*100,"")</f>
        <v>-0.884898205006413</v>
      </c>
      <c r="K176" s="31" t="n">
        <f aca="false">IFERROR(((AVERAGE(H174:H176)/AVERAGE(H171:H173))^4-1)*100,"")</f>
        <v>-3.49288668285996</v>
      </c>
      <c r="L176" s="31" t="n">
        <f aca="false">IFERROR(('SA Data'!W176/'SA Data'!W164-1)*100,"")</f>
        <v>6.40626572406158</v>
      </c>
      <c r="M176" s="31" t="n">
        <f aca="false">IFERROR((AVERAGE('SA Data'!W175:W176)/AVERAGE('SA Data'!W163:W164)-1)*100,"")</f>
        <v>5.84905727768923</v>
      </c>
      <c r="N176" s="30" t="n">
        <f aca="false">'SA Data'!T176</f>
        <v>163.541191384975</v>
      </c>
      <c r="O176" s="31" t="n">
        <f aca="false">IFERROR((N176/N175-1)*100,"")</f>
        <v>-0.148491077431634</v>
      </c>
      <c r="P176" s="31" t="n">
        <f aca="false">IFERROR((AVERAGE(N174:N176)/AVERAGE(N171:N173)-1)*100,"")</f>
        <v>-0.781421859797293</v>
      </c>
      <c r="Q176" s="31" t="n">
        <f aca="false">IFERROR(((AVERAGE(N174:N176)/AVERAGE(N171:N173))^4-1)*100,"")</f>
        <v>-3.08924071971894</v>
      </c>
      <c r="R176" s="31" t="n">
        <f aca="false">IFERROR(('SA Data'!X176/'SA Data'!X164-1)*100,"")</f>
        <v>3.94595067429435</v>
      </c>
      <c r="S176" s="31" t="n">
        <f aca="false">IFERROR((AVERAGE('SA Data'!X175:X176)/AVERAGE('SA Data'!X163:X164)-1)*100,"")</f>
        <v>3.88071411980289</v>
      </c>
    </row>
    <row r="177" customFormat="false" ht="15" hidden="false" customHeight="false" outlineLevel="0" collapsed="false">
      <c r="A177" s="20" t="n">
        <v>43190</v>
      </c>
      <c r="B177" s="30" t="n">
        <f aca="false">'SA Data'!R177</f>
        <v>129.051516301702</v>
      </c>
      <c r="C177" s="31" t="n">
        <f aca="false">IFERROR((B177/B176-1)*100,"")</f>
        <v>-1.99315145440493</v>
      </c>
      <c r="D177" s="31" t="n">
        <f aca="false">IFERROR((AVERAGE(B175:B177)/AVERAGE(B172:B174)-1)*100,"")</f>
        <v>-3.11622957453946</v>
      </c>
      <c r="E177" s="31" t="n">
        <f aca="false">IFERROR(((AVERAGE(B175:B177)/AVERAGE(B172:B174))^4-1)*100,"")</f>
        <v>-11.8942753321702</v>
      </c>
      <c r="F177" s="31" t="n">
        <f aca="false">IFERROR(('SA Data'!V177/'SA Data'!V165-1)*100,"")</f>
        <v>1.72399858984063</v>
      </c>
      <c r="G177" s="31" t="n">
        <f aca="false">IFERROR((AVERAGE('SA Data'!V175:V177)/AVERAGE('SA Data'!V163:V165)-1)*100,"")</f>
        <v>1.30292533113292</v>
      </c>
      <c r="H177" s="30" t="n">
        <f aca="false">'SA Data'!S177</f>
        <v>132.739889223548</v>
      </c>
      <c r="I177" s="31" t="n">
        <f aca="false">IFERROR((H177/H176-1)*100,"")</f>
        <v>3.10253108482819</v>
      </c>
      <c r="J177" s="31" t="n">
        <f aca="false">IFERROR((AVERAGE(H175:H177)/AVERAGE(H172:H174)-1)*100,"")</f>
        <v>-0.442171502073585</v>
      </c>
      <c r="K177" s="31" t="n">
        <f aca="false">IFERROR(((AVERAGE(H175:H177)/AVERAGE(H172:H174))^4-1)*100,"")</f>
        <v>-1.75698961241042</v>
      </c>
      <c r="L177" s="31" t="n">
        <f aca="false">IFERROR(('SA Data'!W177/'SA Data'!W165-1)*100,"")</f>
        <v>2.6075359471754</v>
      </c>
      <c r="M177" s="31" t="n">
        <f aca="false">IFERROR((AVERAGE('SA Data'!W175:W177)/AVERAGE('SA Data'!W163:W165)-1)*100,"")</f>
        <v>4.66478503109997</v>
      </c>
      <c r="N177" s="30" t="n">
        <f aca="false">'SA Data'!T177</f>
        <v>165.821292564212</v>
      </c>
      <c r="O177" s="31" t="n">
        <f aca="false">IFERROR((N177/N176-1)*100,"")</f>
        <v>1.39420604676321</v>
      </c>
      <c r="P177" s="31" t="n">
        <f aca="false">IFERROR((AVERAGE(N175:N177)/AVERAGE(N172:N174)-1)*100,"")</f>
        <v>0.141840940408144</v>
      </c>
      <c r="Q177" s="31" t="n">
        <f aca="false">IFERROR(((AVERAGE(N175:N177)/AVERAGE(N172:N174))^4-1)*100,"")</f>
        <v>0.568572034650683</v>
      </c>
      <c r="R177" s="31" t="n">
        <f aca="false">IFERROR(('SA Data'!X177/'SA Data'!X165-1)*100,"")</f>
        <v>1.80643271718641</v>
      </c>
      <c r="S177" s="31" t="n">
        <f aca="false">IFERROR((AVERAGE('SA Data'!X175:X177)/AVERAGE('SA Data'!X163:X165)-1)*100,"")</f>
        <v>3.15732523876033</v>
      </c>
    </row>
    <row r="178" customFormat="false" ht="15" hidden="false" customHeight="false" outlineLevel="0" collapsed="false">
      <c r="A178" s="20" t="n">
        <v>43220</v>
      </c>
      <c r="B178" s="30" t="n">
        <f aca="false">'SA Data'!R178</f>
        <v>98.4902126423128</v>
      </c>
      <c r="C178" s="31" t="n">
        <f aca="false">IFERROR((B178/B177-1)*100,"")</f>
        <v>-23.6814758440663</v>
      </c>
      <c r="D178" s="31" t="n">
        <f aca="false">IFERROR((AVERAGE(B176:B178)/AVERAGE(B173:B175)-1)*100,"")</f>
        <v>-3.50629810871304</v>
      </c>
      <c r="E178" s="31" t="n">
        <f aca="false">IFERROR(((AVERAGE(B176:B178)/AVERAGE(B173:B175))^4-1)*100,"")</f>
        <v>-13.3046364525736</v>
      </c>
      <c r="F178" s="31" t="n">
        <f aca="false">IFERROR(('SA Data'!V178/'SA Data'!V166-1)*100,"")</f>
        <v>-29.426338293586</v>
      </c>
      <c r="G178" s="31" t="n">
        <f aca="false">IFERROR((AVERAGE('SA Data'!V175:V178)/AVERAGE('SA Data'!V163:V166)-1)*100,"")</f>
        <v>-12.4103442806888</v>
      </c>
      <c r="H178" s="30" t="n">
        <f aca="false">'SA Data'!S178</f>
        <v>133.645608961902</v>
      </c>
      <c r="I178" s="31" t="n">
        <f aca="false">IFERROR((H178/H177-1)*100,"")</f>
        <v>0.68232672458346</v>
      </c>
      <c r="J178" s="31" t="n">
        <f aca="false">IFERROR((AVERAGE(H176:H178)/AVERAGE(H173:H175)-1)*100,"")</f>
        <v>-0.460387205534851</v>
      </c>
      <c r="K178" s="31" t="n">
        <f aca="false">IFERROR(((AVERAGE(H176:H178)/AVERAGE(H173:H175))^4-1)*100,"")</f>
        <v>-1.8288704272747</v>
      </c>
      <c r="L178" s="31" t="n">
        <f aca="false">IFERROR(('SA Data'!W178/'SA Data'!W166-1)*100,"")</f>
        <v>5.00828205275983</v>
      </c>
      <c r="M178" s="31" t="n">
        <f aca="false">IFERROR((AVERAGE('SA Data'!W175:W178)/AVERAGE('SA Data'!W163:W166)-1)*100,"")</f>
        <v>4.75164498842562</v>
      </c>
      <c r="N178" s="30" t="n">
        <f aca="false">'SA Data'!T178</f>
        <v>167.296495133704</v>
      </c>
      <c r="O178" s="31" t="n">
        <f aca="false">IFERROR((N178/N177-1)*100,"")</f>
        <v>0.889633982873384</v>
      </c>
      <c r="P178" s="31" t="n">
        <f aca="false">IFERROR((AVERAGE(N176:N178)/AVERAGE(N173:N175)-1)*100,"")</f>
        <v>0.881559959223432</v>
      </c>
      <c r="Q178" s="31" t="n">
        <f aca="false">IFERROR(((AVERAGE(N176:N178)/AVERAGE(N173:N175))^4-1)*100,"")</f>
        <v>3.57314335956522</v>
      </c>
      <c r="R178" s="31" t="n">
        <f aca="false">IFERROR(('SA Data'!X178/'SA Data'!X166-1)*100,"")</f>
        <v>3.08248007309957</v>
      </c>
      <c r="S178" s="31" t="n">
        <f aca="false">IFERROR((AVERAGE('SA Data'!X175:X178)/AVERAGE('SA Data'!X163:X166)-1)*100,"")</f>
        <v>3.13855562252694</v>
      </c>
    </row>
    <row r="179" customFormat="false" ht="15" hidden="false" customHeight="false" outlineLevel="0" collapsed="false">
      <c r="A179" s="20" t="n">
        <v>43251</v>
      </c>
      <c r="B179" s="30" t="n">
        <f aca="false">'SA Data'!R179</f>
        <v>94.1823311007906</v>
      </c>
      <c r="C179" s="31" t="n">
        <f aca="false">IFERROR((B179/B178-1)*100,"")</f>
        <v>-4.37391840869213</v>
      </c>
      <c r="D179" s="31" t="n">
        <f aca="false">IFERROR((AVERAGE(B177:B179)/AVERAGE(B174:B176)-1)*100,"")</f>
        <v>-13.9192502051139</v>
      </c>
      <c r="E179" s="31" t="n">
        <f aca="false">IFERROR(((AVERAGE(B177:B179)/AVERAGE(B174:B176))^4-1)*100,"")</f>
        <v>-45.0934488976749</v>
      </c>
      <c r="F179" s="31" t="n">
        <f aca="false">IFERROR(('SA Data'!V179/'SA Data'!V167-1)*100,"")</f>
        <v>-32.1524631460385</v>
      </c>
      <c r="G179" s="31" t="n">
        <f aca="false">IFERROR((AVERAGE('SA Data'!V175:V179)/AVERAGE('SA Data'!V163:V167)-1)*100,"")</f>
        <v>-20.0788991958372</v>
      </c>
      <c r="H179" s="30" t="n">
        <f aca="false">'SA Data'!S179</f>
        <v>132.653236835385</v>
      </c>
      <c r="I179" s="31" t="n">
        <f aca="false">IFERROR((H179/H178-1)*100,"")</f>
        <v>-0.742540016260629</v>
      </c>
      <c r="J179" s="31" t="n">
        <f aca="false">IFERROR((AVERAGE(H177:H179)/AVERAGE(H174:H176)-1)*100,"")</f>
        <v>1.9156283224679</v>
      </c>
      <c r="K179" s="31" t="n">
        <f aca="false">IFERROR(((AVERAGE(H177:H179)/AVERAGE(H174:H176))^4-1)*100,"")</f>
        <v>7.88551652855729</v>
      </c>
      <c r="L179" s="31" t="n">
        <f aca="false">IFERROR(('SA Data'!W179/'SA Data'!W167-1)*100,"")</f>
        <v>0.888002448032998</v>
      </c>
      <c r="M179" s="31" t="n">
        <f aca="false">IFERROR((AVERAGE('SA Data'!W175:W179)/AVERAGE('SA Data'!W163:W167)-1)*100,"")</f>
        <v>3.91765678344427</v>
      </c>
      <c r="N179" s="30" t="n">
        <f aca="false">'SA Data'!T179</f>
        <v>166.711352100086</v>
      </c>
      <c r="O179" s="31" t="n">
        <f aca="false">IFERROR((N179/N178-1)*100,"")</f>
        <v>-0.349764071954695</v>
      </c>
      <c r="P179" s="31" t="n">
        <f aca="false">IFERROR((AVERAGE(N177:N179)/AVERAGE(N174:N176)-1)*100,"")</f>
        <v>2.08378101418356</v>
      </c>
      <c r="Q179" s="31" t="n">
        <f aca="false">IFERROR(((AVERAGE(N177:N179)/AVERAGE(N174:N176))^4-1)*100,"")</f>
        <v>8.59929074016745</v>
      </c>
      <c r="R179" s="31" t="n">
        <f aca="false">IFERROR(('SA Data'!X179/'SA Data'!X167-1)*100,"")</f>
        <v>1.08092724140536</v>
      </c>
      <c r="S179" s="31" t="n">
        <f aca="false">IFERROR((AVERAGE('SA Data'!X175:X179)/AVERAGE('SA Data'!X163:X167)-1)*100,"")</f>
        <v>2.71252530269148</v>
      </c>
    </row>
    <row r="180" customFormat="false" ht="15" hidden="false" customHeight="false" outlineLevel="0" collapsed="false">
      <c r="A180" s="20" t="n">
        <v>43281</v>
      </c>
      <c r="B180" s="30" t="n">
        <f aca="false">'SA Data'!R180</f>
        <v>94.0455229655958</v>
      </c>
      <c r="C180" s="31" t="n">
        <f aca="false">IFERROR((B180/B179-1)*100,"")</f>
        <v>-0.145258811919147</v>
      </c>
      <c r="D180" s="31" t="n">
        <f aca="false">IFERROR((AVERAGE(B178:B180)/AVERAGE(B175:B177)-1)*100,"")</f>
        <v>-24.2485881076516</v>
      </c>
      <c r="E180" s="31" t="n">
        <f aca="false">IFERROR(((AVERAGE(B178:B180)/AVERAGE(B175:B177))^4-1)*100,"")</f>
        <v>-67.0721839149208</v>
      </c>
      <c r="F180" s="31" t="n">
        <f aca="false">IFERROR(('SA Data'!V180/'SA Data'!V168-1)*100,"")</f>
        <v>-34.0369865834717</v>
      </c>
      <c r="G180" s="31" t="n">
        <f aca="false">IFERROR((AVERAGE('SA Data'!V175:V180)/AVERAGE('SA Data'!V163:V168)-1)*100,"")</f>
        <v>-23.0484915048218</v>
      </c>
      <c r="H180" s="30" t="n">
        <f aca="false">'SA Data'!S180</f>
        <v>126.834177220686</v>
      </c>
      <c r="I180" s="31" t="n">
        <f aca="false">IFERROR((H180/H179-1)*100,"")</f>
        <v>-4.38666990231073</v>
      </c>
      <c r="J180" s="31" t="n">
        <f aca="false">IFERROR((AVERAGE(H178:H180)/AVERAGE(H175:H177)-1)*100,"")</f>
        <v>-0.0949552345641203</v>
      </c>
      <c r="K180" s="31" t="n">
        <f aca="false">IFERROR(((AVERAGE(H178:H180)/AVERAGE(H175:H177))^4-1)*100,"")</f>
        <v>-0.37928029084634</v>
      </c>
      <c r="L180" s="31" t="n">
        <f aca="false">IFERROR(('SA Data'!W180/'SA Data'!W168-1)*100,"")</f>
        <v>-4.56844315937948</v>
      </c>
      <c r="M180" s="31" t="n">
        <f aca="false">IFERROR((AVERAGE('SA Data'!W175:W180)/AVERAGE('SA Data'!W163:W168)-1)*100,"")</f>
        <v>2.36974808545689</v>
      </c>
      <c r="N180" s="30" t="n">
        <f aca="false">'SA Data'!T180</f>
        <v>162.203216317566</v>
      </c>
      <c r="O180" s="31" t="n">
        <f aca="false">IFERROR((N180/N179-1)*100,"")</f>
        <v>-2.70415645109371</v>
      </c>
      <c r="P180" s="31" t="n">
        <f aca="false">IFERROR((AVERAGE(N178:N180)/AVERAGE(N175:N177)-1)*100,"")</f>
        <v>0.621353013245285</v>
      </c>
      <c r="Q180" s="31" t="n">
        <f aca="false">IFERROR(((AVERAGE(N178:N180)/AVERAGE(N175:N177))^4-1)*100,"")</f>
        <v>2.50867293274366</v>
      </c>
      <c r="R180" s="31" t="n">
        <f aca="false">IFERROR(('SA Data'!X180/'SA Data'!X168-1)*100,"")</f>
        <v>-1.30792642258462</v>
      </c>
      <c r="S180" s="31" t="n">
        <f aca="false">IFERROR((AVERAGE('SA Data'!X175:X180)/AVERAGE('SA Data'!X163:X168)-1)*100,"")</f>
        <v>2.01648926885185</v>
      </c>
    </row>
    <row r="181" customFormat="false" ht="15" hidden="false" customHeight="false" outlineLevel="0" collapsed="false">
      <c r="A181" s="20" t="n">
        <v>43312</v>
      </c>
      <c r="B181" s="30" t="n">
        <f aca="false">'SA Data'!R181</f>
        <v>120.494303519358</v>
      </c>
      <c r="C181" s="31" t="n">
        <f aca="false">IFERROR((B181/B180-1)*100,"")</f>
        <v>28.1233808050995</v>
      </c>
      <c r="D181" s="31" t="n">
        <f aca="false">IFERROR((AVERAGE(B179:B181)/AVERAGE(B176:B178)-1)*100,"")</f>
        <v>-14.0570978084172</v>
      </c>
      <c r="E181" s="31" t="n">
        <f aca="false">IFERROR(((AVERAGE(B179:B181)/AVERAGE(B176:B178))^4-1)*100,"")</f>
        <v>-45.4443090056987</v>
      </c>
      <c r="F181" s="31" t="n">
        <f aca="false">IFERROR(('SA Data'!V181/'SA Data'!V169-1)*100,"")</f>
        <v>-4.99652739905837</v>
      </c>
      <c r="G181" s="31" t="n">
        <f aca="false">IFERROR((AVERAGE('SA Data'!V175:V181)/AVERAGE('SA Data'!V163:V169)-1)*100,"")</f>
        <v>-21.323245171301</v>
      </c>
      <c r="H181" s="30" t="n">
        <f aca="false">'SA Data'!S181</f>
        <v>123.592672086365</v>
      </c>
      <c r="I181" s="31" t="n">
        <f aca="false">IFERROR((H181/H180-1)*100,"")</f>
        <v>-2.55570320662197</v>
      </c>
      <c r="J181" s="31" t="n">
        <f aca="false">IFERROR((AVERAGE(H179:H181)/AVERAGE(H176:H178)-1)*100,"")</f>
        <v>-3.04985712756343</v>
      </c>
      <c r="K181" s="31" t="n">
        <f aca="false">IFERROR(((AVERAGE(H179:H181)/AVERAGE(H176:H178))^4-1)*100,"")</f>
        <v>-11.6525917352377</v>
      </c>
      <c r="L181" s="31" t="n">
        <f aca="false">IFERROR(('SA Data'!W181/'SA Data'!W169-1)*100,"")</f>
        <v>-3.77315689159051</v>
      </c>
      <c r="M181" s="31" t="n">
        <f aca="false">IFERROR((AVERAGE('SA Data'!W175:W181)/AVERAGE('SA Data'!W163:W169)-1)*100,"")</f>
        <v>1.44578777049784</v>
      </c>
      <c r="N181" s="30" t="n">
        <f aca="false">'SA Data'!T181</f>
        <v>162.323501078305</v>
      </c>
      <c r="O181" s="31" t="n">
        <f aca="false">IFERROR((N181/N180-1)*100,"")</f>
        <v>0.0741568283720628</v>
      </c>
      <c r="P181" s="31" t="n">
        <f aca="false">IFERROR((AVERAGE(N179:N181)/AVERAGE(N176:N178)-1)*100,"")</f>
        <v>-1.0914752003362</v>
      </c>
      <c r="Q181" s="31" t="n">
        <f aca="false">IFERROR(((AVERAGE(N179:N181)/AVERAGE(N176:N178))^4-1)*100,"")</f>
        <v>-4.29494041299942</v>
      </c>
      <c r="R181" s="31" t="n">
        <f aca="false">IFERROR(('SA Data'!X181/'SA Data'!X169-1)*100,"")</f>
        <v>-0.920431274543243</v>
      </c>
      <c r="S181" s="31" t="n">
        <f aca="false">IFERROR((AVERAGE('SA Data'!X175:X181)/AVERAGE('SA Data'!X163:X169)-1)*100,"")</f>
        <v>1.58650354041092</v>
      </c>
    </row>
    <row r="182" customFormat="false" ht="15" hidden="false" customHeight="false" outlineLevel="0" collapsed="false">
      <c r="A182" s="20" t="n">
        <v>43343</v>
      </c>
      <c r="B182" s="30" t="n">
        <f aca="false">'SA Data'!R182</f>
        <v>130.634907672643</v>
      </c>
      <c r="C182" s="31" t="n">
        <f aca="false">IFERROR((B182/B181-1)*100,"")</f>
        <v>8.41583697909523</v>
      </c>
      <c r="D182" s="31" t="n">
        <f aca="false">IFERROR((AVERAGE(B180:B182)/AVERAGE(B177:B179)-1)*100,"")</f>
        <v>7.28906445776099</v>
      </c>
      <c r="E182" s="31" t="n">
        <f aca="false">IFERROR(((AVERAGE(B180:B182)/AVERAGE(B177:B179))^4-1)*100,"")</f>
        <v>32.5018168580545</v>
      </c>
      <c r="F182" s="31" t="n">
        <f aca="false">IFERROR(('SA Data'!V182/'SA Data'!V170-1)*100,"")</f>
        <v>2.50430057492423</v>
      </c>
      <c r="G182" s="31" t="n">
        <f aca="false">IFERROR((AVERAGE('SA Data'!V175:V182)/AVERAGE('SA Data'!V163:V170)-1)*100,"")</f>
        <v>-19.9000988385333</v>
      </c>
      <c r="H182" s="30" t="n">
        <f aca="false">'SA Data'!S182</f>
        <v>127.619605946643</v>
      </c>
      <c r="I182" s="31" t="n">
        <f aca="false">IFERROR((H182/H181-1)*100,"")</f>
        <v>3.25823027554952</v>
      </c>
      <c r="J182" s="31" t="n">
        <f aca="false">IFERROR((AVERAGE(H180:H182)/AVERAGE(H177:H179)-1)*100,"")</f>
        <v>-5.26071228800507</v>
      </c>
      <c r="K182" s="31" t="n">
        <f aca="false">IFERROR(((AVERAGE(H180:H182)/AVERAGE(H177:H179))^4-1)*100,"")</f>
        <v>-19.4398138969367</v>
      </c>
      <c r="L182" s="31" t="n">
        <f aca="false">IFERROR(('SA Data'!W182/'SA Data'!W170-1)*100,"")</f>
        <v>-3.38545570456799</v>
      </c>
      <c r="M182" s="31" t="n">
        <f aca="false">IFERROR((AVERAGE('SA Data'!W175:W182)/AVERAGE('SA Data'!W163:W170)-1)*100,"")</f>
        <v>0.781643157981216</v>
      </c>
      <c r="N182" s="30" t="n">
        <f aca="false">'SA Data'!T182</f>
        <v>162.700244949046</v>
      </c>
      <c r="O182" s="31" t="n">
        <f aca="false">IFERROR((N182/N181-1)*100,"")</f>
        <v>0.232094470756539</v>
      </c>
      <c r="P182" s="31" t="n">
        <f aca="false">IFERROR((AVERAGE(N180:N182)/AVERAGE(N177:N179)-1)*100,"")</f>
        <v>-2.52129706927007</v>
      </c>
      <c r="Q182" s="31" t="n">
        <f aca="false">IFERROR(((AVERAGE(N180:N182)/AVERAGE(N177:N179))^4-1)*100,"")</f>
        <v>-9.7101426242962</v>
      </c>
      <c r="R182" s="31" t="n">
        <f aca="false">IFERROR(('SA Data'!X182/'SA Data'!X170-1)*100,"")</f>
        <v>-0.874223364583848</v>
      </c>
      <c r="S182" s="31" t="n">
        <f aca="false">IFERROR((AVERAGE('SA Data'!X175:X182)/AVERAGE('SA Data'!X163:X170)-1)*100,"")</f>
        <v>1.27245384277837</v>
      </c>
    </row>
    <row r="183" customFormat="false" ht="15" hidden="false" customHeight="false" outlineLevel="0" collapsed="false">
      <c r="A183" s="20" t="n">
        <v>43373</v>
      </c>
      <c r="B183" s="30" t="n">
        <f aca="false">'SA Data'!R183</f>
        <v>124.626614724271</v>
      </c>
      <c r="C183" s="31" t="n">
        <f aca="false">IFERROR((B183/B182-1)*100,"")</f>
        <v>-4.59930125524163</v>
      </c>
      <c r="D183" s="31" t="n">
        <f aca="false">IFERROR((AVERAGE(B181:B183)/AVERAGE(B178:B180)-1)*100,"")</f>
        <v>31.054115364845</v>
      </c>
      <c r="E183" s="31" t="n">
        <f aca="false">IFERROR(((AVERAGE(B181:B183)/AVERAGE(B178:B180))^4-1)*100,"")</f>
        <v>194.98684767485</v>
      </c>
      <c r="F183" s="31" t="n">
        <f aca="false">IFERROR(('SA Data'!V183/'SA Data'!V171-1)*100,"")</f>
        <v>1.14482577631987</v>
      </c>
      <c r="G183" s="31" t="n">
        <f aca="false">IFERROR((AVERAGE('SA Data'!V175:V183)/AVERAGE('SA Data'!V163:V171)-1)*100,"")</f>
        <v>-18.8328622576632</v>
      </c>
      <c r="H183" s="30" t="n">
        <f aca="false">'SA Data'!S183</f>
        <v>119.575956875273</v>
      </c>
      <c r="I183" s="31" t="n">
        <f aca="false">IFERROR((H183/H182-1)*100,"")</f>
        <v>-6.3028317723633</v>
      </c>
      <c r="J183" s="31" t="n">
        <f aca="false">IFERROR((AVERAGE(H181:H183)/AVERAGE(H178:H180)-1)*100,"")</f>
        <v>-5.68377287111571</v>
      </c>
      <c r="K183" s="31" t="n">
        <f aca="false">IFERROR(((AVERAGE(H181:H183)/AVERAGE(H178:H180))^4-1)*100,"")</f>
        <v>-20.8691777468022</v>
      </c>
      <c r="L183" s="31" t="n">
        <f aca="false">IFERROR(('SA Data'!W183/'SA Data'!W171-1)*100,"")</f>
        <v>-8.53391692527721</v>
      </c>
      <c r="M183" s="31" t="n">
        <f aca="false">IFERROR((AVERAGE('SA Data'!W175:W183)/AVERAGE('SA Data'!W163:W171)-1)*100,"")</f>
        <v>-0.311262663074152</v>
      </c>
      <c r="N183" s="30" t="n">
        <f aca="false">'SA Data'!T183</f>
        <v>157.531232418041</v>
      </c>
      <c r="O183" s="31" t="n">
        <f aca="false">IFERROR((N183/N182-1)*100,"")</f>
        <v>-3.17701582602069</v>
      </c>
      <c r="P183" s="31" t="n">
        <f aca="false">IFERROR((AVERAGE(N181:N183)/AVERAGE(N178:N180)-1)*100,"")</f>
        <v>-2.75207187204347</v>
      </c>
      <c r="Q183" s="31" t="n">
        <f aca="false">IFERROR(((AVERAGE(N181:N183)/AVERAGE(N178:N180))^4-1)*100,"")</f>
        <v>-10.5621337152934</v>
      </c>
      <c r="R183" s="31" t="n">
        <f aca="false">IFERROR(('SA Data'!X183/'SA Data'!X171-1)*100,"")</f>
        <v>-3.74850560053528</v>
      </c>
      <c r="S183" s="31" t="n">
        <f aca="false">IFERROR((AVERAGE('SA Data'!X175:X183)/AVERAGE('SA Data'!X163:X171)-1)*100,"")</f>
        <v>0.712295191520918</v>
      </c>
    </row>
    <row r="184" customFormat="false" ht="15" hidden="false" customHeight="false" outlineLevel="0" collapsed="false">
      <c r="A184" s="20" t="n">
        <v>43404</v>
      </c>
      <c r="B184" s="30" t="n">
        <f aca="false">'SA Data'!R184</f>
        <v>138.78956713487</v>
      </c>
      <c r="C184" s="31" t="n">
        <f aca="false">IFERROR((B184/B183-1)*100,"")</f>
        <v>11.3643080508393</v>
      </c>
      <c r="D184" s="31" t="n">
        <f aca="false">IFERROR((AVERAGE(B182:B184)/AVERAGE(B179:B181)-1)*100,"")</f>
        <v>27.6393934965103</v>
      </c>
      <c r="E184" s="31" t="n">
        <f aca="false">IFERROR(((AVERAGE(B182:B184)/AVERAGE(B179:B181))^4-1)*100,"")</f>
        <v>165.423228570273</v>
      </c>
      <c r="F184" s="31" t="n">
        <f aca="false">IFERROR(('SA Data'!V184/'SA Data'!V172-1)*100,"")</f>
        <v>1.58098588177376</v>
      </c>
      <c r="G184" s="31" t="n">
        <f aca="false">IFERROR((AVERAGE('SA Data'!V175:V184)/AVERAGE('SA Data'!V163:V172)-1)*100,"")</f>
        <v>-17.6717801136879</v>
      </c>
      <c r="H184" s="30" t="n">
        <f aca="false">'SA Data'!S184</f>
        <v>122.626349387092</v>
      </c>
      <c r="I184" s="31" t="n">
        <f aca="false">IFERROR((H184/H183-1)*100,"")</f>
        <v>2.55100823905627</v>
      </c>
      <c r="J184" s="31" t="n">
        <f aca="false">IFERROR((AVERAGE(H182:H184)/AVERAGE(H179:H181)-1)*100,"")</f>
        <v>-3.46094052210744</v>
      </c>
      <c r="K184" s="31" t="n">
        <f aca="false">IFERROR(((AVERAGE(H182:H184)/AVERAGE(H179:H181))^4-1)*100,"")</f>
        <v>-13.141514265012</v>
      </c>
      <c r="L184" s="31" t="n">
        <f aca="false">IFERROR(('SA Data'!W184/'SA Data'!W172-1)*100,"")</f>
        <v>-6.39282966909449</v>
      </c>
      <c r="M184" s="31" t="n">
        <f aca="false">IFERROR((AVERAGE('SA Data'!W175:W184)/AVERAGE('SA Data'!W163:W172)-1)*100,"")</f>
        <v>-0.964545155829977</v>
      </c>
      <c r="N184" s="30" t="n">
        <f aca="false">'SA Data'!T184</f>
        <v>158.841838705737</v>
      </c>
      <c r="O184" s="31" t="n">
        <f aca="false">IFERROR((N184/N183-1)*100,"")</f>
        <v>0.831965996570649</v>
      </c>
      <c r="P184" s="31" t="n">
        <f aca="false">IFERROR((AVERAGE(N182:N184)/AVERAGE(N179:N181)-1)*100,"")</f>
        <v>-2.47634582466614</v>
      </c>
      <c r="Q184" s="31" t="n">
        <f aca="false">IFERROR(((AVERAGE(N182:N184)/AVERAGE(N179:N181))^4-1)*100,"")</f>
        <v>-9.54348264205109</v>
      </c>
      <c r="R184" s="31" t="n">
        <f aca="false">IFERROR(('SA Data'!X184/'SA Data'!X172-1)*100,"")</f>
        <v>-3.40352754917653</v>
      </c>
      <c r="S184" s="31" t="n">
        <f aca="false">IFERROR((AVERAGE('SA Data'!X175:X184)/AVERAGE('SA Data'!X163:X172)-1)*100,"")</f>
        <v>0.29259978364875</v>
      </c>
    </row>
    <row r="185" customFormat="false" ht="15" hidden="false" customHeight="false" outlineLevel="0" collapsed="false">
      <c r="A185" s="20" t="n">
        <v>43434</v>
      </c>
      <c r="B185" s="30" t="n">
        <f aca="false">'SA Data'!R185</f>
        <v>131.116113013698</v>
      </c>
      <c r="C185" s="31" t="n">
        <f aca="false">IFERROR((B185/B184-1)*100,"")</f>
        <v>-5.52884073319085</v>
      </c>
      <c r="D185" s="31" t="n">
        <f aca="false">IFERROR((AVERAGE(B183:B185)/AVERAGE(B180:B182)-1)*100,"")</f>
        <v>14.2992970895454</v>
      </c>
      <c r="E185" s="31" t="n">
        <f aca="false">IFERROR(((AVERAGE(B183:B185)/AVERAGE(B180:B182))^4-1)*100,"")</f>
        <v>70.6767004550577</v>
      </c>
      <c r="F185" s="31" t="n">
        <f aca="false">IFERROR(('SA Data'!V185/'SA Data'!V173-1)*100,"")</f>
        <v>1.27488922928689</v>
      </c>
      <c r="G185" s="31" t="n">
        <f aca="false">IFERROR((AVERAGE('SA Data'!V175:V185)/AVERAGE('SA Data'!V163:V173)-1)*100,"")</f>
        <v>-16.5404680505608</v>
      </c>
      <c r="H185" s="30" t="n">
        <f aca="false">'SA Data'!S185</f>
        <v>118.372447245968</v>
      </c>
      <c r="I185" s="31" t="n">
        <f aca="false">IFERROR((H185/H184-1)*100,"")</f>
        <v>-3.46899517304853</v>
      </c>
      <c r="J185" s="31" t="n">
        <f aca="false">IFERROR((AVERAGE(H183:H185)/AVERAGE(H180:H182)-1)*100,"")</f>
        <v>-4.62157533883929</v>
      </c>
      <c r="K185" s="31" t="n">
        <f aca="false">IFERROR(((AVERAGE(H183:H185)/AVERAGE(H180:H182))^4-1)*100,"")</f>
        <v>-17.243792448045</v>
      </c>
      <c r="L185" s="31" t="n">
        <f aca="false">IFERROR(('SA Data'!W185/'SA Data'!W173-1)*100,"")</f>
        <v>-11.875663280057</v>
      </c>
      <c r="M185" s="31" t="n">
        <f aca="false">IFERROR((AVERAGE('SA Data'!W175:W185)/AVERAGE('SA Data'!W163:W173)-1)*100,"")</f>
        <v>-2.03630532790623</v>
      </c>
      <c r="N185" s="30" t="n">
        <f aca="false">'SA Data'!T185</f>
        <v>157.220163218492</v>
      </c>
      <c r="O185" s="31" t="n">
        <f aca="false">IFERROR((N185/N184-1)*100,"")</f>
        <v>-1.02093724201344</v>
      </c>
      <c r="P185" s="31" t="n">
        <f aca="false">IFERROR((AVERAGE(N183:N185)/AVERAGE(N180:N182)-1)*100,"")</f>
        <v>-2.79822937898018</v>
      </c>
      <c r="Q185" s="31" t="n">
        <f aca="false">IFERROR(((AVERAGE(N183:N185)/AVERAGE(N180:N182))^4-1)*100,"")</f>
        <v>-10.7318150987339</v>
      </c>
      <c r="R185" s="31" t="n">
        <f aca="false">IFERROR(('SA Data'!X185/'SA Data'!X173-1)*100,"")</f>
        <v>-5.61200431840834</v>
      </c>
      <c r="S185" s="31" t="n">
        <f aca="false">IFERROR((AVERAGE('SA Data'!X175:X185)/AVERAGE('SA Data'!X163:X173)-1)*100,"")</f>
        <v>-0.260916751622331</v>
      </c>
    </row>
    <row r="186" customFormat="false" ht="15" hidden="false" customHeight="false" outlineLevel="0" collapsed="false">
      <c r="A186" s="20" t="n">
        <v>43465</v>
      </c>
      <c r="B186" s="30" t="n">
        <f aca="false">'SA Data'!R186</f>
        <v>125.013887010372</v>
      </c>
      <c r="C186" s="31" t="n">
        <f aca="false">IFERROR((B186/B185-1)*100,"")</f>
        <v>-4.6540626190535</v>
      </c>
      <c r="D186" s="31" t="n">
        <f aca="false">IFERROR((AVERAGE(B184:B186)/AVERAGE(B181:B183)-1)*100,"")</f>
        <v>5.10005166145802</v>
      </c>
      <c r="E186" s="31" t="n">
        <f aca="false">IFERROR(((AVERAGE(B184:B186)/AVERAGE(B181:B183))^4-1)*100,"")</f>
        <v>22.0145768227905</v>
      </c>
      <c r="F186" s="31" t="n">
        <f aca="false">IFERROR(('SA Data'!V186/'SA Data'!V174-1)*100,"")</f>
        <v>5.14310343217883</v>
      </c>
      <c r="G186" s="31" t="n">
        <f aca="false">IFERROR((AVERAGE('SA Data'!V175:V186)/AVERAGE('SA Data'!V163:V174)-1)*100,"")</f>
        <v>-15.2259058898997</v>
      </c>
      <c r="H186" s="30" t="n">
        <f aca="false">'SA Data'!S186</f>
        <v>114.045537420747</v>
      </c>
      <c r="I186" s="31" t="n">
        <f aca="false">IFERROR((H186/H185-1)*100,"")</f>
        <v>-3.65533527935771</v>
      </c>
      <c r="J186" s="31" t="n">
        <f aca="false">IFERROR((AVERAGE(H184:H186)/AVERAGE(H181:H183)-1)*100,"")</f>
        <v>-4.24606267735773</v>
      </c>
      <c r="K186" s="31" t="n">
        <f aca="false">IFERROR(((AVERAGE(H184:H186)/AVERAGE(H181:H183))^4-1)*100,"")</f>
        <v>-15.9328037548169</v>
      </c>
      <c r="L186" s="31" t="n">
        <f aca="false">IFERROR(('SA Data'!W186/'SA Data'!W174-1)*100,"")</f>
        <v>-13.0797449241609</v>
      </c>
      <c r="M186" s="31" t="n">
        <f aca="false">IFERROR((AVERAGE('SA Data'!W175:W186)/AVERAGE('SA Data'!W163:W174)-1)*100,"")</f>
        <v>-2.95710468627607</v>
      </c>
      <c r="N186" s="30" t="n">
        <f aca="false">'SA Data'!T186</f>
        <v>155.29796403305</v>
      </c>
      <c r="O186" s="31" t="n">
        <f aca="false">IFERROR((N186/N185-1)*100,"")</f>
        <v>-1.22261620016926</v>
      </c>
      <c r="P186" s="31" t="n">
        <f aca="false">IFERROR((AVERAGE(N184:N186)/AVERAGE(N181:N183)-1)*100,"")</f>
        <v>-2.31994549598871</v>
      </c>
      <c r="Q186" s="31" t="n">
        <f aca="false">IFERROR(((AVERAGE(N184:N186)/AVERAGE(N181:N183))^4-1)*100,"")</f>
        <v>-8.96181870535928</v>
      </c>
      <c r="R186" s="31" t="n">
        <f aca="false">IFERROR(('SA Data'!X186/'SA Data'!X174-1)*100,"")</f>
        <v>-4.32104058261882</v>
      </c>
      <c r="S186" s="31" t="n">
        <f aca="false">IFERROR((AVERAGE('SA Data'!X175:X186)/AVERAGE('SA Data'!X163:X174)-1)*100,"")</f>
        <v>-0.597561609934605</v>
      </c>
    </row>
    <row r="187" customFormat="false" ht="15" hidden="false" customHeight="false" outlineLevel="0" collapsed="false">
      <c r="A187" s="20" t="n">
        <v>43496</v>
      </c>
      <c r="B187" s="30" t="n">
        <f aca="false">'SA Data'!R187</f>
        <v>117.494422228663</v>
      </c>
      <c r="C187" s="31" t="n">
        <f aca="false">IFERROR((B187/B186-1)*100,"")</f>
        <v>-6.01490359313864</v>
      </c>
      <c r="D187" s="31" t="n">
        <f aca="false">IFERROR((AVERAGE(B185:B187)/AVERAGE(B182:B184)-1)*100,"")</f>
        <v>-5.18376114714545</v>
      </c>
      <c r="E187" s="31" t="n">
        <f aca="false">IFERROR(((AVERAGE(B185:B187)/AVERAGE(B182:B184))^4-1)*100,"")</f>
        <v>-19.1777576651791</v>
      </c>
      <c r="F187" s="31" t="n">
        <f aca="false">IFERROR(('SA Data'!V187/'SA Data'!V175-1)*100,"")</f>
        <v>7.27093359925015</v>
      </c>
      <c r="G187" s="31" t="n">
        <f aca="false">IFERROR((AVERAGE('SA Data'!V187:V187)/AVERAGE('SA Data'!V175:V175)-1)*100,"")</f>
        <v>7.27093359925015</v>
      </c>
      <c r="H187" s="30" t="n">
        <f aca="false">'SA Data'!S187</f>
        <v>120.020211996605</v>
      </c>
      <c r="I187" s="31" t="n">
        <f aca="false">IFERROR((H187/H186-1)*100,"")</f>
        <v>5.23884994624175</v>
      </c>
      <c r="J187" s="31" t="n">
        <f aca="false">IFERROR((AVERAGE(H185:H187)/AVERAGE(H182:H184)-1)*100,"")</f>
        <v>-4.70056396654605</v>
      </c>
      <c r="K187" s="31" t="n">
        <f aca="false">IFERROR(((AVERAGE(H185:H187)/AVERAGE(H182:H184))^4-1)*100,"")</f>
        <v>-17.5175937190349</v>
      </c>
      <c r="L187" s="31" t="n">
        <f aca="false">IFERROR(('SA Data'!W187/'SA Data'!W175-1)*100,"")</f>
        <v>-9.17426638406703</v>
      </c>
      <c r="M187" s="31" t="n">
        <f aca="false">IFERROR((AVERAGE('SA Data'!W187:W187)/AVERAGE('SA Data'!W175:W175)-1)*100,"")</f>
        <v>-9.17426638406703</v>
      </c>
      <c r="N187" s="30" t="n">
        <f aca="false">'SA Data'!T187</f>
        <v>156.052358209404</v>
      </c>
      <c r="O187" s="31" t="n">
        <f aca="false">IFERROR((N187/N186-1)*100,"")</f>
        <v>0.485772096917736</v>
      </c>
      <c r="P187" s="31" t="n">
        <f aca="false">IFERROR((AVERAGE(N185:N187)/AVERAGE(N182:N184)-1)*100,"")</f>
        <v>-2.19232218942511</v>
      </c>
      <c r="Q187" s="31" t="n">
        <f aca="false">IFERROR(((AVERAGE(N185:N187)/AVERAGE(N182:N184))^4-1)*100,"")</f>
        <v>-8.48510382519102</v>
      </c>
      <c r="R187" s="31" t="n">
        <f aca="false">IFERROR(('SA Data'!X187/'SA Data'!X175-1)*100,"")</f>
        <v>-4.44714501091046</v>
      </c>
      <c r="S187" s="31" t="n">
        <f aca="false">IFERROR((AVERAGE('SA Data'!X187:X187)/AVERAGE('SA Data'!X175:X175)-1)*100,"")</f>
        <v>-4.44714501091046</v>
      </c>
    </row>
    <row r="188" customFormat="false" ht="15" hidden="false" customHeight="false" outlineLevel="0" collapsed="false">
      <c r="A188" s="20" t="n">
        <v>43524</v>
      </c>
      <c r="B188" s="30" t="n">
        <f aca="false">'SA Data'!R188</f>
        <v>130.414014285996</v>
      </c>
      <c r="C188" s="31" t="n">
        <f aca="false">IFERROR((B188/B187-1)*100,"")</f>
        <v>10.9959194762368</v>
      </c>
      <c r="D188" s="31" t="n">
        <f aca="false">IFERROR((AVERAGE(B186:B188)/AVERAGE(B183:B185)-1)*100,"")</f>
        <v>-5.47736437007632</v>
      </c>
      <c r="E188" s="31" t="n">
        <f aca="false">IFERROR(((AVERAGE(B186:B188)/AVERAGE(B183:B185))^4-1)*100,"")</f>
        <v>-20.1741978661697</v>
      </c>
      <c r="F188" s="31" t="n">
        <f aca="false">IFERROR(('SA Data'!V188/'SA Data'!V176-1)*100,"")</f>
        <v>3.35414961368234</v>
      </c>
      <c r="G188" s="31" t="n">
        <f aca="false">IFERROR((AVERAGE('SA Data'!V187:V188)/AVERAGE('SA Data'!V175:V176)-1)*100,"")</f>
        <v>5.22199415481432</v>
      </c>
      <c r="H188" s="30" t="n">
        <f aca="false">'SA Data'!S188</f>
        <v>121.284697139551</v>
      </c>
      <c r="I188" s="31" t="n">
        <f aca="false">IFERROR((H188/H187-1)*100,"")</f>
        <v>1.05356016450087</v>
      </c>
      <c r="J188" s="31" t="n">
        <f aca="false">IFERROR((AVERAGE(H186:H188)/AVERAGE(H183:H185)-1)*100,"")</f>
        <v>-1.44888317903535</v>
      </c>
      <c r="K188" s="31" t="n">
        <f aca="false">IFERROR(((AVERAGE(H186:H188)/AVERAGE(H183:H185))^4-1)*100,"")</f>
        <v>-5.67078919567945</v>
      </c>
      <c r="L188" s="31" t="n">
        <f aca="false">IFERROR(('SA Data'!W188/'SA Data'!W176-1)*100,"")</f>
        <v>-5.77778431649873</v>
      </c>
      <c r="M188" s="31" t="n">
        <f aca="false">IFERROR((AVERAGE('SA Data'!W187:W188)/AVERAGE('SA Data'!W175:W176)-1)*100,"")</f>
        <v>-7.50923122207422</v>
      </c>
      <c r="N188" s="30" t="n">
        <f aca="false">'SA Data'!T188</f>
        <v>156.531391790883</v>
      </c>
      <c r="O188" s="31" t="n">
        <f aca="false">IFERROR((N188/N187-1)*100,"")</f>
        <v>0.306969780512367</v>
      </c>
      <c r="P188" s="31" t="n">
        <f aca="false">IFERROR((AVERAGE(N186:N188)/AVERAGE(N183:N185)-1)*100,"")</f>
        <v>-1.20599702334534</v>
      </c>
      <c r="Q188" s="31" t="n">
        <f aca="false">IFERROR(((AVERAGE(N186:N188)/AVERAGE(N183:N185))^4-1)*100,"")</f>
        <v>-4.73742186353029</v>
      </c>
      <c r="R188" s="31" t="n">
        <f aca="false">IFERROR(('SA Data'!X188/'SA Data'!X176-1)*100,"")</f>
        <v>-4.05906642430608</v>
      </c>
      <c r="S188" s="31" t="n">
        <f aca="false">IFERROR((AVERAGE('SA Data'!X187:X188)/AVERAGE('SA Data'!X175:X176)-1)*100,"")</f>
        <v>-4.25454022440439</v>
      </c>
    </row>
    <row r="189" customFormat="false" ht="15" hidden="false" customHeight="false" outlineLevel="0" collapsed="false">
      <c r="A189" s="20" t="n">
        <v>43555</v>
      </c>
      <c r="B189" s="30" t="n">
        <f aca="false">'SA Data'!R189</f>
        <v>138.726055972158</v>
      </c>
      <c r="C189" s="31" t="n">
        <f aca="false">IFERROR((B189/B188-1)*100,"")</f>
        <v>6.37358011841698</v>
      </c>
      <c r="D189" s="31" t="n">
        <f aca="false">IFERROR((AVERAGE(B187:B189)/AVERAGE(B184:B186)-1)*100,"")</f>
        <v>-2.09791445172662</v>
      </c>
      <c r="E189" s="31" t="n">
        <f aca="false">IFERROR(((AVERAGE(B187:B189)/AVERAGE(B184:B186))^4-1)*100,"")</f>
        <v>-8.13125710737841</v>
      </c>
      <c r="F189" s="31" t="n">
        <f aca="false">IFERROR(('SA Data'!V189/'SA Data'!V177-1)*100,"")</f>
        <v>10.8448789523729</v>
      </c>
      <c r="G189" s="31" t="n">
        <f aca="false">IFERROR((AVERAGE('SA Data'!V187:V189)/AVERAGE('SA Data'!V175:V177)-1)*100,"")</f>
        <v>8.0317511143668</v>
      </c>
      <c r="H189" s="30" t="n">
        <f aca="false">'SA Data'!S189</f>
        <v>117.417694811797</v>
      </c>
      <c r="I189" s="31" t="n">
        <f aca="false">IFERROR((H189/H188-1)*100,"")</f>
        <v>-3.18836788066046</v>
      </c>
      <c r="J189" s="31" t="n">
        <f aca="false">IFERROR((AVERAGE(H187:H189)/AVERAGE(H184:H186)-1)*100,"")</f>
        <v>1.03600298366913</v>
      </c>
      <c r="K189" s="31" t="n">
        <f aca="false">IFERROR(((AVERAGE(H187:H189)/AVERAGE(H184:H186))^4-1)*100,"")</f>
        <v>4.2088559952896</v>
      </c>
      <c r="L189" s="31" t="n">
        <f aca="false">IFERROR(('SA Data'!W189/'SA Data'!W177-1)*100,"")</f>
        <v>-10.9676187601705</v>
      </c>
      <c r="M189" s="31" t="n">
        <f aca="false">IFERROR((AVERAGE('SA Data'!W187:W189)/AVERAGE('SA Data'!W175:W177)-1)*100,"")</f>
        <v>-8.74789945048758</v>
      </c>
      <c r="N189" s="30" t="n">
        <f aca="false">'SA Data'!T189</f>
        <v>155.782455975228</v>
      </c>
      <c r="O189" s="31" t="n">
        <f aca="false">IFERROR((N189/N188-1)*100,"")</f>
        <v>-0.478457264761334</v>
      </c>
      <c r="P189" s="31" t="n">
        <f aca="false">IFERROR((AVERAGE(N187:N189)/AVERAGE(N184:N186)-1)*100,"")</f>
        <v>-0.635132424893947</v>
      </c>
      <c r="Q189" s="31" t="n">
        <f aca="false">IFERROR(((AVERAGE(N187:N189)/AVERAGE(N184:N186))^4-1)*100,"")</f>
        <v>-2.51642842826041</v>
      </c>
      <c r="R189" s="31" t="n">
        <f aca="false">IFERROR(('SA Data'!X189/'SA Data'!X177-1)*100,"")</f>
        <v>-5.85424129177611</v>
      </c>
      <c r="S189" s="31" t="n">
        <f aca="false">IFERROR((AVERAGE('SA Data'!X187:X189)/AVERAGE('SA Data'!X175:X177)-1)*100,"")</f>
        <v>-4.80511731603504</v>
      </c>
    </row>
    <row r="190" customFormat="false" ht="15" hidden="false" customHeight="false" outlineLevel="0" collapsed="false">
      <c r="A190" s="20" t="n">
        <v>43585</v>
      </c>
      <c r="B190" s="30" t="n">
        <f aca="false">'SA Data'!R190</f>
        <v>142.757205754967</v>
      </c>
      <c r="C190" s="31" t="n">
        <f aca="false">IFERROR((B190/B189-1)*100,"")</f>
        <v>2.9058346354333</v>
      </c>
      <c r="D190" s="31" t="n">
        <f aca="false">IFERROR((AVERAGE(B188:B190)/AVERAGE(B185:B187)-1)*100,"")</f>
        <v>10.2436702423321</v>
      </c>
      <c r="E190" s="31" t="n">
        <f aca="false">IFERROR(((AVERAGE(B188:B190)/AVERAGE(B185:B187))^4-1)*100,"")</f>
        <v>47.7116173781829</v>
      </c>
      <c r="F190" s="31" t="n">
        <f aca="false">IFERROR(('SA Data'!V190/'SA Data'!V178-1)*100,"")</f>
        <v>41.4362978848054</v>
      </c>
      <c r="G190" s="31" t="n">
        <f aca="false">IFERROR((AVERAGE('SA Data'!V187:V190)/AVERAGE('SA Data'!V175:V178)-1)*100,"")</f>
        <v>20.0428924417294</v>
      </c>
      <c r="H190" s="30" t="n">
        <f aca="false">'SA Data'!S190</f>
        <v>124.553081763224</v>
      </c>
      <c r="I190" s="31" t="n">
        <f aca="false">IFERROR((H190/H189-1)*100,"")</f>
        <v>6.07692644866207</v>
      </c>
      <c r="J190" s="31" t="n">
        <f aca="false">IFERROR((AVERAGE(H188:H190)/AVERAGE(H185:H187)-1)*100,"")</f>
        <v>3.0692692090879</v>
      </c>
      <c r="K190" s="31" t="n">
        <f aca="false">IFERROR(((AVERAGE(H188:H190)/AVERAGE(H185:H187))^4-1)*100,"")</f>
        <v>12.8539559032228</v>
      </c>
      <c r="L190" s="31" t="n">
        <f aca="false">IFERROR(('SA Data'!W190/'SA Data'!W178-1)*100,"")</f>
        <v>-6.89642606302189</v>
      </c>
      <c r="M190" s="31" t="n">
        <f aca="false">IFERROR((AVERAGE('SA Data'!W187:W190)/AVERAGE('SA Data'!W175:W178)-1)*100,"")</f>
        <v>-8.27857107583903</v>
      </c>
      <c r="N190" s="30" t="n">
        <f aca="false">'SA Data'!T190</f>
        <v>161.000047140379</v>
      </c>
      <c r="O190" s="31" t="n">
        <f aca="false">IFERROR((N190/N189-1)*100,"")</f>
        <v>3.3492803361507</v>
      </c>
      <c r="P190" s="31" t="n">
        <f aca="false">IFERROR((AVERAGE(N188:N190)/AVERAGE(N185:N187)-1)*100,"")</f>
        <v>1.01231502895001</v>
      </c>
      <c r="Q190" s="31" t="n">
        <f aca="false">IFERROR(((AVERAGE(N188:N190)/AVERAGE(N185:N187))^4-1)*100,"")</f>
        <v>4.11116302982162</v>
      </c>
      <c r="R190" s="31" t="n">
        <f aca="false">IFERROR(('SA Data'!X190/'SA Data'!X178-1)*100,"")</f>
        <v>-3.88469446326544</v>
      </c>
      <c r="S190" s="31" t="n">
        <f aca="false">IFERROR((AVERAGE('SA Data'!X187:X190)/AVERAGE('SA Data'!X175:X178)-1)*100,"")</f>
        <v>-4.57441983862155</v>
      </c>
    </row>
    <row r="191" customFormat="false" ht="15" hidden="false" customHeight="false" outlineLevel="0" collapsed="false">
      <c r="A191" s="20" t="n">
        <v>43616</v>
      </c>
      <c r="B191" s="30" t="n">
        <f aca="false">'SA Data'!R191</f>
        <v>149.845113070154</v>
      </c>
      <c r="C191" s="31" t="n">
        <f aca="false">IFERROR((B191/B190-1)*100,"")</f>
        <v>4.96500844052146</v>
      </c>
      <c r="D191" s="31" t="n">
        <f aca="false">IFERROR((AVERAGE(B189:B191)/AVERAGE(B186:B188)-1)*100,"")</f>
        <v>15.6617203068372</v>
      </c>
      <c r="E191" s="31" t="n">
        <f aca="false">IFERROR(((AVERAGE(B189:B191)/AVERAGE(B186:B188))^4-1)*100,"")</f>
        <v>78.9610792465715</v>
      </c>
      <c r="F191" s="31" t="n">
        <f aca="false">IFERROR(('SA Data'!V191/'SA Data'!V179-1)*100,"")</f>
        <v>52.2210680259358</v>
      </c>
      <c r="G191" s="31" t="n">
        <f aca="false">IFERROR((AVERAGE('SA Data'!V187:V191)/AVERAGE('SA Data'!V175:V179)-1)*100,"")</f>
        <v>30.6538313757298</v>
      </c>
      <c r="H191" s="30" t="n">
        <f aca="false">'SA Data'!S191</f>
        <v>126.624584037581</v>
      </c>
      <c r="I191" s="31" t="n">
        <f aca="false">IFERROR((H191/H190-1)*100,"")</f>
        <v>1.66314814939297</v>
      </c>
      <c r="J191" s="31" t="n">
        <f aca="false">IFERROR((AVERAGE(H189:H191)/AVERAGE(H186:H188)-1)*100,"")</f>
        <v>3.72728223195831</v>
      </c>
      <c r="K191" s="31" t="n">
        <f aca="false">IFERROR(((AVERAGE(H189:H191)/AVERAGE(H186:H188))^4-1)*100,"")</f>
        <v>15.7635926086916</v>
      </c>
      <c r="L191" s="31" t="n">
        <f aca="false">IFERROR(('SA Data'!W191/'SA Data'!W179-1)*100,"")</f>
        <v>-4.87211559365484</v>
      </c>
      <c r="M191" s="31" t="n">
        <f aca="false">IFERROR((AVERAGE('SA Data'!W187:W191)/AVERAGE('SA Data'!W175:W179)-1)*100,"")</f>
        <v>-7.56470644516694</v>
      </c>
      <c r="N191" s="30" t="n">
        <f aca="false">'SA Data'!T191</f>
        <v>161.22209455297</v>
      </c>
      <c r="O191" s="31" t="n">
        <f aca="false">IFERROR((N191/N190-1)*100,"")</f>
        <v>0.137917607190174</v>
      </c>
      <c r="P191" s="31" t="n">
        <f aca="false">IFERROR((AVERAGE(N189:N191)/AVERAGE(N186:N188)-1)*100,"")</f>
        <v>2.16355615781099</v>
      </c>
      <c r="Q191" s="31" t="n">
        <f aca="false">IFERROR(((AVERAGE(N189:N191)/AVERAGE(N186:N188))^4-1)*100,"")</f>
        <v>8.93915607878228</v>
      </c>
      <c r="R191" s="31" t="n">
        <f aca="false">IFERROR(('SA Data'!X191/'SA Data'!X179-1)*100,"")</f>
        <v>-3.3798687649138</v>
      </c>
      <c r="S191" s="31" t="n">
        <f aca="false">IFERROR((AVERAGE('SA Data'!X187:X191)/AVERAGE('SA Data'!X175:X179)-1)*100,"")</f>
        <v>-4.33101786251988</v>
      </c>
    </row>
    <row r="192" customFormat="false" ht="15" hidden="false" customHeight="false" outlineLevel="0" collapsed="false">
      <c r="A192" s="20" t="n">
        <v>43646</v>
      </c>
      <c r="B192" s="30" t="n">
        <f aca="false">'SA Data'!R192</f>
        <v>143.817728197709</v>
      </c>
      <c r="C192" s="31" t="n">
        <f aca="false">IFERROR((B192/B191-1)*100,"")</f>
        <v>-4.02241003990805</v>
      </c>
      <c r="D192" s="31" t="n">
        <f aca="false">IFERROR((AVERAGE(B190:B192)/AVERAGE(B187:B189)-1)*100,"")</f>
        <v>12.876645902903</v>
      </c>
      <c r="E192" s="31" t="n">
        <f aca="false">IFERROR(((AVERAGE(B190:B192)/AVERAGE(B187:B189))^4-1)*100,"")</f>
        <v>62.3365769017743</v>
      </c>
      <c r="F192" s="31" t="n">
        <f aca="false">IFERROR(('SA Data'!V192/'SA Data'!V180-1)*100,"")</f>
        <v>47.6788899530256</v>
      </c>
      <c r="G192" s="31" t="n">
        <f aca="false">IFERROR((AVERAGE('SA Data'!V187:V192)/AVERAGE('SA Data'!V175:V180)-1)*100,"")</f>
        <v>33.7586975163512</v>
      </c>
      <c r="H192" s="30" t="n">
        <f aca="false">'SA Data'!S192</f>
        <v>118.877197894614</v>
      </c>
      <c r="I192" s="31" t="n">
        <f aca="false">IFERROR((H192/H191-1)*100,"")</f>
        <v>-6.11839020191235</v>
      </c>
      <c r="J192" s="31" t="n">
        <f aca="false">IFERROR((AVERAGE(H190:H192)/AVERAGE(H187:H189)-1)*100,"")</f>
        <v>3.1590592905907</v>
      </c>
      <c r="K192" s="31" t="n">
        <f aca="false">IFERROR(((AVERAGE(H190:H192)/AVERAGE(H187:H189))^4-1)*100,"")</f>
        <v>13.2477266214747</v>
      </c>
      <c r="L192" s="31" t="n">
        <f aca="false">IFERROR(('SA Data'!W192/'SA Data'!W180-1)*100,"")</f>
        <v>-6.35543695209164</v>
      </c>
      <c r="M192" s="31" t="n">
        <f aca="false">IFERROR((AVERAGE('SA Data'!W187:W192)/AVERAGE('SA Data'!W175:W180)-1)*100,"")</f>
        <v>-7.35907919420203</v>
      </c>
      <c r="N192" s="30" t="n">
        <f aca="false">'SA Data'!T192</f>
        <v>157.127165150929</v>
      </c>
      <c r="O192" s="31" t="n">
        <f aca="false">IFERROR((N192/N191-1)*100,"")</f>
        <v>-2.53993065491154</v>
      </c>
      <c r="P192" s="31" t="n">
        <f aca="false">IFERROR((AVERAGE(N190:N192)/AVERAGE(N187:N189)-1)*100,"")</f>
        <v>2.34498149709299</v>
      </c>
      <c r="Q192" s="31" t="n">
        <f aca="false">IFERROR(((AVERAGE(N190:N192)/AVERAGE(N187:N189))^4-1)*100,"")</f>
        <v>9.71505048334946</v>
      </c>
      <c r="R192" s="31" t="n">
        <f aca="false">IFERROR(('SA Data'!X192/'SA Data'!X180-1)*100,"")</f>
        <v>-3.0925199825976</v>
      </c>
      <c r="S192" s="31" t="n">
        <f aca="false">IFERROR((AVERAGE('SA Data'!X187:X192)/AVERAGE('SA Data'!X175:X180)-1)*100,"")</f>
        <v>-4.1235914580795</v>
      </c>
    </row>
    <row r="193" customFormat="false" ht="15" hidden="false" customHeight="false" outlineLevel="0" collapsed="false">
      <c r="A193" s="20" t="n">
        <v>43677</v>
      </c>
      <c r="B193" s="30" t="n">
        <f aca="false">'SA Data'!R193</f>
        <v>141.48057159478</v>
      </c>
      <c r="C193" s="31" t="n">
        <f aca="false">IFERROR((B193/B192-1)*100,"")</f>
        <v>-1.62508240967059</v>
      </c>
      <c r="D193" s="31" t="n">
        <f aca="false">IFERROR((AVERAGE(B191:B193)/AVERAGE(B188:B190)-1)*100,"")</f>
        <v>5.64367336305975</v>
      </c>
      <c r="E193" s="31" t="n">
        <f aca="false">IFERROR(((AVERAGE(B191:B193)/AVERAGE(B188:B190))^4-1)*100,"")</f>
        <v>24.5586736500939</v>
      </c>
      <c r="F193" s="31" t="n">
        <f aca="false">IFERROR(('SA Data'!V193/'SA Data'!V181-1)*100,"")</f>
        <v>19.2267819902628</v>
      </c>
      <c r="G193" s="31" t="n">
        <f aca="false">IFERROR((AVERAGE('SA Data'!V187:V193)/AVERAGE('SA Data'!V175:V181)-1)*100,"")</f>
        <v>32.0816608492977</v>
      </c>
      <c r="H193" s="30" t="n">
        <f aca="false">'SA Data'!S193</f>
        <v>122.771857624211</v>
      </c>
      <c r="I193" s="31" t="n">
        <f aca="false">IFERROR((H193/H192-1)*100,"")</f>
        <v>3.2762041826137</v>
      </c>
      <c r="J193" s="31" t="n">
        <f aca="false">IFERROR((AVERAGE(H191:H193)/AVERAGE(H188:H190)-1)*100,"")</f>
        <v>1.38144259479953</v>
      </c>
      <c r="K193" s="31" t="n">
        <f aca="false">IFERROR(((AVERAGE(H191:H193)/AVERAGE(H188:H190))^4-1)*100,"")</f>
        <v>5.64133156867035</v>
      </c>
      <c r="L193" s="31" t="n">
        <f aca="false">IFERROR(('SA Data'!W193/'SA Data'!W181-1)*100,"")</f>
        <v>-0.731004770846044</v>
      </c>
      <c r="M193" s="31" t="n">
        <f aca="false">IFERROR((AVERAGE('SA Data'!W187:W193)/AVERAGE('SA Data'!W175:W181)-1)*100,"")</f>
        <v>-6.41343204783916</v>
      </c>
      <c r="N193" s="30" t="n">
        <f aca="false">'SA Data'!T193</f>
        <v>160.445791101294</v>
      </c>
      <c r="O193" s="31" t="n">
        <f aca="false">IFERROR((N193/N192-1)*100,"")</f>
        <v>2.11206378424642</v>
      </c>
      <c r="P193" s="31" t="n">
        <f aca="false">IFERROR((AVERAGE(N191:N193)/AVERAGE(N188:N190)-1)*100,"")</f>
        <v>1.15803824009553</v>
      </c>
      <c r="Q193" s="31" t="n">
        <f aca="false">IFERROR(((AVERAGE(N191:N193)/AVERAGE(N188:N190))^4-1)*100,"")</f>
        <v>4.71323910879664</v>
      </c>
      <c r="R193" s="31" t="n">
        <f aca="false">IFERROR(('SA Data'!X193/'SA Data'!X181-1)*100,"")</f>
        <v>-1.31956192561976</v>
      </c>
      <c r="S193" s="31" t="n">
        <f aca="false">IFERROR((AVERAGE('SA Data'!X187:X193)/AVERAGE('SA Data'!X175:X181)-1)*100,"")</f>
        <v>-3.72319288394863</v>
      </c>
    </row>
    <row r="194" customFormat="false" ht="15" hidden="false" customHeight="false" outlineLevel="0" collapsed="false">
      <c r="A194" s="20" t="n">
        <v>43708</v>
      </c>
      <c r="B194" s="30" t="n">
        <f aca="false">'SA Data'!R194</f>
        <v>130.127710953079</v>
      </c>
      <c r="C194" s="31" t="n">
        <f aca="false">IFERROR((B194/B193-1)*100,"")</f>
        <v>-8.02432483395462</v>
      </c>
      <c r="D194" s="31" t="n">
        <f aca="false">IFERROR((AVERAGE(B192:B194)/AVERAGE(B189:B191)-1)*100,"")</f>
        <v>-3.68683466724997</v>
      </c>
      <c r="E194" s="31" t="n">
        <f aca="false">IFERROR(((AVERAGE(B192:B194)/AVERAGE(B189:B191))^4-1)*100,"")</f>
        <v>-13.9516346029011</v>
      </c>
      <c r="F194" s="31" t="n">
        <f aca="false">IFERROR(('SA Data'!V194/'SA Data'!V182-1)*100,"")</f>
        <v>4.40369851623181</v>
      </c>
      <c r="G194" s="31" t="n">
        <f aca="false">IFERROR((AVERAGE('SA Data'!V187:V194)/AVERAGE('SA Data'!V175:V182)-1)*100,"")</f>
        <v>29.9661538507674</v>
      </c>
      <c r="H194" s="30" t="n">
        <f aca="false">'SA Data'!S194</f>
        <v>120.622938662287</v>
      </c>
      <c r="I194" s="31" t="n">
        <f aca="false">IFERROR((H194/H193-1)*100,"")</f>
        <v>-1.75033513665772</v>
      </c>
      <c r="J194" s="31" t="n">
        <f aca="false">IFERROR((AVERAGE(H192:H194)/AVERAGE(H189:H191)-1)*100,"")</f>
        <v>-1.71553066239946</v>
      </c>
      <c r="K194" s="31" t="n">
        <f aca="false">IFERROR(((AVERAGE(H192:H194)/AVERAGE(H189:H191))^4-1)*100,"")</f>
        <v>-6.68755081474993</v>
      </c>
      <c r="L194" s="31" t="n">
        <f aca="false">IFERROR(('SA Data'!W194/'SA Data'!W182-1)*100,"")</f>
        <v>-5.01149282547701</v>
      </c>
      <c r="M194" s="31" t="n">
        <f aca="false">IFERROR((AVERAGE('SA Data'!W187:W194)/AVERAGE('SA Data'!W175:W182)-1)*100,"")</f>
        <v>-6.22867798800304</v>
      </c>
      <c r="N194" s="30" t="n">
        <f aca="false">'SA Data'!T194</f>
        <v>157.004533700609</v>
      </c>
      <c r="O194" s="31" t="n">
        <f aca="false">IFERROR((N194/N193-1)*100,"")</f>
        <v>-2.14481001780394</v>
      </c>
      <c r="P194" s="31" t="n">
        <f aca="false">IFERROR((AVERAGE(N192:N194)/AVERAGE(N189:N191)-1)*100,"")</f>
        <v>-0.716961245239089</v>
      </c>
      <c r="Q194" s="31" t="n">
        <f aca="false">IFERROR(((AVERAGE(N192:N194)/AVERAGE(N189:N191))^4-1)*100,"")</f>
        <v>-2.83715012791392</v>
      </c>
      <c r="R194" s="31" t="n">
        <f aca="false">IFERROR(('SA Data'!X194/'SA Data'!X182-1)*100,"")</f>
        <v>-3.41799750101571</v>
      </c>
      <c r="S194" s="31" t="n">
        <f aca="false">IFERROR((AVERAGE('SA Data'!X187:X194)/AVERAGE('SA Data'!X175:X182)-1)*100,"")</f>
        <v>-3.68506802979802</v>
      </c>
    </row>
    <row r="195" customFormat="false" ht="15" hidden="false" customHeight="false" outlineLevel="0" collapsed="false">
      <c r="A195" s="20" t="n">
        <v>43738</v>
      </c>
      <c r="B195" s="30" t="n">
        <f aca="false">'SA Data'!R195</f>
        <v>127.070957544861</v>
      </c>
      <c r="C195" s="31" t="n">
        <f aca="false">IFERROR((B195/B194-1)*100,"")</f>
        <v>-2.34904109649604</v>
      </c>
      <c r="D195" s="31" t="n">
        <f aca="false">IFERROR((AVERAGE(B193:B195)/AVERAGE(B190:B192)-1)*100,"")</f>
        <v>-8.64781697989585</v>
      </c>
      <c r="E195" s="31" t="n">
        <f aca="false">IFERROR(((AVERAGE(B193:B195)/AVERAGE(B190:B192))^4-1)*100,"")</f>
        <v>-30.3572807440382</v>
      </c>
      <c r="F195" s="31" t="n">
        <f aca="false">IFERROR(('SA Data'!V195/'SA Data'!V183-1)*100,"")</f>
        <v>5.54896220969403</v>
      </c>
      <c r="G195" s="31" t="n">
        <f aca="false">IFERROR((AVERAGE('SA Data'!V187:V195)/AVERAGE('SA Data'!V175:V183)-1)*100,"")</f>
        <v>28.4231305669295</v>
      </c>
      <c r="H195" s="30" t="n">
        <f aca="false">'SA Data'!S195</f>
        <v>114.50518120204</v>
      </c>
      <c r="I195" s="31" t="n">
        <f aca="false">IFERROR((H195/H194-1)*100,"")</f>
        <v>-5.07180270029297</v>
      </c>
      <c r="J195" s="31" t="n">
        <f aca="false">IFERROR((AVERAGE(H193:H195)/AVERAGE(H190:H192)-1)*100,"")</f>
        <v>-3.28461733633241</v>
      </c>
      <c r="K195" s="31" t="n">
        <f aca="false">IFERROR(((AVERAGE(H193:H195)/AVERAGE(H190:H192))^4-1)*100,"")</f>
        <v>-12.505205001211</v>
      </c>
      <c r="L195" s="31" t="n">
        <f aca="false">IFERROR(('SA Data'!W195/'SA Data'!W183-1)*100,"")</f>
        <v>-4.03189712382205</v>
      </c>
      <c r="M195" s="31" t="n">
        <f aca="false">IFERROR((AVERAGE('SA Data'!W187:W195)/AVERAGE('SA Data'!W175:W183)-1)*100,"")</f>
        <v>-5.9922088377328</v>
      </c>
      <c r="N195" s="30" t="n">
        <f aca="false">'SA Data'!T195</f>
        <v>154.809613582098</v>
      </c>
      <c r="O195" s="31" t="n">
        <f aca="false">IFERROR((N195/N194-1)*100,"")</f>
        <v>-1.39799792195565</v>
      </c>
      <c r="P195" s="31" t="n">
        <f aca="false">IFERROR((AVERAGE(N193:N195)/AVERAGE(N190:N192)-1)*100,"")</f>
        <v>-1.47895665208057</v>
      </c>
      <c r="Q195" s="31" t="n">
        <f aca="false">IFERROR(((AVERAGE(N193:N195)/AVERAGE(N190:N192))^4-1)*100,"")</f>
        <v>-5.78587703357478</v>
      </c>
      <c r="R195" s="31" t="n">
        <f aca="false">IFERROR(('SA Data'!X195/'SA Data'!X183-1)*100,"")</f>
        <v>-1.78141575139176</v>
      </c>
      <c r="S195" s="31" t="n">
        <f aca="false">IFERROR((AVERAGE('SA Data'!X187:X195)/AVERAGE('SA Data'!X175:X183)-1)*100,"")</f>
        <v>-3.48209564944966</v>
      </c>
    </row>
    <row r="196" customFormat="false" ht="15" hidden="false" customHeight="false" outlineLevel="0" collapsed="false">
      <c r="A196" s="20" t="n">
        <v>43769</v>
      </c>
      <c r="B196" s="30" t="n">
        <f aca="false">'SA Data'!R196</f>
        <v>137.983375455065</v>
      </c>
      <c r="C196" s="31" t="n">
        <f aca="false">IFERROR((B196/B195-1)*100,"")</f>
        <v>8.58765694462555</v>
      </c>
      <c r="D196" s="31" t="n">
        <f aca="false">IFERROR((AVERAGE(B194:B196)/AVERAGE(B191:B193)-1)*100,"")</f>
        <v>-9.18349393059782</v>
      </c>
      <c r="E196" s="31" t="n">
        <f aca="false">IFERROR(((AVERAGE(B194:B196)/AVERAGE(B191:B193))^4-1)*100,"")</f>
        <v>-31.9764711381043</v>
      </c>
      <c r="F196" s="31" t="n">
        <f aca="false">IFERROR(('SA Data'!V196/'SA Data'!V184-1)*100,"")</f>
        <v>1.17500424379942</v>
      </c>
      <c r="G196" s="31" t="n">
        <f aca="false">IFERROR((AVERAGE('SA Data'!V187:V196)/AVERAGE('SA Data'!V175:V184)-1)*100,"")</f>
        <v>26.5109081332896</v>
      </c>
      <c r="H196" s="30" t="n">
        <f aca="false">'SA Data'!S196</f>
        <v>119.314644461771</v>
      </c>
      <c r="I196" s="31" t="n">
        <f aca="false">IFERROR((H196/H195-1)*100,"")</f>
        <v>4.2002145311179</v>
      </c>
      <c r="J196" s="31" t="n">
        <f aca="false">IFERROR((AVERAGE(H194:H196)/AVERAGE(H191:H193)-1)*100,"")</f>
        <v>-3.75559739952249</v>
      </c>
      <c r="K196" s="31" t="n">
        <f aca="false">IFERROR(((AVERAGE(H194:H196)/AVERAGE(H191:H193))^4-1)*100,"")</f>
        <v>-14.1971082983741</v>
      </c>
      <c r="L196" s="31" t="n">
        <f aca="false">IFERROR(('SA Data'!W196/'SA Data'!W184-1)*100,"")</f>
        <v>-2.31348102970391</v>
      </c>
      <c r="M196" s="31" t="n">
        <f aca="false">IFERROR((AVERAGE('SA Data'!W187:W196)/AVERAGE('SA Data'!W175:W184)-1)*100,"")</f>
        <v>-5.61869938668858</v>
      </c>
      <c r="N196" s="30" t="n">
        <f aca="false">'SA Data'!T196</f>
        <v>157.033423926745</v>
      </c>
      <c r="O196" s="31" t="n">
        <f aca="false">IFERROR((N196/N195-1)*100,"")</f>
        <v>1.4364807799661</v>
      </c>
      <c r="P196" s="31" t="n">
        <f aca="false">IFERROR((AVERAGE(N194:N196)/AVERAGE(N191:N193)-1)*100,"")</f>
        <v>-2.07760702183777</v>
      </c>
      <c r="Q196" s="31" t="n">
        <f aca="false">IFERROR(((AVERAGE(N194:N196)/AVERAGE(N191:N193))^4-1)*100,"")</f>
        <v>-8.05500955488161</v>
      </c>
      <c r="R196" s="31" t="n">
        <f aca="false">IFERROR(('SA Data'!X196/'SA Data'!X184-1)*100,"")</f>
        <v>-1.15912007373898</v>
      </c>
      <c r="S196" s="31" t="n">
        <f aca="false">IFERROR((AVERAGE('SA Data'!X187:X196)/AVERAGE('SA Data'!X175:X184)-1)*100,"")</f>
        <v>-3.25394874725036</v>
      </c>
    </row>
    <row r="197" customFormat="false" ht="15" hidden="false" customHeight="false" outlineLevel="0" collapsed="false">
      <c r="A197" s="20" t="n">
        <v>43799</v>
      </c>
      <c r="B197" s="30" t="n">
        <f aca="false">'SA Data'!R197</f>
        <v>130.277172178044</v>
      </c>
      <c r="C197" s="31" t="n">
        <f aca="false">IFERROR((B197/B196-1)*100,"")</f>
        <v>-5.58487807071419</v>
      </c>
      <c r="D197" s="31" t="n">
        <f aca="false">IFERROR((AVERAGE(B195:B197)/AVERAGE(B192:B194)-1)*100,"")</f>
        <v>-4.83708411313321</v>
      </c>
      <c r="E197" s="31" t="n">
        <f aca="false">IFERROR(((AVERAGE(B195:B197)/AVERAGE(B192:B194))^4-1)*100,"")</f>
        <v>-17.989216095256</v>
      </c>
      <c r="F197" s="31" t="n">
        <f aca="false">IFERROR(('SA Data'!V197/'SA Data'!V185-1)*100,"")</f>
        <v>0.484888812043605</v>
      </c>
      <c r="G197" s="31" t="n">
        <f aca="false">IFERROR((AVERAGE('SA Data'!V187:V197)/AVERAGE('SA Data'!V175:V185)-1)*100,"")</f>
        <v>24.6251624509155</v>
      </c>
      <c r="H197" s="30" t="n">
        <f aca="false">'SA Data'!S197</f>
        <v>113.17276572005</v>
      </c>
      <c r="I197" s="31" t="n">
        <f aca="false">IFERROR((H197/H196-1)*100,"")</f>
        <v>-5.14763193523081</v>
      </c>
      <c r="J197" s="31" t="n">
        <f aca="false">IFERROR((AVERAGE(H195:H197)/AVERAGE(H192:H194)-1)*100,"")</f>
        <v>-4.2176604989264</v>
      </c>
      <c r="K197" s="31" t="n">
        <f aca="false">IFERROR(((AVERAGE(H195:H197)/AVERAGE(H192:H194))^4-1)*100,"")</f>
        <v>-15.8330165658122</v>
      </c>
      <c r="L197" s="31" t="n">
        <f aca="false">IFERROR(('SA Data'!W197/'SA Data'!W185-1)*100,"")</f>
        <v>-3.8497125735517</v>
      </c>
      <c r="M197" s="31" t="n">
        <f aca="false">IFERROR((AVERAGE('SA Data'!W187:W197)/AVERAGE('SA Data'!W175:W185)-1)*100,"")</f>
        <v>-5.46239050452075</v>
      </c>
      <c r="N197" s="30" t="n">
        <f aca="false">'SA Data'!T197</f>
        <v>154.448103245389</v>
      </c>
      <c r="O197" s="31" t="n">
        <f aca="false">IFERROR((N197/N196-1)*100,"")</f>
        <v>-1.64635057728955</v>
      </c>
      <c r="P197" s="31" t="n">
        <f aca="false">IFERROR((AVERAGE(N195:N197)/AVERAGE(N192:N194)-1)*100,"")</f>
        <v>-1.74604766851092</v>
      </c>
      <c r="Q197" s="31" t="n">
        <f aca="false">IFERROR(((AVERAGE(N195:N197)/AVERAGE(N192:N194))^4-1)*100,"")</f>
        <v>-6.80338968989721</v>
      </c>
      <c r="R197" s="31" t="n">
        <f aca="false">IFERROR(('SA Data'!X197/'SA Data'!X185-1)*100,"")</f>
        <v>-1.66434267614461</v>
      </c>
      <c r="S197" s="31" t="n">
        <f aca="false">IFERROR((AVERAGE('SA Data'!X187:X197)/AVERAGE('SA Data'!X175:X185)-1)*100,"")</f>
        <v>-3.11292874413542</v>
      </c>
    </row>
    <row r="198" customFormat="false" ht="15" hidden="false" customHeight="false" outlineLevel="0" collapsed="false">
      <c r="A198" s="20" t="n">
        <v>43830</v>
      </c>
      <c r="B198" s="30" t="n">
        <f aca="false">'SA Data'!R198</f>
        <v>120.95895507775</v>
      </c>
      <c r="C198" s="31" t="n">
        <f aca="false">IFERROR((B198/B197-1)*100,"")</f>
        <v>-7.15260927490763</v>
      </c>
      <c r="D198" s="31" t="n">
        <f aca="false">IFERROR((AVERAGE(B196:B198)/AVERAGE(B193:B195)-1)*100,"")</f>
        <v>-2.37276899084629</v>
      </c>
      <c r="E198" s="31" t="n">
        <f aca="false">IFERROR(((AVERAGE(B196:B198)/AVERAGE(B193:B195))^4-1)*100,"")</f>
        <v>-9.15858581186977</v>
      </c>
      <c r="F198" s="31" t="n">
        <f aca="false">IFERROR(('SA Data'!V198/'SA Data'!V186-1)*100,"")</f>
        <v>-1.00068011353494</v>
      </c>
      <c r="G198" s="31" t="n">
        <f aca="false">IFERROR((AVERAGE('SA Data'!V187:V198)/AVERAGE('SA Data'!V175:V186)-1)*100,"")</f>
        <v>22.6983204753393</v>
      </c>
      <c r="H198" s="30" t="n">
        <f aca="false">'SA Data'!S198</f>
        <v>114.243550912611</v>
      </c>
      <c r="I198" s="31" t="n">
        <f aca="false">IFERROR((H198/H197-1)*100,"")</f>
        <v>0.94615094519237</v>
      </c>
      <c r="J198" s="31" t="n">
        <f aca="false">IFERROR((AVERAGE(H196:H198)/AVERAGE(H193:H195)-1)*100,"")</f>
        <v>-3.12070888421997</v>
      </c>
      <c r="K198" s="31" t="n">
        <f aca="false">IFERROR(((AVERAGE(H196:H198)/AVERAGE(H193:H195))^4-1)*100,"")</f>
        <v>-11.9105680695418</v>
      </c>
      <c r="L198" s="31" t="n">
        <f aca="false">IFERROR(('SA Data'!W198/'SA Data'!W186-1)*100,"")</f>
        <v>0.00941456636751603</v>
      </c>
      <c r="M198" s="31" t="n">
        <f aca="false">IFERROR((AVERAGE('SA Data'!W187:W198)/AVERAGE('SA Data'!W175:W186)-1)*100,"")</f>
        <v>-5.05374331894393</v>
      </c>
      <c r="N198" s="30" t="n">
        <f aca="false">'SA Data'!T198</f>
        <v>154.843145481926</v>
      </c>
      <c r="O198" s="31" t="n">
        <f aca="false">IFERROR((N198/N197-1)*100,"")</f>
        <v>0.255776683711884</v>
      </c>
      <c r="P198" s="31" t="n">
        <f aca="false">IFERROR((AVERAGE(N196:N198)/AVERAGE(N193:N195)-1)*100,"")</f>
        <v>-1.25677942326643</v>
      </c>
      <c r="Q198" s="31" t="n">
        <f aca="false">IFERROR(((AVERAGE(N196:N198)/AVERAGE(N193:N195))^4-1)*100,"")</f>
        <v>-4.93313955762216</v>
      </c>
      <c r="R198" s="31" t="n">
        <f aca="false">IFERROR(('SA Data'!X198/'SA Data'!X186-1)*100,"")</f>
        <v>-0.418559759143233</v>
      </c>
      <c r="S198" s="31" t="n">
        <f aca="false">IFERROR((AVERAGE('SA Data'!X187:X198)/AVERAGE('SA Data'!X175:X186)-1)*100,"")</f>
        <v>-2.89789372974237</v>
      </c>
    </row>
    <row r="199" customFormat="false" ht="15" hidden="false" customHeight="false" outlineLevel="0" collapsed="false">
      <c r="A199" s="20" t="n">
        <v>43861</v>
      </c>
      <c r="B199" s="30" t="n">
        <f aca="false">'SA Data'!R199</f>
        <v>128.688969036384</v>
      </c>
      <c r="C199" s="31" t="n">
        <f aca="false">IFERROR((B199/B198-1)*100,"")</f>
        <v>6.3906090736862</v>
      </c>
      <c r="D199" s="31" t="n">
        <f aca="false">IFERROR((AVERAGE(B197:B199)/AVERAGE(B194:B196)-1)*100,"")</f>
        <v>-3.86073909335866</v>
      </c>
      <c r="E199" s="31" t="n">
        <f aca="false">IFERROR(((AVERAGE(B197:B199)/AVERAGE(B194:B196))^4-1)*100,"")</f>
        <v>-14.571434024023</v>
      </c>
      <c r="F199" s="31" t="n">
        <f aca="false">IFERROR(('SA Data'!V199/'SA Data'!V187-1)*100,"")</f>
        <v>14.6282643748599</v>
      </c>
      <c r="G199" s="31" t="n">
        <f aca="false">IFERROR((AVERAGE('SA Data'!V199:V199)/AVERAGE('SA Data'!V187:V187)-1)*100,"")</f>
        <v>14.6282643748599</v>
      </c>
      <c r="H199" s="30" t="n">
        <f aca="false">'SA Data'!S199</f>
        <v>115.264185725455</v>
      </c>
      <c r="I199" s="31" t="n">
        <f aca="false">IFERROR((H199/H198-1)*100,"")</f>
        <v>0.893385057354101</v>
      </c>
      <c r="J199" s="31" t="n">
        <f aca="false">IFERROR((AVERAGE(H197:H199)/AVERAGE(H194:H196)-1)*100,"")</f>
        <v>-3.31852224162249</v>
      </c>
      <c r="K199" s="31" t="n">
        <f aca="false">IFERROR(((AVERAGE(H197:H199)/AVERAGE(H194:H196))^4-1)*100,"")</f>
        <v>-12.6278305070319</v>
      </c>
      <c r="L199" s="31" t="n">
        <f aca="false">IFERROR(('SA Data'!W199/'SA Data'!W187-1)*100,"")</f>
        <v>-4.23105274767623</v>
      </c>
      <c r="M199" s="31" t="n">
        <f aca="false">IFERROR((AVERAGE('SA Data'!W199:W199)/AVERAGE('SA Data'!W187:W187)-1)*100,"")</f>
        <v>-4.23105274767623</v>
      </c>
      <c r="N199" s="30" t="n">
        <f aca="false">'SA Data'!T199</f>
        <v>155.152316668802</v>
      </c>
      <c r="O199" s="31" t="n">
        <f aca="false">IFERROR((N199/N198-1)*100,"")</f>
        <v>0.199667338139653</v>
      </c>
      <c r="P199" s="31" t="n">
        <f aca="false">IFERROR((AVERAGE(N197:N199)/AVERAGE(N194:N196)-1)*100,"")</f>
        <v>-0.939325717732498</v>
      </c>
      <c r="Q199" s="31" t="n">
        <f aca="false">IFERROR(((AVERAGE(N197:N199)/AVERAGE(N194:N196))^4-1)*100,"")</f>
        <v>-3.70469364333695</v>
      </c>
      <c r="R199" s="31" t="n">
        <f aca="false">IFERROR(('SA Data'!X199/'SA Data'!X187-1)*100,"")</f>
        <v>-0.352975611647721</v>
      </c>
      <c r="S199" s="31" t="n">
        <f aca="false">IFERROR((AVERAGE('SA Data'!X199:X199)/AVERAGE('SA Data'!X187:X187)-1)*100,"")</f>
        <v>-0.352975611647721</v>
      </c>
    </row>
    <row r="200" customFormat="false" ht="15" hidden="false" customHeight="false" outlineLevel="0" collapsed="false">
      <c r="A200" s="20" t="n">
        <v>43890</v>
      </c>
      <c r="B200" s="30" t="n">
        <f aca="false">'SA Data'!R200</f>
        <v>115.120658128112</v>
      </c>
      <c r="C200" s="31" t="n">
        <f aca="false">IFERROR((B200/B199-1)*100,"")</f>
        <v>-10.5434918080946</v>
      </c>
      <c r="D200" s="31" t="n">
        <f aca="false">IFERROR((AVERAGE(B198:B200)/AVERAGE(B195:B197)-1)*100,"")</f>
        <v>-7.73096060784876</v>
      </c>
      <c r="E200" s="31" t="n">
        <f aca="false">IFERROR(((AVERAGE(B198:B200)/AVERAGE(B195:B197))^4-1)*100,"")</f>
        <v>-27.5190299863045</v>
      </c>
      <c r="F200" s="31" t="n">
        <f aca="false">IFERROR(('SA Data'!V200/'SA Data'!V188-1)*100,"")</f>
        <v>-10.7524062005861</v>
      </c>
      <c r="G200" s="31" t="n">
        <f aca="false">IFERROR((AVERAGE('SA Data'!V199:V200)/AVERAGE('SA Data'!V187:V188)-1)*100,"")</f>
        <v>1.58687130567585</v>
      </c>
      <c r="H200" s="30" t="n">
        <f aca="false">'SA Data'!S200</f>
        <v>115.813513977172</v>
      </c>
      <c r="I200" s="31" t="n">
        <f aca="false">IFERROR((H200/H199-1)*100,"")</f>
        <v>0.476581904656648</v>
      </c>
      <c r="J200" s="31" t="n">
        <f aca="false">IFERROR((AVERAGE(H198:H200)/AVERAGE(H195:H197)-1)*100,"")</f>
        <v>-0.481664683951566</v>
      </c>
      <c r="K200" s="31" t="n">
        <f aca="false">IFERROR(((AVERAGE(H198:H200)/AVERAGE(H195:H197))^4-1)*100,"")</f>
        <v>-1.91278332856575</v>
      </c>
      <c r="L200" s="31" t="n">
        <f aca="false">IFERROR(('SA Data'!W200/'SA Data'!W188-1)*100,"")</f>
        <v>-4.74206356586229</v>
      </c>
      <c r="M200" s="31" t="n">
        <f aca="false">IFERROR((AVERAGE('SA Data'!W199:W200)/AVERAGE('SA Data'!W187:W188)-1)*100,"")</f>
        <v>-4.48625182569418</v>
      </c>
      <c r="N200" s="30" t="n">
        <f aca="false">'SA Data'!T200</f>
        <v>153.991684995407</v>
      </c>
      <c r="O200" s="31" t="n">
        <f aca="false">IFERROR((N200/N199-1)*100,"")</f>
        <v>-0.748059518745314</v>
      </c>
      <c r="P200" s="31" t="n">
        <f aca="false">IFERROR((AVERAGE(N198:N200)/AVERAGE(N195:N197)-1)*100,"")</f>
        <v>-0.494110525962532</v>
      </c>
      <c r="Q200" s="31" t="n">
        <f aca="false">IFERROR(((AVERAGE(N198:N200)/AVERAGE(N195:N197))^4-1)*100,"")</f>
        <v>-1.96184158541884</v>
      </c>
      <c r="R200" s="31" t="n">
        <f aca="false">IFERROR(('SA Data'!X200/'SA Data'!X188-1)*100,"")</f>
        <v>-1.32183817873046</v>
      </c>
      <c r="S200" s="31" t="n">
        <f aca="false">IFERROR((AVERAGE('SA Data'!X199:X200)/AVERAGE('SA Data'!X187:X188)-1)*100,"")</f>
        <v>-0.834807261466131</v>
      </c>
    </row>
    <row r="201" customFormat="false" ht="15" hidden="false" customHeight="false" outlineLevel="0" collapsed="false">
      <c r="A201" s="20" t="n">
        <v>43921</v>
      </c>
      <c r="B201" s="30" t="n">
        <f aca="false">'SA Data'!R201</f>
        <v>118.80250934742</v>
      </c>
      <c r="C201" s="31" t="n">
        <f aca="false">IFERROR((B201/B200-1)*100,"")</f>
        <v>3.19825414410955</v>
      </c>
      <c r="D201" s="31" t="n">
        <f aca="false">IFERROR((AVERAGE(B199:B201)/AVERAGE(B196:B198)-1)*100,"")</f>
        <v>-6.83608247110576</v>
      </c>
      <c r="E201" s="31" t="n">
        <f aca="false">IFERROR(((AVERAGE(B199:B201)/AVERAGE(B196:B198))^4-1)*100,"")</f>
        <v>-24.6660101761088</v>
      </c>
      <c r="F201" s="31" t="n">
        <f aca="false">IFERROR(('SA Data'!V201/'SA Data'!V189-1)*100,"")</f>
        <v>-13.9408059499509</v>
      </c>
      <c r="G201" s="31" t="n">
        <f aca="false">IFERROR((AVERAGE('SA Data'!V199:V201)/AVERAGE('SA Data'!V187:V189)-1)*100,"")</f>
        <v>-6.374360753839</v>
      </c>
      <c r="H201" s="30" t="n">
        <f aca="false">'SA Data'!S201</f>
        <v>96.5741005766515</v>
      </c>
      <c r="I201" s="31" t="n">
        <f aca="false">IFERROR((H201/H200-1)*100,"")</f>
        <v>-16.6124079477571</v>
      </c>
      <c r="J201" s="31" t="n">
        <f aca="false">IFERROR((AVERAGE(H199:H201)/AVERAGE(H196:H198)-1)*100,"")</f>
        <v>-5.50258354631264</v>
      </c>
      <c r="K201" s="31" t="n">
        <f aca="false">IFERROR(((AVERAGE(H199:H201)/AVERAGE(H196:H198))^4-1)*100,"")</f>
        <v>-20.2593556879308</v>
      </c>
      <c r="L201" s="31" t="n">
        <f aca="false">IFERROR(('SA Data'!W201/'SA Data'!W189-1)*100,"")</f>
        <v>-18.1817250620793</v>
      </c>
      <c r="M201" s="31" t="n">
        <f aca="false">IFERROR((AVERAGE('SA Data'!W199:W201)/AVERAGE('SA Data'!W187:W189)-1)*100,"")</f>
        <v>-9.27215053568058</v>
      </c>
      <c r="N201" s="30" t="n">
        <f aca="false">'SA Data'!T201</f>
        <v>140.848548942501</v>
      </c>
      <c r="O201" s="31" t="n">
        <f aca="false">IFERROR((N201/N200-1)*100,"")</f>
        <v>-8.53496476338865</v>
      </c>
      <c r="P201" s="31" t="n">
        <f aca="false">IFERROR((AVERAGE(N199:N201)/AVERAGE(N196:N198)-1)*100,"")</f>
        <v>-3.50230708454649</v>
      </c>
      <c r="Q201" s="31" t="n">
        <f aca="false">IFERROR(((AVERAGE(N199:N201)/AVERAGE(N196:N198))^4-1)*100,"")</f>
        <v>-13.2902925212645</v>
      </c>
      <c r="R201" s="31" t="n">
        <f aca="false">IFERROR(('SA Data'!X201/'SA Data'!X189-1)*100,"")</f>
        <v>-9.69323365069702</v>
      </c>
      <c r="S201" s="31" t="n">
        <f aca="false">IFERROR((AVERAGE('SA Data'!X199:X201)/AVERAGE('SA Data'!X187:X189)-1)*100,"")</f>
        <v>-3.85005527595326</v>
      </c>
    </row>
    <row r="202" customFormat="false" ht="15" hidden="false" customHeight="false" outlineLevel="0" collapsed="false">
      <c r="A202" s="20" t="n">
        <v>43951</v>
      </c>
      <c r="B202" s="30" t="n">
        <f aca="false">'SA Data'!R202</f>
        <v>131.39098574497</v>
      </c>
      <c r="C202" s="31" t="n">
        <f aca="false">IFERROR((B202/B201-1)*100,"")</f>
        <v>10.5961367875962</v>
      </c>
      <c r="D202" s="31" t="n">
        <f aca="false">IFERROR((AVERAGE(B200:B202)/AVERAGE(B197:B199)-1)*100,"")</f>
        <v>-3.84574307258706</v>
      </c>
      <c r="E202" s="31" t="n">
        <f aca="false">IFERROR(((AVERAGE(B200:B202)/AVERAGE(B197:B199))^4-1)*100,"")</f>
        <v>-14.5181201828467</v>
      </c>
      <c r="F202" s="31" t="n">
        <f aca="false">IFERROR(('SA Data'!V202/'SA Data'!V190-1)*100,"")</f>
        <v>-8.93680428842193</v>
      </c>
      <c r="G202" s="31" t="n">
        <f aca="false">IFERROR((AVERAGE('SA Data'!V199:V202)/AVERAGE('SA Data'!V187:V190)-1)*100,"")</f>
        <v>-7.45992973758873</v>
      </c>
      <c r="H202" s="30" t="n">
        <f aca="false">'SA Data'!S202</f>
        <v>74.0261825953414</v>
      </c>
      <c r="I202" s="31" t="n">
        <f aca="false">IFERROR((H202/H201-1)*100,"")</f>
        <v>-23.3477897766324</v>
      </c>
      <c r="J202" s="31" t="n">
        <f aca="false">IFERROR((AVERAGE(H200:H202)/AVERAGE(H197:H199)-1)*100,"")</f>
        <v>-16.4195817450242</v>
      </c>
      <c r="K202" s="31" t="n">
        <f aca="false">IFERROR(((AVERAGE(H200:H202)/AVERAGE(H197:H199))^4-1)*100,"")</f>
        <v>-51.2001866989675</v>
      </c>
      <c r="L202" s="31" t="n">
        <f aca="false">IFERROR(('SA Data'!W202/'SA Data'!W190-1)*100,"")</f>
        <v>-40.5924361476359</v>
      </c>
      <c r="M202" s="31" t="n">
        <f aca="false">IFERROR((AVERAGE('SA Data'!W199:W202)/AVERAGE('SA Data'!W187:W190)-1)*100,"")</f>
        <v>-17.3311400701803</v>
      </c>
      <c r="N202" s="30" t="n">
        <f aca="false">'SA Data'!T202</f>
        <v>119.990512510818</v>
      </c>
      <c r="O202" s="31" t="n">
        <f aca="false">IFERROR((N202/N201-1)*100,"")</f>
        <v>-14.8088401252876</v>
      </c>
      <c r="P202" s="31" t="n">
        <f aca="false">IFERROR((AVERAGE(N200:N202)/AVERAGE(N197:N199)-1)*100,"")</f>
        <v>-10.6822061158448</v>
      </c>
      <c r="Q202" s="31" t="n">
        <f aca="false">IFERROR(((AVERAGE(N200:N202)/AVERAGE(N197:N199))^4-1)*100,"")</f>
        <v>-36.3568084260498</v>
      </c>
      <c r="R202" s="31" t="n">
        <f aca="false">IFERROR(('SA Data'!X202/'SA Data'!X190-1)*100,"")</f>
        <v>-24.8591580463707</v>
      </c>
      <c r="S202" s="31" t="n">
        <f aca="false">IFERROR((AVERAGE('SA Data'!X199:X202)/AVERAGE('SA Data'!X187:X190)-1)*100,"")</f>
        <v>-9.15389876505097</v>
      </c>
    </row>
    <row r="203" customFormat="false" ht="15" hidden="false" customHeight="false" outlineLevel="0" collapsed="false">
      <c r="A203" s="20" t="n">
        <v>43982</v>
      </c>
      <c r="B203" s="30" t="n">
        <f aca="false">'SA Data'!R203</f>
        <v>133.423091164364</v>
      </c>
      <c r="C203" s="31" t="n">
        <f aca="false">IFERROR((B203/B202-1)*100,"")</f>
        <v>1.54660946325387</v>
      </c>
      <c r="D203" s="31" t="n">
        <f aca="false">IFERROR((AVERAGE(B201:B203)/AVERAGE(B198:B200)-1)*100,"")</f>
        <v>5.16711277562576</v>
      </c>
      <c r="E203" s="31" t="n">
        <f aca="false">IFERROR(((AVERAGE(B201:B203)/AVERAGE(B198:B200))^4-1)*100,"")</f>
        <v>22.3262900182823</v>
      </c>
      <c r="F203" s="31" t="n">
        <f aca="false">IFERROR(('SA Data'!V203/'SA Data'!V191-1)*100,"")</f>
        <v>-13.5802057996679</v>
      </c>
      <c r="G203" s="31" t="n">
        <f aca="false">IFERROR((AVERAGE('SA Data'!V199:V203)/AVERAGE('SA Data'!V187:V191)-1)*100,"")</f>
        <v>-9.81127294817835</v>
      </c>
      <c r="H203" s="30" t="n">
        <f aca="false">'SA Data'!S203</f>
        <v>87.6885172083244</v>
      </c>
      <c r="I203" s="31" t="n">
        <f aca="false">IFERROR((H203/H202-1)*100,"")</f>
        <v>18.4560842312606</v>
      </c>
      <c r="J203" s="31" t="n">
        <f aca="false">IFERROR((AVERAGE(H201:H203)/AVERAGE(H198:H200)-1)*100,"")</f>
        <v>-25.2033288075552</v>
      </c>
      <c r="K203" s="31" t="n">
        <f aca="false">IFERROR(((AVERAGE(H201:H203)/AVERAGE(H198:H200))^4-1)*100,"")</f>
        <v>-68.7010995699985</v>
      </c>
      <c r="L203" s="31" t="n">
        <f aca="false">IFERROR(('SA Data'!W203/'SA Data'!W191-1)*100,"")</f>
        <v>-30.696652503197</v>
      </c>
      <c r="M203" s="31" t="n">
        <f aca="false">IFERROR((AVERAGE('SA Data'!W199:W203)/AVERAGE('SA Data'!W187:W191)-1)*100,"")</f>
        <v>-20.2136364795712</v>
      </c>
      <c r="N203" s="30" t="n">
        <f aca="false">'SA Data'!T203</f>
        <v>126.900791951495</v>
      </c>
      <c r="O203" s="31" t="n">
        <f aca="false">IFERROR((N203/N202-1)*100,"")</f>
        <v>5.75902152268371</v>
      </c>
      <c r="P203" s="31" t="n">
        <f aca="false">IFERROR((AVERAGE(N201:N203)/AVERAGE(N198:N200)-1)*100,"")</f>
        <v>-16.4330616074818</v>
      </c>
      <c r="Q203" s="31" t="n">
        <f aca="false">IFERROR(((AVERAGE(N201:N203)/AVERAGE(N198:N200))^4-1)*100,"")</f>
        <v>-51.2316608486976</v>
      </c>
      <c r="R203" s="31" t="n">
        <f aca="false">IFERROR(('SA Data'!X203/'SA Data'!X191-1)*100,"")</f>
        <v>-20.7302398855852</v>
      </c>
      <c r="S203" s="31" t="n">
        <f aca="false">IFERROR((AVERAGE('SA Data'!X199:X203)/AVERAGE('SA Data'!X187:X191)-1)*100,"")</f>
        <v>-11.536147813662</v>
      </c>
    </row>
    <row r="204" customFormat="false" ht="15" hidden="false" customHeight="false" outlineLevel="0" collapsed="false">
      <c r="A204" s="20" t="n">
        <v>44012</v>
      </c>
      <c r="B204" s="30" t="n">
        <f aca="false">'SA Data'!R204</f>
        <v>131.41325590775</v>
      </c>
      <c r="C204" s="31" t="n">
        <f aca="false">IFERROR((B204/B203-1)*100,"")</f>
        <v>-1.50636238380771</v>
      </c>
      <c r="D204" s="31" t="n">
        <f aca="false">IFERROR((AVERAGE(B202:B204)/AVERAGE(B199:B201)-1)*100,"")</f>
        <v>9.27028991046002</v>
      </c>
      <c r="E204" s="31" t="n">
        <f aca="false">IFERROR(((AVERAGE(B202:B204)/AVERAGE(B199:B201))^4-1)*100,"")</f>
        <v>42.5635106199436</v>
      </c>
      <c r="F204" s="31" t="n">
        <f aca="false">IFERROR(('SA Data'!V204/'SA Data'!V192-1)*100,"")</f>
        <v>-10.2485293849539</v>
      </c>
      <c r="G204" s="31" t="n">
        <f aca="false">IFERROR((AVERAGE('SA Data'!V199:V204)/AVERAGE('SA Data'!V187:V192)-1)*100,"")</f>
        <v>-9.8993143331783</v>
      </c>
      <c r="H204" s="30" t="n">
        <f aca="false">'SA Data'!S204</f>
        <v>104.007580444935</v>
      </c>
      <c r="I204" s="31" t="n">
        <f aca="false">IFERROR((H204/H203-1)*100,"")</f>
        <v>18.6102625020346</v>
      </c>
      <c r="J204" s="31" t="n">
        <f aca="false">IFERROR((AVERAGE(H202:H204)/AVERAGE(H199:H201)-1)*100,"")</f>
        <v>-18.9010162550276</v>
      </c>
      <c r="K204" s="31" t="n">
        <f aca="false">IFERROR(((AVERAGE(H202:H204)/AVERAGE(H199:H201))^4-1)*100,"")</f>
        <v>-56.7424769045574</v>
      </c>
      <c r="L204" s="31" t="n">
        <f aca="false">IFERROR(('SA Data'!W204/'SA Data'!W192-1)*100,"")</f>
        <v>-13.1897811407646</v>
      </c>
      <c r="M204" s="31" t="n">
        <f aca="false">IFERROR((AVERAGE('SA Data'!W199:W204)/AVERAGE('SA Data'!W187:W192)-1)*100,"")</f>
        <v>-19.006343054409</v>
      </c>
      <c r="N204" s="30" t="n">
        <f aca="false">'SA Data'!T204</f>
        <v>132.961749683477</v>
      </c>
      <c r="O204" s="31" t="n">
        <f aca="false">IFERROR((N204/N203-1)*100,"")</f>
        <v>4.77613861881867</v>
      </c>
      <c r="P204" s="31" t="n">
        <f aca="false">IFERROR((AVERAGE(N202:N204)/AVERAGE(N199:N201)-1)*100,"")</f>
        <v>-15.5868127964237</v>
      </c>
      <c r="Q204" s="31" t="n">
        <f aca="false">IFERROR(((AVERAGE(N202:N204)/AVERAGE(N199:N201))^4-1)*100,"")</f>
        <v>-49.2260216788093</v>
      </c>
      <c r="R204" s="31" t="n">
        <f aca="false">IFERROR(('SA Data'!X204/'SA Data'!X192-1)*100,"")</f>
        <v>-15.4003931285206</v>
      </c>
      <c r="S204" s="31" t="n">
        <f aca="false">IFERROR((AVERAGE('SA Data'!X199:X204)/AVERAGE('SA Data'!X187:X192)-1)*100,"")</f>
        <v>-12.1903003111764</v>
      </c>
    </row>
    <row r="205" customFormat="false" ht="15" hidden="false" customHeight="false" outlineLevel="0" collapsed="false">
      <c r="A205" s="20" t="n">
        <v>44043</v>
      </c>
      <c r="B205" s="30" t="n">
        <f aca="false">'SA Data'!R205</f>
        <v>127.765686837122</v>
      </c>
      <c r="C205" s="31" t="n">
        <f aca="false">IFERROR((B205/B204-1)*100,"")</f>
        <v>-2.77564774225623</v>
      </c>
      <c r="D205" s="31" t="n">
        <f aca="false">IFERROR((AVERAGE(B203:B205)/AVERAGE(B200:B202)-1)*100,"")</f>
        <v>7.46970256919211</v>
      </c>
      <c r="E205" s="31" t="n">
        <f aca="false">IFERROR(((AVERAGE(B203:B205)/AVERAGE(B200:B202))^4-1)*100,"")</f>
        <v>33.3964240833599</v>
      </c>
      <c r="F205" s="31" t="n">
        <f aca="false">IFERROR(('SA Data'!V205/'SA Data'!V193-1)*100,"")</f>
        <v>-9.11930821377124</v>
      </c>
      <c r="G205" s="31" t="n">
        <f aca="false">IFERROR((AVERAGE('SA Data'!V199:V205)/AVERAGE('SA Data'!V187:V193)-1)*100,"")</f>
        <v>-9.81805953716259</v>
      </c>
      <c r="H205" s="30" t="n">
        <f aca="false">'SA Data'!S205</f>
        <v>107.498628338212</v>
      </c>
      <c r="I205" s="31" t="n">
        <f aca="false">IFERROR((H205/H204-1)*100,"")</f>
        <v>3.35653216654257</v>
      </c>
      <c r="J205" s="31" t="n">
        <f aca="false">IFERROR((AVERAGE(H203:H205)/AVERAGE(H200:H202)-1)*100,"")</f>
        <v>4.46239984579047</v>
      </c>
      <c r="K205" s="31" t="n">
        <f aca="false">IFERROR(((AVERAGE(H203:H205)/AVERAGE(H200:H202))^4-1)*100,"")</f>
        <v>19.0803205836028</v>
      </c>
      <c r="L205" s="31" t="n">
        <f aca="false">IFERROR(('SA Data'!W205/'SA Data'!W193-1)*100,"")</f>
        <v>-12.1136958760556</v>
      </c>
      <c r="M205" s="31" t="n">
        <f aca="false">IFERROR((AVERAGE('SA Data'!W199:W205)/AVERAGE('SA Data'!W187:W193)-1)*100,"")</f>
        <v>-17.963238375137</v>
      </c>
      <c r="N205" s="30" t="n">
        <f aca="false">'SA Data'!T205</f>
        <v>135.211641786355</v>
      </c>
      <c r="O205" s="31" t="n">
        <f aca="false">IFERROR((N205/N204-1)*100,"")</f>
        <v>1.69213484948425</v>
      </c>
      <c r="P205" s="31" t="n">
        <f aca="false">IFERROR((AVERAGE(N203:N205)/AVERAGE(N200:N202)-1)*100,"")</f>
        <v>-4.76255995885818</v>
      </c>
      <c r="Q205" s="31" t="n">
        <f aca="false">IFERROR(((AVERAGE(N203:N205)/AVERAGE(N200:N202))^4-1)*100,"")</f>
        <v>-17.7320164325008</v>
      </c>
      <c r="R205" s="31" t="n">
        <f aca="false">IFERROR(('SA Data'!X205/'SA Data'!X193-1)*100,"")</f>
        <v>-15.8250961710425</v>
      </c>
      <c r="S205" s="31" t="n">
        <f aca="false">IFERROR((AVERAGE('SA Data'!X199:X205)/AVERAGE('SA Data'!X187:X193)-1)*100,"")</f>
        <v>-12.7222852699023</v>
      </c>
    </row>
    <row r="206" customFormat="false" ht="15" hidden="false" customHeight="false" outlineLevel="0" collapsed="false">
      <c r="A206" s="20" t="n">
        <v>44074</v>
      </c>
      <c r="B206" s="30" t="n">
        <f aca="false">'SA Data'!R206</f>
        <v>123.337069918355</v>
      </c>
      <c r="C206" s="31" t="n">
        <f aca="false">IFERROR((B206/B205-1)*100,"")</f>
        <v>-3.46620209885601</v>
      </c>
      <c r="D206" s="31" t="n">
        <f aca="false">IFERROR((AVERAGE(B204:B206)/AVERAGE(B201:B203)-1)*100,"")</f>
        <v>-0.286894162806028</v>
      </c>
      <c r="E206" s="31" t="n">
        <f aca="false">IFERROR(((AVERAGE(B204:B206)/AVERAGE(B201:B203))^4-1)*100,"")</f>
        <v>-1.14264759431415</v>
      </c>
      <c r="F206" s="31" t="n">
        <f aca="false">IFERROR(('SA Data'!V206/'SA Data'!V194-1)*100,"")</f>
        <v>-3.08838220186916</v>
      </c>
      <c r="G206" s="31" t="n">
        <f aca="false">IFERROR((AVERAGE('SA Data'!V199:V206)/AVERAGE('SA Data'!V187:V194)-1)*100,"")</f>
        <v>-9.4048596337894</v>
      </c>
      <c r="H206" s="30" t="n">
        <f aca="false">'SA Data'!S206</f>
        <v>104.397455810414</v>
      </c>
      <c r="I206" s="31" t="n">
        <f aca="false">IFERROR((H206/H205-1)*100,"")</f>
        <v>-2.88484846340701</v>
      </c>
      <c r="J206" s="31" t="n">
        <f aca="false">IFERROR((AVERAGE(H204:H206)/AVERAGE(H201:H203)-1)*100,"")</f>
        <v>22.3063733806533</v>
      </c>
      <c r="K206" s="31" t="n">
        <f aca="false">IFERROR(((AVERAGE(H204:H206)/AVERAGE(H201:H203))^4-1)*100,"")</f>
        <v>123.767162493143</v>
      </c>
      <c r="L206" s="31" t="n">
        <f aca="false">IFERROR(('SA Data'!W206/'SA Data'!W194-1)*100,"")</f>
        <v>-13.0956321019911</v>
      </c>
      <c r="M206" s="31" t="n">
        <f aca="false">IFERROR((AVERAGE('SA Data'!W199:W206)/AVERAGE('SA Data'!W187:W194)-1)*100,"")</f>
        <v>-17.3134360366812</v>
      </c>
      <c r="N206" s="30" t="n">
        <f aca="false">'SA Data'!T206</f>
        <v>135.76581077144</v>
      </c>
      <c r="O206" s="31" t="n">
        <f aca="false">IFERROR((N206/N205-1)*100,"")</f>
        <v>0.40985301100116</v>
      </c>
      <c r="P206" s="31" t="n">
        <f aca="false">IFERROR((AVERAGE(N204:N206)/AVERAGE(N201:N203)-1)*100,"")</f>
        <v>4.17789110255475</v>
      </c>
      <c r="Q206" s="31" t="n">
        <f aca="false">IFERROR(((AVERAGE(N204:N206)/AVERAGE(N201:N203))^4-1)*100,"")</f>
        <v>17.78832518135</v>
      </c>
      <c r="R206" s="31" t="n">
        <f aca="false">IFERROR(('SA Data'!X206/'SA Data'!X194-1)*100,"")</f>
        <v>-13.3581029124791</v>
      </c>
      <c r="S206" s="31" t="n">
        <f aca="false">IFERROR((AVERAGE('SA Data'!X199:X206)/AVERAGE('SA Data'!X187:X194)-1)*100,"")</f>
        <v>-12.8019315303567</v>
      </c>
    </row>
    <row r="207" customFormat="false" ht="15" hidden="false" customHeight="false" outlineLevel="0" collapsed="false">
      <c r="A207" s="20" t="n">
        <v>44104</v>
      </c>
      <c r="B207" s="30" t="n">
        <f aca="false">'SA Data'!R207</f>
        <v>129.96975464684</v>
      </c>
      <c r="C207" s="31" t="n">
        <f aca="false">IFERROR((B207/B206-1)*100,"")</f>
        <v>5.37768955665567</v>
      </c>
      <c r="D207" s="31" t="n">
        <f aca="false">IFERROR((AVERAGE(B205:B207)/AVERAGE(B202:B204)-1)*100,"")</f>
        <v>-3.82477940303103</v>
      </c>
      <c r="E207" s="31" t="n">
        <f aca="false">IFERROR(((AVERAGE(B205:B207)/AVERAGE(B202:B204))^4-1)*100,"")</f>
        <v>-14.4435483409088</v>
      </c>
      <c r="F207" s="31" t="n">
        <f aca="false">IFERROR(('SA Data'!V207/'SA Data'!V195-1)*100,"")</f>
        <v>5.36209433981305</v>
      </c>
      <c r="G207" s="31" t="n">
        <f aca="false">IFERROR((AVERAGE('SA Data'!V199:V207)/AVERAGE('SA Data'!V187:V195)-1)*100,"")</f>
        <v>-8.63788958589897</v>
      </c>
      <c r="H207" s="30" t="n">
        <f aca="false">'SA Data'!S207</f>
        <v>109.740706103859</v>
      </c>
      <c r="I207" s="31" t="n">
        <f aca="false">IFERROR((H207/H206-1)*100,"")</f>
        <v>5.11818056481035</v>
      </c>
      <c r="J207" s="31" t="n">
        <f aca="false">IFERROR((AVERAGE(H205:H207)/AVERAGE(H202:H204)-1)*100,"")</f>
        <v>21.0424620590986</v>
      </c>
      <c r="K207" s="31" t="n">
        <f aca="false">IFERROR(((AVERAGE(H205:H207)/AVERAGE(H202:H204))^4-1)*100,"")</f>
        <v>114.659935937236</v>
      </c>
      <c r="L207" s="31" t="n">
        <f aca="false">IFERROR(('SA Data'!W207/'SA Data'!W195-1)*100,"")</f>
        <v>-3.88790619240942</v>
      </c>
      <c r="M207" s="31" t="n">
        <f aca="false">IFERROR((AVERAGE('SA Data'!W199:W207)/AVERAGE('SA Data'!W187:W195)-1)*100,"")</f>
        <v>-15.8381295585433</v>
      </c>
      <c r="N207" s="30" t="n">
        <f aca="false">'SA Data'!T207</f>
        <v>139.606338555889</v>
      </c>
      <c r="O207" s="31" t="n">
        <f aca="false">IFERROR((N207/N206-1)*100,"")</f>
        <v>2.82878860489719</v>
      </c>
      <c r="P207" s="31" t="n">
        <f aca="false">IFERROR((AVERAGE(N205:N207)/AVERAGE(N202:N204)-1)*100,"")</f>
        <v>8.09016450769411</v>
      </c>
      <c r="Q207" s="31" t="n">
        <f aca="false">IFERROR(((AVERAGE(N205:N207)/AVERAGE(N202:N204))^4-1)*100,"")</f>
        <v>36.5037905106068</v>
      </c>
      <c r="R207" s="31" t="n">
        <f aca="false">IFERROR(('SA Data'!X207/'SA Data'!X195-1)*100,"")</f>
        <v>-9.71806768611698</v>
      </c>
      <c r="S207" s="31" t="n">
        <f aca="false">IFERROR((AVERAGE('SA Data'!X199:X207)/AVERAGE('SA Data'!X187:X195)-1)*100,"")</f>
        <v>-12.4673281660522</v>
      </c>
    </row>
    <row r="208" customFormat="false" ht="15" hidden="false" customHeight="false" outlineLevel="0" collapsed="false">
      <c r="A208" s="20" t="n">
        <v>44135</v>
      </c>
      <c r="B208" s="30" t="n">
        <f aca="false">'SA Data'!R208</f>
        <v>124.847854644859</v>
      </c>
      <c r="C208" s="31" t="n">
        <f aca="false">IFERROR((B208/B207-1)*100,"")</f>
        <v>-3.94083994072189</v>
      </c>
      <c r="D208" s="31" t="n">
        <f aca="false">IFERROR((AVERAGE(B206:B208)/AVERAGE(B203:B205)-1)*100,"")</f>
        <v>-3.6798980777877</v>
      </c>
      <c r="E208" s="31" t="n">
        <f aca="false">IFERROR(((AVERAGE(B206:B208)/AVERAGE(B203:B205))^4-1)*100,"")</f>
        <v>-13.9268426996157</v>
      </c>
      <c r="F208" s="31" t="n">
        <f aca="false">IFERROR(('SA Data'!V208/'SA Data'!V196-1)*100,"")</f>
        <v>-9.63265083060958</v>
      </c>
      <c r="G208" s="31" t="n">
        <f aca="false">IFERROR((AVERAGE('SA Data'!V199:V208)/AVERAGE('SA Data'!V187:V196)-1)*100,"")</f>
        <v>-8.69371936120711</v>
      </c>
      <c r="H208" s="30" t="n">
        <f aca="false">'SA Data'!S208</f>
        <v>115.666240593981</v>
      </c>
      <c r="I208" s="31" t="n">
        <f aca="false">IFERROR((H208/H207-1)*100,"")</f>
        <v>5.39957751366598</v>
      </c>
      <c r="J208" s="31" t="n">
        <f aca="false">IFERROR((AVERAGE(H206:H208)/AVERAGE(H203:H205)-1)*100,"")</f>
        <v>10.2306871938825</v>
      </c>
      <c r="K208" s="31" t="n">
        <f aca="false">IFERROR(((AVERAGE(H206:H208)/AVERAGE(H203:H205))^4-1)*100,"")</f>
        <v>47.6420475484827</v>
      </c>
      <c r="L208" s="31" t="n">
        <f aca="false">IFERROR(('SA Data'!W208/'SA Data'!W196-1)*100,"")</f>
        <v>-2.70894023826525</v>
      </c>
      <c r="M208" s="31" t="n">
        <f aca="false">IFERROR((AVERAGE('SA Data'!W199:W208)/AVERAGE('SA Data'!W187:W196)-1)*100,"")</f>
        <v>-14.4584109329948</v>
      </c>
      <c r="N208" s="30" t="n">
        <f aca="false">'SA Data'!T208</f>
        <v>142.338252466869</v>
      </c>
      <c r="O208" s="31" t="n">
        <f aca="false">IFERROR((N208/N207-1)*100,"")</f>
        <v>1.95686953704199</v>
      </c>
      <c r="P208" s="31" t="n">
        <f aca="false">IFERROR((AVERAGE(N206:N208)/AVERAGE(N203:N205)-1)*100,"")</f>
        <v>5.72961213938195</v>
      </c>
      <c r="Q208" s="31" t="n">
        <f aca="false">IFERROR(((AVERAGE(N206:N208)/AVERAGE(N203:N205))^4-1)*100,"")</f>
        <v>24.9644713073959</v>
      </c>
      <c r="R208" s="31" t="n">
        <f aca="false">IFERROR(('SA Data'!X208/'SA Data'!X196-1)*100,"")</f>
        <v>-9.38619672615346</v>
      </c>
      <c r="S208" s="31" t="n">
        <f aca="false">IFERROR((AVERAGE('SA Data'!X199:X208)/AVERAGE('SA Data'!X187:X196)-1)*100,"")</f>
        <v>-12.1581680132905</v>
      </c>
    </row>
    <row r="209" customFormat="false" ht="15" hidden="false" customHeight="false" outlineLevel="0" collapsed="false">
      <c r="A209" s="20" t="n">
        <v>44165</v>
      </c>
      <c r="B209" s="30" t="n">
        <f aca="false">'SA Data'!R209</f>
        <v>125.056655416359</v>
      </c>
      <c r="C209" s="31" t="n">
        <f aca="false">IFERROR((B209/B208-1)*100,"")</f>
        <v>0.167244180602188</v>
      </c>
      <c r="D209" s="31" t="n">
        <f aca="false">IFERROR((AVERAGE(B207:B209)/AVERAGE(B204:B206)-1)*100,"")</f>
        <v>-0.690624148457542</v>
      </c>
      <c r="E209" s="31" t="n">
        <f aca="false">IFERROR(((AVERAGE(B207:B209)/AVERAGE(B204:B206))^4-1)*100,"")</f>
        <v>-2.73401042398288</v>
      </c>
      <c r="F209" s="31" t="n">
        <f aca="false">IFERROR(('SA Data'!V209/'SA Data'!V197-1)*100,"")</f>
        <v>-4.48372046737488</v>
      </c>
      <c r="G209" s="31" t="n">
        <f aca="false">IFERROR((AVERAGE('SA Data'!V199:V209)/AVERAGE('SA Data'!V187:V197)-1)*100,"")</f>
        <v>-8.44776621932125</v>
      </c>
      <c r="H209" s="30" t="n">
        <f aca="false">'SA Data'!S209</f>
        <v>115.527118752295</v>
      </c>
      <c r="I209" s="31" t="n">
        <f aca="false">IFERROR((H209/H208-1)*100,"")</f>
        <v>-0.120278692357956</v>
      </c>
      <c r="J209" s="31" t="n">
        <f aca="false">IFERROR((AVERAGE(H207:H209)/AVERAGE(H204:H206)-1)*100,"")</f>
        <v>7.9234284568295</v>
      </c>
      <c r="K209" s="31" t="n">
        <f aca="false">IFERROR(((AVERAGE(H207:H209)/AVERAGE(H204:H206))^4-1)*100,"")</f>
        <v>35.6634737691989</v>
      </c>
      <c r="L209" s="31" t="n">
        <f aca="false">IFERROR(('SA Data'!W209/'SA Data'!W197-1)*100,"")</f>
        <v>2.39467174655301</v>
      </c>
      <c r="M209" s="31" t="n">
        <f aca="false">IFERROR((AVERAGE('SA Data'!W199:W209)/AVERAGE('SA Data'!W187:W197)-1)*100,"")</f>
        <v>-12.9438582536965</v>
      </c>
      <c r="N209" s="30" t="n">
        <f aca="false">'SA Data'!T209</f>
        <v>142.599738481274</v>
      </c>
      <c r="O209" s="31" t="n">
        <f aca="false">IFERROR((N209/N208-1)*100,"")</f>
        <v>0.183707478399864</v>
      </c>
      <c r="P209" s="31" t="n">
        <f aca="false">IFERROR((AVERAGE(N207:N209)/AVERAGE(N204:N206)-1)*100,"")</f>
        <v>5.10104667940925</v>
      </c>
      <c r="Q209" s="31" t="n">
        <f aca="false">IFERROR(((AVERAGE(N207:N209)/AVERAGE(N204:N206))^4-1)*100,"")</f>
        <v>22.0191975024739</v>
      </c>
      <c r="R209" s="31" t="n">
        <f aca="false">IFERROR(('SA Data'!X209/'SA Data'!X197-1)*100,"")</f>
        <v>-7.7048670941458</v>
      </c>
      <c r="S209" s="31" t="n">
        <f aca="false">IFERROR((AVERAGE('SA Data'!X199:X209)/AVERAGE('SA Data'!X187:X197)-1)*100,"")</f>
        <v>-11.7571919510294</v>
      </c>
    </row>
    <row r="210" customFormat="false" ht="15" hidden="false" customHeight="false" outlineLevel="0" collapsed="false">
      <c r="A210" s="20" t="n">
        <v>44196</v>
      </c>
      <c r="B210" s="30" t="n">
        <f aca="false">'SA Data'!R210</f>
        <v>132.022863219029</v>
      </c>
      <c r="C210" s="31" t="n">
        <f aca="false">IFERROR((B210/B209-1)*100,"")</f>
        <v>5.57044147668673</v>
      </c>
      <c r="D210" s="31" t="n">
        <f aca="false">IFERROR((AVERAGE(B208:B210)/AVERAGE(B205:B207)-1)*100,"")</f>
        <v>0.224330502030923</v>
      </c>
      <c r="E210" s="31" t="n">
        <f aca="false">IFERROR(((AVERAGE(B208:B210)/AVERAGE(B205:B207))^4-1)*100,"")</f>
        <v>0.900345976803596</v>
      </c>
      <c r="F210" s="31" t="n">
        <f aca="false">IFERROR(('SA Data'!V210/'SA Data'!V198-1)*100,"")</f>
        <v>11.4160546846429</v>
      </c>
      <c r="G210" s="31" t="n">
        <f aca="false">IFERROR((AVERAGE('SA Data'!V199:V210)/AVERAGE('SA Data'!V187:V198)-1)*100,"")</f>
        <v>-7.24266277165464</v>
      </c>
      <c r="H210" s="30" t="n">
        <f aca="false">'SA Data'!S210</f>
        <v>119.452980663796</v>
      </c>
      <c r="I210" s="31" t="n">
        <f aca="false">IFERROR((H210/H209-1)*100,"")</f>
        <v>3.39821675975329</v>
      </c>
      <c r="J210" s="31" t="n">
        <f aca="false">IFERROR((AVERAGE(H208:H210)/AVERAGE(H205:H207)-1)*100,"")</f>
        <v>9.01935059568724</v>
      </c>
      <c r="K210" s="31" t="n">
        <f aca="false">IFERROR(((AVERAGE(H208:H210)/AVERAGE(H205:H207))^4-1)*100,"")</f>
        <v>41.258426026214</v>
      </c>
      <c r="L210" s="31" t="n">
        <f aca="false">IFERROR(('SA Data'!W210/'SA Data'!W198-1)*100,"")</f>
        <v>4.45081572939283</v>
      </c>
      <c r="M210" s="31" t="n">
        <f aca="false">IFERROR((AVERAGE('SA Data'!W199:W210)/AVERAGE('SA Data'!W187:W198)-1)*100,"")</f>
        <v>-11.5755081606331</v>
      </c>
      <c r="N210" s="30" t="n">
        <f aca="false">'SA Data'!T210</f>
        <v>146.200129925877</v>
      </c>
      <c r="O210" s="31" t="n">
        <f aca="false">IFERROR((N210/N209-1)*100,"")</f>
        <v>2.52482331520927</v>
      </c>
      <c r="P210" s="31" t="n">
        <f aca="false">IFERROR((AVERAGE(N208:N210)/AVERAGE(N205:N207)-1)*100,"")</f>
        <v>5.00612303875505</v>
      </c>
      <c r="Q210" s="31" t="n">
        <f aca="false">IFERROR(((AVERAGE(N208:N210)/AVERAGE(N205:N207))^4-1)*100,"")</f>
        <v>21.5789802111213</v>
      </c>
      <c r="R210" s="31" t="n">
        <f aca="false">IFERROR(('SA Data'!X210/'SA Data'!X198-1)*100,"")</f>
        <v>-5.69326254541926</v>
      </c>
      <c r="S210" s="31" t="n">
        <f aca="false">IFERROR((AVERAGE('SA Data'!X199:X210)/AVERAGE('SA Data'!X187:X198)-1)*100,"")</f>
        <v>-11.2608785507554</v>
      </c>
    </row>
    <row r="211" customFormat="false" ht="15" hidden="false" customHeight="false" outlineLevel="0" collapsed="false">
      <c r="A211" s="20" t="n">
        <v>44227</v>
      </c>
      <c r="B211" s="30" t="n">
        <f aca="false">'SA Data'!R211</f>
        <v>127.796127857789</v>
      </c>
      <c r="C211" s="31" t="n">
        <f aca="false">IFERROR((B211/B210-1)*100,"")</f>
        <v>-3.20151772062979</v>
      </c>
      <c r="D211" s="31" t="n">
        <f aca="false">IFERROR((AVERAGE(B209:B211)/AVERAGE(B206:B208)-1)*100,"")</f>
        <v>1.77730639143832</v>
      </c>
      <c r="E211" s="31" t="n">
        <f aca="false">IFERROR(((AVERAGE(B209:B211)/AVERAGE(B206:B208))^4-1)*100,"")</f>
        <v>7.30101029940207</v>
      </c>
      <c r="F211" s="31" t="n">
        <f aca="false">IFERROR(('SA Data'!V211/'SA Data'!V199-1)*100,"")</f>
        <v>2.90868832986961</v>
      </c>
      <c r="G211" s="31" t="n">
        <f aca="false">IFERROR((AVERAGE('SA Data'!V211:V211)/AVERAGE('SA Data'!V199:V199)-1)*100,"")</f>
        <v>2.90868832986961</v>
      </c>
      <c r="H211" s="30" t="n">
        <f aca="false">'SA Data'!S211</f>
        <v>120.767720886205</v>
      </c>
      <c r="I211" s="31" t="n">
        <f aca="false">IFERROR((H211/H210-1)*100,"")</f>
        <v>1.10063408640209</v>
      </c>
      <c r="J211" s="31" t="n">
        <f aca="false">IFERROR((AVERAGE(H209:H211)/AVERAGE(H206:H208)-1)*100,"")</f>
        <v>7.86630426905606</v>
      </c>
      <c r="K211" s="31" t="n">
        <f aca="false">IFERROR(((AVERAGE(H209:H211)/AVERAGE(H206:H208))^4-1)*100,"")</f>
        <v>35.376473433872</v>
      </c>
      <c r="L211" s="31" t="n">
        <f aca="false">IFERROR(('SA Data'!W211/'SA Data'!W199-1)*100,"")</f>
        <v>4.9999521144342</v>
      </c>
      <c r="M211" s="31" t="n">
        <f aca="false">IFERROR((AVERAGE('SA Data'!W211:W211)/AVERAGE('SA Data'!W199:W199)-1)*100,"")</f>
        <v>4.9999521144342</v>
      </c>
      <c r="N211" s="30" t="n">
        <f aca="false">'SA Data'!T211</f>
        <v>147.510306628159</v>
      </c>
      <c r="O211" s="31" t="n">
        <f aca="false">IFERROR((N211/N210-1)*100,"")</f>
        <v>0.896152898732749</v>
      </c>
      <c r="P211" s="31" t="n">
        <f aca="false">IFERROR((AVERAGE(N209:N211)/AVERAGE(N206:N208)-1)*100,"")</f>
        <v>4.45279149411164</v>
      </c>
      <c r="Q211" s="31" t="n">
        <f aca="false">IFERROR(((AVERAGE(N209:N211)/AVERAGE(N206:N208))^4-1)*100,"")</f>
        <v>19.0365150516344</v>
      </c>
      <c r="R211" s="31" t="n">
        <f aca="false">IFERROR(('SA Data'!X211/'SA Data'!X199-1)*100,"")</f>
        <v>-4.97209650006704</v>
      </c>
      <c r="S211" s="31" t="n">
        <f aca="false">IFERROR((AVERAGE('SA Data'!X211:X211)/AVERAGE('SA Data'!X199:X199)-1)*100,"")</f>
        <v>-4.97209650006704</v>
      </c>
    </row>
    <row r="212" customFormat="false" ht="15" hidden="false" customHeight="false" outlineLevel="0" collapsed="false">
      <c r="A212" s="20" t="n">
        <v>44255</v>
      </c>
      <c r="B212" s="30" t="n">
        <f aca="false">'SA Data'!R212</f>
        <v>119.14357540176</v>
      </c>
      <c r="C212" s="31" t="n">
        <f aca="false">IFERROR((B212/B211-1)*100,"")</f>
        <v>-6.7705904717693</v>
      </c>
      <c r="D212" s="31" t="n">
        <f aca="false">IFERROR((AVERAGE(B210:B212)/AVERAGE(B207:B209)-1)*100,"")</f>
        <v>-0.239999998468088</v>
      </c>
      <c r="E212" s="31" t="n">
        <f aca="false">IFERROR(((AVERAGE(B210:B212)/AVERAGE(B207:B209))^4-1)*100,"")</f>
        <v>-0.956549520198602</v>
      </c>
      <c r="F212" s="31" t="n">
        <f aca="false">IFERROR(('SA Data'!V212/'SA Data'!V200-1)*100,"")</f>
        <v>4.21866375460125</v>
      </c>
      <c r="G212" s="31" t="n">
        <f aca="false">IFERROR((AVERAGE('SA Data'!V211:V212)/AVERAGE('SA Data'!V199:V200)-1)*100,"")</f>
        <v>3.50003611123519</v>
      </c>
      <c r="H212" s="30" t="n">
        <f aca="false">'SA Data'!S212</f>
        <v>118.746112447243</v>
      </c>
      <c r="I212" s="31" t="n">
        <f aca="false">IFERROR((H212/H211-1)*100,"")</f>
        <v>-1.67396422166988</v>
      </c>
      <c r="J212" s="31" t="n">
        <f aca="false">IFERROR((AVERAGE(H210:H212)/AVERAGE(H207:H209)-1)*100,"")</f>
        <v>5.28921875943962</v>
      </c>
      <c r="K212" s="31" t="n">
        <f aca="false">IFERROR(((AVERAGE(H210:H212)/AVERAGE(H207:H209))^4-1)*100,"")</f>
        <v>22.8953959149171</v>
      </c>
      <c r="L212" s="31" t="n">
        <f aca="false">IFERROR(('SA Data'!W212/'SA Data'!W200-1)*100,"")</f>
        <v>2.882615575336</v>
      </c>
      <c r="M212" s="31" t="n">
        <f aca="false">IFERROR((AVERAGE('SA Data'!W211:W212)/AVERAGE('SA Data'!W199:W200)-1)*100,"")</f>
        <v>3.94538510716791</v>
      </c>
      <c r="N212" s="30" t="n">
        <f aca="false">'SA Data'!T212</f>
        <v>147.084021520218</v>
      </c>
      <c r="O212" s="31" t="n">
        <f aca="false">IFERROR((N212/N211-1)*100,"")</f>
        <v>-0.288986659769452</v>
      </c>
      <c r="P212" s="31" t="n">
        <f aca="false">IFERROR((AVERAGE(N210:N212)/AVERAGE(N207:N209)-1)*100,"")</f>
        <v>3.82766355381676</v>
      </c>
      <c r="Q212" s="31" t="n">
        <f aca="false">IFERROR(((AVERAGE(N210:N212)/AVERAGE(N207:N209))^4-1)*100,"")</f>
        <v>16.2123610163536</v>
      </c>
      <c r="R212" s="31" t="n">
        <f aca="false">IFERROR(('SA Data'!X212/'SA Data'!X200-1)*100,"")</f>
        <v>-4.61160940501479</v>
      </c>
      <c r="S212" s="31" t="n">
        <f aca="false">IFERROR((AVERAGE('SA Data'!X211:X212)/AVERAGE('SA Data'!X199:X200)-1)*100,"")</f>
        <v>-4.79370068600675</v>
      </c>
    </row>
    <row r="213" customFormat="false" ht="15" hidden="false" customHeight="false" outlineLevel="0" collapsed="false">
      <c r="A213" s="20" t="n">
        <v>44286</v>
      </c>
      <c r="B213" s="30" t="n">
        <f aca="false">'SA Data'!R213</f>
        <v>126.21621851042</v>
      </c>
      <c r="C213" s="31" t="n">
        <f aca="false">IFERROR((B213/B212-1)*100,"")</f>
        <v>5.93623540741604</v>
      </c>
      <c r="D213" s="31" t="n">
        <f aca="false">IFERROR((AVERAGE(B211:B213)/AVERAGE(B208:B210)-1)*100,"")</f>
        <v>-2.29662813506747</v>
      </c>
      <c r="E213" s="31" t="n">
        <f aca="false">IFERROR(((AVERAGE(B211:B213)/AVERAGE(B208:B210))^4-1)*100,"")</f>
        <v>-8.8748600992301</v>
      </c>
      <c r="F213" s="31" t="n">
        <f aca="false">IFERROR(('SA Data'!V213/'SA Data'!V201-1)*100,"")</f>
        <v>6.92831301567058</v>
      </c>
      <c r="G213" s="31" t="n">
        <f aca="false">IFERROR((AVERAGE('SA Data'!V211:V213)/AVERAGE('SA Data'!V199:V201)-1)*100,"")</f>
        <v>5.11570424432335</v>
      </c>
      <c r="H213" s="30" t="n">
        <f aca="false">'SA Data'!S213</f>
        <v>128.665432151672</v>
      </c>
      <c r="I213" s="31" t="n">
        <f aca="false">IFERROR((H213/H212-1)*100,"")</f>
        <v>8.35338479719516</v>
      </c>
      <c r="J213" s="31" t="n">
        <f aca="false">IFERROR((AVERAGE(H211:H213)/AVERAGE(H208:H210)-1)*100,"")</f>
        <v>5.00017352941555</v>
      </c>
      <c r="K213" s="31" t="n">
        <f aca="false">IFERROR(((AVERAGE(H211:H213)/AVERAGE(H208:H210))^4-1)*100,"")</f>
        <v>21.5514285299507</v>
      </c>
      <c r="L213" s="31" t="n">
        <f aca="false">IFERROR(('SA Data'!W213/'SA Data'!W201-1)*100,"")</f>
        <v>32.6998130559574</v>
      </c>
      <c r="M213" s="31" t="n">
        <f aca="false">IFERROR((AVERAGE('SA Data'!W211:W213)/AVERAGE('SA Data'!W199:W201)-1)*100,"")</f>
        <v>13.0069017621099</v>
      </c>
      <c r="N213" s="30" t="n">
        <f aca="false">'SA Data'!T213</f>
        <v>151.197533781225</v>
      </c>
      <c r="O213" s="31" t="n">
        <f aca="false">IFERROR((N213/N212-1)*100,"")</f>
        <v>2.79670913161743</v>
      </c>
      <c r="P213" s="31" t="n">
        <f aca="false">IFERROR((AVERAGE(N211:N213)/AVERAGE(N208:N210)-1)*100,"")</f>
        <v>3.39885070377788</v>
      </c>
      <c r="Q213" s="31" t="n">
        <f aca="false">IFERROR(((AVERAGE(N211:N213)/AVERAGE(N208:N210))^4-1)*100,"")</f>
        <v>14.304373096861</v>
      </c>
      <c r="R213" s="31" t="n">
        <f aca="false">IFERROR(('SA Data'!X213/'SA Data'!X201-1)*100,"")</f>
        <v>7.16544531793386</v>
      </c>
      <c r="S213" s="31" t="n">
        <f aca="false">IFERROR((AVERAGE('SA Data'!X211:X213)/AVERAGE('SA Data'!X199:X201)-1)*100,"")</f>
        <v>-0.970405057841572</v>
      </c>
    </row>
    <row r="214" customFormat="false" ht="15" hidden="false" customHeight="false" outlineLevel="0" collapsed="false">
      <c r="A214" s="20" t="n">
        <v>44316</v>
      </c>
      <c r="B214" s="30" t="n">
        <f aca="false">'SA Data'!R214</f>
        <v>130.175467518569</v>
      </c>
      <c r="C214" s="31" t="n">
        <f aca="false">IFERROR((B214/B213-1)*100,"")</f>
        <v>3.13687817213544</v>
      </c>
      <c r="D214" s="31" t="n">
        <f aca="false">IFERROR((AVERAGE(B212:B214)/AVERAGE(B209:B211)-1)*100,"")</f>
        <v>-2.42685790788139</v>
      </c>
      <c r="E214" s="31" t="n">
        <f aca="false">IFERROR(((AVERAGE(B212:B214)/AVERAGE(B209:B211))^4-1)*100,"")</f>
        <v>-9.35973591246042</v>
      </c>
      <c r="F214" s="31" t="n">
        <f aca="false">IFERROR(('SA Data'!V214/'SA Data'!V202-1)*100,"")</f>
        <v>-1.28300413670815</v>
      </c>
      <c r="G214" s="31" t="n">
        <f aca="false">IFERROR((AVERAGE('SA Data'!V211:V214)/AVERAGE('SA Data'!V199:V202)-1)*100,"")</f>
        <v>2.44817922026881</v>
      </c>
      <c r="H214" s="30" t="n">
        <f aca="false">'SA Data'!S214</f>
        <v>129.377796922854</v>
      </c>
      <c r="I214" s="31" t="n">
        <f aca="false">IFERROR((H214/H213-1)*100,"")</f>
        <v>0.553656688723114</v>
      </c>
      <c r="J214" s="31" t="n">
        <f aca="false">IFERROR((AVERAGE(H212:H214)/AVERAGE(H209:H211)-1)*100,"")</f>
        <v>5.91472948494636</v>
      </c>
      <c r="K214" s="31" t="n">
        <f aca="false">IFERROR(((AVERAGE(H212:H214)/AVERAGE(H209:H211))^4-1)*100,"")</f>
        <v>25.841951731972</v>
      </c>
      <c r="L214" s="31" t="n">
        <f aca="false">IFERROR(('SA Data'!W214/'SA Data'!W202-1)*100,"")</f>
        <v>73.7735183817446</v>
      </c>
      <c r="M214" s="31" t="n">
        <f aca="false">IFERROR((AVERAGE('SA Data'!W211:W214)/AVERAGE('SA Data'!W199:W202)-1)*100,"")</f>
        <v>24.2431087082697</v>
      </c>
      <c r="N214" s="30" t="n">
        <f aca="false">'SA Data'!T214</f>
        <v>154.659898080892</v>
      </c>
      <c r="O214" s="31" t="n">
        <f aca="false">IFERROR((N214/N213-1)*100,"")</f>
        <v>2.28996083010025</v>
      </c>
      <c r="P214" s="31" t="n">
        <f aca="false">IFERROR((AVERAGE(N212:N214)/AVERAGE(N209:N211)-1)*100,"")</f>
        <v>3.81180162614334</v>
      </c>
      <c r="Q214" s="31" t="n">
        <f aca="false">IFERROR(((AVERAGE(N212:N214)/AVERAGE(N209:N211))^4-1)*100,"")</f>
        <v>16.1413614531496</v>
      </c>
      <c r="R214" s="31" t="n">
        <f aca="false">IFERROR(('SA Data'!X214/'SA Data'!X202-1)*100,"")</f>
        <v>27.9960085644303</v>
      </c>
      <c r="S214" s="31" t="n">
        <f aca="false">IFERROR((AVERAGE('SA Data'!X211:X214)/AVERAGE('SA Data'!X199:X202)-1)*100,"")</f>
        <v>5.07809495025284</v>
      </c>
    </row>
    <row r="215" customFormat="false" ht="15" hidden="false" customHeight="false" outlineLevel="0" collapsed="false">
      <c r="A215" s="20" t="n">
        <v>44347</v>
      </c>
      <c r="B215" s="30" t="n">
        <f aca="false">'SA Data'!R215</f>
        <v>130.18679535944</v>
      </c>
      <c r="C215" s="31" t="n">
        <f aca="false">IFERROR((B215/B214-1)*100,"")</f>
        <v>0.00870197825120211</v>
      </c>
      <c r="D215" s="31" t="n">
        <f aca="false">IFERROR((AVERAGE(B213:B215)/AVERAGE(B210:B212)-1)*100,"")</f>
        <v>2.00967472344829</v>
      </c>
      <c r="E215" s="31" t="n">
        <f aca="false">IFERROR(((AVERAGE(B213:B215)/AVERAGE(B210:B212))^4-1)*100,"")</f>
        <v>8.2842894189574</v>
      </c>
      <c r="F215" s="31" t="n">
        <f aca="false">IFERROR(('SA Data'!V215/'SA Data'!V203-1)*100,"")</f>
        <v>-4.17732670139149</v>
      </c>
      <c r="G215" s="31" t="n">
        <f aca="false">IFERROR((AVERAGE('SA Data'!V211:V215)/AVERAGE('SA Data'!V199:V203)-1)*100,"")</f>
        <v>0.00910492106580563</v>
      </c>
      <c r="H215" s="30" t="n">
        <f aca="false">'SA Data'!S215</f>
        <v>120.197434297232</v>
      </c>
      <c r="I215" s="31" t="n">
        <f aca="false">IFERROR((H215/H214-1)*100,"")</f>
        <v>-7.09577906253596</v>
      </c>
      <c r="J215" s="31" t="n">
        <f aca="false">IFERROR((AVERAGE(H213:H215)/AVERAGE(H210:H212)-1)*100,"")</f>
        <v>5.36925660617247</v>
      </c>
      <c r="K215" s="31" t="n">
        <f aca="false">IFERROR(((AVERAGE(H213:H215)/AVERAGE(H210:H212))^4-1)*100,"")</f>
        <v>23.2695084614451</v>
      </c>
      <c r="L215" s="31" t="n">
        <f aca="false">IFERROR(('SA Data'!W215/'SA Data'!W203-1)*100,"")</f>
        <v>36.2899133133428</v>
      </c>
      <c r="M215" s="31" t="n">
        <f aca="false">IFERROR((AVERAGE('SA Data'!W211:W215)/AVERAGE('SA Data'!W199:W203)-1)*100,"")</f>
        <v>26.4998437271304</v>
      </c>
      <c r="N215" s="30" t="n">
        <f aca="false">'SA Data'!T215</f>
        <v>150.067515120217</v>
      </c>
      <c r="O215" s="31" t="n">
        <f aca="false">IFERROR((N215/N214-1)*100,"")</f>
        <v>-2.96934306672897</v>
      </c>
      <c r="P215" s="31" t="n">
        <f aca="false">IFERROR((AVERAGE(N213:N215)/AVERAGE(N210:N212)-1)*100,"")</f>
        <v>3.43254971357438</v>
      </c>
      <c r="Q215" s="31" t="n">
        <f aca="false">IFERROR(((AVERAGE(N213:N215)/AVERAGE(N210:N212))^4-1)*100,"")</f>
        <v>14.453458997474</v>
      </c>
      <c r="R215" s="31" t="n">
        <f aca="false">IFERROR(('SA Data'!X215/'SA Data'!X203-1)*100,"")</f>
        <v>17.725695430705</v>
      </c>
      <c r="S215" s="31" t="n">
        <f aca="false">IFERROR((AVERAGE('SA Data'!X211:X215)/AVERAGE('SA Data'!X199:X203)-1)*100,"")</f>
        <v>7.41029436433185</v>
      </c>
    </row>
    <row r="216" customFormat="false" ht="15" hidden="false" customHeight="false" outlineLevel="0" collapsed="false">
      <c r="A216" s="20" t="n">
        <v>44377</v>
      </c>
      <c r="B216" s="30" t="n">
        <f aca="false">'SA Data'!R216</f>
        <v>129.308003761788</v>
      </c>
      <c r="C216" s="31" t="n">
        <f aca="false">IFERROR((B216/B215-1)*100,"")</f>
        <v>-0.67502360375814</v>
      </c>
      <c r="D216" s="31" t="n">
        <f aca="false">IFERROR((AVERAGE(B214:B216)/AVERAGE(B211:B213)-1)*100,"")</f>
        <v>4.42558831479769</v>
      </c>
      <c r="E216" s="31" t="n">
        <f aca="false">IFERROR(((AVERAGE(B214:B216)/AVERAGE(B211:B213))^4-1)*100,"")</f>
        <v>18.9125583115013</v>
      </c>
      <c r="F216" s="31" t="n">
        <f aca="false">IFERROR(('SA Data'!V216/'SA Data'!V204-1)*100,"")</f>
        <v>-3.37363235213021</v>
      </c>
      <c r="G216" s="31" t="n">
        <f aca="false">IFERROR((AVERAGE('SA Data'!V211:V216)/AVERAGE('SA Data'!V199:V204)-1)*100,"")</f>
        <v>-0.66936781535083</v>
      </c>
      <c r="H216" s="30" t="n">
        <f aca="false">'SA Data'!S216</f>
        <v>127.059635835968</v>
      </c>
      <c r="I216" s="31" t="n">
        <f aca="false">IFERROR((H216/H215-1)*100,"")</f>
        <v>5.70910816762276</v>
      </c>
      <c r="J216" s="31" t="n">
        <f aca="false">IFERROR((AVERAGE(H214:H216)/AVERAGE(H211:H213)-1)*100,"")</f>
        <v>2.29659906561897</v>
      </c>
      <c r="K216" s="31" t="n">
        <f aca="false">IFERROR(((AVERAGE(H214:H216)/AVERAGE(H211:H213))^4-1)*100,"")</f>
        <v>9.50773136029401</v>
      </c>
      <c r="L216" s="31" t="n">
        <f aca="false">IFERROR(('SA Data'!W216/'SA Data'!W204-1)*100,"")</f>
        <v>21.9712884618093</v>
      </c>
      <c r="M216" s="31" t="n">
        <f aca="false">IFERROR((AVERAGE('SA Data'!W211:W216)/AVERAGE('SA Data'!W199:W204)-1)*100,"")</f>
        <v>25.6655541995722</v>
      </c>
      <c r="N216" s="30" t="n">
        <f aca="false">'SA Data'!T216</f>
        <v>152.045690624749</v>
      </c>
      <c r="O216" s="31" t="n">
        <f aca="false">IFERROR((N216/N215-1)*100,"")</f>
        <v>1.3181903511545</v>
      </c>
      <c r="P216" s="31" t="n">
        <f aca="false">IFERROR((AVERAGE(N214:N216)/AVERAGE(N211:N213)-1)*100,"")</f>
        <v>2.46331143164535</v>
      </c>
      <c r="Q216" s="31" t="n">
        <f aca="false">IFERROR(((AVERAGE(N214:N216)/AVERAGE(N211:N213))^4-1)*100,"")</f>
        <v>10.2233355927239</v>
      </c>
      <c r="R216" s="31" t="n">
        <f aca="false">IFERROR(('SA Data'!X216/'SA Data'!X204-1)*100,"")</f>
        <v>14.1551143300175</v>
      </c>
      <c r="S216" s="31" t="n">
        <f aca="false">IFERROR((AVERAGE('SA Data'!X211:X216)/AVERAGE('SA Data'!X199:X204)-1)*100,"")</f>
        <v>8.51033956274072</v>
      </c>
    </row>
    <row r="217" customFormat="false" ht="15" hidden="false" customHeight="false" outlineLevel="0" collapsed="false">
      <c r="A217" s="20" t="n">
        <v>44408</v>
      </c>
      <c r="B217" s="30" t="n">
        <f aca="false">'SA Data'!R217</f>
        <v>127.746062803406</v>
      </c>
      <c r="C217" s="31" t="n">
        <f aca="false">IFERROR((B217/B216-1)*100,"")</f>
        <v>-1.2079228763438</v>
      </c>
      <c r="D217" s="31" t="n">
        <f aca="false">IFERROR((AVERAGE(B215:B217)/AVERAGE(B212:B214)-1)*100,"")</f>
        <v>3.11704430877897</v>
      </c>
      <c r="E217" s="31" t="n">
        <f aca="false">IFERROR(((AVERAGE(B215:B217)/AVERAGE(B212:B214))^4-1)*100,"")</f>
        <v>13.0633435861105</v>
      </c>
      <c r="F217" s="31" t="n">
        <f aca="false">IFERROR(('SA Data'!V217/'SA Data'!V205-1)*100,"")</f>
        <v>0.906284172831962</v>
      </c>
      <c r="G217" s="31" t="n">
        <f aca="false">IFERROR((AVERAGE('SA Data'!V211:V217)/AVERAGE('SA Data'!V199:V205)-1)*100,"")</f>
        <v>-0.503957212428774</v>
      </c>
      <c r="H217" s="30" t="n">
        <f aca="false">'SA Data'!S217</f>
        <v>123.228394003443</v>
      </c>
      <c r="I217" s="31" t="n">
        <f aca="false">IFERROR((H217/H216-1)*100,"")</f>
        <v>-3.01530994270364</v>
      </c>
      <c r="J217" s="31" t="n">
        <f aca="false">IFERROR((AVERAGE(H215:H217)/AVERAGE(H212:H214)-1)*100,"")</f>
        <v>-1.67305087762467</v>
      </c>
      <c r="K217" s="31" t="n">
        <f aca="false">IFERROR(((AVERAGE(H215:H217)/AVERAGE(H212:H214))^4-1)*100,"")</f>
        <v>-6.52612293537032</v>
      </c>
      <c r="L217" s="31" t="n">
        <f aca="false">IFERROR(('SA Data'!W217/'SA Data'!W205-1)*100,"")</f>
        <v>15.2807182118842</v>
      </c>
      <c r="M217" s="31" t="n">
        <f aca="false">IFERROR((AVERAGE('SA Data'!W211:W217)/AVERAGE('SA Data'!W199:W205)-1)*100,"")</f>
        <v>23.9818950286526</v>
      </c>
      <c r="N217" s="30" t="n">
        <f aca="false">'SA Data'!T217</f>
        <v>151.459568299434</v>
      </c>
      <c r="O217" s="31" t="n">
        <f aca="false">IFERROR((N217/N216-1)*100,"")</f>
        <v>-0.385490915859854</v>
      </c>
      <c r="P217" s="31" t="n">
        <f aca="false">IFERROR((AVERAGE(N215:N217)/AVERAGE(N212:N214)-1)*100,"")</f>
        <v>0.139382398619325</v>
      </c>
      <c r="Q217" s="31" t="n">
        <f aca="false">IFERROR(((AVERAGE(N215:N217)/AVERAGE(N212:N214))^4-1)*100,"")</f>
        <v>0.558696325175423</v>
      </c>
      <c r="R217" s="31" t="n">
        <f aca="false">IFERROR(('SA Data'!X217/'SA Data'!X205-1)*100,"")</f>
        <v>12.049502548752</v>
      </c>
      <c r="S217" s="31" t="n">
        <f aca="false">IFERROR((AVERAGE('SA Data'!X211:X217)/AVERAGE('SA Data'!X199:X205)-1)*100,"")</f>
        <v>9.0099127883551</v>
      </c>
    </row>
    <row r="218" customFormat="false" ht="15" hidden="false" customHeight="false" outlineLevel="0" collapsed="false">
      <c r="A218" s="20" t="n">
        <v>44439</v>
      </c>
      <c r="B218" s="30" t="n">
        <f aca="false">'SA Data'!R218</f>
        <v>126.895017038213</v>
      </c>
      <c r="C218" s="31" t="n">
        <f aca="false">IFERROR((B218/B217-1)*100,"")</f>
        <v>-0.666201170131264</v>
      </c>
      <c r="D218" s="31" t="n">
        <f aca="false">IFERROR((AVERAGE(B216:B218)/AVERAGE(B213:B215)-1)*100,"")</f>
        <v>-0.680171792175066</v>
      </c>
      <c r="E218" s="31" t="n">
        <f aca="false">IFERROR(((AVERAGE(B216:B218)/AVERAGE(B213:B215))^4-1)*100,"")</f>
        <v>-2.69305480280624</v>
      </c>
      <c r="F218" s="31" t="n">
        <f aca="false">IFERROR(('SA Data'!V218/'SA Data'!V206-1)*100,"")</f>
        <v>3.65739651192387</v>
      </c>
      <c r="G218" s="31" t="n">
        <f aca="false">IFERROR((AVERAGE('SA Data'!V211:V218)/AVERAGE('SA Data'!V199:V206)-1)*100,"")</f>
        <v>-0.230637129280509</v>
      </c>
      <c r="H218" s="30" t="n">
        <f aca="false">'SA Data'!S218</f>
        <v>122.228475328459</v>
      </c>
      <c r="I218" s="31" t="n">
        <f aca="false">IFERROR((H218/H217-1)*100,"")</f>
        <v>-0.811435288977502</v>
      </c>
      <c r="J218" s="31" t="n">
        <f aca="false">IFERROR((AVERAGE(H216:H218)/AVERAGE(H213:H215)-1)*100,"")</f>
        <v>-1.51336404522467</v>
      </c>
      <c r="K218" s="31" t="n">
        <f aca="false">IFERROR(((AVERAGE(H216:H218)/AVERAGE(H213:H215))^4-1)*100,"")</f>
        <v>-5.91742109690863</v>
      </c>
      <c r="L218" s="31" t="n">
        <f aca="false">IFERROR(('SA Data'!W218/'SA Data'!W206-1)*100,"")</f>
        <v>17.0359595335024</v>
      </c>
      <c r="M218" s="31" t="n">
        <f aca="false">IFERROR((AVERAGE('SA Data'!W211:W218)/AVERAGE('SA Data'!W199:W206)-1)*100,"")</f>
        <v>23.0073470310994</v>
      </c>
      <c r="N218" s="30" t="n">
        <f aca="false">'SA Data'!T218</f>
        <v>152.874361719367</v>
      </c>
      <c r="O218" s="31" t="n">
        <f aca="false">IFERROR((N218/N217-1)*100,"")</f>
        <v>0.934106333339124</v>
      </c>
      <c r="P218" s="31" t="n">
        <f aca="false">IFERROR((AVERAGE(N216:N218)/AVERAGE(N213:N215)-1)*100,"")</f>
        <v>0.0997255500552408</v>
      </c>
      <c r="Q218" s="31" t="n">
        <f aca="false">IFERROR(((AVERAGE(N216:N218)/AVERAGE(N213:N215))^4-1)*100,"")</f>
        <v>0.399499308155527</v>
      </c>
      <c r="R218" s="31" t="n">
        <f aca="false">IFERROR(('SA Data'!X218/'SA Data'!X206-1)*100,"")</f>
        <v>12.3493955662386</v>
      </c>
      <c r="S218" s="31" t="n">
        <f aca="false">IFERROR((AVERAGE('SA Data'!X211:X218)/AVERAGE('SA Data'!X199:X206)-1)*100,"")</f>
        <v>9.42556788610958</v>
      </c>
    </row>
    <row r="219" customFormat="false" ht="15" hidden="false" customHeight="false" outlineLevel="0" collapsed="false">
      <c r="A219" s="20" t="n">
        <v>44469</v>
      </c>
      <c r="B219" s="30" t="n">
        <f aca="false">'SA Data'!R219</f>
        <v>128.405632312173</v>
      </c>
      <c r="C219" s="31" t="n">
        <f aca="false">IFERROR((B219/B218-1)*100,"")</f>
        <v>1.19044491203744</v>
      </c>
      <c r="D219" s="31" t="n">
        <f aca="false">IFERROR((AVERAGE(B217:B219)/AVERAGE(B214:B216)-1)*100,"")</f>
        <v>-1.69978442110074</v>
      </c>
      <c r="E219" s="31" t="n">
        <f aca="false">IFERROR(((AVERAGE(B217:B219)/AVERAGE(B214:B216))^4-1)*100,"")</f>
        <v>-6.62773776431287</v>
      </c>
      <c r="F219" s="31" t="n">
        <f aca="false">IFERROR(('SA Data'!V219/'SA Data'!V207-1)*100,"")</f>
        <v>0.226493332627875</v>
      </c>
      <c r="G219" s="31" t="n">
        <f aca="false">IFERROR((AVERAGE('SA Data'!V211:V219)/AVERAGE('SA Data'!V199:V207)-1)*100,"")</f>
        <v>-0.203256342902647</v>
      </c>
      <c r="H219" s="30" t="n">
        <f aca="false">'SA Data'!S219</f>
        <v>126.253472757932</v>
      </c>
      <c r="I219" s="31" t="n">
        <f aca="false">IFERROR((H219/H218-1)*100,"")</f>
        <v>3.29301123871282</v>
      </c>
      <c r="J219" s="31" t="n">
        <f aca="false">IFERROR((AVERAGE(H217:H219)/AVERAGE(H214:H216)-1)*100,"")</f>
        <v>-1.30750639331715</v>
      </c>
      <c r="K219" s="31" t="n">
        <f aca="false">IFERROR(((AVERAGE(H217:H219)/AVERAGE(H214:H216))^4-1)*100,"")</f>
        <v>-5.12834238354945</v>
      </c>
      <c r="L219" s="31" t="n">
        <f aca="false">IFERROR(('SA Data'!W219/'SA Data'!W207-1)*100,"")</f>
        <v>15.012163334716</v>
      </c>
      <c r="M219" s="31" t="n">
        <f aca="false">IFERROR((AVERAGE('SA Data'!W211:W219)/AVERAGE('SA Data'!W199:W207)-1)*100,"")</f>
        <v>22.0040213669214</v>
      </c>
      <c r="N219" s="30" t="n">
        <f aca="false">'SA Data'!T219</f>
        <v>155.080566192581</v>
      </c>
      <c r="O219" s="31" t="n">
        <f aca="false">IFERROR((N219/N218-1)*100,"")</f>
        <v>1.44314877157998</v>
      </c>
      <c r="P219" s="31" t="n">
        <f aca="false">IFERROR((AVERAGE(N217:N219)/AVERAGE(N214:N216)-1)*100,"")</f>
        <v>0.578272311438832</v>
      </c>
      <c r="Q219" s="31" t="n">
        <f aca="false">IFERROR(((AVERAGE(N217:N219)/AVERAGE(N214:N216))^4-1)*100,"")</f>
        <v>2.33323063899065</v>
      </c>
      <c r="R219" s="31" t="n">
        <f aca="false">IFERROR(('SA Data'!X219/'SA Data'!X207-1)*100,"")</f>
        <v>11.016304180343</v>
      </c>
      <c r="S219" s="31" t="n">
        <f aca="false">IFERROR((AVERAGE('SA Data'!X211:X219)/AVERAGE('SA Data'!X199:X207)-1)*100,"")</f>
        <v>9.6035859030555</v>
      </c>
    </row>
    <row r="220" customFormat="false" ht="15" hidden="false" customHeight="false" outlineLevel="0" collapsed="false">
      <c r="A220" s="20" t="n">
        <v>44500</v>
      </c>
      <c r="B220" s="30" t="n">
        <f aca="false">'SA Data'!R220</f>
        <v>128.600755661388</v>
      </c>
      <c r="C220" s="31" t="n">
        <f aca="false">IFERROR((B220/B219-1)*100,"")</f>
        <v>0.151958559528609</v>
      </c>
      <c r="D220" s="31" t="n">
        <f aca="false">IFERROR((AVERAGE(B218:B220)/AVERAGE(B215:B217)-1)*100,"")</f>
        <v>-0.862372037977077</v>
      </c>
      <c r="E220" s="31" t="n">
        <f aca="false">IFERROR(((AVERAGE(B218:B220)/AVERAGE(B215:B217))^4-1)*100,"")</f>
        <v>-3.40512300037015</v>
      </c>
      <c r="F220" s="31" t="n">
        <f aca="false">IFERROR(('SA Data'!V220/'SA Data'!V208-1)*100,"")</f>
        <v>2.32059420984556</v>
      </c>
      <c r="G220" s="31" t="n">
        <f aca="false">IFERROR((AVERAGE('SA Data'!V211:V220)/AVERAGE('SA Data'!V199:V208)-1)*100,"")</f>
        <v>-0.0630648861202343</v>
      </c>
      <c r="H220" s="30" t="n">
        <f aca="false">'SA Data'!S220</f>
        <v>121.975138905109</v>
      </c>
      <c r="I220" s="31" t="n">
        <f aca="false">IFERROR((H220/H219-1)*100,"")</f>
        <v>-3.3886860767987</v>
      </c>
      <c r="J220" s="31" t="n">
        <f aca="false">IFERROR((AVERAGE(H218:H220)/AVERAGE(H215:H217)-1)*100,"")</f>
        <v>-0.007659448990327</v>
      </c>
      <c r="K220" s="31" t="n">
        <f aca="false">IFERROR(((AVERAGE(H218:H220)/AVERAGE(H215:H217))^4-1)*100,"")</f>
        <v>-0.0306342761115186</v>
      </c>
      <c r="L220" s="31" t="n">
        <f aca="false">IFERROR(('SA Data'!W220/'SA Data'!W208-1)*100,"")</f>
        <v>5.91033588005887</v>
      </c>
      <c r="M220" s="31" t="n">
        <f aca="false">IFERROR((AVERAGE('SA Data'!W211:W220)/AVERAGE('SA Data'!W199:W208)-1)*100,"")</f>
        <v>20.080470185208</v>
      </c>
      <c r="N220" s="30" t="n">
        <f aca="false">'SA Data'!T220</f>
        <v>152.709797494847</v>
      </c>
      <c r="O220" s="31" t="n">
        <f aca="false">IFERROR((N220/N219-1)*100,"")</f>
        <v>-1.52873358405839</v>
      </c>
      <c r="P220" s="31" t="n">
        <f aca="false">IFERROR((AVERAGE(N218:N220)/AVERAGE(N215:N217)-1)*100,"")</f>
        <v>1.56357518974481</v>
      </c>
      <c r="Q220" s="31" t="n">
        <f aca="false">IFERROR(((AVERAGE(N218:N220)/AVERAGE(N215:N217))^4-1)*100,"")</f>
        <v>6.40252180935017</v>
      </c>
      <c r="R220" s="31" t="n">
        <f aca="false">IFERROR(('SA Data'!X220/'SA Data'!X208-1)*100,"")</f>
        <v>7.51773327252319</v>
      </c>
      <c r="S220" s="31" t="n">
        <f aca="false">IFERROR((AVERAGE('SA Data'!X211:X220)/AVERAGE('SA Data'!X199:X208)-1)*100,"")</f>
        <v>9.38768727448607</v>
      </c>
    </row>
    <row r="221" customFormat="false" ht="15" hidden="false" customHeight="false" outlineLevel="0" collapsed="false">
      <c r="A221" s="20" t="n">
        <v>44530</v>
      </c>
      <c r="B221" s="30" t="n">
        <f aca="false">'SA Data'!R221</f>
        <v>133.088411345495</v>
      </c>
      <c r="C221" s="31" t="n">
        <f aca="false">IFERROR((B221/B220-1)*100,"")</f>
        <v>3.48960288843272</v>
      </c>
      <c r="D221" s="31" t="n">
        <f aca="false">IFERROR((AVERAGE(B219:B221)/AVERAGE(B216:B218)-1)*100,"")</f>
        <v>1.60065903998821</v>
      </c>
      <c r="E221" s="31" t="n">
        <f aca="false">IFERROR(((AVERAGE(B219:B221)/AVERAGE(B216:B218))^4-1)*100,"")</f>
        <v>6.55800971149985</v>
      </c>
      <c r="F221" s="31" t="n">
        <f aca="false">IFERROR(('SA Data'!V221/'SA Data'!V209-1)*100,"")</f>
        <v>6.37031005564512</v>
      </c>
      <c r="G221" s="31" t="n">
        <f aca="false">IFERROR((AVERAGE('SA Data'!V211:V221)/AVERAGE('SA Data'!V199:V209)-1)*100,"")</f>
        <v>0.329053953613845</v>
      </c>
      <c r="H221" s="30" t="n">
        <f aca="false">'SA Data'!S221</f>
        <v>127.717415012676</v>
      </c>
      <c r="I221" s="31" t="n">
        <f aca="false">IFERROR((H221/H220-1)*100,"")</f>
        <v>4.70774303609038</v>
      </c>
      <c r="J221" s="31" t="n">
        <f aca="false">IFERROR((AVERAGE(H219:H221)/AVERAGE(H216:H218)-1)*100,"")</f>
        <v>0.920636122231078</v>
      </c>
      <c r="K221" s="31" t="n">
        <f aca="false">IFERROR(((AVERAGE(H219:H221)/AVERAGE(H216:H218))^4-1)*100,"")</f>
        <v>3.73371158121756</v>
      </c>
      <c r="L221" s="31" t="n">
        <f aca="false">IFERROR(('SA Data'!W221/'SA Data'!W209-1)*100,"")</f>
        <v>9.87055523423719</v>
      </c>
      <c r="M221" s="31" t="n">
        <f aca="false">IFERROR((AVERAGE('SA Data'!W211:W221)/AVERAGE('SA Data'!W199:W209)-1)*100,"")</f>
        <v>19.0012623268887</v>
      </c>
      <c r="N221" s="30" t="n">
        <f aca="false">'SA Data'!T221</f>
        <v>156.33426873934</v>
      </c>
      <c r="O221" s="31" t="n">
        <f aca="false">IFERROR((N221/N220-1)*100,"")</f>
        <v>2.37343726725536</v>
      </c>
      <c r="P221" s="31" t="n">
        <f aca="false">IFERROR((AVERAGE(N219:N221)/AVERAGE(N216:N218)-1)*100,"")</f>
        <v>1.69705469589034</v>
      </c>
      <c r="Q221" s="31" t="n">
        <f aca="false">IFERROR(((AVERAGE(N219:N221)/AVERAGE(N216:N218))^4-1)*100,"")</f>
        <v>6.96298175975287</v>
      </c>
      <c r="R221" s="31" t="n">
        <f aca="false">IFERROR(('SA Data'!X221/'SA Data'!X209-1)*100,"")</f>
        <v>9.42214512700139</v>
      </c>
      <c r="S221" s="31" t="n">
        <f aca="false">IFERROR((AVERAGE('SA Data'!X211:X221)/AVERAGE('SA Data'!X199:X209)-1)*100,"")</f>
        <v>9.3909323446536</v>
      </c>
    </row>
    <row r="222" customFormat="false" ht="15" hidden="false" customHeight="false" outlineLevel="0" collapsed="false">
      <c r="A222" s="20" t="n">
        <v>44561</v>
      </c>
      <c r="B222" s="30" t="n">
        <f aca="false">'SA Data'!R222</f>
        <v>148.718191574718</v>
      </c>
      <c r="C222" s="31" t="n">
        <f aca="false">IFERROR((B222/B221-1)*100,"")</f>
        <v>11.743907731116</v>
      </c>
      <c r="D222" s="31" t="n">
        <f aca="false">IFERROR((AVERAGE(B220:B222)/AVERAGE(B217:B219)-1)*100,"")</f>
        <v>7.142900737606</v>
      </c>
      <c r="E222" s="31" t="n">
        <f aca="false">IFERROR(((AVERAGE(B220:B222)/AVERAGE(B217:B219))^4-1)*100,"")</f>
        <v>31.7812432166952</v>
      </c>
      <c r="F222" s="31" t="n">
        <f aca="false">IFERROR(('SA Data'!V222/'SA Data'!V210-1)*100,"")</f>
        <v>15.1731621824919</v>
      </c>
      <c r="G222" s="31" t="n">
        <f aca="false">IFERROR((AVERAGE('SA Data'!V211:V222)/AVERAGE('SA Data'!V199:V210)-1)*100,"")</f>
        <v>1.41077468471973</v>
      </c>
      <c r="H222" s="30" t="n">
        <f aca="false">'SA Data'!S222</f>
        <v>130.588720082774</v>
      </c>
      <c r="I222" s="31" t="n">
        <f aca="false">IFERROR((H222/H221-1)*100,"")</f>
        <v>2.24817036095857</v>
      </c>
      <c r="J222" s="31" t="n">
        <f aca="false">IFERROR((AVERAGE(H220:H222)/AVERAGE(H217:H219)-1)*100,"")</f>
        <v>2.30580937364768</v>
      </c>
      <c r="K222" s="31" t="n">
        <f aca="false">IFERROR(((AVERAGE(H220:H222)/AVERAGE(H217:H219))^4-1)*100,"")</f>
        <v>9.54717494567949</v>
      </c>
      <c r="L222" s="31" t="n">
        <f aca="false">IFERROR(('SA Data'!W222/'SA Data'!W210-1)*100,"")</f>
        <v>9.20679967180265</v>
      </c>
      <c r="M222" s="31" t="n">
        <f aca="false">IFERROR((AVERAGE('SA Data'!W211:W222)/AVERAGE('SA Data'!W199:W210)-1)*100,"")</f>
        <v>18.0911378160683</v>
      </c>
      <c r="N222" s="30" t="n">
        <f aca="false">'SA Data'!T222</f>
        <v>158.872390400232</v>
      </c>
      <c r="O222" s="31" t="n">
        <f aca="false">IFERROR((N222/N221-1)*100,"")</f>
        <v>1.62352226505349</v>
      </c>
      <c r="P222" s="31" t="n">
        <f aca="false">IFERROR((AVERAGE(N220:N222)/AVERAGE(N217:N219)-1)*100,"")</f>
        <v>1.85060778298225</v>
      </c>
      <c r="Q222" s="31" t="n">
        <f aca="false">IFERROR(((AVERAGE(N220:N222)/AVERAGE(N217:N219))^4-1)*100,"")</f>
        <v>7.61046295780679</v>
      </c>
      <c r="R222" s="31" t="n">
        <f aca="false">IFERROR(('SA Data'!X222/'SA Data'!X210-1)*100,"")</f>
        <v>8.76272195107648</v>
      </c>
      <c r="S222" s="31" t="n">
        <f aca="false">IFERROR((AVERAGE('SA Data'!X211:X222)/AVERAGE('SA Data'!X199:X210)-1)*100,"")</f>
        <v>9.33628933925683</v>
      </c>
    </row>
    <row r="223" customFormat="false" ht="15" hidden="false" customHeight="false" outlineLevel="0" collapsed="false">
      <c r="A223" s="20" t="n">
        <v>44592</v>
      </c>
      <c r="B223" s="30" t="n">
        <f aca="false">'SA Data'!R223</f>
        <v>145.919210863581</v>
      </c>
      <c r="C223" s="31" t="n">
        <f aca="false">IFERROR((B223/B222-1)*100,"")</f>
        <v>-1.88207016337374</v>
      </c>
      <c r="D223" s="31" t="n">
        <f aca="false">IFERROR((AVERAGE(B221:B223)/AVERAGE(B218:B220)-1)*100,"")</f>
        <v>11.415537479128</v>
      </c>
      <c r="E223" s="31" t="n">
        <f aca="false">IFERROR(((AVERAGE(B221:B223)/AVERAGE(B218:B220))^4-1)*100,"")</f>
        <v>54.0930455455848</v>
      </c>
      <c r="F223" s="31" t="n">
        <f aca="false">IFERROR(('SA Data'!V223/'SA Data'!V211-1)*100,"")</f>
        <v>17.84479794951</v>
      </c>
      <c r="G223" s="31" t="n">
        <f aca="false">IFERROR((AVERAGE('SA Data'!V223:V223)/AVERAGE('SA Data'!V211:V211)-1)*100,"")</f>
        <v>17.84479794951</v>
      </c>
      <c r="H223" s="30" t="n">
        <f aca="false">'SA Data'!S223</f>
        <v>121.939796647992</v>
      </c>
      <c r="I223" s="31" t="n">
        <f aca="false">IFERROR((H223/H222-1)*100,"")</f>
        <v>-6.62302489012812</v>
      </c>
      <c r="J223" s="31" t="n">
        <f aca="false">IFERROR((AVERAGE(H221:H223)/AVERAGE(H218:H220)-1)*100,"")</f>
        <v>2.6423694121867</v>
      </c>
      <c r="K223" s="31" t="n">
        <f aca="false">IFERROR(((AVERAGE(H221:H223)/AVERAGE(H218:H220))^4-1)*100,"")</f>
        <v>10.9958330973368</v>
      </c>
      <c r="L223" s="31" t="n">
        <f aca="false">IFERROR(('SA Data'!W223/'SA Data'!W211-1)*100,"")</f>
        <v>1.22633558338672</v>
      </c>
      <c r="M223" s="31" t="n">
        <f aca="false">IFERROR((AVERAGE('SA Data'!W223:W223)/AVERAGE('SA Data'!W211:W211)-1)*100,"")</f>
        <v>1.22633558338672</v>
      </c>
      <c r="N223" s="30" t="n">
        <f aca="false">'SA Data'!T223</f>
        <v>156.681591548421</v>
      </c>
      <c r="O223" s="31" t="n">
        <f aca="false">IFERROR((N223/N222-1)*100,"")</f>
        <v>-1.37896763955798</v>
      </c>
      <c r="P223" s="31" t="n">
        <f aca="false">IFERROR((AVERAGE(N221:N223)/AVERAGE(N218:N220)-1)*100,"")</f>
        <v>2.43637610222611</v>
      </c>
      <c r="Q223" s="31" t="n">
        <f aca="false">IFERROR(((AVERAGE(N221:N223)/AVERAGE(N218:N220))^4-1)*100,"")</f>
        <v>10.1074802165896</v>
      </c>
      <c r="R223" s="31" t="n">
        <f aca="false">IFERROR(('SA Data'!X223/'SA Data'!X211-1)*100,"")</f>
        <v>6.85573737730139</v>
      </c>
      <c r="S223" s="31" t="n">
        <f aca="false">IFERROR((AVERAGE('SA Data'!X223:X223)/AVERAGE('SA Data'!X211:X211)-1)*100,"")</f>
        <v>6.85573737730139</v>
      </c>
    </row>
    <row r="224" customFormat="false" ht="15" hidden="false" customHeight="false" outlineLevel="0" collapsed="false">
      <c r="A224" s="20" t="n">
        <v>44620</v>
      </c>
      <c r="B224" s="30" t="n">
        <f aca="false">'SA Data'!R224</f>
        <v>129.532935053036</v>
      </c>
      <c r="C224" s="31" t="n">
        <f aca="false">IFERROR((B224/B223-1)*100,"")</f>
        <v>-11.2296905346232</v>
      </c>
      <c r="D224" s="31" t="n">
        <f aca="false">IFERROR((AVERAGE(B222:B224)/AVERAGE(B219:B221)-1)*100,"")</f>
        <v>8.7351941712015</v>
      </c>
      <c r="E224" s="31" t="n">
        <f aca="false">IFERROR(((AVERAGE(B222:B224)/AVERAGE(B219:B221))^4-1)*100,"")</f>
        <v>39.7914267242335</v>
      </c>
      <c r="F224" s="31" t="n">
        <f aca="false">IFERROR(('SA Data'!V224/'SA Data'!V212-1)*100,"")</f>
        <v>9.41779412008108</v>
      </c>
      <c r="G224" s="31" t="n">
        <f aca="false">IFERROR((AVERAGE('SA Data'!V223:V224)/AVERAGE('SA Data'!V211:V212)-1)*100,"")</f>
        <v>14.014275482621</v>
      </c>
      <c r="H224" s="30" t="n">
        <f aca="false">'SA Data'!S224</f>
        <v>129.294286913819</v>
      </c>
      <c r="I224" s="31" t="n">
        <f aca="false">IFERROR((H224/H223-1)*100,"")</f>
        <v>6.03124694972055</v>
      </c>
      <c r="J224" s="31" t="n">
        <f aca="false">IFERROR((AVERAGE(H222:H224)/AVERAGE(H219:H221)-1)*100,"")</f>
        <v>1.56319698889547</v>
      </c>
      <c r="K224" s="31" t="n">
        <f aca="false">IFERROR(((AVERAGE(H222:H224)/AVERAGE(H219:H221))^4-1)*100,"")</f>
        <v>6.40093693803108</v>
      </c>
      <c r="L224" s="31" t="n">
        <f aca="false">IFERROR(('SA Data'!W224/'SA Data'!W212-1)*100,"")</f>
        <v>9.43904930042621</v>
      </c>
      <c r="M224" s="31" t="n">
        <f aca="false">IFERROR((AVERAGE('SA Data'!W223:W224)/AVERAGE('SA Data'!W211:W212)-1)*100,"")</f>
        <v>5.27496248206421</v>
      </c>
      <c r="N224" s="30" t="n">
        <f aca="false">'SA Data'!T224</f>
        <v>158.461591025309</v>
      </c>
      <c r="O224" s="31" t="n">
        <f aca="false">IFERROR((N224/N223-1)*100,"")</f>
        <v>1.13606165172144</v>
      </c>
      <c r="P224" s="31" t="n">
        <f aca="false">IFERROR((AVERAGE(N222:N224)/AVERAGE(N219:N221)-1)*100,"")</f>
        <v>2.13109579973723</v>
      </c>
      <c r="Q224" s="31" t="n">
        <f aca="false">IFERROR(((AVERAGE(N222:N224)/AVERAGE(N219:N221))^4-1)*100,"")</f>
        <v>8.80076939097045</v>
      </c>
      <c r="R224" s="31" t="n">
        <f aca="false">IFERROR(('SA Data'!X224/'SA Data'!X212-1)*100,"")</f>
        <v>8.34072943657953</v>
      </c>
      <c r="S224" s="31" t="n">
        <f aca="false">IFERROR((AVERAGE('SA Data'!X223:X224)/AVERAGE('SA Data'!X211:X212)-1)*100,"")</f>
        <v>7.59202738372944</v>
      </c>
    </row>
    <row r="225" customFormat="false" ht="15" hidden="false" customHeight="false" outlineLevel="0" collapsed="false">
      <c r="A225" s="20" t="n">
        <v>44651</v>
      </c>
      <c r="B225" s="30" t="n">
        <f aca="false">'SA Data'!R225</f>
        <v>126.979914143143</v>
      </c>
      <c r="C225" s="31" t="n">
        <f aca="false">IFERROR((B225/B224-1)*100,"")</f>
        <v>-1.97094345839383</v>
      </c>
      <c r="D225" s="31" t="n">
        <f aca="false">IFERROR((AVERAGE(B223:B225)/AVERAGE(B220:B222)-1)*100,"")</f>
        <v>-1.94326401685476</v>
      </c>
      <c r="E225" s="31" t="n">
        <f aca="false">IFERROR(((AVERAGE(B223:B225)/AVERAGE(B220:B222))^4-1)*100,"")</f>
        <v>-7.5494006245743</v>
      </c>
      <c r="F225" s="31" t="n">
        <f aca="false">IFERROR(('SA Data'!V225/'SA Data'!V213-1)*100,"")</f>
        <v>1.69521793048135</v>
      </c>
      <c r="G225" s="31" t="n">
        <f aca="false">IFERROR((AVERAGE('SA Data'!V223:V225)/AVERAGE('SA Data'!V211:V213)-1)*100,"")</f>
        <v>8.10847377308719</v>
      </c>
      <c r="H225" s="30" t="n">
        <f aca="false">'SA Data'!S225</f>
        <v>134.382190807027</v>
      </c>
      <c r="I225" s="31" t="n">
        <f aca="false">IFERROR((H225/H224-1)*100,"")</f>
        <v>3.93513434711892</v>
      </c>
      <c r="J225" s="31" t="n">
        <f aca="false">IFERROR((AVERAGE(H223:H225)/AVERAGE(H220:H222)-1)*100,"")</f>
        <v>1.40290903944733</v>
      </c>
      <c r="K225" s="31" t="n">
        <f aca="false">IFERROR(((AVERAGE(H223:H225)/AVERAGE(H220:H222))^4-1)*100,"")</f>
        <v>5.73083371408403</v>
      </c>
      <c r="L225" s="31" t="n">
        <f aca="false">IFERROR(('SA Data'!W225/'SA Data'!W213-1)*100,"")</f>
        <v>4.24560473821611</v>
      </c>
      <c r="M225" s="31" t="n">
        <f aca="false">IFERROR((AVERAGE('SA Data'!W223:W225)/AVERAGE('SA Data'!W211:W213)-1)*100,"")</f>
        <v>4.89404768837332</v>
      </c>
      <c r="N225" s="30" t="n">
        <f aca="false">'SA Data'!T225</f>
        <v>161.115202089612</v>
      </c>
      <c r="O225" s="31" t="n">
        <f aca="false">IFERROR((N225/N224-1)*100,"")</f>
        <v>1.67460836858531</v>
      </c>
      <c r="P225" s="31" t="n">
        <f aca="false">IFERROR((AVERAGE(N223:N225)/AVERAGE(N220:N222)-1)*100,"")</f>
        <v>1.78278150098057</v>
      </c>
      <c r="Q225" s="31" t="n">
        <f aca="false">IFERROR(((AVERAGE(N223:N225)/AVERAGE(N220:N222))^4-1)*100,"")</f>
        <v>7.32410119121383</v>
      </c>
      <c r="R225" s="31" t="n">
        <f aca="false">IFERROR(('SA Data'!X225/'SA Data'!X213-1)*100,"")</f>
        <v>6.32877669716385</v>
      </c>
      <c r="S225" s="31" t="n">
        <f aca="false">IFERROR((AVERAGE('SA Data'!X223:X225)/AVERAGE('SA Data'!X211:X213)-1)*100,"")</f>
        <v>7.15499157209352</v>
      </c>
    </row>
    <row r="226" customFormat="false" ht="15" hidden="false" customHeight="false" outlineLevel="0" collapsed="false">
      <c r="A226" s="20" t="n">
        <v>44681</v>
      </c>
      <c r="B226" s="30" t="n">
        <f aca="false">'SA Data'!R226</f>
        <v>129.776015603486</v>
      </c>
      <c r="C226" s="31" t="n">
        <f aca="false">IFERROR((B226/B225-1)*100,"")</f>
        <v>2.20200295394009</v>
      </c>
      <c r="D226" s="31" t="n">
        <f aca="false">IFERROR((AVERAGE(B224:B226)/AVERAGE(B221:B223)-1)*100,"")</f>
        <v>-9.68773631349577</v>
      </c>
      <c r="E226" s="31" t="n">
        <f aca="false">IFERROR(((AVERAGE(B224:B226)/AVERAGE(B221:B223))^4-1)*100,"")</f>
        <v>-33.4746892007809</v>
      </c>
      <c r="F226" s="31" t="n">
        <f aca="false">IFERROR(('SA Data'!V226/'SA Data'!V214-1)*100,"")</f>
        <v>-1.82912645585815</v>
      </c>
      <c r="G226" s="31" t="n">
        <f aca="false">IFERROR((AVERAGE('SA Data'!V223:V226)/AVERAGE('SA Data'!V211:V214)-1)*100,"")</f>
        <v>4.11652101902524</v>
      </c>
      <c r="H226" s="30" t="n">
        <f aca="false">'SA Data'!S226</f>
        <v>138.067630394526</v>
      </c>
      <c r="I226" s="31" t="n">
        <f aca="false">IFERROR((H226/H225-1)*100,"")</f>
        <v>2.74250595660441</v>
      </c>
      <c r="J226" s="31" t="n">
        <f aca="false">IFERROR((AVERAGE(H224:H226)/AVERAGE(H221:H223)-1)*100,"")</f>
        <v>5.65375578730345</v>
      </c>
      <c r="K226" s="31" t="n">
        <f aca="false">IFERROR(((AVERAGE(H224:H226)/AVERAGE(H221:H223))^4-1)*100,"")</f>
        <v>24.6062309962819</v>
      </c>
      <c r="L226" s="31" t="n">
        <f aca="false">IFERROR(('SA Data'!W226/'SA Data'!W214-1)*100,"")</f>
        <v>6.76400322161379</v>
      </c>
      <c r="M226" s="31" t="n">
        <f aca="false">IFERROR((AVERAGE('SA Data'!W223:W226)/AVERAGE('SA Data'!W211:W214)-1)*100,"")</f>
        <v>5.3776598762844</v>
      </c>
      <c r="N226" s="30" t="n">
        <f aca="false">'SA Data'!T226</f>
        <v>165.760295852984</v>
      </c>
      <c r="O226" s="31" t="n">
        <f aca="false">IFERROR((N226/N225-1)*100,"")</f>
        <v>2.88308843804102</v>
      </c>
      <c r="P226" s="31" t="n">
        <f aca="false">IFERROR((AVERAGE(N224:N226)/AVERAGE(N221:N223)-1)*100,"")</f>
        <v>2.85000490270839</v>
      </c>
      <c r="Q226" s="31" t="n">
        <f aca="false">IFERROR(((AVERAGE(N224:N226)/AVERAGE(N221:N223))^4-1)*100,"")</f>
        <v>11.8966969608083</v>
      </c>
      <c r="R226" s="31" t="n">
        <f aca="false">IFERROR(('SA Data'!X226/'SA Data'!X214-1)*100,"")</f>
        <v>7.02375277862919</v>
      </c>
      <c r="S226" s="31" t="n">
        <f aca="false">IFERROR((AVERAGE('SA Data'!X223:X226)/AVERAGE('SA Data'!X211:X214)-1)*100,"")</f>
        <v>7.12161056591927</v>
      </c>
    </row>
    <row r="227" customFormat="false" ht="15" hidden="false" customHeight="false" outlineLevel="0" collapsed="false">
      <c r="A227" s="20" t="n">
        <v>44712</v>
      </c>
      <c r="B227" s="30" t="n">
        <f aca="false">'SA Data'!R227</f>
        <v>128.040999158444</v>
      </c>
      <c r="C227" s="31" t="n">
        <f aca="false">IFERROR((B227/B226-1)*100,"")</f>
        <v>-1.33693151001247</v>
      </c>
      <c r="D227" s="31" t="n">
        <f aca="false">IFERROR((AVERAGE(B225:B227)/AVERAGE(B222:B224)-1)*100,"")</f>
        <v>-9.28245214390233</v>
      </c>
      <c r="E227" s="31" t="n">
        <f aca="false">IFERROR(((AVERAGE(B225:B227)/AVERAGE(B222:B224))^4-1)*100,"")</f>
        <v>-32.2724742640659</v>
      </c>
      <c r="F227" s="31" t="n">
        <f aca="false">IFERROR(('SA Data'!V227/'SA Data'!V215-1)*100,"")</f>
        <v>-3.48124933236269</v>
      </c>
      <c r="G227" s="31" t="n">
        <f aca="false">IFERROR((AVERAGE('SA Data'!V223:V227)/AVERAGE('SA Data'!V211:V215)-1)*100,"")</f>
        <v>1.43660682763351</v>
      </c>
      <c r="H227" s="30" t="n">
        <f aca="false">'SA Data'!S227</f>
        <v>135.883423737133</v>
      </c>
      <c r="I227" s="31" t="n">
        <f aca="false">IFERROR((H227/H226-1)*100,"")</f>
        <v>-1.58198315648028</v>
      </c>
      <c r="J227" s="31" t="n">
        <f aca="false">IFERROR((AVERAGE(H225:H227)/AVERAGE(H222:H224)-1)*100,"")</f>
        <v>6.94312677007585</v>
      </c>
      <c r="K227" s="31" t="n">
        <f aca="false">IFERROR(((AVERAGE(H225:H227)/AVERAGE(H222:H224))^4-1)*100,"")</f>
        <v>30.8011345076104</v>
      </c>
      <c r="L227" s="31" t="n">
        <f aca="false">IFERROR(('SA Data'!W227/'SA Data'!W215-1)*100,"")</f>
        <v>12.605862815022</v>
      </c>
      <c r="M227" s="31" t="n">
        <f aca="false">IFERROR((AVERAGE('SA Data'!W223:W227)/AVERAGE('SA Data'!W211:W215)-1)*100,"")</f>
        <v>6.83651701678159</v>
      </c>
      <c r="N227" s="30" t="n">
        <f aca="false">'SA Data'!T227</f>
        <v>164.765928128734</v>
      </c>
      <c r="O227" s="31" t="n">
        <f aca="false">IFERROR((N227/N226-1)*100,"")</f>
        <v>-0.599882932842033</v>
      </c>
      <c r="P227" s="31" t="n">
        <f aca="false">IFERROR((AVERAGE(N225:N227)/AVERAGE(N222:N224)-1)*100,"")</f>
        <v>3.71841224261569</v>
      </c>
      <c r="Q227" s="31" t="n">
        <f aca="false">IFERROR(((AVERAGE(N225:N227)/AVERAGE(N222:N224))^4-1)*100,"")</f>
        <v>15.7240007054308</v>
      </c>
      <c r="R227" s="31" t="n">
        <f aca="false">IFERROR(('SA Data'!X227/'SA Data'!X215-1)*100,"")</f>
        <v>9.40476974061413</v>
      </c>
      <c r="S227" s="31" t="n">
        <f aca="false">IFERROR((AVERAGE('SA Data'!X223:X227)/AVERAGE('SA Data'!X211:X215)-1)*100,"")</f>
        <v>7.58305465954898</v>
      </c>
    </row>
    <row r="228" customFormat="false" ht="15" hidden="false" customHeight="false" outlineLevel="0" collapsed="false">
      <c r="A228" s="20" t="n">
        <v>44742</v>
      </c>
      <c r="B228" s="30" t="n">
        <f aca="false">'SA Data'!R228</f>
        <v>130.191161704065</v>
      </c>
      <c r="C228" s="31" t="n">
        <f aca="false">IFERROR((B228/B227-1)*100,"")</f>
        <v>1.67927660651879</v>
      </c>
      <c r="D228" s="31" t="n">
        <f aca="false">IFERROR((AVERAGE(B226:B228)/AVERAGE(B223:B225)-1)*100,"")</f>
        <v>-3.58417855466688</v>
      </c>
      <c r="E228" s="31" t="n">
        <f aca="false">IFERROR(((AVERAGE(B226:B228)/AVERAGE(B223:B225))^4-1)*100,"")</f>
        <v>-13.5841864602895</v>
      </c>
      <c r="F228" s="31" t="n">
        <f aca="false">IFERROR(('SA Data'!V228/'SA Data'!V216-1)*100,"")</f>
        <v>-1.06681238799248</v>
      </c>
      <c r="G228" s="31" t="n">
        <f aca="false">IFERROR((AVERAGE('SA Data'!V223:V228)/AVERAGE('SA Data'!V211:V216)-1)*100,"")</f>
        <v>0.94816801382831</v>
      </c>
      <c r="H228" s="30" t="n">
        <f aca="false">'SA Data'!S228</f>
        <v>137.285898287306</v>
      </c>
      <c r="I228" s="31" t="n">
        <f aca="false">IFERROR((H228/H227-1)*100,"")</f>
        <v>1.03211599443203</v>
      </c>
      <c r="J228" s="31" t="n">
        <f aca="false">IFERROR((AVERAGE(H226:H228)/AVERAGE(H223:H225)-1)*100,"")</f>
        <v>6.64408629849986</v>
      </c>
      <c r="K228" s="31" t="n">
        <f aca="false">IFERROR(((AVERAGE(H226:H228)/AVERAGE(H223:H225))^4-1)*100,"")</f>
        <v>29.3442451474931</v>
      </c>
      <c r="L228" s="31" t="n">
        <f aca="false">IFERROR(('SA Data'!W228/'SA Data'!W216-1)*100,"")</f>
        <v>7.5271175291606</v>
      </c>
      <c r="M228" s="31" t="n">
        <f aca="false">IFERROR((AVERAGE('SA Data'!W223:W228)/AVERAGE('SA Data'!W211:W216)-1)*100,"")</f>
        <v>6.96000519308597</v>
      </c>
      <c r="N228" s="30" t="n">
        <f aca="false">'SA Data'!T228</f>
        <v>166.175973184044</v>
      </c>
      <c r="O228" s="31" t="n">
        <f aca="false">IFERROR((N228/N227-1)*100,"")</f>
        <v>0.855786794833291</v>
      </c>
      <c r="P228" s="31" t="n">
        <f aca="false">IFERROR((AVERAGE(N226:N228)/AVERAGE(N223:N225)-1)*100,"")</f>
        <v>4.29258846894034</v>
      </c>
      <c r="Q228" s="31" t="n">
        <f aca="false">IFERROR(((AVERAGE(N226:N228)/AVERAGE(N223:N225))^4-1)*100,"")</f>
        <v>18.3079109869236</v>
      </c>
      <c r="R228" s="31" t="n">
        <f aca="false">IFERROR(('SA Data'!X228/'SA Data'!X216-1)*100,"")</f>
        <v>8.98055907754078</v>
      </c>
      <c r="S228" s="31" t="n">
        <f aca="false">IFERROR((AVERAGE('SA Data'!X223:X228)/AVERAGE('SA Data'!X211:X216)-1)*100,"")</f>
        <v>7.82283722817105</v>
      </c>
    </row>
    <row r="229" customFormat="false" ht="15" hidden="false" customHeight="false" outlineLevel="0" collapsed="false">
      <c r="A229" s="20" t="n">
        <v>44773</v>
      </c>
      <c r="B229" s="30" t="n">
        <f aca="false">'SA Data'!R229</f>
        <v>118.319925465452</v>
      </c>
      <c r="C229" s="31" t="n">
        <f aca="false">IFERROR((B229/B228-1)*100,"")</f>
        <v>-9.11831193702471</v>
      </c>
      <c r="D229" s="31" t="n">
        <f aca="false">IFERROR((AVERAGE(B227:B229)/AVERAGE(B224:B226)-1)*100,"")</f>
        <v>-2.52059517085859</v>
      </c>
      <c r="E229" s="31" t="n">
        <f aca="false">IFERROR(((AVERAGE(B227:B229)/AVERAGE(B224:B226))^4-1)*100,"")</f>
        <v>-9.70754205658014</v>
      </c>
      <c r="F229" s="31" t="n">
        <f aca="false">IFERROR(('SA Data'!V229/'SA Data'!V217-1)*100,"")</f>
        <v>-6.20417456105634</v>
      </c>
      <c r="G229" s="31" t="n">
        <f aca="false">IFERROR((AVERAGE('SA Data'!V223:V229)/AVERAGE('SA Data'!V211:V217)-1)*100,"")</f>
        <v>0.186678799883322</v>
      </c>
      <c r="H229" s="30" t="n">
        <f aca="false">'SA Data'!S229</f>
        <v>131.098733859299</v>
      </c>
      <c r="I229" s="31" t="n">
        <f aca="false">IFERROR((H229/H228-1)*100,"")</f>
        <v>-4.50677345976078</v>
      </c>
      <c r="J229" s="31" t="n">
        <f aca="false">IFERROR((AVERAGE(H227:H229)/AVERAGE(H224:H226)-1)*100,"")</f>
        <v>0.628247612691912</v>
      </c>
      <c r="K229" s="31" t="n">
        <f aca="false">IFERROR(((AVERAGE(H227:H229)/AVERAGE(H224:H226))^4-1)*100,"")</f>
        <v>2.53677149681542</v>
      </c>
      <c r="L229" s="31" t="n">
        <f aca="false">IFERROR(('SA Data'!W229/'SA Data'!W217-1)*100,"")</f>
        <v>6.67807461889551</v>
      </c>
      <c r="M229" s="31" t="n">
        <f aca="false">IFERROR((AVERAGE('SA Data'!W223:W229)/AVERAGE('SA Data'!W211:W217)-1)*100,"")</f>
        <v>6.91750458756903</v>
      </c>
      <c r="N229" s="30" t="n">
        <f aca="false">'SA Data'!T229</f>
        <v>162.173063475353</v>
      </c>
      <c r="O229" s="31" t="n">
        <f aca="false">IFERROR((N229/N228-1)*100,"")</f>
        <v>-2.40883783136212</v>
      </c>
      <c r="P229" s="31" t="n">
        <f aca="false">IFERROR((AVERAGE(N227:N229)/AVERAGE(N224:N226)-1)*100,"")</f>
        <v>1.60257190250281</v>
      </c>
      <c r="Q229" s="31" t="n">
        <f aca="false">IFERROR(((AVERAGE(N227:N229)/AVERAGE(N224:N226))^4-1)*100,"")</f>
        <v>6.566034721604</v>
      </c>
      <c r="R229" s="31" t="n">
        <f aca="false">IFERROR(('SA Data'!X229/'SA Data'!X217-1)*100,"")</f>
        <v>6.93862505203435</v>
      </c>
      <c r="S229" s="31" t="n">
        <f aca="false">IFERROR((AVERAGE('SA Data'!X223:X229)/AVERAGE('SA Data'!X211:X217)-1)*100,"")</f>
        <v>7.69454539142431</v>
      </c>
    </row>
    <row r="230" customFormat="false" ht="15" hidden="false" customHeight="false" outlineLevel="0" collapsed="false">
      <c r="A230" s="20" t="n">
        <v>44804</v>
      </c>
      <c r="B230" s="30" t="n">
        <f aca="false">'SA Data'!R230</f>
        <v>121.473923594516</v>
      </c>
      <c r="C230" s="31" t="n">
        <f aca="false">IFERROR((B230/B229-1)*100,"")</f>
        <v>2.66565256583564</v>
      </c>
      <c r="D230" s="31" t="n">
        <f aca="false">IFERROR((AVERAGE(B228:B230)/AVERAGE(B225:B227)-1)*100,"")</f>
        <v>-3.84928179733314</v>
      </c>
      <c r="E230" s="31" t="n">
        <f aca="false">IFERROR(((AVERAGE(B228:B230)/AVERAGE(B225:B227))^4-1)*100,"")</f>
        <v>-14.5307033031173</v>
      </c>
      <c r="F230" s="31" t="n">
        <f aca="false">IFERROR(('SA Data'!V230/'SA Data'!V218-1)*100,"")</f>
        <v>-2.27979652203354</v>
      </c>
      <c r="G230" s="31" t="n">
        <f aca="false">IFERROR((AVERAGE('SA Data'!V223:V230)/AVERAGE('SA Data'!V211:V218)-1)*100,"")</f>
        <v>0.0183661399994595</v>
      </c>
      <c r="H230" s="30" t="n">
        <f aca="false">'SA Data'!S230</f>
        <v>132.608216601993</v>
      </c>
      <c r="I230" s="31" t="n">
        <f aca="false">IFERROR((H230/H229-1)*100,"")</f>
        <v>1.15140909317519</v>
      </c>
      <c r="J230" s="31" t="n">
        <f aca="false">IFERROR((AVERAGE(H228:H230)/AVERAGE(H225:H227)-1)*100,"")</f>
        <v>-1.79764843570127</v>
      </c>
      <c r="K230" s="31" t="n">
        <f aca="false">IFERROR(((AVERAGE(H228:H230)/AVERAGE(H225:H227))^4-1)*100,"")</f>
        <v>-6.99901457510951</v>
      </c>
      <c r="L230" s="31" t="n">
        <f aca="false">IFERROR(('SA Data'!W230/'SA Data'!W218-1)*100,"")</f>
        <v>8.49616321428279</v>
      </c>
      <c r="M230" s="31" t="n">
        <f aca="false">IFERROR((AVERAGE('SA Data'!W223:W230)/AVERAGE('SA Data'!W211:W218)-1)*100,"")</f>
        <v>7.12824556159337</v>
      </c>
      <c r="N230" s="30" t="n">
        <f aca="false">'SA Data'!T230</f>
        <v>162.595565868477</v>
      </c>
      <c r="O230" s="31" t="n">
        <f aca="false">IFERROR((N230/N229-1)*100,"")</f>
        <v>0.260525628652908</v>
      </c>
      <c r="P230" s="31" t="n">
        <f aca="false">IFERROR((AVERAGE(N228:N230)/AVERAGE(N225:N227)-1)*100,"")</f>
        <v>-0.141734098573554</v>
      </c>
      <c r="Q230" s="31" t="n">
        <f aca="false">IFERROR(((AVERAGE(N228:N230)/AVERAGE(N225:N227))^4-1)*100,"")</f>
        <v>-0.565732219502035</v>
      </c>
      <c r="R230" s="31" t="n">
        <f aca="false">IFERROR(('SA Data'!X230/'SA Data'!X218-1)*100,"")</f>
        <v>6.32536754498851</v>
      </c>
      <c r="S230" s="31" t="n">
        <f aca="false">IFERROR((AVERAGE('SA Data'!X223:X230)/AVERAGE('SA Data'!X211:X218)-1)*100,"")</f>
        <v>7.51957454295387</v>
      </c>
    </row>
    <row r="231" customFormat="false" ht="15" hidden="false" customHeight="false" outlineLevel="0" collapsed="false">
      <c r="A231" s="20" t="n">
        <v>44834</v>
      </c>
      <c r="B231" s="30" t="n">
        <f aca="false">'SA Data'!R231</f>
        <v>122.366161030829</v>
      </c>
      <c r="C231" s="31" t="n">
        <f aca="false">IFERROR((B231/B230-1)*100,"")</f>
        <v>0.734509440306996</v>
      </c>
      <c r="D231" s="31" t="n">
        <f aca="false">IFERROR((AVERAGE(B229:B231)/AVERAGE(B226:B228)-1)*100,"")</f>
        <v>-6.66175816464065</v>
      </c>
      <c r="E231" s="31" t="n">
        <f aca="false">IFERROR(((AVERAGE(B229:B231)/AVERAGE(B226:B228))^4-1)*100,"")</f>
        <v>-24.100578774777</v>
      </c>
      <c r="F231" s="31" t="n">
        <f aca="false">IFERROR(('SA Data'!V231/'SA Data'!V219-1)*100,"")</f>
        <v>-2.25029328682391</v>
      </c>
      <c r="G231" s="31" t="n">
        <f aca="false">IFERROR((AVERAGE('SA Data'!V223:V231)/AVERAGE('SA Data'!V211:V219)-1)*100,"")</f>
        <v>-0.118105127071722</v>
      </c>
      <c r="H231" s="30" t="n">
        <f aca="false">'SA Data'!S231</f>
        <v>132.580664702468</v>
      </c>
      <c r="I231" s="31" t="n">
        <f aca="false">IFERROR((H231/H230-1)*100,"")</f>
        <v>-0.0207769173212746</v>
      </c>
      <c r="J231" s="31" t="n">
        <f aca="false">IFERROR((AVERAGE(H229:H231)/AVERAGE(H226:H228)-1)*100,"")</f>
        <v>-3.63521253799535</v>
      </c>
      <c r="K231" s="31" t="n">
        <f aca="false">IFERROR(((AVERAGE(H229:H231)/AVERAGE(H226:H228))^4-1)*100,"")</f>
        <v>-13.767004709368</v>
      </c>
      <c r="L231" s="31" t="n">
        <f aca="false">IFERROR(('SA Data'!W231/'SA Data'!W219-1)*100,"")</f>
        <v>5.15970733407256</v>
      </c>
      <c r="M231" s="31" t="n">
        <f aca="false">IFERROR((AVERAGE('SA Data'!W223:W231)/AVERAGE('SA Data'!W211:W219)-1)*100,"")</f>
        <v>6.8953683703378</v>
      </c>
      <c r="N231" s="30" t="n">
        <f aca="false">'SA Data'!T231</f>
        <v>162.169072209826</v>
      </c>
      <c r="O231" s="31" t="n">
        <f aca="false">IFERROR((N231/N230-1)*100,"")</f>
        <v>-0.262303376093709</v>
      </c>
      <c r="P231" s="31" t="n">
        <f aca="false">IFERROR((AVERAGE(N229:N231)/AVERAGE(N226:N228)-1)*100,"")</f>
        <v>-1.96586519403854</v>
      </c>
      <c r="Q231" s="31" t="n">
        <f aca="false">IFERROR(((AVERAGE(N229:N231)/AVERAGE(N226:N228))^4-1)*100,"")</f>
        <v>-7.63460721661839</v>
      </c>
      <c r="R231" s="31" t="n">
        <f aca="false">IFERROR(('SA Data'!X231/'SA Data'!X219-1)*100,"")</f>
        <v>4.61585482974696</v>
      </c>
      <c r="S231" s="31" t="n">
        <f aca="false">IFERROR((AVERAGE('SA Data'!X223:X231)/AVERAGE('SA Data'!X211:X219)-1)*100,"")</f>
        <v>7.19043317952282</v>
      </c>
    </row>
    <row r="232" customFormat="false" ht="15" hidden="false" customHeight="false" outlineLevel="0" collapsed="false">
      <c r="A232" s="20" t="n">
        <v>44865</v>
      </c>
      <c r="B232" s="30" t="n">
        <f aca="false">'SA Data'!R232</f>
        <v>109.533728432836</v>
      </c>
      <c r="C232" s="31" t="n">
        <f aca="false">IFERROR((B232/B231-1)*100,"")</f>
        <v>-10.4869127950824</v>
      </c>
      <c r="D232" s="31" t="n">
        <f aca="false">IFERROR((AVERAGE(B230:B232)/AVERAGE(B227:B229)-1)*100,"")</f>
        <v>-6.1553963213448</v>
      </c>
      <c r="E232" s="31" t="n">
        <f aca="false">IFERROR(((AVERAGE(B230:B232)/AVERAGE(B227:B229))^4-1)*100,"")</f>
        <v>-22.4401039717804</v>
      </c>
      <c r="F232" s="31" t="n">
        <f aca="false">IFERROR(('SA Data'!V232/'SA Data'!V220-1)*100,"")</f>
        <v>-14.9350176000688</v>
      </c>
      <c r="G232" s="31" t="n">
        <f aca="false">IFERROR((AVERAGE('SA Data'!V223:V232)/AVERAGE('SA Data'!V211:V220)-1)*100,"")</f>
        <v>-0.960765665225116</v>
      </c>
      <c r="H232" s="30" t="n">
        <f aca="false">'SA Data'!S232</f>
        <v>126.864530740007</v>
      </c>
      <c r="I232" s="31" t="n">
        <f aca="false">IFERROR((H232/H231-1)*100,"")</f>
        <v>-4.31143860629262</v>
      </c>
      <c r="J232" s="31" t="n">
        <f aca="false">IFERROR((AVERAGE(H230:H232)/AVERAGE(H227:H229)-1)*100,"")</f>
        <v>-3.0214219653267</v>
      </c>
      <c r="K232" s="31" t="n">
        <f aca="false">IFERROR(((AVERAGE(H230:H232)/AVERAGE(H227:H229))^4-1)*100,"")</f>
        <v>-11.5488980944821</v>
      </c>
      <c r="L232" s="31" t="n">
        <f aca="false">IFERROR(('SA Data'!W232/'SA Data'!W220-1)*100,"")</f>
        <v>4.27777907829212</v>
      </c>
      <c r="M232" s="31" t="n">
        <f aca="false">IFERROR((AVERAGE('SA Data'!W223:W232)/AVERAGE('SA Data'!W211:W220)-1)*100,"")</f>
        <v>6.61942770466106</v>
      </c>
      <c r="N232" s="30" t="n">
        <f aca="false">'SA Data'!T232</f>
        <v>159.375010687025</v>
      </c>
      <c r="O232" s="31" t="n">
        <f aca="false">IFERROR((N232/N231-1)*100,"")</f>
        <v>-1.72293118825135</v>
      </c>
      <c r="P232" s="31" t="n">
        <f aca="false">IFERROR((AVERAGE(N230:N232)/AVERAGE(N227:N229)-1)*100,"")</f>
        <v>-1.82012647429159</v>
      </c>
      <c r="Q232" s="31" t="n">
        <f aca="false">IFERROR(((AVERAGE(N230:N232)/AVERAGE(N227:N229))^4-1)*100,"")</f>
        <v>-7.08413522913251</v>
      </c>
      <c r="R232" s="31" t="n">
        <f aca="false">IFERROR(('SA Data'!X232/'SA Data'!X220-1)*100,"")</f>
        <v>4.47063223945747</v>
      </c>
      <c r="S232" s="31" t="n">
        <f aca="false">IFERROR((AVERAGE('SA Data'!X223:X232)/AVERAGE('SA Data'!X211:X220)-1)*100,"")</f>
        <v>6.91372943188255</v>
      </c>
    </row>
    <row r="233" customFormat="false" ht="15" hidden="false" customHeight="false" outlineLevel="0" collapsed="false">
      <c r="A233" s="20" t="n">
        <v>44895</v>
      </c>
      <c r="B233" s="30" t="n">
        <f aca="false">'SA Data'!R233</f>
        <v>109.2333681444</v>
      </c>
      <c r="C233" s="31" t="n">
        <f aca="false">IFERROR((B233/B232-1)*100,"")</f>
        <v>-0.274217168294433</v>
      </c>
      <c r="D233" s="31" t="n">
        <f aca="false">IFERROR((AVERAGE(B231:B233)/AVERAGE(B228:B230)-1)*100,"")</f>
        <v>-7.79808703503607</v>
      </c>
      <c r="E233" s="31" t="n">
        <f aca="false">IFERROR(((AVERAGE(B231:B233)/AVERAGE(B228:B230))^4-1)*100,"")</f>
        <v>-27.7297217525576</v>
      </c>
      <c r="F233" s="31" t="n">
        <f aca="false">IFERROR(('SA Data'!V233/'SA Data'!V221-1)*100,"")</f>
        <v>-18.5451610418272</v>
      </c>
      <c r="G233" s="31" t="n">
        <f aca="false">IFERROR((AVERAGE('SA Data'!V223:V233)/AVERAGE('SA Data'!V211:V221)-1)*100,"")</f>
        <v>-2.09708394693499</v>
      </c>
      <c r="H233" s="30" t="n">
        <f aca="false">'SA Data'!S233</f>
        <v>130.906673541978</v>
      </c>
      <c r="I233" s="31" t="n">
        <f aca="false">IFERROR((H233/H232-1)*100,"")</f>
        <v>3.18618827373871</v>
      </c>
      <c r="J233" s="31" t="n">
        <f aca="false">IFERROR((AVERAGE(H231:H233)/AVERAGE(H228:H230)-1)*100,"")</f>
        <v>-2.65365823788445</v>
      </c>
      <c r="K233" s="31" t="n">
        <f aca="false">IFERROR(((AVERAGE(H231:H233)/AVERAGE(H228:H230))^4-1)*100,"")</f>
        <v>-10.1995439610911</v>
      </c>
      <c r="L233" s="31" t="n">
        <f aca="false">IFERROR(('SA Data'!W233/'SA Data'!W221-1)*100,"")</f>
        <v>2.37208241823876</v>
      </c>
      <c r="M233" s="31" t="n">
        <f aca="false">IFERROR((AVERAGE('SA Data'!W223:W233)/AVERAGE('SA Data'!W211:W221)-1)*100,"")</f>
        <v>6.20492220817621</v>
      </c>
      <c r="N233" s="30" t="n">
        <f aca="false">'SA Data'!T233</f>
        <v>160.860442017909</v>
      </c>
      <c r="O233" s="31" t="n">
        <f aca="false">IFERROR((N233/N232-1)*100,"")</f>
        <v>0.932035282370425</v>
      </c>
      <c r="P233" s="31" t="n">
        <f aca="false">IFERROR((AVERAGE(N231:N233)/AVERAGE(N228:N230)-1)*100,"")</f>
        <v>-1.73951960549952</v>
      </c>
      <c r="Q233" s="31" t="n">
        <f aca="false">IFERROR(((AVERAGE(N231:N233)/AVERAGE(N228:N230))^4-1)*100,"")</f>
        <v>-6.77861902303096</v>
      </c>
      <c r="R233" s="31" t="n">
        <f aca="false">IFERROR(('SA Data'!X233/'SA Data'!X221-1)*100,"")</f>
        <v>2.85586682580485</v>
      </c>
      <c r="S233" s="31" t="n">
        <f aca="false">IFERROR((AVERAGE('SA Data'!X223:X233)/AVERAGE('SA Data'!X211:X221)-1)*100,"")</f>
        <v>6.53147095675843</v>
      </c>
    </row>
    <row r="234" customFormat="false" ht="15" hidden="false" customHeight="false" outlineLevel="0" collapsed="false">
      <c r="A234" s="20" t="n">
        <v>44926</v>
      </c>
      <c r="B234" s="30" t="n">
        <f aca="false">'SA Data'!R234</f>
        <v>106.642354480152</v>
      </c>
      <c r="C234" s="31" t="n">
        <f aca="false">IFERROR((B234/B233-1)*100,"")</f>
        <v>-2.37199832639351</v>
      </c>
      <c r="D234" s="31" t="n">
        <f aca="false">IFERROR((AVERAGE(B232:B234)/AVERAGE(B229:B231)-1)*100,"")</f>
        <v>-10.1476027196364</v>
      </c>
      <c r="E234" s="31" t="n">
        <f aca="false">IFERROR(((AVERAGE(B232:B234)/AVERAGE(B229:B231))^4-1)*100,"")</f>
        <v>-34.8193518607029</v>
      </c>
      <c r="F234" s="31" t="n">
        <f aca="false">IFERROR(('SA Data'!V234/'SA Data'!V222-1)*100,"")</f>
        <v>-28.5110389737076</v>
      </c>
      <c r="G234" s="31" t="n">
        <f aca="false">IFERROR((AVERAGE('SA Data'!V223:V234)/AVERAGE('SA Data'!V211:V222)-1)*100,"")</f>
        <v>-4.28314187227753</v>
      </c>
      <c r="H234" s="30" t="n">
        <f aca="false">'SA Data'!S234</f>
        <v>130.028963019288</v>
      </c>
      <c r="I234" s="31" t="n">
        <f aca="false">IFERROR((H234/H233-1)*100,"")</f>
        <v>-0.670485697132395</v>
      </c>
      <c r="J234" s="31" t="n">
        <f aca="false">IFERROR((AVERAGE(H232:H234)/AVERAGE(H229:H231)-1)*100,"")</f>
        <v>-2.14173936749966</v>
      </c>
      <c r="K234" s="31" t="n">
        <f aca="false">IFERROR(((AVERAGE(H232:H234)/AVERAGE(H229:H231))^4-1)*100,"")</f>
        <v>-8.29564328199606</v>
      </c>
      <c r="L234" s="31" t="n">
        <f aca="false">IFERROR(('SA Data'!W234/'SA Data'!W222-1)*100,"")</f>
        <v>-0.313490178529507</v>
      </c>
      <c r="M234" s="31" t="n">
        <f aca="false">IFERROR((AVERAGE('SA Data'!W223:W234)/AVERAGE('SA Data'!W211:W222)-1)*100,"")</f>
        <v>5.64478502680821</v>
      </c>
      <c r="N234" s="30" t="n">
        <f aca="false">'SA Data'!T234</f>
        <v>160.617914106576</v>
      </c>
      <c r="O234" s="31" t="n">
        <f aca="false">IFERROR((N234/N233-1)*100,"")</f>
        <v>-0.150769143918328</v>
      </c>
      <c r="P234" s="31" t="n">
        <f aca="false">IFERROR((AVERAGE(N232:N234)/AVERAGE(N229:N231)-1)*100,"")</f>
        <v>-1.2495098906354</v>
      </c>
      <c r="Q234" s="31" t="n">
        <f aca="false">IFERROR(((AVERAGE(N232:N234)/AVERAGE(N229:N231))^4-1)*100,"")</f>
        <v>-4.90514095835956</v>
      </c>
      <c r="R234" s="31" t="n">
        <f aca="false">IFERROR(('SA Data'!X234/'SA Data'!X222-1)*100,"")</f>
        <v>1.43103025832643</v>
      </c>
      <c r="S234" s="31" t="n">
        <f aca="false">IFERROR((AVERAGE('SA Data'!X223:X234)/AVERAGE('SA Data'!X211:X222)-1)*100,"")</f>
        <v>6.09015167764964</v>
      </c>
    </row>
    <row r="235" customFormat="false" ht="15" hidden="false" customHeight="false" outlineLevel="0" collapsed="false">
      <c r="A235" s="20" t="n">
        <v>44957</v>
      </c>
      <c r="B235" s="30" t="n">
        <f aca="false">'SA Data'!R235</f>
        <v>114.758265212799</v>
      </c>
      <c r="C235" s="31" t="n">
        <f aca="false">IFERROR((B235/B234-1)*100,"")</f>
        <v>7.61040092579468</v>
      </c>
      <c r="D235" s="31" t="n">
        <f aca="false">IFERROR((AVERAGE(B233:B235)/AVERAGE(B230:B232)-1)*100,"")</f>
        <v>-6.43506235621572</v>
      </c>
      <c r="E235" s="31" t="n">
        <f aca="false">IFERROR(((AVERAGE(B233:B235)/AVERAGE(B230:B232))^4-1)*100,"")</f>
        <v>-23.360523426507</v>
      </c>
      <c r="F235" s="31" t="n">
        <f aca="false">IFERROR(('SA Data'!V235/'SA Data'!V223-1)*100,"")</f>
        <v>-20.1295513331995</v>
      </c>
      <c r="G235" s="31" t="n">
        <f aca="false">IFERROR((AVERAGE('SA Data'!V235:V235)/AVERAGE('SA Data'!V223:V223)-1)*100,"")</f>
        <v>-20.1295513331995</v>
      </c>
      <c r="H235" s="30" t="n">
        <f aca="false">'SA Data'!S235</f>
        <v>131.220975641308</v>
      </c>
      <c r="I235" s="31" t="n">
        <f aca="false">IFERROR((H235/H234-1)*100,"")</f>
        <v>0.916728545965651</v>
      </c>
      <c r="J235" s="31" t="n">
        <f aca="false">IFERROR((AVERAGE(H233:H235)/AVERAGE(H230:H232)-1)*100,"")</f>
        <v>0.0263229843017188</v>
      </c>
      <c r="K235" s="31" t="n">
        <f aca="false">IFERROR(((AVERAGE(H233:H235)/AVERAGE(H230:H232))^4-1)*100,"")</f>
        <v>0.105333518473172</v>
      </c>
      <c r="L235" s="31" t="n">
        <f aca="false">IFERROR(('SA Data'!W235/'SA Data'!W223-1)*100,"")</f>
        <v>7.5794910094442</v>
      </c>
      <c r="M235" s="31" t="n">
        <f aca="false">IFERROR((AVERAGE('SA Data'!W235:W235)/AVERAGE('SA Data'!W223:W223)-1)*100,"")</f>
        <v>7.5794910094442</v>
      </c>
      <c r="N235" s="30" t="n">
        <f aca="false">'SA Data'!T235</f>
        <v>161.196969521319</v>
      </c>
      <c r="O235" s="31" t="n">
        <f aca="false">IFERROR((N235/N234-1)*100,"")</f>
        <v>0.360517329567056</v>
      </c>
      <c r="P235" s="31" t="n">
        <f aca="false">IFERROR((AVERAGE(N233:N235)/AVERAGE(N230:N232)-1)*100,"")</f>
        <v>-0.302458830475416</v>
      </c>
      <c r="Q235" s="31" t="n">
        <f aca="false">IFERROR(((AVERAGE(N233:N235)/AVERAGE(N230:N232))^4-1)*100,"")</f>
        <v>-1.20435750062102</v>
      </c>
      <c r="R235" s="31" t="n">
        <f aca="false">IFERROR(('SA Data'!X235/'SA Data'!X223-1)*100,"")</f>
        <v>3.16634834416125</v>
      </c>
      <c r="S235" s="31" t="n">
        <f aca="false">IFERROR((AVERAGE('SA Data'!X235:X235)/AVERAGE('SA Data'!X223:X223)-1)*100,"")</f>
        <v>3.16634834416125</v>
      </c>
    </row>
    <row r="236" customFormat="false" ht="15" hidden="false" customHeight="false" outlineLevel="0" collapsed="false">
      <c r="A236" s="20" t="n">
        <v>44985</v>
      </c>
      <c r="B236" s="30" t="n">
        <f aca="false">'SA Data'!R236</f>
        <v>115.899237197798</v>
      </c>
      <c r="C236" s="31" t="n">
        <f aca="false">IFERROR((B236/B235-1)*100,"")</f>
        <v>0.994239484959114</v>
      </c>
      <c r="D236" s="31" t="n">
        <f aca="false">IFERROR((AVERAGE(B234:B236)/AVERAGE(B231:B233)-1)*100,"")</f>
        <v>-1.12372529849355</v>
      </c>
      <c r="E236" s="31" t="n">
        <f aca="false">IFERROR(((AVERAGE(B234:B236)/AVERAGE(B231:B233))^4-1)*100,"")</f>
        <v>-4.41970168411642</v>
      </c>
      <c r="F236" s="31" t="n">
        <f aca="false">IFERROR(('SA Data'!V236/'SA Data'!V224-1)*100,"")</f>
        <v>-12.197586921446</v>
      </c>
      <c r="G236" s="31" t="n">
        <f aca="false">IFERROR((AVERAGE('SA Data'!V235:V236)/AVERAGE('SA Data'!V223:V224)-1)*100,"")</f>
        <v>-16.6694062990279</v>
      </c>
      <c r="H236" s="30" t="n">
        <f aca="false">'SA Data'!S236</f>
        <v>128.598615393092</v>
      </c>
      <c r="I236" s="31" t="n">
        <f aca="false">IFERROR((H236/H235-1)*100,"")</f>
        <v>-1.99843068945396</v>
      </c>
      <c r="J236" s="31" t="n">
        <f aca="false">IFERROR((AVERAGE(H234:H236)/AVERAGE(H231:H233)-1)*100,"")</f>
        <v>-0.128938778255339</v>
      </c>
      <c r="K236" s="31" t="n">
        <f aca="false">IFERROR(((AVERAGE(H234:H236)/AVERAGE(H231:H233))^4-1)*100,"")</f>
        <v>-0.514758457686304</v>
      </c>
      <c r="L236" s="31" t="n">
        <f aca="false">IFERROR(('SA Data'!W236/'SA Data'!W224-1)*100,"")</f>
        <v>-0.034718862081573</v>
      </c>
      <c r="M236" s="31" t="n">
        <f aca="false">IFERROR((AVERAGE('SA Data'!W235:W236)/AVERAGE('SA Data'!W223:W224)-1)*100,"")</f>
        <v>3.67743830121503</v>
      </c>
      <c r="N236" s="30" t="n">
        <f aca="false">'SA Data'!T236</f>
        <v>159.850678966666</v>
      </c>
      <c r="O236" s="31" t="n">
        <f aca="false">IFERROR((N236/N235-1)*100,"")</f>
        <v>-0.835183538903583</v>
      </c>
      <c r="P236" s="31" t="n">
        <f aca="false">IFERROR((AVERAGE(N234:N236)/AVERAGE(N231:N233)-1)*100,"")</f>
        <v>-0.153183123713396</v>
      </c>
      <c r="Q236" s="31" t="n">
        <f aca="false">IFERROR(((AVERAGE(N234:N236)/AVERAGE(N231:N233))^4-1)*100,"")</f>
        <v>-0.611326027920589</v>
      </c>
      <c r="R236" s="31" t="n">
        <f aca="false">IFERROR(('SA Data'!X236/'SA Data'!X224-1)*100,"")</f>
        <v>1.20078980377525</v>
      </c>
      <c r="S236" s="31" t="n">
        <f aca="false">IFERROR((AVERAGE('SA Data'!X235:X236)/AVERAGE('SA Data'!X223:X224)-1)*100,"")</f>
        <v>2.18500174519303</v>
      </c>
    </row>
    <row r="237" customFormat="false" ht="15" hidden="false" customHeight="false" outlineLevel="0" collapsed="false">
      <c r="A237" s="20" t="n">
        <v>45016</v>
      </c>
      <c r="B237" s="30" t="n">
        <f aca="false">'SA Data'!R237</f>
        <v>106.145846098552</v>
      </c>
      <c r="C237" s="31" t="n">
        <f aca="false">IFERROR((B237/B236-1)*100,"")</f>
        <v>-8.41540577407003</v>
      </c>
      <c r="D237" s="31" t="n">
        <f aca="false">IFERROR((AVERAGE(B235:B237)/AVERAGE(B232:B234)-1)*100,"")</f>
        <v>3.50140335959415</v>
      </c>
      <c r="E237" s="31" t="n">
        <f aca="false">IFERROR(((AVERAGE(B235:B237)/AVERAGE(B232:B234))^4-1)*100,"")</f>
        <v>14.7585239085509</v>
      </c>
      <c r="F237" s="31" t="n">
        <f aca="false">IFERROR(('SA Data'!V237/'SA Data'!V225-1)*100,"")</f>
        <v>-17.8327311350162</v>
      </c>
      <c r="G237" s="31" t="n">
        <f aca="false">IFERROR((AVERAGE('SA Data'!V235:V237)/AVERAGE('SA Data'!V223:V225)-1)*100,"")</f>
        <v>-17.1940242805698</v>
      </c>
      <c r="H237" s="30" t="n">
        <f aca="false">'SA Data'!S237</f>
        <v>140.192636582435</v>
      </c>
      <c r="I237" s="31" t="n">
        <f aca="false">IFERROR((H237/H236-1)*100,"")</f>
        <v>9.01566564609098</v>
      </c>
      <c r="J237" s="31" t="n">
        <f aca="false">IFERROR((AVERAGE(H235:H237)/AVERAGE(H232:H234)-1)*100,"")</f>
        <v>3.14906009467391</v>
      </c>
      <c r="K237" s="31" t="n">
        <f aca="false">IFERROR(((AVERAGE(H235:H237)/AVERAGE(H232:H234))^4-1)*100,"")</f>
        <v>13.2038246479225</v>
      </c>
      <c r="L237" s="31" t="n">
        <f aca="false">IFERROR(('SA Data'!W237/'SA Data'!W225-1)*100,"")</f>
        <v>4.02539624490341</v>
      </c>
      <c r="M237" s="31" t="n">
        <f aca="false">IFERROR((AVERAGE('SA Data'!W235:W237)/AVERAGE('SA Data'!W223:W225)-1)*100,"")</f>
        <v>3.80540447009672</v>
      </c>
      <c r="N237" s="30" t="n">
        <f aca="false">'SA Data'!T237</f>
        <v>164.985902891068</v>
      </c>
      <c r="O237" s="31" t="n">
        <f aca="false">IFERROR((N237/N236-1)*100,"")</f>
        <v>3.21251305130417</v>
      </c>
      <c r="P237" s="31" t="n">
        <f aca="false">IFERROR((AVERAGE(N235:N237)/AVERAGE(N232:N234)-1)*100,"")</f>
        <v>1.07728986112592</v>
      </c>
      <c r="Q237" s="31" t="n">
        <f aca="false">IFERROR(((AVERAGE(N235:N237)/AVERAGE(N232:N234))^4-1)*100,"")</f>
        <v>4.37929409906483</v>
      </c>
      <c r="R237" s="31" t="n">
        <f aca="false">IFERROR(('SA Data'!X237/'SA Data'!X225-1)*100,"")</f>
        <v>2.20459299756817</v>
      </c>
      <c r="S237" s="31" t="n">
        <f aca="false">IFERROR((AVERAGE('SA Data'!X235:X237)/AVERAGE('SA Data'!X223:X225)-1)*100,"")</f>
        <v>2.19172729963641</v>
      </c>
    </row>
    <row r="238" customFormat="false" ht="15" hidden="false" customHeight="false" outlineLevel="0" collapsed="false">
      <c r="A238" s="20" t="n">
        <v>45046</v>
      </c>
      <c r="B238" s="30" t="n">
        <f aca="false">'SA Data'!R238</f>
        <v>76.374470934686</v>
      </c>
      <c r="C238" s="31" t="n">
        <f aca="false">IFERROR((B238/B237-1)*100,"")</f>
        <v>-28.0476120904668</v>
      </c>
      <c r="D238" s="31" t="n">
        <f aca="false">IFERROR((AVERAGE(B236:B238)/AVERAGE(B233:B235)-1)*100,"")</f>
        <v>-9.74323112303931</v>
      </c>
      <c r="E238" s="31" t="n">
        <f aca="false">IFERROR(((AVERAGE(B236:B238)/AVERAGE(B233:B235))^4-1)*100,"")</f>
        <v>-33.6380516456041</v>
      </c>
      <c r="F238" s="31" t="n">
        <f aca="false">IFERROR(('SA Data'!V238/'SA Data'!V226-1)*100,"")</f>
        <v>-40.3478977422302</v>
      </c>
      <c r="G238" s="31" t="n">
        <f aca="false">IFERROR((AVERAGE('SA Data'!V235:V238)/AVERAGE('SA Data'!V223:V226)-1)*100,"")</f>
        <v>-25.9638413335785</v>
      </c>
      <c r="H238" s="30" t="n">
        <f aca="false">'SA Data'!S238</f>
        <v>140.905969344912</v>
      </c>
      <c r="I238" s="31" t="n">
        <f aca="false">IFERROR((H238/H237-1)*100,"")</f>
        <v>0.508823273365611</v>
      </c>
      <c r="J238" s="31" t="n">
        <f aca="false">IFERROR((AVERAGE(H236:H238)/AVERAGE(H233:H235)-1)*100,"")</f>
        <v>4.47285818269039</v>
      </c>
      <c r="K238" s="31" t="n">
        <f aca="false">IFERROR(((AVERAGE(H236:H238)/AVERAGE(H233:H235))^4-1)*100,"")</f>
        <v>19.1280150324678</v>
      </c>
      <c r="L238" s="31" t="n">
        <f aca="false">IFERROR(('SA Data'!W238/'SA Data'!W226-1)*100,"")</f>
        <v>1.54089422649972</v>
      </c>
      <c r="M238" s="31" t="n">
        <f aca="false">IFERROR((AVERAGE('SA Data'!W235:W238)/AVERAGE('SA Data'!W223:W226)-1)*100,"")</f>
        <v>3.21204681821414</v>
      </c>
      <c r="N238" s="30" t="n">
        <f aca="false">'SA Data'!T238</f>
        <v>166.549225329289</v>
      </c>
      <c r="O238" s="31" t="n">
        <f aca="false">IFERROR((N238/N237-1)*100,"")</f>
        <v>0.947549100151224</v>
      </c>
      <c r="P238" s="31" t="n">
        <f aca="false">IFERROR((AVERAGE(N236:N238)/AVERAGE(N233:N235)-1)*100,"")</f>
        <v>1.80462540312454</v>
      </c>
      <c r="Q238" s="31" t="n">
        <f aca="false">IFERROR(((AVERAGE(N236:N238)/AVERAGE(N233:N235))^4-1)*100,"")</f>
        <v>7.41626341897106</v>
      </c>
      <c r="R238" s="31" t="n">
        <f aca="false">IFERROR(('SA Data'!X238/'SA Data'!X226-1)*100,"")</f>
        <v>0.0937599570714598</v>
      </c>
      <c r="S238" s="31" t="n">
        <f aca="false">IFERROR((AVERAGE('SA Data'!X235:X238)/AVERAGE('SA Data'!X223:X226)-1)*100,"")</f>
        <v>1.6585900841638</v>
      </c>
    </row>
    <row r="239" customFormat="false" ht="15" hidden="false" customHeight="false" outlineLevel="0" collapsed="false">
      <c r="A239" s="20" t="n">
        <v>45077</v>
      </c>
      <c r="B239" s="30" t="n">
        <f aca="false">'SA Data'!R239</f>
        <v>65.5113687929267</v>
      </c>
      <c r="C239" s="31" t="n">
        <f aca="false">IFERROR((B239/B238-1)*100,"")</f>
        <v>-14.2234728552807</v>
      </c>
      <c r="D239" s="31" t="n">
        <f aca="false">IFERROR((AVERAGE(B237:B239)/AVERAGE(B234:B236)-1)*100,"")</f>
        <v>-26.4655229585521</v>
      </c>
      <c r="E239" s="31" t="n">
        <f aca="false">IFERROR(((AVERAGE(B237:B239)/AVERAGE(B234:B236))^4-1)*100,"")</f>
        <v>-70.7608978390464</v>
      </c>
      <c r="F239" s="31" t="n">
        <f aca="false">IFERROR(('SA Data'!V239/'SA Data'!V227-1)*100,"")</f>
        <v>-48.8166003705915</v>
      </c>
      <c r="G239" s="31" t="n">
        <f aca="false">IFERROR((AVERAGE('SA Data'!V235:V239)/AVERAGE('SA Data'!V223:V227)-1)*100,"")</f>
        <v>-33.6337526960027</v>
      </c>
      <c r="H239" s="30" t="n">
        <f aca="false">'SA Data'!S239</f>
        <v>137.510800204932</v>
      </c>
      <c r="I239" s="31" t="n">
        <f aca="false">IFERROR((H239/H238-1)*100,"")</f>
        <v>-2.40952825190003</v>
      </c>
      <c r="J239" s="31" t="n">
        <f aca="false">IFERROR((AVERAGE(H237:H239)/AVERAGE(H234:H236)-1)*100,"")</f>
        <v>7.37744228612194</v>
      </c>
      <c r="K239" s="31" t="n">
        <f aca="false">IFERROR(((AVERAGE(H237:H239)/AVERAGE(H234:H236))^4-1)*100,"")</f>
        <v>32.9389424878378</v>
      </c>
      <c r="L239" s="31" t="n">
        <f aca="false">IFERROR(('SA Data'!W239/'SA Data'!W227-1)*100,"")</f>
        <v>0.511026156028893</v>
      </c>
      <c r="M239" s="31" t="n">
        <f aca="false">IFERROR((AVERAGE('SA Data'!W235:W239)/AVERAGE('SA Data'!W223:W227)-1)*100,"")</f>
        <v>2.63746534823128</v>
      </c>
      <c r="N239" s="30" t="n">
        <f aca="false">'SA Data'!T239</f>
        <v>166.049980408189</v>
      </c>
      <c r="O239" s="31" t="n">
        <f aca="false">IFERROR((N239/N238-1)*100,"")</f>
        <v>-0.29975817666672</v>
      </c>
      <c r="P239" s="31" t="n">
        <f aca="false">IFERROR((AVERAGE(N237:N239)/AVERAGE(N234:N236)-1)*100,"")</f>
        <v>3.30510363834871</v>
      </c>
      <c r="Q239" s="31" t="n">
        <f aca="false">IFERROR(((AVERAGE(N237:N239)/AVERAGE(N234:N236))^4-1)*100,"")</f>
        <v>13.8903980819956</v>
      </c>
      <c r="R239" s="31" t="n">
        <f aca="false">IFERROR(('SA Data'!X239/'SA Data'!X227-1)*100,"")</f>
        <v>0.361214437871871</v>
      </c>
      <c r="S239" s="31" t="n">
        <f aca="false">IFERROR((AVERAGE('SA Data'!X235:X239)/AVERAGE('SA Data'!X223:X227)-1)*100,"")</f>
        <v>1.39194042814472</v>
      </c>
    </row>
    <row r="240" customFormat="false" ht="15" hidden="false" customHeight="false" outlineLevel="0" collapsed="false">
      <c r="A240" s="20" t="n">
        <v>45107</v>
      </c>
      <c r="B240" s="30" t="n">
        <f aca="false">'SA Data'!R240</f>
        <v>73.4454697712109</v>
      </c>
      <c r="C240" s="31" t="n">
        <f aca="false">IFERROR((B240/B239-1)*100,"")</f>
        <v>12.111029161004</v>
      </c>
      <c r="D240" s="31" t="n">
        <f aca="false">IFERROR((AVERAGE(B238:B240)/AVERAGE(B235:B237)-1)*100,"")</f>
        <v>-36.066161321738</v>
      </c>
      <c r="E240" s="31" t="n">
        <f aca="false">IFERROR(((AVERAGE(B238:B240)/AVERAGE(B235:B237))^4-1)*100,"")</f>
        <v>-83.2920516711951</v>
      </c>
      <c r="F240" s="31" t="n">
        <f aca="false">IFERROR(('SA Data'!V240/'SA Data'!V228-1)*100,"")</f>
        <v>-43.3020068327326</v>
      </c>
      <c r="G240" s="31" t="n">
        <f aca="false">IFERROR((AVERAGE('SA Data'!V235:V240)/AVERAGE('SA Data'!V223:V228)-1)*100,"")</f>
        <v>-35.4824602013984</v>
      </c>
      <c r="H240" s="30" t="n">
        <f aca="false">'SA Data'!S240</f>
        <v>134.114973065434</v>
      </c>
      <c r="I240" s="31" t="n">
        <f aca="false">IFERROR((H240/H239-1)*100,"")</f>
        <v>-2.46949849352748</v>
      </c>
      <c r="J240" s="31" t="n">
        <f aca="false">IFERROR((AVERAGE(H238:H240)/AVERAGE(H235:H237)-1)*100,"")</f>
        <v>3.12978307514011</v>
      </c>
      <c r="K240" s="31" t="n">
        <f aca="false">IFERROR(((AVERAGE(H238:H240)/AVERAGE(H235:H237))^4-1)*100,"")</f>
        <v>13.1192239477988</v>
      </c>
      <c r="L240" s="31" t="n">
        <f aca="false">IFERROR(('SA Data'!W240/'SA Data'!W228-1)*100,"")</f>
        <v>-2.6904202638432</v>
      </c>
      <c r="M240" s="31" t="n">
        <f aca="false">IFERROR((AVERAGE('SA Data'!W235:W240)/AVERAGE('SA Data'!W223:W228)-1)*100,"")</f>
        <v>1.67972019838922</v>
      </c>
      <c r="N240" s="30" t="n">
        <f aca="false">'SA Data'!T240</f>
        <v>166.564095625344</v>
      </c>
      <c r="O240" s="31" t="n">
        <f aca="false">IFERROR((N240/N239-1)*100,"")</f>
        <v>0.309614741230901</v>
      </c>
      <c r="P240" s="31" t="n">
        <f aca="false">IFERROR((AVERAGE(N238:N240)/AVERAGE(N235:N237)-1)*100,"")</f>
        <v>2.70140815310282</v>
      </c>
      <c r="Q240" s="31" t="n">
        <f aca="false">IFERROR(((AVERAGE(N238:N240)/AVERAGE(N235:N237))^4-1)*100,"")</f>
        <v>11.2514277529928</v>
      </c>
      <c r="R240" s="31" t="n">
        <f aca="false">IFERROR(('SA Data'!X240/'SA Data'!X228-1)*100,"")</f>
        <v>0.142419193694865</v>
      </c>
      <c r="S240" s="31" t="n">
        <f aca="false">IFERROR((AVERAGE('SA Data'!X235:X240)/AVERAGE('SA Data'!X223:X228)-1)*100,"")</f>
        <v>1.17524670297713</v>
      </c>
    </row>
    <row r="241" customFormat="false" ht="15" hidden="false" customHeight="false" outlineLevel="0" collapsed="false">
      <c r="A241" s="20" t="n">
        <v>45138</v>
      </c>
      <c r="B241" s="30" t="n">
        <f aca="false">'SA Data'!R241</f>
        <v>103.316131718908</v>
      </c>
      <c r="C241" s="31" t="n">
        <f aca="false">IFERROR((B241/B240-1)*100,"")</f>
        <v>40.6705301780308</v>
      </c>
      <c r="D241" s="31" t="n">
        <f aca="false">IFERROR((AVERAGE(B239:B241)/AVERAGE(B236:B238)-1)*100,"")</f>
        <v>-18.8146464103763</v>
      </c>
      <c r="E241" s="31" t="n">
        <f aca="false">IFERROR(((AVERAGE(B239:B241)/AVERAGE(B236:B238))^4-1)*100,"")</f>
        <v>-56.557906491042</v>
      </c>
      <c r="F241" s="31" t="n">
        <f aca="false">IFERROR(('SA Data'!V241/'SA Data'!V229-1)*100,"")</f>
        <v>-12.9606652156191</v>
      </c>
      <c r="G241" s="31" t="n">
        <f aca="false">IFERROR((AVERAGE('SA Data'!V235:V241)/AVERAGE('SA Data'!V223:V229)-1)*100,"")</f>
        <v>-33.237586154189</v>
      </c>
      <c r="H241" s="30" t="n">
        <f aca="false">'SA Data'!S241</f>
        <v>129.061255408337</v>
      </c>
      <c r="I241" s="31" t="n">
        <f aca="false">IFERROR((H241/H240-1)*100,"")</f>
        <v>-3.76819794358919</v>
      </c>
      <c r="J241" s="31" t="n">
        <f aca="false">IFERROR((AVERAGE(H239:H241)/AVERAGE(H236:H238)-1)*100,"")</f>
        <v>-2.19923206037267</v>
      </c>
      <c r="K241" s="31" t="n">
        <f aca="false">IFERROR(((AVERAGE(H239:H241)/AVERAGE(H236:H238))^4-1)*100,"")</f>
        <v>-8.51096229062274</v>
      </c>
      <c r="L241" s="31" t="n">
        <f aca="false">IFERROR(('SA Data'!W241/'SA Data'!W229-1)*100,"")</f>
        <v>-1.30395583436617</v>
      </c>
      <c r="M241" s="31" t="n">
        <f aca="false">IFERROR((AVERAGE('SA Data'!W235:W241)/AVERAGE('SA Data'!W223:W229)-1)*100,"")</f>
        <v>1.23094281482417</v>
      </c>
      <c r="N241" s="30" t="n">
        <f aca="false">'SA Data'!T241</f>
        <v>163.284014078458</v>
      </c>
      <c r="O241" s="31" t="n">
        <f aca="false">IFERROR((N241/N240-1)*100,"")</f>
        <v>-1.96926086295541</v>
      </c>
      <c r="P241" s="31" t="n">
        <f aca="false">IFERROR((AVERAGE(N239:N241)/AVERAGE(N236:N238)-1)*100,"")</f>
        <v>0.918277015528757</v>
      </c>
      <c r="Q241" s="31" t="n">
        <f aca="false">IFERROR(((AVERAGE(N239:N241)/AVERAGE(N236:N238))^4-1)*100,"")</f>
        <v>3.72401246226579</v>
      </c>
      <c r="R241" s="31" t="n">
        <f aca="false">IFERROR(('SA Data'!X241/'SA Data'!X229-1)*100,"")</f>
        <v>0.529660845180779</v>
      </c>
      <c r="S241" s="31" t="n">
        <f aca="false">IFERROR((AVERAGE('SA Data'!X235:X241)/AVERAGE('SA Data'!X223:X229)-1)*100,"")</f>
        <v>1.08223503586566</v>
      </c>
    </row>
    <row r="242" customFormat="false" ht="15" hidden="false" customHeight="false" outlineLevel="0" collapsed="false">
      <c r="A242" s="20" t="n">
        <v>45169</v>
      </c>
      <c r="B242" s="30" t="n">
        <f aca="false">'SA Data'!R242</f>
        <v>118.976592151031</v>
      </c>
      <c r="C242" s="31" t="n">
        <f aca="false">IFERROR((B242/B241-1)*100,"")</f>
        <v>15.1578075674864</v>
      </c>
      <c r="D242" s="31" t="n">
        <f aca="false">IFERROR((AVERAGE(B240:B242)/AVERAGE(B237:B239)-1)*100,"")</f>
        <v>19.2340376416344</v>
      </c>
      <c r="E242" s="31" t="n">
        <f aca="false">IFERROR(((AVERAGE(B240:B242)/AVERAGE(B237:B239))^4-1)*100,"")</f>
        <v>102.116143552644</v>
      </c>
      <c r="F242" s="31" t="n">
        <f aca="false">IFERROR(('SA Data'!V242/'SA Data'!V230-1)*100,"")</f>
        <v>-3.66993777499829</v>
      </c>
      <c r="G242" s="31" t="n">
        <f aca="false">IFERROR((AVERAGE('SA Data'!V235:V242)/AVERAGE('SA Data'!V223:V230)-1)*100,"")</f>
        <v>-31.266246761004</v>
      </c>
      <c r="H242" s="30" t="n">
        <f aca="false">'SA Data'!S242</f>
        <v>131.877962354979</v>
      </c>
      <c r="I242" s="31" t="n">
        <f aca="false">IFERROR((H242/H241-1)*100,"")</f>
        <v>2.18245742126855</v>
      </c>
      <c r="J242" s="31" t="n">
        <f aca="false">IFERROR((AVERAGE(H240:H242)/AVERAGE(H237:H239)-1)*100,"")</f>
        <v>-5.6270152936043</v>
      </c>
      <c r="K242" s="31" t="n">
        <f aca="false">IFERROR(((AVERAGE(H240:H242)/AVERAGE(H237:H239))^4-1)*100,"")</f>
        <v>-20.6785284947592</v>
      </c>
      <c r="L242" s="31" t="n">
        <f aca="false">IFERROR(('SA Data'!W242/'SA Data'!W230-1)*100,"")</f>
        <v>-0.823574958167994</v>
      </c>
      <c r="M242" s="31" t="n">
        <f aca="false">IFERROR((AVERAGE('SA Data'!W235:W242)/AVERAGE('SA Data'!W223:W230)-1)*100,"")</f>
        <v>0.953175560329056</v>
      </c>
      <c r="N242" s="30" t="n">
        <f aca="false">'SA Data'!T242</f>
        <v>165.210625470605</v>
      </c>
      <c r="O242" s="31" t="n">
        <f aca="false">IFERROR((N242/N241-1)*100,"")</f>
        <v>1.17991427576041</v>
      </c>
      <c r="P242" s="31" t="n">
        <f aca="false">IFERROR((AVERAGE(N240:N242)/AVERAGE(N237:N239)-1)*100,"")</f>
        <v>-0.507726901454542</v>
      </c>
      <c r="Q242" s="31" t="n">
        <f aca="false">IFERROR(((AVERAGE(N240:N242)/AVERAGE(N237:N239))^4-1)*100,"")</f>
        <v>-2.01549269705457</v>
      </c>
      <c r="R242" s="31" t="n">
        <f aca="false">IFERROR(('SA Data'!X242/'SA Data'!X230-1)*100,"")</f>
        <v>1.43063441974989</v>
      </c>
      <c r="S242" s="31" t="n">
        <f aca="false">IFERROR((AVERAGE('SA Data'!X235:X242)/AVERAGE('SA Data'!X223:X230)-1)*100,"")</f>
        <v>1.12626340186597</v>
      </c>
    </row>
    <row r="243" customFormat="false" ht="15" hidden="false" customHeight="false" outlineLevel="0" collapsed="false">
      <c r="A243" s="20" t="n">
        <v>45199</v>
      </c>
      <c r="B243" s="30" t="n">
        <f aca="false">'SA Data'!R243</f>
        <v>120.834110258561</v>
      </c>
      <c r="C243" s="31" t="n">
        <f aca="false">IFERROR((B243/B242-1)*100,"")</f>
        <v>1.56124669058633</v>
      </c>
      <c r="D243" s="31" t="n">
        <f aca="false">IFERROR((AVERAGE(B241:B243)/AVERAGE(B238:B240)-1)*100,"")</f>
        <v>59.348324647779</v>
      </c>
      <c r="E243" s="31" t="n">
        <f aca="false">IFERROR(((AVERAGE(B241:B243)/AVERAGE(B238:B240))^4-1)*100,"")</f>
        <v>544.748005052469</v>
      </c>
      <c r="F243" s="31" t="n">
        <f aca="false">IFERROR(('SA Data'!V243/'SA Data'!V231-1)*100,"")</f>
        <v>-1.37618001777388</v>
      </c>
      <c r="G243" s="31" t="n">
        <f aca="false">IFERROR((AVERAGE('SA Data'!V235:V243)/AVERAGE('SA Data'!V223:V231)-1)*100,"")</f>
        <v>-29.5065918954937</v>
      </c>
      <c r="H243" s="30" t="n">
        <f aca="false">'SA Data'!S243</f>
        <v>130.19773779108</v>
      </c>
      <c r="I243" s="31" t="n">
        <f aca="false">IFERROR((H243/H242-1)*100,"")</f>
        <v>-1.27407531470358</v>
      </c>
      <c r="J243" s="31" t="n">
        <f aca="false">IFERROR((AVERAGE(H241:H243)/AVERAGE(H238:H240)-1)*100,"")</f>
        <v>-5.18621595643728</v>
      </c>
      <c r="K243" s="31" t="n">
        <f aca="false">IFERROR(((AVERAGE(H241:H243)/AVERAGE(H238:H240))^4-1)*100,"")</f>
        <v>-19.1861273490629</v>
      </c>
      <c r="L243" s="31" t="n">
        <f aca="false">IFERROR(('SA Data'!W243/'SA Data'!W231-1)*100,"")</f>
        <v>-1.37813710525946</v>
      </c>
      <c r="M243" s="31" t="n">
        <f aca="false">IFERROR((AVERAGE('SA Data'!W235:W243)/AVERAGE('SA Data'!W223:W231)-1)*100,"")</f>
        <v>0.681860372760257</v>
      </c>
      <c r="N243" s="30" t="n">
        <f aca="false">'SA Data'!T243</f>
        <v>163.643871503998</v>
      </c>
      <c r="O243" s="31" t="n">
        <f aca="false">IFERROR((N243/N242-1)*100,"")</f>
        <v>-0.94833728892687</v>
      </c>
      <c r="P243" s="31" t="n">
        <f aca="false">IFERROR((AVERAGE(N241:N243)/AVERAGE(N238:N240)-1)*100,"")</f>
        <v>-1.4073130557839</v>
      </c>
      <c r="Q243" s="31" t="n">
        <f aca="false">IFERROR(((AVERAGE(N241:N243)/AVERAGE(N238:N240))^4-1)*100,"")</f>
        <v>-5.51153138872894</v>
      </c>
      <c r="R243" s="31" t="n">
        <f aca="false">IFERROR(('SA Data'!X243/'SA Data'!X231-1)*100,"")</f>
        <v>1.07746233017891</v>
      </c>
      <c r="S243" s="31" t="n">
        <f aca="false">IFERROR((AVERAGE('SA Data'!X235:X243)/AVERAGE('SA Data'!X223:X231)-1)*100,"")</f>
        <v>1.12086458479732</v>
      </c>
    </row>
    <row r="244" customFormat="false" ht="15" hidden="false" customHeight="false" outlineLevel="0" collapsed="false">
      <c r="A244" s="20" t="n">
        <v>45230</v>
      </c>
      <c r="B244" s="30" t="n">
        <f aca="false">'SA Data'!R244</f>
        <v>114.035048167104</v>
      </c>
      <c r="C244" s="31" t="n">
        <f aca="false">IFERROR((B244/B243-1)*100,"")</f>
        <v>-5.6267738281089</v>
      </c>
      <c r="D244" s="31" t="n">
        <f aca="false">IFERROR((AVERAGE(B242:B244)/AVERAGE(B239:B241)-1)*100,"")</f>
        <v>46.0525085251155</v>
      </c>
      <c r="E244" s="31" t="n">
        <f aca="false">IFERROR(((AVERAGE(B242:B244)/AVERAGE(B239:B241))^4-1)*100,"")</f>
        <v>355.025863397675</v>
      </c>
      <c r="F244" s="31" t="n">
        <f aca="false">IFERROR(('SA Data'!V244/'SA Data'!V232-1)*100,"")</f>
        <v>1.42251289922326</v>
      </c>
      <c r="G244" s="31" t="n">
        <f aca="false">IFERROR((AVERAGE('SA Data'!V235:V244)/AVERAGE('SA Data'!V223:V232)-1)*100,"")</f>
        <v>-27.9957958711689</v>
      </c>
      <c r="H244" s="30" t="n">
        <f aca="false">'SA Data'!S244</f>
        <v>127.153347061245</v>
      </c>
      <c r="I244" s="31" t="n">
        <f aca="false">IFERROR((H244/H243-1)*100,"")</f>
        <v>-2.33828235535072</v>
      </c>
      <c r="J244" s="31" t="n">
        <f aca="false">IFERROR((AVERAGE(H242:H244)/AVERAGE(H239:H241)-1)*100,"")</f>
        <v>-2.85958382760312</v>
      </c>
      <c r="K244" s="31" t="n">
        <f aca="false">IFERROR(((AVERAGE(H242:H244)/AVERAGE(H239:H241))^4-1)*100,"")</f>
        <v>-10.9569886415115</v>
      </c>
      <c r="L244" s="31" t="n">
        <f aca="false">IFERROR(('SA Data'!W244/'SA Data'!W232-1)*100,"")</f>
        <v>0.274421314253814</v>
      </c>
      <c r="M244" s="31" t="n">
        <f aca="false">IFERROR((AVERAGE('SA Data'!W235:W244)/AVERAGE('SA Data'!W223:W232)-1)*100,"")</f>
        <v>0.639852345437841</v>
      </c>
      <c r="N244" s="30" t="n">
        <f aca="false">'SA Data'!T244</f>
        <v>161.929105758544</v>
      </c>
      <c r="O244" s="31" t="n">
        <f aca="false">IFERROR((N244/N243-1)*100,"")</f>
        <v>-1.04786432250351</v>
      </c>
      <c r="P244" s="31" t="n">
        <f aca="false">IFERROR((AVERAGE(N242:N244)/AVERAGE(N239:N241)-1)*100,"")</f>
        <v>-1.03135855548265</v>
      </c>
      <c r="Q244" s="31" t="n">
        <f aca="false">IFERROR(((AVERAGE(N242:N244)/AVERAGE(N239:N241))^4-1)*100,"")</f>
        <v>-4.06204988490596</v>
      </c>
      <c r="R244" s="31" t="n">
        <f aca="false">IFERROR(('SA Data'!X244/'SA Data'!X232-1)*100,"")</f>
        <v>1.66925140689027</v>
      </c>
      <c r="S244" s="31" t="n">
        <f aca="false">IFERROR((AVERAGE('SA Data'!X235:X244)/AVERAGE('SA Data'!X223:X232)-1)*100,"")</f>
        <v>1.17538079727317</v>
      </c>
    </row>
    <row r="245" customFormat="false" ht="15" hidden="false" customHeight="false" outlineLevel="0" collapsed="false">
      <c r="A245" s="20" t="n">
        <v>45260</v>
      </c>
      <c r="B245" s="30" t="n">
        <f aca="false">'SA Data'!R245</f>
        <v>114.461770253004</v>
      </c>
      <c r="C245" s="31" t="n">
        <f aca="false">IFERROR((B245/B244-1)*100,"")</f>
        <v>0.37420257434797</v>
      </c>
      <c r="D245" s="31" t="n">
        <f aca="false">IFERROR((AVERAGE(B243:B245)/AVERAGE(B240:B242)-1)*100,"")</f>
        <v>18.1216820112689</v>
      </c>
      <c r="E245" s="31" t="n">
        <f aca="false">IFERROR(((AVERAGE(B243:B245)/AVERAGE(B240:B242))^4-1)*100,"")</f>
        <v>94.6787235991994</v>
      </c>
      <c r="F245" s="31" t="n">
        <f aca="false">IFERROR(('SA Data'!V245/'SA Data'!V233-1)*100,"")</f>
        <v>4.27140747001771</v>
      </c>
      <c r="G245" s="31" t="n">
        <f aca="false">IFERROR((AVERAGE('SA Data'!V235:V245)/AVERAGE('SA Data'!V223:V233)-1)*100,"")</f>
        <v>-26.2609729899051</v>
      </c>
      <c r="H245" s="30" t="n">
        <f aca="false">'SA Data'!S245</f>
        <v>127.010831379337</v>
      </c>
      <c r="I245" s="31" t="n">
        <f aca="false">IFERROR((H245/H244-1)*100,"")</f>
        <v>-0.112081738469594</v>
      </c>
      <c r="J245" s="31" t="n">
        <f aca="false">IFERROR((AVERAGE(H243:H245)/AVERAGE(H240:H242)-1)*100,"")</f>
        <v>-2.70653364660115</v>
      </c>
      <c r="K245" s="31" t="n">
        <f aca="false">IFERROR(((AVERAGE(H243:H245)/AVERAGE(H240:H242))^4-1)*100,"")</f>
        <v>-10.3944919579792</v>
      </c>
      <c r="L245" s="31" t="n">
        <f aca="false">IFERROR(('SA Data'!W245/'SA Data'!W233-1)*100,"")</f>
        <v>-2.7128342546426</v>
      </c>
      <c r="M245" s="31" t="n">
        <f aca="false">IFERROR((AVERAGE('SA Data'!W235:W245)/AVERAGE('SA Data'!W223:W233)-1)*100,"")</f>
        <v>0.324466225132225</v>
      </c>
      <c r="N245" s="30" t="n">
        <f aca="false">'SA Data'!T245</f>
        <v>161.231006414596</v>
      </c>
      <c r="O245" s="31" t="n">
        <f aca="false">IFERROR((N245/N244-1)*100,"")</f>
        <v>-0.431114184616421</v>
      </c>
      <c r="P245" s="31" t="n">
        <f aca="false">IFERROR((AVERAGE(N243:N245)/AVERAGE(N240:N242)-1)*100,"")</f>
        <v>-1.66742871315284</v>
      </c>
      <c r="Q245" s="31" t="n">
        <f aca="false">IFERROR(((AVERAGE(N243:N245)/AVERAGE(N240:N242))^4-1)*100,"")</f>
        <v>-6.50474240480194</v>
      </c>
      <c r="R245" s="31" t="n">
        <f aca="false">IFERROR(('SA Data'!X245/'SA Data'!X233-1)*100,"")</f>
        <v>0.322437853369872</v>
      </c>
      <c r="S245" s="31" t="n">
        <f aca="false">IFERROR((AVERAGE('SA Data'!X235:X245)/AVERAGE('SA Data'!X223:X233)-1)*100,"")</f>
        <v>1.09780416711571</v>
      </c>
    </row>
    <row r="246" customFormat="false" ht="15" hidden="false" customHeight="false" outlineLevel="0" collapsed="false">
      <c r="A246" s="20" t="n">
        <v>45291</v>
      </c>
      <c r="B246" s="30" t="n">
        <f aca="false">'SA Data'!R246</f>
        <v>114.027525759265</v>
      </c>
      <c r="C246" s="31" t="n">
        <f aca="false">IFERROR((B246/B245-1)*100,"")</f>
        <v>-0.379379501801658</v>
      </c>
      <c r="D246" s="31" t="n">
        <f aca="false">IFERROR((AVERAGE(B244:B246)/AVERAGE(B241:B243)-1)*100,"")</f>
        <v>-0.175588117628944</v>
      </c>
      <c r="E246" s="31" t="n">
        <f aca="false">IFERROR(((AVERAGE(B244:B246)/AVERAGE(B241:B243))^4-1)*100,"")</f>
        <v>-0.700504763778109</v>
      </c>
      <c r="F246" s="31" t="n">
        <f aca="false">IFERROR(('SA Data'!V246/'SA Data'!V234-1)*100,"")</f>
        <v>9.59588012005785</v>
      </c>
      <c r="G246" s="31" t="n">
        <f aca="false">IFERROR((AVERAGE('SA Data'!V235:V246)/AVERAGE('SA Data'!V223:V234)-1)*100,"")</f>
        <v>-24.044558634718</v>
      </c>
      <c r="H246" s="30" t="n">
        <f aca="false">'SA Data'!S246</f>
        <v>117.398626131538</v>
      </c>
      <c r="I246" s="31" t="n">
        <f aca="false">IFERROR((H246/H245-1)*100,"")</f>
        <v>-7.56802009986879</v>
      </c>
      <c r="J246" s="31" t="n">
        <f aca="false">IFERROR((AVERAGE(H244:H246)/AVERAGE(H241:H243)-1)*100,"")</f>
        <v>-5.00442382247706</v>
      </c>
      <c r="K246" s="31" t="n">
        <f aca="false">IFERROR(((AVERAGE(H244:H246)/AVERAGE(H241:H243))^4-1)*100,"")</f>
        <v>-18.5645454394913</v>
      </c>
      <c r="L246" s="31" t="n">
        <f aca="false">IFERROR(('SA Data'!W246/'SA Data'!W234-1)*100,"")</f>
        <v>-8.89338442952732</v>
      </c>
      <c r="M246" s="31" t="n">
        <f aca="false">IFERROR((AVERAGE('SA Data'!W235:W246)/AVERAGE('SA Data'!W223:W234)-1)*100,"")</f>
        <v>-0.422963841036572</v>
      </c>
      <c r="N246" s="30" t="n">
        <f aca="false">'SA Data'!T246</f>
        <v>156.321723941782</v>
      </c>
      <c r="O246" s="31" t="n">
        <f aca="false">IFERROR((N246/N245-1)*100,"")</f>
        <v>-3.04487491704319</v>
      </c>
      <c r="P246" s="31" t="n">
        <f aca="false">IFERROR((AVERAGE(N244:N246)/AVERAGE(N241:N243)-1)*100,"")</f>
        <v>-2.5717708843912</v>
      </c>
      <c r="Q246" s="31" t="n">
        <f aca="false">IFERROR(((AVERAGE(N244:N246)/AVERAGE(N241:N243))^4-1)*100,"")</f>
        <v>-9.89700334627908</v>
      </c>
      <c r="R246" s="31" t="n">
        <f aca="false">IFERROR(('SA Data'!X246/'SA Data'!X234-1)*100,"")</f>
        <v>-2.26348910605415</v>
      </c>
      <c r="S246" s="31" t="n">
        <f aca="false">IFERROR((AVERAGE('SA Data'!X235:X246)/AVERAGE('SA Data'!X223:X234)-1)*100,"")</f>
        <v>0.819738499542599</v>
      </c>
    </row>
    <row r="247" customFormat="false" ht="15" hidden="false" customHeight="false" outlineLevel="0" collapsed="false">
      <c r="A247" s="20" t="n">
        <v>45322</v>
      </c>
      <c r="B247" s="30" t="n">
        <f aca="false">'SA Data'!R247</f>
        <v>120.335818655004</v>
      </c>
      <c r="C247" s="31" t="n">
        <f aca="false">IFERROR((B247/B246-1)*100,"")</f>
        <v>5.53225447429033</v>
      </c>
      <c r="D247" s="31" t="n">
        <f aca="false">IFERROR((AVERAGE(B245:B247)/AVERAGE(B242:B244)-1)*100,"")</f>
        <v>-1.41887698276413</v>
      </c>
      <c r="E247" s="31" t="n">
        <f aca="false">IFERROR(((AVERAGE(B245:B247)/AVERAGE(B242:B244))^4-1)*100,"")</f>
        <v>-5.55585376450743</v>
      </c>
      <c r="F247" s="31" t="n">
        <f aca="false">IFERROR(('SA Data'!V247/'SA Data'!V235-1)*100,"")</f>
        <v>9.55380226133449</v>
      </c>
      <c r="G247" s="31" t="n">
        <f aca="false">IFERROR((AVERAGE('SA Data'!V247:V247)/AVERAGE('SA Data'!V235:V235)-1)*100,"")</f>
        <v>9.55380226133449</v>
      </c>
      <c r="H247" s="30" t="n">
        <f aca="false">'SA Data'!S247</f>
        <v>117.086472724758</v>
      </c>
      <c r="I247" s="31" t="n">
        <f aca="false">IFERROR((H247/H246-1)*100,"")</f>
        <v>-0.2658918737518</v>
      </c>
      <c r="J247" s="31" t="n">
        <f aca="false">IFERROR((AVERAGE(H245:H247)/AVERAGE(H242:H244)-1)*100,"")</f>
        <v>-7.12514062623396</v>
      </c>
      <c r="K247" s="31" t="n">
        <f aca="false">IFERROR(((AVERAGE(H245:H247)/AVERAGE(H242:H244))^4-1)*100,"")</f>
        <v>-25.5966180143642</v>
      </c>
      <c r="L247" s="31" t="n">
        <f aca="false">IFERROR(('SA Data'!W247/'SA Data'!W235-1)*100,"")</f>
        <v>-10.5857071376649</v>
      </c>
      <c r="M247" s="31" t="n">
        <f aca="false">IFERROR((AVERAGE('SA Data'!W247:W247)/AVERAGE('SA Data'!W235:W235)-1)*100,"")</f>
        <v>-10.5857071376649</v>
      </c>
      <c r="N247" s="30" t="n">
        <f aca="false">'SA Data'!T247</f>
        <v>156.540892714568</v>
      </c>
      <c r="O247" s="31" t="n">
        <f aca="false">IFERROR((N247/N246-1)*100,"")</f>
        <v>0.140203656446025</v>
      </c>
      <c r="P247" s="31" t="n">
        <f aca="false">IFERROR((AVERAGE(N245:N247)/AVERAGE(N242:N244)-1)*100,"")</f>
        <v>-3.40067996755697</v>
      </c>
      <c r="Q247" s="31" t="n">
        <f aca="false">IFERROR(((AVERAGE(N245:N247)/AVERAGE(N242:N244))^4-1)*100,"")</f>
        <v>-12.9244397095859</v>
      </c>
      <c r="R247" s="31" t="n">
        <f aca="false">IFERROR(('SA Data'!X247/'SA Data'!X235-1)*100,"")</f>
        <v>-2.40486294349785</v>
      </c>
      <c r="S247" s="31" t="n">
        <f aca="false">IFERROR((AVERAGE('SA Data'!X247:X247)/AVERAGE('SA Data'!X235:X235)-1)*100,"")</f>
        <v>-2.40486294349785</v>
      </c>
    </row>
    <row r="248" customFormat="false" ht="15" hidden="false" customHeight="false" outlineLevel="0" collapsed="false">
      <c r="A248" s="20" t="n">
        <v>45351</v>
      </c>
      <c r="B248" s="30" t="n">
        <f aca="false">'SA Data'!R248</f>
        <v>117.199931482926</v>
      </c>
      <c r="C248" s="31" t="n">
        <f aca="false">IFERROR((B248/B247-1)*100,"")</f>
        <v>-2.60594659772014</v>
      </c>
      <c r="D248" s="31" t="n">
        <f aca="false">IFERROR((AVERAGE(B246:B248)/AVERAGE(B243:B245)-1)*100,"")</f>
        <v>0.639035091158391</v>
      </c>
      <c r="E248" s="31" t="n">
        <f aca="false">IFERROR(((AVERAGE(B246:B248)/AVERAGE(B243:B245))^4-1)*100,"")</f>
        <v>2.58074686630283</v>
      </c>
      <c r="F248" s="31" t="n">
        <f aca="false">IFERROR(('SA Data'!V248/'SA Data'!V236-1)*100,"")</f>
        <v>2.76430723459202</v>
      </c>
      <c r="G248" s="31" t="n">
        <f aca="false">IFERROR((AVERAGE('SA Data'!V247:V248)/AVERAGE('SA Data'!V235:V236)-1)*100,"")</f>
        <v>6.43309525334805</v>
      </c>
      <c r="H248" s="30" t="n">
        <f aca="false">'SA Data'!S248</f>
        <v>117.072282035945</v>
      </c>
      <c r="I248" s="31" t="n">
        <f aca="false">IFERROR((H248/H247-1)*100,"")</f>
        <v>-0.0121198362908248</v>
      </c>
      <c r="J248" s="31" t="n">
        <f aca="false">IFERROR((AVERAGE(H246:H248)/AVERAGE(H243:H245)-1)*100,"")</f>
        <v>-8.53480377583733</v>
      </c>
      <c r="K248" s="31" t="n">
        <f aca="false">IFERROR(((AVERAGE(H246:H248)/AVERAGE(H243:H245))^4-1)*100,"")</f>
        <v>-30.0120163488335</v>
      </c>
      <c r="L248" s="31" t="n">
        <f aca="false">IFERROR(('SA Data'!W248/'SA Data'!W236-1)*100,"")</f>
        <v>-9.04516857085076</v>
      </c>
      <c r="M248" s="31" t="n">
        <f aca="false">IFERROR((AVERAGE('SA Data'!W247:W248)/AVERAGE('SA Data'!W235:W236)-1)*100,"")</f>
        <v>-9.82449483754776</v>
      </c>
      <c r="N248" s="30" t="n">
        <f aca="false">'SA Data'!T248</f>
        <v>156.876910976959</v>
      </c>
      <c r="O248" s="31" t="n">
        <f aca="false">IFERROR((N248/N247-1)*100,"")</f>
        <v>0.214652067306087</v>
      </c>
      <c r="P248" s="31" t="n">
        <f aca="false">IFERROR((AVERAGE(N246:N248)/AVERAGE(N243:N245)-1)*100,"")</f>
        <v>-3.50540599830976</v>
      </c>
      <c r="Q248" s="31" t="n">
        <f aca="false">IFERROR(((AVERAGE(N246:N248)/AVERAGE(N243:N245))^4-1)*100,"")</f>
        <v>-13.3014303196635</v>
      </c>
      <c r="R248" s="31" t="n">
        <f aca="false">IFERROR(('SA Data'!X248/'SA Data'!X236-1)*100,"")</f>
        <v>-1.55383577276871</v>
      </c>
      <c r="S248" s="31" t="n">
        <f aca="false">IFERROR((AVERAGE('SA Data'!X247:X248)/AVERAGE('SA Data'!X235:X236)-1)*100,"")</f>
        <v>-1.98406209201444</v>
      </c>
    </row>
    <row r="249" customFormat="false" ht="15" hidden="false" customHeight="false" outlineLevel="0" collapsed="false">
      <c r="A249" s="20" t="n">
        <v>45382</v>
      </c>
      <c r="B249" s="30" t="n">
        <f aca="false">'SA Data'!R249</f>
        <v>117.67968365246</v>
      </c>
      <c r="C249" s="31" t="n">
        <f aca="false">IFERROR((B249/B248-1)*100,"")</f>
        <v>0.40934509386108</v>
      </c>
      <c r="D249" s="31" t="n">
        <f aca="false">IFERROR((AVERAGE(B247:B249)/AVERAGE(B244:B246)-1)*100,"")</f>
        <v>3.70516426837408</v>
      </c>
      <c r="E249" s="31" t="n">
        <f aca="false">IFERROR(((AVERAGE(B247:B249)/AVERAGE(B244:B246))^4-1)*100,"")</f>
        <v>15.6648862305392</v>
      </c>
      <c r="F249" s="31" t="n">
        <f aca="false">IFERROR(('SA Data'!V249/'SA Data'!V237-1)*100,"")</f>
        <v>11.213328668607</v>
      </c>
      <c r="G249" s="31" t="n">
        <f aca="false">IFERROR((AVERAGE('SA Data'!V247:V249)/AVERAGE('SA Data'!V235:V237)-1)*100,"")</f>
        <v>8.5721822538944</v>
      </c>
      <c r="H249" s="30" t="n">
        <f aca="false">'SA Data'!S249</f>
        <v>112.926434788099</v>
      </c>
      <c r="I249" s="31" t="n">
        <f aca="false">IFERROR((H249/H248-1)*100,"")</f>
        <v>-3.54127140579111</v>
      </c>
      <c r="J249" s="31" t="n">
        <f aca="false">IFERROR((AVERAGE(H247:H249)/AVERAGE(H244:H246)-1)*100,"")</f>
        <v>-6.58774633039642</v>
      </c>
      <c r="K249" s="31" t="n">
        <f aca="false">IFERROR(((AVERAGE(H247:H249)/AVERAGE(H244:H246))^4-1)*100,"")</f>
        <v>-23.8595568621489</v>
      </c>
      <c r="L249" s="31" t="n">
        <f aca="false">IFERROR(('SA Data'!W249/'SA Data'!W237-1)*100,"")</f>
        <v>-19.3110905837329</v>
      </c>
      <c r="M249" s="31" t="n">
        <f aca="false">IFERROR((AVERAGE('SA Data'!W247:W249)/AVERAGE('SA Data'!W235:W237)-1)*100,"")</f>
        <v>-13.3207105514888</v>
      </c>
      <c r="N249" s="30" t="n">
        <f aca="false">'SA Data'!T249</f>
        <v>156.042378693566</v>
      </c>
      <c r="O249" s="31" t="n">
        <f aca="false">IFERROR((N249/N248-1)*100,"")</f>
        <v>-0.53196629012926</v>
      </c>
      <c r="P249" s="31" t="n">
        <f aca="false">IFERROR((AVERAGE(N247:N249)/AVERAGE(N244:N246)-1)*100,"")</f>
        <v>-2.09010080778699</v>
      </c>
      <c r="Q249" s="31" t="n">
        <f aca="false">IFERROR(((AVERAGE(N247:N249)/AVERAGE(N244:N246))^4-1)*100,"")</f>
        <v>-8.10192512399781</v>
      </c>
      <c r="R249" s="31" t="n">
        <f aca="false">IFERROR(('SA Data'!X249/'SA Data'!X237-1)*100,"")</f>
        <v>-5.43448110265843</v>
      </c>
      <c r="S249" s="31" t="n">
        <f aca="false">IFERROR((AVERAGE('SA Data'!X247:X249)/AVERAGE('SA Data'!X235:X237)-1)*100,"")</f>
        <v>-3.16871849082926</v>
      </c>
    </row>
    <row r="250" customFormat="false" ht="15" hidden="false" customHeight="false" outlineLevel="0" collapsed="false">
      <c r="A250" s="20" t="n">
        <v>45412</v>
      </c>
      <c r="B250" s="30" t="n">
        <f aca="false">'SA Data'!R250</f>
        <v>127.251476638345</v>
      </c>
      <c r="C250" s="31" t="n">
        <f aca="false">IFERROR((B250/B249-1)*100,"")</f>
        <v>8.13376845416529</v>
      </c>
      <c r="D250" s="31" t="n">
        <f aca="false">IFERROR((AVERAGE(B248:B250)/AVERAGE(B245:B247)-1)*100,"")</f>
        <v>3.81451235790418</v>
      </c>
      <c r="E250" s="31" t="n">
        <f aca="false">IFERROR(((AVERAGE(B248:B250)/AVERAGE(B245:B247))^4-1)*100,"")</f>
        <v>16.1534926522502</v>
      </c>
      <c r="F250" s="31" t="n">
        <f aca="false">IFERROR(('SA Data'!V250/'SA Data'!V238-1)*100,"")</f>
        <v>64.916749455497</v>
      </c>
      <c r="G250" s="31" t="n">
        <f aca="false">IFERROR((AVERAGE('SA Data'!V247:V250)/AVERAGE('SA Data'!V235:V238)-1)*100,"")</f>
        <v>25.7671276743557</v>
      </c>
      <c r="H250" s="30" t="n">
        <f aca="false">'SA Data'!S250</f>
        <v>119.400044467277</v>
      </c>
      <c r="I250" s="31" t="n">
        <f aca="false">IFERROR((H250/H249-1)*100,"")</f>
        <v>5.73259015156702</v>
      </c>
      <c r="J250" s="31" t="n">
        <f aca="false">IFERROR((AVERAGE(H248:H250)/AVERAGE(H245:H247)-1)*100,"")</f>
        <v>-3.34641912467066</v>
      </c>
      <c r="K250" s="31" t="n">
        <f aca="false">IFERROR(((AVERAGE(H248:H250)/AVERAGE(H245:H247))^4-1)*100,"")</f>
        <v>-12.728629812214</v>
      </c>
      <c r="L250" s="31" t="n">
        <f aca="false">IFERROR(('SA Data'!W250/'SA Data'!W238-1)*100,"")</f>
        <v>-15.7540694534217</v>
      </c>
      <c r="M250" s="31" t="n">
        <f aca="false">IFERROR((AVERAGE('SA Data'!W247:W250)/AVERAGE('SA Data'!W235:W238)-1)*100,"")</f>
        <v>-13.9479870543128</v>
      </c>
      <c r="N250" s="30" t="n">
        <f aca="false">'SA Data'!T250</f>
        <v>160.567750109375</v>
      </c>
      <c r="O250" s="31" t="n">
        <f aca="false">IFERROR((N250/N249-1)*100,"")</f>
        <v>2.90009127885484</v>
      </c>
      <c r="P250" s="31" t="n">
        <f aca="false">IFERROR((AVERAGE(N248:N250)/AVERAGE(N245:N247)-1)*100,"")</f>
        <v>-0.127945886957326</v>
      </c>
      <c r="Q250" s="31" t="n">
        <f aca="false">IFERROR(((AVERAGE(N248:N250)/AVERAGE(N245:N247))^4-1)*100,"")</f>
        <v>-0.510802176359304</v>
      </c>
      <c r="R250" s="31" t="n">
        <f aca="false">IFERROR(('SA Data'!X250/'SA Data'!X238-1)*100,"")</f>
        <v>-4.07318683062228</v>
      </c>
      <c r="S250" s="31" t="n">
        <f aca="false">IFERROR((AVERAGE('SA Data'!X247:X250)/AVERAGE('SA Data'!X235:X238)-1)*100,"")</f>
        <v>-3.39502475036998</v>
      </c>
    </row>
    <row r="251" customFormat="false" ht="15" hidden="false" customHeight="false" outlineLevel="0" collapsed="false">
      <c r="A251" s="20" t="n">
        <v>45443</v>
      </c>
      <c r="B251" s="30" t="n">
        <f aca="false">'SA Data'!R251</f>
        <v>129.344785339898</v>
      </c>
      <c r="C251" s="31" t="n">
        <f aca="false">IFERROR((B251/B250-1)*100,"")</f>
        <v>1.64501721854471</v>
      </c>
      <c r="D251" s="31" t="n">
        <f aca="false">IFERROR((AVERAGE(B249:B251)/AVERAGE(B246:B248)-1)*100,"")</f>
        <v>6.46047846594451</v>
      </c>
      <c r="E251" s="31" t="n">
        <f aca="false">IFERROR(((AVERAGE(B249:B251)/AVERAGE(B246:B248))^4-1)*100,"")</f>
        <v>28.455781243515</v>
      </c>
      <c r="F251" s="31" t="n">
        <f aca="false">IFERROR(('SA Data'!V251/'SA Data'!V239-1)*100,"")</f>
        <v>94.6525525487934</v>
      </c>
      <c r="G251" s="31" t="n">
        <f aca="false">IFERROR((AVERAGE('SA Data'!V247:V251)/AVERAGE('SA Data'!V235:V239)-1)*100,"")</f>
        <v>43.5975205934221</v>
      </c>
      <c r="H251" s="30" t="n">
        <f aca="false">'SA Data'!S251</f>
        <v>119.004174583129</v>
      </c>
      <c r="I251" s="31" t="n">
        <f aca="false">IFERROR((H251/H250-1)*100,"")</f>
        <v>-0.331549193230907</v>
      </c>
      <c r="J251" s="31" t="n">
        <f aca="false">IFERROR((AVERAGE(H249:H251)/AVERAGE(H246:H248)-1)*100,"")</f>
        <v>-0.0644921899123796</v>
      </c>
      <c r="K251" s="31" t="n">
        <f aca="false">IFERROR(((AVERAGE(H249:H251)/AVERAGE(H246:H248))^4-1)*100,"")</f>
        <v>-0.257719312374105</v>
      </c>
      <c r="L251" s="31" t="n">
        <f aca="false">IFERROR(('SA Data'!W251/'SA Data'!W239-1)*100,"")</f>
        <v>-14.1884634713802</v>
      </c>
      <c r="M251" s="31" t="n">
        <f aca="false">IFERROR((AVERAGE('SA Data'!W247:W251)/AVERAGE('SA Data'!W235:W239)-1)*100,"")</f>
        <v>-13.9980831627788</v>
      </c>
      <c r="N251" s="30" t="n">
        <f aca="false">'SA Data'!T251</f>
        <v>161.48782850227</v>
      </c>
      <c r="O251" s="31" t="n">
        <f aca="false">IFERROR((N251/N250-1)*100,"")</f>
        <v>0.573015684823108</v>
      </c>
      <c r="P251" s="31" t="n">
        <f aca="false">IFERROR((AVERAGE(N249:N251)/AVERAGE(N246:N248)-1)*100,"")</f>
        <v>1.7793754155657</v>
      </c>
      <c r="Q251" s="31" t="n">
        <f aca="false">IFERROR(((AVERAGE(N249:N251)/AVERAGE(N246:N248))^4-1)*100,"")</f>
        <v>7.30973582602312</v>
      </c>
      <c r="R251" s="31" t="n">
        <f aca="false">IFERROR(('SA Data'!X251/'SA Data'!X239-1)*100,"")</f>
        <v>-3.13424365951226</v>
      </c>
      <c r="S251" s="31" t="n">
        <f aca="false">IFERROR((AVERAGE('SA Data'!X247:X251)/AVERAGE('SA Data'!X235:X239)-1)*100,"")</f>
        <v>-3.34197127268093</v>
      </c>
    </row>
    <row r="252" customFormat="false" ht="15" hidden="false" customHeight="false" outlineLevel="0" collapsed="false">
      <c r="A252" s="20" t="n">
        <v>45473</v>
      </c>
      <c r="B252" s="30" t="n">
        <f aca="false">'SA Data'!R252</f>
        <v>130.161987851068</v>
      </c>
      <c r="C252" s="31" t="n">
        <f aca="false">IFERROR((B252/B251-1)*100,"")</f>
        <v>0.631801667939613</v>
      </c>
      <c r="D252" s="31" t="n">
        <f aca="false">IFERROR((AVERAGE(B250:B252)/AVERAGE(B247:B249)-1)*100,"")</f>
        <v>8.87991146734204</v>
      </c>
      <c r="E252" s="31" t="n">
        <f aca="false">IFERROR(((AVERAGE(B250:B252)/AVERAGE(B247:B249))^4-1)*100,"")</f>
        <v>40.5371157493253</v>
      </c>
      <c r="F252" s="31" t="n">
        <f aca="false">IFERROR(('SA Data'!V252/'SA Data'!V240-1)*100,"")</f>
        <v>75.2244166003378</v>
      </c>
      <c r="G252" s="31" t="n">
        <f aca="false">IFERROR((AVERAGE('SA Data'!V247:V252)/AVERAGE('SA Data'!V235:V240)-1)*100,"")</f>
        <v>48.9120719258817</v>
      </c>
      <c r="H252" s="30" t="n">
        <f aca="false">'SA Data'!S252</f>
        <v>109.360009207928</v>
      </c>
      <c r="I252" s="31" t="n">
        <f aca="false">IFERROR((H252/H251-1)*100,"")</f>
        <v>-8.10405635683288</v>
      </c>
      <c r="J252" s="31" t="n">
        <f aca="false">IFERROR((AVERAGE(H250:H252)/AVERAGE(H247:H249)-1)*100,"")</f>
        <v>0.195640358614813</v>
      </c>
      <c r="K252" s="31" t="n">
        <f aca="false">IFERROR(((AVERAGE(H250:H252)/AVERAGE(H247:H249))^4-1)*100,"")</f>
        <v>0.784860940184995</v>
      </c>
      <c r="L252" s="31" t="n">
        <f aca="false">IFERROR(('SA Data'!W252/'SA Data'!W240-1)*100,"")</f>
        <v>-18.4052692861147</v>
      </c>
      <c r="M252" s="31" t="n">
        <f aca="false">IFERROR((AVERAGE('SA Data'!W247:W252)/AVERAGE('SA Data'!W235:W240)-1)*100,"")</f>
        <v>-14.7562725753643</v>
      </c>
      <c r="N252" s="30" t="n">
        <f aca="false">'SA Data'!T252</f>
        <v>157.639675539243</v>
      </c>
      <c r="O252" s="31" t="n">
        <f aca="false">IFERROR((N252/N251-1)*100,"")</f>
        <v>-2.38293684342412</v>
      </c>
      <c r="P252" s="31" t="n">
        <f aca="false">IFERROR((AVERAGE(N250:N252)/AVERAGE(N247:N249)-1)*100,"")</f>
        <v>2.18017888413806</v>
      </c>
      <c r="Q252" s="31" t="n">
        <f aca="false">IFERROR(((AVERAGE(N250:N252)/AVERAGE(N247:N249))^4-1)*100,"")</f>
        <v>9.01007404032102</v>
      </c>
      <c r="R252" s="31" t="n">
        <f aca="false">IFERROR(('SA Data'!X252/'SA Data'!X240-1)*100,"")</f>
        <v>-5.33557741623502</v>
      </c>
      <c r="S252" s="31" t="n">
        <f aca="false">IFERROR((AVERAGE('SA Data'!X247:X252)/AVERAGE('SA Data'!X235:X240)-1)*100,"")</f>
        <v>-3.68417588956533</v>
      </c>
    </row>
    <row r="253" customFormat="false" ht="15" hidden="false" customHeight="false" outlineLevel="0" collapsed="false">
      <c r="A253" s="20" t="n">
        <v>45504</v>
      </c>
      <c r="B253" s="30" t="n">
        <f aca="false">'SA Data'!R253</f>
        <v>128.376868700153</v>
      </c>
      <c r="C253" s="31" t="n">
        <f aca="false">IFERROR((B253/B252-1)*100,"")</f>
        <v>-1.37145965606938</v>
      </c>
      <c r="D253" s="31" t="n">
        <f aca="false">IFERROR((AVERAGE(B251:B253)/AVERAGE(B248:B250)-1)*100,"")</f>
        <v>7.11138885955707</v>
      </c>
      <c r="E253" s="31" t="n">
        <f aca="false">IFERROR(((AVERAGE(B251:B253)/AVERAGE(B248:B250))^4-1)*100,"")</f>
        <v>31.6262784816829</v>
      </c>
      <c r="F253" s="31" t="n">
        <f aca="false">IFERROR(('SA Data'!V253/'SA Data'!V241-1)*100,"")</f>
        <v>24.0672898262767</v>
      </c>
      <c r="G253" s="31" t="n">
        <f aca="false">IFERROR((AVERAGE('SA Data'!V247:V253)/AVERAGE('SA Data'!V235:V241)-1)*100,"")</f>
        <v>45.6835205396842</v>
      </c>
      <c r="H253" s="30" t="n">
        <f aca="false">'SA Data'!S253</f>
        <v>120.804934944903</v>
      </c>
      <c r="I253" s="31" t="n">
        <f aca="false">IFERROR((H253/H252-1)*100,"")</f>
        <v>10.4653664715902</v>
      </c>
      <c r="J253" s="31" t="n">
        <f aca="false">IFERROR((AVERAGE(H251:H253)/AVERAGE(H248:H250)-1)*100,"")</f>
        <v>-0.0657250628230854</v>
      </c>
      <c r="K253" s="31" t="n">
        <f aca="false">IFERROR(((AVERAGE(H251:H253)/AVERAGE(H248:H250))^4-1)*100,"")</f>
        <v>-0.262641177807921</v>
      </c>
      <c r="L253" s="31" t="n">
        <f aca="false">IFERROR(('SA Data'!W253/'SA Data'!W241-1)*100,"")</f>
        <v>-6.24696156447369</v>
      </c>
      <c r="M253" s="31" t="n">
        <f aca="false">IFERROR((AVERAGE('SA Data'!W247:W253)/AVERAGE('SA Data'!W235:W241)-1)*100,"")</f>
        <v>-13.5084289690866</v>
      </c>
      <c r="N253" s="30" t="n">
        <f aca="false">'SA Data'!T253</f>
        <v>162.22022219469</v>
      </c>
      <c r="O253" s="31" t="n">
        <f aca="false">IFERROR((N253/N252-1)*100,"")</f>
        <v>2.90570672629049</v>
      </c>
      <c r="P253" s="31" t="n">
        <f aca="false">IFERROR((AVERAGE(N251:N253)/AVERAGE(N248:N250)-1)*100,"")</f>
        <v>1.6601692962825</v>
      </c>
      <c r="Q253" s="31" t="n">
        <f aca="false">IFERROR(((AVERAGE(N251:N253)/AVERAGE(N248:N250))^4-1)*100,"")</f>
        <v>6.80788478537111</v>
      </c>
      <c r="R253" s="31" t="n">
        <f aca="false">IFERROR(('SA Data'!X253/'SA Data'!X241-1)*100,"")</f>
        <v>-0.817135244980649</v>
      </c>
      <c r="S253" s="31" t="n">
        <f aca="false">IFERROR((AVERAGE('SA Data'!X247:X253)/AVERAGE('SA Data'!X235:X241)-1)*100,"")</f>
        <v>-3.2733700092342</v>
      </c>
    </row>
    <row r="254" customFormat="false" ht="15" hidden="false" customHeight="false" outlineLevel="0" collapsed="false">
      <c r="A254" s="20" t="n">
        <v>45535</v>
      </c>
      <c r="B254" s="30" t="n">
        <f aca="false">'SA Data'!R254</f>
        <v>124.217277065181</v>
      </c>
      <c r="C254" s="31" t="n">
        <f aca="false">IFERROR((B254/B253-1)*100,"")</f>
        <v>-3.24014106052669</v>
      </c>
      <c r="D254" s="31" t="n">
        <f aca="false">IFERROR((AVERAGE(B252:B254)/AVERAGE(B249:B251)-1)*100,"")</f>
        <v>2.26575821521466</v>
      </c>
      <c r="E254" s="31" t="n">
        <f aca="false">IFERROR(((AVERAGE(B252:B254)/AVERAGE(B249:B251))^4-1)*100,"")</f>
        <v>9.37573148590569</v>
      </c>
      <c r="F254" s="31" t="n">
        <f aca="false">IFERROR(('SA Data'!V254/'SA Data'!V242-1)*100,"")</f>
        <v>6.66496572008539</v>
      </c>
      <c r="G254" s="31" t="n">
        <f aca="false">IFERROR((AVERAGE('SA Data'!V247:V254)/AVERAGE('SA Data'!V235:V242)-1)*100,"")</f>
        <v>42.0375968304843</v>
      </c>
      <c r="H254" s="30" t="n">
        <f aca="false">'SA Data'!S254</f>
        <v>121.445903916669</v>
      </c>
      <c r="I254" s="31" t="n">
        <f aca="false">IFERROR((H254/H253-1)*100,"")</f>
        <v>0.530581778019656</v>
      </c>
      <c r="J254" s="31" t="n">
        <f aca="false">IFERROR((AVERAGE(H252:H254)/AVERAGE(H249:H251)-1)*100,"")</f>
        <v>0.0797522868936307</v>
      </c>
      <c r="K254" s="31" t="n">
        <f aca="false">IFERROR(((AVERAGE(H252:H254)/AVERAGE(H249:H251))^4-1)*100,"")</f>
        <v>0.319390976154321</v>
      </c>
      <c r="L254" s="31" t="n">
        <f aca="false">IFERROR(('SA Data'!W254/'SA Data'!W242-1)*100,"")</f>
        <v>-7.70855293295871</v>
      </c>
      <c r="M254" s="31" t="n">
        <f aca="false">IFERROR((AVERAGE('SA Data'!W247:W254)/AVERAGE('SA Data'!W235:W242)-1)*100,"")</f>
        <v>-12.7380962937827</v>
      </c>
      <c r="N254" s="30" t="n">
        <f aca="false">'SA Data'!T254</f>
        <v>161.381921004468</v>
      </c>
      <c r="O254" s="31" t="n">
        <f aca="false">IFERROR((N254/N253-1)*100,"")</f>
        <v>-0.516767378863059</v>
      </c>
      <c r="P254" s="31" t="n">
        <f aca="false">IFERROR((AVERAGE(N252:N254)/AVERAGE(N249:N251)-1)*100,"")</f>
        <v>0.65757683862766</v>
      </c>
      <c r="Q254" s="31" t="n">
        <f aca="false">IFERROR(((AVERAGE(N252:N254)/AVERAGE(N249:N251))^4-1)*100,"")</f>
        <v>2.65636571581849</v>
      </c>
      <c r="R254" s="31" t="n">
        <f aca="false">IFERROR(('SA Data'!X254/'SA Data'!X242-1)*100,"")</f>
        <v>-1.98024672686327</v>
      </c>
      <c r="S254" s="31" t="n">
        <f aca="false">IFERROR((AVERAGE('SA Data'!X247:X254)/AVERAGE('SA Data'!X235:X242)-1)*100,"")</f>
        <v>-3.10946195215627</v>
      </c>
    </row>
    <row r="255" customFormat="false" ht="15" hidden="false" customHeight="false" outlineLevel="0" collapsed="false">
      <c r="A255" s="20" t="n">
        <v>45565</v>
      </c>
      <c r="B255" s="30" t="n">
        <f aca="false">'SA Data'!R255</f>
        <v>122.938261292401</v>
      </c>
      <c r="C255" s="31" t="n">
        <f aca="false">IFERROR((B255/B254-1)*100,"")</f>
        <v>-1.02966012699588</v>
      </c>
      <c r="D255" s="31" t="n">
        <f aca="false">IFERROR((AVERAGE(B253:B255)/AVERAGE(B250:B252)-1)*100,"")</f>
        <v>-2.90254772239009</v>
      </c>
      <c r="E255" s="31" t="n">
        <f aca="false">IFERROR(((AVERAGE(B253:B255)/AVERAGE(B250:B252))^4-1)*100,"")</f>
        <v>-11.1144142499512</v>
      </c>
      <c r="F255" s="31" t="n">
        <f aca="false">IFERROR(('SA Data'!V255/'SA Data'!V243-1)*100,"")</f>
        <v>3.51599501483701</v>
      </c>
      <c r="G255" s="31" t="n">
        <f aca="false">IFERROR((AVERAGE('SA Data'!V247:V255)/AVERAGE('SA Data'!V235:V243)-1)*100,"")</f>
        <v>38.8648292445212</v>
      </c>
      <c r="H255" s="30" t="n">
        <f aca="false">'SA Data'!S255</f>
        <v>119.915242681294</v>
      </c>
      <c r="I255" s="31" t="n">
        <f aca="false">IFERROR((H255/H254-1)*100,"")</f>
        <v>-1.26036464467735</v>
      </c>
      <c r="J255" s="31" t="n">
        <f aca="false">IFERROR((AVERAGE(H253:H255)/AVERAGE(H250:H252)-1)*100,"")</f>
        <v>4.14126931819832</v>
      </c>
      <c r="K255" s="31" t="n">
        <f aca="false">IFERROR(((AVERAGE(H253:H255)/AVERAGE(H250:H252))^4-1)*100,"")</f>
        <v>17.6227873854036</v>
      </c>
      <c r="L255" s="31" t="n">
        <f aca="false">IFERROR(('SA Data'!W255/'SA Data'!W243-1)*100,"")</f>
        <v>-7.06192346889761</v>
      </c>
      <c r="M255" s="31" t="n">
        <f aca="false">IFERROR((AVERAGE('SA Data'!W247:W255)/AVERAGE('SA Data'!W235:W243)-1)*100,"")</f>
        <v>-12.0910264471089</v>
      </c>
      <c r="N255" s="30" t="n">
        <f aca="false">'SA Data'!T255</f>
        <v>160.02260152354</v>
      </c>
      <c r="O255" s="31" t="n">
        <f aca="false">IFERROR((N255/N254-1)*100,"")</f>
        <v>-0.842299727545559</v>
      </c>
      <c r="P255" s="31" t="n">
        <f aca="false">IFERROR((AVERAGE(N253:N255)/AVERAGE(N250:N252)-1)*100,"")</f>
        <v>0.819163945819179</v>
      </c>
      <c r="Q255" s="31" t="n">
        <f aca="false">IFERROR(((AVERAGE(N253:N255)/AVERAGE(N250:N252))^4-1)*100,"")</f>
        <v>3.31713788105736</v>
      </c>
      <c r="R255" s="31" t="n">
        <f aca="false">IFERROR(('SA Data'!X255/'SA Data'!X243-1)*100,"")</f>
        <v>-1.6577282183284</v>
      </c>
      <c r="S255" s="31" t="n">
        <f aca="false">IFERROR((AVERAGE('SA Data'!X247:X255)/AVERAGE('SA Data'!X235:X243)-1)*100,"")</f>
        <v>-2.94892693556922</v>
      </c>
    </row>
    <row r="256" customFormat="false" ht="15" hidden="false" customHeight="false" outlineLevel="0" collapsed="false">
      <c r="A256" s="20" t="n">
        <v>45596</v>
      </c>
      <c r="B256" s="30" t="n">
        <f aca="false">'SA Data'!R256</f>
        <v>118.953654545853</v>
      </c>
      <c r="C256" s="31" t="n">
        <f aca="false">IFERROR((B256/B255-1)*100,"")</f>
        <v>-3.24114454251986</v>
      </c>
      <c r="D256" s="31" t="n">
        <f aca="false">IFERROR((AVERAGE(B254:B256)/AVERAGE(B251:B253)-1)*100,"")</f>
        <v>-5.61365487895377</v>
      </c>
      <c r="E256" s="31" t="n">
        <f aca="false">IFERROR(((AVERAGE(B254:B256)/AVERAGE(B251:B253))^4-1)*100,"")</f>
        <v>-20.6336006874192</v>
      </c>
      <c r="F256" s="31" t="n">
        <f aca="false">IFERROR(('SA Data'!V256/'SA Data'!V244-1)*100,"")</f>
        <v>3.34843124760651</v>
      </c>
      <c r="G256" s="31" t="n">
        <f aca="false">IFERROR((AVERAGE('SA Data'!V247:V256)/AVERAGE('SA Data'!V235:V244)-1)*100,"")</f>
        <v>36.4211516353178</v>
      </c>
      <c r="H256" s="30" t="n">
        <f aca="false">'SA Data'!S256</f>
        <v>123.055015130224</v>
      </c>
      <c r="I256" s="31" t="n">
        <f aca="false">IFERROR((H256/H255-1)*100,"")</f>
        <v>2.61832639347943</v>
      </c>
      <c r="J256" s="31" t="n">
        <f aca="false">IFERROR((AVERAGE(H254:H256)/AVERAGE(H251:H253)-1)*100,"")</f>
        <v>4.3666642248958</v>
      </c>
      <c r="K256" s="31" t="n">
        <f aca="false">IFERROR(((AVERAGE(H254:H256)/AVERAGE(H251:H253))^4-1)*100,"")</f>
        <v>18.6443908620793</v>
      </c>
      <c r="L256" s="31" t="n">
        <f aca="false">IFERROR(('SA Data'!W256/'SA Data'!W244-1)*100,"")</f>
        <v>-3.65067905312305</v>
      </c>
      <c r="M256" s="31" t="n">
        <f aca="false">IFERROR((AVERAGE('SA Data'!W247:W256)/AVERAGE('SA Data'!W235:W244)-1)*100,"")</f>
        <v>-11.2239645062694</v>
      </c>
      <c r="N256" s="30" t="n">
        <f aca="false">'SA Data'!T256</f>
        <v>163.223726715062</v>
      </c>
      <c r="O256" s="31" t="n">
        <f aca="false">IFERROR((N256/N255-1)*100,"")</f>
        <v>2.00042066623383</v>
      </c>
      <c r="P256" s="31" t="n">
        <f aca="false">IFERROR((AVERAGE(N254:N256)/AVERAGE(N251:N253)-1)*100,"")</f>
        <v>0.681528721973779</v>
      </c>
      <c r="Q256" s="31" t="n">
        <f aca="false">IFERROR(((AVERAGE(N254:N256)/AVERAGE(N251:N253))^4-1)*100,"")</f>
        <v>2.75411061053625</v>
      </c>
      <c r="R256" s="31" t="n">
        <f aca="false">IFERROR(('SA Data'!X256/'SA Data'!X244-1)*100,"")</f>
        <v>0.643921672125125</v>
      </c>
      <c r="S256" s="31" t="n">
        <f aca="false">IFERROR((AVERAGE('SA Data'!X247:X256)/AVERAGE('SA Data'!X235:X244)-1)*100,"")</f>
        <v>-2.59001131378357</v>
      </c>
    </row>
    <row r="257" customFormat="false" ht="15" hidden="false" customHeight="false" outlineLevel="0" collapsed="false">
      <c r="A257" s="20" t="n">
        <v>45626</v>
      </c>
      <c r="B257" s="30" t="n">
        <f aca="false">'SA Data'!R257</f>
        <v>119.63354492917</v>
      </c>
      <c r="C257" s="31" t="n">
        <f aca="false">IFERROR((B257/B256-1)*100,"")</f>
        <v>0.571559054585347</v>
      </c>
      <c r="D257" s="31" t="n">
        <f aca="false">IFERROR((AVERAGE(B255:B257)/AVERAGE(B252:B254)-1)*100,"")</f>
        <v>-5.5467884076432</v>
      </c>
      <c r="E257" s="31" t="n">
        <f aca="false">IFERROR(((AVERAGE(B255:B257)/AVERAGE(B252:B254))^4-1)*100,"")</f>
        <v>-20.4084582410397</v>
      </c>
      <c r="F257" s="31" t="n">
        <f aca="false">IFERROR(('SA Data'!V257/'SA Data'!V245-1)*100,"")</f>
        <v>4.16328140745634</v>
      </c>
      <c r="G257" s="31" t="n">
        <f aca="false">IFERROR((AVERAGE('SA Data'!V247:V257)/AVERAGE('SA Data'!V235:V245)-1)*100,"")</f>
        <v>33.968717575336</v>
      </c>
      <c r="H257" s="30" t="n">
        <f aca="false">'SA Data'!S257</f>
        <v>123.328874855809</v>
      </c>
      <c r="I257" s="31" t="n">
        <f aca="false">IFERROR((H257/H256-1)*100,"")</f>
        <v>0.222550641512487</v>
      </c>
      <c r="J257" s="31" t="n">
        <f aca="false">IFERROR((AVERAGE(H255:H257)/AVERAGE(H252:H254)-1)*100,"")</f>
        <v>4.17742645839074</v>
      </c>
      <c r="K257" s="31" t="n">
        <f aca="false">IFERROR(((AVERAGE(H255:H257)/AVERAGE(H252:H254))^4-1)*100,"")</f>
        <v>17.7862238029805</v>
      </c>
      <c r="L257" s="31" t="n">
        <f aca="false">IFERROR(('SA Data'!W257/'SA Data'!W245-1)*100,"")</f>
        <v>-3.61830181025483</v>
      </c>
      <c r="M257" s="31" t="n">
        <f aca="false">IFERROR((AVERAGE('SA Data'!W247:W257)/AVERAGE('SA Data'!W235:W245)-1)*100,"")</f>
        <v>-10.5301627855963</v>
      </c>
      <c r="N257" s="30" t="n">
        <f aca="false">'SA Data'!T257</f>
        <v>164.110074093296</v>
      </c>
      <c r="O257" s="31" t="n">
        <f aca="false">IFERROR((N257/N256-1)*100,"")</f>
        <v>0.543026063717966</v>
      </c>
      <c r="P257" s="31" t="n">
        <f aca="false">IFERROR((AVERAGE(N255:N257)/AVERAGE(N252:N254)-1)*100,"")</f>
        <v>1.27058442458854</v>
      </c>
      <c r="Q257" s="31" t="n">
        <f aca="false">IFERROR(((AVERAGE(N255:N257)/AVERAGE(N252:N254))^4-1)*100,"")</f>
        <v>5.18002387625549</v>
      </c>
      <c r="R257" s="31" t="n">
        <f aca="false">IFERROR(('SA Data'!X257/'SA Data'!X245-1)*100,"")</f>
        <v>1.3031267821382</v>
      </c>
      <c r="S257" s="31" t="n">
        <f aca="false">IFERROR((AVERAGE('SA Data'!X247:X257)/AVERAGE('SA Data'!X235:X245)-1)*100,"")</f>
        <v>-2.23863936048176</v>
      </c>
    </row>
    <row r="258" customFormat="false" ht="15" hidden="false" customHeight="false" outlineLevel="0" collapsed="false">
      <c r="A258" s="20" t="n">
        <v>45657</v>
      </c>
      <c r="B258" s="30" t="n">
        <f aca="false">'SA Data'!R258</f>
        <v>121.486998280701</v>
      </c>
      <c r="C258" s="31" t="n">
        <f aca="false">IFERROR((B258/B257-1)*100,"")</f>
        <v>1.54927562551781</v>
      </c>
      <c r="D258" s="31" t="n">
        <f aca="false">IFERROR((AVERAGE(B256:B258)/AVERAGE(B253:B255)-1)*100,"")</f>
        <v>-4.11634495758277</v>
      </c>
      <c r="E258" s="31" t="n">
        <f aca="false">IFERROR(((AVERAGE(B256:B258)/AVERAGE(B253:B255))^4-1)*100,"")</f>
        <v>-15.4763343992282</v>
      </c>
      <c r="F258" s="31" t="n">
        <f aca="false">IFERROR(('SA Data'!V258/'SA Data'!V246-1)*100,"")</f>
        <v>9.23709128811474</v>
      </c>
      <c r="G258" s="31" t="n">
        <f aca="false">IFERROR((AVERAGE('SA Data'!V247:V258)/AVERAGE('SA Data'!V235:V246)-1)*100,"")</f>
        <v>31.7629142121821</v>
      </c>
      <c r="H258" s="30" t="n">
        <f aca="false">'SA Data'!S258</f>
        <v>123.995045745282</v>
      </c>
      <c r="I258" s="31" t="n">
        <f aca="false">IFERROR((H258/H257-1)*100,"")</f>
        <v>0.540158085648068</v>
      </c>
      <c r="J258" s="31" t="n">
        <f aca="false">IFERROR((AVERAGE(H256:H258)/AVERAGE(H253:H255)-1)*100,"")</f>
        <v>2.2677038538399</v>
      </c>
      <c r="K258" s="31" t="n">
        <f aca="false">IFERROR(((AVERAGE(H256:H258)/AVERAGE(H253:H255))^4-1)*100,"")</f>
        <v>9.38405535597429</v>
      </c>
      <c r="L258" s="31" t="n">
        <f aca="false">IFERROR(('SA Data'!W258/'SA Data'!W246-1)*100,"")</f>
        <v>4.33558926570696</v>
      </c>
      <c r="M258" s="31" t="n">
        <f aca="false">IFERROR((AVERAGE('SA Data'!W247:W258)/AVERAGE('SA Data'!W235:W246)-1)*100,"")</f>
        <v>-9.427307575399</v>
      </c>
      <c r="N258" s="30" t="n">
        <f aca="false">'SA Data'!T258</f>
        <v>164.974699199695</v>
      </c>
      <c r="O258" s="31" t="n">
        <f aca="false">IFERROR((N258/N257-1)*100,"")</f>
        <v>0.526856813133247</v>
      </c>
      <c r="P258" s="31" t="n">
        <f aca="false">IFERROR((AVERAGE(N256:N258)/AVERAGE(N253:N255)-1)*100,"")</f>
        <v>1.79555644745482</v>
      </c>
      <c r="Q258" s="31" t="n">
        <f aca="false">IFERROR(((AVERAGE(N256:N258)/AVERAGE(N253:N255))^4-1)*100,"")</f>
        <v>7.37799312758523</v>
      </c>
      <c r="R258" s="31" t="n">
        <f aca="false">IFERROR(('SA Data'!X258/'SA Data'!X246-1)*100,"")</f>
        <v>4.65261590974551</v>
      </c>
      <c r="S258" s="31" t="n">
        <f aca="false">IFERROR((AVERAGE('SA Data'!X247:X258)/AVERAGE('SA Data'!X235:X246)-1)*100,"")</f>
        <v>-1.68598886208325</v>
      </c>
    </row>
    <row r="259" customFormat="false" ht="15" hidden="false" customHeight="false" outlineLevel="0" collapsed="false">
      <c r="A259" s="20" t="n">
        <v>45688</v>
      </c>
      <c r="B259" s="30" t="n">
        <f aca="false">'SA Data'!R259</f>
        <v>121.079543006311</v>
      </c>
      <c r="C259" s="31" t="n">
        <f aca="false">IFERROR((B259/B258-1)*100,"")</f>
        <v>-0.335390025398663</v>
      </c>
      <c r="D259" s="31" t="n">
        <f aca="false">IFERROR((AVERAGE(B257:B259)/AVERAGE(B254:B256)-1)*100,"")</f>
        <v>-1.06774338449452</v>
      </c>
      <c r="E259" s="31" t="n">
        <f aca="false">IFERROR(((AVERAGE(B257:B259)/AVERAGE(B254:B256))^4-1)*100,"")</f>
        <v>-4.20305460551207</v>
      </c>
      <c r="F259" s="31" t="n">
        <f aca="false">IFERROR(('SA Data'!V259/'SA Data'!V247-1)*100,"")</f>
        <v>2.77680647603473</v>
      </c>
      <c r="G259" s="31" t="n">
        <f aca="false">IFERROR((AVERAGE('SA Data'!V259:V259)/AVERAGE('SA Data'!V247:V247)-1)*100,"")</f>
        <v>2.77680647603473</v>
      </c>
      <c r="H259" s="30" t="n">
        <f aca="false">'SA Data'!S259</f>
        <v>125.978942127628</v>
      </c>
      <c r="I259" s="31" t="n">
        <f aca="false">IFERROR((H259/H258-1)*100,"")</f>
        <v>1.59998036245901</v>
      </c>
      <c r="J259" s="31" t="n">
        <f aca="false">IFERROR((AVERAGE(H257:H259)/AVERAGE(H254:H256)-1)*100,"")</f>
        <v>2.43861330364397</v>
      </c>
      <c r="K259" s="31" t="n">
        <f aca="false">IFERROR(((AVERAGE(H257:H259)/AVERAGE(H254:H256))^4-1)*100,"")</f>
        <v>10.1170994823298</v>
      </c>
      <c r="L259" s="31" t="n">
        <f aca="false">IFERROR(('SA Data'!W259/'SA Data'!W247-1)*100,"")</f>
        <v>5.57934695683453</v>
      </c>
      <c r="M259" s="31" t="n">
        <f aca="false">IFERROR((AVERAGE('SA Data'!W259:W259)/AVERAGE('SA Data'!W247:W247)-1)*100,"")</f>
        <v>5.57934695683453</v>
      </c>
      <c r="N259" s="30" t="n">
        <f aca="false">'SA Data'!T259</f>
        <v>166.497352965443</v>
      </c>
      <c r="O259" s="31" t="n">
        <f aca="false">IFERROR((N259/N258-1)*100,"")</f>
        <v>0.922961989404914</v>
      </c>
      <c r="P259" s="31" t="n">
        <f aca="false">IFERROR((AVERAGE(N257:N259)/AVERAGE(N254:N256)-1)*100,"")</f>
        <v>2.26026382747457</v>
      </c>
      <c r="Q259" s="31" t="n">
        <f aca="false">IFERROR(((AVERAGE(N257:N259)/AVERAGE(N254:N256))^4-1)*100,"")</f>
        <v>9.35222785146623</v>
      </c>
      <c r="R259" s="31" t="n">
        <f aca="false">IFERROR(('SA Data'!X259/'SA Data'!X247-1)*100,"")</f>
        <v>5.06962882694824</v>
      </c>
      <c r="S259" s="31" t="n">
        <f aca="false">IFERROR((AVERAGE('SA Data'!X259:X259)/AVERAGE('SA Data'!X247:X247)-1)*100,"")</f>
        <v>5.06962882694824</v>
      </c>
    </row>
    <row r="260" customFormat="false" ht="15" hidden="false" customHeight="false" outlineLevel="0" collapsed="false">
      <c r="A260" s="20" t="n">
        <v>45716</v>
      </c>
      <c r="B260" s="30" t="n">
        <f aca="false">'SA Data'!R260</f>
        <v>122.503480817932</v>
      </c>
      <c r="C260" s="31" t="n">
        <f aca="false">IFERROR((B260/B259-1)*100,"")</f>
        <v>1.17603500662904</v>
      </c>
      <c r="D260" s="31" t="n">
        <f aca="false">IFERROR((AVERAGE(B258:B260)/AVERAGE(B255:B257)-1)*100,"")</f>
        <v>0.980445839138167</v>
      </c>
      <c r="E260" s="31" t="n">
        <f aca="false">IFERROR(((AVERAGE(B258:B260)/AVERAGE(B255:B257))^4-1)*100,"")</f>
        <v>3.97983771406394</v>
      </c>
      <c r="F260" s="31" t="n">
        <f aca="false">IFERROR(('SA Data'!V260/'SA Data'!V248-1)*100,"")</f>
        <v>6.89489075033365</v>
      </c>
      <c r="G260" s="31" t="n">
        <f aca="false">IFERROR((AVERAGE('SA Data'!V259:V260)/AVERAGE('SA Data'!V247:V248)-1)*100,"")</f>
        <v>4.60438631378064</v>
      </c>
      <c r="H260" s="30" t="n">
        <f aca="false">'SA Data'!S260</f>
        <v>125.464644319143</v>
      </c>
      <c r="I260" s="31" t="n">
        <f aca="false">IFERROR((H260/H259-1)*100,"")</f>
        <v>-0.408241091566008</v>
      </c>
      <c r="J260" s="31" t="n">
        <f aca="false">IFERROR((AVERAGE(H258:H260)/AVERAGE(H255:H257)-1)*100,"")</f>
        <v>2.49509177326563</v>
      </c>
      <c r="K260" s="31" t="n">
        <f aca="false">IFERROR(((AVERAGE(H258:H260)/AVERAGE(H255:H257))^4-1)*100,"")</f>
        <v>10.3601480876459</v>
      </c>
      <c r="L260" s="31" t="n">
        <f aca="false">IFERROR(('SA Data'!W260/'SA Data'!W248-1)*100,"")</f>
        <v>4.9548604411342</v>
      </c>
      <c r="M260" s="31" t="n">
        <f aca="false">IFERROR((AVERAGE('SA Data'!W259:W260)/AVERAGE('SA Data'!W247:W248)-1)*100,"")</f>
        <v>5.26810833993106</v>
      </c>
      <c r="N260" s="30" t="n">
        <f aca="false">'SA Data'!T260</f>
        <v>166.752731864867</v>
      </c>
      <c r="O260" s="31" t="n">
        <f aca="false">IFERROR((N260/N259-1)*100,"")</f>
        <v>0.153383158876252</v>
      </c>
      <c r="P260" s="31" t="n">
        <f aca="false">IFERROR((AVERAGE(N258:N260)/AVERAGE(N255:N257)-1)*100,"")</f>
        <v>2.23006851784529</v>
      </c>
      <c r="Q260" s="31" t="n">
        <f aca="false">IFERROR(((AVERAGE(N258:N260)/AVERAGE(N255:N257))^4-1)*100,"")</f>
        <v>9.22312737550355</v>
      </c>
      <c r="R260" s="31" t="n">
        <f aca="false">IFERROR(('SA Data'!X260/'SA Data'!X248-1)*100,"")</f>
        <v>4.70265225589177</v>
      </c>
      <c r="S260" s="31" t="n">
        <f aca="false">IFERROR((AVERAGE('SA Data'!X259:X260)/AVERAGE('SA Data'!X247:X248)-1)*100,"")</f>
        <v>4.88737627353131</v>
      </c>
    </row>
    <row r="261" customFormat="false" ht="15" hidden="false" customHeight="false" outlineLevel="0" collapsed="false">
      <c r="A261" s="20" t="n">
        <v>45747</v>
      </c>
      <c r="B261" s="30" t="n">
        <f aca="false">'SA Data'!R261</f>
        <v>124.914131598365</v>
      </c>
      <c r="C261" s="31" t="n">
        <f aca="false">IFERROR((B261/B260-1)*100,"")</f>
        <v>1.96782227275283</v>
      </c>
      <c r="D261" s="31" t="n">
        <f aca="false">IFERROR((AVERAGE(B259:B261)/AVERAGE(B256:B258)-1)*100,"")</f>
        <v>2.33922833665443</v>
      </c>
      <c r="E261" s="31" t="n">
        <f aca="false">IFERROR(((AVERAGE(B259:B261)/AVERAGE(B256:B258))^4-1)*100,"")</f>
        <v>9.69038273483218</v>
      </c>
      <c r="F261" s="31" t="n">
        <f aca="false">IFERROR(('SA Data'!V261/'SA Data'!V249-1)*100,"")</f>
        <v>7.7120298470299</v>
      </c>
      <c r="G261" s="31" t="n">
        <f aca="false">IFERROR((AVERAGE('SA Data'!V259:V261)/AVERAGE('SA Data'!V247:V249)-1)*100,"")</f>
        <v>6.02884157694001</v>
      </c>
      <c r="H261" s="30" t="n">
        <f aca="false">'SA Data'!S261</f>
        <v>118.404678456905</v>
      </c>
      <c r="I261" s="31" t="n">
        <f aca="false">IFERROR((H261/H260-1)*100,"")</f>
        <v>-5.62705605276319</v>
      </c>
      <c r="J261" s="31" t="n">
        <f aca="false">IFERROR((AVERAGE(H259:H261)/AVERAGE(H256:H258)-1)*100,"")</f>
        <v>-0.143277809951681</v>
      </c>
      <c r="K261" s="31" t="n">
        <f aca="false">IFERROR(((AVERAGE(H259:H261)/AVERAGE(H256:H258))^4-1)*100,"")</f>
        <v>-0.571880704048999</v>
      </c>
      <c r="L261" s="31" t="n">
        <f aca="false">IFERROR(('SA Data'!W261/'SA Data'!W249-1)*100,"")</f>
        <v>5.94706528045286</v>
      </c>
      <c r="M261" s="31" t="n">
        <f aca="false">IFERROR((AVERAGE('SA Data'!W259:W261)/AVERAGE('SA Data'!W247:W249)-1)*100,"")</f>
        <v>5.50104002120426</v>
      </c>
      <c r="N261" s="30" t="n">
        <f aca="false">'SA Data'!T261</f>
        <v>163.59676564425</v>
      </c>
      <c r="O261" s="31" t="n">
        <f aca="false">IFERROR((N261/N260-1)*100,"")</f>
        <v>-1.89260240916129</v>
      </c>
      <c r="P261" s="31" t="n">
        <f aca="false">IFERROR((AVERAGE(N259:N261)/AVERAGE(N256:N258)-1)*100,"")</f>
        <v>0.921850926082524</v>
      </c>
      <c r="Q261" s="31" t="n">
        <f aca="false">IFERROR(((AVERAGE(N259:N261)/AVERAGE(N256:N258))^4-1)*100,"")</f>
        <v>3.73870633323417</v>
      </c>
      <c r="R261" s="31" t="n">
        <f aca="false">IFERROR(('SA Data'!X261/'SA Data'!X249-1)*100,"")</f>
        <v>4.7545172400596</v>
      </c>
      <c r="S261" s="31" t="n">
        <f aca="false">IFERROR((AVERAGE('SA Data'!X259:X261)/AVERAGE('SA Data'!X247:X249)-1)*100,"")</f>
        <v>4.8428282145782</v>
      </c>
    </row>
    <row r="262" customFormat="false" ht="15" hidden="false" customHeight="false" outlineLevel="0" collapsed="false">
      <c r="A262" s="20" t="n">
        <v>45777</v>
      </c>
      <c r="B262" s="30" t="n">
        <f aca="false">'SA Data'!R262</f>
        <v>136.869094493639</v>
      </c>
      <c r="C262" s="31" t="n">
        <f aca="false">IFERROR((B262/B261-1)*100,"")</f>
        <v>9.57054477528063</v>
      </c>
      <c r="D262" s="31" t="n">
        <f aca="false">IFERROR((AVERAGE(B260:B262)/AVERAGE(B257:B259)-1)*100,"")</f>
        <v>6.09790597359783</v>
      </c>
      <c r="E262" s="31" t="n">
        <f aca="false">IFERROR(((AVERAGE(B260:B262)/AVERAGE(B257:B259))^4-1)*100,"")</f>
        <v>26.7147729436509</v>
      </c>
      <c r="F262" s="31" t="n">
        <f aca="false">IFERROR(('SA Data'!V262/'SA Data'!V250-1)*100,"")</f>
        <v>6.76297430162283</v>
      </c>
      <c r="G262" s="31" t="n">
        <f aca="false">IFERROR((AVERAGE('SA Data'!V259:V262)/AVERAGE('SA Data'!V247:V250)-1)*100,"")</f>
        <v>6.32262072136591</v>
      </c>
      <c r="H262" s="30" t="n">
        <f aca="false">'SA Data'!S262</f>
        <v>124.261407489037</v>
      </c>
      <c r="I262" s="31" t="n">
        <f aca="false">IFERROR((H262/H261-1)*100,"")</f>
        <v>4.94636623185734</v>
      </c>
      <c r="J262" s="31" t="n">
        <f aca="false">IFERROR((AVERAGE(H260:H262)/AVERAGE(H257:H259)-1)*100,"")</f>
        <v>-1.38550570596431</v>
      </c>
      <c r="K262" s="31" t="n">
        <f aca="false">IFERROR(((AVERAGE(H260:H262)/AVERAGE(H257:H259))^4-1)*100,"")</f>
        <v>-5.42790543636191</v>
      </c>
      <c r="L262" s="31" t="n">
        <f aca="false">IFERROR(('SA Data'!W262/'SA Data'!W250-1)*100,"")</f>
        <v>9.51396576150976</v>
      </c>
      <c r="M262" s="31" t="n">
        <f aca="false">IFERROR((AVERAGE('SA Data'!W259:W262)/AVERAGE('SA Data'!W247:W250)-1)*100,"")</f>
        <v>6.51378913480136</v>
      </c>
      <c r="N262" s="30" t="n">
        <f aca="false">'SA Data'!T262</f>
        <v>166.73529921407</v>
      </c>
      <c r="O262" s="31" t="n">
        <f aca="false">IFERROR((N262/N261-1)*100,"")</f>
        <v>1.91845698016089</v>
      </c>
      <c r="P262" s="31" t="n">
        <f aca="false">IFERROR((AVERAGE(N260:N262)/AVERAGE(N257:N259)-1)*100,"")</f>
        <v>0.303213208292519</v>
      </c>
      <c r="Q262" s="31" t="n">
        <f aca="false">IFERROR(((AVERAGE(N260:N262)/AVERAGE(N257:N259))^4-1)*100,"")</f>
        <v>1.21838028736037</v>
      </c>
      <c r="R262" s="31" t="n">
        <f aca="false">IFERROR(('SA Data'!X262/'SA Data'!X250-1)*100,"")</f>
        <v>6.7737307095787</v>
      </c>
      <c r="S262" s="31" t="n">
        <f aca="false">IFERROR((AVERAGE('SA Data'!X259:X262)/AVERAGE('SA Data'!X247:X250)-1)*100,"")</f>
        <v>5.32256615260931</v>
      </c>
    </row>
    <row r="263" customFormat="false" ht="15" hidden="false" customHeight="false" outlineLevel="0" collapsed="false">
      <c r="A263" s="20" t="n">
        <v>45808</v>
      </c>
      <c r="B263" s="30" t="n">
        <f aca="false">'SA Data'!R263</f>
        <v>138.715714084799</v>
      </c>
      <c r="C263" s="31" t="n">
        <f aca="false">IFERROR((B263/B262-1)*100,"")</f>
        <v>1.34918667942663</v>
      </c>
      <c r="D263" s="31" t="n">
        <f aca="false">IFERROR((AVERAGE(B261:B263)/AVERAGE(B258:B260)-1)*100,"")</f>
        <v>9.70469113502677</v>
      </c>
      <c r="E263" s="31" t="n">
        <f aca="false">IFERROR(((AVERAGE(B261:B263)/AVERAGE(B258:B260))^4-1)*100,"")</f>
        <v>44.8440955309734</v>
      </c>
      <c r="F263" s="31" t="n">
        <f aca="false">IFERROR(('SA Data'!V263/'SA Data'!V251-1)*100,"")</f>
        <v>4.86863766519752</v>
      </c>
      <c r="G263" s="31" t="n">
        <f aca="false">IFERROR((AVERAGE('SA Data'!V259:V263)/AVERAGE('SA Data'!V247:V251)-1)*100,"")</f>
        <v>5.81246110240352</v>
      </c>
      <c r="H263" s="30" t="n">
        <f aca="false">'SA Data'!S263</f>
        <v>122.628276000926</v>
      </c>
      <c r="I263" s="31" t="n">
        <f aca="false">IFERROR((H263/H262-1)*100,"")</f>
        <v>-1.31427087549684</v>
      </c>
      <c r="J263" s="31" t="n">
        <f aca="false">IFERROR((AVERAGE(H261:H263)/AVERAGE(H258:H260)-1)*100,"")</f>
        <v>-2.70197826631665</v>
      </c>
      <c r="K263" s="31" t="n">
        <f aca="false">IFERROR(((AVERAGE(H261:H263)/AVERAGE(H258:H260))^4-1)*100,"")</f>
        <v>-10.3777090907003</v>
      </c>
      <c r="L263" s="31" t="n">
        <f aca="false">IFERROR(('SA Data'!W263/'SA Data'!W251-1)*100,"")</f>
        <v>5.567368655035</v>
      </c>
      <c r="M263" s="31" t="n">
        <f aca="false">IFERROR((AVERAGE('SA Data'!W259:W263)/AVERAGE('SA Data'!W247:W251)-1)*100,"")</f>
        <v>6.31706702435182</v>
      </c>
      <c r="N263" s="30" t="n">
        <f aca="false">'SA Data'!T263</f>
        <v>166.616922080789</v>
      </c>
      <c r="O263" s="31" t="n">
        <f aca="false">IFERROR((N263/N262-1)*100,"")</f>
        <v>-0.0709970437209107</v>
      </c>
      <c r="P263" s="31" t="n">
        <f aca="false">IFERROR((AVERAGE(N261:N263)/AVERAGE(N258:N260)-1)*100,"")</f>
        <v>-0.256068572216917</v>
      </c>
      <c r="Q263" s="31" t="n">
        <f aca="false">IFERROR(((AVERAGE(N261:N263)/AVERAGE(N258:N260))^4-1)*100,"")</f>
        <v>-1.02034673402804</v>
      </c>
      <c r="R263" s="31" t="n">
        <f aca="false">IFERROR(('SA Data'!X263/'SA Data'!X251-1)*100,"")</f>
        <v>4.64744120645315</v>
      </c>
      <c r="S263" s="31" t="n">
        <f aca="false">IFERROR((AVERAGE('SA Data'!X259:X263)/AVERAGE('SA Data'!X247:X251)-1)*100,"")</f>
        <v>5.1849231127411</v>
      </c>
    </row>
    <row r="264" customFormat="false" ht="15" hidden="false" customHeight="false" outlineLevel="0" collapsed="false">
      <c r="A264" s="20" t="n">
        <v>45838</v>
      </c>
      <c r="B264" s="30" t="n">
        <f aca="false">'SA Data'!R264</f>
        <v>136.334235617136</v>
      </c>
      <c r="C264" s="31" t="n">
        <f aca="false">IFERROR((B264/B263-1)*100,"")</f>
        <v>-1.71680510991498</v>
      </c>
      <c r="D264" s="31" t="n">
        <f aca="false">IFERROR((AVERAGE(B262:B264)/AVERAGE(B259:B261)-1)*100,"")</f>
        <v>11.7835071815327</v>
      </c>
      <c r="E264" s="31" t="n">
        <f aca="false">IFERROR(((AVERAGE(B262:B264)/AVERAGE(B259:B261))^4-1)*100,"")</f>
        <v>56.138831725548</v>
      </c>
      <c r="F264" s="31" t="n">
        <f aca="false">IFERROR(('SA Data'!V264/'SA Data'!V252-1)*100,"")</f>
        <v>3.74366588994024</v>
      </c>
      <c r="G264" s="31" t="n">
        <f aca="false">IFERROR((AVERAGE('SA Data'!V259:V264)/AVERAGE('SA Data'!V247:V252)-1)*100,"")</f>
        <v>5.40339616638947</v>
      </c>
      <c r="H264" s="30" t="n">
        <f aca="false">'SA Data'!S264</f>
        <v>119.366687697252</v>
      </c>
      <c r="I264" s="31" t="n">
        <f aca="false">IFERROR((H264/H263-1)*100,"")</f>
        <v>-2.65973591902206</v>
      </c>
      <c r="J264" s="31" t="n">
        <f aca="false">IFERROR((AVERAGE(H262:H264)/AVERAGE(H259:H261)-1)*100,"")</f>
        <v>-0.971180361599877</v>
      </c>
      <c r="K264" s="31" t="n">
        <f aca="false">IFERROR(((AVERAGE(H262:H264)/AVERAGE(H259:H261))^4-1)*100,"")</f>
        <v>-3.82849548264933</v>
      </c>
      <c r="L264" s="31" t="n">
        <f aca="false">IFERROR(('SA Data'!W264/'SA Data'!W252-1)*100,"")</f>
        <v>8.82460043058824</v>
      </c>
      <c r="M264" s="31" t="n">
        <f aca="false">IFERROR((AVERAGE('SA Data'!W259:W264)/AVERAGE('SA Data'!W247:W252)-1)*100,"")</f>
        <v>6.72998399547187</v>
      </c>
      <c r="N264" s="30" t="n">
        <f aca="false">'SA Data'!T264</f>
        <v>165.923934480277</v>
      </c>
      <c r="O264" s="31" t="n">
        <f aca="false">IFERROR((N264/N263-1)*100,"")</f>
        <v>-0.415916697930296</v>
      </c>
      <c r="P264" s="31" t="n">
        <f aca="false">IFERROR((AVERAGE(N262:N264)/AVERAGE(N259:N261)-1)*100,"")</f>
        <v>0.488944490290066</v>
      </c>
      <c r="Q264" s="31" t="n">
        <f aca="false">IFERROR(((AVERAGE(N262:N264)/AVERAGE(N259:N261))^4-1)*100,"")</f>
        <v>1.97016877732943</v>
      </c>
      <c r="R264" s="31" t="n">
        <f aca="false">IFERROR(('SA Data'!X264/'SA Data'!X252-1)*100,"")</f>
        <v>5.93148073905654</v>
      </c>
      <c r="S264" s="31" t="n">
        <f aca="false">IFERROR((AVERAGE('SA Data'!X259:X264)/AVERAGE('SA Data'!X247:X252)-1)*100,"")</f>
        <v>5.31087334792417</v>
      </c>
    </row>
    <row r="265" customFormat="false" ht="15" hidden="false" customHeight="false" outlineLevel="0" collapsed="false">
      <c r="A265" s="20" t="n">
        <v>45869</v>
      </c>
      <c r="B265" s="30" t="n">
        <f aca="false">'SA Data'!R265</f>
        <v>128.19315719576</v>
      </c>
      <c r="C265" s="31" t="n">
        <f aca="false">IFERROR((B265/B264-1)*100,"")</f>
        <v>-5.97141164471585</v>
      </c>
      <c r="D265" s="31" t="n">
        <f aca="false">IFERROR((AVERAGE(B263:B265)/AVERAGE(B260:B262)-1)*100,"")</f>
        <v>4.93287944831322</v>
      </c>
      <c r="E265" s="31" t="n">
        <f aca="false">IFERROR(((AVERAGE(B263:B265)/AVERAGE(B260:B262))^4-1)*100,"")</f>
        <v>21.2401211753247</v>
      </c>
      <c r="F265" s="31" t="n">
        <f aca="false">IFERROR(('SA Data'!V265/'SA Data'!V253-1)*100,"")</f>
        <v>-0.740080095680196</v>
      </c>
      <c r="G265" s="31" t="n">
        <f aca="false">IFERROR((AVERAGE('SA Data'!V259:V265)/AVERAGE('SA Data'!V247:V253)-1)*100,"")</f>
        <v>4.72351413553458</v>
      </c>
      <c r="H265" s="30" t="n">
        <f aca="false">'SA Data'!S265</f>
        <v>122.688815094666</v>
      </c>
      <c r="I265" s="31" t="n">
        <f aca="false">IFERROR((H265/H264-1)*100,"")</f>
        <v>2.78312773982634</v>
      </c>
      <c r="J265" s="31" t="n">
        <f aca="false">IFERROR((AVERAGE(H263:H265)/AVERAGE(H260:H262)-1)*100,"")</f>
        <v>-0.936338965714567</v>
      </c>
      <c r="K265" s="31" t="n">
        <f aca="false">IFERROR(((AVERAGE(H263:H265)/AVERAGE(H260:H262))^4-1)*100,"")</f>
        <v>-3.69307962150998</v>
      </c>
      <c r="L265" s="31" t="n">
        <f aca="false">IFERROR(('SA Data'!W265/'SA Data'!W253-1)*100,"")</f>
        <v>0.91326101611442</v>
      </c>
      <c r="M265" s="31" t="n">
        <f aca="false">IFERROR((AVERAGE('SA Data'!W259:W265)/AVERAGE('SA Data'!W247:W253)-1)*100,"")</f>
        <v>5.80538012317706</v>
      </c>
      <c r="N265" s="30" t="n">
        <f aca="false">'SA Data'!T265</f>
        <v>166.541735608922</v>
      </c>
      <c r="O265" s="31" t="n">
        <f aca="false">IFERROR((N265/N264-1)*100,"")</f>
        <v>0.372339970469038</v>
      </c>
      <c r="P265" s="31" t="n">
        <f aca="false">IFERROR((AVERAGE(N263:N265)/AVERAGE(N260:N262)-1)*100,"")</f>
        <v>0.401902343417104</v>
      </c>
      <c r="Q265" s="31" t="n">
        <f aca="false">IFERROR(((AVERAGE(N263:N265)/AVERAGE(N260:N262))^4-1)*100,"")</f>
        <v>1.61732689636731</v>
      </c>
      <c r="R265" s="31" t="n">
        <f aca="false">IFERROR(('SA Data'!X265/'SA Data'!X253-1)*100,"")</f>
        <v>2.84079571117932</v>
      </c>
      <c r="S265" s="31" t="n">
        <f aca="false">IFERROR((AVERAGE('SA Data'!X259:X265)/AVERAGE('SA Data'!X247:X253)-1)*100,"")</f>
        <v>4.94795911855339</v>
      </c>
    </row>
    <row r="266" customFormat="false" ht="15" hidden="false" customHeight="false" outlineLevel="0" collapsed="false">
      <c r="A266" s="20" t="n">
        <v>45900</v>
      </c>
      <c r="B266" s="30" t="n">
        <f aca="false">'SA Data'!R266</f>
        <v>121.900363945353</v>
      </c>
      <c r="C266" s="31" t="n">
        <f aca="false">IFERROR((B266/B265-1)*100,"")</f>
        <v>-4.90883709244915</v>
      </c>
      <c r="D266" s="31" t="n">
        <f aca="false">IFERROR((AVERAGE(B264:B266)/AVERAGE(B261:B263)-1)*100,"")</f>
        <v>-3.51341339688477</v>
      </c>
      <c r="E266" s="31" t="n">
        <f aca="false">IFERROR(((AVERAGE(B264:B266)/AVERAGE(B261:B263))^4-1)*100,"")</f>
        <v>-13.3302047230993</v>
      </c>
      <c r="F266" s="31" t="n">
        <f aca="false">IFERROR(('SA Data'!V266/'SA Data'!V254-1)*100,"")</f>
        <v>-0.45148657088524</v>
      </c>
      <c r="G266" s="31" t="n">
        <f aca="false">IFERROR((AVERAGE('SA Data'!V259:V266)/AVERAGE('SA Data'!V247:V254)-1)*100,"")</f>
        <v>4.36038149072433</v>
      </c>
      <c r="H266" s="30" t="n">
        <f aca="false">'SA Data'!S266</f>
        <v>119.216730788163</v>
      </c>
      <c r="I266" s="31" t="n">
        <f aca="false">IFERROR((H266/H265-1)*100,"")</f>
        <v>-2.82999253340519</v>
      </c>
      <c r="J266" s="31" t="n">
        <f aca="false">IFERROR((AVERAGE(H264:H266)/AVERAGE(H261:H263)-1)*100,"")</f>
        <v>-1.10106500011397</v>
      </c>
      <c r="K266" s="31" t="n">
        <f aca="false">IFERROR(((AVERAGE(H264:H266)/AVERAGE(H261:H263))^4-1)*100,"")</f>
        <v>-4.33205183048683</v>
      </c>
      <c r="L266" s="31" t="n">
        <f aca="false">IFERROR(('SA Data'!W266/'SA Data'!W254-1)*100,"")</f>
        <v>-2.25341758739137</v>
      </c>
      <c r="M266" s="31" t="n">
        <f aca="false">IFERROR((AVERAGE('SA Data'!W259:W266)/AVERAGE('SA Data'!W247:W254)-1)*100,"")</f>
        <v>4.6733274487067</v>
      </c>
      <c r="N266" s="30" t="n">
        <f aca="false">'SA Data'!T266</f>
        <v>165.609643596274</v>
      </c>
      <c r="O266" s="31" t="n">
        <f aca="false">IFERROR((N266/N265-1)*100,"")</f>
        <v>-0.559674732126247</v>
      </c>
      <c r="P266" s="31" t="n">
        <f aca="false">IFERROR((AVERAGE(N264:N266)/AVERAGE(N261:N263)-1)*100,"")</f>
        <v>0.226648363507542</v>
      </c>
      <c r="Q266" s="31" t="n">
        <f aca="false">IFERROR(((AVERAGE(N264:N266)/AVERAGE(N261:N263))^4-1)*100,"")</f>
        <v>0.909680282633318</v>
      </c>
      <c r="R266" s="31" t="n">
        <f aca="false">IFERROR(('SA Data'!X266/'SA Data'!X254-1)*100,"")</f>
        <v>2.51420923707655</v>
      </c>
      <c r="S266" s="31" t="n">
        <f aca="false">IFERROR((AVERAGE('SA Data'!X259:X266)/AVERAGE('SA Data'!X247:X254)-1)*100,"")</f>
        <v>4.63587723969692</v>
      </c>
    </row>
    <row r="267" customFormat="false" ht="15" hidden="false" customHeight="false" outlineLevel="0" collapsed="false">
      <c r="A267" s="20" t="n">
        <v>45930</v>
      </c>
      <c r="B267" s="30" t="n">
        <f aca="false">'SA Data'!R267</f>
        <v>124.132591207767</v>
      </c>
      <c r="C267" s="31" t="n">
        <f aca="false">IFERROR((B267/B266-1)*100,"")</f>
        <v>1.83118999005985</v>
      </c>
      <c r="D267" s="31" t="n">
        <f aca="false">IFERROR((AVERAGE(B265:B267)/AVERAGE(B262:B264)-1)*100,"")</f>
        <v>-9.15056790353156</v>
      </c>
      <c r="E267" s="31" t="n">
        <f aca="false">IFERROR(((AVERAGE(B265:B267)/AVERAGE(B262:B264))^4-1)*100,"")</f>
        <v>-31.8777682484401</v>
      </c>
      <c r="F267" s="31" t="n">
        <f aca="false">IFERROR(('SA Data'!V267/'SA Data'!V255-1)*100,"")</f>
        <v>3.0065337901841</v>
      </c>
      <c r="G267" s="31" t="n">
        <f aca="false">IFERROR((AVERAGE('SA Data'!V259:V267)/AVERAGE('SA Data'!V247:V255)-1)*100,"")</f>
        <v>4.2772589268387</v>
      </c>
      <c r="H267" s="30" t="n">
        <f aca="false">'SA Data'!S267</f>
        <v>121.697498816787</v>
      </c>
      <c r="I267" s="31" t="n">
        <f aca="false">IFERROR((H267/H266-1)*100,"")</f>
        <v>2.08088916062641</v>
      </c>
      <c r="J267" s="31" t="n">
        <f aca="false">IFERROR((AVERAGE(H265:H267)/AVERAGE(H262:H264)-1)*100,"")</f>
        <v>-0.724445141799668</v>
      </c>
      <c r="K267" s="31" t="n">
        <f aca="false">IFERROR(((AVERAGE(H265:H267)/AVERAGE(H262:H264))^4-1)*100,"")</f>
        <v>-2.86644312749418</v>
      </c>
      <c r="L267" s="31" t="n">
        <f aca="false">IFERROR(('SA Data'!W267/'SA Data'!W255-1)*100,"")</f>
        <v>0.928935389998342</v>
      </c>
      <c r="M267" s="31" t="n">
        <f aca="false">IFERROR((AVERAGE('SA Data'!W259:W267)/AVERAGE('SA Data'!W247:W255)-1)*100,"")</f>
        <v>4.22205653904664</v>
      </c>
      <c r="N267" s="30" t="n">
        <f aca="false">'SA Data'!T267</f>
        <v>168.511182211951</v>
      </c>
      <c r="O267" s="31" t="n">
        <f aca="false">IFERROR((N267/N266-1)*100,"")</f>
        <v>1.75203481673467</v>
      </c>
      <c r="P267" s="31" t="n">
        <f aca="false">IFERROR((AVERAGE(N265:N267)/AVERAGE(N262:N264)-1)*100,"")</f>
        <v>0.277683127058159</v>
      </c>
      <c r="Q267" s="31" t="n">
        <f aca="false">IFERROR(((AVERAGE(N265:N267)/AVERAGE(N262:N264))^4-1)*100,"")</f>
        <v>1.11536755394868</v>
      </c>
      <c r="R267" s="31" t="n">
        <f aca="false">IFERROR(('SA Data'!X267/'SA Data'!X255-1)*100,"")</f>
        <v>4.93338453528076</v>
      </c>
      <c r="S267" s="31" t="n">
        <f aca="false">IFERROR((AVERAGE('SA Data'!X259:X267)/AVERAGE('SA Data'!X247:X255)-1)*100,"")</f>
        <v>4.66921376444871</v>
      </c>
    </row>
    <row r="268" customFormat="false" ht="15" hidden="false" customHeight="false" outlineLevel="0" collapsed="false">
      <c r="A268" s="20" t="n">
        <v>45961</v>
      </c>
      <c r="B268" s="30" t="n">
        <f aca="false">'SA Data'!R268</f>
        <v>126.554076894326</v>
      </c>
      <c r="C268" s="31" t="n">
        <f aca="false">IFERROR((B268/B267-1)*100,"")</f>
        <v>1.9507251584771</v>
      </c>
      <c r="D268" s="31" t="n">
        <f aca="false">IFERROR((AVERAGE(B266:B268)/AVERAGE(B263:B265)-1)*100,"")</f>
        <v>-7.60238038192349</v>
      </c>
      <c r="E268" s="31" t="n">
        <f aca="false">IFERROR(((AVERAGE(B266:B268)/AVERAGE(B263:B265))^4-1)*100,"")</f>
        <v>-27.1141653208336</v>
      </c>
      <c r="F268" s="31" t="n">
        <f aca="false">IFERROR(('SA Data'!V268/'SA Data'!V256-1)*100,"")</f>
        <v>6.45166719941674</v>
      </c>
      <c r="G268" s="31" t="n">
        <f aca="false">IFERROR((AVERAGE('SA Data'!V259:V268)/AVERAGE('SA Data'!V247:V256)-1)*100,"")</f>
        <v>4.39059763662699</v>
      </c>
      <c r="H268" s="30" t="n">
        <f aca="false">'SA Data'!S268</f>
        <v>123.527348082029</v>
      </c>
      <c r="I268" s="31" t="n">
        <f aca="false">IFERROR((H268/H267-1)*100,"")</f>
        <v>1.50360466158519</v>
      </c>
      <c r="J268" s="31" t="n">
        <f aca="false">IFERROR((AVERAGE(H266:H268)/AVERAGE(H263:H265)-1)*100,"")</f>
        <v>-0.0664140057626939</v>
      </c>
      <c r="K268" s="31" t="n">
        <f aca="false">IFERROR(((AVERAGE(H266:H268)/AVERAGE(H263:H265))^4-1)*100,"")</f>
        <v>-0.265391490997724</v>
      </c>
      <c r="L268" s="31" t="n">
        <f aca="false">IFERROR(('SA Data'!W268/'SA Data'!W256-1)*100,"")</f>
        <v>-0.379406365952129</v>
      </c>
      <c r="M268" s="31" t="n">
        <f aca="false">IFERROR((AVERAGE('SA Data'!W259:W268)/AVERAGE('SA Data'!W247:W256)-1)*100,"")</f>
        <v>3.70903140994388</v>
      </c>
      <c r="N268" s="30" t="n">
        <f aca="false">'SA Data'!T268</f>
        <v>168.989963193893</v>
      </c>
      <c r="O268" s="31" t="n">
        <f aca="false">IFERROR((N268/N267-1)*100,"")</f>
        <v>0.284124160578925</v>
      </c>
      <c r="P268" s="31" t="n">
        <f aca="false">IFERROR((AVERAGE(N266:N268)/AVERAGE(N263:N265)-1)*100,"")</f>
        <v>0.807120283361562</v>
      </c>
      <c r="Q268" s="31" t="n">
        <f aca="false">IFERROR(((AVERAGE(N266:N268)/AVERAGE(N263:N265))^4-1)*100,"")</f>
        <v>3.26777846412576</v>
      </c>
      <c r="R268" s="31" t="n">
        <f aca="false">IFERROR(('SA Data'!X268/'SA Data'!X256-1)*100,"")</f>
        <v>3.13867530470253</v>
      </c>
      <c r="S268" s="31" t="n">
        <f aca="false">IFERROR((AVERAGE('SA Data'!X259:X268)/AVERAGE('SA Data'!X247:X256)-1)*100,"")</f>
        <v>4.51124117065029</v>
      </c>
    </row>
    <row r="269" customFormat="false" ht="15" hidden="false" customHeight="false" outlineLevel="0" collapsed="false">
      <c r="A269" s="20" t="n">
        <v>45991</v>
      </c>
      <c r="B269" s="30" t="n">
        <f aca="false">'SA Data'!R269</f>
        <v>132.069150754299</v>
      </c>
      <c r="C269" s="31" t="n">
        <f aca="false">IFERROR((B269/B268-1)*100,"")</f>
        <v>4.35787925234386</v>
      </c>
      <c r="D269" s="31" t="n">
        <f aca="false">IFERROR((AVERAGE(B267:B269)/AVERAGE(B264:B266)-1)*100,"")</f>
        <v>-0.950226229259699</v>
      </c>
      <c r="E269" s="31" t="n">
        <f aca="false">IFERROR(((AVERAGE(B267:B269)/AVERAGE(B264:B266))^4-1)*100,"")</f>
        <v>-3.74707150361466</v>
      </c>
      <c r="F269" s="31" t="n">
        <f aca="false">IFERROR(('SA Data'!V269/'SA Data'!V257-1)*100,"")</f>
        <v>10.8439369946707</v>
      </c>
      <c r="G269" s="31" t="n">
        <f aca="false">IFERROR((AVERAGE('SA Data'!V259:V269)/AVERAGE('SA Data'!V247:V257)-1)*100,"")</f>
        <v>4.77206501536145</v>
      </c>
      <c r="H269" s="30" t="n">
        <f aca="false">'SA Data'!S269</f>
        <v>116.940935010626</v>
      </c>
      <c r="I269" s="31" t="n">
        <f aca="false">IFERROR((H269/H268-1)*100,"")</f>
        <v>-5.3319472761852</v>
      </c>
      <c r="J269" s="31" t="n">
        <f aca="false">IFERROR((AVERAGE(H267:H269)/AVERAGE(H264:H266)-1)*100,"")</f>
        <v>0.247333796042626</v>
      </c>
      <c r="K269" s="31" t="n">
        <f aca="false">IFERROR(((AVERAGE(H267:H269)/AVERAGE(H264:H266))^4-1)*100,"")</f>
        <v>0.993011680472367</v>
      </c>
      <c r="L269" s="31" t="n">
        <f aca="false">IFERROR(('SA Data'!W269/'SA Data'!W257-1)*100,"")</f>
        <v>-5.39589999591394</v>
      </c>
      <c r="M269" s="31" t="n">
        <f aca="false">IFERROR((AVERAGE('SA Data'!W259:W269)/AVERAGE('SA Data'!W247:W257)-1)*100,"")</f>
        <v>2.81429951979222</v>
      </c>
      <c r="N269" s="30" t="n">
        <f aca="false">'SA Data'!T269</f>
        <v>165.117068559913</v>
      </c>
      <c r="O269" s="31" t="n">
        <f aca="false">IFERROR((N269/N268-1)*100,"")</f>
        <v>-2.2917897375574</v>
      </c>
      <c r="P269" s="31" t="n">
        <f aca="false">IFERROR((AVERAGE(N267:N269)/AVERAGE(N264:N266)-1)*100,"")</f>
        <v>0.912091034319396</v>
      </c>
      <c r="Q269" s="31" t="n">
        <f aca="false">IFERROR(((AVERAGE(N267:N269)/AVERAGE(N264:N266))^4-1)*100,"")</f>
        <v>3.69858294372605</v>
      </c>
      <c r="R269" s="31" t="n">
        <f aca="false">IFERROR(('SA Data'!X269/'SA Data'!X257-1)*100,"")</f>
        <v>0.467452561930837</v>
      </c>
      <c r="S269" s="31" t="n">
        <f aca="false">IFERROR((AVERAGE('SA Data'!X259:X269)/AVERAGE('SA Data'!X247:X257)-1)*100,"")</f>
        <v>4.13305003853597</v>
      </c>
    </row>
    <row r="270" customFormat="false" ht="15" hidden="false" customHeight="false" outlineLevel="0" collapsed="false">
      <c r="A270" s="20" t="n">
        <v>46022</v>
      </c>
      <c r="B270" s="30" t="n">
        <f aca="false">'SA Data'!R270</f>
        <v>158.786003658104</v>
      </c>
      <c r="C270" s="31" t="n">
        <f aca="false">IFERROR((B270/B269-1)*100,"")</f>
        <v>20.2294424937346</v>
      </c>
      <c r="D270" s="31" t="n">
        <f aca="false">IFERROR((AVERAGE(B268:B270)/AVERAGE(B265:B267)-1)*100,"")</f>
        <v>11.5393120717326</v>
      </c>
      <c r="E270" s="31" t="n">
        <f aca="false">IFERROR(((AVERAGE(B268:B270)/AVERAGE(B265:B267))^4-1)*100,"")</f>
        <v>54.7789322959952</v>
      </c>
      <c r="F270" s="31" t="n">
        <f aca="false">IFERROR(('SA Data'!V270/'SA Data'!V258-1)*100,"")</f>
        <v>31.8504506709312</v>
      </c>
      <c r="G270" s="31" t="n">
        <f aca="false">IFERROR((AVERAGE('SA Data'!V259:V270)/AVERAGE('SA Data'!V247:V258)-1)*100,"")</f>
        <v>6.77429437002548</v>
      </c>
      <c r="H270" s="30" t="n">
        <f aca="false">'SA Data'!S270</f>
        <v>122.167353067354</v>
      </c>
      <c r="I270" s="31" t="n">
        <f aca="false">IFERROR((H270/H269-1)*100,"")</f>
        <v>4.46928020222679</v>
      </c>
      <c r="J270" s="31" t="n">
        <f aca="false">IFERROR((AVERAGE(H268:H270)/AVERAGE(H265:H267)-1)*100,"")</f>
        <v>-0.266061726850031</v>
      </c>
      <c r="K270" s="31" t="n">
        <f aca="false">IFERROR(((AVERAGE(H268:H270)/AVERAGE(H265:H267))^4-1)*100,"")</f>
        <v>-1.06000710552007</v>
      </c>
      <c r="L270" s="31" t="n">
        <f aca="false">IFERROR(('SA Data'!W270/'SA Data'!W258-1)*100,"")</f>
        <v>-1.70000599079897</v>
      </c>
      <c r="M270" s="31" t="n">
        <f aca="false">IFERROR((AVERAGE('SA Data'!W259:W270)/AVERAGE('SA Data'!W247:W258)-1)*100,"")</f>
        <v>2.4285034876842</v>
      </c>
      <c r="N270" s="30" t="n">
        <f aca="false">'SA Data'!T270</f>
        <v>168.393780716533</v>
      </c>
      <c r="O270" s="31" t="n">
        <f aca="false">IFERROR((N270/N269-1)*100,"")</f>
        <v>1.98447815552802</v>
      </c>
      <c r="P270" s="31" t="n">
        <f aca="false">IFERROR((AVERAGE(N268:N270)/AVERAGE(N265:N267)-1)*100,"")</f>
        <v>0.367163673670223</v>
      </c>
      <c r="Q270" s="31" t="n">
        <f aca="false">IFERROR(((AVERAGE(N268:N270)/AVERAGE(N265:N267))^4-1)*100,"")</f>
        <v>1.47676306146123</v>
      </c>
      <c r="R270" s="31" t="n">
        <f aca="false">IFERROR(('SA Data'!X270/'SA Data'!X258-1)*100,"")</f>
        <v>1.83808016672458</v>
      </c>
      <c r="S270" s="31" t="n">
        <f aca="false">IFERROR((AVERAGE('SA Data'!X259:X270)/AVERAGE('SA Data'!X247:X258)-1)*100,"")</f>
        <v>3.93713675205141</v>
      </c>
    </row>
    <row r="271" customFormat="false" ht="15" hidden="false" customHeight="false" outlineLevel="0" collapsed="false">
      <c r="A271" s="20" t="n">
        <v>46053</v>
      </c>
      <c r="B271" s="30" t="n">
        <f aca="false">'SA Data'!R271</f>
        <v>146.475725620734</v>
      </c>
      <c r="C271" s="31" t="n">
        <f aca="false">IFERROR((B271/B270-1)*100,"")</f>
        <v>-7.75274756827842</v>
      </c>
      <c r="D271" s="31" t="n">
        <f aca="false">IFERROR((AVERAGE(B269:B271)/AVERAGE(B266:B268)-1)*100,"")</f>
        <v>17.376838809958</v>
      </c>
      <c r="E271" s="31" t="n">
        <f aca="false">IFERROR(((AVERAGE(B269:B271)/AVERAGE(B266:B268))^4-1)*100,"")</f>
        <v>89.8146094554958</v>
      </c>
      <c r="F271" s="31" t="n">
        <f aca="false">IFERROR(('SA Data'!V271/'SA Data'!V259-1)*100,"")</f>
        <v>24.1006427366928</v>
      </c>
      <c r="G271" s="31" t="n">
        <f aca="false">IFERROR((AVERAGE('SA Data'!V271:V271)/AVERAGE('SA Data'!V259:V259)-1)*100,"")</f>
        <v>24.1006427366928</v>
      </c>
      <c r="H271" s="30" t="n">
        <f aca="false">'SA Data'!S271</f>
        <v>125.985515729668</v>
      </c>
      <c r="I271" s="31" t="n">
        <f aca="false">IFERROR((H271/H270-1)*100,"")</f>
        <v>3.12535433276422</v>
      </c>
      <c r="J271" s="31" t="n">
        <f aca="false">IFERROR((AVERAGE(H269:H271)/AVERAGE(H266:H268)-1)*100,"")</f>
        <v>0.178965892093874</v>
      </c>
      <c r="K271" s="31" t="n">
        <f aca="false">IFERROR(((AVERAGE(H269:H271)/AVERAGE(H266:H268))^4-1)*100,"")</f>
        <v>0.717787589657748</v>
      </c>
      <c r="L271" s="31" t="n">
        <f aca="false">IFERROR(('SA Data'!W271/'SA Data'!W259-1)*100,"")</f>
        <v>-0.248925514821807</v>
      </c>
      <c r="M271" s="31" t="n">
        <f aca="false">IFERROR((AVERAGE('SA Data'!W271:W271)/AVERAGE('SA Data'!W259:W259)-1)*100,"")</f>
        <v>-0.248925514821807</v>
      </c>
      <c r="N271" s="30" t="n">
        <f aca="false">'SA Data'!T271</f>
        <v>167.991428134378</v>
      </c>
      <c r="O271" s="31" t="n">
        <f aca="false">IFERROR((N271/N270-1)*100,"")</f>
        <v>-0.238935535767526</v>
      </c>
      <c r="P271" s="31" t="n">
        <f aca="false">IFERROR((AVERAGE(N269:N271)/AVERAGE(N266:N268)-1)*100,"")</f>
        <v>-0.319713197660609</v>
      </c>
      <c r="Q271" s="31" t="n">
        <f aca="false">IFERROR(((AVERAGE(N269:N271)/AVERAGE(N266:N268))^4-1)*100,"")</f>
        <v>-1.27273286045803</v>
      </c>
      <c r="R271" s="31" t="n">
        <f aca="false">IFERROR(('SA Data'!X271/'SA Data'!X259-1)*100,"")</f>
        <v>0.695627990545278</v>
      </c>
      <c r="S271" s="31" t="n">
        <f aca="false">IFERROR((AVERAGE('SA Data'!X271:X271)/AVERAGE('SA Data'!X259:X259)-1)*100,"")</f>
        <v>0.695627990545278</v>
      </c>
    </row>
    <row r="272" customFormat="false" ht="15" hidden="false" customHeight="false" outlineLevel="0" collapsed="false">
      <c r="A272" s="20" t="n">
        <v>46081</v>
      </c>
      <c r="B272" s="30" t="n">
        <f aca="false">'SA Data'!R272</f>
        <v>129.063977014259</v>
      </c>
      <c r="C272" s="31" t="n">
        <f aca="false">IFERROR((B272/B271-1)*100,"")</f>
        <v>-11.8871222741431</v>
      </c>
      <c r="D272" s="31" t="n">
        <f aca="false">IFERROR((AVERAGE(B270:B272)/AVERAGE(B267:B269)-1)*100,"")</f>
        <v>13.4733124608755</v>
      </c>
      <c r="E272" s="31" t="n">
        <f aca="false">IFERROR(((AVERAGE(B270:B272)/AVERAGE(B267:B269))^4-1)*100,"")</f>
        <v>65.7963369241118</v>
      </c>
      <c r="F272" s="31" t="n">
        <f aca="false">IFERROR(('SA Data'!V272/'SA Data'!V260-1)*100,"")</f>
        <v>7.68058584439806</v>
      </c>
      <c r="G272" s="31" t="n">
        <f aca="false">IFERROR((AVERAGE('SA Data'!V271:V272)/AVERAGE('SA Data'!V259:V260)-1)*100,"")</f>
        <v>16.6539602349434</v>
      </c>
      <c r="H272" s="30" t="n">
        <f aca="false">'SA Data'!S272</f>
        <v>119.378125856441</v>
      </c>
      <c r="I272" s="31" t="n">
        <f aca="false">IFERROR((H272/H271-1)*100,"")</f>
        <v>-5.2445631031148</v>
      </c>
      <c r="J272" s="31" t="n">
        <f aca="false">IFERROR((AVERAGE(H270:H272)/AVERAGE(H267:H269)-1)*100,"")</f>
        <v>1.48142453318887</v>
      </c>
      <c r="K272" s="31" t="n">
        <f aca="false">IFERROR(((AVERAGE(H270:H272)/AVERAGE(H267:H269))^4-1)*100,"")</f>
        <v>6.0586805327207</v>
      </c>
      <c r="L272" s="31" t="n">
        <f aca="false">IFERROR(('SA Data'!W272/'SA Data'!W260-1)*100,"")</f>
        <v>-4.28701149190936</v>
      </c>
      <c r="M272" s="31" t="n">
        <f aca="false">IFERROR((AVERAGE('SA Data'!W271:W272)/AVERAGE('SA Data'!W259:W260)-1)*100,"")</f>
        <v>-2.25548347809509</v>
      </c>
      <c r="N272" s="30" t="n">
        <f aca="false">'SA Data'!T272</f>
        <v>166.130159258652</v>
      </c>
      <c r="O272" s="31" t="n">
        <f aca="false">IFERROR((N272/N271-1)*100,"")</f>
        <v>-1.10795467149527</v>
      </c>
      <c r="P272" s="31" t="n">
        <f aca="false">IFERROR((AVERAGE(N270:N272)/AVERAGE(N267:N269)-1)*100,"")</f>
        <v>-0.0204620233282604</v>
      </c>
      <c r="Q272" s="31" t="n">
        <f aca="false">IFERROR(((AVERAGE(N270:N272)/AVERAGE(N267:N269))^4-1)*100,"")</f>
        <v>-0.0818229750758737</v>
      </c>
      <c r="R272" s="31" t="n">
        <f aca="false">IFERROR(('SA Data'!X272/'SA Data'!X260-1)*100,"")</f>
        <v>-0.334696378415356</v>
      </c>
      <c r="S272" s="31" t="n">
        <f aca="false">IFERROR((AVERAGE('SA Data'!X271:X272)/AVERAGE('SA Data'!X259:X260)-1)*100,"")</f>
        <v>0.184836426280199</v>
      </c>
    </row>
    <row r="273" customFormat="false" ht="15" hidden="false" customHeight="false" outlineLevel="0" collapsed="false">
      <c r="A273" s="20" t="n">
        <v>46112</v>
      </c>
      <c r="B273" s="30" t="n">
        <f aca="false">'SA Data'!R273</f>
        <v>149.567375471466</v>
      </c>
      <c r="C273" s="31" t="n">
        <f aca="false">IFERROR((B273/B272-1)*100,"")</f>
        <v>15.8862286220591</v>
      </c>
      <c r="D273" s="31" t="n">
        <f aca="false">IFERROR((AVERAGE(B271:B273)/AVERAGE(B268:B270)-1)*100,"")</f>
        <v>1.84419658751447</v>
      </c>
      <c r="E273" s="31" t="n">
        <f aca="false">IFERROR(((AVERAGE(B271:B273)/AVERAGE(B268:B270))^4-1)*100,"")</f>
        <v>7.5833704705536</v>
      </c>
      <c r="F273" s="31" t="n">
        <f aca="false">IFERROR(('SA Data'!V273/'SA Data'!V261-1)*100,"")</f>
        <v>20.2376141846084</v>
      </c>
      <c r="G273" s="31" t="n">
        <f aca="false">IFERROR((AVERAGE('SA Data'!V271:V273)/AVERAGE('SA Data'!V259:V261)-1)*100,"")</f>
        <v>18.3226817960359</v>
      </c>
      <c r="H273" s="30" t="n">
        <f aca="false">'SA Data'!S273</f>
        <v>128.168226155559</v>
      </c>
      <c r="I273" s="31" t="n">
        <f aca="false">IFERROR((H273/H272-1)*100,"")</f>
        <v>7.36324199769058</v>
      </c>
      <c r="J273" s="31" t="n">
        <f aca="false">IFERROR((AVERAGE(H271:H273)/AVERAGE(H268:H270)-1)*100,"")</f>
        <v>3.00473271105963</v>
      </c>
      <c r="K273" s="31" t="n">
        <f aca="false">IFERROR(((AVERAGE(H271:H273)/AVERAGE(H268:H270))^4-1)*100,"")</f>
        <v>12.5715686704335</v>
      </c>
      <c r="L273" s="31" t="n">
        <f aca="false">IFERROR(('SA Data'!W273/'SA Data'!W261-1)*100,"")</f>
        <v>7.23825227133772</v>
      </c>
      <c r="M273" s="31" t="n">
        <f aca="false">IFERROR((AVERAGE('SA Data'!W271:W273)/AVERAGE('SA Data'!W259:W261)-1)*100,"")</f>
        <v>1.01532909807194</v>
      </c>
      <c r="N273" s="30" t="n">
        <f aca="false">'SA Data'!T273</f>
        <v>169.429399147482</v>
      </c>
      <c r="O273" s="31" t="n">
        <f aca="false">IFERROR((N273/N272-1)*100,"")</f>
        <v>1.98593675197389</v>
      </c>
      <c r="P273" s="31" t="n">
        <f aca="false">IFERROR((AVERAGE(N271:N273)/AVERAGE(N268:N270)-1)*100,"")</f>
        <v>0.208989526805281</v>
      </c>
      <c r="Q273" s="31" t="n">
        <f aca="false">IFERROR(((AVERAGE(N271:N273)/AVERAGE(N268:N270))^4-1)*100,"")</f>
        <v>0.838582357650286</v>
      </c>
      <c r="R273" s="31" t="n">
        <f aca="false">IFERROR(('SA Data'!X273/'SA Data'!X261-1)*100,"")</f>
        <v>3.18009600428582</v>
      </c>
      <c r="S273" s="31" t="n">
        <f aca="false">IFERROR((AVERAGE('SA Data'!X271:X273)/AVERAGE('SA Data'!X259:X261)-1)*100,"")</f>
        <v>1.18831058828015</v>
      </c>
    </row>
    <row r="274" customFormat="false" ht="15" hidden="false" customHeight="false" outlineLevel="0" collapsed="false">
      <c r="A274" s="20" t="n">
        <v>46142</v>
      </c>
      <c r="B274" s="30" t="n">
        <f aca="false">'SA Data'!R274</f>
        <v>152.69370647978</v>
      </c>
      <c r="C274" s="31" t="n">
        <f aca="false">IFERROR((B274/B273-1)*100,"")</f>
        <v>2.09024929297545</v>
      </c>
      <c r="D274" s="31" t="n">
        <f aca="false">IFERROR((AVERAGE(B272:B274)/AVERAGE(B269:B271)-1)*100,"")</f>
        <v>-1.37328996003603</v>
      </c>
      <c r="E274" s="31" t="n">
        <f aca="false">IFERROR(((AVERAGE(B272:B274)/AVERAGE(B269:B271))^4-1)*100,"")</f>
        <v>-5.3810367334895</v>
      </c>
      <c r="F274" s="31" t="n">
        <f aca="false">IFERROR(('SA Data'!V274/'SA Data'!V262-1)*100,"")</f>
        <v>10.6049045461629</v>
      </c>
      <c r="G274" s="31" t="n">
        <f aca="false">IFERROR((AVERAGE('SA Data'!V271:V274)/AVERAGE('SA Data'!V259:V262)-1)*100,"")</f>
        <v>15.2214544181879</v>
      </c>
      <c r="H274" s="30" t="n">
        <f aca="false">'SA Data'!S274</f>
        <v>124.221741915986</v>
      </c>
      <c r="I274" s="31" t="n">
        <f aca="false">IFERROR((H274/H273-1)*100,"")</f>
        <v>-3.07914399531652</v>
      </c>
      <c r="J274" s="31" t="n">
        <f aca="false">IFERROR((AVERAGE(H272:H274)/AVERAGE(H269:H271)-1)*100,"")</f>
        <v>1.82810281925627</v>
      </c>
      <c r="K274" s="31" t="n">
        <f aca="false">IFERROR(((AVERAGE(H272:H274)/AVERAGE(H269:H271))^4-1)*100,"")</f>
        <v>7.51538381932655</v>
      </c>
      <c r="L274" s="31" t="n">
        <f aca="false">IFERROR(('SA Data'!W274/'SA Data'!W262-1)*100,"")</f>
        <v>-0.199857273003512</v>
      </c>
      <c r="M274" s="31" t="n">
        <f aca="false">IFERROR((AVERAGE('SA Data'!W271:W274)/AVERAGE('SA Data'!W259:W262)-1)*100,"")</f>
        <v>0.700012153101182</v>
      </c>
      <c r="N274" s="30" t="n">
        <f aca="false">'SA Data'!T274</f>
        <v>167.421591800834</v>
      </c>
      <c r="O274" s="31" t="n">
        <f aca="false">IFERROR((N274/N273-1)*100,"")</f>
        <v>-1.18504070530343</v>
      </c>
      <c r="P274" s="31" t="n">
        <f aca="false">IFERROR((AVERAGE(N272:N274)/AVERAGE(N269:N271)-1)*100,"")</f>
        <v>0.294888550412775</v>
      </c>
      <c r="Q274" s="31" t="n">
        <f aca="false">IFERROR(((AVERAGE(N272:N274)/AVERAGE(N269:N271))^4-1)*100,"")</f>
        <v>1.1847820219586</v>
      </c>
      <c r="R274" s="31" t="n">
        <f aca="false">IFERROR(('SA Data'!X274/'SA Data'!X262-1)*100,"")</f>
        <v>0.0549631483666158</v>
      </c>
      <c r="S274" s="31" t="n">
        <f aca="false">IFERROR((AVERAGE('SA Data'!X271:X274)/AVERAGE('SA Data'!X259:X262)-1)*100,"")</f>
        <v>0.902847622354819</v>
      </c>
    </row>
    <row r="275" customFormat="false" ht="15" hidden="false" customHeight="false" outlineLevel="0" collapsed="false">
      <c r="A275" s="20" t="n">
        <v>46173</v>
      </c>
      <c r="B275" s="30" t="n">
        <f aca="false">'SA Data'!R275</f>
        <v>147.24443805072</v>
      </c>
      <c r="C275" s="31" t="n">
        <f aca="false">IFERROR((B275/B274-1)*100,"")</f>
        <v>-3.56875771417707</v>
      </c>
      <c r="D275" s="31" t="n">
        <f aca="false">IFERROR((AVERAGE(B273:B275)/AVERAGE(B270:B272)-1)*100,"")</f>
        <v>3.49502999452342</v>
      </c>
      <c r="E275" s="31" t="n">
        <f aca="false">IFERROR(((AVERAGE(B273:B275)/AVERAGE(B270:B272))^4-1)*100,"")</f>
        <v>14.7302603144231</v>
      </c>
      <c r="F275" s="31" t="n">
        <f aca="false">IFERROR(('SA Data'!V275/'SA Data'!V263-1)*100,"")</f>
        <v>4.37626772786128</v>
      </c>
      <c r="G275" s="31" t="n">
        <f aca="false">IFERROR((AVERAGE('SA Data'!V271:V275)/AVERAGE('SA Data'!V259:V263)-1)*100,"")</f>
        <v>11.4501414296118</v>
      </c>
      <c r="H275" s="30" t="n">
        <f aca="false">'SA Data'!S275</f>
        <v>119.855196252247</v>
      </c>
      <c r="I275" s="31" t="n">
        <f aca="false">IFERROR((H275/H274-1)*100,"")</f>
        <v>-3.51512190731651</v>
      </c>
      <c r="J275" s="31" t="n">
        <f aca="false">IFERROR((AVERAGE(H273:H275)/AVERAGE(H270:H272)-1)*100,"")</f>
        <v>1.28265907880032</v>
      </c>
      <c r="K275" s="31" t="n">
        <f aca="false">IFERROR(((AVERAGE(H273:H275)/AVERAGE(H270:H272))^4-1)*100,"")</f>
        <v>5.2301959803069</v>
      </c>
      <c r="L275" s="31" t="n">
        <f aca="false">IFERROR(('SA Data'!W275/'SA Data'!W263-1)*100,"")</f>
        <v>-1.43744898179198</v>
      </c>
      <c r="M275" s="31" t="n">
        <f aca="false">IFERROR((AVERAGE('SA Data'!W271:W275)/AVERAGE('SA Data'!W259:W263)-1)*100,"")</f>
        <v>0.258854333525305</v>
      </c>
      <c r="N275" s="30" t="n">
        <f aca="false">'SA Data'!T275</f>
        <v>165.209614312207</v>
      </c>
      <c r="O275" s="31" t="n">
        <f aca="false">IFERROR((N275/N274-1)*100,"")</f>
        <v>-1.32120204140597</v>
      </c>
      <c r="P275" s="31" t="n">
        <f aca="false">IFERROR((AVERAGE(N273:N275)/AVERAGE(N270:N272)-1)*100,"")</f>
        <v>-0.0904973017544442</v>
      </c>
      <c r="Q275" s="31" t="n">
        <f aca="false">IFERROR(((AVERAGE(N273:N275)/AVERAGE(N270:N272))^4-1)*100,"")</f>
        <v>-0.361498117713743</v>
      </c>
      <c r="R275" s="31" t="n">
        <f aca="false">IFERROR(('SA Data'!X275/'SA Data'!X263-1)*100,"")</f>
        <v>-0.539267438113456</v>
      </c>
      <c r="S275" s="31" t="n">
        <f aca="false">IFERROR((AVERAGE('SA Data'!X271:X275)/AVERAGE('SA Data'!X259:X263)-1)*100,"")</f>
        <v>0.610334649266564</v>
      </c>
    </row>
    <row r="276" customFormat="false" ht="15" hidden="false" customHeight="false" outlineLevel="0" collapsed="false">
      <c r="A276" s="20" t="n">
        <v>46203</v>
      </c>
      <c r="B276" s="30" t="str">
        <f aca="false">'SA Data'!R276</f>
        <v/>
      </c>
      <c r="C276" s="31" t="str">
        <f aca="false">IFERROR((B276/B275-1)*100,"")</f>
        <v/>
      </c>
      <c r="D276" s="31" t="n">
        <f aca="false">IFERROR((AVERAGE(B274:B276)/AVERAGE(B271:B273)-1)*100,"")</f>
        <v>5.83385691900455</v>
      </c>
      <c r="E276" s="31" t="n">
        <f aca="false">IFERROR(((AVERAGE(B274:B276)/AVERAGE(B271:B273))^4-1)*100,"")</f>
        <v>25.4580387043525</v>
      </c>
      <c r="F276" s="31" t="str">
        <f aca="false">IFERROR(('SA Data'!V276/'SA Data'!V264-1)*100,"")</f>
        <v/>
      </c>
      <c r="G276" s="31" t="n">
        <f aca="false">IFERROR((AVERAGE('SA Data'!V271:V276)/AVERAGE('SA Data'!V259:V264)-1)*100,"")</f>
        <v>7.71200132322718</v>
      </c>
      <c r="H276" s="30" t="str">
        <f aca="false">'SA Data'!S276</f>
        <v/>
      </c>
      <c r="I276" s="31" t="str">
        <f aca="false">IFERROR((H276/H275-1)*100,"")</f>
        <v/>
      </c>
      <c r="J276" s="31" t="n">
        <f aca="false">IFERROR((AVERAGE(H274:H276)/AVERAGE(H271:H273)-1)*100,"")</f>
        <v>-1.98549605262802</v>
      </c>
      <c r="K276" s="31" t="n">
        <f aca="false">IFERROR(((AVERAGE(H274:H276)/AVERAGE(H271:H273))^4-1)*100,"")</f>
        <v>-7.70856787982087</v>
      </c>
      <c r="L276" s="31" t="str">
        <f aca="false">IFERROR(('SA Data'!W276/'SA Data'!W264-1)*100,"")</f>
        <v/>
      </c>
      <c r="M276" s="31" t="n">
        <f aca="false">IFERROR((AVERAGE('SA Data'!W271:W276)/AVERAGE('SA Data'!W259:W264)-1)*100,"")</f>
        <v>0.110194652484896</v>
      </c>
      <c r="N276" s="30" t="str">
        <f aca="false">'SA Data'!T276</f>
        <v/>
      </c>
      <c r="O276" s="31" t="str">
        <f aca="false">IFERROR((N276/N275-1)*100,"")</f>
        <v/>
      </c>
      <c r="P276" s="31" t="n">
        <f aca="false">IFERROR((AVERAGE(N274:N276)/AVERAGE(N271:N273)-1)*100,"")</f>
        <v>-0.914341843034383</v>
      </c>
      <c r="Q276" s="31" t="n">
        <f aca="false">IFERROR(((AVERAGE(N274:N276)/AVERAGE(N271:N273))^4-1)*100,"")</f>
        <v>-3.60751117644594</v>
      </c>
      <c r="R276" s="31" t="str">
        <f aca="false">IFERROR(('SA Data'!X276/'SA Data'!X264-1)*100,"")</f>
        <v/>
      </c>
      <c r="S276" s="31" t="n">
        <f aca="false">IFERROR((AVERAGE('SA Data'!X271:X276)/AVERAGE('SA Data'!X259:X264)-1)*100,"")</f>
        <v>0.243847296620836</v>
      </c>
    </row>
    <row r="277" customFormat="false" ht="15" hidden="false" customHeight="false" outlineLevel="0" collapsed="false">
      <c r="A277" s="20" t="n">
        <v>46234</v>
      </c>
      <c r="B277" s="30" t="str">
        <f aca="false">'SA Data'!R277</f>
        <v/>
      </c>
      <c r="C277" s="31" t="str">
        <f aca="false">IFERROR((B277/B276-1)*100,"")</f>
        <v/>
      </c>
      <c r="D277" s="31" t="n">
        <f aca="false">IFERROR((AVERAGE(B275:B277)/AVERAGE(B272:B274)-1)*100,"")</f>
        <v>2.41308845157726</v>
      </c>
      <c r="E277" s="31" t="n">
        <f aca="false">IFERROR(((AVERAGE(B275:B277)/AVERAGE(B272:B274))^4-1)*100,"")</f>
        <v>10.0073880277381</v>
      </c>
      <c r="F277" s="31" t="str">
        <f aca="false">IFERROR(('SA Data'!V277/'SA Data'!V265-1)*100,"")</f>
        <v/>
      </c>
      <c r="G277" s="31" t="n">
        <f aca="false">IFERROR((AVERAGE('SA Data'!V271:V277)/AVERAGE('SA Data'!V259:V265)-1)*100,"")</f>
        <v>12.4826489685041</v>
      </c>
      <c r="H277" s="30" t="str">
        <f aca="false">'SA Data'!S277</f>
        <v/>
      </c>
      <c r="I277" s="31" t="str">
        <f aca="false">IFERROR((H277/H276-1)*100,"")</f>
        <v/>
      </c>
      <c r="J277" s="31" t="n">
        <f aca="false">IFERROR((AVERAGE(H275:H277)/AVERAGE(H272:H274)-1)*100,"")</f>
        <v>-3.28228951611123</v>
      </c>
      <c r="K277" s="31" t="n">
        <f aca="false">IFERROR(((AVERAGE(H275:H277)/AVERAGE(H272:H274))^4-1)*100,"")</f>
        <v>-12.4967811289887</v>
      </c>
      <c r="L277" s="31" t="str">
        <f aca="false">IFERROR(('SA Data'!W277/'SA Data'!W265-1)*100,"")</f>
        <v/>
      </c>
      <c r="M277" s="31" t="n">
        <f aca="false">IFERROR((AVERAGE('SA Data'!W271:W277)/AVERAGE('SA Data'!W259:W265)-1)*100,"")</f>
        <v>-0.911688258053023</v>
      </c>
      <c r="N277" s="30" t="str">
        <f aca="false">'SA Data'!T277</f>
        <v/>
      </c>
      <c r="O277" s="31" t="str">
        <f aca="false">IFERROR((N277/N276-1)*100,"")</f>
        <v/>
      </c>
      <c r="P277" s="31" t="n">
        <f aca="false">IFERROR((AVERAGE(N275:N277)/AVERAGE(N272:N274)-1)*100,"")</f>
        <v>-1.46174608478323</v>
      </c>
      <c r="Q277" s="31" t="n">
        <f aca="false">IFERROR(((AVERAGE(N275:N277)/AVERAGE(N272:N274))^4-1)*100,"")</f>
        <v>-5.72002700274522</v>
      </c>
      <c r="R277" s="31" t="str">
        <f aca="false">IFERROR(('SA Data'!X277/'SA Data'!X265-1)*100,"")</f>
        <v/>
      </c>
      <c r="S277" s="31" t="n">
        <f aca="false">IFERROR((AVERAGE('SA Data'!X271:X277)/AVERAGE('SA Data'!X259:X265)-1)*100,"")</f>
        <v>0.11320037059972</v>
      </c>
    </row>
    <row r="278" customFormat="false" ht="15" hidden="false" customHeight="false" outlineLevel="0" collapsed="false">
      <c r="A278" s="20" t="n">
        <v>46265</v>
      </c>
      <c r="B278" s="30" t="str">
        <f aca="false">'SA Data'!R278</f>
        <v/>
      </c>
      <c r="C278" s="31" t="str">
        <f aca="false">IFERROR((B278/B277-1)*100,"")</f>
        <v/>
      </c>
      <c r="D278" s="31" t="str">
        <f aca="false">IFERROR((AVERAGE(B276:B278)/AVERAGE(B273:B275)-1)*100,"")</f>
        <v/>
      </c>
      <c r="E278" s="31" t="str">
        <f aca="false">IFERROR(((AVERAGE(B276:B278)/AVERAGE(B273:B275))^4-1)*100,"")</f>
        <v/>
      </c>
      <c r="F278" s="31" t="str">
        <f aca="false">IFERROR(('SA Data'!V278/'SA Data'!V266-1)*100,"")</f>
        <v/>
      </c>
      <c r="G278" s="31" t="n">
        <f aca="false">IFERROR((AVERAGE('SA Data'!V271:V278)/AVERAGE('SA Data'!V259:V266)-1)*100,"")</f>
        <v>19.9469830378523</v>
      </c>
      <c r="H278" s="30" t="str">
        <f aca="false">'SA Data'!S278</f>
        <v/>
      </c>
      <c r="I278" s="31" t="str">
        <f aca="false">IFERROR((H278/H277-1)*100,"")</f>
        <v/>
      </c>
      <c r="J278" s="31" t="str">
        <f aca="false">IFERROR((AVERAGE(H276:H278)/AVERAGE(H273:H275)-1)*100,"")</f>
        <v/>
      </c>
      <c r="K278" s="31" t="str">
        <f aca="false">IFERROR(((AVERAGE(H276:H278)/AVERAGE(H273:H275))^4-1)*100,"")</f>
        <v/>
      </c>
      <c r="L278" s="31" t="str">
        <f aca="false">IFERROR(('SA Data'!W278/'SA Data'!W266-1)*100,"")</f>
        <v/>
      </c>
      <c r="M278" s="31" t="n">
        <f aca="false">IFERROR((AVERAGE('SA Data'!W271:W278)/AVERAGE('SA Data'!W259:W266)-1)*100,"")</f>
        <v>-1.61134007456673</v>
      </c>
      <c r="N278" s="30" t="str">
        <f aca="false">'SA Data'!T278</f>
        <v/>
      </c>
      <c r="O278" s="31" t="str">
        <f aca="false">IFERROR((N278/N277-1)*100,"")</f>
        <v/>
      </c>
      <c r="P278" s="31" t="str">
        <f aca="false">IFERROR((AVERAGE(N276:N278)/AVERAGE(N273:N275)-1)*100,"")</f>
        <v/>
      </c>
      <c r="Q278" s="31" t="str">
        <f aca="false">IFERROR(((AVERAGE(N276:N278)/AVERAGE(N273:N275))^4-1)*100,"")</f>
        <v/>
      </c>
      <c r="R278" s="31" t="str">
        <f aca="false">IFERROR(('SA Data'!X278/'SA Data'!X266-1)*100,"")</f>
        <v/>
      </c>
      <c r="S278" s="31" t="n">
        <f aca="false">IFERROR((AVERAGE('SA Data'!X271:X278)/AVERAGE('SA Data'!X259:X266)-1)*100,"")</f>
        <v>0.0410296640818375</v>
      </c>
    </row>
    <row r="279" customFormat="false" ht="15" hidden="false" customHeight="false" outlineLevel="0" collapsed="false">
      <c r="A279" s="20" t="n">
        <v>46295</v>
      </c>
      <c r="B279" s="30" t="str">
        <f aca="false">'SA Data'!R279</f>
        <v/>
      </c>
      <c r="C279" s="31" t="str">
        <f aca="false">IFERROR((B279/B278-1)*100,"")</f>
        <v/>
      </c>
      <c r="D279" s="31" t="str">
        <f aca="false">IFERROR((AVERAGE(B277:B279)/AVERAGE(B274:B276)-1)*100,"")</f>
        <v/>
      </c>
      <c r="E279" s="31" t="str">
        <f aca="false">IFERROR(((AVERAGE(B277:B279)/AVERAGE(B274:B276))^4-1)*100,"")</f>
        <v/>
      </c>
      <c r="F279" s="31" t="str">
        <f aca="false">IFERROR(('SA Data'!V279/'SA Data'!V267-1)*100,"")</f>
        <v/>
      </c>
      <c r="G279" s="31" t="n">
        <f aca="false">IFERROR((AVERAGE('SA Data'!V271:V279)/AVERAGE('SA Data'!V259:V267)-1)*100,"")</f>
        <v>26.7563461941534</v>
      </c>
      <c r="H279" s="30" t="str">
        <f aca="false">'SA Data'!S279</f>
        <v/>
      </c>
      <c r="I279" s="31" t="str">
        <f aca="false">IFERROR((H279/H278-1)*100,"")</f>
        <v/>
      </c>
      <c r="J279" s="31" t="str">
        <f aca="false">IFERROR((AVERAGE(H277:H279)/AVERAGE(H274:H276)-1)*100,"")</f>
        <v/>
      </c>
      <c r="K279" s="31" t="str">
        <f aca="false">IFERROR(((AVERAGE(H277:H279)/AVERAGE(H274:H276))^4-1)*100,"")</f>
        <v/>
      </c>
      <c r="L279" s="31" t="str">
        <f aca="false">IFERROR(('SA Data'!W279/'SA Data'!W267-1)*100,"")</f>
        <v/>
      </c>
      <c r="M279" s="31" t="n">
        <f aca="false">IFERROR((AVERAGE('SA Data'!W271:W279)/AVERAGE('SA Data'!W259:W267)-1)*100,"")</f>
        <v>-2.23118485582309</v>
      </c>
      <c r="N279" s="30" t="str">
        <f aca="false">'SA Data'!T279</f>
        <v/>
      </c>
      <c r="O279" s="31" t="str">
        <f aca="false">IFERROR((N279/N278-1)*100,"")</f>
        <v/>
      </c>
      <c r="P279" s="31" t="str">
        <f aca="false">IFERROR((AVERAGE(N277:N279)/AVERAGE(N274:N276)-1)*100,"")</f>
        <v/>
      </c>
      <c r="Q279" s="31" t="str">
        <f aca="false">IFERROR(((AVERAGE(N277:N279)/AVERAGE(N274:N276))^4-1)*100,"")</f>
        <v/>
      </c>
      <c r="R279" s="31" t="str">
        <f aca="false">IFERROR(('SA Data'!X279/'SA Data'!X267-1)*100,"")</f>
        <v/>
      </c>
      <c r="S279" s="31" t="n">
        <f aca="false">IFERROR((AVERAGE('SA Data'!X271:X279)/AVERAGE('SA Data'!X259:X267)-1)*100,"")</f>
        <v>-0.0967822437574872</v>
      </c>
    </row>
    <row r="280" customFormat="false" ht="15" hidden="false" customHeight="false" outlineLevel="0" collapsed="false">
      <c r="A280" s="20" t="n">
        <v>46326</v>
      </c>
      <c r="B280" s="30" t="str">
        <f aca="false">'SA Data'!R280</f>
        <v/>
      </c>
      <c r="C280" s="31" t="str">
        <f aca="false">IFERROR((B280/B279-1)*100,"")</f>
        <v/>
      </c>
      <c r="D280" s="31" t="str">
        <f aca="false">IFERROR((AVERAGE(B278:B280)/AVERAGE(B275:B277)-1)*100,"")</f>
        <v/>
      </c>
      <c r="E280" s="31" t="str">
        <f aca="false">IFERROR(((AVERAGE(B278:B280)/AVERAGE(B275:B277))^4-1)*100,"")</f>
        <v/>
      </c>
      <c r="F280" s="31" t="str">
        <f aca="false">IFERROR(('SA Data'!V280/'SA Data'!V268-1)*100,"")</f>
        <v/>
      </c>
      <c r="G280" s="31" t="n">
        <f aca="false">IFERROR((AVERAGE('SA Data'!V271:V280)/AVERAGE('SA Data'!V259:V268)-1)*100,"")</f>
        <v>33.3542875079413</v>
      </c>
      <c r="H280" s="30" t="str">
        <f aca="false">'SA Data'!S280</f>
        <v/>
      </c>
      <c r="I280" s="31" t="str">
        <f aca="false">IFERROR((H280/H279-1)*100,"")</f>
        <v/>
      </c>
      <c r="J280" s="31" t="str">
        <f aca="false">IFERROR((AVERAGE(H278:H280)/AVERAGE(H275:H277)-1)*100,"")</f>
        <v/>
      </c>
      <c r="K280" s="31" t="str">
        <f aca="false">IFERROR(((AVERAGE(H278:H280)/AVERAGE(H275:H277))^4-1)*100,"")</f>
        <v/>
      </c>
      <c r="L280" s="31" t="str">
        <f aca="false">IFERROR(('SA Data'!W280/'SA Data'!W268-1)*100,"")</f>
        <v/>
      </c>
      <c r="M280" s="31" t="n">
        <f aca="false">IFERROR((AVERAGE('SA Data'!W271:W280)/AVERAGE('SA Data'!W259:W268)-1)*100,"")</f>
        <v>-3.00209148735146</v>
      </c>
      <c r="N280" s="30" t="str">
        <f aca="false">'SA Data'!T280</f>
        <v/>
      </c>
      <c r="O280" s="31" t="str">
        <f aca="false">IFERROR((N280/N279-1)*100,"")</f>
        <v/>
      </c>
      <c r="P280" s="31" t="str">
        <f aca="false">IFERROR((AVERAGE(N278:N280)/AVERAGE(N275:N277)-1)*100,"")</f>
        <v/>
      </c>
      <c r="Q280" s="31" t="str">
        <f aca="false">IFERROR(((AVERAGE(N278:N280)/AVERAGE(N275:N277))^4-1)*100,"")</f>
        <v/>
      </c>
      <c r="R280" s="31" t="str">
        <f aca="false">IFERROR(('SA Data'!X280/'SA Data'!X268-1)*100,"")</f>
        <v/>
      </c>
      <c r="S280" s="31" t="n">
        <f aca="false">IFERROR((AVERAGE('SA Data'!X271:X280)/AVERAGE('SA Data'!X259:X268)-1)*100,"")</f>
        <v>-0.303050345845468</v>
      </c>
    </row>
    <row r="281" customFormat="false" ht="15" hidden="false" customHeight="false" outlineLevel="0" collapsed="false">
      <c r="A281" s="20" t="n">
        <v>46356</v>
      </c>
      <c r="B281" s="30" t="str">
        <f aca="false">'SA Data'!R281</f>
        <v/>
      </c>
      <c r="C281" s="31" t="str">
        <f aca="false">IFERROR((B281/B280-1)*100,"")</f>
        <v/>
      </c>
      <c r="D281" s="31" t="str">
        <f aca="false">IFERROR((AVERAGE(B279:B281)/AVERAGE(B276:B278)-1)*100,"")</f>
        <v/>
      </c>
      <c r="E281" s="31" t="str">
        <f aca="false">IFERROR(((AVERAGE(B279:B281)/AVERAGE(B276:B278))^4-1)*100,"")</f>
        <v/>
      </c>
      <c r="F281" s="31" t="str">
        <f aca="false">IFERROR(('SA Data'!V281/'SA Data'!V269-1)*100,"")</f>
        <v/>
      </c>
      <c r="G281" s="31" t="n">
        <f aca="false">IFERROR((AVERAGE('SA Data'!V271:V281)/AVERAGE('SA Data'!V259:V269)-1)*100,"")</f>
        <v>37.5161329573234</v>
      </c>
      <c r="H281" s="30" t="str">
        <f aca="false">'SA Data'!S281</f>
        <v/>
      </c>
      <c r="I281" s="31" t="str">
        <f aca="false">IFERROR((H281/H280-1)*100,"")</f>
        <v/>
      </c>
      <c r="J281" s="31" t="str">
        <f aca="false">IFERROR((AVERAGE(H279:H281)/AVERAGE(H276:H278)-1)*100,"")</f>
        <v/>
      </c>
      <c r="K281" s="31" t="str">
        <f aca="false">IFERROR(((AVERAGE(H279:H281)/AVERAGE(H276:H278))^4-1)*100,"")</f>
        <v/>
      </c>
      <c r="L281" s="31" t="str">
        <f aca="false">IFERROR(('SA Data'!W281/'SA Data'!W269-1)*100,"")</f>
        <v/>
      </c>
      <c r="M281" s="31" t="n">
        <f aca="false">IFERROR((AVERAGE('SA Data'!W271:W281)/AVERAGE('SA Data'!W259:W269)-1)*100,"")</f>
        <v>-2.95008818018713</v>
      </c>
      <c r="N281" s="30" t="str">
        <f aca="false">'SA Data'!T281</f>
        <v/>
      </c>
      <c r="O281" s="31" t="str">
        <f aca="false">IFERROR((N281/N280-1)*100,"")</f>
        <v/>
      </c>
      <c r="P281" s="31" t="str">
        <f aca="false">IFERROR((AVERAGE(N279:N281)/AVERAGE(N276:N278)-1)*100,"")</f>
        <v/>
      </c>
      <c r="Q281" s="31" t="str">
        <f aca="false">IFERROR(((AVERAGE(N279:N281)/AVERAGE(N276:N278))^4-1)*100,"")</f>
        <v/>
      </c>
      <c r="R281" s="31" t="str">
        <f aca="false">IFERROR(('SA Data'!X281/'SA Data'!X269-1)*100,"")</f>
        <v/>
      </c>
      <c r="S281" s="31" t="n">
        <f aca="false">IFERROR((AVERAGE('SA Data'!X271:X281)/AVERAGE('SA Data'!X259:X269)-1)*100,"")</f>
        <v>-0.228775882727506</v>
      </c>
    </row>
    <row r="282" customFormat="false" ht="15" hidden="false" customHeight="false" outlineLevel="0" collapsed="false">
      <c r="A282" s="20" t="n">
        <v>46387</v>
      </c>
      <c r="B282" s="30" t="str">
        <f aca="false">'SA Data'!R282</f>
        <v/>
      </c>
      <c r="C282" s="31" t="str">
        <f aca="false">IFERROR((B282/B281-1)*100,"")</f>
        <v/>
      </c>
      <c r="D282" s="31" t="str">
        <f aca="false">IFERROR((AVERAGE(B280:B282)/AVERAGE(B277:B279)-1)*100,"")</f>
        <v/>
      </c>
      <c r="E282" s="31" t="str">
        <f aca="false">IFERROR(((AVERAGE(B280:B282)/AVERAGE(B277:B279))^4-1)*100,"")</f>
        <v/>
      </c>
      <c r="F282" s="31" t="str">
        <f aca="false">IFERROR(('SA Data'!V282/'SA Data'!V270-1)*100,"")</f>
        <v/>
      </c>
      <c r="G282" s="31" t="n">
        <f aca="false">IFERROR((AVERAGE('SA Data'!V271:V282)/AVERAGE('SA Data'!V259:V270)-1)*100,"")</f>
        <v>36.3198830192417</v>
      </c>
      <c r="H282" s="30" t="str">
        <f aca="false">'SA Data'!S282</f>
        <v/>
      </c>
      <c r="I282" s="31" t="str">
        <f aca="false">IFERROR((H282/H281-1)*100,"")</f>
        <v/>
      </c>
      <c r="J282" s="31" t="str">
        <f aca="false">IFERROR((AVERAGE(H280:H282)/AVERAGE(H277:H279)-1)*100,"")</f>
        <v/>
      </c>
      <c r="K282" s="31" t="str">
        <f aca="false">IFERROR(((AVERAGE(H280:H282)/AVERAGE(H277:H279))^4-1)*100,"")</f>
        <v/>
      </c>
      <c r="L282" s="31" t="str">
        <f aca="false">IFERROR(('SA Data'!W282/'SA Data'!W270-1)*100,"")</f>
        <v/>
      </c>
      <c r="M282" s="31" t="n">
        <f aca="false">IFERROR((AVERAGE('SA Data'!W271:W282)/AVERAGE('SA Data'!W259:W270)-1)*100,"")</f>
        <v>-2.81063640512222</v>
      </c>
      <c r="N282" s="30" t="str">
        <f aca="false">'SA Data'!T282</f>
        <v/>
      </c>
      <c r="O282" s="31" t="str">
        <f aca="false">IFERROR((N282/N281-1)*100,"")</f>
        <v/>
      </c>
      <c r="P282" s="31" t="str">
        <f aca="false">IFERROR((AVERAGE(N280:N282)/AVERAGE(N277:N279)-1)*100,"")</f>
        <v/>
      </c>
      <c r="Q282" s="31" t="str">
        <f aca="false">IFERROR(((AVERAGE(N280:N282)/AVERAGE(N277:N279))^4-1)*100,"")</f>
        <v/>
      </c>
      <c r="R282" s="31" t="str">
        <f aca="false">IFERROR(('SA Data'!X282/'SA Data'!X270-1)*100,"")</f>
        <v/>
      </c>
      <c r="S282" s="31" t="n">
        <f aca="false">IFERROR((AVERAGE('SA Data'!X271:X282)/AVERAGE('SA Data'!X259:X270)-1)*100,"")</f>
        <v>-0.262412396167455</v>
      </c>
    </row>
    <row r="283" customFormat="false" ht="15" hidden="false" customHeight="false" outlineLevel="0" collapsed="false">
      <c r="A283" s="20" t="n">
        <v>46418</v>
      </c>
      <c r="B283" s="30" t="str">
        <f aca="false">'SA Data'!R283</f>
        <v/>
      </c>
      <c r="C283" s="31" t="str">
        <f aca="false">IFERROR((B283/B282-1)*100,"")</f>
        <v/>
      </c>
      <c r="D283" s="31" t="str">
        <f aca="false">IFERROR((AVERAGE(B281:B283)/AVERAGE(B278:B280)-1)*100,"")</f>
        <v/>
      </c>
      <c r="E283" s="31" t="str">
        <f aca="false">IFERROR(((AVERAGE(B281:B283)/AVERAGE(B278:B280))^4-1)*100,"")</f>
        <v/>
      </c>
      <c r="F283" s="31" t="str">
        <f aca="false">IFERROR(('SA Data'!V283/'SA Data'!V271-1)*100,"")</f>
        <v/>
      </c>
      <c r="G283" s="31" t="str">
        <f aca="false">IFERROR((AVERAGE('SA Data'!V283:V283)/AVERAGE('SA Data'!V271:V271)-1)*100,"")</f>
        <v/>
      </c>
      <c r="H283" s="30" t="str">
        <f aca="false">'SA Data'!S283</f>
        <v/>
      </c>
      <c r="I283" s="31" t="str">
        <f aca="false">IFERROR((H283/H282-1)*100,"")</f>
        <v/>
      </c>
      <c r="J283" s="31" t="str">
        <f aca="false">IFERROR((AVERAGE(H281:H283)/AVERAGE(H278:H280)-1)*100,"")</f>
        <v/>
      </c>
      <c r="K283" s="31" t="str">
        <f aca="false">IFERROR(((AVERAGE(H281:H283)/AVERAGE(H278:H280))^4-1)*100,"")</f>
        <v/>
      </c>
      <c r="L283" s="31" t="str">
        <f aca="false">IFERROR(('SA Data'!W283/'SA Data'!W271-1)*100,"")</f>
        <v/>
      </c>
      <c r="M283" s="31" t="str">
        <f aca="false">IFERROR((AVERAGE('SA Data'!W283:W283)/AVERAGE('SA Data'!W271:W271)-1)*100,"")</f>
        <v/>
      </c>
      <c r="N283" s="30" t="str">
        <f aca="false">'SA Data'!T283</f>
        <v/>
      </c>
      <c r="O283" s="31" t="str">
        <f aca="false">IFERROR((N283/N282-1)*100,"")</f>
        <v/>
      </c>
      <c r="P283" s="31" t="str">
        <f aca="false">IFERROR((AVERAGE(N281:N283)/AVERAGE(N278:N280)-1)*100,"")</f>
        <v/>
      </c>
      <c r="Q283" s="31" t="str">
        <f aca="false">IFERROR(((AVERAGE(N281:N283)/AVERAGE(N278:N280))^4-1)*100,"")</f>
        <v/>
      </c>
      <c r="R283" s="31" t="str">
        <f aca="false">IFERROR(('SA Data'!X283/'SA Data'!X271-1)*100,"")</f>
        <v/>
      </c>
      <c r="S283" s="31" t="str">
        <f aca="false">IFERROR((AVERAGE('SA Data'!X283:X283)/AVERAGE('SA Data'!X271:X271)-1)*100,"")</f>
        <v/>
      </c>
    </row>
    <row r="284" customFormat="false" ht="15" hidden="false" customHeight="false" outlineLevel="0" collapsed="false">
      <c r="A284" s="20" t="n">
        <v>46446</v>
      </c>
      <c r="B284" s="30" t="str">
        <f aca="false">'SA Data'!R284</f>
        <v/>
      </c>
      <c r="C284" s="31" t="str">
        <f aca="false">IFERROR((B284/B283-1)*100,"")</f>
        <v/>
      </c>
      <c r="D284" s="31" t="str">
        <f aca="false">IFERROR((AVERAGE(B282:B284)/AVERAGE(B279:B281)-1)*100,"")</f>
        <v/>
      </c>
      <c r="E284" s="31" t="str">
        <f aca="false">IFERROR(((AVERAGE(B282:B284)/AVERAGE(B279:B281))^4-1)*100,"")</f>
        <v/>
      </c>
      <c r="F284" s="31" t="str">
        <f aca="false">IFERROR(('SA Data'!V284/'SA Data'!V272-1)*100,"")</f>
        <v/>
      </c>
      <c r="G284" s="31" t="str">
        <f aca="false">IFERROR((AVERAGE('SA Data'!V283:V284)/AVERAGE('SA Data'!V271:V272)-1)*100,"")</f>
        <v/>
      </c>
      <c r="H284" s="30" t="str">
        <f aca="false">'SA Data'!S284</f>
        <v/>
      </c>
      <c r="I284" s="31" t="str">
        <f aca="false">IFERROR((H284/H283-1)*100,"")</f>
        <v/>
      </c>
      <c r="J284" s="31" t="str">
        <f aca="false">IFERROR((AVERAGE(H282:H284)/AVERAGE(H279:H281)-1)*100,"")</f>
        <v/>
      </c>
      <c r="K284" s="31" t="str">
        <f aca="false">IFERROR(((AVERAGE(H282:H284)/AVERAGE(H279:H281))^4-1)*100,"")</f>
        <v/>
      </c>
      <c r="L284" s="31" t="str">
        <f aca="false">IFERROR(('SA Data'!W284/'SA Data'!W272-1)*100,"")</f>
        <v/>
      </c>
      <c r="M284" s="31" t="str">
        <f aca="false">IFERROR((AVERAGE('SA Data'!W283:W284)/AVERAGE('SA Data'!W271:W272)-1)*100,"")</f>
        <v/>
      </c>
      <c r="N284" s="30" t="str">
        <f aca="false">'SA Data'!T284</f>
        <v/>
      </c>
      <c r="O284" s="31" t="str">
        <f aca="false">IFERROR((N284/N283-1)*100,"")</f>
        <v/>
      </c>
      <c r="P284" s="31" t="str">
        <f aca="false">IFERROR((AVERAGE(N282:N284)/AVERAGE(N279:N281)-1)*100,"")</f>
        <v/>
      </c>
      <c r="Q284" s="31" t="str">
        <f aca="false">IFERROR(((AVERAGE(N282:N284)/AVERAGE(N279:N281))^4-1)*100,"")</f>
        <v/>
      </c>
      <c r="R284" s="31" t="str">
        <f aca="false">IFERROR(('SA Data'!X284/'SA Data'!X272-1)*100,"")</f>
        <v/>
      </c>
      <c r="S284" s="31" t="str">
        <f aca="false">IFERROR((AVERAGE('SA Data'!X283:X284)/AVERAGE('SA Data'!X271:X272)-1)*100,"")</f>
        <v/>
      </c>
    </row>
    <row r="285" customFormat="false" ht="15" hidden="false" customHeight="false" outlineLevel="0" collapsed="false">
      <c r="A285" s="20" t="n">
        <v>46477</v>
      </c>
      <c r="B285" s="30" t="str">
        <f aca="false">'SA Data'!R285</f>
        <v/>
      </c>
      <c r="C285" s="31" t="str">
        <f aca="false">IFERROR((B285/B284-1)*100,"")</f>
        <v/>
      </c>
      <c r="D285" s="31" t="str">
        <f aca="false">IFERROR((AVERAGE(B283:B285)/AVERAGE(B280:B282)-1)*100,"")</f>
        <v/>
      </c>
      <c r="E285" s="31" t="str">
        <f aca="false">IFERROR(((AVERAGE(B283:B285)/AVERAGE(B280:B282))^4-1)*100,"")</f>
        <v/>
      </c>
      <c r="F285" s="31" t="str">
        <f aca="false">IFERROR(('SA Data'!V285/'SA Data'!V273-1)*100,"")</f>
        <v/>
      </c>
      <c r="G285" s="31" t="str">
        <f aca="false">IFERROR((AVERAGE('SA Data'!V283:V285)/AVERAGE('SA Data'!V271:V273)-1)*100,"")</f>
        <v/>
      </c>
      <c r="H285" s="30" t="str">
        <f aca="false">'SA Data'!S285</f>
        <v/>
      </c>
      <c r="I285" s="31" t="str">
        <f aca="false">IFERROR((H285/H284-1)*100,"")</f>
        <v/>
      </c>
      <c r="J285" s="31" t="str">
        <f aca="false">IFERROR((AVERAGE(H283:H285)/AVERAGE(H280:H282)-1)*100,"")</f>
        <v/>
      </c>
      <c r="K285" s="31" t="str">
        <f aca="false">IFERROR(((AVERAGE(H283:H285)/AVERAGE(H280:H282))^4-1)*100,"")</f>
        <v/>
      </c>
      <c r="L285" s="31" t="str">
        <f aca="false">IFERROR(('SA Data'!W285/'SA Data'!W273-1)*100,"")</f>
        <v/>
      </c>
      <c r="M285" s="31" t="str">
        <f aca="false">IFERROR((AVERAGE('SA Data'!W283:W285)/AVERAGE('SA Data'!W271:W273)-1)*100,"")</f>
        <v/>
      </c>
      <c r="N285" s="30" t="str">
        <f aca="false">'SA Data'!T285</f>
        <v/>
      </c>
      <c r="O285" s="31" t="str">
        <f aca="false">IFERROR((N285/N284-1)*100,"")</f>
        <v/>
      </c>
      <c r="P285" s="31" t="str">
        <f aca="false">IFERROR((AVERAGE(N283:N285)/AVERAGE(N280:N282)-1)*100,"")</f>
        <v/>
      </c>
      <c r="Q285" s="31" t="str">
        <f aca="false">IFERROR(((AVERAGE(N283:N285)/AVERAGE(N280:N282))^4-1)*100,"")</f>
        <v/>
      </c>
      <c r="R285" s="31" t="str">
        <f aca="false">IFERROR(('SA Data'!X285/'SA Data'!X273-1)*100,"")</f>
        <v/>
      </c>
      <c r="S285" s="31" t="str">
        <f aca="false">IFERROR((AVERAGE('SA Data'!X283:X285)/AVERAGE('SA Data'!X271:X273)-1)*100,"")</f>
        <v/>
      </c>
    </row>
    <row r="286" customFormat="false" ht="15" hidden="false" customHeight="false" outlineLevel="0" collapsed="false">
      <c r="A286" s="20" t="n">
        <v>46507</v>
      </c>
      <c r="B286" s="30" t="str">
        <f aca="false">'SA Data'!R286</f>
        <v/>
      </c>
      <c r="C286" s="31" t="str">
        <f aca="false">IFERROR((B286/B285-1)*100,"")</f>
        <v/>
      </c>
      <c r="D286" s="31" t="str">
        <f aca="false">IFERROR((AVERAGE(B284:B286)/AVERAGE(B281:B283)-1)*100,"")</f>
        <v/>
      </c>
      <c r="E286" s="31" t="str">
        <f aca="false">IFERROR(((AVERAGE(B284:B286)/AVERAGE(B281:B283))^4-1)*100,"")</f>
        <v/>
      </c>
      <c r="F286" s="31" t="str">
        <f aca="false">IFERROR(('SA Data'!V286/'SA Data'!V274-1)*100,"")</f>
        <v/>
      </c>
      <c r="G286" s="31" t="str">
        <f aca="false">IFERROR((AVERAGE('SA Data'!V283:V286)/AVERAGE('SA Data'!V271:V274)-1)*100,"")</f>
        <v/>
      </c>
      <c r="H286" s="30" t="str">
        <f aca="false">'SA Data'!S286</f>
        <v/>
      </c>
      <c r="I286" s="31" t="str">
        <f aca="false">IFERROR((H286/H285-1)*100,"")</f>
        <v/>
      </c>
      <c r="J286" s="31" t="str">
        <f aca="false">IFERROR((AVERAGE(H284:H286)/AVERAGE(H281:H283)-1)*100,"")</f>
        <v/>
      </c>
      <c r="K286" s="31" t="str">
        <f aca="false">IFERROR(((AVERAGE(H284:H286)/AVERAGE(H281:H283))^4-1)*100,"")</f>
        <v/>
      </c>
      <c r="L286" s="31" t="str">
        <f aca="false">IFERROR(('SA Data'!W286/'SA Data'!W274-1)*100,"")</f>
        <v/>
      </c>
      <c r="M286" s="31" t="str">
        <f aca="false">IFERROR((AVERAGE('SA Data'!W283:W286)/AVERAGE('SA Data'!W271:W274)-1)*100,"")</f>
        <v/>
      </c>
      <c r="N286" s="30" t="str">
        <f aca="false">'SA Data'!T286</f>
        <v/>
      </c>
      <c r="O286" s="31" t="str">
        <f aca="false">IFERROR((N286/N285-1)*100,"")</f>
        <v/>
      </c>
      <c r="P286" s="31" t="str">
        <f aca="false">IFERROR((AVERAGE(N284:N286)/AVERAGE(N281:N283)-1)*100,"")</f>
        <v/>
      </c>
      <c r="Q286" s="31" t="str">
        <f aca="false">IFERROR(((AVERAGE(N284:N286)/AVERAGE(N281:N283))^4-1)*100,"")</f>
        <v/>
      </c>
      <c r="R286" s="31" t="str">
        <f aca="false">IFERROR(('SA Data'!X286/'SA Data'!X274-1)*100,"")</f>
        <v/>
      </c>
      <c r="S286" s="31" t="str">
        <f aca="false">IFERROR((AVERAGE('SA Data'!X283:X286)/AVERAGE('SA Data'!X271:X274)-1)*100,"")</f>
        <v/>
      </c>
    </row>
    <row r="287" customFormat="false" ht="15" hidden="false" customHeight="false" outlineLevel="0" collapsed="false">
      <c r="A287" s="20" t="n">
        <v>46538</v>
      </c>
      <c r="B287" s="30" t="str">
        <f aca="false">'SA Data'!R287</f>
        <v/>
      </c>
      <c r="C287" s="31" t="str">
        <f aca="false">IFERROR((B287/B286-1)*100,"")</f>
        <v/>
      </c>
      <c r="D287" s="31" t="str">
        <f aca="false">IFERROR((AVERAGE(B285:B287)/AVERAGE(B282:B284)-1)*100,"")</f>
        <v/>
      </c>
      <c r="E287" s="31" t="str">
        <f aca="false">IFERROR(((AVERAGE(B285:B287)/AVERAGE(B282:B284))^4-1)*100,"")</f>
        <v/>
      </c>
      <c r="F287" s="31" t="str">
        <f aca="false">IFERROR(('SA Data'!V287/'SA Data'!V275-1)*100,"")</f>
        <v/>
      </c>
      <c r="G287" s="31" t="str">
        <f aca="false">IFERROR((AVERAGE('SA Data'!V283:V287)/AVERAGE('SA Data'!V271:V275)-1)*100,"")</f>
        <v/>
      </c>
      <c r="H287" s="30" t="str">
        <f aca="false">'SA Data'!S287</f>
        <v/>
      </c>
      <c r="I287" s="31" t="str">
        <f aca="false">IFERROR((H287/H286-1)*100,"")</f>
        <v/>
      </c>
      <c r="J287" s="31" t="str">
        <f aca="false">IFERROR((AVERAGE(H285:H287)/AVERAGE(H282:H284)-1)*100,"")</f>
        <v/>
      </c>
      <c r="K287" s="31" t="str">
        <f aca="false">IFERROR(((AVERAGE(H285:H287)/AVERAGE(H282:H284))^4-1)*100,"")</f>
        <v/>
      </c>
      <c r="L287" s="31" t="str">
        <f aca="false">IFERROR(('SA Data'!W287/'SA Data'!W275-1)*100,"")</f>
        <v/>
      </c>
      <c r="M287" s="31" t="str">
        <f aca="false">IFERROR((AVERAGE('SA Data'!W283:W287)/AVERAGE('SA Data'!W271:W275)-1)*100,"")</f>
        <v/>
      </c>
      <c r="N287" s="30" t="str">
        <f aca="false">'SA Data'!T287</f>
        <v/>
      </c>
      <c r="O287" s="31" t="str">
        <f aca="false">IFERROR((N287/N286-1)*100,"")</f>
        <v/>
      </c>
      <c r="P287" s="31" t="str">
        <f aca="false">IFERROR((AVERAGE(N285:N287)/AVERAGE(N282:N284)-1)*100,"")</f>
        <v/>
      </c>
      <c r="Q287" s="31" t="str">
        <f aca="false">IFERROR(((AVERAGE(N285:N287)/AVERAGE(N282:N284))^4-1)*100,"")</f>
        <v/>
      </c>
      <c r="R287" s="31" t="str">
        <f aca="false">IFERROR(('SA Data'!X287/'SA Data'!X275-1)*100,"")</f>
        <v/>
      </c>
      <c r="S287" s="31" t="str">
        <f aca="false">IFERROR((AVERAGE('SA Data'!X283:X287)/AVERAGE('SA Data'!X271:X275)-1)*100,"")</f>
        <v/>
      </c>
    </row>
    <row r="288" customFormat="false" ht="15" hidden="false" customHeight="false" outlineLevel="0" collapsed="false">
      <c r="A288" s="20" t="n">
        <v>46568</v>
      </c>
      <c r="B288" s="30" t="str">
        <f aca="false">'SA Data'!R288</f>
        <v/>
      </c>
      <c r="C288" s="31" t="str">
        <f aca="false">IFERROR((B288/B287-1)*100,"")</f>
        <v/>
      </c>
      <c r="D288" s="31" t="str">
        <f aca="false">IFERROR((AVERAGE(B286:B288)/AVERAGE(B283:B285)-1)*100,"")</f>
        <v/>
      </c>
      <c r="E288" s="31" t="str">
        <f aca="false">IFERROR(((AVERAGE(B286:B288)/AVERAGE(B283:B285))^4-1)*100,"")</f>
        <v/>
      </c>
      <c r="F288" s="31" t="str">
        <f aca="false">IFERROR(('SA Data'!V288/'SA Data'!V276-1)*100,"")</f>
        <v/>
      </c>
      <c r="G288" s="31" t="str">
        <f aca="false">IFERROR((AVERAGE('SA Data'!V283:V288)/AVERAGE('SA Data'!V271:V276)-1)*100,"")</f>
        <v/>
      </c>
      <c r="H288" s="30" t="str">
        <f aca="false">'SA Data'!S288</f>
        <v/>
      </c>
      <c r="I288" s="31" t="str">
        <f aca="false">IFERROR((H288/H287-1)*100,"")</f>
        <v/>
      </c>
      <c r="J288" s="31" t="str">
        <f aca="false">IFERROR((AVERAGE(H286:H288)/AVERAGE(H283:H285)-1)*100,"")</f>
        <v/>
      </c>
      <c r="K288" s="31" t="str">
        <f aca="false">IFERROR(((AVERAGE(H286:H288)/AVERAGE(H283:H285))^4-1)*100,"")</f>
        <v/>
      </c>
      <c r="L288" s="31" t="str">
        <f aca="false">IFERROR(('SA Data'!W288/'SA Data'!W276-1)*100,"")</f>
        <v/>
      </c>
      <c r="M288" s="31" t="str">
        <f aca="false">IFERROR((AVERAGE('SA Data'!W283:W288)/AVERAGE('SA Data'!W271:W276)-1)*100,"")</f>
        <v/>
      </c>
      <c r="N288" s="30" t="str">
        <f aca="false">'SA Data'!T288</f>
        <v/>
      </c>
      <c r="O288" s="31" t="str">
        <f aca="false">IFERROR((N288/N287-1)*100,"")</f>
        <v/>
      </c>
      <c r="P288" s="31" t="str">
        <f aca="false">IFERROR((AVERAGE(N286:N288)/AVERAGE(N283:N285)-1)*100,"")</f>
        <v/>
      </c>
      <c r="Q288" s="31" t="str">
        <f aca="false">IFERROR(((AVERAGE(N286:N288)/AVERAGE(N283:N285))^4-1)*100,"")</f>
        <v/>
      </c>
      <c r="R288" s="31" t="str">
        <f aca="false">IFERROR(('SA Data'!X288/'SA Data'!X276-1)*100,"")</f>
        <v/>
      </c>
      <c r="S288" s="31" t="str">
        <f aca="false">IFERROR((AVERAGE('SA Data'!X283:X288)/AVERAGE('SA Data'!X271:X276)-1)*100,"")</f>
        <v/>
      </c>
    </row>
    <row r="289" customFormat="false" ht="15" hidden="false" customHeight="false" outlineLevel="0" collapsed="false">
      <c r="A289" s="20" t="n">
        <v>46599</v>
      </c>
      <c r="B289" s="30" t="str">
        <f aca="false">'SA Data'!R289</f>
        <v/>
      </c>
      <c r="C289" s="31" t="str">
        <f aca="false">IFERROR((B289/B288-1)*100,"")</f>
        <v/>
      </c>
      <c r="D289" s="31" t="str">
        <f aca="false">IFERROR((AVERAGE(B287:B289)/AVERAGE(B284:B286)-1)*100,"")</f>
        <v/>
      </c>
      <c r="E289" s="31" t="str">
        <f aca="false">IFERROR(((AVERAGE(B287:B289)/AVERAGE(B284:B286))^4-1)*100,"")</f>
        <v/>
      </c>
      <c r="F289" s="31" t="str">
        <f aca="false">IFERROR(('SA Data'!V289/'SA Data'!V277-1)*100,"")</f>
        <v/>
      </c>
      <c r="G289" s="31" t="str">
        <f aca="false">IFERROR((AVERAGE('SA Data'!V283:V289)/AVERAGE('SA Data'!V271:V277)-1)*100,"")</f>
        <v/>
      </c>
      <c r="H289" s="30" t="str">
        <f aca="false">'SA Data'!S289</f>
        <v/>
      </c>
      <c r="I289" s="31" t="str">
        <f aca="false">IFERROR((H289/H288-1)*100,"")</f>
        <v/>
      </c>
      <c r="J289" s="31" t="str">
        <f aca="false">IFERROR((AVERAGE(H287:H289)/AVERAGE(H284:H286)-1)*100,"")</f>
        <v/>
      </c>
      <c r="K289" s="31" t="str">
        <f aca="false">IFERROR(((AVERAGE(H287:H289)/AVERAGE(H284:H286))^4-1)*100,"")</f>
        <v/>
      </c>
      <c r="L289" s="31" t="str">
        <f aca="false">IFERROR(('SA Data'!W289/'SA Data'!W277-1)*100,"")</f>
        <v/>
      </c>
      <c r="M289" s="31" t="str">
        <f aca="false">IFERROR((AVERAGE('SA Data'!W283:W289)/AVERAGE('SA Data'!W271:W277)-1)*100,"")</f>
        <v/>
      </c>
      <c r="N289" s="30" t="str">
        <f aca="false">'SA Data'!T289</f>
        <v/>
      </c>
      <c r="O289" s="31" t="str">
        <f aca="false">IFERROR((N289/N288-1)*100,"")</f>
        <v/>
      </c>
      <c r="P289" s="31" t="str">
        <f aca="false">IFERROR((AVERAGE(N287:N289)/AVERAGE(N284:N286)-1)*100,"")</f>
        <v/>
      </c>
      <c r="Q289" s="31" t="str">
        <f aca="false">IFERROR(((AVERAGE(N287:N289)/AVERAGE(N284:N286))^4-1)*100,"")</f>
        <v/>
      </c>
      <c r="R289" s="31" t="str">
        <f aca="false">IFERROR(('SA Data'!X289/'SA Data'!X277-1)*100,"")</f>
        <v/>
      </c>
      <c r="S289" s="31" t="str">
        <f aca="false">IFERROR((AVERAGE('SA Data'!X283:X289)/AVERAGE('SA Data'!X271:X277)-1)*100,"")</f>
        <v/>
      </c>
    </row>
    <row r="290" customFormat="false" ht="15" hidden="false" customHeight="false" outlineLevel="0" collapsed="false">
      <c r="A290" s="20" t="n">
        <v>46630</v>
      </c>
      <c r="B290" s="30" t="str">
        <f aca="false">'SA Data'!R290</f>
        <v/>
      </c>
      <c r="C290" s="31" t="str">
        <f aca="false">IFERROR((B290/B289-1)*100,"")</f>
        <v/>
      </c>
      <c r="D290" s="31" t="str">
        <f aca="false">IFERROR((AVERAGE(B288:B290)/AVERAGE(B285:B287)-1)*100,"")</f>
        <v/>
      </c>
      <c r="E290" s="31" t="str">
        <f aca="false">IFERROR(((AVERAGE(B288:B290)/AVERAGE(B285:B287))^4-1)*100,"")</f>
        <v/>
      </c>
      <c r="F290" s="31" t="str">
        <f aca="false">IFERROR(('SA Data'!V290/'SA Data'!V278-1)*100,"")</f>
        <v/>
      </c>
      <c r="G290" s="31" t="str">
        <f aca="false">IFERROR((AVERAGE('SA Data'!V283:V290)/AVERAGE('SA Data'!V271:V278)-1)*100,"")</f>
        <v/>
      </c>
      <c r="H290" s="30" t="str">
        <f aca="false">'SA Data'!S290</f>
        <v/>
      </c>
      <c r="I290" s="31" t="str">
        <f aca="false">IFERROR((H290/H289-1)*100,"")</f>
        <v/>
      </c>
      <c r="J290" s="31" t="str">
        <f aca="false">IFERROR((AVERAGE(H288:H290)/AVERAGE(H285:H287)-1)*100,"")</f>
        <v/>
      </c>
      <c r="K290" s="31" t="str">
        <f aca="false">IFERROR(((AVERAGE(H288:H290)/AVERAGE(H285:H287))^4-1)*100,"")</f>
        <v/>
      </c>
      <c r="L290" s="31" t="str">
        <f aca="false">IFERROR(('SA Data'!W290/'SA Data'!W278-1)*100,"")</f>
        <v/>
      </c>
      <c r="M290" s="31" t="str">
        <f aca="false">IFERROR((AVERAGE('SA Data'!W283:W290)/AVERAGE('SA Data'!W271:W278)-1)*100,"")</f>
        <v/>
      </c>
      <c r="N290" s="30" t="str">
        <f aca="false">'SA Data'!T290</f>
        <v/>
      </c>
      <c r="O290" s="31" t="str">
        <f aca="false">IFERROR((N290/N289-1)*100,"")</f>
        <v/>
      </c>
      <c r="P290" s="31" t="str">
        <f aca="false">IFERROR((AVERAGE(N288:N290)/AVERAGE(N285:N287)-1)*100,"")</f>
        <v/>
      </c>
      <c r="Q290" s="31" t="str">
        <f aca="false">IFERROR(((AVERAGE(N288:N290)/AVERAGE(N285:N287))^4-1)*100,"")</f>
        <v/>
      </c>
      <c r="R290" s="31" t="str">
        <f aca="false">IFERROR(('SA Data'!X290/'SA Data'!X278-1)*100,"")</f>
        <v/>
      </c>
      <c r="S290" s="31" t="str">
        <f aca="false">IFERROR((AVERAGE('SA Data'!X283:X290)/AVERAGE('SA Data'!X271:X278)-1)*100,"")</f>
        <v/>
      </c>
    </row>
    <row r="291" customFormat="false" ht="15" hidden="false" customHeight="false" outlineLevel="0" collapsed="false">
      <c r="A291" s="20" t="n">
        <v>46660</v>
      </c>
      <c r="B291" s="30" t="str">
        <f aca="false">'SA Data'!R291</f>
        <v/>
      </c>
      <c r="C291" s="31" t="str">
        <f aca="false">IFERROR((B291/B290-1)*100,"")</f>
        <v/>
      </c>
      <c r="D291" s="31" t="str">
        <f aca="false">IFERROR((AVERAGE(B289:B291)/AVERAGE(B286:B288)-1)*100,"")</f>
        <v/>
      </c>
      <c r="E291" s="31" t="str">
        <f aca="false">IFERROR(((AVERAGE(B289:B291)/AVERAGE(B286:B288))^4-1)*100,"")</f>
        <v/>
      </c>
      <c r="F291" s="31" t="str">
        <f aca="false">IFERROR(('SA Data'!V291/'SA Data'!V279-1)*100,"")</f>
        <v/>
      </c>
      <c r="G291" s="31" t="str">
        <f aca="false">IFERROR((AVERAGE('SA Data'!V283:V291)/AVERAGE('SA Data'!V271:V279)-1)*100,"")</f>
        <v/>
      </c>
      <c r="H291" s="30" t="str">
        <f aca="false">'SA Data'!S291</f>
        <v/>
      </c>
      <c r="I291" s="31" t="str">
        <f aca="false">IFERROR((H291/H290-1)*100,"")</f>
        <v/>
      </c>
      <c r="J291" s="31" t="str">
        <f aca="false">IFERROR((AVERAGE(H289:H291)/AVERAGE(H286:H288)-1)*100,"")</f>
        <v/>
      </c>
      <c r="K291" s="31" t="str">
        <f aca="false">IFERROR(((AVERAGE(H289:H291)/AVERAGE(H286:H288))^4-1)*100,"")</f>
        <v/>
      </c>
      <c r="L291" s="31" t="str">
        <f aca="false">IFERROR(('SA Data'!W291/'SA Data'!W279-1)*100,"")</f>
        <v/>
      </c>
      <c r="M291" s="31" t="str">
        <f aca="false">IFERROR((AVERAGE('SA Data'!W283:W291)/AVERAGE('SA Data'!W271:W279)-1)*100,"")</f>
        <v/>
      </c>
      <c r="N291" s="30" t="str">
        <f aca="false">'SA Data'!T291</f>
        <v/>
      </c>
      <c r="O291" s="31" t="str">
        <f aca="false">IFERROR((N291/N290-1)*100,"")</f>
        <v/>
      </c>
      <c r="P291" s="31" t="str">
        <f aca="false">IFERROR((AVERAGE(N289:N291)/AVERAGE(N286:N288)-1)*100,"")</f>
        <v/>
      </c>
      <c r="Q291" s="31" t="str">
        <f aca="false">IFERROR(((AVERAGE(N289:N291)/AVERAGE(N286:N288))^4-1)*100,"")</f>
        <v/>
      </c>
      <c r="R291" s="31" t="str">
        <f aca="false">IFERROR(('SA Data'!X291/'SA Data'!X279-1)*100,"")</f>
        <v/>
      </c>
      <c r="S291" s="31" t="str">
        <f aca="false">IFERROR((AVERAGE('SA Data'!X283:X291)/AVERAGE('SA Data'!X271:X279)-1)*100,"")</f>
        <v/>
      </c>
    </row>
    <row r="292" customFormat="false" ht="15" hidden="false" customHeight="false" outlineLevel="0" collapsed="false">
      <c r="A292" s="20" t="n">
        <v>46691</v>
      </c>
      <c r="B292" s="30" t="str">
        <f aca="false">'SA Data'!R292</f>
        <v/>
      </c>
      <c r="C292" s="31" t="str">
        <f aca="false">IFERROR((B292/B291-1)*100,"")</f>
        <v/>
      </c>
      <c r="D292" s="31" t="str">
        <f aca="false">IFERROR((AVERAGE(B290:B292)/AVERAGE(B287:B289)-1)*100,"")</f>
        <v/>
      </c>
      <c r="E292" s="31" t="str">
        <f aca="false">IFERROR(((AVERAGE(B290:B292)/AVERAGE(B287:B289))^4-1)*100,"")</f>
        <v/>
      </c>
      <c r="F292" s="31" t="str">
        <f aca="false">IFERROR(('SA Data'!V292/'SA Data'!V280-1)*100,"")</f>
        <v/>
      </c>
      <c r="G292" s="31" t="str">
        <f aca="false">IFERROR((AVERAGE('SA Data'!V283:V292)/AVERAGE('SA Data'!V271:V280)-1)*100,"")</f>
        <v/>
      </c>
      <c r="H292" s="30" t="str">
        <f aca="false">'SA Data'!S292</f>
        <v/>
      </c>
      <c r="I292" s="31" t="str">
        <f aca="false">IFERROR((H292/H291-1)*100,"")</f>
        <v/>
      </c>
      <c r="J292" s="31" t="str">
        <f aca="false">IFERROR((AVERAGE(H290:H292)/AVERAGE(H287:H289)-1)*100,"")</f>
        <v/>
      </c>
      <c r="K292" s="31" t="str">
        <f aca="false">IFERROR(((AVERAGE(H290:H292)/AVERAGE(H287:H289))^4-1)*100,"")</f>
        <v/>
      </c>
      <c r="L292" s="31" t="str">
        <f aca="false">IFERROR(('SA Data'!W292/'SA Data'!W280-1)*100,"")</f>
        <v/>
      </c>
      <c r="M292" s="31" t="str">
        <f aca="false">IFERROR((AVERAGE('SA Data'!W283:W292)/AVERAGE('SA Data'!W271:W280)-1)*100,"")</f>
        <v/>
      </c>
      <c r="N292" s="30" t="str">
        <f aca="false">'SA Data'!T292</f>
        <v/>
      </c>
      <c r="O292" s="31" t="str">
        <f aca="false">IFERROR((N292/N291-1)*100,"")</f>
        <v/>
      </c>
      <c r="P292" s="31" t="str">
        <f aca="false">IFERROR((AVERAGE(N290:N292)/AVERAGE(N287:N289)-1)*100,"")</f>
        <v/>
      </c>
      <c r="Q292" s="31" t="str">
        <f aca="false">IFERROR(((AVERAGE(N290:N292)/AVERAGE(N287:N289))^4-1)*100,"")</f>
        <v/>
      </c>
      <c r="R292" s="31" t="str">
        <f aca="false">IFERROR(('SA Data'!X292/'SA Data'!X280-1)*100,"")</f>
        <v/>
      </c>
      <c r="S292" s="31" t="str">
        <f aca="false">IFERROR((AVERAGE('SA Data'!X283:X292)/AVERAGE('SA Data'!X271:X280)-1)*100,"")</f>
        <v/>
      </c>
    </row>
    <row r="293" customFormat="false" ht="15" hidden="false" customHeight="false" outlineLevel="0" collapsed="false">
      <c r="A293" s="20" t="n">
        <v>46721</v>
      </c>
      <c r="B293" s="30" t="str">
        <f aca="false">'SA Data'!R293</f>
        <v/>
      </c>
      <c r="C293" s="31" t="str">
        <f aca="false">IFERROR((B293/B292-1)*100,"")</f>
        <v/>
      </c>
      <c r="D293" s="31" t="str">
        <f aca="false">IFERROR((AVERAGE(B291:B293)/AVERAGE(B288:B290)-1)*100,"")</f>
        <v/>
      </c>
      <c r="E293" s="31" t="str">
        <f aca="false">IFERROR(((AVERAGE(B291:B293)/AVERAGE(B288:B290))^4-1)*100,"")</f>
        <v/>
      </c>
      <c r="F293" s="31" t="str">
        <f aca="false">IFERROR(('SA Data'!V293/'SA Data'!V281-1)*100,"")</f>
        <v/>
      </c>
      <c r="G293" s="31" t="str">
        <f aca="false">IFERROR((AVERAGE('SA Data'!V283:V293)/AVERAGE('SA Data'!V271:V281)-1)*100,"")</f>
        <v/>
      </c>
      <c r="H293" s="30" t="str">
        <f aca="false">'SA Data'!S293</f>
        <v/>
      </c>
      <c r="I293" s="31" t="str">
        <f aca="false">IFERROR((H293/H292-1)*100,"")</f>
        <v/>
      </c>
      <c r="J293" s="31" t="str">
        <f aca="false">IFERROR((AVERAGE(H291:H293)/AVERAGE(H288:H290)-1)*100,"")</f>
        <v/>
      </c>
      <c r="K293" s="31" t="str">
        <f aca="false">IFERROR(((AVERAGE(H291:H293)/AVERAGE(H288:H290))^4-1)*100,"")</f>
        <v/>
      </c>
      <c r="L293" s="31" t="str">
        <f aca="false">IFERROR(('SA Data'!W293/'SA Data'!W281-1)*100,"")</f>
        <v/>
      </c>
      <c r="M293" s="31" t="str">
        <f aca="false">IFERROR((AVERAGE('SA Data'!W283:W293)/AVERAGE('SA Data'!W271:W281)-1)*100,"")</f>
        <v/>
      </c>
      <c r="N293" s="30" t="str">
        <f aca="false">'SA Data'!T293</f>
        <v/>
      </c>
      <c r="O293" s="31" t="str">
        <f aca="false">IFERROR((N293/N292-1)*100,"")</f>
        <v/>
      </c>
      <c r="P293" s="31" t="str">
        <f aca="false">IFERROR((AVERAGE(N291:N293)/AVERAGE(N288:N290)-1)*100,"")</f>
        <v/>
      </c>
      <c r="Q293" s="31" t="str">
        <f aca="false">IFERROR(((AVERAGE(N291:N293)/AVERAGE(N288:N290))^4-1)*100,"")</f>
        <v/>
      </c>
      <c r="R293" s="31" t="str">
        <f aca="false">IFERROR(('SA Data'!X293/'SA Data'!X281-1)*100,"")</f>
        <v/>
      </c>
      <c r="S293" s="31" t="str">
        <f aca="false">IFERROR((AVERAGE('SA Data'!X283:X293)/AVERAGE('SA Data'!X271:X281)-1)*100,"")</f>
        <v/>
      </c>
    </row>
    <row r="294" customFormat="false" ht="15" hidden="false" customHeight="false" outlineLevel="0" collapsed="false">
      <c r="A294" s="20" t="n">
        <v>46752</v>
      </c>
      <c r="B294" s="30" t="str">
        <f aca="false">'SA Data'!R294</f>
        <v/>
      </c>
      <c r="C294" s="31" t="str">
        <f aca="false">IFERROR((B294/B293-1)*100,"")</f>
        <v/>
      </c>
      <c r="D294" s="31" t="str">
        <f aca="false">IFERROR((AVERAGE(B292:B294)/AVERAGE(B289:B291)-1)*100,"")</f>
        <v/>
      </c>
      <c r="E294" s="31" t="str">
        <f aca="false">IFERROR(((AVERAGE(B292:B294)/AVERAGE(B289:B291))^4-1)*100,"")</f>
        <v/>
      </c>
      <c r="F294" s="31" t="str">
        <f aca="false">IFERROR(('SA Data'!V294/'SA Data'!V282-1)*100,"")</f>
        <v/>
      </c>
      <c r="G294" s="31" t="str">
        <f aca="false">IFERROR((AVERAGE('SA Data'!V283:V294)/AVERAGE('SA Data'!V271:V282)-1)*100,"")</f>
        <v/>
      </c>
      <c r="H294" s="30" t="str">
        <f aca="false">'SA Data'!S294</f>
        <v/>
      </c>
      <c r="I294" s="31" t="str">
        <f aca="false">IFERROR((H294/H293-1)*100,"")</f>
        <v/>
      </c>
      <c r="J294" s="31" t="str">
        <f aca="false">IFERROR((AVERAGE(H292:H294)/AVERAGE(H289:H291)-1)*100,"")</f>
        <v/>
      </c>
      <c r="K294" s="31" t="str">
        <f aca="false">IFERROR(((AVERAGE(H292:H294)/AVERAGE(H289:H291))^4-1)*100,"")</f>
        <v/>
      </c>
      <c r="L294" s="31" t="str">
        <f aca="false">IFERROR(('SA Data'!W294/'SA Data'!W282-1)*100,"")</f>
        <v/>
      </c>
      <c r="M294" s="31" t="str">
        <f aca="false">IFERROR((AVERAGE('SA Data'!W283:W294)/AVERAGE('SA Data'!W271:W282)-1)*100,"")</f>
        <v/>
      </c>
      <c r="N294" s="30" t="str">
        <f aca="false">'SA Data'!T294</f>
        <v/>
      </c>
      <c r="O294" s="31" t="str">
        <f aca="false">IFERROR((N294/N293-1)*100,"")</f>
        <v/>
      </c>
      <c r="P294" s="31" t="str">
        <f aca="false">IFERROR((AVERAGE(N292:N294)/AVERAGE(N289:N291)-1)*100,"")</f>
        <v/>
      </c>
      <c r="Q294" s="31" t="str">
        <f aca="false">IFERROR(((AVERAGE(N292:N294)/AVERAGE(N289:N291))^4-1)*100,"")</f>
        <v/>
      </c>
      <c r="R294" s="31" t="str">
        <f aca="false">IFERROR(('SA Data'!X294/'SA Data'!X282-1)*100,"")</f>
        <v/>
      </c>
      <c r="S294" s="31" t="str">
        <f aca="false">IFERROR((AVERAGE('SA Data'!X283:X294)/AVERAGE('SA Data'!X271:X282)-1)*100,"")</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12" min="2" style="0" width="13"/>
  </cols>
  <sheetData>
    <row r="1" customFormat="false" ht="17.35" hidden="false" customHeight="false" outlineLevel="0" collapsed="false">
      <c r="A1" s="4" t="s">
        <v>504</v>
      </c>
    </row>
    <row r="2" customFormat="false" ht="15" hidden="false" customHeight="false" outlineLevel="0" collapsed="false">
      <c r="A2" s="5" t="s">
        <v>505</v>
      </c>
    </row>
    <row r="4" customFormat="false" ht="15" hidden="false" customHeight="false" outlineLevel="0" collapsed="false">
      <c r="A4" s="5" t="s">
        <v>506</v>
      </c>
    </row>
    <row r="6" customFormat="false" ht="23.85" hidden="false" customHeight="false" outlineLevel="0" collapsed="false">
      <c r="A6" s="7" t="s">
        <v>368</v>
      </c>
      <c r="B6" s="7" t="s">
        <v>507</v>
      </c>
      <c r="C6" s="7" t="s">
        <v>338</v>
      </c>
      <c r="D6" s="7" t="s">
        <v>339</v>
      </c>
      <c r="E6" s="7" t="s">
        <v>340</v>
      </c>
      <c r="F6" s="7" t="s">
        <v>0</v>
      </c>
      <c r="G6" s="7" t="s">
        <v>508</v>
      </c>
      <c r="H6" s="7" t="s">
        <v>509</v>
      </c>
      <c r="I6" s="7" t="s">
        <v>510</v>
      </c>
      <c r="J6" s="7" t="s">
        <v>511</v>
      </c>
      <c r="K6" s="7" t="s">
        <v>512</v>
      </c>
    </row>
    <row r="7" customFormat="false" ht="15" hidden="false" customHeight="false" outlineLevel="0" collapsed="false">
      <c r="A7" s="20" t="n">
        <v>38017</v>
      </c>
      <c r="B7" s="32" t="str">
        <f aca="false">IF(ISNUMBER('SA Data'!T7),"A","F")</f>
        <v>A</v>
      </c>
      <c r="C7" s="30" t="n">
        <f aca="false">IFERROR('SA Data'!R7,"")</f>
        <v>152.122490943548</v>
      </c>
      <c r="D7" s="30" t="n">
        <f aca="false">IFERROR('SA Data'!S7,"")</f>
        <v>97.3709648391369</v>
      </c>
      <c r="E7" s="30" t="n">
        <f aca="false">IFERROR('SA Data'!T7,"")</f>
        <v>97.4278006328807</v>
      </c>
      <c r="F7" s="23" t="n">
        <f aca="false">IFERROR(C7*'Weights &amp; Assumptions'!$B$25/'Weights &amp; Assumptions'!$B$28+D7*'Weights &amp; Assumptions'!$B$26/'Weights &amp; Assumptions'!$B$28+E7*'Weights &amp; Assumptions'!$B$27/'Weights &amp; Assumptions'!$B$28,"")</f>
        <v>102.001617036402</v>
      </c>
    </row>
    <row r="8" customFormat="false" ht="15" hidden="false" customHeight="false" outlineLevel="0" collapsed="false">
      <c r="A8" s="20" t="n">
        <v>38046</v>
      </c>
      <c r="B8" s="32" t="str">
        <f aca="false">IF(ISNUMBER('SA Data'!T8),"A","F")</f>
        <v>A</v>
      </c>
      <c r="C8" s="30" t="n">
        <f aca="false">IFERROR('SA Data'!R8,"")</f>
        <v>137.645423880149</v>
      </c>
      <c r="D8" s="30" t="n">
        <f aca="false">IFERROR('SA Data'!S8,"")</f>
        <v>98.3644013635702</v>
      </c>
      <c r="E8" s="30" t="n">
        <f aca="false">IFERROR('SA Data'!T8,"")</f>
        <v>97.8587784791874</v>
      </c>
      <c r="F8" s="23" t="n">
        <f aca="false">IFERROR(C8*'Weights &amp; Assumptions'!$B$25/'Weights &amp; Assumptions'!$B$28+D8*'Weights &amp; Assumptions'!$B$26/'Weights &amp; Assumptions'!$B$28+E8*'Weights &amp; Assumptions'!$B$27/'Weights &amp; Assumptions'!$B$28,"")</f>
        <v>101.33136509597</v>
      </c>
      <c r="G8" s="31" t="n">
        <f aca="false">IFERROR((F8/F7-1)*100,"")</f>
        <v>-0.657099328330923</v>
      </c>
      <c r="I8" s="31" t="n">
        <f aca="false">IFERROR((C8/C7-1)*100,"")</f>
        <v>-9.51671707030578</v>
      </c>
      <c r="J8" s="31" t="n">
        <f aca="false">IFERROR((D8/D7-1)*100,"")</f>
        <v>1.02025950556672</v>
      </c>
      <c r="K8" s="31" t="n">
        <f aca="false">IFERROR((E8/E7-1)*100,"")</f>
        <v>0.442356127827059</v>
      </c>
    </row>
    <row r="9" customFormat="false" ht="15" hidden="false" customHeight="false" outlineLevel="0" collapsed="false">
      <c r="A9" s="20" t="n">
        <v>38077</v>
      </c>
      <c r="B9" s="32" t="str">
        <f aca="false">IF(ISNUMBER('SA Data'!T9),"A","F")</f>
        <v>A</v>
      </c>
      <c r="C9" s="30" t="n">
        <f aca="false">IFERROR('SA Data'!R9,"")</f>
        <v>113.662051207078</v>
      </c>
      <c r="D9" s="30" t="n">
        <f aca="false">IFERROR('SA Data'!S9,"")</f>
        <v>99.089461582653</v>
      </c>
      <c r="E9" s="30" t="n">
        <f aca="false">IFERROR('SA Data'!T9,"")</f>
        <v>99.3663380829987</v>
      </c>
      <c r="F9" s="23" t="n">
        <f aca="false">IFERROR(C9*'Weights &amp; Assumptions'!$B$25/'Weights &amp; Assumptions'!$B$28+D9*'Weights &amp; Assumptions'!$B$26/'Weights &amp; Assumptions'!$B$28+E9*'Weights &amp; Assumptions'!$B$27/'Weights &amp; Assumptions'!$B$28,"")</f>
        <v>100.492134013011</v>
      </c>
      <c r="G9" s="31" t="n">
        <f aca="false">IFERROR((F9/F8-1)*100,"")</f>
        <v>-0.828204655254961</v>
      </c>
      <c r="I9" s="31" t="n">
        <f aca="false">IFERROR((C9/C8-1)*100,"")</f>
        <v>-17.4240247129128</v>
      </c>
      <c r="J9" s="31" t="n">
        <f aca="false">IFERROR((D9/D8-1)*100,"")</f>
        <v>0.737116486281275</v>
      </c>
      <c r="K9" s="31" t="n">
        <f aca="false">IFERROR((E9/E8-1)*100,"")</f>
        <v>1.54054610862731</v>
      </c>
    </row>
    <row r="10" customFormat="false" ht="15" hidden="false" customHeight="false" outlineLevel="0" collapsed="false">
      <c r="A10" s="20" t="n">
        <v>38107</v>
      </c>
      <c r="B10" s="32" t="str">
        <f aca="false">IF(ISNUMBER('SA Data'!T10),"A","F")</f>
        <v>A</v>
      </c>
      <c r="C10" s="30" t="n">
        <f aca="false">IFERROR('SA Data'!R10,"")</f>
        <v>93.2266598964898</v>
      </c>
      <c r="D10" s="30" t="n">
        <f aca="false">IFERROR('SA Data'!S10,"")</f>
        <v>97.0150191202008</v>
      </c>
      <c r="E10" s="30" t="n">
        <f aca="false">IFERROR('SA Data'!T10,"")</f>
        <v>98.1841802012394</v>
      </c>
      <c r="F10" s="23" t="n">
        <f aca="false">IFERROR(C10*'Weights &amp; Assumptions'!$B$25/'Weights &amp; Assumptions'!$B$28+D10*'Weights &amp; Assumptions'!$B$26/'Weights &amp; Assumptions'!$B$28+E10*'Weights &amp; Assumptions'!$B$27/'Weights &amp; Assumptions'!$B$28,"")</f>
        <v>97.4573397674839</v>
      </c>
      <c r="G10" s="31" t="n">
        <f aca="false">IFERROR((F10/F9-1)*100,"")</f>
        <v>-3.01993213233434</v>
      </c>
      <c r="I10" s="31" t="n">
        <f aca="false">IFERROR((C10/C9-1)*100,"")</f>
        <v>-17.9790801710569</v>
      </c>
      <c r="J10" s="31" t="n">
        <f aca="false">IFERROR((D10/D9-1)*100,"")</f>
        <v>-2.09350462634396</v>
      </c>
      <c r="K10" s="31" t="n">
        <f aca="false">IFERROR((E10/E9-1)*100,"")</f>
        <v>-1.18969653563346</v>
      </c>
    </row>
    <row r="11" customFormat="false" ht="15" hidden="false" customHeight="false" outlineLevel="0" collapsed="false">
      <c r="A11" s="20" t="n">
        <v>38138</v>
      </c>
      <c r="B11" s="32" t="str">
        <f aca="false">IF(ISNUMBER('SA Data'!T11),"A","F")</f>
        <v>A</v>
      </c>
      <c r="C11" s="30" t="n">
        <f aca="false">IFERROR('SA Data'!R11,"")</f>
        <v>86.1881177356952</v>
      </c>
      <c r="D11" s="30" t="n">
        <f aca="false">IFERROR('SA Data'!S11,"")</f>
        <v>98.5655027893669</v>
      </c>
      <c r="E11" s="30" t="n">
        <f aca="false">IFERROR('SA Data'!T11,"")</f>
        <v>98.0305977284055</v>
      </c>
      <c r="F11" s="23" t="n">
        <f aca="false">IFERROR(C11*'Weights &amp; Assumptions'!$B$25/'Weights &amp; Assumptions'!$B$28+D11*'Weights &amp; Assumptions'!$B$26/'Weights &amp; Assumptions'!$B$28+E11*'Weights &amp; Assumptions'!$B$27/'Weights &amp; Assumptions'!$B$28,"")</f>
        <v>97.1792444012445</v>
      </c>
      <c r="G11" s="31" t="n">
        <f aca="false">IFERROR((F11/F10-1)*100,"")</f>
        <v>-0.285350869316636</v>
      </c>
      <c r="I11" s="31" t="n">
        <f aca="false">IFERROR((C11/C10-1)*100,"")</f>
        <v>-7.54992420473888</v>
      </c>
      <c r="J11" s="31" t="n">
        <f aca="false">IFERROR((D11/D10-1)*100,"")</f>
        <v>1.59818931463083</v>
      </c>
      <c r="K11" s="31" t="n">
        <f aca="false">IFERROR((E11/E10-1)*100,"")</f>
        <v>-0.156422829542546</v>
      </c>
    </row>
    <row r="12" customFormat="false" ht="15" hidden="false" customHeight="false" outlineLevel="0" collapsed="false">
      <c r="A12" s="20" t="n">
        <v>38168</v>
      </c>
      <c r="B12" s="32" t="str">
        <f aca="false">IF(ISNUMBER('SA Data'!T12),"A","F")</f>
        <v>A</v>
      </c>
      <c r="C12" s="30" t="n">
        <f aca="false">IFERROR('SA Data'!R12,"")</f>
        <v>88.0848893287709</v>
      </c>
      <c r="D12" s="30" t="n">
        <f aca="false">IFERROR('SA Data'!S12,"")</f>
        <v>101.28253511621</v>
      </c>
      <c r="E12" s="30" t="n">
        <f aca="false">IFERROR('SA Data'!T12,"")</f>
        <v>99.9841646536952</v>
      </c>
      <c r="F12" s="23" t="n">
        <f aca="false">IFERROR(C12*'Weights &amp; Assumptions'!$B$25/'Weights &amp; Assumptions'!$B$28+D12*'Weights &amp; Assumptions'!$B$26/'Weights &amp; Assumptions'!$B$28+E12*'Weights &amp; Assumptions'!$B$27/'Weights &amp; Assumptions'!$B$28,"")</f>
        <v>99.3310649375091</v>
      </c>
      <c r="G12" s="31" t="n">
        <f aca="false">IFERROR((F12/F11-1)*100,"")</f>
        <v>2.21427996227255</v>
      </c>
      <c r="I12" s="31" t="n">
        <f aca="false">IFERROR((C12/C11-1)*100,"")</f>
        <v>2.20073444333981</v>
      </c>
      <c r="J12" s="31" t="n">
        <f aca="false">IFERROR((D12/D11-1)*100,"")</f>
        <v>2.75657532295979</v>
      </c>
      <c r="K12" s="31" t="n">
        <f aca="false">IFERROR((E12/E11-1)*100,"")</f>
        <v>1.99281343841449</v>
      </c>
    </row>
    <row r="13" customFormat="false" ht="15" hidden="false" customHeight="false" outlineLevel="0" collapsed="false">
      <c r="A13" s="20" t="n">
        <v>38199</v>
      </c>
      <c r="B13" s="32" t="str">
        <f aca="false">IF(ISNUMBER('SA Data'!T13),"A","F")</f>
        <v>A</v>
      </c>
      <c r="C13" s="30" t="n">
        <f aca="false">IFERROR('SA Data'!R13,"")</f>
        <v>108.550916950829</v>
      </c>
      <c r="D13" s="30" t="n">
        <f aca="false">IFERROR('SA Data'!S13,"")</f>
        <v>100.3619623528</v>
      </c>
      <c r="E13" s="30" t="n">
        <f aca="false">IFERROR('SA Data'!T13,"")</f>
        <v>99.9142861418304</v>
      </c>
      <c r="F13" s="23" t="n">
        <f aca="false">IFERROR(C13*'Weights &amp; Assumptions'!$B$25/'Weights &amp; Assumptions'!$B$28+D13*'Weights &amp; Assumptions'!$B$26/'Weights &amp; Assumptions'!$B$28+E13*'Weights &amp; Assumptions'!$B$27/'Weights &amp; Assumptions'!$B$28,"")</f>
        <v>100.757951578674</v>
      </c>
      <c r="G13" s="31" t="n">
        <f aca="false">IFERROR((F13/F12-1)*100,"")</f>
        <v>1.43649586568171</v>
      </c>
      <c r="I13" s="31" t="n">
        <f aca="false">IFERROR((C13/C12-1)*100,"")</f>
        <v>23.2344364374123</v>
      </c>
      <c r="J13" s="31" t="n">
        <f aca="false">IFERROR((D13/D12-1)*100,"")</f>
        <v>-0.908915601641669</v>
      </c>
      <c r="K13" s="31" t="n">
        <f aca="false">IFERROR((E13/E12-1)*100,"")</f>
        <v>-0.0698895791216736</v>
      </c>
    </row>
    <row r="14" customFormat="false" ht="15" hidden="false" customHeight="false" outlineLevel="0" collapsed="false">
      <c r="A14" s="20" t="n">
        <v>38230</v>
      </c>
      <c r="B14" s="32" t="str">
        <f aca="false">IF(ISNUMBER('SA Data'!T14),"A","F")</f>
        <v>A</v>
      </c>
      <c r="C14" s="30" t="n">
        <f aca="false">IFERROR('SA Data'!R14,"")</f>
        <v>112.808843681497</v>
      </c>
      <c r="D14" s="30" t="n">
        <f aca="false">IFERROR('SA Data'!S14,"")</f>
        <v>99.6362605293292</v>
      </c>
      <c r="E14" s="30" t="n">
        <f aca="false">IFERROR('SA Data'!T14,"")</f>
        <v>99.9955815337399</v>
      </c>
      <c r="F14" s="23" t="n">
        <f aca="false">IFERROR(C14*'Weights &amp; Assumptions'!$B$25/'Weights &amp; Assumptions'!$B$28+D14*'Weights &amp; Assumptions'!$B$26/'Weights &amp; Assumptions'!$B$28+E14*'Weights &amp; Assumptions'!$B$27/'Weights &amp; Assumptions'!$B$28,"")</f>
        <v>100.975075159361</v>
      </c>
      <c r="G14" s="31" t="n">
        <f aca="false">IFERROR((F14/F13-1)*100,"")</f>
        <v>0.215490268792484</v>
      </c>
      <c r="I14" s="31" t="n">
        <f aca="false">IFERROR((C14/C13-1)*100,"")</f>
        <v>3.92251567307955</v>
      </c>
      <c r="J14" s="31" t="n">
        <f aca="false">IFERROR((D14/D13-1)*100,"")</f>
        <v>-0.723084529694795</v>
      </c>
      <c r="K14" s="31" t="n">
        <f aca="false">IFERROR((E14/E13-1)*100,"")</f>
        <v>0.0813651331042831</v>
      </c>
    </row>
    <row r="15" customFormat="false" ht="15" hidden="false" customHeight="false" outlineLevel="0" collapsed="false">
      <c r="A15" s="20" t="n">
        <v>38260</v>
      </c>
      <c r="B15" s="32" t="str">
        <f aca="false">IF(ISNUMBER('SA Data'!T15),"A","F")</f>
        <v>A</v>
      </c>
      <c r="C15" s="30" t="n">
        <f aca="false">IFERROR('SA Data'!R15,"")</f>
        <v>113.349880358795</v>
      </c>
      <c r="D15" s="30" t="n">
        <f aca="false">IFERROR('SA Data'!S15,"")</f>
        <v>100.453027569418</v>
      </c>
      <c r="E15" s="30" t="n">
        <f aca="false">IFERROR('SA Data'!T15,"")</f>
        <v>101.153477684052</v>
      </c>
      <c r="F15" s="23" t="n">
        <f aca="false">IFERROR(C15*'Weights &amp; Assumptions'!$B$25/'Weights &amp; Assumptions'!$B$28+D15*'Weights &amp; Assumptions'!$B$26/'Weights &amp; Assumptions'!$B$28+E15*'Weights &amp; Assumptions'!$B$27/'Weights &amp; Assumptions'!$B$28,"")</f>
        <v>101.99050409723</v>
      </c>
      <c r="G15" s="31" t="n">
        <f aca="false">IFERROR((F15/F14-1)*100,"")</f>
        <v>1.00562335434387</v>
      </c>
      <c r="I15" s="31" t="n">
        <f aca="false">IFERROR((C15/C14-1)*100,"")</f>
        <v>0.47960484270666</v>
      </c>
      <c r="J15" s="31" t="n">
        <f aca="false">IFERROR((D15/D14-1)*100,"")</f>
        <v>0.819748789998709</v>
      </c>
      <c r="K15" s="31" t="n">
        <f aca="false">IFERROR((E15/E14-1)*100,"")</f>
        <v>1.15794731382335</v>
      </c>
    </row>
    <row r="16" customFormat="false" ht="15" hidden="false" customHeight="false" outlineLevel="0" collapsed="false">
      <c r="A16" s="20" t="n">
        <v>38291</v>
      </c>
      <c r="B16" s="32" t="str">
        <f aca="false">IF(ISNUMBER('SA Data'!T16),"A","F")</f>
        <v>A</v>
      </c>
      <c r="C16" s="30" t="n">
        <f aca="false">IFERROR('SA Data'!R16,"")</f>
        <v>116.048014110656</v>
      </c>
      <c r="D16" s="30" t="n">
        <f aca="false">IFERROR('SA Data'!S16,"")</f>
        <v>100.042763992303</v>
      </c>
      <c r="E16" s="30" t="n">
        <f aca="false">IFERROR('SA Data'!T16,"")</f>
        <v>101.413116224507</v>
      </c>
      <c r="F16" s="23" t="n">
        <f aca="false">IFERROR(C16*'Weights &amp; Assumptions'!$B$25/'Weights &amp; Assumptions'!$B$28+D16*'Weights &amp; Assumptions'!$B$26/'Weights &amp; Assumptions'!$B$28+E16*'Weights &amp; Assumptions'!$B$27/'Weights &amp; Assumptions'!$B$28,"")</f>
        <v>102.276595740211</v>
      </c>
      <c r="G16" s="31" t="n">
        <f aca="false">IFERROR((F16/F15-1)*100,"")</f>
        <v>0.280508117410827</v>
      </c>
      <c r="I16" s="31" t="n">
        <f aca="false">IFERROR((C16/C15-1)*100,"")</f>
        <v>2.38035871173414</v>
      </c>
      <c r="J16" s="31" t="n">
        <f aca="false">IFERROR((D16/D15-1)*100,"")</f>
        <v>-0.408413352033499</v>
      </c>
      <c r="K16" s="31" t="n">
        <f aca="false">IFERROR((E16/E15-1)*100,"")</f>
        <v>0.256677819091977</v>
      </c>
    </row>
    <row r="17" customFormat="false" ht="15" hidden="false" customHeight="false" outlineLevel="0" collapsed="false">
      <c r="A17" s="20" t="n">
        <v>38321</v>
      </c>
      <c r="B17" s="32" t="str">
        <f aca="false">IF(ISNUMBER('SA Data'!T17),"A","F")</f>
        <v>A</v>
      </c>
      <c r="C17" s="30" t="n">
        <f aca="false">IFERROR('SA Data'!R17,"")</f>
        <v>114.359674156125</v>
      </c>
      <c r="D17" s="30" t="n">
        <f aca="false">IFERROR('SA Data'!S17,"")</f>
        <v>101.460653698523</v>
      </c>
      <c r="E17" s="30" t="n">
        <f aca="false">IFERROR('SA Data'!T17,"")</f>
        <v>102.652068939803</v>
      </c>
      <c r="F17" s="23" t="n">
        <f aca="false">IFERROR(C17*'Weights &amp; Assumptions'!$B$25/'Weights &amp; Assumptions'!$B$28+D17*'Weights &amp; Assumptions'!$B$26/'Weights &amp; Assumptions'!$B$28+E17*'Weights &amp; Assumptions'!$B$27/'Weights &amp; Assumptions'!$B$28,"")</f>
        <v>103.317528636007</v>
      </c>
      <c r="G17" s="31" t="n">
        <f aca="false">IFERROR((F17/F16-1)*100,"")</f>
        <v>1.01776255678374</v>
      </c>
      <c r="I17" s="31" t="n">
        <f aca="false">IFERROR((C17/C16-1)*100,"")</f>
        <v>-1.45486328867366</v>
      </c>
      <c r="J17" s="31" t="n">
        <f aca="false">IFERROR((D17/D16-1)*100,"")</f>
        <v>1.41728361916216</v>
      </c>
      <c r="K17" s="31" t="n">
        <f aca="false">IFERROR((E17/E16-1)*100,"")</f>
        <v>1.22168883219518</v>
      </c>
    </row>
    <row r="18" customFormat="false" ht="15" hidden="false" customHeight="false" outlineLevel="0" collapsed="false">
      <c r="A18" s="20" t="n">
        <v>38352</v>
      </c>
      <c r="B18" s="32" t="str">
        <f aca="false">IF(ISNUMBER('SA Data'!T18),"A","F")</f>
        <v>A</v>
      </c>
      <c r="C18" s="30" t="n">
        <f aca="false">IFERROR('SA Data'!R18,"")</f>
        <v>115.596288277326</v>
      </c>
      <c r="D18" s="30" t="n">
        <f aca="false">IFERROR('SA Data'!S18,"")</f>
        <v>103.216758805147</v>
      </c>
      <c r="E18" s="30" t="n">
        <f aca="false">IFERROR('SA Data'!T18,"")</f>
        <v>104.118907712125</v>
      </c>
      <c r="F18" s="23" t="n">
        <f aca="false">IFERROR(C18*'Weights &amp; Assumptions'!$B$25/'Weights &amp; Assumptions'!$B$28+D18*'Weights &amp; Assumptions'!$B$26/'Weights &amp; Assumptions'!$B$28+E18*'Weights &amp; Assumptions'!$B$27/'Weights &amp; Assumptions'!$B$28,"")</f>
        <v>104.841972339751</v>
      </c>
      <c r="G18" s="31" t="n">
        <f aca="false">IFERROR((F18/F17-1)*100,"")</f>
        <v>1.475493775228</v>
      </c>
      <c r="I18" s="31" t="n">
        <f aca="false">IFERROR((C18/C17-1)*100,"")</f>
        <v>1.08133756966855</v>
      </c>
      <c r="J18" s="31" t="n">
        <f aca="false">IFERROR((D18/D17-1)*100,"")</f>
        <v>1.73082376528173</v>
      </c>
      <c r="K18" s="31" t="n">
        <f aca="false">IFERROR((E18/E17-1)*100,"")</f>
        <v>1.42894223903329</v>
      </c>
    </row>
    <row r="19" customFormat="false" ht="15" hidden="false" customHeight="false" outlineLevel="0" collapsed="false">
      <c r="A19" s="20" t="n">
        <v>38383</v>
      </c>
      <c r="B19" s="32" t="str">
        <f aca="false">IF(ISNUMBER('SA Data'!T19),"A","F")</f>
        <v>A</v>
      </c>
      <c r="C19" s="30" t="n">
        <f aca="false">IFERROR('SA Data'!R19,"")</f>
        <v>115.292957515589</v>
      </c>
      <c r="D19" s="30" t="n">
        <f aca="false">IFERROR('SA Data'!S19,"")</f>
        <v>105.526985296758</v>
      </c>
      <c r="E19" s="30" t="n">
        <f aca="false">IFERROR('SA Data'!T19,"")</f>
        <v>104.821438471541</v>
      </c>
      <c r="F19" s="23" t="n">
        <f aca="false">IFERROR(C19*'Weights &amp; Assumptions'!$B$25/'Weights &amp; Assumptions'!$B$28+D19*'Weights &amp; Assumptions'!$B$26/'Weights &amp; Assumptions'!$B$28+E19*'Weights &amp; Assumptions'!$B$27/'Weights &amp; Assumptions'!$B$28,"")</f>
        <v>105.887624859151</v>
      </c>
      <c r="G19" s="31" t="n">
        <f aca="false">IFERROR((F19/F18-1)*100,"")</f>
        <v>0.997360595249819</v>
      </c>
      <c r="H19" s="31" t="n">
        <f aca="false">IFERROR((F19/F7-1)*100,"")</f>
        <v>3.80975119380831</v>
      </c>
      <c r="I19" s="31" t="n">
        <f aca="false">IFERROR((C19/C18-1)*100,"")</f>
        <v>-0.262405278107958</v>
      </c>
      <c r="J19" s="31" t="n">
        <f aca="false">IFERROR((D19/D18-1)*100,"")</f>
        <v>2.23822809236982</v>
      </c>
      <c r="K19" s="31" t="n">
        <f aca="false">IFERROR((E19/E18-1)*100,"")</f>
        <v>0.674738887347526</v>
      </c>
    </row>
    <row r="20" customFormat="false" ht="15" hidden="false" customHeight="false" outlineLevel="0" collapsed="false">
      <c r="A20" s="20" t="n">
        <v>38411</v>
      </c>
      <c r="B20" s="32" t="str">
        <f aca="false">IF(ISNUMBER('SA Data'!T20),"A","F")</f>
        <v>A</v>
      </c>
      <c r="C20" s="30" t="n">
        <f aca="false">IFERROR('SA Data'!R20,"")</f>
        <v>118.828518879066</v>
      </c>
      <c r="D20" s="30" t="n">
        <f aca="false">IFERROR('SA Data'!S20,"")</f>
        <v>105.491978749939</v>
      </c>
      <c r="E20" s="30" t="n">
        <f aca="false">IFERROR('SA Data'!T20,"")</f>
        <v>105.55731709537</v>
      </c>
      <c r="F20" s="23" t="n">
        <f aca="false">IFERROR(C20*'Weights &amp; Assumptions'!$B$25/'Weights &amp; Assumptions'!$B$28+D20*'Weights &amp; Assumptions'!$B$26/'Weights &amp; Assumptions'!$B$28+E20*'Weights &amp; Assumptions'!$B$27/'Weights &amp; Assumptions'!$B$28,"")</f>
        <v>106.653407361903</v>
      </c>
      <c r="G20" s="31" t="n">
        <f aca="false">IFERROR((F20/F19-1)*100,"")</f>
        <v>0.723203021855712</v>
      </c>
      <c r="H20" s="31" t="n">
        <f aca="false">IFERROR((F20/F8-1)*100,"")</f>
        <v>5.25211740796463</v>
      </c>
      <c r="I20" s="31" t="n">
        <f aca="false">IFERROR((C20/C19-1)*100,"")</f>
        <v>3.06658918260343</v>
      </c>
      <c r="J20" s="31" t="n">
        <f aca="false">IFERROR((D20/D19-1)*100,"")</f>
        <v>-0.0331730757965554</v>
      </c>
      <c r="K20" s="31" t="n">
        <f aca="false">IFERROR((E20/E19-1)*100,"")</f>
        <v>0.702030648081009</v>
      </c>
    </row>
    <row r="21" customFormat="false" ht="15" hidden="false" customHeight="false" outlineLevel="0" collapsed="false">
      <c r="A21" s="20" t="n">
        <v>38442</v>
      </c>
      <c r="B21" s="32" t="str">
        <f aca="false">IF(ISNUMBER('SA Data'!T21),"A","F")</f>
        <v>A</v>
      </c>
      <c r="C21" s="30" t="n">
        <f aca="false">IFERROR('SA Data'!R21,"")</f>
        <v>125.350869995437</v>
      </c>
      <c r="D21" s="30" t="n">
        <f aca="false">IFERROR('SA Data'!S21,"")</f>
        <v>106.373259454193</v>
      </c>
      <c r="E21" s="30" t="n">
        <f aca="false">IFERROR('SA Data'!T21,"")</f>
        <v>107.475914448948</v>
      </c>
      <c r="F21" s="23" t="n">
        <f aca="false">IFERROR(C21*'Weights &amp; Assumptions'!$B$25/'Weights &amp; Assumptions'!$B$28+D21*'Weights &amp; Assumptions'!$B$26/'Weights &amp; Assumptions'!$B$28+E21*'Weights &amp; Assumptions'!$B$27/'Weights &amp; Assumptions'!$B$28,"")</f>
        <v>108.682422870342</v>
      </c>
      <c r="G21" s="31" t="n">
        <f aca="false">IFERROR((F21/F20-1)*100,"")</f>
        <v>1.90243852365031</v>
      </c>
      <c r="H21" s="31" t="n">
        <f aca="false">IFERROR((F21/F9-1)*100,"")</f>
        <v>8.15017905408391</v>
      </c>
      <c r="I21" s="31" t="n">
        <f aca="false">IFERROR((C21/C20-1)*100,"")</f>
        <v>5.48887689411475</v>
      </c>
      <c r="J21" s="31" t="n">
        <f aca="false">IFERROR((D21/D20-1)*100,"")</f>
        <v>0.835400676616716</v>
      </c>
      <c r="K21" s="31" t="n">
        <f aca="false">IFERROR((E21/E20-1)*100,"")</f>
        <v>1.81758821308831</v>
      </c>
    </row>
    <row r="22" customFormat="false" ht="15" hidden="false" customHeight="false" outlineLevel="0" collapsed="false">
      <c r="A22" s="20" t="n">
        <v>38472</v>
      </c>
      <c r="B22" s="32" t="str">
        <f aca="false">IF(ISNUMBER('SA Data'!T22),"A","F")</f>
        <v>A</v>
      </c>
      <c r="C22" s="30" t="n">
        <f aca="false">IFERROR('SA Data'!R22,"")</f>
        <v>126.075796354183</v>
      </c>
      <c r="D22" s="30" t="n">
        <f aca="false">IFERROR('SA Data'!S22,"")</f>
        <v>106.215165856444</v>
      </c>
      <c r="E22" s="30" t="n">
        <f aca="false">IFERROR('SA Data'!T22,"")</f>
        <v>107.681313860828</v>
      </c>
      <c r="F22" s="23" t="n">
        <f aca="false">IFERROR(C22*'Weights &amp; Assumptions'!$B$25/'Weights &amp; Assumptions'!$B$28+D22*'Weights &amp; Assumptions'!$B$26/'Weights &amp; Assumptions'!$B$28+E22*'Weights &amp; Assumptions'!$B$27/'Weights &amp; Assumptions'!$B$28,"")</f>
        <v>108.834751884598</v>
      </c>
      <c r="G22" s="31" t="n">
        <f aca="false">IFERROR((F22/F21-1)*100,"")</f>
        <v>0.140159751901736</v>
      </c>
      <c r="H22" s="31" t="n">
        <f aca="false">IFERROR((F22/F10-1)*100,"")</f>
        <v>11.6742485935468</v>
      </c>
      <c r="I22" s="31" t="n">
        <f aca="false">IFERROR((C22/C21-1)*100,"")</f>
        <v>0.578317772164128</v>
      </c>
      <c r="J22" s="31" t="n">
        <f aca="false">IFERROR((D22/D21-1)*100,"")</f>
        <v>-0.148621560117301</v>
      </c>
      <c r="K22" s="31" t="n">
        <f aca="false">IFERROR((E22/E21-1)*100,"")</f>
        <v>0.191112039319497</v>
      </c>
    </row>
    <row r="23" customFormat="false" ht="15" hidden="false" customHeight="false" outlineLevel="0" collapsed="false">
      <c r="A23" s="20" t="n">
        <v>38503</v>
      </c>
      <c r="B23" s="32" t="str">
        <f aca="false">IF(ISNUMBER('SA Data'!T23),"A","F")</f>
        <v>A</v>
      </c>
      <c r="C23" s="30" t="n">
        <f aca="false">IFERROR('SA Data'!R23,"")</f>
        <v>122.962910637118</v>
      </c>
      <c r="D23" s="30" t="n">
        <f aca="false">IFERROR('SA Data'!S23,"")</f>
        <v>107.360084562221</v>
      </c>
      <c r="E23" s="30" t="n">
        <f aca="false">IFERROR('SA Data'!T23,"")</f>
        <v>108.554463458377</v>
      </c>
      <c r="F23" s="23" t="n">
        <f aca="false">IFERROR(C23*'Weights &amp; Assumptions'!$B$25/'Weights &amp; Assumptions'!$B$28+D23*'Weights &amp; Assumptions'!$B$26/'Weights &amp; Assumptions'!$B$28+E23*'Weights &amp; Assumptions'!$B$27/'Weights &amp; Assumptions'!$B$28,"")</f>
        <v>109.445737955263</v>
      </c>
      <c r="G23" s="31" t="n">
        <f aca="false">IFERROR((F23/F22-1)*100,"")</f>
        <v>0.561388766075011</v>
      </c>
      <c r="H23" s="31" t="n">
        <f aca="false">IFERROR((F23/F11-1)*100,"")</f>
        <v>12.6225446900693</v>
      </c>
      <c r="I23" s="31" t="n">
        <f aca="false">IFERROR((C23/C22-1)*100,"")</f>
        <v>-2.46905893683221</v>
      </c>
      <c r="J23" s="31" t="n">
        <f aca="false">IFERROR((D23/D22-1)*100,"")</f>
        <v>1.07792394480117</v>
      </c>
      <c r="K23" s="31" t="n">
        <f aca="false">IFERROR((E23/E22-1)*100,"")</f>
        <v>0.810864546727741</v>
      </c>
    </row>
    <row r="24" customFormat="false" ht="15" hidden="false" customHeight="false" outlineLevel="0" collapsed="false">
      <c r="A24" s="20" t="n">
        <v>38533</v>
      </c>
      <c r="B24" s="32" t="str">
        <f aca="false">IF(ISNUMBER('SA Data'!T24),"A","F")</f>
        <v>A</v>
      </c>
      <c r="C24" s="30" t="n">
        <f aca="false">IFERROR('SA Data'!R24,"")</f>
        <v>121.981539136623</v>
      </c>
      <c r="D24" s="30" t="n">
        <f aca="false">IFERROR('SA Data'!S24,"")</f>
        <v>108.67065742369</v>
      </c>
      <c r="E24" s="30" t="n">
        <f aca="false">IFERROR('SA Data'!T24,"")</f>
        <v>109.15180658583</v>
      </c>
      <c r="F24" s="23" t="n">
        <f aca="false">IFERROR(C24*'Weights &amp; Assumptions'!$B$25/'Weights &amp; Assumptions'!$B$28+D24*'Weights &amp; Assumptions'!$B$26/'Weights &amp; Assumptions'!$B$28+E24*'Weights &amp; Assumptions'!$B$27/'Weights &amp; Assumptions'!$B$28,"")</f>
        <v>110.100285856717</v>
      </c>
      <c r="G24" s="31" t="n">
        <f aca="false">IFERROR((F24/F23-1)*100,"")</f>
        <v>0.598057004030173</v>
      </c>
      <c r="H24" s="31" t="n">
        <f aca="false">IFERROR((F24/F12-1)*100,"")</f>
        <v>10.8417451539286</v>
      </c>
      <c r="I24" s="31" t="n">
        <f aca="false">IFERROR((C24/C23-1)*100,"")</f>
        <v>-0.798103668342121</v>
      </c>
      <c r="J24" s="31" t="n">
        <f aca="false">IFERROR((D24/D23-1)*100,"")</f>
        <v>1.22072636847543</v>
      </c>
      <c r="K24" s="31" t="n">
        <f aca="false">IFERROR((E24/E23-1)*100,"")</f>
        <v>0.550270443446199</v>
      </c>
    </row>
    <row r="25" customFormat="false" ht="15" hidden="false" customHeight="false" outlineLevel="0" collapsed="false">
      <c r="A25" s="20" t="n">
        <v>38564</v>
      </c>
      <c r="B25" s="32" t="str">
        <f aca="false">IF(ISNUMBER('SA Data'!T25),"A","F")</f>
        <v>A</v>
      </c>
      <c r="C25" s="30" t="n">
        <f aca="false">IFERROR('SA Data'!R25,"")</f>
        <v>109.260201544076</v>
      </c>
      <c r="D25" s="30" t="n">
        <f aca="false">IFERROR('SA Data'!S25,"")</f>
        <v>106.369024387839</v>
      </c>
      <c r="E25" s="30" t="n">
        <f aca="false">IFERROR('SA Data'!T25,"")</f>
        <v>109.060217153396</v>
      </c>
      <c r="F25" s="23" t="n">
        <f aca="false">IFERROR(C25*'Weights &amp; Assumptions'!$B$25/'Weights &amp; Assumptions'!$B$28+D25*'Weights &amp; Assumptions'!$B$26/'Weights &amp; Assumptions'!$B$28+E25*'Weights &amp; Assumptions'!$B$27/'Weights &amp; Assumptions'!$B$28,"")</f>
        <v>108.36136084364</v>
      </c>
      <c r="G25" s="31" t="n">
        <f aca="false">IFERROR((F25/F24-1)*100,"")</f>
        <v>-1.57940099750562</v>
      </c>
      <c r="H25" s="31" t="n">
        <f aca="false">IFERROR((F25/F13-1)*100,"")</f>
        <v>7.54621262722746</v>
      </c>
      <c r="I25" s="31" t="n">
        <f aca="false">IFERROR((C25/C24-1)*100,"")</f>
        <v>-10.4289039821829</v>
      </c>
      <c r="J25" s="31" t="n">
        <f aca="false">IFERROR((D25/D24-1)*100,"")</f>
        <v>-2.11798942825624</v>
      </c>
      <c r="K25" s="31" t="n">
        <f aca="false">IFERROR((E25/E24-1)*100,"")</f>
        <v>-0.0839101388226848</v>
      </c>
    </row>
    <row r="26" customFormat="false" ht="15" hidden="false" customHeight="false" outlineLevel="0" collapsed="false">
      <c r="A26" s="20" t="n">
        <v>38595</v>
      </c>
      <c r="B26" s="32" t="str">
        <f aca="false">IF(ISNUMBER('SA Data'!T26),"A","F")</f>
        <v>A</v>
      </c>
      <c r="C26" s="30" t="n">
        <f aca="false">IFERROR('SA Data'!R26,"")</f>
        <v>105.10223823339</v>
      </c>
      <c r="D26" s="30" t="n">
        <f aca="false">IFERROR('SA Data'!S26,"")</f>
        <v>107.705582884191</v>
      </c>
      <c r="E26" s="30" t="n">
        <f aca="false">IFERROR('SA Data'!T26,"")</f>
        <v>110.104339038031</v>
      </c>
      <c r="F26" s="23" t="n">
        <f aca="false">IFERROR(C26*'Weights &amp; Assumptions'!$B$25/'Weights &amp; Assumptions'!$B$28+D26*'Weights &amp; Assumptions'!$B$26/'Weights &amp; Assumptions'!$B$28+E26*'Weights &amp; Assumptions'!$B$27/'Weights &amp; Assumptions'!$B$28,"")</f>
        <v>109.046787454607</v>
      </c>
      <c r="G26" s="31" t="n">
        <f aca="false">IFERROR((F26/F25-1)*100,"")</f>
        <v>0.632537839716485</v>
      </c>
      <c r="H26" s="31" t="n">
        <f aca="false">IFERROR((F26/F14-1)*100,"")</f>
        <v>7.99376705836341</v>
      </c>
      <c r="I26" s="31" t="n">
        <f aca="false">IFERROR((C26/C25-1)*100,"")</f>
        <v>-3.80556071828958</v>
      </c>
      <c r="J26" s="31" t="n">
        <f aca="false">IFERROR((D26/D25-1)*100,"")</f>
        <v>1.25652980653306</v>
      </c>
      <c r="K26" s="31" t="n">
        <f aca="false">IFERROR((E26/E25-1)*100,"")</f>
        <v>0.957381079818376</v>
      </c>
    </row>
    <row r="27" customFormat="false" ht="15" hidden="false" customHeight="false" outlineLevel="0" collapsed="false">
      <c r="A27" s="20" t="n">
        <v>38625</v>
      </c>
      <c r="B27" s="32" t="str">
        <f aca="false">IF(ISNUMBER('SA Data'!T27),"A","F")</f>
        <v>A</v>
      </c>
      <c r="C27" s="30" t="n">
        <f aca="false">IFERROR('SA Data'!R27,"")</f>
        <v>104.016730634339</v>
      </c>
      <c r="D27" s="30" t="n">
        <f aca="false">IFERROR('SA Data'!S27,"")</f>
        <v>106.372569382923</v>
      </c>
      <c r="E27" s="30" t="n">
        <f aca="false">IFERROR('SA Data'!T27,"")</f>
        <v>110.739794550672</v>
      </c>
      <c r="F27" s="23" t="n">
        <f aca="false">IFERROR(C27*'Weights &amp; Assumptions'!$B$25/'Weights &amp; Assumptions'!$B$28+D27*'Weights &amp; Assumptions'!$B$26/'Weights &amp; Assumptions'!$B$28+E27*'Weights &amp; Assumptions'!$B$27/'Weights &amp; Assumptions'!$B$28,"")</f>
        <v>109.014402433654</v>
      </c>
      <c r="G27" s="31" t="n">
        <f aca="false">IFERROR((F27/F26-1)*100,"")</f>
        <v>-0.0296982806270996</v>
      </c>
      <c r="H27" s="31" t="n">
        <f aca="false">IFERROR((F27/F15-1)*100,"")</f>
        <v>6.88681598213179</v>
      </c>
      <c r="I27" s="31" t="n">
        <f aca="false">IFERROR((C27/C26-1)*100,"")</f>
        <v>-1.03281111544038</v>
      </c>
      <c r="J27" s="31" t="n">
        <f aca="false">IFERROR((D27/D26-1)*100,"")</f>
        <v>-1.23764568704055</v>
      </c>
      <c r="K27" s="31" t="n">
        <f aca="false">IFERROR((E27/E26-1)*100,"")</f>
        <v>0.577139391773529</v>
      </c>
    </row>
    <row r="28" customFormat="false" ht="15" hidden="false" customHeight="false" outlineLevel="0" collapsed="false">
      <c r="A28" s="20" t="n">
        <v>38656</v>
      </c>
      <c r="B28" s="32" t="str">
        <f aca="false">IF(ISNUMBER('SA Data'!T28),"A","F")</f>
        <v>A</v>
      </c>
      <c r="C28" s="30" t="n">
        <f aca="false">IFERROR('SA Data'!R28,"")</f>
        <v>107.914640183608</v>
      </c>
      <c r="D28" s="30" t="n">
        <f aca="false">IFERROR('SA Data'!S28,"")</f>
        <v>107.803439497059</v>
      </c>
      <c r="E28" s="30" t="n">
        <f aca="false">IFERROR('SA Data'!T28,"")</f>
        <v>110.155256713204</v>
      </c>
      <c r="F28" s="23" t="n">
        <f aca="false">IFERROR(C28*'Weights &amp; Assumptions'!$B$25/'Weights &amp; Assumptions'!$B$28+D28*'Weights &amp; Assumptions'!$B$26/'Weights &amp; Assumptions'!$B$28+E28*'Weights &amp; Assumptions'!$B$27/'Weights &amp; Assumptions'!$B$28,"")</f>
        <v>109.341877842029</v>
      </c>
      <c r="G28" s="31" t="n">
        <f aca="false">IFERROR((F28/F27-1)*100,"")</f>
        <v>0.300396462361041</v>
      </c>
      <c r="H28" s="31" t="n">
        <f aca="false">IFERROR((F28/F16-1)*100,"")</f>
        <v>6.90801453713306</v>
      </c>
      <c r="I28" s="31" t="n">
        <f aca="false">IFERROR((C28/C27-1)*100,"")</f>
        <v>3.74738710349558</v>
      </c>
      <c r="J28" s="31" t="n">
        <f aca="false">IFERROR((D28/D27-1)*100,"")</f>
        <v>1.34514952721041</v>
      </c>
      <c r="K28" s="31" t="n">
        <f aca="false">IFERROR((E28/E27-1)*100,"")</f>
        <v>-0.527848042196388</v>
      </c>
    </row>
    <row r="29" customFormat="false" ht="15" hidden="false" customHeight="false" outlineLevel="0" collapsed="false">
      <c r="A29" s="20" t="n">
        <v>38686</v>
      </c>
      <c r="B29" s="32" t="str">
        <f aca="false">IF(ISNUMBER('SA Data'!T29),"A","F")</f>
        <v>A</v>
      </c>
      <c r="C29" s="30" t="n">
        <f aca="false">IFERROR('SA Data'!R29,"")</f>
        <v>115.566678818539</v>
      </c>
      <c r="D29" s="30" t="n">
        <f aca="false">IFERROR('SA Data'!S29,"")</f>
        <v>110.56127656973</v>
      </c>
      <c r="E29" s="30" t="n">
        <f aca="false">IFERROR('SA Data'!T29,"")</f>
        <v>112.643936101086</v>
      </c>
      <c r="F29" s="23" t="n">
        <f aca="false">IFERROR(C29*'Weights &amp; Assumptions'!$B$25/'Weights &amp; Assumptions'!$B$28+D29*'Weights &amp; Assumptions'!$B$26/'Weights &amp; Assumptions'!$B$28+E29*'Weights &amp; Assumptions'!$B$27/'Weights &amp; Assumptions'!$B$28,"")</f>
        <v>112.335341097754</v>
      </c>
      <c r="G29" s="31" t="n">
        <f aca="false">IFERROR((F29/F28-1)*100,"")</f>
        <v>2.73770975476537</v>
      </c>
      <c r="H29" s="31" t="n">
        <f aca="false">IFERROR((F29/F17-1)*100,"")</f>
        <v>8.72825025995025</v>
      </c>
      <c r="I29" s="31" t="n">
        <f aca="false">IFERROR((C29/C28-1)*100,"")</f>
        <v>7.09082532445224</v>
      </c>
      <c r="J29" s="31" t="n">
        <f aca="false">IFERROR((D29/D28-1)*100,"")</f>
        <v>2.55820879698976</v>
      </c>
      <c r="K29" s="31" t="n">
        <f aca="false">IFERROR((E29/E28-1)*100,"")</f>
        <v>2.25924705015366</v>
      </c>
    </row>
    <row r="30" customFormat="false" ht="15" hidden="false" customHeight="false" outlineLevel="0" collapsed="false">
      <c r="A30" s="20" t="n">
        <v>38717</v>
      </c>
      <c r="B30" s="32" t="str">
        <f aca="false">IF(ISNUMBER('SA Data'!T30),"A","F")</f>
        <v>A</v>
      </c>
      <c r="C30" s="30" t="n">
        <f aca="false">IFERROR('SA Data'!R30,"")</f>
        <v>132.654764283697</v>
      </c>
      <c r="D30" s="30" t="n">
        <f aca="false">IFERROR('SA Data'!S30,"")</f>
        <v>111.792882023357</v>
      </c>
      <c r="E30" s="30" t="n">
        <f aca="false">IFERROR('SA Data'!T30,"")</f>
        <v>114.232110057969</v>
      </c>
      <c r="F30" s="23" t="n">
        <f aca="false">IFERROR(C30*'Weights &amp; Assumptions'!$B$25/'Weights &amp; Assumptions'!$B$28+D30*'Weights &amp; Assumptions'!$B$26/'Weights &amp; Assumptions'!$B$28+E30*'Weights &amp; Assumptions'!$B$27/'Weights &amp; Assumptions'!$B$28,"")</f>
        <v>115.129152735569</v>
      </c>
      <c r="G30" s="31" t="n">
        <f aca="false">IFERROR((F30/F29-1)*100,"")</f>
        <v>2.48702822327618</v>
      </c>
      <c r="H30" s="31" t="n">
        <f aca="false">IFERROR((F30/F18-1)*100,"")</f>
        <v>9.81208209483206</v>
      </c>
      <c r="I30" s="31" t="n">
        <f aca="false">IFERROR((C30/C29-1)*100,"")</f>
        <v>14.7863429492416</v>
      </c>
      <c r="J30" s="31" t="n">
        <f aca="false">IFERROR((D30/D29-1)*100,"")</f>
        <v>1.11395733826367</v>
      </c>
      <c r="K30" s="31" t="n">
        <f aca="false">IFERROR((E30/E29-1)*100,"")</f>
        <v>1.40990630463962</v>
      </c>
    </row>
    <row r="31" customFormat="false" ht="15" hidden="false" customHeight="false" outlineLevel="0" collapsed="false">
      <c r="A31" s="20" t="n">
        <v>38748</v>
      </c>
      <c r="B31" s="32" t="str">
        <f aca="false">IF(ISNUMBER('SA Data'!T31),"A","F")</f>
        <v>A</v>
      </c>
      <c r="C31" s="30" t="n">
        <f aca="false">IFERROR('SA Data'!R31,"")</f>
        <v>127.323770776958</v>
      </c>
      <c r="D31" s="30" t="n">
        <f aca="false">IFERROR('SA Data'!S31,"")</f>
        <v>115.173092924293</v>
      </c>
      <c r="E31" s="30" t="n">
        <f aca="false">IFERROR('SA Data'!T31,"")</f>
        <v>114.216395446393</v>
      </c>
      <c r="F31" s="23" t="n">
        <f aca="false">IFERROR(C31*'Weights &amp; Assumptions'!$B$25/'Weights &amp; Assumptions'!$B$28+D31*'Weights &amp; Assumptions'!$B$26/'Weights &amp; Assumptions'!$B$28+E31*'Weights &amp; Assumptions'!$B$27/'Weights &amp; Assumptions'!$B$28,"")</f>
        <v>115.570517715687</v>
      </c>
      <c r="G31" s="31" t="n">
        <f aca="false">IFERROR((F31/F30-1)*100,"")</f>
        <v>0.383365090101595</v>
      </c>
      <c r="H31" s="31" t="n">
        <f aca="false">IFERROR((F31/F19-1)*100,"")</f>
        <v>9.1444990568218</v>
      </c>
      <c r="I31" s="31" t="n">
        <f aca="false">IFERROR((C31/C30-1)*100,"")</f>
        <v>-4.01869735740387</v>
      </c>
      <c r="J31" s="31" t="n">
        <f aca="false">IFERROR((D31/D30-1)*100,"")</f>
        <v>3.02363696127799</v>
      </c>
      <c r="K31" s="31" t="n">
        <f aca="false">IFERROR((E31/E30-1)*100,"")</f>
        <v>-0.0137567375478209</v>
      </c>
    </row>
    <row r="32" customFormat="false" ht="15" hidden="false" customHeight="false" outlineLevel="0" collapsed="false">
      <c r="A32" s="20" t="n">
        <v>38776</v>
      </c>
      <c r="B32" s="32" t="str">
        <f aca="false">IF(ISNUMBER('SA Data'!T32),"A","F")</f>
        <v>A</v>
      </c>
      <c r="C32" s="30" t="n">
        <f aca="false">IFERROR('SA Data'!R32,"")</f>
        <v>118.933443499692</v>
      </c>
      <c r="D32" s="30" t="n">
        <f aca="false">IFERROR('SA Data'!S32,"")</f>
        <v>115.314126314154</v>
      </c>
      <c r="E32" s="30" t="n">
        <f aca="false">IFERROR('SA Data'!T32,"")</f>
        <v>115.013831830393</v>
      </c>
      <c r="F32" s="23" t="n">
        <f aca="false">IFERROR(C32*'Weights &amp; Assumptions'!$B$25/'Weights &amp; Assumptions'!$B$28+D32*'Weights &amp; Assumptions'!$B$26/'Weights &amp; Assumptions'!$B$28+E32*'Weights &amp; Assumptions'!$B$27/'Weights &amp; Assumptions'!$B$28,"")</f>
        <v>115.422544060167</v>
      </c>
      <c r="G32" s="31" t="n">
        <f aca="false">IFERROR((F32/F31-1)*100,"")</f>
        <v>-0.128037546637316</v>
      </c>
      <c r="H32" s="31" t="n">
        <f aca="false">IFERROR((F32/F20-1)*100,"")</f>
        <v>8.22208770931079</v>
      </c>
      <c r="I32" s="31" t="n">
        <f aca="false">IFERROR((C32/C31-1)*100,"")</f>
        <v>-6.58975714123613</v>
      </c>
      <c r="J32" s="31" t="n">
        <f aca="false">IFERROR((D32/D31-1)*100,"")</f>
        <v>0.122453418832547</v>
      </c>
      <c r="K32" s="31" t="n">
        <f aca="false">IFERROR((E32/E31-1)*100,"")</f>
        <v>0.698180310176499</v>
      </c>
    </row>
    <row r="33" customFormat="false" ht="15" hidden="false" customHeight="false" outlineLevel="0" collapsed="false">
      <c r="A33" s="20" t="n">
        <v>38807</v>
      </c>
      <c r="B33" s="32" t="str">
        <f aca="false">IF(ISNUMBER('SA Data'!T33),"A","F")</f>
        <v>A</v>
      </c>
      <c r="C33" s="30" t="n">
        <f aca="false">IFERROR('SA Data'!R33,"")</f>
        <v>116.99166030373</v>
      </c>
      <c r="D33" s="30" t="n">
        <f aca="false">IFERROR('SA Data'!S33,"")</f>
        <v>117.083569025343</v>
      </c>
      <c r="E33" s="30" t="n">
        <f aca="false">IFERROR('SA Data'!T33,"")</f>
        <v>116.332212155318</v>
      </c>
      <c r="F33" s="23" t="n">
        <f aca="false">IFERROR(C33*'Weights &amp; Assumptions'!$B$25/'Weights &amp; Assumptions'!$B$28+D33*'Weights &amp; Assumptions'!$B$26/'Weights &amp; Assumptions'!$B$28+E33*'Weights &amp; Assumptions'!$B$27/'Weights &amp; Assumptions'!$B$28,"")</f>
        <v>116.587339320327</v>
      </c>
      <c r="G33" s="31" t="n">
        <f aca="false">IFERROR((F33/F32-1)*100,"")</f>
        <v>1.00915750007407</v>
      </c>
      <c r="H33" s="31" t="n">
        <f aca="false">IFERROR((F33/F21-1)*100,"")</f>
        <v>7.27340837755865</v>
      </c>
      <c r="I33" s="31" t="n">
        <f aca="false">IFERROR((C33/C32-1)*100,"")</f>
        <v>-1.63266373092662</v>
      </c>
      <c r="J33" s="31" t="n">
        <f aca="false">IFERROR((D33/D32-1)*100,"")</f>
        <v>1.53445442266882</v>
      </c>
      <c r="K33" s="31" t="n">
        <f aca="false">IFERROR((E33/E32-1)*100,"")</f>
        <v>1.14627980299666</v>
      </c>
    </row>
    <row r="34" customFormat="false" ht="15" hidden="false" customHeight="false" outlineLevel="0" collapsed="false">
      <c r="A34" s="20" t="n">
        <v>38837</v>
      </c>
      <c r="B34" s="32" t="str">
        <f aca="false">IF(ISNUMBER('SA Data'!T34),"A","F")</f>
        <v>A</v>
      </c>
      <c r="C34" s="30" t="n">
        <f aca="false">IFERROR('SA Data'!R34,"")</f>
        <v>114.109634810441</v>
      </c>
      <c r="D34" s="30" t="n">
        <f aca="false">IFERROR('SA Data'!S34,"")</f>
        <v>115.135123473578</v>
      </c>
      <c r="E34" s="30" t="n">
        <f aca="false">IFERROR('SA Data'!T34,"")</f>
        <v>115.46276808743</v>
      </c>
      <c r="F34" s="23" t="n">
        <f aca="false">IFERROR(C34*'Weights &amp; Assumptions'!$B$25/'Weights &amp; Assumptions'!$B$28+D34*'Weights &amp; Assumptions'!$B$26/'Weights &amp; Assumptions'!$B$28+E34*'Weights &amp; Assumptions'!$B$27/'Weights &amp; Assumptions'!$B$28,"")</f>
        <v>115.262112653242</v>
      </c>
      <c r="G34" s="31" t="n">
        <f aca="false">IFERROR((F34/F33-1)*100,"")</f>
        <v>-1.13668145684648</v>
      </c>
      <c r="H34" s="31" t="n">
        <f aca="false">IFERROR((F34/F22-1)*100,"")</f>
        <v>5.90561439002468</v>
      </c>
      <c r="I34" s="31" t="n">
        <f aca="false">IFERROR((C34/C33-1)*100,"")</f>
        <v>-2.46344524541893</v>
      </c>
      <c r="J34" s="31" t="n">
        <f aca="false">IFERROR((D34/D33-1)*100,"")</f>
        <v>-1.66414943444657</v>
      </c>
      <c r="K34" s="31" t="n">
        <f aca="false">IFERROR((E34/E33-1)*100,"")</f>
        <v>-0.747380327236402</v>
      </c>
    </row>
    <row r="35" customFormat="false" ht="15" hidden="false" customHeight="false" outlineLevel="0" collapsed="false">
      <c r="A35" s="20" t="n">
        <v>38868</v>
      </c>
      <c r="B35" s="32" t="str">
        <f aca="false">IF(ISNUMBER('SA Data'!T35),"A","F")</f>
        <v>A</v>
      </c>
      <c r="C35" s="30" t="n">
        <f aca="false">IFERROR('SA Data'!R35,"")</f>
        <v>114.450660955136</v>
      </c>
      <c r="D35" s="30" t="n">
        <f aca="false">IFERROR('SA Data'!S35,"")</f>
        <v>116.743911489852</v>
      </c>
      <c r="E35" s="30" t="n">
        <f aca="false">IFERROR('SA Data'!T35,"")</f>
        <v>117.246432532502</v>
      </c>
      <c r="F35" s="23" t="n">
        <f aca="false">IFERROR(C35*'Weights &amp; Assumptions'!$B$25/'Weights &amp; Assumptions'!$B$28+D35*'Weights &amp; Assumptions'!$B$26/'Weights &amp; Assumptions'!$B$28+E35*'Weights &amp; Assumptions'!$B$27/'Weights &amp; Assumptions'!$B$28,"")</f>
        <v>116.878235847164</v>
      </c>
      <c r="G35" s="31" t="n">
        <f aca="false">IFERROR((F35/F34-1)*100,"")</f>
        <v>1.40212872792254</v>
      </c>
      <c r="H35" s="31" t="n">
        <f aca="false">IFERROR((F35/F23-1)*100,"")</f>
        <v>6.79103456266004</v>
      </c>
      <c r="I35" s="31" t="n">
        <f aca="false">IFERROR((C35/C34-1)*100,"")</f>
        <v>0.298858326259199</v>
      </c>
      <c r="J35" s="31" t="n">
        <f aca="false">IFERROR((D35/D34-1)*100,"")</f>
        <v>1.39730428711755</v>
      </c>
      <c r="K35" s="31" t="n">
        <f aca="false">IFERROR((E35/E34-1)*100,"")</f>
        <v>1.54479619241532</v>
      </c>
    </row>
    <row r="36" customFormat="false" ht="15" hidden="false" customHeight="false" outlineLevel="0" collapsed="false">
      <c r="A36" s="20" t="n">
        <v>38898</v>
      </c>
      <c r="B36" s="32" t="str">
        <f aca="false">IF(ISNUMBER('SA Data'!T36),"A","F")</f>
        <v>A</v>
      </c>
      <c r="C36" s="30" t="n">
        <f aca="false">IFERROR('SA Data'!R36,"")</f>
        <v>115.373322549511</v>
      </c>
      <c r="D36" s="30" t="n">
        <f aca="false">IFERROR('SA Data'!S36,"")</f>
        <v>117.844107334122</v>
      </c>
      <c r="E36" s="30" t="n">
        <f aca="false">IFERROR('SA Data'!T36,"")</f>
        <v>117.835647390043</v>
      </c>
      <c r="F36" s="23" t="n">
        <f aca="false">IFERROR(C36*'Weights &amp; Assumptions'!$B$25/'Weights &amp; Assumptions'!$B$28+D36*'Weights &amp; Assumptions'!$B$26/'Weights &amp; Assumptions'!$B$28+E36*'Weights &amp; Assumptions'!$B$27/'Weights &amp; Assumptions'!$B$28,"")</f>
        <v>117.63130593369</v>
      </c>
      <c r="G36" s="31" t="n">
        <f aca="false">IFERROR((F36/F35-1)*100,"")</f>
        <v>0.644320203045634</v>
      </c>
      <c r="H36" s="31" t="n">
        <f aca="false">IFERROR((F36/F24-1)*100,"")</f>
        <v>6.84014579832577</v>
      </c>
      <c r="I36" s="31" t="n">
        <f aca="false">IFERROR((C36/C35-1)*100,"")</f>
        <v>0.806165370015943</v>
      </c>
      <c r="J36" s="31" t="n">
        <f aca="false">IFERROR((D36/D35-1)*100,"")</f>
        <v>0.942401047069352</v>
      </c>
      <c r="K36" s="31" t="n">
        <f aca="false">IFERROR((E36/E35-1)*100,"")</f>
        <v>0.502543953631651</v>
      </c>
    </row>
    <row r="37" customFormat="false" ht="15" hidden="false" customHeight="false" outlineLevel="0" collapsed="false">
      <c r="A37" s="20" t="n">
        <v>38929</v>
      </c>
      <c r="B37" s="32" t="str">
        <f aca="false">IF(ISNUMBER('SA Data'!T37),"A","F")</f>
        <v>A</v>
      </c>
      <c r="C37" s="30" t="n">
        <f aca="false">IFERROR('SA Data'!R37,"")</f>
        <v>117.732386476579</v>
      </c>
      <c r="D37" s="30" t="n">
        <f aca="false">IFERROR('SA Data'!S37,"")</f>
        <v>117.916321233534</v>
      </c>
      <c r="E37" s="30" t="n">
        <f aca="false">IFERROR('SA Data'!T37,"")</f>
        <v>118.359743127262</v>
      </c>
      <c r="F37" s="23" t="n">
        <f aca="false">IFERROR(C37*'Weights &amp; Assumptions'!$B$25/'Weights &amp; Assumptions'!$B$28+D37*'Weights &amp; Assumptions'!$B$26/'Weights &amp; Assumptions'!$B$28+E37*'Weights &amp; Assumptions'!$B$27/'Weights &amp; Assumptions'!$B$28,"")</f>
        <v>118.189193754875</v>
      </c>
      <c r="G37" s="31" t="n">
        <f aca="false">IFERROR((F37/F36-1)*100,"")</f>
        <v>0.474268152306201</v>
      </c>
      <c r="H37" s="31" t="n">
        <f aca="false">IFERROR((F37/F25-1)*100,"")</f>
        <v>9.06949934434367</v>
      </c>
      <c r="I37" s="31" t="n">
        <f aca="false">IFERROR((C37/C36-1)*100,"")</f>
        <v>2.04472218961695</v>
      </c>
      <c r="J37" s="31" t="n">
        <f aca="false">IFERROR((D37/D36-1)*100,"")</f>
        <v>0.0612791772494958</v>
      </c>
      <c r="K37" s="31" t="n">
        <f aca="false">IFERROR((E37/E36-1)*100,"")</f>
        <v>0.444768411620311</v>
      </c>
    </row>
    <row r="38" customFormat="false" ht="15" hidden="false" customHeight="false" outlineLevel="0" collapsed="false">
      <c r="A38" s="20" t="n">
        <v>38960</v>
      </c>
      <c r="B38" s="32" t="str">
        <f aca="false">IF(ISNUMBER('SA Data'!T38),"A","F")</f>
        <v>A</v>
      </c>
      <c r="C38" s="30" t="n">
        <f aca="false">IFERROR('SA Data'!R38,"")</f>
        <v>121.937577316195</v>
      </c>
      <c r="D38" s="30" t="n">
        <f aca="false">IFERROR('SA Data'!S38,"")</f>
        <v>118.148913762581</v>
      </c>
      <c r="E38" s="30" t="n">
        <f aca="false">IFERROR('SA Data'!T38,"")</f>
        <v>119.989249609056</v>
      </c>
      <c r="F38" s="23" t="n">
        <f aca="false">IFERROR(C38*'Weights &amp; Assumptions'!$B$25/'Weights &amp; Assumptions'!$B$28+D38*'Weights &amp; Assumptions'!$B$26/'Weights &amp; Assumptions'!$B$28+E38*'Weights &amp; Assumptions'!$B$27/'Weights &amp; Assumptions'!$B$28,"")</f>
        <v>119.663338476212</v>
      </c>
      <c r="G38" s="31" t="n">
        <f aca="false">IFERROR((F38/F37-1)*100,"")</f>
        <v>1.24727538491691</v>
      </c>
      <c r="H38" s="31" t="n">
        <f aca="false">IFERROR((F38/F26-1)*100,"")</f>
        <v>9.73577605486424</v>
      </c>
      <c r="I38" s="31" t="n">
        <f aca="false">IFERROR((C38/C37-1)*100,"")</f>
        <v>3.57182162484468</v>
      </c>
      <c r="J38" s="31" t="n">
        <f aca="false">IFERROR((D38/D37-1)*100,"")</f>
        <v>0.197252192583353</v>
      </c>
      <c r="K38" s="31" t="n">
        <f aca="false">IFERROR((E38/E37-1)*100,"")</f>
        <v>1.37674046828713</v>
      </c>
    </row>
    <row r="39" customFormat="false" ht="15" hidden="false" customHeight="false" outlineLevel="0" collapsed="false">
      <c r="A39" s="20" t="n">
        <v>38990</v>
      </c>
      <c r="B39" s="32" t="str">
        <f aca="false">IF(ISNUMBER('SA Data'!T39),"A","F")</f>
        <v>A</v>
      </c>
      <c r="C39" s="30" t="n">
        <f aca="false">IFERROR('SA Data'!R39,"")</f>
        <v>121.557337446857</v>
      </c>
      <c r="D39" s="30" t="n">
        <f aca="false">IFERROR('SA Data'!S39,"")</f>
        <v>117.413208399168</v>
      </c>
      <c r="E39" s="30" t="n">
        <f aca="false">IFERROR('SA Data'!T39,"")</f>
        <v>119.683847703742</v>
      </c>
      <c r="F39" s="23" t="n">
        <f aca="false">IFERROR(C39*'Weights &amp; Assumptions'!$B$25/'Weights &amp; Assumptions'!$B$28+D39*'Weights &amp; Assumptions'!$B$26/'Weights &amp; Assumptions'!$B$28+E39*'Weights &amp; Assumptions'!$B$27/'Weights &amp; Assumptions'!$B$28,"")</f>
        <v>119.237232397316</v>
      </c>
      <c r="G39" s="31" t="n">
        <f aca="false">IFERROR((F39/F38-1)*100,"")</f>
        <v>-0.356087406821404</v>
      </c>
      <c r="H39" s="31" t="n">
        <f aca="false">IFERROR((F39/F27-1)*100,"")</f>
        <v>9.37750401364004</v>
      </c>
      <c r="I39" s="31" t="n">
        <f aca="false">IFERROR((C39/C38-1)*100,"")</f>
        <v>-0.311831576210753</v>
      </c>
      <c r="J39" s="31" t="n">
        <f aca="false">IFERROR((D39/D38-1)*100,"")</f>
        <v>-0.622693294405141</v>
      </c>
      <c r="K39" s="31" t="n">
        <f aca="false">IFERROR((E39/E38-1)*100,"")</f>
        <v>-0.254524389734212</v>
      </c>
    </row>
    <row r="40" customFormat="false" ht="15" hidden="false" customHeight="false" outlineLevel="0" collapsed="false">
      <c r="A40" s="20" t="n">
        <v>39021</v>
      </c>
      <c r="B40" s="32" t="str">
        <f aca="false">IF(ISNUMBER('SA Data'!T40),"A","F")</f>
        <v>A</v>
      </c>
      <c r="C40" s="30" t="n">
        <f aca="false">IFERROR('SA Data'!R40,"")</f>
        <v>114.834582074512</v>
      </c>
      <c r="D40" s="30" t="n">
        <f aca="false">IFERROR('SA Data'!S40,"")</f>
        <v>118.707679919694</v>
      </c>
      <c r="E40" s="30" t="n">
        <f aca="false">IFERROR('SA Data'!T40,"")</f>
        <v>120.943250466765</v>
      </c>
      <c r="F40" s="23" t="n">
        <f aca="false">IFERROR(C40*'Weights &amp; Assumptions'!$B$25/'Weights &amp; Assumptions'!$B$28+D40*'Weights &amp; Assumptions'!$B$26/'Weights &amp; Assumptions'!$B$28+E40*'Weights &amp; Assumptions'!$B$27/'Weights &amp; Assumptions'!$B$28,"")</f>
        <v>119.83625084525</v>
      </c>
      <c r="G40" s="31" t="n">
        <f aca="false">IFERROR((F40/F39-1)*100,"")</f>
        <v>0.50237533687274</v>
      </c>
      <c r="H40" s="31" t="n">
        <f aca="false">IFERROR((F40/F28-1)*100,"")</f>
        <v>9.59776181856171</v>
      </c>
      <c r="I40" s="31" t="n">
        <f aca="false">IFERROR((C40/C39-1)*100,"")</f>
        <v>-5.530522067649</v>
      </c>
      <c r="J40" s="31" t="n">
        <f aca="false">IFERROR((D40/D39-1)*100,"")</f>
        <v>1.10249224782641</v>
      </c>
      <c r="K40" s="31" t="n">
        <f aca="false">IFERROR((E40/E39-1)*100,"")</f>
        <v>1.05227462785182</v>
      </c>
    </row>
    <row r="41" customFormat="false" ht="15" hidden="false" customHeight="false" outlineLevel="0" collapsed="false">
      <c r="A41" s="20" t="n">
        <v>39051</v>
      </c>
      <c r="B41" s="32" t="str">
        <f aca="false">IF(ISNUMBER('SA Data'!T41),"A","F")</f>
        <v>A</v>
      </c>
      <c r="C41" s="30" t="n">
        <f aca="false">IFERROR('SA Data'!R41,"")</f>
        <v>117.131655516974</v>
      </c>
      <c r="D41" s="30" t="n">
        <f aca="false">IFERROR('SA Data'!S41,"")</f>
        <v>120.253215289353</v>
      </c>
      <c r="E41" s="30" t="n">
        <f aca="false">IFERROR('SA Data'!T41,"")</f>
        <v>122.564233347393</v>
      </c>
      <c r="F41" s="23" t="n">
        <f aca="false">IFERROR(C41*'Weights &amp; Assumptions'!$B$25/'Weights &amp; Assumptions'!$B$28+D41*'Weights &amp; Assumptions'!$B$26/'Weights &amp; Assumptions'!$B$28+E41*'Weights &amp; Assumptions'!$B$27/'Weights &amp; Assumptions'!$B$28,"")</f>
        <v>121.493895475561</v>
      </c>
      <c r="G41" s="31" t="n">
        <f aca="false">IFERROR((F41/F40-1)*100,"")</f>
        <v>1.38325808644617</v>
      </c>
      <c r="H41" s="31" t="n">
        <f aca="false">IFERROR((F41/F29-1)*100,"")</f>
        <v>8.15287004811502</v>
      </c>
      <c r="I41" s="31" t="n">
        <f aca="false">IFERROR((C41/C40-1)*100,"")</f>
        <v>2.00033247908884</v>
      </c>
      <c r="J41" s="31" t="n">
        <f aca="false">IFERROR((D41/D40-1)*100,"")</f>
        <v>1.30196746386138</v>
      </c>
      <c r="K41" s="31" t="n">
        <f aca="false">IFERROR((E41/E40-1)*100,"")</f>
        <v>1.34028387228853</v>
      </c>
    </row>
    <row r="42" customFormat="false" ht="15" hidden="false" customHeight="false" outlineLevel="0" collapsed="false">
      <c r="A42" s="20" t="n">
        <v>39082</v>
      </c>
      <c r="B42" s="32" t="str">
        <f aca="false">IF(ISNUMBER('SA Data'!T42),"A","F")</f>
        <v>A</v>
      </c>
      <c r="C42" s="30" t="n">
        <f aca="false">IFERROR('SA Data'!R42,"")</f>
        <v>127.027051801414</v>
      </c>
      <c r="D42" s="30" t="n">
        <f aca="false">IFERROR('SA Data'!S42,"")</f>
        <v>122.059807543407</v>
      </c>
      <c r="E42" s="30" t="n">
        <f aca="false">IFERROR('SA Data'!T42,"")</f>
        <v>123.184683227008</v>
      </c>
      <c r="F42" s="23" t="n">
        <f aca="false">IFERROR(C42*'Weights &amp; Assumptions'!$B$25/'Weights &amp; Assumptions'!$B$28+D42*'Weights &amp; Assumptions'!$B$26/'Weights &amp; Assumptions'!$B$28+E42*'Weights &amp; Assumptions'!$B$27/'Weights &amp; Assumptions'!$B$28,"")</f>
        <v>123.20793705423</v>
      </c>
      <c r="G42" s="31" t="n">
        <f aca="false">IFERROR((F42/F41-1)*100,"")</f>
        <v>1.41080469266381</v>
      </c>
      <c r="H42" s="31" t="n">
        <f aca="false">IFERROR((F42/F30-1)*100,"")</f>
        <v>7.01714911184723</v>
      </c>
      <c r="I42" s="31" t="n">
        <f aca="false">IFERROR((C42/C41-1)*100,"")</f>
        <v>8.44809734888956</v>
      </c>
      <c r="J42" s="31" t="n">
        <f aca="false">IFERROR((D42/D41-1)*100,"")</f>
        <v>1.50232345115027</v>
      </c>
      <c r="K42" s="31" t="n">
        <f aca="false">IFERROR((E42/E41-1)*100,"")</f>
        <v>0.506224257004018</v>
      </c>
    </row>
    <row r="43" customFormat="false" ht="15" hidden="false" customHeight="false" outlineLevel="0" collapsed="false">
      <c r="A43" s="20" t="n">
        <v>39113</v>
      </c>
      <c r="B43" s="32" t="str">
        <f aca="false">IF(ISNUMBER('SA Data'!T43),"A","F")</f>
        <v>A</v>
      </c>
      <c r="C43" s="30" t="n">
        <f aca="false">IFERROR('SA Data'!R43,"")</f>
        <v>128.007238868453</v>
      </c>
      <c r="D43" s="30" t="n">
        <f aca="false">IFERROR('SA Data'!S43,"")</f>
        <v>121.688484195134</v>
      </c>
      <c r="E43" s="30" t="n">
        <f aca="false">IFERROR('SA Data'!T43,"")</f>
        <v>125.150453425098</v>
      </c>
      <c r="F43" s="23" t="n">
        <f aca="false">IFERROR(C43*'Weights &amp; Assumptions'!$B$25/'Weights &amp; Assumptions'!$B$28+D43*'Weights &amp; Assumptions'!$B$26/'Weights &amp; Assumptions'!$B$28+E43*'Weights &amp; Assumptions'!$B$27/'Weights &amp; Assumptions'!$B$28,"")</f>
        <v>124.46954200871</v>
      </c>
      <c r="G43" s="31" t="n">
        <f aca="false">IFERROR((F43/F42-1)*100,"")</f>
        <v>1.02396402751659</v>
      </c>
      <c r="H43" s="31" t="n">
        <f aca="false">IFERROR((F43/F31-1)*100,"")</f>
        <v>7.70008170675176</v>
      </c>
      <c r="I43" s="31" t="n">
        <f aca="false">IFERROR((C43/C42-1)*100,"")</f>
        <v>0.771636476749116</v>
      </c>
      <c r="J43" s="31" t="n">
        <f aca="false">IFERROR((D43/D42-1)*100,"")</f>
        <v>-0.304214266551683</v>
      </c>
      <c r="K43" s="31" t="n">
        <f aca="false">IFERROR((E43/E42-1)*100,"")</f>
        <v>1.59579108911418</v>
      </c>
    </row>
    <row r="44" customFormat="false" ht="15" hidden="false" customHeight="false" outlineLevel="0" collapsed="false">
      <c r="A44" s="20" t="n">
        <v>39141</v>
      </c>
      <c r="B44" s="32" t="str">
        <f aca="false">IF(ISNUMBER('SA Data'!T44),"A","F")</f>
        <v>A</v>
      </c>
      <c r="C44" s="30" t="n">
        <f aca="false">IFERROR('SA Data'!R44,"")</f>
        <v>122.619088388606</v>
      </c>
      <c r="D44" s="30" t="n">
        <f aca="false">IFERROR('SA Data'!S44,"")</f>
        <v>123.780752830524</v>
      </c>
      <c r="E44" s="30" t="n">
        <f aca="false">IFERROR('SA Data'!T44,"")</f>
        <v>125.669156548678</v>
      </c>
      <c r="F44" s="23" t="n">
        <f aca="false">IFERROR(C44*'Weights &amp; Assumptions'!$B$25/'Weights &amp; Assumptions'!$B$28+D44*'Weights &amp; Assumptions'!$B$26/'Weights &amp; Assumptions'!$B$28+E44*'Weights &amp; Assumptions'!$B$27/'Weights &amp; Assumptions'!$B$28,"")</f>
        <v>124.911093756181</v>
      </c>
      <c r="G44" s="31" t="n">
        <f aca="false">IFERROR((F44/F43-1)*100,"")</f>
        <v>0.354746824279006</v>
      </c>
      <c r="H44" s="31" t="n">
        <f aca="false">IFERROR((F44/F32-1)*100,"")</f>
        <v>8.22070746514427</v>
      </c>
      <c r="I44" s="31" t="n">
        <f aca="false">IFERROR((C44/C43-1)*100,"")</f>
        <v>-4.20925451363308</v>
      </c>
      <c r="J44" s="31" t="n">
        <f aca="false">IFERROR((D44/D43-1)*100,"")</f>
        <v>1.71936453085761</v>
      </c>
      <c r="K44" s="31" t="n">
        <f aca="false">IFERROR((E44/E43-1)*100,"")</f>
        <v>0.414463639070894</v>
      </c>
    </row>
    <row r="45" customFormat="false" ht="15" hidden="false" customHeight="false" outlineLevel="0" collapsed="false">
      <c r="A45" s="20" t="n">
        <v>39172</v>
      </c>
      <c r="B45" s="32" t="str">
        <f aca="false">IF(ISNUMBER('SA Data'!T45),"A","F")</f>
        <v>A</v>
      </c>
      <c r="C45" s="30" t="n">
        <f aca="false">IFERROR('SA Data'!R45,"")</f>
        <v>124.282789431014</v>
      </c>
      <c r="D45" s="30" t="n">
        <f aca="false">IFERROR('SA Data'!S45,"")</f>
        <v>125.466301179139</v>
      </c>
      <c r="E45" s="30" t="n">
        <f aca="false">IFERROR('SA Data'!T45,"")</f>
        <v>127.58041744342</v>
      </c>
      <c r="F45" s="23" t="n">
        <f aca="false">IFERROR(C45*'Weights &amp; Assumptions'!$B$25/'Weights &amp; Assumptions'!$B$28+D45*'Weights &amp; Assumptions'!$B$26/'Weights &amp; Assumptions'!$B$28+E45*'Weights &amp; Assumptions'!$B$27/'Weights &amp; Assumptions'!$B$28,"")</f>
        <v>126.741563264495</v>
      </c>
      <c r="G45" s="31" t="n">
        <f aca="false">IFERROR((F45/F44-1)*100,"")</f>
        <v>1.46541788504917</v>
      </c>
      <c r="H45" s="31" t="n">
        <f aca="false">IFERROR((F45/F33-1)*100,"")</f>
        <v>8.70954256556857</v>
      </c>
      <c r="I45" s="31" t="n">
        <f aca="false">IFERROR((C45/C44-1)*100,"")</f>
        <v>1.35680428249085</v>
      </c>
      <c r="J45" s="31" t="n">
        <f aca="false">IFERROR((D45/D44-1)*100,"")</f>
        <v>1.36172087345672</v>
      </c>
      <c r="K45" s="31" t="n">
        <f aca="false">IFERROR((E45/E44-1)*100,"")</f>
        <v>1.52086713019548</v>
      </c>
    </row>
    <row r="46" customFormat="false" ht="15" hidden="false" customHeight="false" outlineLevel="0" collapsed="false">
      <c r="A46" s="20" t="n">
        <v>39202</v>
      </c>
      <c r="B46" s="32" t="str">
        <f aca="false">IF(ISNUMBER('SA Data'!T46),"A","F")</f>
        <v>A</v>
      </c>
      <c r="C46" s="30" t="n">
        <f aca="false">IFERROR('SA Data'!R46,"")</f>
        <v>132.609978255839</v>
      </c>
      <c r="D46" s="30" t="n">
        <f aca="false">IFERROR('SA Data'!S46,"")</f>
        <v>123.766613197448</v>
      </c>
      <c r="E46" s="30" t="n">
        <f aca="false">IFERROR('SA Data'!T46,"")</f>
        <v>125.957324947175</v>
      </c>
      <c r="F46" s="23" t="n">
        <f aca="false">IFERROR(C46*'Weights &amp; Assumptions'!$B$25/'Weights &amp; Assumptions'!$B$28+D46*'Weights &amp; Assumptions'!$B$26/'Weights &amp; Assumptions'!$B$28+E46*'Weights &amp; Assumptions'!$B$27/'Weights &amp; Assumptions'!$B$28,"")</f>
        <v>125.932939574132</v>
      </c>
      <c r="G46" s="31" t="n">
        <f aca="false">IFERROR((F46/F45-1)*100,"")</f>
        <v>-0.638009875793622</v>
      </c>
      <c r="H46" s="31" t="n">
        <f aca="false">IFERROR((F46/F34-1)*100,"")</f>
        <v>9.25787899879322</v>
      </c>
      <c r="I46" s="31" t="n">
        <f aca="false">IFERROR((C46/C45-1)*100,"")</f>
        <v>6.70019466327463</v>
      </c>
      <c r="J46" s="31" t="n">
        <f aca="false">IFERROR((D46/D45-1)*100,"")</f>
        <v>-1.35469681158783</v>
      </c>
      <c r="K46" s="31" t="n">
        <f aca="false">IFERROR((E46/E45-1)*100,"")</f>
        <v>-1.2722113070099</v>
      </c>
    </row>
    <row r="47" customFormat="false" ht="15" hidden="false" customHeight="false" outlineLevel="0" collapsed="false">
      <c r="A47" s="20" t="n">
        <v>39233</v>
      </c>
      <c r="B47" s="32" t="str">
        <f aca="false">IF(ISNUMBER('SA Data'!T47),"A","F")</f>
        <v>A</v>
      </c>
      <c r="C47" s="30" t="n">
        <f aca="false">IFERROR('SA Data'!R47,"")</f>
        <v>134.487419987129</v>
      </c>
      <c r="D47" s="30" t="n">
        <f aca="false">IFERROR('SA Data'!S47,"")</f>
        <v>125.357127856414</v>
      </c>
      <c r="E47" s="30" t="n">
        <f aca="false">IFERROR('SA Data'!T47,"")</f>
        <v>128.255293651338</v>
      </c>
      <c r="F47" s="23" t="n">
        <f aca="false">IFERROR(C47*'Weights &amp; Assumptions'!$B$25/'Weights &amp; Assumptions'!$B$28+D47*'Weights &amp; Assumptions'!$B$26/'Weights &amp; Assumptions'!$B$28+E47*'Weights &amp; Assumptions'!$B$27/'Weights &amp; Assumptions'!$B$28,"")</f>
        <v>128.007501326767</v>
      </c>
      <c r="G47" s="31" t="n">
        <f aca="false">IFERROR((F47/F46-1)*100,"")</f>
        <v>1.64735434561494</v>
      </c>
      <c r="H47" s="31" t="n">
        <f aca="false">IFERROR((F47/F35-1)*100,"")</f>
        <v>9.52210255308497</v>
      </c>
      <c r="I47" s="31" t="n">
        <f aca="false">IFERROR((C47/C46-1)*100,"")</f>
        <v>1.41576203840981</v>
      </c>
      <c r="J47" s="31" t="n">
        <f aca="false">IFERROR((D47/D46-1)*100,"")</f>
        <v>1.28509184979342</v>
      </c>
      <c r="K47" s="31" t="n">
        <f aca="false">IFERROR((E47/E46-1)*100,"")</f>
        <v>1.82440259439196</v>
      </c>
    </row>
    <row r="48" customFormat="false" ht="15" hidden="false" customHeight="false" outlineLevel="0" collapsed="false">
      <c r="A48" s="20" t="n">
        <v>39263</v>
      </c>
      <c r="B48" s="32" t="str">
        <f aca="false">IF(ISNUMBER('SA Data'!T48),"A","F")</f>
        <v>A</v>
      </c>
      <c r="C48" s="30" t="n">
        <f aca="false">IFERROR('SA Data'!R48,"")</f>
        <v>133.90070887193</v>
      </c>
      <c r="D48" s="30" t="n">
        <f aca="false">IFERROR('SA Data'!S48,"")</f>
        <v>124.143666510106</v>
      </c>
      <c r="E48" s="30" t="n">
        <f aca="false">IFERROR('SA Data'!T48,"")</f>
        <v>128.761589870813</v>
      </c>
      <c r="F48" s="23" t="n">
        <f aca="false">IFERROR(C48*'Weights &amp; Assumptions'!$B$25/'Weights &amp; Assumptions'!$B$28+D48*'Weights &amp; Assumptions'!$B$26/'Weights &amp; Assumptions'!$B$28+E48*'Weights &amp; Assumptions'!$B$27/'Weights &amp; Assumptions'!$B$28,"")</f>
        <v>127.964779743513</v>
      </c>
      <c r="G48" s="31" t="n">
        <f aca="false">IFERROR((F48/F47-1)*100,"")</f>
        <v>-0.033374281046783</v>
      </c>
      <c r="H48" s="31" t="n">
        <f aca="false">IFERROR((F48/F36-1)*100,"")</f>
        <v>8.7846289963389</v>
      </c>
      <c r="I48" s="31" t="n">
        <f aca="false">IFERROR((C48/C47-1)*100,"")</f>
        <v>-0.436257246406668</v>
      </c>
      <c r="J48" s="31" t="n">
        <f aca="false">IFERROR((D48/D47-1)*100,"")</f>
        <v>-0.968003469014789</v>
      </c>
      <c r="K48" s="31" t="n">
        <f aca="false">IFERROR((E48/E47-1)*100,"")</f>
        <v>0.394756586695899</v>
      </c>
    </row>
    <row r="49" customFormat="false" ht="15" hidden="false" customHeight="false" outlineLevel="0" collapsed="false">
      <c r="A49" s="20" t="n">
        <v>39294</v>
      </c>
      <c r="B49" s="32" t="str">
        <f aca="false">IF(ISNUMBER('SA Data'!T49),"A","F")</f>
        <v>A</v>
      </c>
      <c r="C49" s="30" t="n">
        <f aca="false">IFERROR('SA Data'!R49,"")</f>
        <v>125.237033478875</v>
      </c>
      <c r="D49" s="30" t="n">
        <f aca="false">IFERROR('SA Data'!S49,"")</f>
        <v>122.564998515426</v>
      </c>
      <c r="E49" s="30" t="n">
        <f aca="false">IFERROR('SA Data'!T49,"")</f>
        <v>129.363656875128</v>
      </c>
      <c r="F49" s="23" t="n">
        <f aca="false">IFERROR(C49*'Weights &amp; Assumptions'!$B$25/'Weights &amp; Assumptions'!$B$28+D49*'Weights &amp; Assumptions'!$B$26/'Weights &amp; Assumptions'!$B$28+E49*'Weights &amp; Assumptions'!$B$27/'Weights &amp; Assumptions'!$B$28,"")</f>
        <v>127.209547720082</v>
      </c>
      <c r="G49" s="31" t="n">
        <f aca="false">IFERROR((F49/F48-1)*100,"")</f>
        <v>-0.590187413243415</v>
      </c>
      <c r="H49" s="31" t="n">
        <f aca="false">IFERROR((F49/F37-1)*100,"")</f>
        <v>7.63213088999917</v>
      </c>
      <c r="I49" s="31" t="n">
        <f aca="false">IFERROR((C49/C48-1)*100,"")</f>
        <v>-6.4702236948878</v>
      </c>
      <c r="J49" s="31" t="n">
        <f aca="false">IFERROR((D49/D48-1)*100,"")</f>
        <v>-1.27164602034018</v>
      </c>
      <c r="K49" s="31" t="n">
        <f aca="false">IFERROR((E49/E48-1)*100,"")</f>
        <v>0.467582766661923</v>
      </c>
    </row>
    <row r="50" customFormat="false" ht="15" hidden="false" customHeight="false" outlineLevel="0" collapsed="false">
      <c r="A50" s="20" t="n">
        <v>39325</v>
      </c>
      <c r="B50" s="32" t="str">
        <f aca="false">IF(ISNUMBER('SA Data'!T50),"A","F")</f>
        <v>A</v>
      </c>
      <c r="C50" s="30" t="n">
        <f aca="false">IFERROR('SA Data'!R50,"")</f>
        <v>121.141048897852</v>
      </c>
      <c r="D50" s="30" t="n">
        <f aca="false">IFERROR('SA Data'!S50,"")</f>
        <v>125.94345399947</v>
      </c>
      <c r="E50" s="30" t="n">
        <f aca="false">IFERROR('SA Data'!T50,"")</f>
        <v>130.752409413039</v>
      </c>
      <c r="F50" s="23" t="n">
        <f aca="false">IFERROR(C50*'Weights &amp; Assumptions'!$B$25/'Weights &amp; Assumptions'!$B$28+D50*'Weights &amp; Assumptions'!$B$26/'Weights &amp; Assumptions'!$B$28+E50*'Weights &amp; Assumptions'!$B$27/'Weights &amp; Assumptions'!$B$28,"")</f>
        <v>128.667223019161</v>
      </c>
      <c r="G50" s="31" t="n">
        <f aca="false">IFERROR((F50/F49-1)*100,"")</f>
        <v>1.14588513614298</v>
      </c>
      <c r="H50" s="31" t="n">
        <f aca="false">IFERROR((F50/F38-1)*100,"")</f>
        <v>7.52434676953255</v>
      </c>
      <c r="I50" s="31" t="n">
        <f aca="false">IFERROR((C50/C49-1)*100,"")</f>
        <v>-3.27058575825707</v>
      </c>
      <c r="J50" s="31" t="n">
        <f aca="false">IFERROR((D50/D49-1)*100,"")</f>
        <v>2.75646026595311</v>
      </c>
      <c r="K50" s="31" t="n">
        <f aca="false">IFERROR((E50/E49-1)*100,"")</f>
        <v>1.07352603618112</v>
      </c>
    </row>
    <row r="51" customFormat="false" ht="15" hidden="false" customHeight="false" outlineLevel="0" collapsed="false">
      <c r="A51" s="20" t="n">
        <v>39355</v>
      </c>
      <c r="B51" s="32" t="str">
        <f aca="false">IF(ISNUMBER('SA Data'!T51),"A","F")</f>
        <v>A</v>
      </c>
      <c r="C51" s="30" t="n">
        <f aca="false">IFERROR('SA Data'!R51,"")</f>
        <v>117.612438716318</v>
      </c>
      <c r="D51" s="30" t="n">
        <f aca="false">IFERROR('SA Data'!S51,"")</f>
        <v>126.630215655831</v>
      </c>
      <c r="E51" s="30" t="n">
        <f aca="false">IFERROR('SA Data'!T51,"")</f>
        <v>129.180619046639</v>
      </c>
      <c r="F51" s="23" t="n">
        <f aca="false">IFERROR(C51*'Weights &amp; Assumptions'!$B$25/'Weights &amp; Assumptions'!$B$28+D51*'Weights &amp; Assumptions'!$B$26/'Weights &amp; Assumptions'!$B$28+E51*'Weights &amp; Assumptions'!$B$27/'Weights &amp; Assumptions'!$B$28,"")</f>
        <v>127.531842277422</v>
      </c>
      <c r="G51" s="31" t="n">
        <f aca="false">IFERROR((F51/F50-1)*100,"")</f>
        <v>-0.882416450046986</v>
      </c>
      <c r="H51" s="31" t="n">
        <f aca="false">IFERROR((F51/F39-1)*100,"")</f>
        <v>6.95639249028097</v>
      </c>
      <c r="I51" s="31" t="n">
        <f aca="false">IFERROR((C51/C50-1)*100,"")</f>
        <v>-2.91281131675626</v>
      </c>
      <c r="J51" s="31" t="n">
        <f aca="false">IFERROR((D51/D50-1)*100,"")</f>
        <v>0.545293649294587</v>
      </c>
      <c r="K51" s="31" t="n">
        <f aca="false">IFERROR((E51/E50-1)*100,"")</f>
        <v>-1.20211197136273</v>
      </c>
    </row>
    <row r="52" customFormat="false" ht="15" hidden="false" customHeight="false" outlineLevel="0" collapsed="false">
      <c r="A52" s="20" t="n">
        <v>39386</v>
      </c>
      <c r="B52" s="32" t="str">
        <f aca="false">IF(ISNUMBER('SA Data'!T52),"A","F")</f>
        <v>A</v>
      </c>
      <c r="C52" s="30" t="n">
        <f aca="false">IFERROR('SA Data'!R52,"")</f>
        <v>120.855282150768</v>
      </c>
      <c r="D52" s="30" t="n">
        <f aca="false">IFERROR('SA Data'!S52,"")</f>
        <v>130.521188034763</v>
      </c>
      <c r="E52" s="30" t="n">
        <f aca="false">IFERROR('SA Data'!T52,"")</f>
        <v>132.685581920295</v>
      </c>
      <c r="F52" s="23" t="n">
        <f aca="false">IFERROR(C52*'Weights &amp; Assumptions'!$B$25/'Weights &amp; Assumptions'!$B$28+D52*'Weights &amp; Assumptions'!$B$26/'Weights &amp; Assumptions'!$B$28+E52*'Weights &amp; Assumptions'!$B$27/'Weights &amp; Assumptions'!$B$28,"")</f>
        <v>131.117459782324</v>
      </c>
      <c r="G52" s="31" t="n">
        <f aca="false">IFERROR((F52/F51-1)*100,"")</f>
        <v>2.81154685831486</v>
      </c>
      <c r="H52" s="31" t="n">
        <f aca="false">IFERROR((F52/F40-1)*100,"")</f>
        <v>9.41385336866212</v>
      </c>
      <c r="I52" s="31" t="n">
        <f aca="false">IFERROR((C52/C51-1)*100,"")</f>
        <v>2.75722829136436</v>
      </c>
      <c r="J52" s="31" t="n">
        <f aca="false">IFERROR((D52/D51-1)*100,"")</f>
        <v>3.07270453483832</v>
      </c>
      <c r="K52" s="31" t="n">
        <f aca="false">IFERROR((E52/E51-1)*100,"")</f>
        <v>2.71322656565882</v>
      </c>
    </row>
    <row r="53" customFormat="false" ht="15" hidden="false" customHeight="false" outlineLevel="0" collapsed="false">
      <c r="A53" s="20" t="n">
        <v>39416</v>
      </c>
      <c r="B53" s="32" t="str">
        <f aca="false">IF(ISNUMBER('SA Data'!T53),"A","F")</f>
        <v>A</v>
      </c>
      <c r="C53" s="30" t="n">
        <f aca="false">IFERROR('SA Data'!R53,"")</f>
        <v>121.18852251658</v>
      </c>
      <c r="D53" s="30" t="n">
        <f aca="false">IFERROR('SA Data'!S53,"")</f>
        <v>130.977859987971</v>
      </c>
      <c r="E53" s="30" t="n">
        <f aca="false">IFERROR('SA Data'!T53,"")</f>
        <v>133.290559396548</v>
      </c>
      <c r="F53" s="23" t="n">
        <f aca="false">IFERROR(C53*'Weights &amp; Assumptions'!$B$25/'Weights &amp; Assumptions'!$B$28+D53*'Weights &amp; Assumptions'!$B$26/'Weights &amp; Assumptions'!$B$28+E53*'Weights &amp; Assumptions'!$B$27/'Weights &amp; Assumptions'!$B$28,"")</f>
        <v>131.660201259669</v>
      </c>
      <c r="G53" s="31" t="n">
        <f aca="false">IFERROR((F53/F52-1)*100,"")</f>
        <v>0.413935320472114</v>
      </c>
      <c r="H53" s="31" t="n">
        <f aca="false">IFERROR((F53/F41-1)*100,"")</f>
        <v>8.36775028433669</v>
      </c>
      <c r="I53" s="31" t="n">
        <f aca="false">IFERROR((C53/C52-1)*100,"")</f>
        <v>0.275735044329251</v>
      </c>
      <c r="J53" s="31" t="n">
        <f aca="false">IFERROR((D53/D52-1)*100,"")</f>
        <v>0.349883386815564</v>
      </c>
      <c r="K53" s="31" t="n">
        <f aca="false">IFERROR((E53/E52-1)*100,"")</f>
        <v>0.455948165201869</v>
      </c>
    </row>
    <row r="54" customFormat="false" ht="15" hidden="false" customHeight="false" outlineLevel="0" collapsed="false">
      <c r="A54" s="20" t="n">
        <v>39447</v>
      </c>
      <c r="B54" s="32" t="str">
        <f aca="false">IF(ISNUMBER('SA Data'!T54),"A","F")</f>
        <v>A</v>
      </c>
      <c r="C54" s="30" t="n">
        <f aca="false">IFERROR('SA Data'!R54,"")</f>
        <v>122.291789894159</v>
      </c>
      <c r="D54" s="30" t="n">
        <f aca="false">IFERROR('SA Data'!S54,"")</f>
        <v>131.554143243697</v>
      </c>
      <c r="E54" s="30" t="n">
        <f aca="false">IFERROR('SA Data'!T54,"")</f>
        <v>132.323957042042</v>
      </c>
      <c r="F54" s="23" t="n">
        <f aca="false">IFERROR(C54*'Weights &amp; Assumptions'!$B$25/'Weights &amp; Assumptions'!$B$28+D54*'Weights &amp; Assumptions'!$B$26/'Weights &amp; Assumptions'!$B$28+E54*'Weights &amp; Assumptions'!$B$27/'Weights &amp; Assumptions'!$B$28,"")</f>
        <v>131.277542933367</v>
      </c>
      <c r="G54" s="31" t="n">
        <f aca="false">IFERROR((F54/F53-1)*100,"")</f>
        <v>-0.290640848669577</v>
      </c>
      <c r="H54" s="31" t="n">
        <f aca="false">IFERROR((F54/F42-1)*100,"")</f>
        <v>6.54958282077693</v>
      </c>
      <c r="I54" s="31" t="n">
        <f aca="false">IFERROR((C54/C53-1)*100,"")</f>
        <v>0.910372826294337</v>
      </c>
      <c r="J54" s="31" t="n">
        <f aca="false">IFERROR((D54/D53-1)*100,"")</f>
        <v>0.439985243138641</v>
      </c>
      <c r="K54" s="31" t="n">
        <f aca="false">IFERROR((E54/E53-1)*100,"")</f>
        <v>-0.72518440832019</v>
      </c>
    </row>
    <row r="55" customFormat="false" ht="15" hidden="false" customHeight="false" outlineLevel="0" collapsed="false">
      <c r="A55" s="20" t="n">
        <v>39478</v>
      </c>
      <c r="B55" s="32" t="str">
        <f aca="false">IF(ISNUMBER('SA Data'!T55),"A","F")</f>
        <v>A</v>
      </c>
      <c r="C55" s="30" t="n">
        <f aca="false">IFERROR('SA Data'!R55,"")</f>
        <v>118.301920540347</v>
      </c>
      <c r="D55" s="30" t="n">
        <f aca="false">IFERROR('SA Data'!S55,"")</f>
        <v>133.42024363001</v>
      </c>
      <c r="E55" s="30" t="n">
        <f aca="false">IFERROR('SA Data'!T55,"")</f>
        <v>135.299146523854</v>
      </c>
      <c r="F55" s="23" t="n">
        <f aca="false">IFERROR(C55*'Weights &amp; Assumptions'!$B$25/'Weights &amp; Assumptions'!$B$28+D55*'Weights &amp; Assumptions'!$B$26/'Weights &amp; Assumptions'!$B$28+E55*'Weights &amp; Assumptions'!$B$27/'Weights &amp; Assumptions'!$B$28,"")</f>
        <v>133.373432018316</v>
      </c>
      <c r="G55" s="31" t="n">
        <f aca="false">IFERROR((F55/F54-1)*100,"")</f>
        <v>1.59653284035943</v>
      </c>
      <c r="H55" s="31" t="n">
        <f aca="false">IFERROR((F55/F43-1)*100,"")</f>
        <v>7.15346892574085</v>
      </c>
      <c r="I55" s="31" t="n">
        <f aca="false">IFERROR((C55/C54-1)*100,"")</f>
        <v>-3.26258153328604</v>
      </c>
      <c r="J55" s="31" t="n">
        <f aca="false">IFERROR((D55/D54-1)*100,"")</f>
        <v>1.41850369764147</v>
      </c>
      <c r="K55" s="31" t="n">
        <f aca="false">IFERROR((E55/E54-1)*100,"")</f>
        <v>2.2484133246309</v>
      </c>
    </row>
    <row r="56" customFormat="false" ht="15" hidden="false" customHeight="false" outlineLevel="0" collapsed="false">
      <c r="A56" s="20" t="n">
        <v>39507</v>
      </c>
      <c r="B56" s="32" t="str">
        <f aca="false">IF(ISNUMBER('SA Data'!T56),"A","F")</f>
        <v>A</v>
      </c>
      <c r="C56" s="30" t="n">
        <f aca="false">IFERROR('SA Data'!R56,"")</f>
        <v>118.822528360154</v>
      </c>
      <c r="D56" s="30" t="n">
        <f aca="false">IFERROR('SA Data'!S56,"")</f>
        <v>133.925824379542</v>
      </c>
      <c r="E56" s="30" t="n">
        <f aca="false">IFERROR('SA Data'!T56,"")</f>
        <v>136.617964628832</v>
      </c>
      <c r="F56" s="23" t="n">
        <f aca="false">IFERROR(C56*'Weights &amp; Assumptions'!$B$25/'Weights &amp; Assumptions'!$B$28+D56*'Weights &amp; Assumptions'!$B$26/'Weights &amp; Assumptions'!$B$28+E56*'Weights &amp; Assumptions'!$B$27/'Weights &amp; Assumptions'!$B$28,"")</f>
        <v>134.409025597521</v>
      </c>
      <c r="G56" s="31" t="n">
        <f aca="false">IFERROR((F56/F55-1)*100,"")</f>
        <v>0.776461671214346</v>
      </c>
      <c r="H56" s="31" t="n">
        <f aca="false">IFERROR((F56/F44-1)*100,"")</f>
        <v>7.60375364247414</v>
      </c>
      <c r="I56" s="31" t="n">
        <f aca="false">IFERROR((C56/C55-1)*100,"")</f>
        <v>0.440067090567298</v>
      </c>
      <c r="J56" s="31" t="n">
        <f aca="false">IFERROR((D56/D55-1)*100,"")</f>
        <v>0.378938559679631</v>
      </c>
      <c r="K56" s="31" t="n">
        <f aca="false">IFERROR((E56/E55-1)*100,"")</f>
        <v>0.974742368197457</v>
      </c>
    </row>
    <row r="57" customFormat="false" ht="15" hidden="false" customHeight="false" outlineLevel="0" collapsed="false">
      <c r="A57" s="20" t="n">
        <v>39538</v>
      </c>
      <c r="B57" s="32" t="str">
        <f aca="false">IF(ISNUMBER('SA Data'!T57),"A","F")</f>
        <v>A</v>
      </c>
      <c r="C57" s="30" t="n">
        <f aca="false">IFERROR('SA Data'!R57,"")</f>
        <v>122.796098846927</v>
      </c>
      <c r="D57" s="30" t="n">
        <f aca="false">IFERROR('SA Data'!S57,"")</f>
        <v>128.699265065691</v>
      </c>
      <c r="E57" s="30" t="n">
        <f aca="false">IFERROR('SA Data'!T57,"")</f>
        <v>132.60142387398</v>
      </c>
      <c r="F57" s="23" t="n">
        <f aca="false">IFERROR(C57*'Weights &amp; Assumptions'!$B$25/'Weights &amp; Assumptions'!$B$28+D57*'Weights &amp; Assumptions'!$B$26/'Weights &amp; Assumptions'!$B$28+E57*'Weights &amp; Assumptions'!$B$27/'Weights &amp; Assumptions'!$B$28,"")</f>
        <v>130.741096753557</v>
      </c>
      <c r="G57" s="31" t="n">
        <f aca="false">IFERROR((F57/F56-1)*100,"")</f>
        <v>-2.72893046256246</v>
      </c>
      <c r="H57" s="31" t="n">
        <f aca="false">IFERROR((F57/F45-1)*100,"")</f>
        <v>3.15566053159344</v>
      </c>
      <c r="I57" s="31" t="n">
        <f aca="false">IFERROR((C57/C56-1)*100,"")</f>
        <v>3.34412214721478</v>
      </c>
      <c r="J57" s="31" t="n">
        <f aca="false">IFERROR((D57/D56-1)*100,"")</f>
        <v>-3.90257766794763</v>
      </c>
      <c r="K57" s="31" t="n">
        <f aca="false">IFERROR((E57/E56-1)*100,"")</f>
        <v>-2.93997994024011</v>
      </c>
    </row>
    <row r="58" customFormat="false" ht="15" hidden="false" customHeight="false" outlineLevel="0" collapsed="false">
      <c r="A58" s="20" t="n">
        <v>39568</v>
      </c>
      <c r="B58" s="32" t="str">
        <f aca="false">IF(ISNUMBER('SA Data'!T58),"A","F")</f>
        <v>A</v>
      </c>
      <c r="C58" s="30" t="n">
        <f aca="false">IFERROR('SA Data'!R58,"")</f>
        <v>133.304163715756</v>
      </c>
      <c r="D58" s="30" t="n">
        <f aca="false">IFERROR('SA Data'!S58,"")</f>
        <v>135.209088515399</v>
      </c>
      <c r="E58" s="30" t="n">
        <f aca="false">IFERROR('SA Data'!T58,"")</f>
        <v>138.661895251158</v>
      </c>
      <c r="F58" s="23" t="n">
        <f aca="false">IFERROR(C58*'Weights &amp; Assumptions'!$B$25/'Weights &amp; Assumptions'!$B$28+D58*'Weights &amp; Assumptions'!$B$26/'Weights &amp; Assumptions'!$B$28+E58*'Weights &amp; Assumptions'!$B$27/'Weights &amp; Assumptions'!$B$28,"")</f>
        <v>137.294215491406</v>
      </c>
      <c r="G58" s="31" t="n">
        <f aca="false">IFERROR((F58/F57-1)*100,"")</f>
        <v>5.01228680236776</v>
      </c>
      <c r="H58" s="31" t="n">
        <f aca="false">IFERROR((F58/F46-1)*100,"")</f>
        <v>9.02168722154406</v>
      </c>
      <c r="I58" s="31" t="n">
        <f aca="false">IFERROR((C58/C57-1)*100,"")</f>
        <v>8.55732793427622</v>
      </c>
      <c r="J58" s="31" t="n">
        <f aca="false">IFERROR((D58/D57-1)*100,"")</f>
        <v>5.05816676294502</v>
      </c>
      <c r="K58" s="31" t="n">
        <f aca="false">IFERROR((E58/E57-1)*100,"")</f>
        <v>4.57044215674336</v>
      </c>
    </row>
    <row r="59" customFormat="false" ht="15" hidden="false" customHeight="false" outlineLevel="0" collapsed="false">
      <c r="A59" s="20" t="n">
        <v>39599</v>
      </c>
      <c r="B59" s="32" t="str">
        <f aca="false">IF(ISNUMBER('SA Data'!T59),"A","F")</f>
        <v>A</v>
      </c>
      <c r="C59" s="30" t="n">
        <f aca="false">IFERROR('SA Data'!R59,"")</f>
        <v>133.411476734012</v>
      </c>
      <c r="D59" s="30" t="n">
        <f aca="false">IFERROR('SA Data'!S59,"")</f>
        <v>132.06099123071</v>
      </c>
      <c r="E59" s="30" t="n">
        <f aca="false">IFERROR('SA Data'!T59,"")</f>
        <v>137.129641144155</v>
      </c>
      <c r="F59" s="23" t="n">
        <f aca="false">IFERROR(C59*'Weights &amp; Assumptions'!$B$25/'Weights &amp; Assumptions'!$B$28+D59*'Weights &amp; Assumptions'!$B$26/'Weights &amp; Assumptions'!$B$28+E59*'Weights &amp; Assumptions'!$B$27/'Weights &amp; Assumptions'!$B$28,"")</f>
        <v>135.469841503895</v>
      </c>
      <c r="G59" s="31" t="n">
        <f aca="false">IFERROR((F59/F58-1)*100,"")</f>
        <v>-1.32880615616688</v>
      </c>
      <c r="H59" s="31" t="n">
        <f aca="false">IFERROR((F59/F47-1)*100,"")</f>
        <v>5.82961162414934</v>
      </c>
      <c r="I59" s="31" t="n">
        <f aca="false">IFERROR((C59/C58-1)*100,"")</f>
        <v>0.0805023753683187</v>
      </c>
      <c r="J59" s="31" t="n">
        <f aca="false">IFERROR((D59/D58-1)*100,"")</f>
        <v>-2.32831780707552</v>
      </c>
      <c r="K59" s="31" t="n">
        <f aca="false">IFERROR((E59/E58-1)*100,"")</f>
        <v>-1.10502896576444</v>
      </c>
    </row>
    <row r="60" customFormat="false" ht="15" hidden="false" customHeight="false" outlineLevel="0" collapsed="false">
      <c r="A60" s="20" t="n">
        <v>39629</v>
      </c>
      <c r="B60" s="32" t="str">
        <f aca="false">IF(ISNUMBER('SA Data'!T60),"A","F")</f>
        <v>A</v>
      </c>
      <c r="C60" s="30" t="n">
        <f aca="false">IFERROR('SA Data'!R60,"")</f>
        <v>131.043315074948</v>
      </c>
      <c r="D60" s="30" t="n">
        <f aca="false">IFERROR('SA Data'!S60,"")</f>
        <v>129.266091754016</v>
      </c>
      <c r="E60" s="30" t="n">
        <f aca="false">IFERROR('SA Data'!T60,"")</f>
        <v>134.490638950285</v>
      </c>
      <c r="F60" s="23" t="n">
        <f aca="false">IFERROR(C60*'Weights &amp; Assumptions'!$B$25/'Weights &amp; Assumptions'!$B$28+D60*'Weights &amp; Assumptions'!$B$26/'Weights &amp; Assumptions'!$B$28+E60*'Weights &amp; Assumptions'!$B$27/'Weights &amp; Assumptions'!$B$28,"")</f>
        <v>132.812107245546</v>
      </c>
      <c r="G60" s="31" t="n">
        <f aca="false">IFERROR((F60/F59-1)*100,"")</f>
        <v>-1.96186415282148</v>
      </c>
      <c r="H60" s="31" t="n">
        <f aca="false">IFERROR((F60/F48-1)*100,"")</f>
        <v>3.7880169150831</v>
      </c>
      <c r="I60" s="31" t="n">
        <f aca="false">IFERROR((C60/C59-1)*100,"")</f>
        <v>-1.7750809128555</v>
      </c>
      <c r="J60" s="31" t="n">
        <f aca="false">IFERROR((D60/D59-1)*100,"")</f>
        <v>-2.11637020943749</v>
      </c>
      <c r="K60" s="31" t="n">
        <f aca="false">IFERROR((E60/E59-1)*100,"")</f>
        <v>-1.9244578866034</v>
      </c>
    </row>
    <row r="61" customFormat="false" ht="15" hidden="false" customHeight="false" outlineLevel="0" collapsed="false">
      <c r="A61" s="20" t="n">
        <v>39660</v>
      </c>
      <c r="B61" s="32" t="str">
        <f aca="false">IF(ISNUMBER('SA Data'!T61),"A","F")</f>
        <v>A</v>
      </c>
      <c r="C61" s="30" t="n">
        <f aca="false">IFERROR('SA Data'!R61,"")</f>
        <v>125.658404193652</v>
      </c>
      <c r="D61" s="30" t="n">
        <f aca="false">IFERROR('SA Data'!S61,"")</f>
        <v>133.589417568052</v>
      </c>
      <c r="E61" s="30" t="n">
        <f aca="false">IFERROR('SA Data'!T61,"")</f>
        <v>137.972264382651</v>
      </c>
      <c r="F61" s="23" t="n">
        <f aca="false">IFERROR(C61*'Weights &amp; Assumptions'!$B$25/'Weights &amp; Assumptions'!$B$28+D61*'Weights &amp; Assumptions'!$B$26/'Weights &amp; Assumptions'!$B$28+E61*'Weights &amp; Assumptions'!$B$27/'Weights &amp; Assumptions'!$B$28,"")</f>
        <v>135.773645736927</v>
      </c>
      <c r="G61" s="31" t="n">
        <f aca="false">IFERROR((F61/F60-1)*100,"")</f>
        <v>2.22987087005939</v>
      </c>
      <c r="H61" s="31" t="n">
        <f aca="false">IFERROR((F61/F49-1)*100,"")</f>
        <v>6.73227613047513</v>
      </c>
      <c r="I61" s="31" t="n">
        <f aca="false">IFERROR((C61/C60-1)*100,"")</f>
        <v>-4.10926026880212</v>
      </c>
      <c r="J61" s="31" t="n">
        <f aca="false">IFERROR((D61/D60-1)*100,"")</f>
        <v>3.34451653590881</v>
      </c>
      <c r="K61" s="31" t="n">
        <f aca="false">IFERROR((E61/E60-1)*100,"")</f>
        <v>2.58874926875272</v>
      </c>
    </row>
    <row r="62" customFormat="false" ht="15" hidden="false" customHeight="false" outlineLevel="0" collapsed="false">
      <c r="A62" s="20" t="n">
        <v>39691</v>
      </c>
      <c r="B62" s="32" t="str">
        <f aca="false">IF(ISNUMBER('SA Data'!T62),"A","F")</f>
        <v>A</v>
      </c>
      <c r="C62" s="30" t="n">
        <f aca="false">IFERROR('SA Data'!R62,"")</f>
        <v>120.043875375697</v>
      </c>
      <c r="D62" s="30" t="n">
        <f aca="false">IFERROR('SA Data'!S62,"")</f>
        <v>130.653301384461</v>
      </c>
      <c r="E62" s="30" t="n">
        <f aca="false">IFERROR('SA Data'!T62,"")</f>
        <v>135.982342217956</v>
      </c>
      <c r="F62" s="23" t="n">
        <f aca="false">IFERROR(C62*'Weights &amp; Assumptions'!$B$25/'Weights &amp; Assumptions'!$B$28+D62*'Weights &amp; Assumptions'!$B$26/'Weights &amp; Assumptions'!$B$28+E62*'Weights &amp; Assumptions'!$B$27/'Weights &amp; Assumptions'!$B$28,"")</f>
        <v>133.228006539734</v>
      </c>
      <c r="G62" s="31" t="n">
        <f aca="false">IFERROR((F62/F61-1)*100,"")</f>
        <v>-1.87491407730561</v>
      </c>
      <c r="H62" s="31" t="n">
        <f aca="false">IFERROR((F62/F50-1)*100,"")</f>
        <v>3.54463507764788</v>
      </c>
      <c r="I62" s="31" t="n">
        <f aca="false">IFERROR((C62/C61-1)*100,"")</f>
        <v>-4.46808858825122</v>
      </c>
      <c r="J62" s="31" t="n">
        <f aca="false">IFERROR((D62/D61-1)*100,"")</f>
        <v>-2.19786584674239</v>
      </c>
      <c r="K62" s="31" t="n">
        <f aca="false">IFERROR((E62/E61-1)*100,"")</f>
        <v>-1.44226245296385</v>
      </c>
    </row>
    <row r="63" customFormat="false" ht="15" hidden="false" customHeight="false" outlineLevel="0" collapsed="false">
      <c r="A63" s="20" t="n">
        <v>39721</v>
      </c>
      <c r="B63" s="32" t="str">
        <f aca="false">IF(ISNUMBER('SA Data'!T63),"A","F")</f>
        <v>A</v>
      </c>
      <c r="C63" s="30" t="n">
        <f aca="false">IFERROR('SA Data'!R63,"")</f>
        <v>119.88223781073</v>
      </c>
      <c r="D63" s="30" t="n">
        <f aca="false">IFERROR('SA Data'!S63,"")</f>
        <v>133.983877102742</v>
      </c>
      <c r="E63" s="30" t="n">
        <f aca="false">IFERROR('SA Data'!T63,"")</f>
        <v>137.354876487886</v>
      </c>
      <c r="F63" s="23" t="n">
        <f aca="false">IFERROR(C63*'Weights &amp; Assumptions'!$B$25/'Weights &amp; Assumptions'!$B$28+D63*'Weights &amp; Assumptions'!$B$26/'Weights &amp; Assumptions'!$B$28+E63*'Weights &amp; Assumptions'!$B$27/'Weights &amp; Assumptions'!$B$28,"")</f>
        <v>134.992499940488</v>
      </c>
      <c r="G63" s="31" t="n">
        <f aca="false">IFERROR((F63/F62-1)*100,"")</f>
        <v>1.32441627446243</v>
      </c>
      <c r="H63" s="31" t="n">
        <f aca="false">IFERROR((F63/F51-1)*100,"")</f>
        <v>5.85003519892484</v>
      </c>
      <c r="I63" s="31" t="n">
        <f aca="false">IFERROR((C63/C62-1)*100,"")</f>
        <v>-0.134648739438592</v>
      </c>
      <c r="J63" s="31" t="n">
        <f aca="false">IFERROR((D63/D62-1)*100,"")</f>
        <v>2.54917073123155</v>
      </c>
      <c r="K63" s="31" t="n">
        <f aca="false">IFERROR((E63/E62-1)*100,"")</f>
        <v>1.00934742521897</v>
      </c>
    </row>
    <row r="64" customFormat="false" ht="15" hidden="false" customHeight="false" outlineLevel="0" collapsed="false">
      <c r="A64" s="20" t="n">
        <v>39752</v>
      </c>
      <c r="B64" s="32" t="str">
        <f aca="false">IF(ISNUMBER('SA Data'!T64),"A","F")</f>
        <v>A</v>
      </c>
      <c r="C64" s="30" t="n">
        <f aca="false">IFERROR('SA Data'!R64,"")</f>
        <v>118.58324809829</v>
      </c>
      <c r="D64" s="30" t="n">
        <f aca="false">IFERROR('SA Data'!S64,"")</f>
        <v>128.282968234968</v>
      </c>
      <c r="E64" s="30" t="n">
        <f aca="false">IFERROR('SA Data'!T64,"")</f>
        <v>136.631163065426</v>
      </c>
      <c r="F64" s="23" t="n">
        <f aca="false">IFERROR(C64*'Weights &amp; Assumptions'!$B$25/'Weights &amp; Assumptions'!$B$28+D64*'Weights &amp; Assumptions'!$B$26/'Weights &amp; Assumptions'!$B$28+E64*'Weights &amp; Assumptions'!$B$27/'Weights &amp; Assumptions'!$B$28,"")</f>
        <v>132.896997147174</v>
      </c>
      <c r="G64" s="31" t="n">
        <f aca="false">IFERROR((F64/F63-1)*100,"")</f>
        <v>-1.5523105315018</v>
      </c>
      <c r="H64" s="31" t="n">
        <f aca="false">IFERROR((F64/F52-1)*100,"")</f>
        <v>1.35720854248178</v>
      </c>
      <c r="I64" s="31" t="n">
        <f aca="false">IFERROR((C64/C63-1)*100,"")</f>
        <v>-1.08355477522133</v>
      </c>
      <c r="J64" s="31" t="n">
        <f aca="false">IFERROR((D64/D63-1)*100,"")</f>
        <v>-4.25492155552588</v>
      </c>
      <c r="K64" s="31" t="n">
        <f aca="false">IFERROR((E64/E63-1)*100,"")</f>
        <v>-0.526893140574936</v>
      </c>
    </row>
    <row r="65" customFormat="false" ht="15" hidden="false" customHeight="false" outlineLevel="0" collapsed="false">
      <c r="A65" s="20" t="n">
        <v>39782</v>
      </c>
      <c r="B65" s="32" t="str">
        <f aca="false">IF(ISNUMBER('SA Data'!T65),"A","F")</f>
        <v>A</v>
      </c>
      <c r="C65" s="30" t="n">
        <f aca="false">IFERROR('SA Data'!R65,"")</f>
        <v>115.354441358158</v>
      </c>
      <c r="D65" s="30" t="n">
        <f aca="false">IFERROR('SA Data'!S65,"")</f>
        <v>123.152385977365</v>
      </c>
      <c r="E65" s="30" t="n">
        <f aca="false">IFERROR('SA Data'!T65,"")</f>
        <v>132.413621283949</v>
      </c>
      <c r="F65" s="23" t="n">
        <f aca="false">IFERROR(C65*'Weights &amp; Assumptions'!$B$25/'Weights &amp; Assumptions'!$B$28+D65*'Weights &amp; Assumptions'!$B$26/'Weights &amp; Assumptions'!$B$28+E65*'Weights &amp; Assumptions'!$B$27/'Weights &amp; Assumptions'!$B$28,"")</f>
        <v>128.519617646746</v>
      </c>
      <c r="G65" s="31" t="n">
        <f aca="false">IFERROR((F65/F64-1)*100,"")</f>
        <v>-3.29381370113334</v>
      </c>
      <c r="H65" s="31" t="n">
        <f aca="false">IFERROR((F65/F53-1)*100,"")</f>
        <v>-2.38537050898808</v>
      </c>
      <c r="I65" s="31" t="n">
        <f aca="false">IFERROR((C65/C64-1)*100,"")</f>
        <v>-2.72281860373358</v>
      </c>
      <c r="J65" s="31" t="n">
        <f aca="false">IFERROR((D65/D64-1)*100,"")</f>
        <v>-3.99942590056526</v>
      </c>
      <c r="K65" s="31" t="n">
        <f aca="false">IFERROR((E65/E64-1)*100,"")</f>
        <v>-3.08680808012868</v>
      </c>
    </row>
    <row r="66" customFormat="false" ht="15" hidden="false" customHeight="false" outlineLevel="0" collapsed="false">
      <c r="A66" s="20" t="n">
        <v>39813</v>
      </c>
      <c r="B66" s="32" t="str">
        <f aca="false">IF(ISNUMBER('SA Data'!T66),"A","F")</f>
        <v>A</v>
      </c>
      <c r="C66" s="30" t="n">
        <f aca="false">IFERROR('SA Data'!R66,"")</f>
        <v>103.561226608943</v>
      </c>
      <c r="D66" s="30" t="n">
        <f aca="false">IFERROR('SA Data'!S66,"")</f>
        <v>121.056431342687</v>
      </c>
      <c r="E66" s="30" t="n">
        <f aca="false">IFERROR('SA Data'!T66,"")</f>
        <v>132.939350965075</v>
      </c>
      <c r="F66" s="23" t="n">
        <f aca="false">IFERROR(C66*'Weights &amp; Assumptions'!$B$25/'Weights &amp; Assumptions'!$B$28+D66*'Weights &amp; Assumptions'!$B$26/'Weights &amp; Assumptions'!$B$28+E66*'Weights &amp; Assumptions'!$B$27/'Weights &amp; Assumptions'!$B$28,"")</f>
        <v>127.314625982775</v>
      </c>
      <c r="G66" s="31" t="n">
        <f aca="false">IFERROR((F66/F65-1)*100,"")</f>
        <v>-0.937593564340578</v>
      </c>
      <c r="H66" s="31" t="n">
        <f aca="false">IFERROR((F66/F54-1)*100,"")</f>
        <v>-3.01873181203871</v>
      </c>
      <c r="I66" s="31" t="n">
        <f aca="false">IFERROR((C66/C65-1)*100,"")</f>
        <v>-10.223459634813</v>
      </c>
      <c r="J66" s="31" t="n">
        <f aca="false">IFERROR((D66/D65-1)*100,"")</f>
        <v>-1.70191963236754</v>
      </c>
      <c r="K66" s="31" t="n">
        <f aca="false">IFERROR((E66/E65-1)*100,"")</f>
        <v>0.397035951459301</v>
      </c>
    </row>
    <row r="67" customFormat="false" ht="15" hidden="false" customHeight="false" outlineLevel="0" collapsed="false">
      <c r="A67" s="20" t="n">
        <v>39844</v>
      </c>
      <c r="B67" s="32" t="str">
        <f aca="false">IF(ISNUMBER('SA Data'!T67),"A","F")</f>
        <v>A</v>
      </c>
      <c r="C67" s="30" t="n">
        <f aca="false">IFERROR('SA Data'!R67,"")</f>
        <v>105.317637404987</v>
      </c>
      <c r="D67" s="30" t="n">
        <f aca="false">IFERROR('SA Data'!S67,"")</f>
        <v>117.154814359432</v>
      </c>
      <c r="E67" s="30" t="n">
        <f aca="false">IFERROR('SA Data'!T67,"")</f>
        <v>131.847544091756</v>
      </c>
      <c r="F67" s="23" t="n">
        <f aca="false">IFERROR(C67*'Weights &amp; Assumptions'!$B$25/'Weights &amp; Assumptions'!$B$28+D67*'Weights &amp; Assumptions'!$B$26/'Weights &amp; Assumptions'!$B$28+E67*'Weights &amp; Assumptions'!$B$27/'Weights &amp; Assumptions'!$B$28,"")</f>
        <v>125.714609351739</v>
      </c>
      <c r="G67" s="31" t="n">
        <f aca="false">IFERROR((F67/F66-1)*100,"")</f>
        <v>-1.25674219963767</v>
      </c>
      <c r="H67" s="31" t="n">
        <f aca="false">IFERROR((F67/F55-1)*100,"")</f>
        <v>-5.74239003276541</v>
      </c>
      <c r="I67" s="31" t="n">
        <f aca="false">IFERROR((C67/C66-1)*100,"")</f>
        <v>1.69601196659843</v>
      </c>
      <c r="J67" s="31" t="n">
        <f aca="false">IFERROR((D67/D66-1)*100,"")</f>
        <v>-3.2229737321519</v>
      </c>
      <c r="K67" s="31" t="n">
        <f aca="false">IFERROR((E67/E66-1)*100,"")</f>
        <v>-0.82128193450105</v>
      </c>
    </row>
    <row r="68" customFormat="false" ht="15" hidden="false" customHeight="false" outlineLevel="0" collapsed="false">
      <c r="A68" s="20" t="n">
        <v>39872</v>
      </c>
      <c r="B68" s="32" t="str">
        <f aca="false">IF(ISNUMBER('SA Data'!T68),"A","F")</f>
        <v>A</v>
      </c>
      <c r="C68" s="30" t="n">
        <f aca="false">IFERROR('SA Data'!R68,"")</f>
        <v>108.069850664017</v>
      </c>
      <c r="D68" s="30" t="n">
        <f aca="false">IFERROR('SA Data'!S68,"")</f>
        <v>117.448089099876</v>
      </c>
      <c r="E68" s="30" t="n">
        <f aca="false">IFERROR('SA Data'!T68,"")</f>
        <v>132.194557279753</v>
      </c>
      <c r="F68" s="23" t="n">
        <f aca="false">IFERROR(C68*'Weights &amp; Assumptions'!$B$25/'Weights &amp; Assumptions'!$B$28+D68*'Weights &amp; Assumptions'!$B$26/'Weights &amp; Assumptions'!$B$28+E68*'Weights &amp; Assumptions'!$B$27/'Weights &amp; Assumptions'!$B$28,"")</f>
        <v>126.249130835382</v>
      </c>
      <c r="G68" s="31" t="n">
        <f aca="false">IFERROR((F68/F67-1)*100,"")</f>
        <v>0.425186449212367</v>
      </c>
      <c r="H68" s="31" t="n">
        <f aca="false">IFERROR((F68/F56-1)*100,"")</f>
        <v>-6.0709425768569</v>
      </c>
      <c r="I68" s="31" t="n">
        <f aca="false">IFERROR((C68/C67-1)*100,"")</f>
        <v>2.61325009451838</v>
      </c>
      <c r="J68" s="31" t="n">
        <f aca="false">IFERROR((D68/D67-1)*100,"")</f>
        <v>0.250330933515897</v>
      </c>
      <c r="K68" s="31" t="n">
        <f aca="false">IFERROR((E68/E67-1)*100,"")</f>
        <v>0.263192758262787</v>
      </c>
    </row>
    <row r="69" customFormat="false" ht="15" hidden="false" customHeight="false" outlineLevel="0" collapsed="false">
      <c r="A69" s="20" t="n">
        <v>39903</v>
      </c>
      <c r="B69" s="32" t="str">
        <f aca="false">IF(ISNUMBER('SA Data'!T69),"A","F")</f>
        <v>A</v>
      </c>
      <c r="C69" s="30" t="n">
        <f aca="false">IFERROR('SA Data'!R69,"")</f>
        <v>96.9658983051827</v>
      </c>
      <c r="D69" s="30" t="n">
        <f aca="false">IFERROR('SA Data'!S69,"")</f>
        <v>116.230152033769</v>
      </c>
      <c r="E69" s="30" t="n">
        <f aca="false">IFERROR('SA Data'!T69,"")</f>
        <v>131.825027240839</v>
      </c>
      <c r="F69" s="23" t="n">
        <f aca="false">IFERROR(C69*'Weights &amp; Assumptions'!$B$25/'Weights &amp; Assumptions'!$B$28+D69*'Weights &amp; Assumptions'!$B$26/'Weights &amp; Assumptions'!$B$28+E69*'Weights &amp; Assumptions'!$B$27/'Weights &amp; Assumptions'!$B$28,"")</f>
        <v>124.753367582014</v>
      </c>
      <c r="G69" s="31" t="n">
        <f aca="false">IFERROR((F69/F68-1)*100,"")</f>
        <v>-1.18477112948876</v>
      </c>
      <c r="H69" s="31" t="n">
        <f aca="false">IFERROR((F69/F57-1)*100,"")</f>
        <v>-4.57983703687989</v>
      </c>
      <c r="I69" s="31" t="n">
        <f aca="false">IFERROR((C69/C68-1)*100,"")</f>
        <v>-10.2747919892623</v>
      </c>
      <c r="J69" s="31" t="n">
        <f aca="false">IFERROR((D69/D68-1)*100,"")</f>
        <v>-1.03700032537087</v>
      </c>
      <c r="K69" s="31" t="n">
        <f aca="false">IFERROR((E69/E68-1)*100,"")</f>
        <v>-0.279534987307706</v>
      </c>
    </row>
    <row r="70" customFormat="false" ht="15" hidden="false" customHeight="false" outlineLevel="0" collapsed="false">
      <c r="A70" s="20" t="n">
        <v>39933</v>
      </c>
      <c r="B70" s="32" t="str">
        <f aca="false">IF(ISNUMBER('SA Data'!T70),"A","F")</f>
        <v>A</v>
      </c>
      <c r="C70" s="30" t="n">
        <f aca="false">IFERROR('SA Data'!R70,"")</f>
        <v>79.3291115373725</v>
      </c>
      <c r="D70" s="30" t="n">
        <f aca="false">IFERROR('SA Data'!S70,"")</f>
        <v>117.742923529829</v>
      </c>
      <c r="E70" s="30" t="n">
        <f aca="false">IFERROR('SA Data'!T70,"")</f>
        <v>132.24264853744</v>
      </c>
      <c r="F70" s="23" t="n">
        <f aca="false">IFERROR(C70*'Weights &amp; Assumptions'!$B$25/'Weights &amp; Assumptions'!$B$28+D70*'Weights &amp; Assumptions'!$B$26/'Weights &amp; Assumptions'!$B$28+E70*'Weights &amp; Assumptions'!$B$27/'Weights &amp; Assumptions'!$B$28,"")</f>
        <v>123.947428585464</v>
      </c>
      <c r="G70" s="31" t="n">
        <f aca="false">IFERROR((F70/F69-1)*100,"")</f>
        <v>-0.646025844569587</v>
      </c>
      <c r="H70" s="31" t="n">
        <f aca="false">IFERROR((F70/F58-1)*100,"")</f>
        <v>-9.72130315772691</v>
      </c>
      <c r="I70" s="31" t="n">
        <f aca="false">IFERROR((C70/C69-1)*100,"")</f>
        <v>-18.1886488714843</v>
      </c>
      <c r="J70" s="31" t="n">
        <f aca="false">IFERROR((D70/D69-1)*100,"")</f>
        <v>1.30153103096784</v>
      </c>
      <c r="K70" s="31" t="n">
        <f aca="false">IFERROR((E70/E69-1)*100,"")</f>
        <v>0.316799704382365</v>
      </c>
    </row>
    <row r="71" customFormat="false" ht="15" hidden="false" customHeight="false" outlineLevel="0" collapsed="false">
      <c r="A71" s="20" t="n">
        <v>39964</v>
      </c>
      <c r="B71" s="32" t="str">
        <f aca="false">IF(ISNUMBER('SA Data'!T71),"A","F")</f>
        <v>A</v>
      </c>
      <c r="C71" s="30" t="n">
        <f aca="false">IFERROR('SA Data'!R71,"")</f>
        <v>77.4856106376262</v>
      </c>
      <c r="D71" s="30" t="n">
        <f aca="false">IFERROR('SA Data'!S71,"")</f>
        <v>116.778738381863</v>
      </c>
      <c r="E71" s="30" t="n">
        <f aca="false">IFERROR('SA Data'!T71,"")</f>
        <v>130.826731266768</v>
      </c>
      <c r="F71" s="23" t="n">
        <f aca="false">IFERROR(C71*'Weights &amp; Assumptions'!$B$25/'Weights &amp; Assumptions'!$B$28+D71*'Weights &amp; Assumptions'!$B$26/'Weights &amp; Assumptions'!$B$28+E71*'Weights &amp; Assumptions'!$B$27/'Weights &amp; Assumptions'!$B$28,"")</f>
        <v>122.615760154836</v>
      </c>
      <c r="G71" s="31" t="n">
        <f aca="false">IFERROR((F71/F70-1)*100,"")</f>
        <v>-1.07438165182194</v>
      </c>
      <c r="H71" s="31" t="n">
        <f aca="false">IFERROR((F71/F59-1)*100,"")</f>
        <v>-9.48851877758294</v>
      </c>
      <c r="I71" s="31" t="n">
        <f aca="false">IFERROR((C71/C70-1)*100,"")</f>
        <v>-2.32386429649835</v>
      </c>
      <c r="J71" s="31" t="n">
        <f aca="false">IFERROR((D71/D70-1)*100,"")</f>
        <v>-0.818890103168268</v>
      </c>
      <c r="K71" s="31" t="n">
        <f aca="false">IFERROR((E71/E70-1)*100,"")</f>
        <v>-1.07069639509786</v>
      </c>
    </row>
    <row r="72" customFormat="false" ht="15" hidden="false" customHeight="false" outlineLevel="0" collapsed="false">
      <c r="A72" s="20" t="n">
        <v>39994</v>
      </c>
      <c r="B72" s="32" t="str">
        <f aca="false">IF(ISNUMBER('SA Data'!T72),"A","F")</f>
        <v>A</v>
      </c>
      <c r="C72" s="30" t="n">
        <f aca="false">IFERROR('SA Data'!R72,"")</f>
        <v>79.7094025480293</v>
      </c>
      <c r="D72" s="30" t="n">
        <f aca="false">IFERROR('SA Data'!S72,"")</f>
        <v>118.705507735465</v>
      </c>
      <c r="E72" s="30" t="n">
        <f aca="false">IFERROR('SA Data'!T72,"")</f>
        <v>133.154891317961</v>
      </c>
      <c r="F72" s="23" t="n">
        <f aca="false">IFERROR(C72*'Weights &amp; Assumptions'!$B$25/'Weights &amp; Assumptions'!$B$28+D72*'Weights &amp; Assumptions'!$B$26/'Weights &amp; Assumptions'!$B$28+E72*'Weights &amp; Assumptions'!$B$27/'Weights &amp; Assumptions'!$B$28,"")</f>
        <v>124.828426834113</v>
      </c>
      <c r="G72" s="31" t="n">
        <f aca="false">IFERROR((F72/F71-1)*100,"")</f>
        <v>1.80455324542539</v>
      </c>
      <c r="H72" s="31" t="n">
        <f aca="false">IFERROR((F72/F60-1)*100,"")</f>
        <v>-6.01125949810617</v>
      </c>
      <c r="I72" s="31" t="n">
        <f aca="false">IFERROR((C72/C71-1)*100,"")</f>
        <v>2.86994177641975</v>
      </c>
      <c r="J72" s="31" t="n">
        <f aca="false">IFERROR((D72/D71-1)*100,"")</f>
        <v>1.64993164021134</v>
      </c>
      <c r="K72" s="31" t="n">
        <f aca="false">IFERROR((E72/E71-1)*100,"")</f>
        <v>1.77957518975638</v>
      </c>
    </row>
    <row r="73" customFormat="false" ht="15" hidden="false" customHeight="false" outlineLevel="0" collapsed="false">
      <c r="A73" s="20" t="n">
        <v>40025</v>
      </c>
      <c r="B73" s="32" t="str">
        <f aca="false">IF(ISNUMBER('SA Data'!T73),"A","F")</f>
        <v>A</v>
      </c>
      <c r="C73" s="30" t="n">
        <f aca="false">IFERROR('SA Data'!R73,"")</f>
        <v>101.18958661032</v>
      </c>
      <c r="D73" s="30" t="n">
        <f aca="false">IFERROR('SA Data'!S73,"")</f>
        <v>121.892251460166</v>
      </c>
      <c r="E73" s="30" t="n">
        <f aca="false">IFERROR('SA Data'!T73,"")</f>
        <v>133.2347584952</v>
      </c>
      <c r="F73" s="23" t="n">
        <f aca="false">IFERROR(C73*'Weights &amp; Assumptions'!$B$25/'Weights &amp; Assumptions'!$B$28+D73*'Weights &amp; Assumptions'!$B$26/'Weights &amp; Assumptions'!$B$28+E73*'Weights &amp; Assumptions'!$B$27/'Weights &amp; Assumptions'!$B$28,"")</f>
        <v>127.529971152719</v>
      </c>
      <c r="G73" s="31" t="n">
        <f aca="false">IFERROR((F73/F72-1)*100,"")</f>
        <v>2.16420601230167</v>
      </c>
      <c r="H73" s="31" t="n">
        <f aca="false">IFERROR((F73/F61-1)*100,"")</f>
        <v>-6.07163086728975</v>
      </c>
      <c r="I73" s="31" t="n">
        <f aca="false">IFERROR((C73/C72-1)*100,"")</f>
        <v>26.9481182591327</v>
      </c>
      <c r="J73" s="31" t="n">
        <f aca="false">IFERROR((D73/D72-1)*100,"")</f>
        <v>2.6845794988742</v>
      </c>
      <c r="K73" s="31" t="n">
        <f aca="false">IFERROR((E73/E72-1)*100,"")</f>
        <v>0.0599806559478111</v>
      </c>
    </row>
    <row r="74" customFormat="false" ht="15" hidden="false" customHeight="false" outlineLevel="0" collapsed="false">
      <c r="A74" s="20" t="n">
        <v>40056</v>
      </c>
      <c r="B74" s="32" t="str">
        <f aca="false">IF(ISNUMBER('SA Data'!T74),"A","F")</f>
        <v>A</v>
      </c>
      <c r="C74" s="30" t="n">
        <f aca="false">IFERROR('SA Data'!R74,"")</f>
        <v>110.76735265301</v>
      </c>
      <c r="D74" s="30" t="n">
        <f aca="false">IFERROR('SA Data'!S74,"")</f>
        <v>119.938644655243</v>
      </c>
      <c r="E74" s="30" t="n">
        <f aca="false">IFERROR('SA Data'!T74,"")</f>
        <v>132.954615309505</v>
      </c>
      <c r="F74" s="23" t="n">
        <f aca="false">IFERROR(C74*'Weights &amp; Assumptions'!$B$25/'Weights &amp; Assumptions'!$B$28+D74*'Weights &amp; Assumptions'!$B$26/'Weights &amp; Assumptions'!$B$28+E74*'Weights &amp; Assumptions'!$B$27/'Weights &amp; Assumptions'!$B$28,"")</f>
        <v>127.63191154633</v>
      </c>
      <c r="G74" s="31" t="n">
        <f aca="false">IFERROR((F74/F73-1)*100,"")</f>
        <v>0.0799344598683804</v>
      </c>
      <c r="H74" s="31" t="n">
        <f aca="false">IFERROR((F74/F62-1)*100,"")</f>
        <v>-4.20038934661609</v>
      </c>
      <c r="I74" s="31" t="n">
        <f aca="false">IFERROR((C74/C73-1)*100,"")</f>
        <v>9.46516965186726</v>
      </c>
      <c r="J74" s="31" t="n">
        <f aca="false">IFERROR((D74/D73-1)*100,"")</f>
        <v>-1.602732562177</v>
      </c>
      <c r="K74" s="31" t="n">
        <f aca="false">IFERROR((E74/E73-1)*100,"")</f>
        <v>-0.210262838960618</v>
      </c>
    </row>
    <row r="75" customFormat="false" ht="15" hidden="false" customHeight="false" outlineLevel="0" collapsed="false">
      <c r="A75" s="20" t="n">
        <v>40086</v>
      </c>
      <c r="B75" s="32" t="str">
        <f aca="false">IF(ISNUMBER('SA Data'!T75),"A","F")</f>
        <v>A</v>
      </c>
      <c r="C75" s="30" t="n">
        <f aca="false">IFERROR('SA Data'!R75,"")</f>
        <v>113.822442541418</v>
      </c>
      <c r="D75" s="30" t="n">
        <f aca="false">IFERROR('SA Data'!S75,"")</f>
        <v>120.884322919281</v>
      </c>
      <c r="E75" s="30" t="n">
        <f aca="false">IFERROR('SA Data'!T75,"")</f>
        <v>135.963979812946</v>
      </c>
      <c r="F75" s="23" t="n">
        <f aca="false">IFERROR(C75*'Weights &amp; Assumptions'!$B$25/'Weights &amp; Assumptions'!$B$28+D75*'Weights &amp; Assumptions'!$B$26/'Weights &amp; Assumptions'!$B$28+E75*'Weights &amp; Assumptions'!$B$27/'Weights &amp; Assumptions'!$B$28,"")</f>
        <v>130.096342227753</v>
      </c>
      <c r="G75" s="31" t="n">
        <f aca="false">IFERROR((F75/F74-1)*100,"")</f>
        <v>1.93088911038417</v>
      </c>
      <c r="H75" s="31" t="n">
        <f aca="false">IFERROR((F75/F63-1)*100,"")</f>
        <v>-3.62698499167977</v>
      </c>
      <c r="I75" s="31" t="n">
        <f aca="false">IFERROR((C75/C74-1)*100,"")</f>
        <v>2.75811402478681</v>
      </c>
      <c r="J75" s="31" t="n">
        <f aca="false">IFERROR((D75/D74-1)*100,"")</f>
        <v>0.788468359598804</v>
      </c>
      <c r="K75" s="31" t="n">
        <f aca="false">IFERROR((E75/E74-1)*100,"")</f>
        <v>2.26345245438488</v>
      </c>
    </row>
    <row r="76" customFormat="false" ht="15" hidden="false" customHeight="false" outlineLevel="0" collapsed="false">
      <c r="A76" s="20" t="n">
        <v>40117</v>
      </c>
      <c r="B76" s="32" t="str">
        <f aca="false">IF(ISNUMBER('SA Data'!T76),"A","F")</f>
        <v>A</v>
      </c>
      <c r="C76" s="30" t="n">
        <f aca="false">IFERROR('SA Data'!R76,"")</f>
        <v>110.954597721335</v>
      </c>
      <c r="D76" s="30" t="n">
        <f aca="false">IFERROR('SA Data'!S76,"")</f>
        <v>124.103371956506</v>
      </c>
      <c r="E76" s="30" t="n">
        <f aca="false">IFERROR('SA Data'!T76,"")</f>
        <v>135.814975098891</v>
      </c>
      <c r="F76" s="23" t="n">
        <f aca="false">IFERROR(C76*'Weights &amp; Assumptions'!$B$25/'Weights &amp; Assumptions'!$B$28+D76*'Weights &amp; Assumptions'!$B$26/'Weights &amp; Assumptions'!$B$28+E76*'Weights &amp; Assumptions'!$B$27/'Weights &amp; Assumptions'!$B$28,"")</f>
        <v>130.614848892372</v>
      </c>
      <c r="G76" s="31" t="n">
        <f aca="false">IFERROR((F76/F75-1)*100,"")</f>
        <v>0.39855591305642</v>
      </c>
      <c r="H76" s="31" t="n">
        <f aca="false">IFERROR((F76/F64-1)*100,"")</f>
        <v>-1.71723086585239</v>
      </c>
      <c r="I76" s="31" t="n">
        <f aca="false">IFERROR((C76/C75-1)*100,"")</f>
        <v>-2.51957764747445</v>
      </c>
      <c r="J76" s="31" t="n">
        <f aca="false">IFERROR((D76/D75-1)*100,"")</f>
        <v>2.66291687746347</v>
      </c>
      <c r="K76" s="31" t="n">
        <f aca="false">IFERROR((E76/E75-1)*100,"")</f>
        <v>-0.109591315479785</v>
      </c>
    </row>
    <row r="77" customFormat="false" ht="15" hidden="false" customHeight="false" outlineLevel="0" collapsed="false">
      <c r="A77" s="20" t="n">
        <v>40147</v>
      </c>
      <c r="B77" s="32" t="str">
        <f aca="false">IF(ISNUMBER('SA Data'!T77),"A","F")</f>
        <v>A</v>
      </c>
      <c r="C77" s="30" t="n">
        <f aca="false">IFERROR('SA Data'!R77,"")</f>
        <v>109.942361503719</v>
      </c>
      <c r="D77" s="30" t="n">
        <f aca="false">IFERROR('SA Data'!S77,"")</f>
        <v>124.331775941581</v>
      </c>
      <c r="E77" s="30" t="n">
        <f aca="false">IFERROR('SA Data'!T77,"")</f>
        <v>135.996470037816</v>
      </c>
      <c r="F77" s="23" t="n">
        <f aca="false">IFERROR(C77*'Weights &amp; Assumptions'!$B$25/'Weights &amp; Assumptions'!$B$28+D77*'Weights &amp; Assumptions'!$B$26/'Weights &amp; Assumptions'!$B$28+E77*'Weights &amp; Assumptions'!$B$27/'Weights &amp; Assumptions'!$B$28,"")</f>
        <v>130.708662728629</v>
      </c>
      <c r="G77" s="31" t="n">
        <f aca="false">IFERROR((F77/F76-1)*100,"")</f>
        <v>0.0718247864252009</v>
      </c>
      <c r="H77" s="31" t="n">
        <f aca="false">IFERROR((F77/F65-1)*100,"")</f>
        <v>1.70327699534525</v>
      </c>
      <c r="I77" s="31" t="n">
        <f aca="false">IFERROR((C77/C76-1)*100,"")</f>
        <v>-0.912297677071638</v>
      </c>
      <c r="J77" s="31" t="n">
        <f aca="false">IFERROR((D77/D76-1)*100,"")</f>
        <v>0.184043335385531</v>
      </c>
      <c r="K77" s="31" t="n">
        <f aca="false">IFERROR((E77/E76-1)*100,"")</f>
        <v>0.133633966941593</v>
      </c>
    </row>
    <row r="78" customFormat="false" ht="15" hidden="false" customHeight="false" outlineLevel="0" collapsed="false">
      <c r="A78" s="20" t="n">
        <v>40178</v>
      </c>
      <c r="B78" s="32" t="str">
        <f aca="false">IF(ISNUMBER('SA Data'!T78),"A","F")</f>
        <v>A</v>
      </c>
      <c r="C78" s="30" t="n">
        <f aca="false">IFERROR('SA Data'!R78,"")</f>
        <v>95.7942410392075</v>
      </c>
      <c r="D78" s="30" t="n">
        <f aca="false">IFERROR('SA Data'!S78,"")</f>
        <v>125.417879319592</v>
      </c>
      <c r="E78" s="30" t="n">
        <f aca="false">IFERROR('SA Data'!T78,"")</f>
        <v>137.216548765625</v>
      </c>
      <c r="F78" s="23" t="n">
        <f aca="false">IFERROR(C78*'Weights &amp; Assumptions'!$B$25/'Weights &amp; Assumptions'!$B$28+D78*'Weights &amp; Assumptions'!$B$26/'Weights &amp; Assumptions'!$B$28+E78*'Weights &amp; Assumptions'!$B$27/'Weights &amp; Assumptions'!$B$28,"")</f>
        <v>130.603710368998</v>
      </c>
      <c r="G78" s="31" t="n">
        <f aca="false">IFERROR((F78/F77-1)*100,"")</f>
        <v>-0.0802948767436029</v>
      </c>
      <c r="H78" s="31" t="n">
        <f aca="false">IFERROR((F78/F66-1)*100,"")</f>
        <v>2.58343011325937</v>
      </c>
      <c r="I78" s="31" t="n">
        <f aca="false">IFERROR((C78/C77-1)*100,"")</f>
        <v>-12.8686707025419</v>
      </c>
      <c r="J78" s="31" t="n">
        <f aca="false">IFERROR((D78/D77-1)*100,"")</f>
        <v>0.873552532959465</v>
      </c>
      <c r="K78" s="31" t="n">
        <f aca="false">IFERROR((E78/E77-1)*100,"")</f>
        <v>0.89713999743517</v>
      </c>
    </row>
    <row r="79" customFormat="false" ht="15" hidden="false" customHeight="false" outlineLevel="0" collapsed="false">
      <c r="A79" s="20" t="n">
        <v>40209</v>
      </c>
      <c r="B79" s="32" t="str">
        <f aca="false">IF(ISNUMBER('SA Data'!T79),"A","F")</f>
        <v>A</v>
      </c>
      <c r="C79" s="30" t="n">
        <f aca="false">IFERROR('SA Data'!R79,"")</f>
        <v>100.730748743133</v>
      </c>
      <c r="D79" s="30" t="n">
        <f aca="false">IFERROR('SA Data'!S79,"")</f>
        <v>126.425632616105</v>
      </c>
      <c r="E79" s="30" t="n">
        <f aca="false">IFERROR('SA Data'!T79,"")</f>
        <v>137.643969981755</v>
      </c>
      <c r="F79" s="23" t="n">
        <f aca="false">IFERROR(C79*'Weights &amp; Assumptions'!$B$25/'Weights &amp; Assumptions'!$B$28+D79*'Weights &amp; Assumptions'!$B$26/'Weights &amp; Assumptions'!$B$28+E79*'Weights &amp; Assumptions'!$B$27/'Weights &amp; Assumptions'!$B$28,"")</f>
        <v>131.563768131418</v>
      </c>
      <c r="G79" s="31" t="n">
        <f aca="false">IFERROR((F79/F78-1)*100,"")</f>
        <v>0.735092257110015</v>
      </c>
      <c r="H79" s="31" t="n">
        <f aca="false">IFERROR((F79/F67-1)*100,"")</f>
        <v>4.6527279604508</v>
      </c>
      <c r="I79" s="31" t="n">
        <f aca="false">IFERROR((C79/C78-1)*100,"")</f>
        <v>5.15324058145101</v>
      </c>
      <c r="J79" s="31" t="n">
        <f aca="false">IFERROR((D79/D78-1)*100,"")</f>
        <v>0.803516453938302</v>
      </c>
      <c r="K79" s="31" t="n">
        <f aca="false">IFERROR((E79/E78-1)*100,"")</f>
        <v>0.31149392691705</v>
      </c>
    </row>
    <row r="80" customFormat="false" ht="15" hidden="false" customHeight="false" outlineLevel="0" collapsed="false">
      <c r="A80" s="20" t="n">
        <v>40237</v>
      </c>
      <c r="B80" s="32" t="str">
        <f aca="false">IF(ISNUMBER('SA Data'!T80),"A","F")</f>
        <v>A</v>
      </c>
      <c r="C80" s="30" t="n">
        <f aca="false">IFERROR('SA Data'!R80,"")</f>
        <v>112.040158294404</v>
      </c>
      <c r="D80" s="30" t="n">
        <f aca="false">IFERROR('SA Data'!S80,"")</f>
        <v>126.183658846047</v>
      </c>
      <c r="E80" s="30" t="n">
        <f aca="false">IFERROR('SA Data'!T80,"")</f>
        <v>138.79346639908</v>
      </c>
      <c r="F80" s="23" t="n">
        <f aca="false">IFERROR(C80*'Weights &amp; Assumptions'!$B$25/'Weights &amp; Assumptions'!$B$28+D80*'Weights &amp; Assumptions'!$B$26/'Weights &amp; Assumptions'!$B$28+E80*'Weights &amp; Assumptions'!$B$27/'Weights &amp; Assumptions'!$B$28,"")</f>
        <v>133.195673486488</v>
      </c>
      <c r="G80" s="31" t="n">
        <f aca="false">IFERROR((F80/F79-1)*100,"")</f>
        <v>1.24039116410797</v>
      </c>
      <c r="H80" s="31" t="n">
        <f aca="false">IFERROR((F80/F68-1)*100,"")</f>
        <v>5.50224988096217</v>
      </c>
      <c r="I80" s="31" t="n">
        <f aca="false">IFERROR((C80/C79-1)*100,"")</f>
        <v>11.2273657174043</v>
      </c>
      <c r="J80" s="31" t="n">
        <f aca="false">IFERROR((D80/D79-1)*100,"")</f>
        <v>-0.191396131505184</v>
      </c>
      <c r="K80" s="31" t="n">
        <f aca="false">IFERROR((E80/E79-1)*100,"")</f>
        <v>0.835122975221592</v>
      </c>
    </row>
    <row r="81" customFormat="false" ht="15" hidden="false" customHeight="false" outlineLevel="0" collapsed="false">
      <c r="A81" s="20" t="n">
        <v>40268</v>
      </c>
      <c r="B81" s="32" t="str">
        <f aca="false">IF(ISNUMBER('SA Data'!T81),"A","F")</f>
        <v>A</v>
      </c>
      <c r="C81" s="30" t="n">
        <f aca="false">IFERROR('SA Data'!R81,"")</f>
        <v>120.967806396335</v>
      </c>
      <c r="D81" s="30" t="n">
        <f aca="false">IFERROR('SA Data'!S81,"")</f>
        <v>128.979817419008</v>
      </c>
      <c r="E81" s="30" t="n">
        <f aca="false">IFERROR('SA Data'!T81,"")</f>
        <v>140.863135582912</v>
      </c>
      <c r="F81" s="23" t="n">
        <f aca="false">IFERROR(C81*'Weights &amp; Assumptions'!$B$25/'Weights &amp; Assumptions'!$B$28+D81*'Weights &amp; Assumptions'!$B$26/'Weights &amp; Assumptions'!$B$28+E81*'Weights &amp; Assumptions'!$B$27/'Weights &amp; Assumptions'!$B$28,"")</f>
        <v>136.033919027753</v>
      </c>
      <c r="G81" s="31" t="n">
        <f aca="false">IFERROR((F81/F80-1)*100,"")</f>
        <v>2.1308841848777</v>
      </c>
      <c r="H81" s="31" t="n">
        <f aca="false">IFERROR((F81/F69-1)*100,"")</f>
        <v>9.04228211580953</v>
      </c>
      <c r="I81" s="31" t="n">
        <f aca="false">IFERROR((C81/C80-1)*100,"")</f>
        <v>7.96825730866271</v>
      </c>
      <c r="J81" s="31" t="n">
        <f aca="false">IFERROR((D81/D80-1)*100,"")</f>
        <v>2.21594348945935</v>
      </c>
      <c r="K81" s="31" t="n">
        <f aca="false">IFERROR((E81/E80-1)*100,"")</f>
        <v>1.4911863198811</v>
      </c>
    </row>
    <row r="82" customFormat="false" ht="15" hidden="false" customHeight="false" outlineLevel="0" collapsed="false">
      <c r="A82" s="20" t="n">
        <v>40298</v>
      </c>
      <c r="B82" s="32" t="str">
        <f aca="false">IF(ISNUMBER('SA Data'!T82),"A","F")</f>
        <v>A</v>
      </c>
      <c r="C82" s="30" t="n">
        <f aca="false">IFERROR('SA Data'!R82,"")</f>
        <v>139.40937987055</v>
      </c>
      <c r="D82" s="30" t="n">
        <f aca="false">IFERROR('SA Data'!S82,"")</f>
        <v>131.077184316009</v>
      </c>
      <c r="E82" s="30" t="n">
        <f aca="false">IFERROR('SA Data'!T82,"")</f>
        <v>141.420582417617</v>
      </c>
      <c r="F82" s="23" t="n">
        <f aca="false">IFERROR(C82*'Weights &amp; Assumptions'!$B$25/'Weights &amp; Assumptions'!$B$28+D82*'Weights &amp; Assumptions'!$B$26/'Weights &amp; Assumptions'!$B$28+E82*'Weights &amp; Assumptions'!$B$27/'Weights &amp; Assumptions'!$B$28,"")</f>
        <v>138.501350614796</v>
      </c>
      <c r="G82" s="31" t="n">
        <f aca="false">IFERROR((F82/F81-1)*100,"")</f>
        <v>1.81383555269004</v>
      </c>
      <c r="H82" s="31" t="n">
        <f aca="false">IFERROR((F82/F70-1)*100,"")</f>
        <v>11.7420120735277</v>
      </c>
      <c r="I82" s="31" t="n">
        <f aca="false">IFERROR((C82/C81-1)*100,"")</f>
        <v>15.2450259483036</v>
      </c>
      <c r="J82" s="31" t="n">
        <f aca="false">IFERROR((D82/D81-1)*100,"")</f>
        <v>1.62612022483188</v>
      </c>
      <c r="K82" s="31" t="n">
        <f aca="false">IFERROR((E82/E81-1)*100,"")</f>
        <v>0.395736494433718</v>
      </c>
    </row>
    <row r="83" customFormat="false" ht="15" hidden="false" customHeight="false" outlineLevel="0" collapsed="false">
      <c r="A83" s="20" t="n">
        <v>40329</v>
      </c>
      <c r="B83" s="32" t="str">
        <f aca="false">IF(ISNUMBER('SA Data'!T83),"A","F")</f>
        <v>A</v>
      </c>
      <c r="C83" s="30" t="n">
        <f aca="false">IFERROR('SA Data'!R83,"")</f>
        <v>143.387315636581</v>
      </c>
      <c r="D83" s="30" t="n">
        <f aca="false">IFERROR('SA Data'!S83,"")</f>
        <v>130.497690958048</v>
      </c>
      <c r="E83" s="30" t="n">
        <f aca="false">IFERROR('SA Data'!T83,"")</f>
        <v>141.274930976545</v>
      </c>
      <c r="F83" s="23" t="n">
        <f aca="false">IFERROR(C83*'Weights &amp; Assumptions'!$B$25/'Weights &amp; Assumptions'!$B$28+D83*'Weights &amp; Assumptions'!$B$26/'Weights &amp; Assumptions'!$B$28+E83*'Weights &amp; Assumptions'!$B$27/'Weights &amp; Assumptions'!$B$28,"")</f>
        <v>138.586305427919</v>
      </c>
      <c r="G83" s="31" t="n">
        <f aca="false">IFERROR((F83/F82-1)*100,"")</f>
        <v>0.0613386170937647</v>
      </c>
      <c r="H83" s="31" t="n">
        <f aca="false">IFERROR((F83/F71-1)*100,"")</f>
        <v>13.0248715604876</v>
      </c>
      <c r="I83" s="31" t="n">
        <f aca="false">IFERROR((C83/C82-1)*100,"")</f>
        <v>2.85342045831105</v>
      </c>
      <c r="J83" s="31" t="n">
        <f aca="false">IFERROR((D83/D82-1)*100,"")</f>
        <v>-0.442100859112482</v>
      </c>
      <c r="K83" s="31" t="n">
        <f aca="false">IFERROR((E83/E82-1)*100,"")</f>
        <v>-0.10299168521436</v>
      </c>
    </row>
    <row r="84" customFormat="false" ht="15" hidden="false" customHeight="false" outlineLevel="0" collapsed="false">
      <c r="A84" s="20" t="n">
        <v>40359</v>
      </c>
      <c r="B84" s="32" t="str">
        <f aca="false">IF(ISNUMBER('SA Data'!T84),"A","F")</f>
        <v>A</v>
      </c>
      <c r="C84" s="30" t="n">
        <f aca="false">IFERROR('SA Data'!R84,"")</f>
        <v>141.11506731792</v>
      </c>
      <c r="D84" s="30" t="n">
        <f aca="false">IFERROR('SA Data'!S84,"")</f>
        <v>132.984900606792</v>
      </c>
      <c r="E84" s="30" t="n">
        <f aca="false">IFERROR('SA Data'!T84,"")</f>
        <v>143.149299431204</v>
      </c>
      <c r="F84" s="23" t="n">
        <f aca="false">IFERROR(C84*'Weights &amp; Assumptions'!$B$25/'Weights &amp; Assumptions'!$B$28+D84*'Weights &amp; Assumptions'!$B$26/'Weights &amp; Assumptions'!$B$28+E84*'Weights &amp; Assumptions'!$B$27/'Weights &amp; Assumptions'!$B$28,"")</f>
        <v>140.275734463207</v>
      </c>
      <c r="G84" s="31" t="n">
        <f aca="false">IFERROR((F84/F83-1)*100,"")</f>
        <v>1.21904471734899</v>
      </c>
      <c r="H84" s="31" t="n">
        <f aca="false">IFERROR((F84/F72-1)*100,"")</f>
        <v>12.374831615576</v>
      </c>
      <c r="I84" s="31" t="n">
        <f aca="false">IFERROR((C84/C83-1)*100,"")</f>
        <v>-1.58469269654212</v>
      </c>
      <c r="J84" s="31" t="n">
        <f aca="false">IFERROR((D84/D83-1)*100,"")</f>
        <v>1.90594150017833</v>
      </c>
      <c r="K84" s="31" t="n">
        <f aca="false">IFERROR((E84/E83-1)*100,"")</f>
        <v>1.32675234148236</v>
      </c>
    </row>
    <row r="85" customFormat="false" ht="15" hidden="false" customHeight="false" outlineLevel="0" collapsed="false">
      <c r="A85" s="20" t="n">
        <v>40390</v>
      </c>
      <c r="B85" s="32" t="str">
        <f aca="false">IF(ISNUMBER('SA Data'!T85),"A","F")</f>
        <v>A</v>
      </c>
      <c r="C85" s="30" t="n">
        <f aca="false">IFERROR('SA Data'!R85,"")</f>
        <v>122.702303213126</v>
      </c>
      <c r="D85" s="30" t="n">
        <f aca="false">IFERROR('SA Data'!S85,"")</f>
        <v>132.619970073466</v>
      </c>
      <c r="E85" s="30" t="n">
        <f aca="false">IFERROR('SA Data'!T85,"")</f>
        <v>142.63036424858</v>
      </c>
      <c r="F85" s="23" t="n">
        <f aca="false">IFERROR(C85*'Weights &amp; Assumptions'!$B$25/'Weights &amp; Assumptions'!$B$28+D85*'Weights &amp; Assumptions'!$B$26/'Weights &amp; Assumptions'!$B$28+E85*'Weights &amp; Assumptions'!$B$27/'Weights &amp; Assumptions'!$B$28,"")</f>
        <v>138.296444669226</v>
      </c>
      <c r="G85" s="31" t="n">
        <f aca="false">IFERROR((F85/F84-1)*100,"")</f>
        <v>-1.41099941594012</v>
      </c>
      <c r="H85" s="31" t="n">
        <f aca="false">IFERROR((F85/F73-1)*100,"")</f>
        <v>8.44230843870728</v>
      </c>
      <c r="I85" s="31" t="n">
        <f aca="false">IFERROR((C85/C84-1)*100,"")</f>
        <v>-13.0480496907617</v>
      </c>
      <c r="J85" s="31" t="n">
        <f aca="false">IFERROR((D85/D84-1)*100,"")</f>
        <v>-0.274415013780227</v>
      </c>
      <c r="K85" s="31" t="n">
        <f aca="false">IFERROR((E85/E84-1)*100,"")</f>
        <v>-0.362513253425456</v>
      </c>
    </row>
    <row r="86" customFormat="false" ht="15" hidden="false" customHeight="false" outlineLevel="0" collapsed="false">
      <c r="A86" s="20" t="n">
        <v>40421</v>
      </c>
      <c r="B86" s="32" t="str">
        <f aca="false">IF(ISNUMBER('SA Data'!T86),"A","F")</f>
        <v>A</v>
      </c>
      <c r="C86" s="30" t="n">
        <f aca="false">IFERROR('SA Data'!R86,"")</f>
        <v>112.192574385447</v>
      </c>
      <c r="D86" s="30" t="n">
        <f aca="false">IFERROR('SA Data'!S86,"")</f>
        <v>134.929011333757</v>
      </c>
      <c r="E86" s="30" t="n">
        <f aca="false">IFERROR('SA Data'!T86,"")</f>
        <v>143.536870641985</v>
      </c>
      <c r="F86" s="23" t="n">
        <f aca="false">IFERROR(C86*'Weights &amp; Assumptions'!$B$25/'Weights &amp; Assumptions'!$B$28+D86*'Weights &amp; Assumptions'!$B$26/'Weights &amp; Assumptions'!$B$28+E86*'Weights &amp; Assumptions'!$B$27/'Weights &amp; Assumptions'!$B$28,"")</f>
        <v>138.618077947825</v>
      </c>
      <c r="G86" s="31" t="n">
        <f aca="false">IFERROR((F86/F85-1)*100,"")</f>
        <v>0.232568002285438</v>
      </c>
      <c r="H86" s="31" t="n">
        <f aca="false">IFERROR((F86/F74-1)*100,"")</f>
        <v>8.60769557424264</v>
      </c>
      <c r="I86" s="31" t="n">
        <f aca="false">IFERROR((C86/C85-1)*100,"")</f>
        <v>-8.56522538898399</v>
      </c>
      <c r="J86" s="31" t="n">
        <f aca="false">IFERROR((D86/D85-1)*100,"")</f>
        <v>1.74109620067884</v>
      </c>
      <c r="K86" s="31" t="n">
        <f aca="false">IFERROR((E86/E85-1)*100,"")</f>
        <v>0.635563400668526</v>
      </c>
    </row>
    <row r="87" customFormat="false" ht="15" hidden="false" customHeight="false" outlineLevel="0" collapsed="false">
      <c r="A87" s="20" t="n">
        <v>40451</v>
      </c>
      <c r="B87" s="32" t="str">
        <f aca="false">IF(ISNUMBER('SA Data'!T87),"A","F")</f>
        <v>A</v>
      </c>
      <c r="C87" s="30" t="n">
        <f aca="false">IFERROR('SA Data'!R87,"")</f>
        <v>111.595601399625</v>
      </c>
      <c r="D87" s="30" t="n">
        <f aca="false">IFERROR('SA Data'!S87,"")</f>
        <v>133.586497463679</v>
      </c>
      <c r="E87" s="30" t="n">
        <f aca="false">IFERROR('SA Data'!T87,"")</f>
        <v>144.201437104287</v>
      </c>
      <c r="F87" s="23" t="n">
        <f aca="false">IFERROR(C87*'Weights &amp; Assumptions'!$B$25/'Weights &amp; Assumptions'!$B$28+D87*'Weights &amp; Assumptions'!$B$26/'Weights &amp; Assumptions'!$B$28+E87*'Weights &amp; Assumptions'!$B$27/'Weights &amp; Assumptions'!$B$28,"")</f>
        <v>138.643082480188</v>
      </c>
      <c r="G87" s="31" t="n">
        <f aca="false">IFERROR((F87/F86-1)*100,"")</f>
        <v>0.018038435342338</v>
      </c>
      <c r="H87" s="31" t="n">
        <f aca="false">IFERROR((F87/F75-1)*100,"")</f>
        <v>6.56954692659426</v>
      </c>
      <c r="I87" s="31" t="n">
        <f aca="false">IFERROR((C87/C86-1)*100,"")</f>
        <v>-0.532096699886375</v>
      </c>
      <c r="J87" s="31" t="n">
        <f aca="false">IFERROR((D87/D86-1)*100,"")</f>
        <v>-0.994977919727613</v>
      </c>
      <c r="K87" s="31" t="n">
        <f aca="false">IFERROR((E87/E86-1)*100,"")</f>
        <v>0.462993556519797</v>
      </c>
    </row>
    <row r="88" customFormat="false" ht="15" hidden="false" customHeight="false" outlineLevel="0" collapsed="false">
      <c r="A88" s="20" t="n">
        <v>40482</v>
      </c>
      <c r="B88" s="32" t="str">
        <f aca="false">IF(ISNUMBER('SA Data'!T88),"A","F")</f>
        <v>A</v>
      </c>
      <c r="C88" s="30" t="n">
        <f aca="false">IFERROR('SA Data'!R88,"")</f>
        <v>116.813641109362</v>
      </c>
      <c r="D88" s="30" t="n">
        <f aca="false">IFERROR('SA Data'!S88,"")</f>
        <v>132.421690846114</v>
      </c>
      <c r="E88" s="30" t="n">
        <f aca="false">IFERROR('SA Data'!T88,"")</f>
        <v>142.981087326406</v>
      </c>
      <c r="F88" s="23" t="n">
        <f aca="false">IFERROR(C88*'Weights &amp; Assumptions'!$B$25/'Weights &amp; Assumptions'!$B$28+D88*'Weights &amp; Assumptions'!$B$26/'Weights &amp; Assumptions'!$B$28+E88*'Weights &amp; Assumptions'!$B$27/'Weights &amp; Assumptions'!$B$28,"")</f>
        <v>137.977688834901</v>
      </c>
      <c r="G88" s="31" t="n">
        <f aca="false">IFERROR((F88/F87-1)*100,"")</f>
        <v>-0.479932812646866</v>
      </c>
      <c r="H88" s="31" t="n">
        <f aca="false">IFERROR((F88/F76-1)*100,"")</f>
        <v>5.63706194584022</v>
      </c>
      <c r="I88" s="31" t="n">
        <f aca="false">IFERROR((C88/C87-1)*100,"")</f>
        <v>4.67584711609836</v>
      </c>
      <c r="J88" s="31" t="n">
        <f aca="false">IFERROR((D88/D87-1)*100,"")</f>
        <v>-0.871949365901503</v>
      </c>
      <c r="K88" s="31" t="n">
        <f aca="false">IFERROR((E88/E87-1)*100,"")</f>
        <v>-0.846281287056949</v>
      </c>
    </row>
    <row r="89" customFormat="false" ht="15" hidden="false" customHeight="false" outlineLevel="0" collapsed="false">
      <c r="A89" s="20" t="n">
        <v>40512</v>
      </c>
      <c r="B89" s="32" t="str">
        <f aca="false">IF(ISNUMBER('SA Data'!T89),"A","F")</f>
        <v>A</v>
      </c>
      <c r="C89" s="30" t="n">
        <f aca="false">IFERROR('SA Data'!R89,"")</f>
        <v>124.232304629304</v>
      </c>
      <c r="D89" s="30" t="n">
        <f aca="false">IFERROR('SA Data'!S89,"")</f>
        <v>136.12796880806</v>
      </c>
      <c r="E89" s="30" t="n">
        <f aca="false">IFERROR('SA Data'!T89,"")</f>
        <v>147.029751580591</v>
      </c>
      <c r="F89" s="23" t="n">
        <f aca="false">IFERROR(C89*'Weights &amp; Assumptions'!$B$25/'Weights &amp; Assumptions'!$B$28+D89*'Weights &amp; Assumptions'!$B$26/'Weights &amp; Assumptions'!$B$28+E89*'Weights &amp; Assumptions'!$B$27/'Weights &amp; Assumptions'!$B$28,"")</f>
        <v>142.218052336024</v>
      </c>
      <c r="G89" s="31" t="n">
        <f aca="false">IFERROR((F89/F88-1)*100,"")</f>
        <v>3.07322403855941</v>
      </c>
      <c r="H89" s="31" t="n">
        <f aca="false">IFERROR((F89/F77-1)*100,"")</f>
        <v>8.80537629804248</v>
      </c>
      <c r="I89" s="31" t="n">
        <f aca="false">IFERROR((C89/C88-1)*100,"")</f>
        <v>6.35085376116011</v>
      </c>
      <c r="J89" s="31" t="n">
        <f aca="false">IFERROR((D89/D88-1)*100,"")</f>
        <v>2.79884506704606</v>
      </c>
      <c r="K89" s="31" t="n">
        <f aca="false">IFERROR((E89/E88-1)*100,"")</f>
        <v>2.83160824266373</v>
      </c>
    </row>
    <row r="90" customFormat="false" ht="15" hidden="false" customHeight="false" outlineLevel="0" collapsed="false">
      <c r="A90" s="20" t="n">
        <v>40543</v>
      </c>
      <c r="B90" s="32" t="str">
        <f aca="false">IF(ISNUMBER('SA Data'!T90),"A","F")</f>
        <v>A</v>
      </c>
      <c r="C90" s="30" t="n">
        <f aca="false">IFERROR('SA Data'!R90,"")</f>
        <v>138.086731682048</v>
      </c>
      <c r="D90" s="30" t="n">
        <f aca="false">IFERROR('SA Data'!S90,"")</f>
        <v>134.612151994352</v>
      </c>
      <c r="E90" s="30" t="n">
        <f aca="false">IFERROR('SA Data'!T90,"")</f>
        <v>147.001094752049</v>
      </c>
      <c r="F90" s="23" t="n">
        <f aca="false">IFERROR(C90*'Weights &amp; Assumptions'!$B$25/'Weights &amp; Assumptions'!$B$28+D90*'Weights &amp; Assumptions'!$B$26/'Weights &amp; Assumptions'!$B$28+E90*'Weights &amp; Assumptions'!$B$27/'Weights &amp; Assumptions'!$B$28,"")</f>
        <v>142.958735980589</v>
      </c>
      <c r="G90" s="31" t="n">
        <f aca="false">IFERROR((F90/F89-1)*100,"")</f>
        <v>0.520808457435007</v>
      </c>
      <c r="H90" s="31" t="n">
        <f aca="false">IFERROR((F90/F78-1)*100,"")</f>
        <v>9.45993461953305</v>
      </c>
      <c r="I90" s="31" t="n">
        <f aca="false">IFERROR((C90/C89-1)*100,"")</f>
        <v>11.1520325523098</v>
      </c>
      <c r="J90" s="31" t="n">
        <f aca="false">IFERROR((D90/D89-1)*100,"")</f>
        <v>-1.11352341989671</v>
      </c>
      <c r="K90" s="31" t="n">
        <f aca="false">IFERROR((E90/E89-1)*100,"")</f>
        <v>-0.0194904964705422</v>
      </c>
    </row>
    <row r="91" customFormat="false" ht="15" hidden="false" customHeight="false" outlineLevel="0" collapsed="false">
      <c r="A91" s="20" t="n">
        <v>40574</v>
      </c>
      <c r="B91" s="32" t="str">
        <f aca="false">IF(ISNUMBER('SA Data'!T91),"A","F")</f>
        <v>A</v>
      </c>
      <c r="C91" s="30" t="n">
        <f aca="false">IFERROR('SA Data'!R91,"")</f>
        <v>132.129839578409</v>
      </c>
      <c r="D91" s="30" t="n">
        <f aca="false">IFERROR('SA Data'!S91,"")</f>
        <v>139.090508433034</v>
      </c>
      <c r="E91" s="30" t="n">
        <f aca="false">IFERROR('SA Data'!T91,"")</f>
        <v>147.975950764701</v>
      </c>
      <c r="F91" s="23" t="n">
        <f aca="false">IFERROR(C91*'Weights &amp; Assumptions'!$B$25/'Weights &amp; Assumptions'!$B$28+D91*'Weights &amp; Assumptions'!$B$26/'Weights &amp; Assumptions'!$B$28+E91*'Weights &amp; Assumptions'!$B$27/'Weights &amp; Assumptions'!$B$28,"")</f>
        <v>144.2836545207</v>
      </c>
      <c r="G91" s="31" t="n">
        <f aca="false">IFERROR((F91/F90-1)*100,"")</f>
        <v>0.926783893983862</v>
      </c>
      <c r="H91" s="31" t="n">
        <f aca="false">IFERROR((F91/F79-1)*100,"")</f>
        <v>9.66822900403384</v>
      </c>
      <c r="I91" s="31" t="n">
        <f aca="false">IFERROR((C91/C90-1)*100,"")</f>
        <v>-4.31387725024526</v>
      </c>
      <c r="J91" s="31" t="n">
        <f aca="false">IFERROR((D91/D90-1)*100,"")</f>
        <v>3.32685895911531</v>
      </c>
      <c r="K91" s="31" t="n">
        <f aca="false">IFERROR((E91/E90-1)*100,"")</f>
        <v>0.663162416780838</v>
      </c>
    </row>
    <row r="92" customFormat="false" ht="15" hidden="false" customHeight="false" outlineLevel="0" collapsed="false">
      <c r="A92" s="20" t="n">
        <v>40602</v>
      </c>
      <c r="B92" s="32" t="str">
        <f aca="false">IF(ISNUMBER('SA Data'!T92),"A","F")</f>
        <v>A</v>
      </c>
      <c r="C92" s="30" t="n">
        <f aca="false">IFERROR('SA Data'!R92,"")</f>
        <v>125.462904254263</v>
      </c>
      <c r="D92" s="30" t="n">
        <f aca="false">IFERROR('SA Data'!S92,"")</f>
        <v>139.484935323508</v>
      </c>
      <c r="E92" s="30" t="n">
        <f aca="false">IFERROR('SA Data'!T92,"")</f>
        <v>147.654484108579</v>
      </c>
      <c r="F92" s="23" t="n">
        <f aca="false">IFERROR(C92*'Weights &amp; Assumptions'!$B$25/'Weights &amp; Assumptions'!$B$28+D92*'Weights &amp; Assumptions'!$B$26/'Weights &amp; Assumptions'!$B$28+E92*'Weights &amp; Assumptions'!$B$27/'Weights &amp; Assumptions'!$B$28,"")</f>
        <v>143.620166362029</v>
      </c>
      <c r="G92" s="31" t="n">
        <f aca="false">IFERROR((F92/F91-1)*100,"")</f>
        <v>-0.459849842918747</v>
      </c>
      <c r="H92" s="31" t="n">
        <f aca="false">IFERROR((F92/F80-1)*100,"")</f>
        <v>7.82645006603659</v>
      </c>
      <c r="I92" s="31" t="n">
        <f aca="false">IFERROR((C92/C91-1)*100,"")</f>
        <v>-5.04574541634112</v>
      </c>
      <c r="J92" s="31" t="n">
        <f aca="false">IFERROR((D92/D91-1)*100,"")</f>
        <v>0.283575705428807</v>
      </c>
      <c r="K92" s="31" t="n">
        <f aca="false">IFERROR((E92/E91-1)*100,"")</f>
        <v>-0.217242500865888</v>
      </c>
    </row>
    <row r="93" customFormat="false" ht="15" hidden="false" customHeight="false" outlineLevel="0" collapsed="false">
      <c r="A93" s="20" t="n">
        <v>40633</v>
      </c>
      <c r="B93" s="32" t="str">
        <f aca="false">IF(ISNUMBER('SA Data'!T93),"A","F")</f>
        <v>A</v>
      </c>
      <c r="C93" s="30" t="n">
        <f aca="false">IFERROR('SA Data'!R93,"")</f>
        <v>127.88106766193</v>
      </c>
      <c r="D93" s="30" t="n">
        <f aca="false">IFERROR('SA Data'!S93,"")</f>
        <v>140.954322515253</v>
      </c>
      <c r="E93" s="30" t="n">
        <f aca="false">IFERROR('SA Data'!T93,"")</f>
        <v>149.666901551105</v>
      </c>
      <c r="F93" s="23" t="n">
        <f aca="false">IFERROR(C93*'Weights &amp; Assumptions'!$B$25/'Weights &amp; Assumptions'!$B$28+D93*'Weights &amp; Assumptions'!$B$26/'Weights &amp; Assumptions'!$B$28+E93*'Weights &amp; Assumptions'!$B$27/'Weights &amp; Assumptions'!$B$28,"")</f>
        <v>145.522224999266</v>
      </c>
      <c r="G93" s="31" t="n">
        <f aca="false">IFERROR((F93/F92-1)*100,"")</f>
        <v>1.32436738197517</v>
      </c>
      <c r="H93" s="31" t="n">
        <f aca="false">IFERROR((F93/F81-1)*100,"")</f>
        <v>6.97495598107236</v>
      </c>
      <c r="I93" s="31" t="n">
        <f aca="false">IFERROR((C93/C92-1)*100,"")</f>
        <v>1.92739313826691</v>
      </c>
      <c r="J93" s="31" t="n">
        <f aca="false">IFERROR((D93/D92-1)*100,"")</f>
        <v>1.05343791308865</v>
      </c>
      <c r="K93" s="31" t="n">
        <f aca="false">IFERROR((E93/E92-1)*100,"")</f>
        <v>1.36292335087189</v>
      </c>
    </row>
    <row r="94" customFormat="false" ht="15" hidden="false" customHeight="false" outlineLevel="0" collapsed="false">
      <c r="A94" s="20" t="n">
        <v>40663</v>
      </c>
      <c r="B94" s="32" t="str">
        <f aca="false">IF(ISNUMBER('SA Data'!T94),"A","F")</f>
        <v>A</v>
      </c>
      <c r="C94" s="30" t="n">
        <f aca="false">IFERROR('SA Data'!R94,"")</f>
        <v>128.146254506252</v>
      </c>
      <c r="D94" s="30" t="n">
        <f aca="false">IFERROR('SA Data'!S94,"")</f>
        <v>138.203002688308</v>
      </c>
      <c r="E94" s="30" t="n">
        <f aca="false">IFERROR('SA Data'!T94,"")</f>
        <v>149.919933115888</v>
      </c>
      <c r="F94" s="23" t="n">
        <f aca="false">IFERROR(C94*'Weights &amp; Assumptions'!$B$25/'Weights &amp; Assumptions'!$B$28+D94*'Weights &amp; Assumptions'!$B$26/'Weights &amp; Assumptions'!$B$28+E94*'Weights &amp; Assumptions'!$B$27/'Weights &amp; Assumptions'!$B$28,"")</f>
        <v>144.977366886552</v>
      </c>
      <c r="G94" s="31" t="n">
        <f aca="false">IFERROR((F94/F93-1)*100,"")</f>
        <v>-0.374415738019984</v>
      </c>
      <c r="H94" s="31" t="n">
        <f aca="false">IFERROR((F94/F82-1)*100,"")</f>
        <v>4.67577842599356</v>
      </c>
      <c r="I94" s="31" t="n">
        <f aca="false">IFERROR((C94/C93-1)*100,"")</f>
        <v>0.207369901714149</v>
      </c>
      <c r="J94" s="31" t="n">
        <f aca="false">IFERROR((D94/D93-1)*100,"")</f>
        <v>-1.95192299026316</v>
      </c>
      <c r="K94" s="31" t="n">
        <f aca="false">IFERROR((E94/E93-1)*100,"")</f>
        <v>0.169063140989301</v>
      </c>
    </row>
    <row r="95" customFormat="false" ht="15" hidden="false" customHeight="false" outlineLevel="0" collapsed="false">
      <c r="A95" s="20" t="n">
        <v>40694</v>
      </c>
      <c r="B95" s="32" t="str">
        <f aca="false">IF(ISNUMBER('SA Data'!T95),"A","F")</f>
        <v>A</v>
      </c>
      <c r="C95" s="30" t="n">
        <f aca="false">IFERROR('SA Data'!R95,"")</f>
        <v>126.91553707771</v>
      </c>
      <c r="D95" s="30" t="n">
        <f aca="false">IFERROR('SA Data'!S95,"")</f>
        <v>142.14721125854</v>
      </c>
      <c r="E95" s="30" t="n">
        <f aca="false">IFERROR('SA Data'!T95,"")</f>
        <v>152.068287856914</v>
      </c>
      <c r="F95" s="23" t="n">
        <f aca="false">IFERROR(C95*'Weights &amp; Assumptions'!$B$25/'Weights &amp; Assumptions'!$B$28+D95*'Weights &amp; Assumptions'!$B$26/'Weights &amp; Assumptions'!$B$28+E95*'Weights &amp; Assumptions'!$B$27/'Weights &amp; Assumptions'!$B$28,"")</f>
        <v>147.31976356395</v>
      </c>
      <c r="G95" s="31" t="n">
        <f aca="false">IFERROR((F95/F94-1)*100,"")</f>
        <v>1.61569817944824</v>
      </c>
      <c r="H95" s="31" t="n">
        <f aca="false">IFERROR((F95/F83-1)*100,"")</f>
        <v>6.30181900662143</v>
      </c>
      <c r="I95" s="31" t="n">
        <f aca="false">IFERROR((C95/C94-1)*100,"")</f>
        <v>-0.960400624492486</v>
      </c>
      <c r="J95" s="31" t="n">
        <f aca="false">IFERROR((D95/D94-1)*100,"")</f>
        <v>2.85392393327917</v>
      </c>
      <c r="K95" s="31" t="n">
        <f aca="false">IFERROR((E95/E94-1)*100,"")</f>
        <v>1.4330014003977</v>
      </c>
    </row>
    <row r="96" customFormat="false" ht="15" hidden="false" customHeight="false" outlineLevel="0" collapsed="false">
      <c r="A96" s="20" t="n">
        <v>40724</v>
      </c>
      <c r="B96" s="32" t="str">
        <f aca="false">IF(ISNUMBER('SA Data'!T96),"A","F")</f>
        <v>A</v>
      </c>
      <c r="C96" s="30" t="n">
        <f aca="false">IFERROR('SA Data'!R96,"")</f>
        <v>127.752735125047</v>
      </c>
      <c r="D96" s="30" t="n">
        <f aca="false">IFERROR('SA Data'!S96,"")</f>
        <v>143.295171636148</v>
      </c>
      <c r="E96" s="30" t="n">
        <f aca="false">IFERROR('SA Data'!T96,"")</f>
        <v>152.635256087455</v>
      </c>
      <c r="F96" s="23" t="n">
        <f aca="false">IFERROR(C96*'Weights &amp; Assumptions'!$B$25/'Weights &amp; Assumptions'!$B$28+D96*'Weights &amp; Assumptions'!$B$26/'Weights &amp; Assumptions'!$B$28+E96*'Weights &amp; Assumptions'!$B$27/'Weights &amp; Assumptions'!$B$28,"")</f>
        <v>148.063900261777</v>
      </c>
      <c r="G96" s="31" t="n">
        <f aca="false">IFERROR((F96/F95-1)*100,"")</f>
        <v>0.505116679408468</v>
      </c>
      <c r="H96" s="31" t="n">
        <f aca="false">IFERROR((F96/F84-1)*100,"")</f>
        <v>5.55204064934856</v>
      </c>
      <c r="I96" s="31" t="n">
        <f aca="false">IFERROR((C96/C95-1)*100,"")</f>
        <v>0.659649769140702</v>
      </c>
      <c r="J96" s="31" t="n">
        <f aca="false">IFERROR((D96/D95-1)*100,"")</f>
        <v>0.807585577968117</v>
      </c>
      <c r="K96" s="31" t="n">
        <f aca="false">IFERROR((E96/E95-1)*100,"")</f>
        <v>0.372837912842328</v>
      </c>
    </row>
    <row r="97" customFormat="false" ht="15" hidden="false" customHeight="false" outlineLevel="0" collapsed="false">
      <c r="A97" s="20" t="n">
        <v>40755</v>
      </c>
      <c r="B97" s="32" t="str">
        <f aca="false">IF(ISNUMBER('SA Data'!T97),"A","F")</f>
        <v>A</v>
      </c>
      <c r="C97" s="30" t="n">
        <f aca="false">IFERROR('SA Data'!R97,"")</f>
        <v>120.478411392842</v>
      </c>
      <c r="D97" s="30" t="n">
        <f aca="false">IFERROR('SA Data'!S97,"")</f>
        <v>141.000456611171</v>
      </c>
      <c r="E97" s="30" t="n">
        <f aca="false">IFERROR('SA Data'!T97,"")</f>
        <v>150.327421461679</v>
      </c>
      <c r="F97" s="23" t="n">
        <f aca="false">IFERROR(C97*'Weights &amp; Assumptions'!$B$25/'Weights &amp; Assumptions'!$B$28+D97*'Weights &amp; Assumptions'!$B$26/'Weights &amp; Assumptions'!$B$28+E97*'Weights &amp; Assumptions'!$B$27/'Weights &amp; Assumptions'!$B$28,"")</f>
        <v>145.342861797895</v>
      </c>
      <c r="G97" s="31" t="n">
        <f aca="false">IFERROR((F97/F96-1)*100,"")</f>
        <v>-1.83774604010223</v>
      </c>
      <c r="H97" s="31" t="n">
        <f aca="false">IFERROR((F97/F85-1)*100,"")</f>
        <v>5.09515421421196</v>
      </c>
      <c r="I97" s="31" t="n">
        <f aca="false">IFERROR((C97/C96-1)*100,"")</f>
        <v>-5.69406496470245</v>
      </c>
      <c r="J97" s="31" t="n">
        <f aca="false">IFERROR((D97/D96-1)*100,"")</f>
        <v>-1.60139033212043</v>
      </c>
      <c r="K97" s="31" t="n">
        <f aca="false">IFERROR((E97/E96-1)*100,"")</f>
        <v>-1.51199315605965</v>
      </c>
    </row>
    <row r="98" customFormat="false" ht="15" hidden="false" customHeight="false" outlineLevel="0" collapsed="false">
      <c r="A98" s="20" t="n">
        <v>40786</v>
      </c>
      <c r="B98" s="32" t="str">
        <f aca="false">IF(ISNUMBER('SA Data'!T98),"A","F")</f>
        <v>A</v>
      </c>
      <c r="C98" s="30" t="n">
        <f aca="false">IFERROR('SA Data'!R98,"")</f>
        <v>120.483169104367</v>
      </c>
      <c r="D98" s="30" t="n">
        <f aca="false">IFERROR('SA Data'!S98,"")</f>
        <v>142.319583422555</v>
      </c>
      <c r="E98" s="30" t="n">
        <f aca="false">IFERROR('SA Data'!T98,"")</f>
        <v>153.29017808241</v>
      </c>
      <c r="F98" s="23" t="n">
        <f aca="false">IFERROR(C98*'Weights &amp; Assumptions'!$B$25/'Weights &amp; Assumptions'!$B$28+D98*'Weights &amp; Assumptions'!$B$26/'Weights &amp; Assumptions'!$B$28+E98*'Weights &amp; Assumptions'!$B$27/'Weights &amp; Assumptions'!$B$28,"")</f>
        <v>147.620369971</v>
      </c>
      <c r="G98" s="31" t="n">
        <f aca="false">IFERROR((F98/F97-1)*100,"")</f>
        <v>1.56699004335821</v>
      </c>
      <c r="H98" s="31" t="n">
        <f aca="false">IFERROR((F98/F86-1)*100,"")</f>
        <v>6.4943131202293</v>
      </c>
      <c r="I98" s="31" t="n">
        <f aca="false">IFERROR((C98/C97-1)*100,"")</f>
        <v>0.00394901581906026</v>
      </c>
      <c r="J98" s="31" t="n">
        <f aca="false">IFERROR((D98/D97-1)*100,"")</f>
        <v>0.935547900402267</v>
      </c>
      <c r="K98" s="31" t="n">
        <f aca="false">IFERROR((E98/E97-1)*100,"")</f>
        <v>1.97086904832391</v>
      </c>
    </row>
    <row r="99" customFormat="false" ht="15" hidden="false" customHeight="false" outlineLevel="0" collapsed="false">
      <c r="A99" s="20" t="n">
        <v>40816</v>
      </c>
      <c r="B99" s="32" t="str">
        <f aca="false">IF(ISNUMBER('SA Data'!T99),"A","F")</f>
        <v>A</v>
      </c>
      <c r="C99" s="30" t="n">
        <f aca="false">IFERROR('SA Data'!R99,"")</f>
        <v>120.330834549087</v>
      </c>
      <c r="D99" s="30" t="n">
        <f aca="false">IFERROR('SA Data'!S99,"")</f>
        <v>142.976507759983</v>
      </c>
      <c r="E99" s="30" t="n">
        <f aca="false">IFERROR('SA Data'!T99,"")</f>
        <v>154.143980546219</v>
      </c>
      <c r="F99" s="23" t="n">
        <f aca="false">IFERROR(C99*'Weights &amp; Assumptions'!$B$25/'Weights &amp; Assumptions'!$B$28+D99*'Weights &amp; Assumptions'!$B$26/'Weights &amp; Assumptions'!$B$28+E99*'Weights &amp; Assumptions'!$B$27/'Weights &amp; Assumptions'!$B$28,"")</f>
        <v>148.337403368698</v>
      </c>
      <c r="G99" s="31" t="n">
        <f aca="false">IFERROR((F99/F98-1)*100,"")</f>
        <v>0.48572795057944</v>
      </c>
      <c r="H99" s="31" t="n">
        <f aca="false">IFERROR((F99/F87-1)*100,"")</f>
        <v>6.99228603049493</v>
      </c>
      <c r="I99" s="31" t="n">
        <f aca="false">IFERROR((C99/C98-1)*100,"")</f>
        <v>-0.126436378136519</v>
      </c>
      <c r="J99" s="31" t="n">
        <f aca="false">IFERROR((D99/D98-1)*100,"")</f>
        <v>0.4615839378044</v>
      </c>
      <c r="K99" s="31" t="n">
        <f aca="false">IFERROR((E99/E98-1)*100,"")</f>
        <v>0.556984455553455</v>
      </c>
    </row>
    <row r="100" customFormat="false" ht="15" hidden="false" customHeight="false" outlineLevel="0" collapsed="false">
      <c r="A100" s="20" t="n">
        <v>40847</v>
      </c>
      <c r="B100" s="32" t="str">
        <f aca="false">IF(ISNUMBER('SA Data'!T100),"A","F")</f>
        <v>A</v>
      </c>
      <c r="C100" s="30" t="n">
        <f aca="false">IFERROR('SA Data'!R100,"")</f>
        <v>121.314426471147</v>
      </c>
      <c r="D100" s="30" t="n">
        <f aca="false">IFERROR('SA Data'!S100,"")</f>
        <v>139.737003312033</v>
      </c>
      <c r="E100" s="30" t="n">
        <f aca="false">IFERROR('SA Data'!T100,"")</f>
        <v>152.37674318509</v>
      </c>
      <c r="F100" s="23" t="n">
        <f aca="false">IFERROR(C100*'Weights &amp; Assumptions'!$B$25/'Weights &amp; Assumptions'!$B$28+D100*'Weights &amp; Assumptions'!$B$26/'Weights &amp; Assumptions'!$B$28+E100*'Weights &amp; Assumptions'!$B$27/'Weights &amp; Assumptions'!$B$28,"")</f>
        <v>146.409461337474</v>
      </c>
      <c r="G100" s="31" t="n">
        <f aca="false">IFERROR((F100/F99-1)*100,"")</f>
        <v>-1.29970053906933</v>
      </c>
      <c r="H100" s="31" t="n">
        <f aca="false">IFERROR((F100/F88-1)*100,"")</f>
        <v>6.11096806575882</v>
      </c>
      <c r="I100" s="31" t="n">
        <f aca="false">IFERROR((C100/C99-1)*100,"")</f>
        <v>0.817406382782449</v>
      </c>
      <c r="J100" s="31" t="n">
        <f aca="false">IFERROR((D100/D99-1)*100,"")</f>
        <v>-2.26575994805296</v>
      </c>
      <c r="K100" s="31" t="n">
        <f aca="false">IFERROR((E100/E99-1)*100,"")</f>
        <v>-1.14648483506582</v>
      </c>
    </row>
    <row r="101" customFormat="false" ht="15" hidden="false" customHeight="false" outlineLevel="0" collapsed="false">
      <c r="A101" s="20" t="n">
        <v>40877</v>
      </c>
      <c r="B101" s="32" t="str">
        <f aca="false">IF(ISNUMBER('SA Data'!T101),"A","F")</f>
        <v>A</v>
      </c>
      <c r="C101" s="30" t="n">
        <f aca="false">IFERROR('SA Data'!R101,"")</f>
        <v>124.21482010959</v>
      </c>
      <c r="D101" s="30" t="n">
        <f aca="false">IFERROR('SA Data'!S101,"")</f>
        <v>140.175783972182</v>
      </c>
      <c r="E101" s="30" t="n">
        <f aca="false">IFERROR('SA Data'!T101,"")</f>
        <v>153.379464133086</v>
      </c>
      <c r="F101" s="23" t="n">
        <f aca="false">IFERROR(C101*'Weights &amp; Assumptions'!$B$25/'Weights &amp; Assumptions'!$B$28+D101*'Weights &amp; Assumptions'!$B$26/'Weights &amp; Assumptions'!$B$28+E101*'Weights &amp; Assumptions'!$B$27/'Weights &amp; Assumptions'!$B$28,"")</f>
        <v>147.421437029898</v>
      </c>
      <c r="G101" s="31" t="n">
        <f aca="false">IFERROR((F101/F100-1)*100,"")</f>
        <v>0.691195557431579</v>
      </c>
      <c r="H101" s="31" t="n">
        <f aca="false">IFERROR((F101/F89-1)*100,"")</f>
        <v>3.65873713526879</v>
      </c>
      <c r="I101" s="31" t="n">
        <f aca="false">IFERROR((C101/C100-1)*100,"")</f>
        <v>2.39080686676052</v>
      </c>
      <c r="J101" s="31" t="n">
        <f aca="false">IFERROR((D101/D100-1)*100,"")</f>
        <v>0.314004629947462</v>
      </c>
      <c r="K101" s="31" t="n">
        <f aca="false">IFERROR((E101/E100-1)*100,"")</f>
        <v>0.658053799442282</v>
      </c>
    </row>
    <row r="102" customFormat="false" ht="15" hidden="false" customHeight="false" outlineLevel="0" collapsed="false">
      <c r="A102" s="20" t="n">
        <v>40908</v>
      </c>
      <c r="B102" s="32" t="str">
        <f aca="false">IF(ISNUMBER('SA Data'!T102),"A","F")</f>
        <v>A</v>
      </c>
      <c r="C102" s="30" t="n">
        <f aca="false">IFERROR('SA Data'!R102,"")</f>
        <v>132.612622982677</v>
      </c>
      <c r="D102" s="30" t="n">
        <f aca="false">IFERROR('SA Data'!S102,"")</f>
        <v>139.716686860896</v>
      </c>
      <c r="E102" s="30" t="n">
        <f aca="false">IFERROR('SA Data'!T102,"")</f>
        <v>153.694190620691</v>
      </c>
      <c r="F102" s="23" t="n">
        <f aca="false">IFERROR(C102*'Weights &amp; Assumptions'!$B$25/'Weights &amp; Assumptions'!$B$28+D102*'Weights &amp; Assumptions'!$B$26/'Weights &amp; Assumptions'!$B$28+E102*'Weights &amp; Assumptions'!$B$27/'Weights &amp; Assumptions'!$B$28,"")</f>
        <v>148.208567140744</v>
      </c>
      <c r="G102" s="31" t="n">
        <f aca="false">IFERROR((F102/F101-1)*100,"")</f>
        <v>0.53393192109954</v>
      </c>
      <c r="H102" s="31" t="n">
        <f aca="false">IFERROR((F102/F90-1)*100,"")</f>
        <v>3.67227027026025</v>
      </c>
      <c r="I102" s="31" t="n">
        <f aca="false">IFERROR((C102/C101-1)*100,"")</f>
        <v>6.76070928225656</v>
      </c>
      <c r="J102" s="31" t="n">
        <f aca="false">IFERROR((D102/D101-1)*100,"")</f>
        <v>-0.327515279941037</v>
      </c>
      <c r="K102" s="31" t="n">
        <f aca="false">IFERROR((E102/E101-1)*100,"")</f>
        <v>0.205194671518782</v>
      </c>
    </row>
    <row r="103" customFormat="false" ht="15" hidden="false" customHeight="false" outlineLevel="0" collapsed="false">
      <c r="A103" s="20" t="n">
        <v>40939</v>
      </c>
      <c r="B103" s="32" t="str">
        <f aca="false">IF(ISNUMBER('SA Data'!T103),"A","F")</f>
        <v>A</v>
      </c>
      <c r="C103" s="30" t="n">
        <f aca="false">IFERROR('SA Data'!R103,"")</f>
        <v>131.960926207219</v>
      </c>
      <c r="D103" s="30" t="n">
        <f aca="false">IFERROR('SA Data'!S103,"")</f>
        <v>137.962995824099</v>
      </c>
      <c r="E103" s="30" t="n">
        <f aca="false">IFERROR('SA Data'!T103,"")</f>
        <v>153.288508800382</v>
      </c>
      <c r="F103" s="23" t="n">
        <f aca="false">IFERROR(C103*'Weights &amp; Assumptions'!$B$25/'Weights &amp; Assumptions'!$B$28+D103*'Weights &amp; Assumptions'!$B$26/'Weights &amp; Assumptions'!$B$28+E103*'Weights &amp; Assumptions'!$B$27/'Weights &amp; Assumptions'!$B$28,"")</f>
        <v>147.423785263053</v>
      </c>
      <c r="G103" s="31" t="n">
        <f aca="false">IFERROR((F103/F102-1)*100,"")</f>
        <v>-0.529511817589801</v>
      </c>
      <c r="H103" s="31" t="n">
        <f aca="false">IFERROR((F103/F91-1)*100,"")</f>
        <v>2.17635930610749</v>
      </c>
      <c r="I103" s="31" t="n">
        <f aca="false">IFERROR((C103/C102-1)*100,"")</f>
        <v>-0.491428915890824</v>
      </c>
      <c r="J103" s="31" t="n">
        <f aca="false">IFERROR((D103/D102-1)*100,"")</f>
        <v>-1.25517651198166</v>
      </c>
      <c r="K103" s="31" t="n">
        <f aca="false">IFERROR((E103/E102-1)*100,"")</f>
        <v>-0.26395390656635</v>
      </c>
    </row>
    <row r="104" customFormat="false" ht="15" hidden="false" customHeight="false" outlineLevel="0" collapsed="false">
      <c r="A104" s="20" t="n">
        <v>40968</v>
      </c>
      <c r="B104" s="32" t="str">
        <f aca="false">IF(ISNUMBER('SA Data'!T104),"A","F")</f>
        <v>A</v>
      </c>
      <c r="C104" s="30" t="n">
        <f aca="false">IFERROR('SA Data'!R104,"")</f>
        <v>120.156840287338</v>
      </c>
      <c r="D104" s="30" t="n">
        <f aca="false">IFERROR('SA Data'!S104,"")</f>
        <v>139.401039301338</v>
      </c>
      <c r="E104" s="30" t="n">
        <f aca="false">IFERROR('SA Data'!T104,"")</f>
        <v>152.296170493213</v>
      </c>
      <c r="F104" s="23" t="n">
        <f aca="false">IFERROR(C104*'Weights &amp; Assumptions'!$B$25/'Weights &amp; Assumptions'!$B$28+D104*'Weights &amp; Assumptions'!$B$26/'Weights &amp; Assumptions'!$B$28+E104*'Weights &amp; Assumptions'!$B$27/'Weights &amp; Assumptions'!$B$28,"")</f>
        <v>146.170613304443</v>
      </c>
      <c r="G104" s="31" t="n">
        <f aca="false">IFERROR((F104/F103-1)*100,"")</f>
        <v>-0.850047335560034</v>
      </c>
      <c r="H104" s="31" t="n">
        <f aca="false">IFERROR((F104/F92-1)*100,"")</f>
        <v>1.77582787084702</v>
      </c>
      <c r="I104" s="31" t="n">
        <f aca="false">IFERROR((C104/C103-1)*100,"")</f>
        <v>-8.94513721534875</v>
      </c>
      <c r="J104" s="31" t="n">
        <f aca="false">IFERROR((D104/D103-1)*100,"")</f>
        <v>1.04233999026213</v>
      </c>
      <c r="K104" s="31" t="n">
        <f aca="false">IFERROR((E104/E103-1)*100,"")</f>
        <v>-0.647366404002292</v>
      </c>
    </row>
    <row r="105" customFormat="false" ht="15" hidden="false" customHeight="false" outlineLevel="0" collapsed="false">
      <c r="A105" s="20" t="n">
        <v>40999</v>
      </c>
      <c r="B105" s="32" t="str">
        <f aca="false">IF(ISNUMBER('SA Data'!T105),"A","F")</f>
        <v>A</v>
      </c>
      <c r="C105" s="30" t="n">
        <f aca="false">IFERROR('SA Data'!R105,"")</f>
        <v>114.1420038941</v>
      </c>
      <c r="D105" s="30" t="n">
        <f aca="false">IFERROR('SA Data'!S105,"")</f>
        <v>141.722405943973</v>
      </c>
      <c r="E105" s="30" t="n">
        <f aca="false">IFERROR('SA Data'!T105,"")</f>
        <v>153.534043689268</v>
      </c>
      <c r="F105" s="23" t="n">
        <f aca="false">IFERROR(C105*'Weights &amp; Assumptions'!$B$25/'Weights &amp; Assumptions'!$B$28+D105*'Weights &amp; Assumptions'!$B$26/'Weights &amp; Assumptions'!$B$28+E105*'Weights &amp; Assumptions'!$B$27/'Weights &amp; Assumptions'!$B$28,"")</f>
        <v>147.088097964352</v>
      </c>
      <c r="G105" s="31" t="n">
        <f aca="false">IFERROR((F105/F104-1)*100,"")</f>
        <v>0.62768065288048</v>
      </c>
      <c r="H105" s="31" t="n">
        <f aca="false">IFERROR((F105/F93-1)*100,"")</f>
        <v>1.07603698685421</v>
      </c>
      <c r="I105" s="31" t="n">
        <f aca="false">IFERROR((C105/C104-1)*100,"")</f>
        <v>-5.00582104094535</v>
      </c>
      <c r="J105" s="31" t="n">
        <f aca="false">IFERROR((D105/D104-1)*100,"")</f>
        <v>1.66524342592405</v>
      </c>
      <c r="K105" s="31" t="n">
        <f aca="false">IFERROR((E105/E104-1)*100,"")</f>
        <v>0.812806515125408</v>
      </c>
    </row>
    <row r="106" customFormat="false" ht="15" hidden="false" customHeight="false" outlineLevel="0" collapsed="false">
      <c r="A106" s="20" t="n">
        <v>41029</v>
      </c>
      <c r="B106" s="32" t="str">
        <f aca="false">IF(ISNUMBER('SA Data'!T106),"A","F")</f>
        <v>A</v>
      </c>
      <c r="C106" s="30" t="n">
        <f aca="false">IFERROR('SA Data'!R106,"")</f>
        <v>99.2630652597206</v>
      </c>
      <c r="D106" s="30" t="n">
        <f aca="false">IFERROR('SA Data'!S106,"")</f>
        <v>135.744823471687</v>
      </c>
      <c r="E106" s="30" t="n">
        <f aca="false">IFERROR('SA Data'!T106,"")</f>
        <v>150.049613032732</v>
      </c>
      <c r="F106" s="23" t="n">
        <f aca="false">IFERROR(C106*'Weights &amp; Assumptions'!$B$25/'Weights &amp; Assumptions'!$B$28+D106*'Weights &amp; Assumptions'!$B$26/'Weights &amp; Assumptions'!$B$28+E106*'Weights &amp; Assumptions'!$B$27/'Weights &amp; Assumptions'!$B$28,"")</f>
        <v>141.984685987389</v>
      </c>
      <c r="G106" s="31" t="n">
        <f aca="false">IFERROR((F106/F105-1)*100,"")</f>
        <v>-3.46962945853031</v>
      </c>
      <c r="H106" s="31" t="n">
        <f aca="false">IFERROR((F106/F94-1)*100,"")</f>
        <v>-2.06424006962789</v>
      </c>
      <c r="I106" s="31" t="n">
        <f aca="false">IFERROR((C106/C105-1)*100,"")</f>
        <v>-13.0354629555861</v>
      </c>
      <c r="J106" s="31" t="n">
        <f aca="false">IFERROR((D106/D105-1)*100,"")</f>
        <v>-4.2178104672095</v>
      </c>
      <c r="K106" s="31" t="n">
        <f aca="false">IFERROR((E106/E105-1)*100,"")</f>
        <v>-2.26948406542858</v>
      </c>
    </row>
    <row r="107" customFormat="false" ht="15" hidden="false" customHeight="false" outlineLevel="0" collapsed="false">
      <c r="A107" s="20" t="n">
        <v>41060</v>
      </c>
      <c r="B107" s="32" t="str">
        <f aca="false">IF(ISNUMBER('SA Data'!T107),"A","F")</f>
        <v>A</v>
      </c>
      <c r="C107" s="30" t="n">
        <f aca="false">IFERROR('SA Data'!R107,"")</f>
        <v>96.6383766436702</v>
      </c>
      <c r="D107" s="30" t="n">
        <f aca="false">IFERROR('SA Data'!S107,"")</f>
        <v>135.889340294006</v>
      </c>
      <c r="E107" s="30" t="n">
        <f aca="false">IFERROR('SA Data'!T107,"")</f>
        <v>152.527207931861</v>
      </c>
      <c r="F107" s="23" t="n">
        <f aca="false">IFERROR(C107*'Weights &amp; Assumptions'!$B$25/'Weights &amp; Assumptions'!$B$28+D107*'Weights &amp; Assumptions'!$B$26/'Weights &amp; Assumptions'!$B$28+E107*'Weights &amp; Assumptions'!$B$27/'Weights &amp; Assumptions'!$B$28,"")</f>
        <v>143.413788838266</v>
      </c>
      <c r="G107" s="31" t="n">
        <f aca="false">IFERROR((F107/F106-1)*100,"")</f>
        <v>1.00651900656663</v>
      </c>
      <c r="H107" s="31" t="n">
        <f aca="false">IFERROR((F107/F95-1)*100,"")</f>
        <v>-2.65135826395019</v>
      </c>
      <c r="I107" s="31" t="n">
        <f aca="false">IFERROR((C107/C106-1)*100,"")</f>
        <v>-2.64417445621177</v>
      </c>
      <c r="J107" s="31" t="n">
        <f aca="false">IFERROR((D107/D106-1)*100,"")</f>
        <v>0.106462124023099</v>
      </c>
      <c r="K107" s="31" t="n">
        <f aca="false">IFERROR((E107/E106-1)*100,"")</f>
        <v>1.65118379784732</v>
      </c>
    </row>
    <row r="108" customFormat="false" ht="15" hidden="false" customHeight="false" outlineLevel="0" collapsed="false">
      <c r="A108" s="20" t="n">
        <v>41090</v>
      </c>
      <c r="B108" s="32" t="str">
        <f aca="false">IF(ISNUMBER('SA Data'!T108),"A","F")</f>
        <v>A</v>
      </c>
      <c r="C108" s="30" t="n">
        <f aca="false">IFERROR('SA Data'!R108,"")</f>
        <v>97.4751647028375</v>
      </c>
      <c r="D108" s="30" t="n">
        <f aca="false">IFERROR('SA Data'!S108,"")</f>
        <v>135.091497678173</v>
      </c>
      <c r="E108" s="30" t="n">
        <f aca="false">IFERROR('SA Data'!T108,"")</f>
        <v>152.072851722281</v>
      </c>
      <c r="F108" s="23" t="n">
        <f aca="false">IFERROR(C108*'Weights &amp; Assumptions'!$B$25/'Weights &amp; Assumptions'!$B$28+D108*'Weights &amp; Assumptions'!$B$26/'Weights &amp; Assumptions'!$B$28+E108*'Weights &amp; Assumptions'!$B$27/'Weights &amp; Assumptions'!$B$28,"")</f>
        <v>142.976421671822</v>
      </c>
      <c r="G108" s="31" t="n">
        <f aca="false">IFERROR((F108/F107-1)*100,"")</f>
        <v>-0.304968699304808</v>
      </c>
      <c r="H108" s="31" t="n">
        <f aca="false">IFERROR((F108/F96-1)*100,"")</f>
        <v>-3.43600201059168</v>
      </c>
      <c r="I108" s="31" t="n">
        <f aca="false">IFERROR((C108/C107-1)*100,"")</f>
        <v>0.865896229044383</v>
      </c>
      <c r="J108" s="31" t="n">
        <f aca="false">IFERROR((D108/D107-1)*100,"")</f>
        <v>-0.587126712152009</v>
      </c>
      <c r="K108" s="31" t="n">
        <f aca="false">IFERROR((E108/E107-1)*100,"")</f>
        <v>-0.297885351564786</v>
      </c>
    </row>
    <row r="109" customFormat="false" ht="15" hidden="false" customHeight="false" outlineLevel="0" collapsed="false">
      <c r="A109" s="20" t="n">
        <v>41121</v>
      </c>
      <c r="B109" s="32" t="str">
        <f aca="false">IF(ISNUMBER('SA Data'!T109),"A","F")</f>
        <v>A</v>
      </c>
      <c r="C109" s="30" t="n">
        <f aca="false">IFERROR('SA Data'!R109,"")</f>
        <v>114.836063480638</v>
      </c>
      <c r="D109" s="30" t="n">
        <f aca="false">IFERROR('SA Data'!S109,"")</f>
        <v>137.236542191886</v>
      </c>
      <c r="E109" s="30" t="n">
        <f aca="false">IFERROR('SA Data'!T109,"")</f>
        <v>153.482683471085</v>
      </c>
      <c r="F109" s="23" t="n">
        <f aca="false">IFERROR(C109*'Weights &amp; Assumptions'!$B$25/'Weights &amp; Assumptions'!$B$28+D109*'Weights &amp; Assumptions'!$B$26/'Weights &amp; Assumptions'!$B$28+E109*'Weights &amp; Assumptions'!$B$27/'Weights &amp; Assumptions'!$B$28,"")</f>
        <v>145.920067135817</v>
      </c>
      <c r="G109" s="31" t="n">
        <f aca="false">IFERROR((F109/F108-1)*100,"")</f>
        <v>2.05883279884564</v>
      </c>
      <c r="H109" s="31" t="n">
        <f aca="false">IFERROR((F109/F97-1)*100,"")</f>
        <v>0.397133598982347</v>
      </c>
      <c r="I109" s="31" t="n">
        <f aca="false">IFERROR((C109/C108-1)*100,"")</f>
        <v>17.8105867589218</v>
      </c>
      <c r="J109" s="31" t="n">
        <f aca="false">IFERROR((D109/D108-1)*100,"")</f>
        <v>1.58784568280015</v>
      </c>
      <c r="K109" s="31" t="n">
        <f aca="false">IFERROR((E109/E108-1)*100,"")</f>
        <v>0.927076551032524</v>
      </c>
    </row>
    <row r="110" customFormat="false" ht="15" hidden="false" customHeight="false" outlineLevel="0" collapsed="false">
      <c r="A110" s="20" t="n">
        <v>41152</v>
      </c>
      <c r="B110" s="32" t="str">
        <f aca="false">IF(ISNUMBER('SA Data'!T110),"A","F")</f>
        <v>A</v>
      </c>
      <c r="C110" s="30" t="n">
        <f aca="false">IFERROR('SA Data'!R110,"")</f>
        <v>127.287213305358</v>
      </c>
      <c r="D110" s="30" t="n">
        <f aca="false">IFERROR('SA Data'!S110,"")</f>
        <v>135.439844918472</v>
      </c>
      <c r="E110" s="30" t="n">
        <f aca="false">IFERROR('SA Data'!T110,"")</f>
        <v>154.359727057149</v>
      </c>
      <c r="F110" s="23" t="n">
        <f aca="false">IFERROR(C110*'Weights &amp; Assumptions'!$B$25/'Weights &amp; Assumptions'!$B$28+D110*'Weights &amp; Assumptions'!$B$26/'Weights &amp; Assumptions'!$B$28+E110*'Weights &amp; Assumptions'!$B$27/'Weights &amp; Assumptions'!$B$28,"")</f>
        <v>147.057193467374</v>
      </c>
      <c r="G110" s="31" t="n">
        <f aca="false">IFERROR((F110/F109-1)*100,"")</f>
        <v>0.7792802963138</v>
      </c>
      <c r="H110" s="31" t="n">
        <f aca="false">IFERROR((F110/F98-1)*100,"")</f>
        <v>-0.381503246290693</v>
      </c>
      <c r="I110" s="31" t="n">
        <f aca="false">IFERROR((C110/C109-1)*100,"")</f>
        <v>10.8425432284334</v>
      </c>
      <c r="J110" s="31" t="n">
        <f aca="false">IFERROR((D110/D109-1)*100,"")</f>
        <v>-1.30919742272584</v>
      </c>
      <c r="K110" s="31" t="n">
        <f aca="false">IFERROR((E110/E109-1)*100,"")</f>
        <v>0.571428363271598</v>
      </c>
    </row>
    <row r="111" customFormat="false" ht="15" hidden="false" customHeight="false" outlineLevel="0" collapsed="false">
      <c r="A111" s="20" t="n">
        <v>41182</v>
      </c>
      <c r="B111" s="32" t="str">
        <f aca="false">IF(ISNUMBER('SA Data'!T111),"A","F")</f>
        <v>A</v>
      </c>
      <c r="C111" s="30" t="n">
        <f aca="false">IFERROR('SA Data'!R111,"")</f>
        <v>129.940305024849</v>
      </c>
      <c r="D111" s="30" t="n">
        <f aca="false">IFERROR('SA Data'!S111,"")</f>
        <v>133.630149802262</v>
      </c>
      <c r="E111" s="30" t="n">
        <f aca="false">IFERROR('SA Data'!T111,"")</f>
        <v>151.202298672942</v>
      </c>
      <c r="F111" s="23" t="n">
        <f aca="false">IFERROR(C111*'Weights &amp; Assumptions'!$B$25/'Weights &amp; Assumptions'!$B$28+D111*'Weights &amp; Assumptions'!$B$26/'Weights &amp; Assumptions'!$B$28+E111*'Weights &amp; Assumptions'!$B$27/'Weights &amp; Assumptions'!$B$28,"")</f>
        <v>144.745658373761</v>
      </c>
      <c r="G111" s="31" t="n">
        <f aca="false">IFERROR((F111/F110-1)*100,"")</f>
        <v>-1.57186128683102</v>
      </c>
      <c r="H111" s="31" t="n">
        <f aca="false">IFERROR((F111/F99-1)*100,"")</f>
        <v>-2.42133468253456</v>
      </c>
      <c r="I111" s="31" t="n">
        <f aca="false">IFERROR((C111/C110-1)*100,"")</f>
        <v>2.0843348287672</v>
      </c>
      <c r="J111" s="31" t="n">
        <f aca="false">IFERROR((D111/D110-1)*100,"")</f>
        <v>-1.33616153894703</v>
      </c>
      <c r="K111" s="31" t="n">
        <f aca="false">IFERROR((E111/E110-1)*100,"")</f>
        <v>-2.04550010835256</v>
      </c>
    </row>
    <row r="112" customFormat="false" ht="15" hidden="false" customHeight="false" outlineLevel="0" collapsed="false">
      <c r="A112" s="20" t="n">
        <v>41213</v>
      </c>
      <c r="B112" s="32" t="str">
        <f aca="false">IF(ISNUMBER('SA Data'!T112),"A","F")</f>
        <v>A</v>
      </c>
      <c r="C112" s="30" t="n">
        <f aca="false">IFERROR('SA Data'!R112,"")</f>
        <v>126.985590045658</v>
      </c>
      <c r="D112" s="30" t="n">
        <f aca="false">IFERROR('SA Data'!S112,"")</f>
        <v>137.563423008718</v>
      </c>
      <c r="E112" s="30" t="n">
        <f aca="false">IFERROR('SA Data'!T112,"")</f>
        <v>154.94606893254</v>
      </c>
      <c r="F112" s="23" t="n">
        <f aca="false">IFERROR(C112*'Weights &amp; Assumptions'!$B$25/'Weights &amp; Assumptions'!$B$28+D112*'Weights &amp; Assumptions'!$B$26/'Weights &amp; Assumptions'!$B$28+E112*'Weights &amp; Assumptions'!$B$27/'Weights &amp; Assumptions'!$B$28,"")</f>
        <v>147.977812291194</v>
      </c>
      <c r="G112" s="31" t="n">
        <f aca="false">IFERROR((F112/F111-1)*100,"")</f>
        <v>2.23298850808169</v>
      </c>
      <c r="H112" s="31" t="n">
        <f aca="false">IFERROR((F112/F100-1)*100,"")</f>
        <v>1.07120874524984</v>
      </c>
      <c r="I112" s="31" t="n">
        <f aca="false">IFERROR((C112/C111-1)*100,"")</f>
        <v>-2.2739018340967</v>
      </c>
      <c r="J112" s="31" t="n">
        <f aca="false">IFERROR((D112/D111-1)*100,"")</f>
        <v>2.94340252725638</v>
      </c>
      <c r="K112" s="31" t="n">
        <f aca="false">IFERROR((E112/E111-1)*100,"")</f>
        <v>2.47600088917648</v>
      </c>
    </row>
    <row r="113" customFormat="false" ht="15" hidden="false" customHeight="false" outlineLevel="0" collapsed="false">
      <c r="A113" s="20" t="n">
        <v>41243</v>
      </c>
      <c r="B113" s="32" t="str">
        <f aca="false">IF(ISNUMBER('SA Data'!T113),"A","F")</f>
        <v>A</v>
      </c>
      <c r="C113" s="30" t="n">
        <f aca="false">IFERROR('SA Data'!R113,"")</f>
        <v>122.984264846587</v>
      </c>
      <c r="D113" s="30" t="n">
        <f aca="false">IFERROR('SA Data'!S113,"")</f>
        <v>136.92889611208</v>
      </c>
      <c r="E113" s="30" t="n">
        <f aca="false">IFERROR('SA Data'!T113,"")</f>
        <v>155.1628696898</v>
      </c>
      <c r="F113" s="23" t="n">
        <f aca="false">IFERROR(C113*'Weights &amp; Assumptions'!$B$25/'Weights &amp; Assumptions'!$B$28+D113*'Weights &amp; Assumptions'!$B$26/'Weights &amp; Assumptions'!$B$28+E113*'Weights &amp; Assumptions'!$B$27/'Weights &amp; Assumptions'!$B$28,"")</f>
        <v>147.614325876097</v>
      </c>
      <c r="G113" s="31" t="n">
        <f aca="false">IFERROR((F113/F112-1)*100,"")</f>
        <v>-0.245635754082851</v>
      </c>
      <c r="H113" s="31" t="n">
        <f aca="false">IFERROR((F113/F101-1)*100,"")</f>
        <v>0.130841789420466</v>
      </c>
      <c r="I113" s="31" t="n">
        <f aca="false">IFERROR((C113/C112-1)*100,"")</f>
        <v>-3.15100728959271</v>
      </c>
      <c r="J113" s="31" t="n">
        <f aca="false">IFERROR((D113/D112-1)*100,"")</f>
        <v>-0.46126134604646</v>
      </c>
      <c r="K113" s="31" t="n">
        <f aca="false">IFERROR((E113/E112-1)*100,"")</f>
        <v>0.139920140442262</v>
      </c>
    </row>
    <row r="114" customFormat="false" ht="15" hidden="false" customHeight="false" outlineLevel="0" collapsed="false">
      <c r="A114" s="20" t="n">
        <v>41274</v>
      </c>
      <c r="B114" s="32" t="str">
        <f aca="false">IF(ISNUMBER('SA Data'!T114),"A","F")</f>
        <v>A</v>
      </c>
      <c r="C114" s="30" t="n">
        <f aca="false">IFERROR('SA Data'!R114,"")</f>
        <v>112.276846641416</v>
      </c>
      <c r="D114" s="30" t="n">
        <f aca="false">IFERROR('SA Data'!S114,"")</f>
        <v>138.275800079783</v>
      </c>
      <c r="E114" s="30" t="n">
        <f aca="false">IFERROR('SA Data'!T114,"")</f>
        <v>155.281444416824</v>
      </c>
      <c r="F114" s="23" t="n">
        <f aca="false">IFERROR(C114*'Weights &amp; Assumptions'!$B$25/'Weights &amp; Assumptions'!$B$28+D114*'Weights &amp; Assumptions'!$B$26/'Weights &amp; Assumptions'!$B$28+E114*'Weights &amp; Assumptions'!$B$27/'Weights &amp; Assumptions'!$B$28,"")</f>
        <v>147.151224988491</v>
      </c>
      <c r="G114" s="31" t="n">
        <f aca="false">IFERROR((F114/F113-1)*100,"")</f>
        <v>-0.313723539268385</v>
      </c>
      <c r="H114" s="31" t="n">
        <f aca="false">IFERROR((F114/F102-1)*100,"")</f>
        <v>-0.713415002014406</v>
      </c>
      <c r="I114" s="31" t="n">
        <f aca="false">IFERROR((C114/C113-1)*100,"")</f>
        <v>-8.70633183727019</v>
      </c>
      <c r="J114" s="31" t="n">
        <f aca="false">IFERROR((D114/D113-1)*100,"")</f>
        <v>0.983652104082267</v>
      </c>
      <c r="K114" s="31" t="n">
        <f aca="false">IFERROR((E114/E113-1)*100,"")</f>
        <v>0.0764195243756038</v>
      </c>
    </row>
    <row r="115" customFormat="false" ht="15" hidden="false" customHeight="false" outlineLevel="0" collapsed="false">
      <c r="A115" s="20" t="n">
        <v>41305</v>
      </c>
      <c r="B115" s="32" t="str">
        <f aca="false">IF(ISNUMBER('SA Data'!T115),"A","F")</f>
        <v>A</v>
      </c>
      <c r="C115" s="30" t="n">
        <f aca="false">IFERROR('SA Data'!R115,"")</f>
        <v>120.505996498207</v>
      </c>
      <c r="D115" s="30" t="n">
        <f aca="false">IFERROR('SA Data'!S115,"")</f>
        <v>137.101614601161</v>
      </c>
      <c r="E115" s="30" t="n">
        <f aca="false">IFERROR('SA Data'!T115,"")</f>
        <v>154.874097396848</v>
      </c>
      <c r="F115" s="23" t="n">
        <f aca="false">IFERROR(C115*'Weights &amp; Assumptions'!$B$25/'Weights &amp; Assumptions'!$B$28+D115*'Weights &amp; Assumptions'!$B$26/'Weights &amp; Assumptions'!$B$28+E115*'Weights &amp; Assumptions'!$B$27/'Weights &amp; Assumptions'!$B$28,"")</f>
        <v>147.26457150234</v>
      </c>
      <c r="G115" s="31" t="n">
        <f aca="false">IFERROR((F115/F114-1)*100,"")</f>
        <v>0.0770272309027487</v>
      </c>
      <c r="H115" s="31" t="n">
        <f aca="false">IFERROR((F115/F103-1)*100,"")</f>
        <v>-0.107997335999543</v>
      </c>
      <c r="I115" s="31" t="n">
        <f aca="false">IFERROR((C115/C114-1)*100,"")</f>
        <v>7.32933824110091</v>
      </c>
      <c r="J115" s="31" t="n">
        <f aca="false">IFERROR((D115/D114-1)*100,"")</f>
        <v>-0.849161948761146</v>
      </c>
      <c r="K115" s="31" t="n">
        <f aca="false">IFERROR((E115/E114-1)*100,"")</f>
        <v>-0.262328201225859</v>
      </c>
    </row>
    <row r="116" customFormat="false" ht="15" hidden="false" customHeight="false" outlineLevel="0" collapsed="false">
      <c r="A116" s="20" t="n">
        <v>41333</v>
      </c>
      <c r="B116" s="32" t="str">
        <f aca="false">IF(ISNUMBER('SA Data'!T116),"A","F")</f>
        <v>A</v>
      </c>
      <c r="C116" s="30" t="n">
        <f aca="false">IFERROR('SA Data'!R116,"")</f>
        <v>127.558051721503</v>
      </c>
      <c r="D116" s="30" t="n">
        <f aca="false">IFERROR('SA Data'!S116,"")</f>
        <v>135.708682538926</v>
      </c>
      <c r="E116" s="30" t="n">
        <f aca="false">IFERROR('SA Data'!T116,"")</f>
        <v>153.827239748187</v>
      </c>
      <c r="F116" s="23" t="n">
        <f aca="false">IFERROR(C116*'Weights &amp; Assumptions'!$B$25/'Weights &amp; Assumptions'!$B$28+D116*'Weights &amp; Assumptions'!$B$26/'Weights &amp; Assumptions'!$B$28+E116*'Weights &amp; Assumptions'!$B$27/'Weights &amp; Assumptions'!$B$28,"")</f>
        <v>146.805192151683</v>
      </c>
      <c r="G116" s="31" t="n">
        <f aca="false">IFERROR((F116/F115-1)*100,"")</f>
        <v>-0.311941525358228</v>
      </c>
      <c r="H116" s="31" t="n">
        <f aca="false">IFERROR((F116/F104-1)*100,"")</f>
        <v>0.43413572187605</v>
      </c>
      <c r="I116" s="31" t="n">
        <f aca="false">IFERROR((C116/C115-1)*100,"")</f>
        <v>5.85203676847763</v>
      </c>
      <c r="J116" s="31" t="n">
        <f aca="false">IFERROR((D116/D115-1)*100,"")</f>
        <v>-1.01598516274727</v>
      </c>
      <c r="K116" s="31" t="n">
        <f aca="false">IFERROR((E116/E115-1)*100,"")</f>
        <v>-0.675941081341136</v>
      </c>
    </row>
    <row r="117" customFormat="false" ht="15" hidden="false" customHeight="false" outlineLevel="0" collapsed="false">
      <c r="A117" s="20" t="n">
        <v>41364</v>
      </c>
      <c r="B117" s="32" t="str">
        <f aca="false">IF(ISNUMBER('SA Data'!T117),"A","F")</f>
        <v>A</v>
      </c>
      <c r="C117" s="30" t="n">
        <f aca="false">IFERROR('SA Data'!R117,"")</f>
        <v>127.443816987875</v>
      </c>
      <c r="D117" s="30" t="n">
        <f aca="false">IFERROR('SA Data'!S117,"")</f>
        <v>136.911426009757</v>
      </c>
      <c r="E117" s="30" t="n">
        <f aca="false">IFERROR('SA Data'!T117,"")</f>
        <v>154.682375062363</v>
      </c>
      <c r="F117" s="23" t="n">
        <f aca="false">IFERROR(C117*'Weights &amp; Assumptions'!$B$25/'Weights &amp; Assumptions'!$B$28+D117*'Weights &amp; Assumptions'!$B$26/'Weights &amp; Assumptions'!$B$28+E117*'Weights &amp; Assumptions'!$B$27/'Weights &amp; Assumptions'!$B$28,"")</f>
        <v>147.671431593071</v>
      </c>
      <c r="G117" s="31" t="n">
        <f aca="false">IFERROR((F117/F116-1)*100,"")</f>
        <v>0.590060493564537</v>
      </c>
      <c r="H117" s="31" t="n">
        <f aca="false">IFERROR((F117/F105-1)*100,"")</f>
        <v>0.396587920295977</v>
      </c>
      <c r="I117" s="31" t="n">
        <f aca="false">IFERROR((C117/C116-1)*100,"")</f>
        <v>-0.089555094395144</v>
      </c>
      <c r="J117" s="31" t="n">
        <f aca="false">IFERROR((D117/D116-1)*100,"")</f>
        <v>0.886268622117226</v>
      </c>
      <c r="K117" s="31" t="n">
        <f aca="false">IFERROR((E117/E116-1)*100,"")</f>
        <v>0.555906298244779</v>
      </c>
    </row>
    <row r="118" customFormat="false" ht="15" hidden="false" customHeight="false" outlineLevel="0" collapsed="false">
      <c r="A118" s="20" t="n">
        <v>41394</v>
      </c>
      <c r="B118" s="32" t="str">
        <f aca="false">IF(ISNUMBER('SA Data'!T118),"A","F")</f>
        <v>A</v>
      </c>
      <c r="C118" s="30" t="n">
        <f aca="false">IFERROR('SA Data'!R118,"")</f>
        <v>120.903173969724</v>
      </c>
      <c r="D118" s="30" t="n">
        <f aca="false">IFERROR('SA Data'!S118,"")</f>
        <v>141.198304169494</v>
      </c>
      <c r="E118" s="30" t="n">
        <f aca="false">IFERROR('SA Data'!T118,"")</f>
        <v>157.936142772507</v>
      </c>
      <c r="F118" s="23" t="n">
        <f aca="false">IFERROR(C118*'Weights &amp; Assumptions'!$B$25/'Weights &amp; Assumptions'!$B$28+D118*'Weights &amp; Assumptions'!$B$26/'Weights &amp; Assumptions'!$B$28+E118*'Weights &amp; Assumptions'!$B$27/'Weights &amp; Assumptions'!$B$28,"")</f>
        <v>150.37816220731</v>
      </c>
      <c r="G118" s="31" t="n">
        <f aca="false">IFERROR((F118/F117-1)*100,"")</f>
        <v>1.83294127038565</v>
      </c>
      <c r="H118" s="31" t="n">
        <f aca="false">IFERROR((F118/F106-1)*100,"")</f>
        <v>5.91153627699472</v>
      </c>
      <c r="I118" s="31" t="n">
        <f aca="false">IFERROR((C118/C117-1)*100,"")</f>
        <v>-5.13217759224313</v>
      </c>
      <c r="J118" s="31" t="n">
        <f aca="false">IFERROR((D118/D117-1)*100,"")</f>
        <v>3.1311325027257</v>
      </c>
      <c r="K118" s="31" t="n">
        <f aca="false">IFERROR((E118/E117-1)*100,"")</f>
        <v>2.10351548379888</v>
      </c>
    </row>
    <row r="119" customFormat="false" ht="15" hidden="false" customHeight="false" outlineLevel="0" collapsed="false">
      <c r="A119" s="20" t="n">
        <v>41425</v>
      </c>
      <c r="B119" s="32" t="str">
        <f aca="false">IF(ISNUMBER('SA Data'!T119),"A","F")</f>
        <v>A</v>
      </c>
      <c r="C119" s="30" t="n">
        <f aca="false">IFERROR('SA Data'!R119,"")</f>
        <v>120.394197310258</v>
      </c>
      <c r="D119" s="30" t="n">
        <f aca="false">IFERROR('SA Data'!S119,"")</f>
        <v>140.174365025278</v>
      </c>
      <c r="E119" s="30" t="n">
        <f aca="false">IFERROR('SA Data'!T119,"")</f>
        <v>157.509567484096</v>
      </c>
      <c r="F119" s="23" t="n">
        <f aca="false">IFERROR(C119*'Weights &amp; Assumptions'!$B$25/'Weights &amp; Assumptions'!$B$28+D119*'Weights &amp; Assumptions'!$B$26/'Weights &amp; Assumptions'!$B$28+E119*'Weights &amp; Assumptions'!$B$27/'Weights &amp; Assumptions'!$B$28,"")</f>
        <v>149.785823891184</v>
      </c>
      <c r="G119" s="31" t="n">
        <f aca="false">IFERROR((F119/F118-1)*100,"")</f>
        <v>-0.39389915891469</v>
      </c>
      <c r="H119" s="31" t="n">
        <f aca="false">IFERROR((F119/F107-1)*100,"")</f>
        <v>4.44311185454043</v>
      </c>
      <c r="I119" s="31" t="n">
        <f aca="false">IFERROR((C119/C118-1)*100,"")</f>
        <v>-0.420978740882916</v>
      </c>
      <c r="J119" s="31" t="n">
        <f aca="false">IFERROR((D119/D118-1)*100,"")</f>
        <v>-0.725178075075716</v>
      </c>
      <c r="K119" s="31" t="n">
        <f aca="false">IFERROR((E119/E118-1)*100,"")</f>
        <v>-0.270093520661607</v>
      </c>
    </row>
    <row r="120" customFormat="false" ht="15" hidden="false" customHeight="false" outlineLevel="0" collapsed="false">
      <c r="A120" s="20" t="n">
        <v>41455</v>
      </c>
      <c r="B120" s="32" t="str">
        <f aca="false">IF(ISNUMBER('SA Data'!T120),"A","F")</f>
        <v>A</v>
      </c>
      <c r="C120" s="30" t="n">
        <f aca="false">IFERROR('SA Data'!R120,"")</f>
        <v>119.840672341194</v>
      </c>
      <c r="D120" s="30" t="n">
        <f aca="false">IFERROR('SA Data'!S120,"")</f>
        <v>136.726628442906</v>
      </c>
      <c r="E120" s="30" t="n">
        <f aca="false">IFERROR('SA Data'!T120,"")</f>
        <v>155.555081970421</v>
      </c>
      <c r="F120" s="23" t="n">
        <f aca="false">IFERROR(C120*'Weights &amp; Assumptions'!$B$25/'Weights &amp; Assumptions'!$B$28+D120*'Weights &amp; Assumptions'!$B$26/'Weights &amp; Assumptions'!$B$28+E120*'Weights &amp; Assumptions'!$B$27/'Weights &amp; Assumptions'!$B$28,"")</f>
        <v>147.551798589556</v>
      </c>
      <c r="G120" s="31" t="n">
        <f aca="false">IFERROR((F120/F119-1)*100,"")</f>
        <v>-1.49147979668034</v>
      </c>
      <c r="H120" s="31" t="n">
        <f aca="false">IFERROR((F120/F108-1)*100,"")</f>
        <v>3.20009192021615</v>
      </c>
      <c r="I120" s="31" t="n">
        <f aca="false">IFERROR((C120/C119-1)*100,"")</f>
        <v>-0.459760504601614</v>
      </c>
      <c r="J120" s="31" t="n">
        <f aca="false">IFERROR((D120/D119-1)*100,"")</f>
        <v>-2.45960563598812</v>
      </c>
      <c r="K120" s="31" t="n">
        <f aca="false">IFERROR((E120/E119-1)*100,"")</f>
        <v>-1.24086780561617</v>
      </c>
    </row>
    <row r="121" customFormat="false" ht="15" hidden="false" customHeight="false" outlineLevel="0" collapsed="false">
      <c r="A121" s="20" t="n">
        <v>41486</v>
      </c>
      <c r="B121" s="32" t="str">
        <f aca="false">IF(ISNUMBER('SA Data'!T121),"A","F")</f>
        <v>A</v>
      </c>
      <c r="C121" s="30" t="n">
        <f aca="false">IFERROR('SA Data'!R121,"")</f>
        <v>122.220234128997</v>
      </c>
      <c r="D121" s="30" t="n">
        <f aca="false">IFERROR('SA Data'!S121,"")</f>
        <v>137.580236421493</v>
      </c>
      <c r="E121" s="30" t="n">
        <f aca="false">IFERROR('SA Data'!T121,"")</f>
        <v>157.246684594808</v>
      </c>
      <c r="F121" s="23" t="n">
        <f aca="false">IFERROR(C121*'Weights &amp; Assumptions'!$B$25/'Weights &amp; Assumptions'!$B$28+D121*'Weights &amp; Assumptions'!$B$26/'Weights &amp; Assumptions'!$B$28+E121*'Weights &amp; Assumptions'!$B$27/'Weights &amp; Assumptions'!$B$28,"")</f>
        <v>149.078284145725</v>
      </c>
      <c r="G121" s="31" t="n">
        <f aca="false">IFERROR((F121/F120-1)*100,"")</f>
        <v>1.03454215452523</v>
      </c>
      <c r="H121" s="31" t="n">
        <f aca="false">IFERROR((F121/F109-1)*100,"")</f>
        <v>2.16434728402941</v>
      </c>
      <c r="I121" s="31" t="n">
        <f aca="false">IFERROR((C121/C120-1)*100,"")</f>
        <v>1.9856045041442</v>
      </c>
      <c r="J121" s="31" t="n">
        <f aca="false">IFERROR((D121/D120-1)*100,"")</f>
        <v>0.624317287940279</v>
      </c>
      <c r="K121" s="31" t="n">
        <f aca="false">IFERROR((E121/E120-1)*100,"")</f>
        <v>1.08746214071538</v>
      </c>
    </row>
    <row r="122" customFormat="false" ht="15" hidden="false" customHeight="false" outlineLevel="0" collapsed="false">
      <c r="A122" s="20" t="n">
        <v>41517</v>
      </c>
      <c r="B122" s="32" t="str">
        <f aca="false">IF(ISNUMBER('SA Data'!T122),"A","F")</f>
        <v>A</v>
      </c>
      <c r="C122" s="30" t="n">
        <f aca="false">IFERROR('SA Data'!R122,"")</f>
        <v>121.594577597619</v>
      </c>
      <c r="D122" s="30" t="n">
        <f aca="false">IFERROR('SA Data'!S122,"")</f>
        <v>138.33298883706</v>
      </c>
      <c r="E122" s="30" t="n">
        <f aca="false">IFERROR('SA Data'!T122,"")</f>
        <v>156.93461907285</v>
      </c>
      <c r="F122" s="23" t="n">
        <f aca="false">IFERROR(C122*'Weights &amp; Assumptions'!$B$25/'Weights &amp; Assumptions'!$B$28+D122*'Weights &amp; Assumptions'!$B$26/'Weights &amp; Assumptions'!$B$28+E122*'Weights &amp; Assumptions'!$B$27/'Weights &amp; Assumptions'!$B$28,"")</f>
        <v>149.023061767111</v>
      </c>
      <c r="G122" s="31" t="n">
        <f aca="false">IFERROR((F122/F121-1)*100,"")</f>
        <v>-0.0370425370340932</v>
      </c>
      <c r="H122" s="31" t="n">
        <f aca="false">IFERROR((F122/F110-1)*100,"")</f>
        <v>1.33680526153408</v>
      </c>
      <c r="I122" s="31" t="n">
        <f aca="false">IFERROR((C122/C121-1)*100,"")</f>
        <v>-0.51190912522523</v>
      </c>
      <c r="J122" s="31" t="n">
        <f aca="false">IFERROR((D122/D121-1)*100,"")</f>
        <v>0.547137027196909</v>
      </c>
      <c r="K122" s="31" t="n">
        <f aca="false">IFERROR((E122/E121-1)*100,"")</f>
        <v>-0.198456026441252</v>
      </c>
    </row>
    <row r="123" customFormat="false" ht="15" hidden="false" customHeight="false" outlineLevel="0" collapsed="false">
      <c r="A123" s="20" t="n">
        <v>41547</v>
      </c>
      <c r="B123" s="32" t="str">
        <f aca="false">IF(ISNUMBER('SA Data'!T123),"A","F")</f>
        <v>A</v>
      </c>
      <c r="C123" s="30" t="n">
        <f aca="false">IFERROR('SA Data'!R123,"")</f>
        <v>124.360875027459</v>
      </c>
      <c r="D123" s="30" t="n">
        <f aca="false">IFERROR('SA Data'!S123,"")</f>
        <v>139.445640903428</v>
      </c>
      <c r="E123" s="30" t="n">
        <f aca="false">IFERROR('SA Data'!T123,"")</f>
        <v>156.7713115495</v>
      </c>
      <c r="F123" s="23" t="n">
        <f aca="false">IFERROR(C123*'Weights &amp; Assumptions'!$B$25/'Weights &amp; Assumptions'!$B$28+D123*'Weights &amp; Assumptions'!$B$26/'Weights &amp; Assumptions'!$B$28+E123*'Weights &amp; Assumptions'!$B$27/'Weights &amp; Assumptions'!$B$28,"")</f>
        <v>149.444850480924</v>
      </c>
      <c r="G123" s="31" t="n">
        <f aca="false">IFERROR((F123/F122-1)*100,"")</f>
        <v>0.28303586626941</v>
      </c>
      <c r="H123" s="31" t="n">
        <f aca="false">IFERROR((F123/F111-1)*100,"")</f>
        <v>3.24651679363648</v>
      </c>
      <c r="I123" s="31" t="n">
        <f aca="false">IFERROR((C123/C122-1)*100,"")</f>
        <v>2.27501709738573</v>
      </c>
      <c r="J123" s="31" t="n">
        <f aca="false">IFERROR((D123/D122-1)*100,"")</f>
        <v>0.804328798012532</v>
      </c>
      <c r="K123" s="31" t="n">
        <f aca="false">IFERROR((E123/E122-1)*100,"")</f>
        <v>-0.104060865801747</v>
      </c>
    </row>
    <row r="124" customFormat="false" ht="15" hidden="false" customHeight="false" outlineLevel="0" collapsed="false">
      <c r="A124" s="20" t="n">
        <v>41578</v>
      </c>
      <c r="B124" s="32" t="str">
        <f aca="false">IF(ISNUMBER('SA Data'!T124),"A","F")</f>
        <v>A</v>
      </c>
      <c r="C124" s="30" t="n">
        <f aca="false">IFERROR('SA Data'!R124,"")</f>
        <v>124.181375626093</v>
      </c>
      <c r="D124" s="30" t="n">
        <f aca="false">IFERROR('SA Data'!S124,"")</f>
        <v>139.44472831499</v>
      </c>
      <c r="E124" s="30" t="n">
        <f aca="false">IFERROR('SA Data'!T124,"")</f>
        <v>157.021495021447</v>
      </c>
      <c r="F124" s="23" t="n">
        <f aca="false">IFERROR(C124*'Weights &amp; Assumptions'!$B$25/'Weights &amp; Assumptions'!$B$28+D124*'Weights &amp; Assumptions'!$B$26/'Weights &amp; Assumptions'!$B$28+E124*'Weights &amp; Assumptions'!$B$27/'Weights &amp; Assumptions'!$B$28,"")</f>
        <v>149.592212373575</v>
      </c>
      <c r="G124" s="31" t="n">
        <f aca="false">IFERROR((F124/F123-1)*100,"")</f>
        <v>0.0986062030082779</v>
      </c>
      <c r="H124" s="31" t="n">
        <f aca="false">IFERROR((F124/F112-1)*100,"")</f>
        <v>1.09097442203319</v>
      </c>
      <c r="I124" s="31" t="n">
        <f aca="false">IFERROR((C124/C123-1)*100,"")</f>
        <v>-0.144337518794613</v>
      </c>
      <c r="J124" s="31" t="n">
        <f aca="false">IFERROR((D124/D123-1)*100,"")</f>
        <v>-0.00065444027672612</v>
      </c>
      <c r="K124" s="31" t="n">
        <f aca="false">IFERROR((E124/E123-1)*100,"")</f>
        <v>0.159584983677119</v>
      </c>
    </row>
    <row r="125" customFormat="false" ht="15" hidden="false" customHeight="false" outlineLevel="0" collapsed="false">
      <c r="A125" s="20" t="n">
        <v>41608</v>
      </c>
      <c r="B125" s="32" t="str">
        <f aca="false">IF(ISNUMBER('SA Data'!T125),"A","F")</f>
        <v>A</v>
      </c>
      <c r="C125" s="30" t="n">
        <f aca="false">IFERROR('SA Data'!R125,"")</f>
        <v>123.10863983047</v>
      </c>
      <c r="D125" s="30" t="n">
        <f aca="false">IFERROR('SA Data'!S125,"")</f>
        <v>136.270804141585</v>
      </c>
      <c r="E125" s="30" t="n">
        <f aca="false">IFERROR('SA Data'!T125,"")</f>
        <v>155.040477079299</v>
      </c>
      <c r="F125" s="23" t="n">
        <f aca="false">IFERROR(C125*'Weights &amp; Assumptions'!$B$25/'Weights &amp; Assumptions'!$B$28+D125*'Weights &amp; Assumptions'!$B$26/'Weights &amp; Assumptions'!$B$28+E125*'Weights &amp; Assumptions'!$B$27/'Weights &amp; Assumptions'!$B$28,"")</f>
        <v>147.370185454617</v>
      </c>
      <c r="G125" s="31" t="n">
        <f aca="false">IFERROR((F125/F124-1)*100,"")</f>
        <v>-1.48538943551997</v>
      </c>
      <c r="H125" s="31" t="n">
        <f aca="false">IFERROR((F125/F113-1)*100,"")</f>
        <v>-0.165390736997051</v>
      </c>
      <c r="I125" s="31" t="n">
        <f aca="false">IFERROR((C125/C124-1)*100,"")</f>
        <v>-0.863845959359888</v>
      </c>
      <c r="J125" s="31" t="n">
        <f aca="false">IFERROR((D125/D124-1)*100,"")</f>
        <v>-2.27611628761946</v>
      </c>
      <c r="K125" s="31" t="n">
        <f aca="false">IFERROR((E125/E124-1)*100,"")</f>
        <v>-1.26162213770631</v>
      </c>
    </row>
    <row r="126" customFormat="false" ht="15" hidden="false" customHeight="false" outlineLevel="0" collapsed="false">
      <c r="A126" s="20" t="n">
        <v>41639</v>
      </c>
      <c r="B126" s="32" t="str">
        <f aca="false">IF(ISNUMBER('SA Data'!T126),"A","F")</f>
        <v>A</v>
      </c>
      <c r="C126" s="30" t="n">
        <f aca="false">IFERROR('SA Data'!R126,"")</f>
        <v>117.706461009117</v>
      </c>
      <c r="D126" s="30" t="n">
        <f aca="false">IFERROR('SA Data'!S126,"")</f>
        <v>137.588986925253</v>
      </c>
      <c r="E126" s="30" t="n">
        <f aca="false">IFERROR('SA Data'!T126,"")</f>
        <v>155.72662036459</v>
      </c>
      <c r="F126" s="23" t="n">
        <f aca="false">IFERROR(C126*'Weights &amp; Assumptions'!$B$25/'Weights &amp; Assumptions'!$B$28+D126*'Weights &amp; Assumptions'!$B$26/'Weights &amp; Assumptions'!$B$28+E126*'Weights &amp; Assumptions'!$B$27/'Weights &amp; Assumptions'!$B$28,"")</f>
        <v>147.713583791658</v>
      </c>
      <c r="G126" s="31" t="n">
        <f aca="false">IFERROR((F126/F125-1)*100,"")</f>
        <v>0.233017510279554</v>
      </c>
      <c r="H126" s="31" t="n">
        <f aca="false">IFERROR((F126/F114-1)*100,"")</f>
        <v>0.382163861164342</v>
      </c>
      <c r="I126" s="31" t="n">
        <f aca="false">IFERROR((C126/C125-1)*100,"")</f>
        <v>-4.38813947485102</v>
      </c>
      <c r="J126" s="31" t="n">
        <f aca="false">IFERROR((D126/D125-1)*100,"")</f>
        <v>0.967325900783234</v>
      </c>
      <c r="K126" s="31" t="n">
        <f aca="false">IFERROR((E126/E125-1)*100,"")</f>
        <v>0.44255751673179</v>
      </c>
    </row>
    <row r="127" customFormat="false" ht="15" hidden="false" customHeight="false" outlineLevel="0" collapsed="false">
      <c r="A127" s="20" t="n">
        <v>41670</v>
      </c>
      <c r="B127" s="32" t="str">
        <f aca="false">IF(ISNUMBER('SA Data'!T127),"A","F")</f>
        <v>A</v>
      </c>
      <c r="C127" s="30" t="n">
        <f aca="false">IFERROR('SA Data'!R127,"")</f>
        <v>122.530390867434</v>
      </c>
      <c r="D127" s="30" t="n">
        <f aca="false">IFERROR('SA Data'!S127,"")</f>
        <v>137.251451449808</v>
      </c>
      <c r="E127" s="30" t="n">
        <f aca="false">IFERROR('SA Data'!T127,"")</f>
        <v>156.534432701419</v>
      </c>
      <c r="F127" s="23" t="n">
        <f aca="false">IFERROR(C127*'Weights &amp; Assumptions'!$B$25/'Weights &amp; Assumptions'!$B$28+D127*'Weights &amp; Assumptions'!$B$26/'Weights &amp; Assumptions'!$B$28+E127*'Weights &amp; Assumptions'!$B$27/'Weights &amp; Assumptions'!$B$28,"")</f>
        <v>148.553783740338</v>
      </c>
      <c r="G127" s="31" t="n">
        <f aca="false">IFERROR((F127/F126-1)*100,"")</f>
        <v>0.568803441845023</v>
      </c>
      <c r="H127" s="31" t="n">
        <f aca="false">IFERROR((F127/F115-1)*100,"")</f>
        <v>0.875439506492337</v>
      </c>
      <c r="I127" s="31" t="n">
        <f aca="false">IFERROR((C127/C126-1)*100,"")</f>
        <v>4.09827108636252</v>
      </c>
      <c r="J127" s="31" t="n">
        <f aca="false">IFERROR((D127/D126-1)*100,"")</f>
        <v>-0.24532157913767</v>
      </c>
      <c r="K127" s="31" t="n">
        <f aca="false">IFERROR((E127/E126-1)*100,"")</f>
        <v>0.518737474002262</v>
      </c>
    </row>
    <row r="128" customFormat="false" ht="15" hidden="false" customHeight="false" outlineLevel="0" collapsed="false">
      <c r="A128" s="20" t="n">
        <v>41698</v>
      </c>
      <c r="B128" s="32" t="str">
        <f aca="false">IF(ISNUMBER('SA Data'!T128),"A","F")</f>
        <v>A</v>
      </c>
      <c r="C128" s="30" t="n">
        <f aca="false">IFERROR('SA Data'!R128,"")</f>
        <v>120.146915720691</v>
      </c>
      <c r="D128" s="30" t="n">
        <f aca="false">IFERROR('SA Data'!S128,"")</f>
        <v>136.183613218394</v>
      </c>
      <c r="E128" s="30" t="n">
        <f aca="false">IFERROR('SA Data'!T128,"")</f>
        <v>154.600111277603</v>
      </c>
      <c r="F128" s="23" t="n">
        <f aca="false">IFERROR(C128*'Weights &amp; Assumptions'!$B$25/'Weights &amp; Assumptions'!$B$28+D128*'Weights &amp; Assumptions'!$B$26/'Weights &amp; Assumptions'!$B$28+E128*'Weights &amp; Assumptions'!$B$27/'Weights &amp; Assumptions'!$B$28,"")</f>
        <v>146.812190962115</v>
      </c>
      <c r="G128" s="31" t="n">
        <f aca="false">IFERROR((F128/F127-1)*100,"")</f>
        <v>-1.17236514235629</v>
      </c>
      <c r="H128" s="31" t="n">
        <f aca="false">IFERROR((F128/F116-1)*100,"")</f>
        <v>0.00476741341988163</v>
      </c>
      <c r="I128" s="31" t="n">
        <f aca="false">IFERROR((C128/C127-1)*100,"")</f>
        <v>-1.94521141234415</v>
      </c>
      <c r="J128" s="31" t="n">
        <f aca="false">IFERROR((D128/D127-1)*100,"")</f>
        <v>-0.778015984628266</v>
      </c>
      <c r="K128" s="31" t="n">
        <f aca="false">IFERROR((E128/E127-1)*100,"")</f>
        <v>-1.23571625132797</v>
      </c>
    </row>
    <row r="129" customFormat="false" ht="15" hidden="false" customHeight="false" outlineLevel="0" collapsed="false">
      <c r="A129" s="20" t="n">
        <v>41729</v>
      </c>
      <c r="B129" s="32" t="str">
        <f aca="false">IF(ISNUMBER('SA Data'!T129),"A","F")</f>
        <v>A</v>
      </c>
      <c r="C129" s="30" t="n">
        <f aca="false">IFERROR('SA Data'!R129,"")</f>
        <v>118.533632688796</v>
      </c>
      <c r="D129" s="30" t="n">
        <f aca="false">IFERROR('SA Data'!S129,"")</f>
        <v>132.342371830385</v>
      </c>
      <c r="E129" s="30" t="n">
        <f aca="false">IFERROR('SA Data'!T129,"")</f>
        <v>150.880846608449</v>
      </c>
      <c r="F129" s="23" t="n">
        <f aca="false">IFERROR(C129*'Weights &amp; Assumptions'!$B$25/'Weights &amp; Assumptions'!$B$28+D129*'Weights &amp; Assumptions'!$B$26/'Weights &amp; Assumptions'!$B$28+E129*'Weights &amp; Assumptions'!$B$27/'Weights &amp; Assumptions'!$B$28,"")</f>
        <v>143.237184164668</v>
      </c>
      <c r="G129" s="31" t="n">
        <f aca="false">IFERROR((F129/F128-1)*100,"")</f>
        <v>-2.43508851275778</v>
      </c>
      <c r="H129" s="31" t="n">
        <f aca="false">IFERROR((F129/F117-1)*100,"")</f>
        <v>-3.00277946828774</v>
      </c>
      <c r="I129" s="31" t="n">
        <f aca="false">IFERROR((C129/C128-1)*100,"")</f>
        <v>-1.34275859036213</v>
      </c>
      <c r="J129" s="31" t="n">
        <f aca="false">IFERROR((D129/D128-1)*100,"")</f>
        <v>-2.82063406692644</v>
      </c>
      <c r="K129" s="31" t="n">
        <f aca="false">IFERROR((E129/E128-1)*100,"")</f>
        <v>-2.40573220705861</v>
      </c>
    </row>
    <row r="130" customFormat="false" ht="15" hidden="false" customHeight="false" outlineLevel="0" collapsed="false">
      <c r="A130" s="20" t="n">
        <v>41759</v>
      </c>
      <c r="B130" s="32" t="str">
        <f aca="false">IF(ISNUMBER('SA Data'!T130),"A","F")</f>
        <v>A</v>
      </c>
      <c r="C130" s="30" t="n">
        <f aca="false">IFERROR('SA Data'!R130,"")</f>
        <v>127.257090841389</v>
      </c>
      <c r="D130" s="30" t="n">
        <f aca="false">IFERROR('SA Data'!S130,"")</f>
        <v>134.294766039297</v>
      </c>
      <c r="E130" s="30" t="n">
        <f aca="false">IFERROR('SA Data'!T130,"")</f>
        <v>154.221529494266</v>
      </c>
      <c r="F130" s="23" t="n">
        <f aca="false">IFERROR(C130*'Weights &amp; Assumptions'!$B$25/'Weights &amp; Assumptions'!$B$28+D130*'Weights &amp; Assumptions'!$B$26/'Weights &amp; Assumptions'!$B$28+E130*'Weights &amp; Assumptions'!$B$27/'Weights &amp; Assumptions'!$B$28,"")</f>
        <v>146.660316164859</v>
      </c>
      <c r="G130" s="31" t="n">
        <f aca="false">IFERROR((F130/F129-1)*100,"")</f>
        <v>2.38983474867516</v>
      </c>
      <c r="H130" s="31" t="n">
        <f aca="false">IFERROR((F130/F118-1)*100,"")</f>
        <v>-2.47233108044345</v>
      </c>
      <c r="I130" s="31" t="n">
        <f aca="false">IFERROR((C130/C129-1)*100,"")</f>
        <v>7.35947929268004</v>
      </c>
      <c r="J130" s="31" t="n">
        <f aca="false">IFERROR((D130/D129-1)*100,"")</f>
        <v>1.4752601014395</v>
      </c>
      <c r="K130" s="31" t="n">
        <f aca="false">IFERROR((E130/E129-1)*100,"")</f>
        <v>2.21411992370761</v>
      </c>
    </row>
    <row r="131" customFormat="false" ht="15" hidden="false" customHeight="false" outlineLevel="0" collapsed="false">
      <c r="A131" s="20" t="n">
        <v>41790</v>
      </c>
      <c r="B131" s="32" t="str">
        <f aca="false">IF(ISNUMBER('SA Data'!T131),"A","F")</f>
        <v>A</v>
      </c>
      <c r="C131" s="30" t="n">
        <f aca="false">IFERROR('SA Data'!R131,"")</f>
        <v>131.472789744165</v>
      </c>
      <c r="D131" s="30" t="n">
        <f aca="false">IFERROR('SA Data'!S131,"")</f>
        <v>134.00243304456</v>
      </c>
      <c r="E131" s="30" t="n">
        <f aca="false">IFERROR('SA Data'!T131,"")</f>
        <v>154.030128481266</v>
      </c>
      <c r="F131" s="23" t="n">
        <f aca="false">IFERROR(C131*'Weights &amp; Assumptions'!$B$25/'Weights &amp; Assumptions'!$B$28+D131*'Weights &amp; Assumptions'!$B$26/'Weights &amp; Assumptions'!$B$28+E131*'Weights &amp; Assumptions'!$B$27/'Weights &amp; Assumptions'!$B$28,"")</f>
        <v>146.811834925334</v>
      </c>
      <c r="G131" s="31" t="n">
        <f aca="false">IFERROR((F131/F130-1)*100,"")</f>
        <v>0.103312719102822</v>
      </c>
      <c r="H131" s="31" t="n">
        <f aca="false">IFERROR((F131/F119-1)*100,"")</f>
        <v>-1.98549428016022</v>
      </c>
      <c r="I131" s="31" t="n">
        <f aca="false">IFERROR((C131/C130-1)*100,"")</f>
        <v>3.31274184794159</v>
      </c>
      <c r="J131" s="31" t="n">
        <f aca="false">IFERROR((D131/D130-1)*100,"")</f>
        <v>-0.217680110222018</v>
      </c>
      <c r="K131" s="31" t="n">
        <f aca="false">IFERROR((E131/E130-1)*100,"")</f>
        <v>-0.12410784254786</v>
      </c>
    </row>
    <row r="132" customFormat="false" ht="15" hidden="false" customHeight="false" outlineLevel="0" collapsed="false">
      <c r="A132" s="20" t="n">
        <v>41820</v>
      </c>
      <c r="B132" s="32" t="str">
        <f aca="false">IF(ISNUMBER('SA Data'!T132),"A","F")</f>
        <v>A</v>
      </c>
      <c r="C132" s="30" t="n">
        <f aca="false">IFERROR('SA Data'!R132,"")</f>
        <v>130.429017871964</v>
      </c>
      <c r="D132" s="30" t="n">
        <f aca="false">IFERROR('SA Data'!S132,"")</f>
        <v>132.441644507844</v>
      </c>
      <c r="E132" s="30" t="n">
        <f aca="false">IFERROR('SA Data'!T132,"")</f>
        <v>153.564022932278</v>
      </c>
      <c r="F132" s="23" t="n">
        <f aca="false">IFERROR(C132*'Weights &amp; Assumptions'!$B$25/'Weights &amp; Assumptions'!$B$28+D132*'Weights &amp; Assumptions'!$B$26/'Weights &amp; Assumptions'!$B$28+E132*'Weights &amp; Assumptions'!$B$27/'Weights &amp; Assumptions'!$B$28,"")</f>
        <v>146.006167362555</v>
      </c>
      <c r="G132" s="31" t="n">
        <f aca="false">IFERROR((F132/F131-1)*100,"")</f>
        <v>-0.548775623701381</v>
      </c>
      <c r="H132" s="31" t="n">
        <f aca="false">IFERROR((F132/F120-1)*100,"")</f>
        <v>-1.04751771362714</v>
      </c>
      <c r="I132" s="31" t="n">
        <f aca="false">IFERROR((C132/C131-1)*100,"")</f>
        <v>-0.793907145525796</v>
      </c>
      <c r="J132" s="31" t="n">
        <f aca="false">IFERROR((D132/D131-1)*100,"")</f>
        <v>-1.16474641635591</v>
      </c>
      <c r="K132" s="31" t="n">
        <f aca="false">IFERROR((E132/E131-1)*100,"")</f>
        <v>-0.302606739073941</v>
      </c>
    </row>
    <row r="133" customFormat="false" ht="15" hidden="false" customHeight="false" outlineLevel="0" collapsed="false">
      <c r="A133" s="20" t="n">
        <v>41851</v>
      </c>
      <c r="B133" s="32" t="str">
        <f aca="false">IF(ISNUMBER('SA Data'!T133),"A","F")</f>
        <v>A</v>
      </c>
      <c r="C133" s="30" t="n">
        <f aca="false">IFERROR('SA Data'!R133,"")</f>
        <v>126.241247683033</v>
      </c>
      <c r="D133" s="30" t="n">
        <f aca="false">IFERROR('SA Data'!S133,"")</f>
        <v>132.234015893369</v>
      </c>
      <c r="E133" s="30" t="n">
        <f aca="false">IFERROR('SA Data'!T133,"")</f>
        <v>154.124887368604</v>
      </c>
      <c r="F133" s="23" t="n">
        <f aca="false">IFERROR(C133*'Weights &amp; Assumptions'!$B$25/'Weights &amp; Assumptions'!$B$28+D133*'Weights &amp; Assumptions'!$B$26/'Weights &amp; Assumptions'!$B$28+E133*'Weights &amp; Assumptions'!$B$27/'Weights &amp; Assumptions'!$B$28,"")</f>
        <v>145.964261675644</v>
      </c>
      <c r="G133" s="31" t="n">
        <f aca="false">IFERROR((F133/F132-1)*100,"")</f>
        <v>-0.0287013128743574</v>
      </c>
      <c r="H133" s="31" t="n">
        <f aca="false">IFERROR((F133/F121-1)*100,"")</f>
        <v>-2.08885049081782</v>
      </c>
      <c r="I133" s="31" t="n">
        <f aca="false">IFERROR((C133/C132-1)*100,"")</f>
        <v>-3.21076571552673</v>
      </c>
      <c r="J133" s="31" t="n">
        <f aca="false">IFERROR((D133/D132-1)*100,"")</f>
        <v>-0.156769885519747</v>
      </c>
      <c r="K133" s="31" t="n">
        <f aca="false">IFERROR((E133/E132-1)*100,"")</f>
        <v>0.365231664042298</v>
      </c>
    </row>
    <row r="134" customFormat="false" ht="15" hidden="false" customHeight="false" outlineLevel="0" collapsed="false">
      <c r="A134" s="20" t="n">
        <v>41882</v>
      </c>
      <c r="B134" s="32" t="str">
        <f aca="false">IF(ISNUMBER('SA Data'!T134),"A","F")</f>
        <v>A</v>
      </c>
      <c r="C134" s="30" t="n">
        <f aca="false">IFERROR('SA Data'!R134,"")</f>
        <v>121.165447378304</v>
      </c>
      <c r="D134" s="30" t="n">
        <f aca="false">IFERROR('SA Data'!S134,"")</f>
        <v>128.220965667252</v>
      </c>
      <c r="E134" s="30" t="n">
        <f aca="false">IFERROR('SA Data'!T134,"")</f>
        <v>152.44195895126</v>
      </c>
      <c r="F134" s="23" t="n">
        <f aca="false">IFERROR(C134*'Weights &amp; Assumptions'!$B$25/'Weights &amp; Assumptions'!$B$28+D134*'Weights &amp; Assumptions'!$B$26/'Weights &amp; Assumptions'!$B$28+E134*'Weights &amp; Assumptions'!$B$27/'Weights &amp; Assumptions'!$B$28,"")</f>
        <v>143.377048391502</v>
      </c>
      <c r="G134" s="31" t="n">
        <f aca="false">IFERROR((F134/F133-1)*100,"")</f>
        <v>-1.7724977706474</v>
      </c>
      <c r="H134" s="31" t="n">
        <f aca="false">IFERROR((F134/F122-1)*100,"")</f>
        <v>-3.78868432084187</v>
      </c>
      <c r="I134" s="31" t="n">
        <f aca="false">IFERROR((C134/C133-1)*100,"")</f>
        <v>-4.0207146221126</v>
      </c>
      <c r="J134" s="31" t="n">
        <f aca="false">IFERROR((D134/D133-1)*100,"")</f>
        <v>-3.03480931060374</v>
      </c>
      <c r="K134" s="31" t="n">
        <f aca="false">IFERROR((E134/E133-1)*100,"")</f>
        <v>-1.09192515633026</v>
      </c>
    </row>
    <row r="135" customFormat="false" ht="15" hidden="false" customHeight="false" outlineLevel="0" collapsed="false">
      <c r="A135" s="20" t="n">
        <v>41912</v>
      </c>
      <c r="B135" s="32" t="str">
        <f aca="false">IF(ISNUMBER('SA Data'!T135),"A","F")</f>
        <v>A</v>
      </c>
      <c r="C135" s="30" t="n">
        <f aca="false">IFERROR('SA Data'!R135,"")</f>
        <v>127.7454320513</v>
      </c>
      <c r="D135" s="30" t="n">
        <f aca="false">IFERROR('SA Data'!S135,"")</f>
        <v>131.836285273729</v>
      </c>
      <c r="E135" s="30" t="n">
        <f aca="false">IFERROR('SA Data'!T135,"")</f>
        <v>155.626112959771</v>
      </c>
      <c r="F135" s="23" t="n">
        <f aca="false">IFERROR(C135*'Weights &amp; Assumptions'!$B$25/'Weights &amp; Assumptions'!$B$28+D135*'Weights &amp; Assumptions'!$B$26/'Weights &amp; Assumptions'!$B$28+E135*'Weights &amp; Assumptions'!$B$27/'Weights &amp; Assumptions'!$B$28,"")</f>
        <v>146.960769882938</v>
      </c>
      <c r="G135" s="31" t="n">
        <f aca="false">IFERROR((F135/F134-1)*100,"")</f>
        <v>2.49950848594063</v>
      </c>
      <c r="H135" s="31" t="n">
        <f aca="false">IFERROR((F135/F123-1)*100,"")</f>
        <v>-1.66220554939968</v>
      </c>
      <c r="I135" s="31" t="n">
        <f aca="false">IFERROR((C135/C134-1)*100,"")</f>
        <v>5.43057844902946</v>
      </c>
      <c r="J135" s="31" t="n">
        <f aca="false">IFERROR((D135/D134-1)*100,"")</f>
        <v>2.81960098152727</v>
      </c>
      <c r="K135" s="31" t="n">
        <f aca="false">IFERROR((E135/E134-1)*100,"")</f>
        <v>2.08876481935572</v>
      </c>
    </row>
    <row r="136" customFormat="false" ht="15" hidden="false" customHeight="false" outlineLevel="0" collapsed="false">
      <c r="A136" s="20" t="n">
        <v>41943</v>
      </c>
      <c r="B136" s="32" t="str">
        <f aca="false">IF(ISNUMBER('SA Data'!T136),"A","F")</f>
        <v>A</v>
      </c>
      <c r="C136" s="30" t="n">
        <f aca="false">IFERROR('SA Data'!R136,"")</f>
        <v>121.51233770998</v>
      </c>
      <c r="D136" s="30" t="n">
        <f aca="false">IFERROR('SA Data'!S136,"")</f>
        <v>132.021176351742</v>
      </c>
      <c r="E136" s="30" t="n">
        <f aca="false">IFERROR('SA Data'!T136,"")</f>
        <v>155.934755908965</v>
      </c>
      <c r="F136" s="23" t="n">
        <f aca="false">IFERROR(C136*'Weights &amp; Assumptions'!$B$25/'Weights &amp; Assumptions'!$B$28+D136*'Weights &amp; Assumptions'!$B$26/'Weights &amp; Assumptions'!$B$28+E136*'Weights &amp; Assumptions'!$B$27/'Weights &amp; Assumptions'!$B$28,"")</f>
        <v>146.68764784517</v>
      </c>
      <c r="G136" s="31" t="n">
        <f aca="false">IFERROR((F136/F135-1)*100,"")</f>
        <v>-0.185846901854048</v>
      </c>
      <c r="H136" s="31" t="n">
        <f aca="false">IFERROR((F136/F124-1)*100,"")</f>
        <v>-1.94165490456909</v>
      </c>
      <c r="I136" s="31" t="n">
        <f aca="false">IFERROR((C136/C135-1)*100,"")</f>
        <v>-4.87930898289713</v>
      </c>
      <c r="J136" s="31" t="n">
        <f aca="false">IFERROR((D136/D135-1)*100,"")</f>
        <v>0.140242936630575</v>
      </c>
      <c r="K136" s="31" t="n">
        <f aca="false">IFERROR((E136/E135-1)*100,"")</f>
        <v>0.198323368311404</v>
      </c>
    </row>
    <row r="137" customFormat="false" ht="15" hidden="false" customHeight="false" outlineLevel="0" collapsed="false">
      <c r="A137" s="20" t="n">
        <v>41973</v>
      </c>
      <c r="B137" s="32" t="str">
        <f aca="false">IF(ISNUMBER('SA Data'!T137),"A","F")</f>
        <v>A</v>
      </c>
      <c r="C137" s="30" t="n">
        <f aca="false">IFERROR('SA Data'!R137,"")</f>
        <v>121.82541894128</v>
      </c>
      <c r="D137" s="30" t="n">
        <f aca="false">IFERROR('SA Data'!S137,"")</f>
        <v>130.447821855774</v>
      </c>
      <c r="E137" s="30" t="n">
        <f aca="false">IFERROR('SA Data'!T137,"")</f>
        <v>153.405722519301</v>
      </c>
      <c r="F137" s="23" t="n">
        <f aca="false">IFERROR(C137*'Weights &amp; Assumptions'!$B$25/'Weights &amp; Assumptions'!$B$28+D137*'Weights &amp; Assumptions'!$B$26/'Weights &amp; Assumptions'!$B$28+E137*'Weights &amp; Assumptions'!$B$27/'Weights &amp; Assumptions'!$B$28,"")</f>
        <v>144.651201949198</v>
      </c>
      <c r="G137" s="31" t="n">
        <f aca="false">IFERROR((F137/F136-1)*100,"")</f>
        <v>-1.38828723882811</v>
      </c>
      <c r="H137" s="31" t="n">
        <f aca="false">IFERROR((F137/F125-1)*100,"")</f>
        <v>-1.8450024318224</v>
      </c>
      <c r="I137" s="31" t="n">
        <f aca="false">IFERROR((C137/C136-1)*100,"")</f>
        <v>0.257653862315732</v>
      </c>
      <c r="J137" s="31" t="n">
        <f aca="false">IFERROR((D137/D136-1)*100,"")</f>
        <v>-1.19174403640809</v>
      </c>
      <c r="K137" s="31" t="n">
        <f aca="false">IFERROR((E137/E136-1)*100,"")</f>
        <v>-1.62185355979301</v>
      </c>
    </row>
    <row r="138" customFormat="false" ht="15" hidden="false" customHeight="false" outlineLevel="0" collapsed="false">
      <c r="A138" s="20" t="n">
        <v>42004</v>
      </c>
      <c r="B138" s="32" t="str">
        <f aca="false">IF(ISNUMBER('SA Data'!T138),"A","F")</f>
        <v>A</v>
      </c>
      <c r="C138" s="30" t="n">
        <f aca="false">IFERROR('SA Data'!R138,"")</f>
        <v>118.719430918923</v>
      </c>
      <c r="D138" s="30" t="n">
        <f aca="false">IFERROR('SA Data'!S138,"")</f>
        <v>133.017865064921</v>
      </c>
      <c r="E138" s="30" t="n">
        <f aca="false">IFERROR('SA Data'!T138,"")</f>
        <v>155.652632241695</v>
      </c>
      <c r="F138" s="23" t="n">
        <f aca="false">IFERROR(C138*'Weights &amp; Assumptions'!$B$25/'Weights &amp; Assumptions'!$B$28+D138*'Weights &amp; Assumptions'!$B$26/'Weights &amp; Assumptions'!$B$28+E138*'Weights &amp; Assumptions'!$B$27/'Weights &amp; Assumptions'!$B$28,"")</f>
        <v>146.534925934812</v>
      </c>
      <c r="G138" s="31" t="n">
        <f aca="false">IFERROR((F138/F137-1)*100,"")</f>
        <v>1.30225256356673</v>
      </c>
      <c r="H138" s="31" t="n">
        <f aca="false">IFERROR((F138/F126-1)*100,"")</f>
        <v>-0.797934642563725</v>
      </c>
      <c r="I138" s="31" t="n">
        <f aca="false">IFERROR((C138/C137-1)*100,"")</f>
        <v>-2.54954019395086</v>
      </c>
      <c r="J138" s="31" t="n">
        <f aca="false">IFERROR((D138/D137-1)*100,"")</f>
        <v>1.97016950730546</v>
      </c>
      <c r="K138" s="31" t="n">
        <f aca="false">IFERROR((E138/E137-1)*100,"")</f>
        <v>1.46468442343244</v>
      </c>
    </row>
    <row r="139" customFormat="false" ht="15" hidden="false" customHeight="false" outlineLevel="0" collapsed="false">
      <c r="A139" s="20" t="n">
        <v>42035</v>
      </c>
      <c r="B139" s="32" t="str">
        <f aca="false">IF(ISNUMBER('SA Data'!T139),"A","F")</f>
        <v>A</v>
      </c>
      <c r="C139" s="30" t="n">
        <f aca="false">IFERROR('SA Data'!R139,"")</f>
        <v>113.04624643555</v>
      </c>
      <c r="D139" s="30" t="n">
        <f aca="false">IFERROR('SA Data'!S139,"")</f>
        <v>132.321074772454</v>
      </c>
      <c r="E139" s="30" t="n">
        <f aca="false">IFERROR('SA Data'!T139,"")</f>
        <v>154.424836605877</v>
      </c>
      <c r="F139" s="23" t="n">
        <f aca="false">IFERROR(C139*'Weights &amp; Assumptions'!$B$25/'Weights &amp; Assumptions'!$B$28+D139*'Weights &amp; Assumptions'!$B$26/'Weights &amp; Assumptions'!$B$28+E139*'Weights &amp; Assumptions'!$B$27/'Weights &amp; Assumptions'!$B$28,"")</f>
        <v>145.075362071726</v>
      </c>
      <c r="G139" s="31" t="n">
        <f aca="false">IFERROR((F139/F138-1)*100,"")</f>
        <v>-0.996051865297831</v>
      </c>
      <c r="H139" s="31" t="n">
        <f aca="false">IFERROR((F139/F127-1)*100,"")</f>
        <v>-2.34152344089206</v>
      </c>
      <c r="I139" s="31" t="n">
        <f aca="false">IFERROR((C139/C138-1)*100,"")</f>
        <v>-4.7786486504029</v>
      </c>
      <c r="J139" s="31" t="n">
        <f aca="false">IFERROR((D139/D138-1)*100,"")</f>
        <v>-0.523832112420597</v>
      </c>
      <c r="K139" s="31" t="n">
        <f aca="false">IFERROR((E139/E138-1)*100,"")</f>
        <v>-0.78880492937049</v>
      </c>
    </row>
    <row r="140" customFormat="false" ht="15" hidden="false" customHeight="false" outlineLevel="0" collapsed="false">
      <c r="A140" s="20" t="n">
        <v>42063</v>
      </c>
      <c r="B140" s="32" t="str">
        <f aca="false">IF(ISNUMBER('SA Data'!T140),"A","F")</f>
        <v>A</v>
      </c>
      <c r="C140" s="30" t="n">
        <f aca="false">IFERROR('SA Data'!R140,"")</f>
        <v>121.216362005868</v>
      </c>
      <c r="D140" s="30" t="n">
        <f aca="false">IFERROR('SA Data'!S140,"")</f>
        <v>133.548703287193</v>
      </c>
      <c r="E140" s="30" t="n">
        <f aca="false">IFERROR('SA Data'!T140,"")</f>
        <v>156.593003874014</v>
      </c>
      <c r="F140" s="23" t="n">
        <f aca="false">IFERROR(C140*'Weights &amp; Assumptions'!$B$25/'Weights &amp; Assumptions'!$B$28+D140*'Weights &amp; Assumptions'!$B$26/'Weights &amp; Assumptions'!$B$28+E140*'Weights &amp; Assumptions'!$B$27/'Weights &amp; Assumptions'!$B$28,"")</f>
        <v>147.496992113212</v>
      </c>
      <c r="G140" s="31" t="n">
        <f aca="false">IFERROR((F140/F139-1)*100,"")</f>
        <v>1.66922212490457</v>
      </c>
      <c r="H140" s="31" t="n">
        <f aca="false">IFERROR((F140/F128-1)*100,"")</f>
        <v>0.466447061793618</v>
      </c>
      <c r="I140" s="31" t="n">
        <f aca="false">IFERROR((C140/C139-1)*100,"")</f>
        <v>7.22723294928329</v>
      </c>
      <c r="J140" s="31" t="n">
        <f aca="false">IFERROR((D140/D139-1)*100,"")</f>
        <v>0.927764920932117</v>
      </c>
      <c r="K140" s="31" t="n">
        <f aca="false">IFERROR((E140/E139-1)*100,"")</f>
        <v>1.40402756175197</v>
      </c>
    </row>
    <row r="141" customFormat="false" ht="15" hidden="false" customHeight="false" outlineLevel="0" collapsed="false">
      <c r="A141" s="20" t="n">
        <v>42094</v>
      </c>
      <c r="B141" s="32" t="str">
        <f aca="false">IF(ISNUMBER('SA Data'!T141),"A","F")</f>
        <v>A</v>
      </c>
      <c r="C141" s="30" t="n">
        <f aca="false">IFERROR('SA Data'!R141,"")</f>
        <v>128.641726772233</v>
      </c>
      <c r="D141" s="30" t="n">
        <f aca="false">IFERROR('SA Data'!S141,"")</f>
        <v>132.822409301957</v>
      </c>
      <c r="E141" s="30" t="n">
        <f aca="false">IFERROR('SA Data'!T141,"")</f>
        <v>156.607842308503</v>
      </c>
      <c r="F141" s="23" t="n">
        <f aca="false">IFERROR(C141*'Weights &amp; Assumptions'!$B$25/'Weights &amp; Assumptions'!$B$28+D141*'Weights &amp; Assumptions'!$B$26/'Weights &amp; Assumptions'!$B$28+E141*'Weights &amp; Assumptions'!$B$27/'Weights &amp; Assumptions'!$B$28,"")</f>
        <v>147.936499817344</v>
      </c>
      <c r="G141" s="31" t="n">
        <f aca="false">IFERROR((F141/F140-1)*100,"")</f>
        <v>0.297977401325533</v>
      </c>
      <c r="H141" s="31" t="n">
        <f aca="false">IFERROR((F141/F129-1)*100,"")</f>
        <v>3.28079309858111</v>
      </c>
      <c r="I141" s="31" t="n">
        <f aca="false">IFERROR((C141/C140-1)*100,"")</f>
        <v>6.12571161474536</v>
      </c>
      <c r="J141" s="31" t="n">
        <f aca="false">IFERROR((D141/D140-1)*100,"")</f>
        <v>-0.543842034673281</v>
      </c>
      <c r="K141" s="31" t="n">
        <f aca="false">IFERROR((E141/E140-1)*100,"")</f>
        <v>0.0094757965691139</v>
      </c>
    </row>
    <row r="142" customFormat="false" ht="15" hidden="false" customHeight="false" outlineLevel="0" collapsed="false">
      <c r="A142" s="20" t="n">
        <v>42124</v>
      </c>
      <c r="B142" s="32" t="str">
        <f aca="false">IF(ISNUMBER('SA Data'!T142),"A","F")</f>
        <v>A</v>
      </c>
      <c r="C142" s="30" t="n">
        <f aca="false">IFERROR('SA Data'!R142,"")</f>
        <v>144.935311111142</v>
      </c>
      <c r="D142" s="30" t="n">
        <f aca="false">IFERROR('SA Data'!S142,"")</f>
        <v>137.516990829502</v>
      </c>
      <c r="E142" s="30" t="n">
        <f aca="false">IFERROR('SA Data'!T142,"")</f>
        <v>157.791792459297</v>
      </c>
      <c r="F142" s="23" t="n">
        <f aca="false">IFERROR(C142*'Weights &amp; Assumptions'!$B$25/'Weights &amp; Assumptions'!$B$28+D142*'Weights &amp; Assumptions'!$B$26/'Weights &amp; Assumptions'!$B$28+E142*'Weights &amp; Assumptions'!$B$27/'Weights &amp; Assumptions'!$B$28,"")</f>
        <v>151.321699058101</v>
      </c>
      <c r="G142" s="31" t="n">
        <f aca="false">IFERROR((F142/F141-1)*100,"")</f>
        <v>2.28827858232128</v>
      </c>
      <c r="H142" s="31" t="n">
        <f aca="false">IFERROR((F142/F130-1)*100,"")</f>
        <v>3.17835322815039</v>
      </c>
      <c r="I142" s="31" t="n">
        <f aca="false">IFERROR((C142/C141-1)*100,"")</f>
        <v>12.6658625841967</v>
      </c>
      <c r="J142" s="31" t="n">
        <f aca="false">IFERROR((D142/D141-1)*100,"")</f>
        <v>3.53448002653911</v>
      </c>
      <c r="K142" s="31" t="n">
        <f aca="false">IFERROR((E142/E141-1)*100,"")</f>
        <v>0.75599671979516</v>
      </c>
    </row>
    <row r="143" customFormat="false" ht="15" hidden="false" customHeight="false" outlineLevel="0" collapsed="false">
      <c r="A143" s="20" t="n">
        <v>42155</v>
      </c>
      <c r="B143" s="32" t="str">
        <f aca="false">IF(ISNUMBER('SA Data'!T143),"A","F")</f>
        <v>A</v>
      </c>
      <c r="C143" s="30" t="n">
        <f aca="false">IFERROR('SA Data'!R143,"")</f>
        <v>150.514540079823</v>
      </c>
      <c r="D143" s="30" t="n">
        <f aca="false">IFERROR('SA Data'!S143,"")</f>
        <v>134.281968675332</v>
      </c>
      <c r="E143" s="30" t="n">
        <f aca="false">IFERROR('SA Data'!T143,"")</f>
        <v>155.930201410361</v>
      </c>
      <c r="F143" s="23" t="n">
        <f aca="false">IFERROR(C143*'Weights &amp; Assumptions'!$B$25/'Weights &amp; Assumptions'!$B$28+D143*'Weights &amp; Assumptions'!$B$26/'Weights &amp; Assumptions'!$B$28+E143*'Weights &amp; Assumptions'!$B$27/'Weights &amp; Assumptions'!$B$28,"")</f>
        <v>149.719179678677</v>
      </c>
      <c r="G143" s="31" t="n">
        <f aca="false">IFERROR((F143/F142-1)*100,"")</f>
        <v>-1.05901492607995</v>
      </c>
      <c r="H143" s="31" t="n">
        <f aca="false">IFERROR((F143/F131-1)*100,"")</f>
        <v>1.98032042499994</v>
      </c>
      <c r="I143" s="31" t="n">
        <f aca="false">IFERROR((C143/C142-1)*100,"")</f>
        <v>3.84946147761249</v>
      </c>
      <c r="J143" s="31" t="n">
        <f aca="false">IFERROR((D143/D142-1)*100,"")</f>
        <v>-2.35245269305018</v>
      </c>
      <c r="K143" s="31" t="n">
        <f aca="false">IFERROR((E143/E142-1)*100,"")</f>
        <v>-1.17977685652849</v>
      </c>
    </row>
    <row r="144" customFormat="false" ht="15" hidden="false" customHeight="false" outlineLevel="0" collapsed="false">
      <c r="A144" s="20" t="n">
        <v>42185</v>
      </c>
      <c r="B144" s="32" t="str">
        <f aca="false">IF(ISNUMBER('SA Data'!T144),"A","F")</f>
        <v>A</v>
      </c>
      <c r="C144" s="30" t="n">
        <f aca="false">IFERROR('SA Data'!R144,"")</f>
        <v>149.32721680874</v>
      </c>
      <c r="D144" s="30" t="n">
        <f aca="false">IFERROR('SA Data'!S144,"")</f>
        <v>138.976386140353</v>
      </c>
      <c r="E144" s="30" t="n">
        <f aca="false">IFERROR('SA Data'!T144,"")</f>
        <v>160.747867683345</v>
      </c>
      <c r="F144" s="23" t="n">
        <f aca="false">IFERROR(C144*'Weights &amp; Assumptions'!$B$25/'Weights &amp; Assumptions'!$B$28+D144*'Weights &amp; Assumptions'!$B$26/'Weights &amp; Assumptions'!$B$28+E144*'Weights &amp; Assumptions'!$B$27/'Weights &amp; Assumptions'!$B$28,"")</f>
        <v>154.000248320604</v>
      </c>
      <c r="G144" s="31" t="n">
        <f aca="false">IFERROR((F144/F143-1)*100,"")</f>
        <v>2.8593989434851</v>
      </c>
      <c r="H144" s="31" t="n">
        <f aca="false">IFERROR((F144/F132-1)*100,"")</f>
        <v>5.47516663333729</v>
      </c>
      <c r="I144" s="31" t="n">
        <f aca="false">IFERROR((C144/C143-1)*100,"")</f>
        <v>-0.78884290544522</v>
      </c>
      <c r="J144" s="31" t="n">
        <f aca="false">IFERROR((D144/D143-1)*100,"")</f>
        <v>3.49594030481606</v>
      </c>
      <c r="K144" s="31" t="n">
        <f aca="false">IFERROR((E144/E143-1)*100,"")</f>
        <v>3.08962999432381</v>
      </c>
    </row>
    <row r="145" customFormat="false" ht="15" hidden="false" customHeight="false" outlineLevel="0" collapsed="false">
      <c r="A145" s="20" t="n">
        <v>42216</v>
      </c>
      <c r="B145" s="32" t="str">
        <f aca="false">IF(ISNUMBER('SA Data'!T145),"A","F")</f>
        <v>A</v>
      </c>
      <c r="C145" s="30" t="n">
        <f aca="false">IFERROR('SA Data'!R145,"")</f>
        <v>130.797839519635</v>
      </c>
      <c r="D145" s="30" t="n">
        <f aca="false">IFERROR('SA Data'!S145,"")</f>
        <v>137.768031471518</v>
      </c>
      <c r="E145" s="30" t="n">
        <f aca="false">IFERROR('SA Data'!T145,"")</f>
        <v>160.763735577838</v>
      </c>
      <c r="F145" s="23" t="n">
        <f aca="false">IFERROR(C145*'Weights &amp; Assumptions'!$B$25/'Weights &amp; Assumptions'!$B$28+D145*'Weights &amp; Assumptions'!$B$26/'Weights &amp; Assumptions'!$B$28+E145*'Weights &amp; Assumptions'!$B$27/'Weights &amp; Assumptions'!$B$28,"")</f>
        <v>152.13461254636</v>
      </c>
      <c r="G145" s="31" t="n">
        <f aca="false">IFERROR((F145/F144-1)*100,"")</f>
        <v>-1.21144984802882</v>
      </c>
      <c r="H145" s="31" t="n">
        <f aca="false">IFERROR((F145/F133-1)*100,"")</f>
        <v>4.22730249163821</v>
      </c>
      <c r="I145" s="31" t="n">
        <f aca="false">IFERROR((C145/C144-1)*100,"")</f>
        <v>-12.4085733900993</v>
      </c>
      <c r="J145" s="31" t="n">
        <f aca="false">IFERROR((D145/D144-1)*100,"")</f>
        <v>-0.869467614170827</v>
      </c>
      <c r="K145" s="31" t="n">
        <f aca="false">IFERROR((E145/E144-1)*100,"")</f>
        <v>0.00987129392229225</v>
      </c>
    </row>
    <row r="146" customFormat="false" ht="15" hidden="false" customHeight="false" outlineLevel="0" collapsed="false">
      <c r="A146" s="20" t="n">
        <v>42247</v>
      </c>
      <c r="B146" s="32" t="str">
        <f aca="false">IF(ISNUMBER('SA Data'!T146),"A","F")</f>
        <v>A</v>
      </c>
      <c r="C146" s="30" t="n">
        <f aca="false">IFERROR('SA Data'!R146,"")</f>
        <v>120.130058587672</v>
      </c>
      <c r="D146" s="30" t="n">
        <f aca="false">IFERROR('SA Data'!S146,"")</f>
        <v>134.666351355833</v>
      </c>
      <c r="E146" s="30" t="n">
        <f aca="false">IFERROR('SA Data'!T146,"")</f>
        <v>159.141770873788</v>
      </c>
      <c r="F146" s="23" t="n">
        <f aca="false">IFERROR(C146*'Weights &amp; Assumptions'!$B$25/'Weights &amp; Assumptions'!$B$28+D146*'Weights &amp; Assumptions'!$B$26/'Weights &amp; Assumptions'!$B$28+E146*'Weights &amp; Assumptions'!$B$27/'Weights &amp; Assumptions'!$B$28,"")</f>
        <v>149.360214157008</v>
      </c>
      <c r="G146" s="31" t="n">
        <f aca="false">IFERROR((F146/F145-1)*100,"")</f>
        <v>-1.82364706026807</v>
      </c>
      <c r="H146" s="31" t="n">
        <f aca="false">IFERROR((F146/F134-1)*100,"")</f>
        <v>4.17302896985936</v>
      </c>
      <c r="I146" s="31" t="n">
        <f aca="false">IFERROR((C146/C145-1)*100,"")</f>
        <v>-8.15593053458793</v>
      </c>
      <c r="J146" s="31" t="n">
        <f aca="false">IFERROR((D146/D145-1)*100,"")</f>
        <v>-2.251378699801</v>
      </c>
      <c r="K146" s="31" t="n">
        <f aca="false">IFERROR((E146/E145-1)*100,"")</f>
        <v>-1.0089120523482</v>
      </c>
    </row>
    <row r="147" customFormat="false" ht="15" hidden="false" customHeight="false" outlineLevel="0" collapsed="false">
      <c r="A147" s="20" t="n">
        <v>42277</v>
      </c>
      <c r="B147" s="32" t="str">
        <f aca="false">IF(ISNUMBER('SA Data'!T147),"A","F")</f>
        <v>A</v>
      </c>
      <c r="C147" s="30" t="n">
        <f aca="false">IFERROR('SA Data'!R147,"")</f>
        <v>121.673690763431</v>
      </c>
      <c r="D147" s="30" t="n">
        <f aca="false">IFERROR('SA Data'!S147,"")</f>
        <v>134.887235199827</v>
      </c>
      <c r="E147" s="30" t="n">
        <f aca="false">IFERROR('SA Data'!T147,"")</f>
        <v>160.832884169058</v>
      </c>
      <c r="F147" s="23" t="n">
        <f aca="false">IFERROR(C147*'Weights &amp; Assumptions'!$B$25/'Weights &amp; Assumptions'!$B$28+D147*'Weights &amp; Assumptions'!$B$26/'Weights &amp; Assumptions'!$B$28+E147*'Weights &amp; Assumptions'!$B$27/'Weights &amp; Assumptions'!$B$28,"")</f>
        <v>150.647993970313</v>
      </c>
      <c r="G147" s="31" t="n">
        <f aca="false">IFERROR((F147/F146-1)*100,"")</f>
        <v>0.862197353273064</v>
      </c>
      <c r="H147" s="31" t="n">
        <f aca="false">IFERROR((F147/F135-1)*100,"")</f>
        <v>2.50898528247479</v>
      </c>
      <c r="I147" s="31" t="n">
        <f aca="false">IFERROR((C147/C146-1)*100,"")</f>
        <v>1.28496747101217</v>
      </c>
      <c r="J147" s="31" t="n">
        <f aca="false">IFERROR((D147/D146-1)*100,"")</f>
        <v>0.164023040477446</v>
      </c>
      <c r="K147" s="31" t="n">
        <f aca="false">IFERROR((E147/E146-1)*100,"")</f>
        <v>1.0626457692315</v>
      </c>
    </row>
    <row r="148" customFormat="false" ht="15" hidden="false" customHeight="false" outlineLevel="0" collapsed="false">
      <c r="A148" s="20" t="n">
        <v>42308</v>
      </c>
      <c r="B148" s="32" t="str">
        <f aca="false">IF(ISNUMBER('SA Data'!T148),"A","F")</f>
        <v>A</v>
      </c>
      <c r="C148" s="30" t="n">
        <f aca="false">IFERROR('SA Data'!R148,"")</f>
        <v>120.128225200537</v>
      </c>
      <c r="D148" s="30" t="n">
        <f aca="false">IFERROR('SA Data'!S148,"")</f>
        <v>133.145437289234</v>
      </c>
      <c r="E148" s="30" t="n">
        <f aca="false">IFERROR('SA Data'!T148,"")</f>
        <v>159.469777111762</v>
      </c>
      <c r="F148" s="23" t="n">
        <f aca="false">IFERROR(C148*'Weights &amp; Assumptions'!$B$25/'Weights &amp; Assumptions'!$B$28+D148*'Weights &amp; Assumptions'!$B$26/'Weights &amp; Assumptions'!$B$28+E148*'Weights &amp; Assumptions'!$B$27/'Weights &amp; Assumptions'!$B$28,"")</f>
        <v>149.168886369713</v>
      </c>
      <c r="G148" s="31" t="n">
        <f aca="false">IFERROR((F148/F147-1)*100,"")</f>
        <v>-0.981830266449857</v>
      </c>
      <c r="H148" s="31" t="n">
        <f aca="false">IFERROR((F148/F136-1)*100,"")</f>
        <v>1.69151156282887</v>
      </c>
      <c r="I148" s="31" t="n">
        <f aca="false">IFERROR((C148/C147-1)*100,"")</f>
        <v>-1.2701723381591</v>
      </c>
      <c r="J148" s="31" t="n">
        <f aca="false">IFERROR((D148/D147-1)*100,"")</f>
        <v>-1.29129929011655</v>
      </c>
      <c r="K148" s="31" t="n">
        <f aca="false">IFERROR((E148/E147-1)*100,"")</f>
        <v>-0.84753007094186</v>
      </c>
    </row>
    <row r="149" customFormat="false" ht="15" hidden="false" customHeight="false" outlineLevel="0" collapsed="false">
      <c r="A149" s="20" t="n">
        <v>42338</v>
      </c>
      <c r="B149" s="32" t="str">
        <f aca="false">IF(ISNUMBER('SA Data'!T149),"A","F")</f>
        <v>A</v>
      </c>
      <c r="C149" s="30" t="n">
        <f aca="false">IFERROR('SA Data'!R149,"")</f>
        <v>125.449966331347</v>
      </c>
      <c r="D149" s="30" t="n">
        <f aca="false">IFERROR('SA Data'!S149,"")</f>
        <v>131.722355927069</v>
      </c>
      <c r="E149" s="30" t="n">
        <f aca="false">IFERROR('SA Data'!T149,"")</f>
        <v>158.928059621531</v>
      </c>
      <c r="F149" s="23" t="n">
        <f aca="false">IFERROR(C149*'Weights &amp; Assumptions'!$B$25/'Weights &amp; Assumptions'!$B$28+D149*'Weights &amp; Assumptions'!$B$26/'Weights &amp; Assumptions'!$B$28+E149*'Weights &amp; Assumptions'!$B$27/'Weights &amp; Assumptions'!$B$28,"")</f>
        <v>148.884747887991</v>
      </c>
      <c r="G149" s="31" t="n">
        <f aca="false">IFERROR((F149/F148-1)*100,"")</f>
        <v>-0.190481063871462</v>
      </c>
      <c r="H149" s="31" t="n">
        <f aca="false">IFERROR((F149/F137-1)*100,"")</f>
        <v>2.92672710751409</v>
      </c>
      <c r="I149" s="31" t="n">
        <f aca="false">IFERROR((C149/C148-1)*100,"")</f>
        <v>4.43005057464785</v>
      </c>
      <c r="J149" s="31" t="n">
        <f aca="false">IFERROR((D149/D148-1)*100,"")</f>
        <v>-1.06881722058048</v>
      </c>
      <c r="K149" s="31" t="n">
        <f aca="false">IFERROR((E149/E148-1)*100,"")</f>
        <v>-0.339699158074314</v>
      </c>
    </row>
    <row r="150" customFormat="false" ht="15" hidden="false" customHeight="false" outlineLevel="0" collapsed="false">
      <c r="A150" s="20" t="n">
        <v>42369</v>
      </c>
      <c r="B150" s="32" t="str">
        <f aca="false">IF(ISNUMBER('SA Data'!T150),"A","F")</f>
        <v>A</v>
      </c>
      <c r="C150" s="30" t="n">
        <f aca="false">IFERROR('SA Data'!R150,"")</f>
        <v>121.253933042867</v>
      </c>
      <c r="D150" s="30" t="n">
        <f aca="false">IFERROR('SA Data'!S150,"")</f>
        <v>130.542060030861</v>
      </c>
      <c r="E150" s="30" t="n">
        <f aca="false">IFERROR('SA Data'!T150,"")</f>
        <v>157.471630034473</v>
      </c>
      <c r="F150" s="23" t="n">
        <f aca="false">IFERROR(C150*'Weights &amp; Assumptions'!$B$25/'Weights &amp; Assumptions'!$B$28+D150*'Weights &amp; Assumptions'!$B$26/'Weights &amp; Assumptions'!$B$28+E150*'Weights &amp; Assumptions'!$B$27/'Weights &amp; Assumptions'!$B$28,"")</f>
        <v>147.271892042436</v>
      </c>
      <c r="G150" s="31" t="n">
        <f aca="false">IFERROR((F150/F149-1)*100,"")</f>
        <v>-1.0832915180596</v>
      </c>
      <c r="H150" s="31" t="n">
        <f aca="false">IFERROR((F150/F138-1)*100,"")</f>
        <v>0.502928638290245</v>
      </c>
      <c r="I150" s="31" t="n">
        <f aca="false">IFERROR((C150/C149-1)*100,"")</f>
        <v>-3.34478630101649</v>
      </c>
      <c r="J150" s="31" t="n">
        <f aca="false">IFERROR((D150/D149-1)*100,"")</f>
        <v>-0.896048273583727</v>
      </c>
      <c r="K150" s="31" t="n">
        <f aca="false">IFERROR((E150/E149-1)*100,"")</f>
        <v>-0.916408084592557</v>
      </c>
    </row>
    <row r="151" customFormat="false" ht="15" hidden="false" customHeight="false" outlineLevel="0" collapsed="false">
      <c r="A151" s="20" t="n">
        <v>42400</v>
      </c>
      <c r="B151" s="32" t="str">
        <f aca="false">IF(ISNUMBER('SA Data'!T151),"A","F")</f>
        <v>A</v>
      </c>
      <c r="C151" s="30" t="n">
        <f aca="false">IFERROR('SA Data'!R151,"")</f>
        <v>116.888354255581</v>
      </c>
      <c r="D151" s="30" t="n">
        <f aca="false">IFERROR('SA Data'!S151,"")</f>
        <v>126.361262590006</v>
      </c>
      <c r="E151" s="30" t="n">
        <f aca="false">IFERROR('SA Data'!T151,"")</f>
        <v>155.310749772941</v>
      </c>
      <c r="F151" s="23" t="n">
        <f aca="false">IFERROR(C151*'Weights &amp; Assumptions'!$B$25/'Weights &amp; Assumptions'!$B$28+D151*'Weights &amp; Assumptions'!$B$26/'Weights &amp; Assumptions'!$B$28+E151*'Weights &amp; Assumptions'!$B$27/'Weights &amp; Assumptions'!$B$28,"")</f>
        <v>144.388904477618</v>
      </c>
      <c r="G151" s="31" t="n">
        <f aca="false">IFERROR((F151/F150-1)*100,"")</f>
        <v>-1.95759525109308</v>
      </c>
      <c r="H151" s="31" t="n">
        <f aca="false">IFERROR((F151/F139-1)*100,"")</f>
        <v>-0.473173104174784</v>
      </c>
      <c r="I151" s="31" t="n">
        <f aca="false">IFERROR((C151/C150-1)*100,"")</f>
        <v>-3.60036056376186</v>
      </c>
      <c r="J151" s="31" t="n">
        <f aca="false">IFERROR((D151/D150-1)*100,"")</f>
        <v>-3.2026439906548</v>
      </c>
      <c r="K151" s="31" t="n">
        <f aca="false">IFERROR((E151/E150-1)*100,"")</f>
        <v>-1.37223464382663</v>
      </c>
    </row>
    <row r="152" customFormat="false" ht="15" hidden="false" customHeight="false" outlineLevel="0" collapsed="false">
      <c r="A152" s="20" t="n">
        <v>42429</v>
      </c>
      <c r="B152" s="32" t="str">
        <f aca="false">IF(ISNUMBER('SA Data'!T152),"A","F")</f>
        <v>A</v>
      </c>
      <c r="C152" s="30" t="n">
        <f aca="false">IFERROR('SA Data'!R152,"")</f>
        <v>121.62849852582</v>
      </c>
      <c r="D152" s="30" t="n">
        <f aca="false">IFERROR('SA Data'!S152,"")</f>
        <v>127.872199295077</v>
      </c>
      <c r="E152" s="30" t="n">
        <f aca="false">IFERROR('SA Data'!T152,"")</f>
        <v>157.744268892437</v>
      </c>
      <c r="F152" s="23" t="n">
        <f aca="false">IFERROR(C152*'Weights &amp; Assumptions'!$B$25/'Weights &amp; Assumptions'!$B$28+D152*'Weights &amp; Assumptions'!$B$26/'Weights &amp; Assumptions'!$B$28+E152*'Weights &amp; Assumptions'!$B$27/'Weights &amp; Assumptions'!$B$28,"")</f>
        <v>146.770620587013</v>
      </c>
      <c r="G152" s="31" t="n">
        <f aca="false">IFERROR((F152/F151-1)*100,"")</f>
        <v>1.64951463411396</v>
      </c>
      <c r="H152" s="31" t="n">
        <f aca="false">IFERROR((F152/F140-1)*100,"")</f>
        <v>-0.492465314575075</v>
      </c>
      <c r="I152" s="31" t="n">
        <f aca="false">IFERROR((C152/C151-1)*100,"")</f>
        <v>4.05527505321413</v>
      </c>
      <c r="J152" s="31" t="n">
        <f aca="false">IFERROR((D152/D151-1)*100,"")</f>
        <v>1.19572776822692</v>
      </c>
      <c r="K152" s="31" t="n">
        <f aca="false">IFERROR((E152/E151-1)*100,"")</f>
        <v>1.56687101379225</v>
      </c>
    </row>
    <row r="153" customFormat="false" ht="15" hidden="false" customHeight="false" outlineLevel="0" collapsed="false">
      <c r="A153" s="20" t="n">
        <v>42460</v>
      </c>
      <c r="B153" s="32" t="str">
        <f aca="false">IF(ISNUMBER('SA Data'!T153),"A","F")</f>
        <v>A</v>
      </c>
      <c r="C153" s="30" t="n">
        <f aca="false">IFERROR('SA Data'!R153,"")</f>
        <v>121.980115679681</v>
      </c>
      <c r="D153" s="30" t="n">
        <f aca="false">IFERROR('SA Data'!S153,"")</f>
        <v>128.074121421601</v>
      </c>
      <c r="E153" s="30" t="n">
        <f aca="false">IFERROR('SA Data'!T153,"")</f>
        <v>160.454373973142</v>
      </c>
      <c r="F153" s="23" t="n">
        <f aca="false">IFERROR(C153*'Weights &amp; Assumptions'!$B$25/'Weights &amp; Assumptions'!$B$28+D153*'Weights &amp; Assumptions'!$B$26/'Weights &amp; Assumptions'!$B$28+E153*'Weights &amp; Assumptions'!$B$27/'Weights &amp; Assumptions'!$B$28,"")</f>
        <v>148.615876907056</v>
      </c>
      <c r="G153" s="31" t="n">
        <f aca="false">IFERROR((F153/F152-1)*100,"")</f>
        <v>1.25723820793457</v>
      </c>
      <c r="H153" s="31" t="n">
        <f aca="false">IFERROR((F153/F141-1)*100,"")</f>
        <v>0.459235611596909</v>
      </c>
      <c r="I153" s="31" t="n">
        <f aca="false">IFERROR((C153/C152-1)*100,"")</f>
        <v>0.289091091415372</v>
      </c>
      <c r="J153" s="31" t="n">
        <f aca="false">IFERROR((D153/D152-1)*100,"")</f>
        <v>0.157909324808569</v>
      </c>
      <c r="K153" s="31" t="n">
        <f aca="false">IFERROR((E153/E152-1)*100,"")</f>
        <v>1.71803711141665</v>
      </c>
    </row>
    <row r="154" customFormat="false" ht="15" hidden="false" customHeight="false" outlineLevel="0" collapsed="false">
      <c r="A154" s="20" t="n">
        <v>42490</v>
      </c>
      <c r="B154" s="32" t="str">
        <f aca="false">IF(ISNUMBER('SA Data'!T154),"A","F")</f>
        <v>A</v>
      </c>
      <c r="C154" s="30" t="n">
        <f aca="false">IFERROR('SA Data'!R154,"")</f>
        <v>133.403363023392</v>
      </c>
      <c r="D154" s="30" t="n">
        <f aca="false">IFERROR('SA Data'!S154,"")</f>
        <v>130.722260116715</v>
      </c>
      <c r="E154" s="30" t="n">
        <f aca="false">IFERROR('SA Data'!T154,"")</f>
        <v>161.812409967205</v>
      </c>
      <c r="F154" s="23" t="n">
        <f aca="false">IFERROR(C154*'Weights &amp; Assumptions'!$B$25/'Weights &amp; Assumptions'!$B$28+D154*'Weights &amp; Assumptions'!$B$26/'Weights &amp; Assumptions'!$B$28+E154*'Weights &amp; Assumptions'!$B$27/'Weights &amp; Assumptions'!$B$28,"")</f>
        <v>151.161453353543</v>
      </c>
      <c r="G154" s="31" t="n">
        <f aca="false">IFERROR((F154/F153-1)*100,"")</f>
        <v>1.71285632428031</v>
      </c>
      <c r="H154" s="31" t="n">
        <f aca="false">IFERROR((F154/F142-1)*100,"")</f>
        <v>-0.10589737331469</v>
      </c>
      <c r="I154" s="31" t="n">
        <f aca="false">IFERROR((C154/C153-1)*100,"")</f>
        <v>9.36484383545633</v>
      </c>
      <c r="J154" s="31" t="n">
        <f aca="false">IFERROR((D154/D153-1)*100,"")</f>
        <v>2.06766102762967</v>
      </c>
      <c r="K154" s="31" t="n">
        <f aca="false">IFERROR((E154/E153-1)*100,"")</f>
        <v>0.846368946159548</v>
      </c>
    </row>
    <row r="155" customFormat="false" ht="15" hidden="false" customHeight="false" outlineLevel="0" collapsed="false">
      <c r="A155" s="20" t="n">
        <v>42521</v>
      </c>
      <c r="B155" s="32" t="str">
        <f aca="false">IF(ISNUMBER('SA Data'!T155),"A","F")</f>
        <v>A</v>
      </c>
      <c r="C155" s="30" t="n">
        <f aca="false">IFERROR('SA Data'!R155,"")</f>
        <v>135.919314739365</v>
      </c>
      <c r="D155" s="30" t="n">
        <f aca="false">IFERROR('SA Data'!S155,"")</f>
        <v>127.09723750456</v>
      </c>
      <c r="E155" s="30" t="n">
        <f aca="false">IFERROR('SA Data'!T155,"")</f>
        <v>159.658807393282</v>
      </c>
      <c r="F155" s="23" t="n">
        <f aca="false">IFERROR(C155*'Weights &amp; Assumptions'!$B$25/'Weights &amp; Assumptions'!$B$28+D155*'Weights &amp; Assumptions'!$B$26/'Weights &amp; Assumptions'!$B$28+E155*'Weights &amp; Assumptions'!$B$27/'Weights &amp; Assumptions'!$B$28,"")</f>
        <v>149.008353979364</v>
      </c>
      <c r="G155" s="31" t="n">
        <f aca="false">IFERROR((F155/F154-1)*100,"")</f>
        <v>-1.4243706490063</v>
      </c>
      <c r="H155" s="31" t="n">
        <f aca="false">IFERROR((F155/F143-1)*100,"")</f>
        <v>-0.474772638241416</v>
      </c>
      <c r="I155" s="31" t="n">
        <f aca="false">IFERROR((C155/C154-1)*100,"")</f>
        <v>1.88597323107385</v>
      </c>
      <c r="J155" s="31" t="n">
        <f aca="false">IFERROR((D155/D154-1)*100,"")</f>
        <v>-2.77307216760058</v>
      </c>
      <c r="K155" s="31" t="n">
        <f aca="false">IFERROR((E155/E154-1)*100,"")</f>
        <v>-1.33092546755791</v>
      </c>
    </row>
    <row r="156" customFormat="false" ht="15" hidden="false" customHeight="false" outlineLevel="0" collapsed="false">
      <c r="A156" s="20" t="n">
        <v>42551</v>
      </c>
      <c r="B156" s="32" t="str">
        <f aca="false">IF(ISNUMBER('SA Data'!T156),"A","F")</f>
        <v>A</v>
      </c>
      <c r="C156" s="30" t="n">
        <f aca="false">IFERROR('SA Data'!R156,"")</f>
        <v>137.339616391747</v>
      </c>
      <c r="D156" s="30" t="n">
        <f aca="false">IFERROR('SA Data'!S156,"")</f>
        <v>120.614180399513</v>
      </c>
      <c r="E156" s="30" t="n">
        <f aca="false">IFERROR('SA Data'!T156,"")</f>
        <v>159.011962414094</v>
      </c>
      <c r="F156" s="23" t="n">
        <f aca="false">IFERROR(C156*'Weights &amp; Assumptions'!$B$25/'Weights &amp; Assumptions'!$B$28+D156*'Weights &amp; Assumptions'!$B$26/'Weights &amp; Assumptions'!$B$28+E156*'Weights &amp; Assumptions'!$B$27/'Weights &amp; Assumptions'!$B$28,"")</f>
        <v>146.982993570657</v>
      </c>
      <c r="G156" s="31" t="n">
        <f aca="false">IFERROR((F156/F155-1)*100,"")</f>
        <v>-1.35922608002684</v>
      </c>
      <c r="H156" s="31" t="n">
        <f aca="false">IFERROR((F156/F144-1)*100,"")</f>
        <v>-4.55665158106626</v>
      </c>
      <c r="I156" s="31" t="n">
        <f aca="false">IFERROR((C156/C155-1)*100,"")</f>
        <v>1.04495939749625</v>
      </c>
      <c r="J156" s="31" t="n">
        <f aca="false">IFERROR((D156/D155-1)*100,"")</f>
        <v>-5.10086389943277</v>
      </c>
      <c r="K156" s="31" t="n">
        <f aca="false">IFERROR((E156/E155-1)*100,"")</f>
        <v>-0.405142058712282</v>
      </c>
    </row>
    <row r="157" customFormat="false" ht="15" hidden="false" customHeight="false" outlineLevel="0" collapsed="false">
      <c r="A157" s="20" t="n">
        <v>42582</v>
      </c>
      <c r="B157" s="32" t="str">
        <f aca="false">IF(ISNUMBER('SA Data'!T157),"A","F")</f>
        <v>A</v>
      </c>
      <c r="C157" s="30" t="n">
        <f aca="false">IFERROR('SA Data'!R157,"")</f>
        <v>127.288989974674</v>
      </c>
      <c r="D157" s="30" t="n">
        <f aca="false">IFERROR('SA Data'!S157,"")</f>
        <v>120.409681894966</v>
      </c>
      <c r="E157" s="30" t="n">
        <f aca="false">IFERROR('SA Data'!T157,"")</f>
        <v>157.264402309133</v>
      </c>
      <c r="F157" s="23" t="n">
        <f aca="false">IFERROR(C157*'Weights &amp; Assumptions'!$B$25/'Weights &amp; Assumptions'!$B$28+D157*'Weights &amp; Assumptions'!$B$26/'Weights &amp; Assumptions'!$B$28+E157*'Weights &amp; Assumptions'!$B$27/'Weights &amp; Assumptions'!$B$28,"")</f>
        <v>144.949126326317</v>
      </c>
      <c r="G157" s="31" t="n">
        <f aca="false">IFERROR((F157/F156-1)*100,"")</f>
        <v>-1.38374324466503</v>
      </c>
      <c r="H157" s="31" t="n">
        <f aca="false">IFERROR((F157/F145-1)*100,"")</f>
        <v>-4.72311073711353</v>
      </c>
      <c r="I157" s="31" t="n">
        <f aca="false">IFERROR((C157/C156-1)*100,"")</f>
        <v>-7.31808248859823</v>
      </c>
      <c r="J157" s="31" t="n">
        <f aca="false">IFERROR((D157/D156-1)*100,"")</f>
        <v>-0.169547646777379</v>
      </c>
      <c r="K157" s="31" t="n">
        <f aca="false">IFERROR((E157/E156-1)*100,"")</f>
        <v>-1.09901172114975</v>
      </c>
    </row>
    <row r="158" customFormat="false" ht="15" hidden="false" customHeight="false" outlineLevel="0" collapsed="false">
      <c r="A158" s="20" t="n">
        <v>42613</v>
      </c>
      <c r="B158" s="32" t="str">
        <f aca="false">IF(ISNUMBER('SA Data'!T158),"A","F")</f>
        <v>A</v>
      </c>
      <c r="C158" s="30" t="n">
        <f aca="false">IFERROR('SA Data'!R158,"")</f>
        <v>122.41850953312</v>
      </c>
      <c r="D158" s="30" t="n">
        <f aca="false">IFERROR('SA Data'!S158,"")</f>
        <v>124.049946419057</v>
      </c>
      <c r="E158" s="30" t="n">
        <f aca="false">IFERROR('SA Data'!T158,"")</f>
        <v>159.328180677415</v>
      </c>
      <c r="F158" s="23" t="n">
        <f aca="false">IFERROR(C158*'Weights &amp; Assumptions'!$B$25/'Weights &amp; Assumptions'!$B$28+D158*'Weights &amp; Assumptions'!$B$26/'Weights &amp; Assumptions'!$B$28+E158*'Weights &amp; Assumptions'!$B$27/'Weights &amp; Assumptions'!$B$28,"")</f>
        <v>146.850329816925</v>
      </c>
      <c r="G158" s="31" t="n">
        <f aca="false">IFERROR((F158/F157-1)*100,"")</f>
        <v>1.31163501208575</v>
      </c>
      <c r="H158" s="31" t="n">
        <f aca="false">IFERROR((F158/F146-1)*100,"")</f>
        <v>-1.68042363506823</v>
      </c>
      <c r="I158" s="31" t="n">
        <f aca="false">IFERROR((C158/C157-1)*100,"")</f>
        <v>-3.82631714064476</v>
      </c>
      <c r="J158" s="31" t="n">
        <f aca="false">IFERROR((D158/D157-1)*100,"")</f>
        <v>3.02323240689766</v>
      </c>
      <c r="K158" s="31" t="n">
        <f aca="false">IFERROR((E158/E157-1)*100,"")</f>
        <v>1.31229848457746</v>
      </c>
    </row>
    <row r="159" customFormat="false" ht="15" hidden="false" customHeight="false" outlineLevel="0" collapsed="false">
      <c r="A159" s="20" t="n">
        <v>42643</v>
      </c>
      <c r="B159" s="32" t="str">
        <f aca="false">IF(ISNUMBER('SA Data'!T159),"A","F")</f>
        <v>A</v>
      </c>
      <c r="C159" s="30" t="n">
        <f aca="false">IFERROR('SA Data'!R159,"")</f>
        <v>115.368693284573</v>
      </c>
      <c r="D159" s="30" t="n">
        <f aca="false">IFERROR('SA Data'!S159,"")</f>
        <v>126.566522282273</v>
      </c>
      <c r="E159" s="30" t="n">
        <f aca="false">IFERROR('SA Data'!T159,"")</f>
        <v>159.511724679589</v>
      </c>
      <c r="F159" s="23" t="n">
        <f aca="false">IFERROR(C159*'Weights &amp; Assumptions'!$B$25/'Weights &amp; Assumptions'!$B$28+D159*'Weights &amp; Assumptions'!$B$26/'Weights &amp; Assumptions'!$B$28+E159*'Weights &amp; Assumptions'!$B$27/'Weights &amp; Assumptions'!$B$28,"")</f>
        <v>147.04738280011</v>
      </c>
      <c r="G159" s="31" t="n">
        <f aca="false">IFERROR((F159/F158-1)*100,"")</f>
        <v>0.134186272124848</v>
      </c>
      <c r="H159" s="31" t="n">
        <f aca="false">IFERROR((F159/F147-1)*100,"")</f>
        <v>-2.39008238696676</v>
      </c>
      <c r="I159" s="31" t="n">
        <f aca="false">IFERROR((C159/C158-1)*100,"")</f>
        <v>-5.75878294502501</v>
      </c>
      <c r="J159" s="31" t="n">
        <f aca="false">IFERROR((D159/D158-1)*100,"")</f>
        <v>2.02867952454782</v>
      </c>
      <c r="K159" s="31" t="n">
        <f aca="false">IFERROR((E159/E158-1)*100,"")</f>
        <v>0.115198705836517</v>
      </c>
    </row>
    <row r="160" customFormat="false" ht="15" hidden="false" customHeight="false" outlineLevel="0" collapsed="false">
      <c r="A160" s="20" t="n">
        <v>42674</v>
      </c>
      <c r="B160" s="32" t="str">
        <f aca="false">IF(ISNUMBER('SA Data'!T160),"A","F")</f>
        <v>A</v>
      </c>
      <c r="C160" s="30" t="n">
        <f aca="false">IFERROR('SA Data'!R160,"")</f>
        <v>121.489696549462</v>
      </c>
      <c r="D160" s="30" t="n">
        <f aca="false">IFERROR('SA Data'!S160,"")</f>
        <v>119.992545099361</v>
      </c>
      <c r="E160" s="30" t="n">
        <f aca="false">IFERROR('SA Data'!T160,"")</f>
        <v>156.949216482064</v>
      </c>
      <c r="F160" s="23" t="n">
        <f aca="false">IFERROR(C160*'Weights &amp; Assumptions'!$B$25/'Weights &amp; Assumptions'!$B$28+D160*'Weights &amp; Assumptions'!$B$26/'Weights &amp; Assumptions'!$B$28+E160*'Weights &amp; Assumptions'!$B$27/'Weights &amp; Assumptions'!$B$28,"")</f>
        <v>144.146708764469</v>
      </c>
      <c r="G160" s="31" t="n">
        <f aca="false">IFERROR((F160/F159-1)*100,"")</f>
        <v>-1.97261180743618</v>
      </c>
      <c r="H160" s="31" t="n">
        <f aca="false">IFERROR((F160/F148-1)*100,"")</f>
        <v>-3.36677287567633</v>
      </c>
      <c r="I160" s="31" t="n">
        <f aca="false">IFERROR((C160/C159-1)*100,"")</f>
        <v>5.30560162434319</v>
      </c>
      <c r="J160" s="31" t="n">
        <f aca="false">IFERROR((D160/D159-1)*100,"")</f>
        <v>-5.19408850331701</v>
      </c>
      <c r="K160" s="31" t="n">
        <f aca="false">IFERROR((E160/E159-1)*100,"")</f>
        <v>-1.6064701216613</v>
      </c>
    </row>
    <row r="161" customFormat="false" ht="15" hidden="false" customHeight="false" outlineLevel="0" collapsed="false">
      <c r="A161" s="20" t="n">
        <v>42704</v>
      </c>
      <c r="B161" s="32" t="str">
        <f aca="false">IF(ISNUMBER('SA Data'!T161),"A","F")</f>
        <v>A</v>
      </c>
      <c r="C161" s="30" t="n">
        <f aca="false">IFERROR('SA Data'!R161,"")</f>
        <v>126.128645631775</v>
      </c>
      <c r="D161" s="30" t="n">
        <f aca="false">IFERROR('SA Data'!S161,"")</f>
        <v>125.792769958647</v>
      </c>
      <c r="E161" s="30" t="n">
        <f aca="false">IFERROR('SA Data'!T161,"")</f>
        <v>159.760661524301</v>
      </c>
      <c r="F161" s="23" t="n">
        <f aca="false">IFERROR(C161*'Weights &amp; Assumptions'!$B$25/'Weights &amp; Assumptions'!$B$28+D161*'Weights &amp; Assumptions'!$B$26/'Weights &amp; Assumptions'!$B$28+E161*'Weights &amp; Assumptions'!$B$27/'Weights &amp; Assumptions'!$B$28,"")</f>
        <v>147.906251678367</v>
      </c>
      <c r="G161" s="31" t="n">
        <f aca="false">IFERROR((F161/F160-1)*100,"")</f>
        <v>2.60813649241252</v>
      </c>
      <c r="H161" s="31" t="n">
        <f aca="false">IFERROR((F161/F149-1)*100,"")</f>
        <v>-0.657217225743045</v>
      </c>
      <c r="I161" s="31" t="n">
        <f aca="false">IFERROR((C161/C160-1)*100,"")</f>
        <v>3.81838889557495</v>
      </c>
      <c r="J161" s="31" t="n">
        <f aca="false">IFERROR((D161/D160-1)*100,"")</f>
        <v>4.83382101319962</v>
      </c>
      <c r="K161" s="31" t="n">
        <f aca="false">IFERROR((E161/E160-1)*100,"")</f>
        <v>1.79130874639213</v>
      </c>
    </row>
    <row r="162" customFormat="false" ht="15" hidden="false" customHeight="false" outlineLevel="0" collapsed="false">
      <c r="A162" s="20" t="n">
        <v>42735</v>
      </c>
      <c r="B162" s="32" t="str">
        <f aca="false">IF(ISNUMBER('SA Data'!T162),"A","F")</f>
        <v>A</v>
      </c>
      <c r="C162" s="30" t="n">
        <f aca="false">IFERROR('SA Data'!R162,"")</f>
        <v>126.626325687898</v>
      </c>
      <c r="D162" s="30" t="n">
        <f aca="false">IFERROR('SA Data'!S162,"")</f>
        <v>126.248123785215</v>
      </c>
      <c r="E162" s="30" t="n">
        <f aca="false">IFERROR('SA Data'!T162,"")</f>
        <v>159.538945119082</v>
      </c>
      <c r="F162" s="23" t="n">
        <f aca="false">IFERROR(C162*'Weights &amp; Assumptions'!$B$25/'Weights &amp; Assumptions'!$B$28+D162*'Weights &amp; Assumptions'!$B$26/'Weights &amp; Assumptions'!$B$28+E162*'Weights &amp; Assumptions'!$B$27/'Weights &amp; Assumptions'!$B$28,"")</f>
        <v>147.924938036741</v>
      </c>
      <c r="G162" s="31" t="n">
        <f aca="false">IFERROR((F162/F161-1)*100,"")</f>
        <v>0.0126339205831272</v>
      </c>
      <c r="H162" s="31" t="n">
        <f aca="false">IFERROR((F162/F150-1)*100,"")</f>
        <v>0.443428807254942</v>
      </c>
      <c r="I162" s="31" t="n">
        <f aca="false">IFERROR((C162/C161-1)*100,"")</f>
        <v>0.394581305166808</v>
      </c>
      <c r="J162" s="31" t="n">
        <f aca="false">IFERROR((D162/D161-1)*100,"")</f>
        <v>0.361987280125753</v>
      </c>
      <c r="K162" s="31" t="n">
        <f aca="false">IFERROR((E162/E161-1)*100,"")</f>
        <v>-0.138780349996215</v>
      </c>
    </row>
    <row r="163" customFormat="false" ht="15" hidden="false" customHeight="false" outlineLevel="0" collapsed="false">
      <c r="A163" s="20" t="n">
        <v>42766</v>
      </c>
      <c r="B163" s="32" t="str">
        <f aca="false">IF(ISNUMBER('SA Data'!T163),"A","F")</f>
        <v>A</v>
      </c>
      <c r="C163" s="30" t="n">
        <f aca="false">IFERROR('SA Data'!R163,"")</f>
        <v>121.167152103451</v>
      </c>
      <c r="D163" s="30" t="n">
        <f aca="false">IFERROR('SA Data'!S163,"")</f>
        <v>124.780252781117</v>
      </c>
      <c r="E163" s="30" t="n">
        <f aca="false">IFERROR('SA Data'!T163,"")</f>
        <v>157.852154866495</v>
      </c>
      <c r="F163" s="23" t="n">
        <f aca="false">IFERROR(C163*'Weights &amp; Assumptions'!$B$25/'Weights &amp; Assumptions'!$B$28+D163*'Weights &amp; Assumptions'!$B$26/'Weights &amp; Assumptions'!$B$28+E163*'Weights &amp; Assumptions'!$B$27/'Weights &amp; Assumptions'!$B$28,"")</f>
        <v>145.979856135531</v>
      </c>
      <c r="G163" s="31" t="n">
        <f aca="false">IFERROR((F163/F162-1)*100,"")</f>
        <v>-1.31491141860536</v>
      </c>
      <c r="H163" s="31" t="n">
        <f aca="false">IFERROR((F163/F151-1)*100,"")</f>
        <v>1.10185174108015</v>
      </c>
      <c r="I163" s="31" t="n">
        <f aca="false">IFERROR((C163/C162-1)*100,"")</f>
        <v>-4.31124693446672</v>
      </c>
      <c r="J163" s="31" t="n">
        <f aca="false">IFERROR((D163/D162-1)*100,"")</f>
        <v>-1.16268738107774</v>
      </c>
      <c r="K163" s="31" t="n">
        <f aca="false">IFERROR((E163/E162-1)*100,"")</f>
        <v>-1.0572905890328</v>
      </c>
    </row>
    <row r="164" customFormat="false" ht="15" hidden="false" customHeight="false" outlineLevel="0" collapsed="false">
      <c r="A164" s="20" t="n">
        <v>42794</v>
      </c>
      <c r="B164" s="32" t="str">
        <f aca="false">IF(ISNUMBER('SA Data'!T164),"A","F")</f>
        <v>A</v>
      </c>
      <c r="C164" s="30" t="n">
        <f aca="false">IFERROR('SA Data'!R164,"")</f>
        <v>132.763157697065</v>
      </c>
      <c r="D164" s="30" t="n">
        <f aca="false">IFERROR('SA Data'!S164,"")</f>
        <v>121.39969751126</v>
      </c>
      <c r="E164" s="30" t="n">
        <f aca="false">IFERROR('SA Data'!T164,"")</f>
        <v>157.770377546612</v>
      </c>
      <c r="F164" s="23" t="n">
        <f aca="false">IFERROR(C164*'Weights &amp; Assumptions'!$B$25/'Weights &amp; Assumptions'!$B$28+D164*'Weights &amp; Assumptions'!$B$26/'Weights &amp; Assumptions'!$B$28+E164*'Weights &amp; Assumptions'!$B$27/'Weights &amp; Assumptions'!$B$28,"")</f>
        <v>146.000651839826</v>
      </c>
      <c r="G164" s="31" t="n">
        <f aca="false">IFERROR((F164/F163-1)*100,"")</f>
        <v>0.0142455985677969</v>
      </c>
      <c r="H164" s="31" t="n">
        <f aca="false">IFERROR((F164/F152-1)*100,"")</f>
        <v>-0.524606862127797</v>
      </c>
      <c r="I164" s="31" t="n">
        <f aca="false">IFERROR((C164/C163-1)*100,"")</f>
        <v>9.57025513293701</v>
      </c>
      <c r="J164" s="31" t="n">
        <f aca="false">IFERROR((D164/D163-1)*100,"")</f>
        <v>-2.70920694141164</v>
      </c>
      <c r="K164" s="31" t="n">
        <f aca="false">IFERROR((E164/E163-1)*100,"")</f>
        <v>-0.0518062740115233</v>
      </c>
    </row>
    <row r="165" customFormat="false" ht="15" hidden="false" customHeight="false" outlineLevel="0" collapsed="false">
      <c r="A165" s="20" t="n">
        <v>42825</v>
      </c>
      <c r="B165" s="32" t="str">
        <f aca="false">IF(ISNUMBER('SA Data'!T165),"A","F")</f>
        <v>A</v>
      </c>
      <c r="C165" s="30" t="n">
        <f aca="false">IFERROR('SA Data'!R165,"")</f>
        <v>126.885391277369</v>
      </c>
      <c r="D165" s="30" t="n">
        <f aca="false">IFERROR('SA Data'!S165,"")</f>
        <v>129.701919891845</v>
      </c>
      <c r="E165" s="30" t="n">
        <f aca="false">IFERROR('SA Data'!T165,"")</f>
        <v>163.098397099649</v>
      </c>
      <c r="F165" s="23" t="n">
        <f aca="false">IFERROR(C165*'Weights &amp; Assumptions'!$B$25/'Weights &amp; Assumptions'!$B$28+D165*'Weights &amp; Assumptions'!$B$26/'Weights &amp; Assumptions'!$B$28+E165*'Weights &amp; Assumptions'!$B$27/'Weights &amp; Assumptions'!$B$28,"")</f>
        <v>151.179389110025</v>
      </c>
      <c r="G165" s="31" t="n">
        <f aca="false">IFERROR((F165/F164-1)*100,"")</f>
        <v>3.54706448562994</v>
      </c>
      <c r="H165" s="31" t="n">
        <f aca="false">IFERROR((F165/F153-1)*100,"")</f>
        <v>1.72492485750513</v>
      </c>
      <c r="I165" s="31" t="n">
        <f aca="false">IFERROR((C165/C164-1)*100,"")</f>
        <v>-4.42725717107973</v>
      </c>
      <c r="J165" s="31" t="n">
        <f aca="false">IFERROR((D165/D164-1)*100,"")</f>
        <v>6.83875046707947</v>
      </c>
      <c r="K165" s="31" t="n">
        <f aca="false">IFERROR((E165/E164-1)*100,"")</f>
        <v>3.37707219561048</v>
      </c>
    </row>
    <row r="166" customFormat="false" ht="15" hidden="false" customHeight="false" outlineLevel="0" collapsed="false">
      <c r="A166" s="20" t="n">
        <v>42855</v>
      </c>
      <c r="B166" s="32" t="str">
        <f aca="false">IF(ISNUMBER('SA Data'!T166),"A","F")</f>
        <v>A</v>
      </c>
      <c r="C166" s="30" t="n">
        <f aca="false">IFERROR('SA Data'!R166,"")</f>
        <v>138.1971443109</v>
      </c>
      <c r="D166" s="30" t="n">
        <f aca="false">IFERROR('SA Data'!S166,"")</f>
        <v>126.833150413741</v>
      </c>
      <c r="E166" s="30" t="n">
        <f aca="false">IFERROR('SA Data'!T166,"")</f>
        <v>162.186124333992</v>
      </c>
      <c r="F166" s="23" t="n">
        <f aca="false">IFERROR(C166*'Weights &amp; Assumptions'!$B$25/'Weights &amp; Assumptions'!$B$28+D166*'Weights &amp; Assumptions'!$B$26/'Weights &amp; Assumptions'!$B$28+E166*'Weights &amp; Assumptions'!$B$27/'Weights &amp; Assumptions'!$B$28,"")</f>
        <v>150.772455629486</v>
      </c>
      <c r="G166" s="31" t="n">
        <f aca="false">IFERROR((F166/F165-1)*100,"")</f>
        <v>-0.269172592199174</v>
      </c>
      <c r="H166" s="31" t="n">
        <f aca="false">IFERROR((F166/F154-1)*100,"")</f>
        <v>-0.257339232606224</v>
      </c>
      <c r="I166" s="31" t="n">
        <f aca="false">IFERROR((C166/C165-1)*100,"")</f>
        <v>8.91493726713055</v>
      </c>
      <c r="J166" s="31" t="n">
        <f aca="false">IFERROR((D166/D165-1)*100,"")</f>
        <v>-2.21181728111337</v>
      </c>
      <c r="K166" s="31" t="n">
        <f aca="false">IFERROR((E166/E165-1)*100,"")</f>
        <v>-0.559338891049699</v>
      </c>
    </row>
    <row r="167" customFormat="false" ht="15" hidden="false" customHeight="false" outlineLevel="0" collapsed="false">
      <c r="A167" s="20" t="n">
        <v>42886</v>
      </c>
      <c r="B167" s="32" t="str">
        <f aca="false">IF(ISNUMBER('SA Data'!T167),"A","F")</f>
        <v>A</v>
      </c>
      <c r="C167" s="30" t="n">
        <f aca="false">IFERROR('SA Data'!R167,"")</f>
        <v>136.359840946841</v>
      </c>
      <c r="D167" s="30" t="n">
        <f aca="false">IFERROR('SA Data'!S167,"")</f>
        <v>131.134757252641</v>
      </c>
      <c r="E167" s="30" t="n">
        <f aca="false">IFERROR('SA Data'!T167,"")</f>
        <v>164.617762874846</v>
      </c>
      <c r="F167" s="23" t="n">
        <f aca="false">IFERROR(C167*'Weights &amp; Assumptions'!$B$25/'Weights &amp; Assumptions'!$B$28+D167*'Weights &amp; Assumptions'!$B$26/'Weights &amp; Assumptions'!$B$28+E167*'Weights &amp; Assumptions'!$B$27/'Weights &amp; Assumptions'!$B$28,"")</f>
        <v>153.343183627277</v>
      </c>
      <c r="G167" s="31" t="n">
        <f aca="false">IFERROR((F167/F166-1)*100,"")</f>
        <v>1.70503822270325</v>
      </c>
      <c r="H167" s="31" t="n">
        <f aca="false">IFERROR((F167/F155-1)*100,"")</f>
        <v>2.90911853741715</v>
      </c>
      <c r="I167" s="31" t="n">
        <f aca="false">IFERROR((C167/C166-1)*100,"")</f>
        <v>-1.32947997820119</v>
      </c>
      <c r="J167" s="31" t="n">
        <f aca="false">IFERROR((D167/D166-1)*100,"")</f>
        <v>3.39154773406447</v>
      </c>
      <c r="K167" s="31" t="n">
        <f aca="false">IFERROR((E167/E166-1)*100,"")</f>
        <v>1.49928888851611</v>
      </c>
    </row>
    <row r="168" customFormat="false" ht="15" hidden="false" customHeight="false" outlineLevel="0" collapsed="false">
      <c r="A168" s="20" t="n">
        <v>42916</v>
      </c>
      <c r="B168" s="32" t="str">
        <f aca="false">IF(ISNUMBER('SA Data'!T168),"A","F")</f>
        <v>A</v>
      </c>
      <c r="C168" s="30" t="n">
        <f aca="false">IFERROR('SA Data'!R168,"")</f>
        <v>141.087721061119</v>
      </c>
      <c r="D168" s="30" t="n">
        <f aca="false">IFERROR('SA Data'!S168,"")</f>
        <v>133.496099042789</v>
      </c>
      <c r="E168" s="30" t="n">
        <f aca="false">IFERROR('SA Data'!T168,"")</f>
        <v>164.648654896329</v>
      </c>
      <c r="F168" s="23" t="n">
        <f aca="false">IFERROR(C168*'Weights &amp; Assumptions'!$B$25/'Weights &amp; Assumptions'!$B$28+D168*'Weights &amp; Assumptions'!$B$26/'Weights &amp; Assumptions'!$B$28+E168*'Weights &amp; Assumptions'!$B$27/'Weights &amp; Assumptions'!$B$28,"")</f>
        <v>154.387864160741</v>
      </c>
      <c r="G168" s="31" t="n">
        <f aca="false">IFERROR((F168/F167-1)*100,"")</f>
        <v>0.681269625914727</v>
      </c>
      <c r="H168" s="31" t="n">
        <f aca="false">IFERROR((F168/F156-1)*100,"")</f>
        <v>5.037909767788</v>
      </c>
      <c r="I168" s="31" t="n">
        <f aca="false">IFERROR((C168/C167-1)*100,"")</f>
        <v>3.46720858681684</v>
      </c>
      <c r="J168" s="31" t="n">
        <f aca="false">IFERROR((D168/D167-1)*100,"")</f>
        <v>1.80069863979608</v>
      </c>
      <c r="K168" s="31" t="n">
        <f aca="false">IFERROR((E168/E167-1)*100,"")</f>
        <v>0.0187659101564375</v>
      </c>
    </row>
    <row r="169" customFormat="false" ht="15" hidden="false" customHeight="false" outlineLevel="0" collapsed="false">
      <c r="A169" s="20" t="n">
        <v>42947</v>
      </c>
      <c r="B169" s="32" t="str">
        <f aca="false">IF(ISNUMBER('SA Data'!T169),"A","F")</f>
        <v>A</v>
      </c>
      <c r="C169" s="30" t="n">
        <f aca="false">IFERROR('SA Data'!R169,"")</f>
        <v>126.779790711633</v>
      </c>
      <c r="D169" s="30" t="n">
        <f aca="false">IFERROR('SA Data'!S169,"")</f>
        <v>128.584934870553</v>
      </c>
      <c r="E169" s="30" t="n">
        <f aca="false">IFERROR('SA Data'!T169,"")</f>
        <v>163.573783621003</v>
      </c>
      <c r="F169" s="23" t="n">
        <f aca="false">IFERROR(C169*'Weights &amp; Assumptions'!$B$25/'Weights &amp; Assumptions'!$B$28+D169*'Weights &amp; Assumptions'!$B$26/'Weights &amp; Assumptions'!$B$28+E169*'Weights &amp; Assumptions'!$B$27/'Weights &amp; Assumptions'!$B$28,"")</f>
        <v>151.182590922277</v>
      </c>
      <c r="G169" s="31" t="n">
        <f aca="false">IFERROR((F169/F168-1)*100,"")</f>
        <v>-2.07611735280335</v>
      </c>
      <c r="H169" s="31" t="n">
        <f aca="false">IFERROR((F169/F157-1)*100,"")</f>
        <v>4.30044992608445</v>
      </c>
      <c r="I169" s="31" t="n">
        <f aca="false">IFERROR((C169/C168-1)*100,"")</f>
        <v>-10.141159161036</v>
      </c>
      <c r="J169" s="31" t="n">
        <f aca="false">IFERROR((D169/D168-1)*100,"")</f>
        <v>-3.67888216019092</v>
      </c>
      <c r="K169" s="31" t="n">
        <f aca="false">IFERROR((E169/E168-1)*100,"")</f>
        <v>-0.652827243564536</v>
      </c>
    </row>
    <row r="170" customFormat="false" ht="15" hidden="false" customHeight="false" outlineLevel="0" collapsed="false">
      <c r="A170" s="20" t="n">
        <v>42978</v>
      </c>
      <c r="B170" s="32" t="str">
        <f aca="false">IF(ISNUMBER('SA Data'!T170),"A","F")</f>
        <v>A</v>
      </c>
      <c r="C170" s="30" t="n">
        <f aca="false">IFERROR('SA Data'!R170,"")</f>
        <v>128.810740724859</v>
      </c>
      <c r="D170" s="30" t="n">
        <f aca="false">IFERROR('SA Data'!S170,"")</f>
        <v>132.504450328195</v>
      </c>
      <c r="E170" s="30" t="n">
        <f aca="false">IFERROR('SA Data'!T170,"")</f>
        <v>164.039669351334</v>
      </c>
      <c r="F170" s="23" t="n">
        <f aca="false">IFERROR(C170*'Weights &amp; Assumptions'!$B$25/'Weights &amp; Assumptions'!$B$28+D170*'Weights &amp; Assumptions'!$B$26/'Weights &amp; Assumptions'!$B$28+E170*'Weights &amp; Assumptions'!$B$27/'Weights &amp; Assumptions'!$B$28,"")</f>
        <v>152.698167321453</v>
      </c>
      <c r="G170" s="31" t="n">
        <f aca="false">IFERROR((F170/F169-1)*100,"")</f>
        <v>1.00248076840745</v>
      </c>
      <c r="H170" s="31" t="n">
        <f aca="false">IFERROR((F170/F158-1)*100,"")</f>
        <v>3.9821752609055</v>
      </c>
      <c r="I170" s="31" t="n">
        <f aca="false">IFERROR((C170/C169-1)*100,"")</f>
        <v>1.60195091175543</v>
      </c>
      <c r="J170" s="31" t="n">
        <f aca="false">IFERROR((D170/D169-1)*100,"")</f>
        <v>3.04819181312919</v>
      </c>
      <c r="K170" s="31" t="n">
        <f aca="false">IFERROR((E170/E169-1)*100,"")</f>
        <v>0.284816869805082</v>
      </c>
    </row>
    <row r="171" customFormat="false" ht="15" hidden="false" customHeight="false" outlineLevel="0" collapsed="false">
      <c r="A171" s="20" t="n">
        <v>43008</v>
      </c>
      <c r="B171" s="32" t="str">
        <f aca="false">IF(ISNUMBER('SA Data'!T171),"A","F")</f>
        <v>A</v>
      </c>
      <c r="C171" s="30" t="n">
        <f aca="false">IFERROR('SA Data'!R171,"")</f>
        <v>123.881510273527</v>
      </c>
      <c r="D171" s="30" t="n">
        <f aca="false">IFERROR('SA Data'!S171,"")</f>
        <v>130.551111326883</v>
      </c>
      <c r="E171" s="30" t="n">
        <f aca="false">IFERROR('SA Data'!T171,"")</f>
        <v>163.335001389662</v>
      </c>
      <c r="F171" s="23" t="n">
        <f aca="false">IFERROR(C171*'Weights &amp; Assumptions'!$B$25/'Weights &amp; Assumptions'!$B$28+D171*'Weights &amp; Assumptions'!$B$26/'Weights &amp; Assumptions'!$B$28+E171*'Weights &amp; Assumptions'!$B$27/'Weights &amp; Assumptions'!$B$28,"")</f>
        <v>151.307011609792</v>
      </c>
      <c r="G171" s="31" t="n">
        <f aca="false">IFERROR((F171/F170-1)*100,"")</f>
        <v>-0.91104938327925</v>
      </c>
      <c r="H171" s="31" t="n">
        <f aca="false">IFERROR((F171/F159-1)*100,"")</f>
        <v>2.89677295071131</v>
      </c>
      <c r="I171" s="31" t="n">
        <f aca="false">IFERROR((C171/C170-1)*100,"")</f>
        <v>-3.82672316267618</v>
      </c>
      <c r="J171" s="31" t="n">
        <f aca="false">IFERROR((D171/D170-1)*100,"")</f>
        <v>-1.47416860073298</v>
      </c>
      <c r="K171" s="31" t="n">
        <f aca="false">IFERROR((E171/E170-1)*100,"")</f>
        <v>-0.429571678886476</v>
      </c>
    </row>
    <row r="172" customFormat="false" ht="15" hidden="false" customHeight="false" outlineLevel="0" collapsed="false">
      <c r="A172" s="20" t="n">
        <v>43039</v>
      </c>
      <c r="B172" s="32" t="str">
        <f aca="false">IF(ISNUMBER('SA Data'!T172),"A","F")</f>
        <v>A</v>
      </c>
      <c r="C172" s="30" t="n">
        <f aca="false">IFERROR('SA Data'!R172,"")</f>
        <v>136.173350238016</v>
      </c>
      <c r="D172" s="30" t="n">
        <f aca="false">IFERROR('SA Data'!S172,"")</f>
        <v>130.317085872409</v>
      </c>
      <c r="E172" s="30" t="n">
        <f aca="false">IFERROR('SA Data'!T172,"")</f>
        <v>163.913890874348</v>
      </c>
      <c r="F172" s="23" t="n">
        <f aca="false">IFERROR(C172*'Weights &amp; Assumptions'!$B$25/'Weights &amp; Assumptions'!$B$28+D172*'Weights &amp; Assumptions'!$B$26/'Weights &amp; Assumptions'!$B$28+E172*'Weights &amp; Assumptions'!$B$27/'Weights &amp; Assumptions'!$B$28,"")</f>
        <v>152.652459104777</v>
      </c>
      <c r="G172" s="31" t="n">
        <f aca="false">IFERROR((F172/F171-1)*100,"")</f>
        <v>0.88921688471022</v>
      </c>
      <c r="H172" s="31" t="n">
        <f aca="false">IFERROR((F172/F160-1)*100,"")</f>
        <v>5.90075931196332</v>
      </c>
      <c r="I172" s="31" t="n">
        <f aca="false">IFERROR((C172/C171-1)*100,"")</f>
        <v>9.92225549829819</v>
      </c>
      <c r="J172" s="31" t="n">
        <f aca="false">IFERROR((D172/D171-1)*100,"")</f>
        <v>-0.179259641756635</v>
      </c>
      <c r="K172" s="31" t="n">
        <f aca="false">IFERROR((E172/E171-1)*100,"")</f>
        <v>0.354418513950527</v>
      </c>
    </row>
    <row r="173" customFormat="false" ht="15" hidden="false" customHeight="false" outlineLevel="0" collapsed="false">
      <c r="A173" s="20" t="n">
        <v>43069</v>
      </c>
      <c r="B173" s="32" t="str">
        <f aca="false">IF(ISNUMBER('SA Data'!T173),"A","F")</f>
        <v>A</v>
      </c>
      <c r="C173" s="30" t="n">
        <f aca="false">IFERROR('SA Data'!R173,"")</f>
        <v>130.199871619345</v>
      </c>
      <c r="D173" s="30" t="n">
        <f aca="false">IFERROR('SA Data'!S173,"")</f>
        <v>134.165767406144</v>
      </c>
      <c r="E173" s="30" t="n">
        <f aca="false">IFERROR('SA Data'!T173,"")</f>
        <v>166.233686358214</v>
      </c>
      <c r="F173" s="23" t="n">
        <f aca="false">IFERROR(C173*'Weights &amp; Assumptions'!$B$25/'Weights &amp; Assumptions'!$B$28+D173*'Weights &amp; Assumptions'!$B$26/'Weights &amp; Assumptions'!$B$28+E173*'Weights &amp; Assumptions'!$B$27/'Weights &amp; Assumptions'!$B$28,"")</f>
        <v>154.682999497285</v>
      </c>
      <c r="G173" s="31" t="n">
        <f aca="false">IFERROR((F173/F172-1)*100,"")</f>
        <v>1.3301720813514</v>
      </c>
      <c r="H173" s="31" t="n">
        <f aca="false">IFERROR((F173/F161-1)*100,"")</f>
        <v>4.58178592319072</v>
      </c>
      <c r="I173" s="31" t="n">
        <f aca="false">IFERROR((C173/C172-1)*100,"")</f>
        <v>-4.38667228810238</v>
      </c>
      <c r="J173" s="31" t="n">
        <f aca="false">IFERROR((D173/D172-1)*100,"")</f>
        <v>2.95332074683083</v>
      </c>
      <c r="K173" s="31" t="n">
        <f aca="false">IFERROR((E173/E172-1)*100,"")</f>
        <v>1.4152525277092</v>
      </c>
    </row>
    <row r="174" customFormat="false" ht="15" hidden="false" customHeight="false" outlineLevel="0" collapsed="false">
      <c r="A174" s="20" t="n">
        <v>43100</v>
      </c>
      <c r="B174" s="32" t="str">
        <f aca="false">IF(ISNUMBER('SA Data'!T174),"A","F")</f>
        <v>A</v>
      </c>
      <c r="C174" s="30" t="n">
        <f aca="false">IFERROR('SA Data'!R174,"")</f>
        <v>124.299686707646</v>
      </c>
      <c r="D174" s="30" t="n">
        <f aca="false">IFERROR('SA Data'!S174,"")</f>
        <v>130.771527159733</v>
      </c>
      <c r="E174" s="30" t="n">
        <f aca="false">IFERROR('SA Data'!T174,"")</f>
        <v>162.300809893452</v>
      </c>
      <c r="F174" s="23" t="n">
        <f aca="false">IFERROR(C174*'Weights &amp; Assumptions'!$B$25/'Weights &amp; Assumptions'!$B$28+D174*'Weights &amp; Assumptions'!$B$26/'Weights &amp; Assumptions'!$B$28+E174*'Weights &amp; Assumptions'!$B$27/'Weights &amp; Assumptions'!$B$28,"")</f>
        <v>150.728296996081</v>
      </c>
      <c r="G174" s="31" t="n">
        <f aca="false">IFERROR((F174/F173-1)*100,"")</f>
        <v>-2.55664973788786</v>
      </c>
      <c r="H174" s="31" t="n">
        <f aca="false">IFERROR((F174/F162-1)*100,"")</f>
        <v>1.89512261863731</v>
      </c>
      <c r="I174" s="31" t="n">
        <f aca="false">IFERROR((C174/C173-1)*100,"")</f>
        <v>-4.53163650494843</v>
      </c>
      <c r="J174" s="31" t="n">
        <f aca="false">IFERROR((D174/D173-1)*100,"")</f>
        <v>-2.52988546335795</v>
      </c>
      <c r="K174" s="31" t="n">
        <f aca="false">IFERROR((E174/E173-1)*100,"")</f>
        <v>-2.36587213513787</v>
      </c>
    </row>
    <row r="175" customFormat="false" ht="15" hidden="false" customHeight="false" outlineLevel="0" collapsed="false">
      <c r="A175" s="20" t="n">
        <v>43131</v>
      </c>
      <c r="B175" s="32" t="str">
        <f aca="false">IF(ISNUMBER('SA Data'!T175),"A","F")</f>
        <v>A</v>
      </c>
      <c r="C175" s="30" t="n">
        <f aca="false">IFERROR('SA Data'!R175,"")</f>
        <v>117.771108761668</v>
      </c>
      <c r="D175" s="30" t="n">
        <f aca="false">IFERROR('SA Data'!S175,"")</f>
        <v>132.021269521825</v>
      </c>
      <c r="E175" s="30" t="n">
        <f aca="false">IFERROR('SA Data'!T175,"")</f>
        <v>163.784396600151</v>
      </c>
      <c r="F175" s="23" t="n">
        <f aca="false">IFERROR(C175*'Weights &amp; Assumptions'!$B$25/'Weights &amp; Assumptions'!$B$28+D175*'Weights &amp; Assumptions'!$B$26/'Weights &amp; Assumptions'!$B$28+E175*'Weights &amp; Assumptions'!$B$27/'Weights &amp; Assumptions'!$B$28,"")</f>
        <v>151.477473124647</v>
      </c>
      <c r="G175" s="31" t="n">
        <f aca="false">IFERROR((F175/F174-1)*100,"")</f>
        <v>0.497037479688323</v>
      </c>
      <c r="H175" s="31" t="n">
        <f aca="false">IFERROR((F175/F163-1)*100,"")</f>
        <v>3.76601069123663</v>
      </c>
      <c r="I175" s="31" t="n">
        <f aca="false">IFERROR((C175/C174-1)*100,"")</f>
        <v>-5.2522883354757</v>
      </c>
      <c r="J175" s="31" t="n">
        <f aca="false">IFERROR((D175/D174-1)*100,"")</f>
        <v>0.955668553572164</v>
      </c>
      <c r="K175" s="31" t="n">
        <f aca="false">IFERROR((E175/E174-1)*100,"")</f>
        <v>0.914096921434204</v>
      </c>
    </row>
    <row r="176" customFormat="false" ht="15" hidden="false" customHeight="false" outlineLevel="0" collapsed="false">
      <c r="A176" s="20" t="n">
        <v>43159</v>
      </c>
      <c r="B176" s="32" t="str">
        <f aca="false">IF(ISNUMBER('SA Data'!T176),"A","F")</f>
        <v>A</v>
      </c>
      <c r="C176" s="30" t="n">
        <f aca="false">IFERROR('SA Data'!R176,"")</f>
        <v>131.676018785222</v>
      </c>
      <c r="D176" s="30" t="n">
        <f aca="false">IFERROR('SA Data'!S176,"")</f>
        <v>128.745519461918</v>
      </c>
      <c r="E176" s="30" t="n">
        <f aca="false">IFERROR('SA Data'!T176,"")</f>
        <v>163.541191384975</v>
      </c>
      <c r="F176" s="23" t="n">
        <f aca="false">IFERROR(C176*'Weights &amp; Assumptions'!$B$25/'Weights &amp; Assumptions'!$B$28+D176*'Weights &amp; Assumptions'!$B$26/'Weights &amp; Assumptions'!$B$28+E176*'Weights &amp; Assumptions'!$B$27/'Weights &amp; Assumptions'!$B$28,"")</f>
        <v>151.61489990483</v>
      </c>
      <c r="G176" s="31" t="n">
        <f aca="false">IFERROR((F176/F175-1)*100,"")</f>
        <v>0.0907242359859728</v>
      </c>
      <c r="H176" s="31" t="n">
        <f aca="false">IFERROR((F176/F164-1)*100,"")</f>
        <v>3.84535821878624</v>
      </c>
      <c r="I176" s="31" t="n">
        <f aca="false">IFERROR((C176/C175-1)*100,"")</f>
        <v>11.8067242210422</v>
      </c>
      <c r="J176" s="31" t="n">
        <f aca="false">IFERROR((D176/D175-1)*100,"")</f>
        <v>-2.48122902602865</v>
      </c>
      <c r="K176" s="31" t="n">
        <f aca="false">IFERROR((E176/E175-1)*100,"")</f>
        <v>-0.148491077431634</v>
      </c>
    </row>
    <row r="177" customFormat="false" ht="15" hidden="false" customHeight="false" outlineLevel="0" collapsed="false">
      <c r="A177" s="20" t="n">
        <v>43190</v>
      </c>
      <c r="B177" s="32" t="str">
        <f aca="false">IF(ISNUMBER('SA Data'!T177),"A","F")</f>
        <v>A</v>
      </c>
      <c r="C177" s="30" t="n">
        <f aca="false">IFERROR('SA Data'!R177,"")</f>
        <v>129.051516301702</v>
      </c>
      <c r="D177" s="30" t="n">
        <f aca="false">IFERROR('SA Data'!S177,"")</f>
        <v>132.739889223548</v>
      </c>
      <c r="E177" s="30" t="n">
        <f aca="false">IFERROR('SA Data'!T177,"")</f>
        <v>165.821292564212</v>
      </c>
      <c r="F177" s="23" t="n">
        <f aca="false">IFERROR(C177*'Weights &amp; Assumptions'!$B$25/'Weights &amp; Assumptions'!$B$28+D177*'Weights &amp; Assumptions'!$B$26/'Weights &amp; Assumptions'!$B$28+E177*'Weights &amp; Assumptions'!$B$27/'Weights &amp; Assumptions'!$B$28,"")</f>
        <v>153.939354716344</v>
      </c>
      <c r="G177" s="31" t="n">
        <f aca="false">IFERROR((F177/F176-1)*100,"")</f>
        <v>1.53313085519502</v>
      </c>
      <c r="H177" s="31" t="n">
        <f aca="false">IFERROR((F177/F165-1)*100,"")</f>
        <v>1.82562293879287</v>
      </c>
      <c r="I177" s="31" t="n">
        <f aca="false">IFERROR((C177/C176-1)*100,"")</f>
        <v>-1.99315145440493</v>
      </c>
      <c r="J177" s="31" t="n">
        <f aca="false">IFERROR((D177/D176-1)*100,"")</f>
        <v>3.10253108482819</v>
      </c>
      <c r="K177" s="31" t="n">
        <f aca="false">IFERROR((E177/E176-1)*100,"")</f>
        <v>1.39420604676321</v>
      </c>
    </row>
    <row r="178" customFormat="false" ht="15" hidden="false" customHeight="false" outlineLevel="0" collapsed="false">
      <c r="A178" s="20" t="n">
        <v>43220</v>
      </c>
      <c r="B178" s="32" t="str">
        <f aca="false">IF(ISNUMBER('SA Data'!T178),"A","F")</f>
        <v>A</v>
      </c>
      <c r="C178" s="30" t="n">
        <f aca="false">IFERROR('SA Data'!R178,"")</f>
        <v>98.4902126423128</v>
      </c>
      <c r="D178" s="30" t="n">
        <f aca="false">IFERROR('SA Data'!S178,"")</f>
        <v>133.645608961902</v>
      </c>
      <c r="E178" s="30" t="n">
        <f aca="false">IFERROR('SA Data'!T178,"")</f>
        <v>167.296495133704</v>
      </c>
      <c r="F178" s="23" t="n">
        <f aca="false">IFERROR(C178*'Weights &amp; Assumptions'!$B$25/'Weights &amp; Assumptions'!$B$28+D178*'Weights &amp; Assumptions'!$B$26/'Weights &amp; Assumptions'!$B$28+E178*'Weights &amp; Assumptions'!$B$27/'Weights &amp; Assumptions'!$B$28,"")</f>
        <v>152.575232319886</v>
      </c>
      <c r="G178" s="31" t="n">
        <f aca="false">IFERROR((F178/F177-1)*100,"")</f>
        <v>-0.886142727421391</v>
      </c>
      <c r="H178" s="31" t="n">
        <f aca="false">IFERROR((F178/F166-1)*100,"")</f>
        <v>1.19569365828318</v>
      </c>
      <c r="I178" s="31" t="n">
        <f aca="false">IFERROR((C178/C177-1)*100,"")</f>
        <v>-23.6814758440663</v>
      </c>
      <c r="J178" s="31" t="n">
        <f aca="false">IFERROR((D178/D177-1)*100,"")</f>
        <v>0.68232672458346</v>
      </c>
      <c r="K178" s="31" t="n">
        <f aca="false">IFERROR((E178/E177-1)*100,"")</f>
        <v>0.889633982873384</v>
      </c>
    </row>
    <row r="179" customFormat="false" ht="15" hidden="false" customHeight="false" outlineLevel="0" collapsed="false">
      <c r="A179" s="20" t="n">
        <v>43251</v>
      </c>
      <c r="B179" s="32" t="str">
        <f aca="false">IF(ISNUMBER('SA Data'!T179),"A","F")</f>
        <v>A</v>
      </c>
      <c r="C179" s="30" t="n">
        <f aca="false">IFERROR('SA Data'!R179,"")</f>
        <v>94.1823311007906</v>
      </c>
      <c r="D179" s="30" t="n">
        <f aca="false">IFERROR('SA Data'!S179,"")</f>
        <v>132.653236835385</v>
      </c>
      <c r="E179" s="30" t="n">
        <f aca="false">IFERROR('SA Data'!T179,"")</f>
        <v>166.711352100086</v>
      </c>
      <c r="F179" s="23" t="n">
        <f aca="false">IFERROR(C179*'Weights &amp; Assumptions'!$B$25/'Weights &amp; Assumptions'!$B$28+D179*'Weights &amp; Assumptions'!$B$26/'Weights &amp; Assumptions'!$B$28+E179*'Weights &amp; Assumptions'!$B$27/'Weights &amp; Assumptions'!$B$28,"")</f>
        <v>151.569459098052</v>
      </c>
      <c r="G179" s="31" t="n">
        <f aca="false">IFERROR((F179/F178-1)*100,"")</f>
        <v>-0.659198224077173</v>
      </c>
      <c r="H179" s="31" t="n">
        <f aca="false">IFERROR((F179/F167-1)*100,"")</f>
        <v>-1.15670255910237</v>
      </c>
      <c r="I179" s="31" t="n">
        <f aca="false">IFERROR((C179/C178-1)*100,"")</f>
        <v>-4.37391840869213</v>
      </c>
      <c r="J179" s="31" t="n">
        <f aca="false">IFERROR((D179/D178-1)*100,"")</f>
        <v>-0.742540016260629</v>
      </c>
      <c r="K179" s="31" t="n">
        <f aca="false">IFERROR((E179/E178-1)*100,"")</f>
        <v>-0.349764071954695</v>
      </c>
    </row>
    <row r="180" customFormat="false" ht="15" hidden="false" customHeight="false" outlineLevel="0" collapsed="false">
      <c r="A180" s="20" t="n">
        <v>43281</v>
      </c>
      <c r="B180" s="32" t="str">
        <f aca="false">IF(ISNUMBER('SA Data'!T180),"A","F")</f>
        <v>A</v>
      </c>
      <c r="C180" s="30" t="n">
        <f aca="false">IFERROR('SA Data'!R180,"")</f>
        <v>94.0455229655958</v>
      </c>
      <c r="D180" s="30" t="n">
        <f aca="false">IFERROR('SA Data'!S180,"")</f>
        <v>126.834177220686</v>
      </c>
      <c r="E180" s="30" t="n">
        <f aca="false">IFERROR('SA Data'!T180,"")</f>
        <v>162.203216317566</v>
      </c>
      <c r="F180" s="23" t="n">
        <f aca="false">IFERROR(C180*'Weights &amp; Assumptions'!$B$25/'Weights &amp; Assumptions'!$B$28+D180*'Weights &amp; Assumptions'!$B$26/'Weights &amp; Assumptions'!$B$28+E180*'Weights &amp; Assumptions'!$B$27/'Weights &amp; Assumptions'!$B$28,"")</f>
        <v>147.079483796544</v>
      </c>
      <c r="G180" s="31" t="n">
        <f aca="false">IFERROR((F180/F179-1)*100,"")</f>
        <v>-2.96232191381212</v>
      </c>
      <c r="H180" s="31" t="n">
        <f aca="false">IFERROR((F180/F168-1)*100,"")</f>
        <v>-4.73377904664063</v>
      </c>
      <c r="I180" s="31" t="n">
        <f aca="false">IFERROR((C180/C179-1)*100,"")</f>
        <v>-0.145258811919147</v>
      </c>
      <c r="J180" s="31" t="n">
        <f aca="false">IFERROR((D180/D179-1)*100,"")</f>
        <v>-4.38666990231073</v>
      </c>
      <c r="K180" s="31" t="n">
        <f aca="false">IFERROR((E180/E179-1)*100,"")</f>
        <v>-2.70415645109371</v>
      </c>
    </row>
    <row r="181" customFormat="false" ht="15" hidden="false" customHeight="false" outlineLevel="0" collapsed="false">
      <c r="A181" s="20" t="n">
        <v>43312</v>
      </c>
      <c r="B181" s="32" t="str">
        <f aca="false">IF(ISNUMBER('SA Data'!T181),"A","F")</f>
        <v>A</v>
      </c>
      <c r="C181" s="30" t="n">
        <f aca="false">IFERROR('SA Data'!R181,"")</f>
        <v>120.494303519358</v>
      </c>
      <c r="D181" s="30" t="n">
        <f aca="false">IFERROR('SA Data'!S181,"")</f>
        <v>123.592672086365</v>
      </c>
      <c r="E181" s="30" t="n">
        <f aca="false">IFERROR('SA Data'!T181,"")</f>
        <v>162.323501078305</v>
      </c>
      <c r="F181" s="23" t="n">
        <f aca="false">IFERROR(C181*'Weights &amp; Assumptions'!$B$25/'Weights &amp; Assumptions'!$B$28+D181*'Weights &amp; Assumptions'!$B$26/'Weights &amp; Assumptions'!$B$28+E181*'Weights &amp; Assumptions'!$B$27/'Weights &amp; Assumptions'!$B$28,"")</f>
        <v>148.51479260745</v>
      </c>
      <c r="G181" s="31" t="n">
        <f aca="false">IFERROR((F181/F180-1)*100,"")</f>
        <v>0.975872891212859</v>
      </c>
      <c r="H181" s="31" t="n">
        <f aca="false">IFERROR((F181/F169-1)*100,"")</f>
        <v>-1.76462005218495</v>
      </c>
      <c r="I181" s="31" t="n">
        <f aca="false">IFERROR((C181/C180-1)*100,"")</f>
        <v>28.1233808050995</v>
      </c>
      <c r="J181" s="31" t="n">
        <f aca="false">IFERROR((D181/D180-1)*100,"")</f>
        <v>-2.55570320662197</v>
      </c>
      <c r="K181" s="31" t="n">
        <f aca="false">IFERROR((E181/E180-1)*100,"")</f>
        <v>0.0741568283720628</v>
      </c>
    </row>
    <row r="182" customFormat="false" ht="15" hidden="false" customHeight="false" outlineLevel="0" collapsed="false">
      <c r="A182" s="20" t="n">
        <v>43343</v>
      </c>
      <c r="B182" s="32" t="str">
        <f aca="false">IF(ISNUMBER('SA Data'!T182),"A","F")</f>
        <v>A</v>
      </c>
      <c r="C182" s="30" t="n">
        <f aca="false">IFERROR('SA Data'!R182,"")</f>
        <v>130.634907672643</v>
      </c>
      <c r="D182" s="30" t="n">
        <f aca="false">IFERROR('SA Data'!S182,"")</f>
        <v>127.619605946643</v>
      </c>
      <c r="E182" s="30" t="n">
        <f aca="false">IFERROR('SA Data'!T182,"")</f>
        <v>162.700244949046</v>
      </c>
      <c r="F182" s="23" t="n">
        <f aca="false">IFERROR(C182*'Weights &amp; Assumptions'!$B$25/'Weights &amp; Assumptions'!$B$28+D182*'Weights &amp; Assumptions'!$B$26/'Weights &amp; Assumptions'!$B$28+E182*'Weights &amp; Assumptions'!$B$27/'Weights &amp; Assumptions'!$B$28,"")</f>
        <v>150.681381761704</v>
      </c>
      <c r="G182" s="31" t="n">
        <f aca="false">IFERROR((F182/F181-1)*100,"")</f>
        <v>1.45883727554388</v>
      </c>
      <c r="H182" s="31" t="n">
        <f aca="false">IFERROR((F182/F170-1)*100,"")</f>
        <v>-1.32076605445003</v>
      </c>
      <c r="I182" s="31" t="n">
        <f aca="false">IFERROR((C182/C181-1)*100,"")</f>
        <v>8.41583697909523</v>
      </c>
      <c r="J182" s="31" t="n">
        <f aca="false">IFERROR((D182/D181-1)*100,"")</f>
        <v>3.25823027554952</v>
      </c>
      <c r="K182" s="31" t="n">
        <f aca="false">IFERROR((E182/E181-1)*100,"")</f>
        <v>0.232094470756539</v>
      </c>
    </row>
    <row r="183" customFormat="false" ht="15" hidden="false" customHeight="false" outlineLevel="0" collapsed="false">
      <c r="A183" s="20" t="n">
        <v>43373</v>
      </c>
      <c r="B183" s="32" t="str">
        <f aca="false">IF(ISNUMBER('SA Data'!T183),"A","F")</f>
        <v>A</v>
      </c>
      <c r="C183" s="30" t="n">
        <f aca="false">IFERROR('SA Data'!R183,"")</f>
        <v>124.626614724271</v>
      </c>
      <c r="D183" s="30" t="n">
        <f aca="false">IFERROR('SA Data'!S183,"")</f>
        <v>119.575956875273</v>
      </c>
      <c r="E183" s="30" t="n">
        <f aca="false">IFERROR('SA Data'!T183,"")</f>
        <v>157.531232418041</v>
      </c>
      <c r="F183" s="23" t="n">
        <f aca="false">IFERROR(C183*'Weights &amp; Assumptions'!$B$25/'Weights &amp; Assumptions'!$B$28+D183*'Weights &amp; Assumptions'!$B$26/'Weights &amp; Assumptions'!$B$28+E183*'Weights &amp; Assumptions'!$B$27/'Weights &amp; Assumptions'!$B$28,"")</f>
        <v>144.677536834525</v>
      </c>
      <c r="G183" s="31" t="n">
        <f aca="false">IFERROR((F183/F182-1)*100,"")</f>
        <v>-3.98446367891265</v>
      </c>
      <c r="H183" s="31" t="n">
        <f aca="false">IFERROR((F183/F171-1)*100,"")</f>
        <v>-4.38147228256937</v>
      </c>
      <c r="I183" s="31" t="n">
        <f aca="false">IFERROR((C183/C182-1)*100,"")</f>
        <v>-4.59930125524163</v>
      </c>
      <c r="J183" s="31" t="n">
        <f aca="false">IFERROR((D183/D182-1)*100,"")</f>
        <v>-6.3028317723633</v>
      </c>
      <c r="K183" s="31" t="n">
        <f aca="false">IFERROR((E183/E182-1)*100,"")</f>
        <v>-3.17701582602069</v>
      </c>
    </row>
    <row r="184" customFormat="false" ht="15" hidden="false" customHeight="false" outlineLevel="0" collapsed="false">
      <c r="A184" s="20" t="n">
        <v>43404</v>
      </c>
      <c r="B184" s="32" t="str">
        <f aca="false">IF(ISNUMBER('SA Data'!T184),"A","F")</f>
        <v>A</v>
      </c>
      <c r="C184" s="30" t="n">
        <f aca="false">IFERROR('SA Data'!R184,"")</f>
        <v>138.78956713487</v>
      </c>
      <c r="D184" s="30" t="n">
        <f aca="false">IFERROR('SA Data'!S184,"")</f>
        <v>122.626349387092</v>
      </c>
      <c r="E184" s="30" t="n">
        <f aca="false">IFERROR('SA Data'!T184,"")</f>
        <v>158.841838705737</v>
      </c>
      <c r="F184" s="23" t="n">
        <f aca="false">IFERROR(C184*'Weights &amp; Assumptions'!$B$25/'Weights &amp; Assumptions'!$B$28+D184*'Weights &amp; Assumptions'!$B$26/'Weights &amp; Assumptions'!$B$28+E184*'Weights &amp; Assumptions'!$B$27/'Weights &amp; Assumptions'!$B$28,"")</f>
        <v>147.529105205501</v>
      </c>
      <c r="G184" s="31" t="n">
        <f aca="false">IFERROR((F184/F183-1)*100,"")</f>
        <v>1.97098211192088</v>
      </c>
      <c r="H184" s="31" t="n">
        <f aca="false">IFERROR((F184/F172-1)*100,"")</f>
        <v>-3.35622100640973</v>
      </c>
      <c r="I184" s="31" t="n">
        <f aca="false">IFERROR((C184/C183-1)*100,"")</f>
        <v>11.3643080508393</v>
      </c>
      <c r="J184" s="31" t="n">
        <f aca="false">IFERROR((D184/D183-1)*100,"")</f>
        <v>2.55100823905627</v>
      </c>
      <c r="K184" s="31" t="n">
        <f aca="false">IFERROR((E184/E183-1)*100,"")</f>
        <v>0.831965996570649</v>
      </c>
    </row>
    <row r="185" customFormat="false" ht="15" hidden="false" customHeight="false" outlineLevel="0" collapsed="false">
      <c r="A185" s="20" t="n">
        <v>43434</v>
      </c>
      <c r="B185" s="32" t="str">
        <f aca="false">IF(ISNUMBER('SA Data'!T185),"A","F")</f>
        <v>A</v>
      </c>
      <c r="C185" s="30" t="n">
        <f aca="false">IFERROR('SA Data'!R185,"")</f>
        <v>131.116113013698</v>
      </c>
      <c r="D185" s="30" t="n">
        <f aca="false">IFERROR('SA Data'!S185,"")</f>
        <v>118.372447245968</v>
      </c>
      <c r="E185" s="30" t="n">
        <f aca="false">IFERROR('SA Data'!T185,"")</f>
        <v>157.220163218492</v>
      </c>
      <c r="F185" s="23" t="n">
        <f aca="false">IFERROR(C185*'Weights &amp; Assumptions'!$B$25/'Weights &amp; Assumptions'!$B$28+D185*'Weights &amp; Assumptions'!$B$26/'Weights &amp; Assumptions'!$B$28+E185*'Weights &amp; Assumptions'!$B$27/'Weights &amp; Assumptions'!$B$28,"")</f>
        <v>144.699725407153</v>
      </c>
      <c r="G185" s="31" t="n">
        <f aca="false">IFERROR((F185/F184-1)*100,"")</f>
        <v>-1.9178451563215</v>
      </c>
      <c r="H185" s="31" t="n">
        <f aca="false">IFERROR((F185/F173-1)*100,"")</f>
        <v>-6.45402152956507</v>
      </c>
      <c r="I185" s="31" t="n">
        <f aca="false">IFERROR((C185/C184-1)*100,"")</f>
        <v>-5.52884073319085</v>
      </c>
      <c r="J185" s="31" t="n">
        <f aca="false">IFERROR((D185/D184-1)*100,"")</f>
        <v>-3.46899517304853</v>
      </c>
      <c r="K185" s="31" t="n">
        <f aca="false">IFERROR((E185/E184-1)*100,"")</f>
        <v>-1.02093724201344</v>
      </c>
    </row>
    <row r="186" customFormat="false" ht="15" hidden="false" customHeight="false" outlineLevel="0" collapsed="false">
      <c r="A186" s="20" t="n">
        <v>43465</v>
      </c>
      <c r="B186" s="32" t="str">
        <f aca="false">IF(ISNUMBER('SA Data'!T186),"A","F")</f>
        <v>A</v>
      </c>
      <c r="C186" s="30" t="n">
        <f aca="false">IFERROR('SA Data'!R186,"")</f>
        <v>125.013887010372</v>
      </c>
      <c r="D186" s="30" t="n">
        <f aca="false">IFERROR('SA Data'!S186,"")</f>
        <v>114.045537420747</v>
      </c>
      <c r="E186" s="30" t="n">
        <f aca="false">IFERROR('SA Data'!T186,"")</f>
        <v>155.29796403305</v>
      </c>
      <c r="F186" s="23" t="n">
        <f aca="false">IFERROR(C186*'Weights &amp; Assumptions'!$B$25/'Weights &amp; Assumptions'!$B$28+D186*'Weights &amp; Assumptions'!$B$26/'Weights &amp; Assumptions'!$B$28+E186*'Weights &amp; Assumptions'!$B$27/'Weights &amp; Assumptions'!$B$28,"")</f>
        <v>141.78736392808</v>
      </c>
      <c r="G186" s="31" t="n">
        <f aca="false">IFERROR((F186/F185-1)*100,"")</f>
        <v>-2.01269316225626</v>
      </c>
      <c r="H186" s="31" t="n">
        <f aca="false">IFERROR((F186/F174-1)*100,"")</f>
        <v>-5.93182119495003</v>
      </c>
      <c r="I186" s="31" t="n">
        <f aca="false">IFERROR((C186/C185-1)*100,"")</f>
        <v>-4.6540626190535</v>
      </c>
      <c r="J186" s="31" t="n">
        <f aca="false">IFERROR((D186/D185-1)*100,"")</f>
        <v>-3.65533527935771</v>
      </c>
      <c r="K186" s="31" t="n">
        <f aca="false">IFERROR((E186/E185-1)*100,"")</f>
        <v>-1.22261620016926</v>
      </c>
    </row>
    <row r="187" customFormat="false" ht="15" hidden="false" customHeight="false" outlineLevel="0" collapsed="false">
      <c r="A187" s="20" t="n">
        <v>43496</v>
      </c>
      <c r="B187" s="32" t="str">
        <f aca="false">IF(ISNUMBER('SA Data'!T187),"A","F")</f>
        <v>A</v>
      </c>
      <c r="C187" s="30" t="n">
        <f aca="false">IFERROR('SA Data'!R187,"")</f>
        <v>117.494422228663</v>
      </c>
      <c r="D187" s="30" t="n">
        <f aca="false">IFERROR('SA Data'!S187,"")</f>
        <v>120.020211996605</v>
      </c>
      <c r="E187" s="30" t="n">
        <f aca="false">IFERROR('SA Data'!T187,"")</f>
        <v>156.052358209404</v>
      </c>
      <c r="F187" s="23" t="n">
        <f aca="false">IFERROR(C187*'Weights &amp; Assumptions'!$B$25/'Weights &amp; Assumptions'!$B$28+D187*'Weights &amp; Assumptions'!$B$26/'Weights &amp; Assumptions'!$B$28+E187*'Weights &amp; Assumptions'!$B$27/'Weights &amp; Assumptions'!$B$28,"")</f>
        <v>143.235738199308</v>
      </c>
      <c r="G187" s="31" t="n">
        <f aca="false">IFERROR((F187/F186-1)*100,"")</f>
        <v>1.02151153043737</v>
      </c>
      <c r="H187" s="31" t="n">
        <f aca="false">IFERROR((F187/F175-1)*100,"")</f>
        <v>-5.44089807898809</v>
      </c>
      <c r="I187" s="31" t="n">
        <f aca="false">IFERROR((C187/C186-1)*100,"")</f>
        <v>-6.01490359313864</v>
      </c>
      <c r="J187" s="31" t="n">
        <f aca="false">IFERROR((D187/D186-1)*100,"")</f>
        <v>5.23884994624175</v>
      </c>
      <c r="K187" s="31" t="n">
        <f aca="false">IFERROR((E187/E186-1)*100,"")</f>
        <v>0.485772096917736</v>
      </c>
    </row>
    <row r="188" customFormat="false" ht="15" hidden="false" customHeight="false" outlineLevel="0" collapsed="false">
      <c r="A188" s="20" t="n">
        <v>43524</v>
      </c>
      <c r="B188" s="32" t="str">
        <f aca="false">IF(ISNUMBER('SA Data'!T188),"A","F")</f>
        <v>A</v>
      </c>
      <c r="C188" s="30" t="n">
        <f aca="false">IFERROR('SA Data'!R188,"")</f>
        <v>130.414014285996</v>
      </c>
      <c r="D188" s="30" t="n">
        <f aca="false">IFERROR('SA Data'!S188,"")</f>
        <v>121.284697139551</v>
      </c>
      <c r="E188" s="30" t="n">
        <f aca="false">IFERROR('SA Data'!T188,"")</f>
        <v>156.531391790883</v>
      </c>
      <c r="F188" s="23" t="n">
        <f aca="false">IFERROR(C188*'Weights &amp; Assumptions'!$B$25/'Weights &amp; Assumptions'!$B$28+D188*'Weights &amp; Assumptions'!$B$26/'Weights &amp; Assumptions'!$B$28+E188*'Weights &amp; Assumptions'!$B$27/'Weights &amp; Assumptions'!$B$28,"")</f>
        <v>144.967410280516</v>
      </c>
      <c r="G188" s="31" t="n">
        <f aca="false">IFERROR((F188/F187-1)*100,"")</f>
        <v>1.20896649326281</v>
      </c>
      <c r="H188" s="31" t="n">
        <f aca="false">IFERROR((F188/F176-1)*100,"")</f>
        <v>-4.38445669158323</v>
      </c>
      <c r="I188" s="31" t="n">
        <f aca="false">IFERROR((C188/C187-1)*100,"")</f>
        <v>10.9959194762368</v>
      </c>
      <c r="J188" s="31" t="n">
        <f aca="false">IFERROR((D188/D187-1)*100,"")</f>
        <v>1.05356016450087</v>
      </c>
      <c r="K188" s="31" t="n">
        <f aca="false">IFERROR((E188/E187-1)*100,"")</f>
        <v>0.306969780512367</v>
      </c>
    </row>
    <row r="189" customFormat="false" ht="15" hidden="false" customHeight="false" outlineLevel="0" collapsed="false">
      <c r="A189" s="20" t="n">
        <v>43555</v>
      </c>
      <c r="B189" s="32" t="str">
        <f aca="false">IF(ISNUMBER('SA Data'!T189),"A","F")</f>
        <v>A</v>
      </c>
      <c r="C189" s="30" t="n">
        <f aca="false">IFERROR('SA Data'!R189,"")</f>
        <v>138.726055972158</v>
      </c>
      <c r="D189" s="30" t="n">
        <f aca="false">IFERROR('SA Data'!S189,"")</f>
        <v>117.417694811797</v>
      </c>
      <c r="E189" s="30" t="n">
        <f aca="false">IFERROR('SA Data'!T189,"")</f>
        <v>155.782455975228</v>
      </c>
      <c r="F189" s="23" t="n">
        <f aca="false">IFERROR(C189*'Weights &amp; Assumptions'!$B$25/'Weights &amp; Assumptions'!$B$28+D189*'Weights &amp; Assumptions'!$B$26/'Weights &amp; Assumptions'!$B$28+E189*'Weights &amp; Assumptions'!$B$27/'Weights &amp; Assumptions'!$B$28,"")</f>
        <v>144.149549665326</v>
      </c>
      <c r="G189" s="31" t="n">
        <f aca="false">IFERROR((F189/F188-1)*100,"")</f>
        <v>-0.564168604245263</v>
      </c>
      <c r="H189" s="31" t="n">
        <f aca="false">IFERROR((F189/F177-1)*100,"")</f>
        <v>-6.35952064958163</v>
      </c>
      <c r="I189" s="31" t="n">
        <f aca="false">IFERROR((C189/C188-1)*100,"")</f>
        <v>6.37358011841698</v>
      </c>
      <c r="J189" s="31" t="n">
        <f aca="false">IFERROR((D189/D188-1)*100,"")</f>
        <v>-3.18836788066046</v>
      </c>
      <c r="K189" s="31" t="n">
        <f aca="false">IFERROR((E189/E188-1)*100,"")</f>
        <v>-0.478457264761334</v>
      </c>
    </row>
    <row r="190" customFormat="false" ht="15" hidden="false" customHeight="false" outlineLevel="0" collapsed="false">
      <c r="A190" s="20" t="n">
        <v>43585</v>
      </c>
      <c r="B190" s="32" t="str">
        <f aca="false">IF(ISNUMBER('SA Data'!T190),"A","F")</f>
        <v>A</v>
      </c>
      <c r="C190" s="30" t="n">
        <f aca="false">IFERROR('SA Data'!R190,"")</f>
        <v>142.757205754967</v>
      </c>
      <c r="D190" s="30" t="n">
        <f aca="false">IFERROR('SA Data'!S190,"")</f>
        <v>124.553081763224</v>
      </c>
      <c r="E190" s="30" t="n">
        <f aca="false">IFERROR('SA Data'!T190,"")</f>
        <v>161.000047140379</v>
      </c>
      <c r="F190" s="23" t="n">
        <f aca="false">IFERROR(C190*'Weights &amp; Assumptions'!$B$25/'Weights &amp; Assumptions'!$B$28+D190*'Weights &amp; Assumptions'!$B$26/'Weights &amp; Assumptions'!$B$28+E190*'Weights &amp; Assumptions'!$B$27/'Weights &amp; Assumptions'!$B$28,"")</f>
        <v>149.777572811088</v>
      </c>
      <c r="G190" s="31" t="n">
        <f aca="false">IFERROR((F190/F189-1)*100,"")</f>
        <v>3.90429464318749</v>
      </c>
      <c r="H190" s="31" t="n">
        <f aca="false">IFERROR((F190/F178-1)*100,"")</f>
        <v>-1.83362624867751</v>
      </c>
      <c r="I190" s="31" t="n">
        <f aca="false">IFERROR((C190/C189-1)*100,"")</f>
        <v>2.9058346354333</v>
      </c>
      <c r="J190" s="31" t="n">
        <f aca="false">IFERROR((D190/D189-1)*100,"")</f>
        <v>6.07692644866207</v>
      </c>
      <c r="K190" s="31" t="n">
        <f aca="false">IFERROR((E190/E189-1)*100,"")</f>
        <v>3.3492803361507</v>
      </c>
    </row>
    <row r="191" customFormat="false" ht="15" hidden="false" customHeight="false" outlineLevel="0" collapsed="false">
      <c r="A191" s="20" t="n">
        <v>43616</v>
      </c>
      <c r="B191" s="32" t="str">
        <f aca="false">IF(ISNUMBER('SA Data'!T191),"A","F")</f>
        <v>A</v>
      </c>
      <c r="C191" s="30" t="n">
        <f aca="false">IFERROR('SA Data'!R191,"")</f>
        <v>149.845113070154</v>
      </c>
      <c r="D191" s="30" t="n">
        <f aca="false">IFERROR('SA Data'!S191,"")</f>
        <v>126.624584037581</v>
      </c>
      <c r="E191" s="30" t="n">
        <f aca="false">IFERROR('SA Data'!T191,"")</f>
        <v>161.22209455297</v>
      </c>
      <c r="F191" s="23" t="n">
        <f aca="false">IFERROR(C191*'Weights &amp; Assumptions'!$B$25/'Weights &amp; Assumptions'!$B$28+D191*'Weights &amp; Assumptions'!$B$26/'Weights &amp; Assumptions'!$B$28+E191*'Weights &amp; Assumptions'!$B$27/'Weights &amp; Assumptions'!$B$28,"")</f>
        <v>151.06747393759</v>
      </c>
      <c r="G191" s="31" t="n">
        <f aca="false">IFERROR((F191/F190-1)*100,"")</f>
        <v>0.861211129472195</v>
      </c>
      <c r="H191" s="31" t="n">
        <f aca="false">IFERROR((F191/F179-1)*100,"")</f>
        <v>-0.331191496920669</v>
      </c>
      <c r="I191" s="31" t="n">
        <f aca="false">IFERROR((C191/C190-1)*100,"")</f>
        <v>4.96500844052146</v>
      </c>
      <c r="J191" s="31" t="n">
        <f aca="false">IFERROR((D191/D190-1)*100,"")</f>
        <v>1.66314814939297</v>
      </c>
      <c r="K191" s="31" t="n">
        <f aca="false">IFERROR((E191/E190-1)*100,"")</f>
        <v>0.137917607190174</v>
      </c>
    </row>
    <row r="192" customFormat="false" ht="15" hidden="false" customHeight="false" outlineLevel="0" collapsed="false">
      <c r="A192" s="20" t="n">
        <v>43646</v>
      </c>
      <c r="B192" s="32" t="str">
        <f aca="false">IF(ISNUMBER('SA Data'!T192),"A","F")</f>
        <v>A</v>
      </c>
      <c r="C192" s="30" t="n">
        <f aca="false">IFERROR('SA Data'!R192,"")</f>
        <v>143.817728197709</v>
      </c>
      <c r="D192" s="30" t="n">
        <f aca="false">IFERROR('SA Data'!S192,"")</f>
        <v>118.877197894614</v>
      </c>
      <c r="E192" s="30" t="n">
        <f aca="false">IFERROR('SA Data'!T192,"")</f>
        <v>157.127165150929</v>
      </c>
      <c r="F192" s="23" t="n">
        <f aca="false">IFERROR(C192*'Weights &amp; Assumptions'!$B$25/'Weights &amp; Assumptions'!$B$28+D192*'Weights &amp; Assumptions'!$B$26/'Weights &amp; Assumptions'!$B$28+E192*'Weights &amp; Assumptions'!$B$27/'Weights &amp; Assumptions'!$B$28,"")</f>
        <v>145.839157864266</v>
      </c>
      <c r="G192" s="31" t="n">
        <f aca="false">IFERROR((F192/F191-1)*100,"")</f>
        <v>-3.46091447553029</v>
      </c>
      <c r="H192" s="31" t="n">
        <f aca="false">IFERROR((F192/F180-1)*100,"")</f>
        <v>-0.843303158442599</v>
      </c>
      <c r="I192" s="31" t="n">
        <f aca="false">IFERROR((C192/C191-1)*100,"")</f>
        <v>-4.02241003990805</v>
      </c>
      <c r="J192" s="31" t="n">
        <f aca="false">IFERROR((D192/D191-1)*100,"")</f>
        <v>-6.11839020191235</v>
      </c>
      <c r="K192" s="31" t="n">
        <f aca="false">IFERROR((E192/E191-1)*100,"")</f>
        <v>-2.53993065491154</v>
      </c>
    </row>
    <row r="193" customFormat="false" ht="15" hidden="false" customHeight="false" outlineLevel="0" collapsed="false">
      <c r="A193" s="20" t="n">
        <v>43677</v>
      </c>
      <c r="B193" s="32" t="str">
        <f aca="false">IF(ISNUMBER('SA Data'!T193),"A","F")</f>
        <v>A</v>
      </c>
      <c r="C193" s="30" t="n">
        <f aca="false">IFERROR('SA Data'!R193,"")</f>
        <v>141.48057159478</v>
      </c>
      <c r="D193" s="30" t="n">
        <f aca="false">IFERROR('SA Data'!S193,"")</f>
        <v>122.771857624211</v>
      </c>
      <c r="E193" s="30" t="n">
        <f aca="false">IFERROR('SA Data'!T193,"")</f>
        <v>160.445791101294</v>
      </c>
      <c r="F193" s="23" t="n">
        <f aca="false">IFERROR(C193*'Weights &amp; Assumptions'!$B$25/'Weights &amp; Assumptions'!$B$28+D193*'Weights &amp; Assumptions'!$B$26/'Weights &amp; Assumptions'!$B$28+E193*'Weights &amp; Assumptions'!$B$27/'Weights &amp; Assumptions'!$B$28,"")</f>
        <v>148.836436395829</v>
      </c>
      <c r="G193" s="31" t="n">
        <f aca="false">IFERROR((F193/F192-1)*100,"")</f>
        <v>2.05519462362225</v>
      </c>
      <c r="H193" s="31" t="n">
        <f aca="false">IFERROR((F193/F181-1)*100,"")</f>
        <v>0.216573570034129</v>
      </c>
      <c r="I193" s="31" t="n">
        <f aca="false">IFERROR((C193/C192-1)*100,"")</f>
        <v>-1.62508240967059</v>
      </c>
      <c r="J193" s="31" t="n">
        <f aca="false">IFERROR((D193/D192-1)*100,"")</f>
        <v>3.2762041826137</v>
      </c>
      <c r="K193" s="31" t="n">
        <f aca="false">IFERROR((E193/E192-1)*100,"")</f>
        <v>2.11206378424642</v>
      </c>
    </row>
    <row r="194" customFormat="false" ht="15" hidden="false" customHeight="false" outlineLevel="0" collapsed="false">
      <c r="A194" s="20" t="n">
        <v>43708</v>
      </c>
      <c r="B194" s="32" t="str">
        <f aca="false">IF(ISNUMBER('SA Data'!T194),"A","F")</f>
        <v>A</v>
      </c>
      <c r="C194" s="30" t="n">
        <f aca="false">IFERROR('SA Data'!R194,"")</f>
        <v>130.127710953079</v>
      </c>
      <c r="D194" s="30" t="n">
        <f aca="false">IFERROR('SA Data'!S194,"")</f>
        <v>120.622938662287</v>
      </c>
      <c r="E194" s="30" t="n">
        <f aca="false">IFERROR('SA Data'!T194,"")</f>
        <v>157.004533700609</v>
      </c>
      <c r="F194" s="23" t="n">
        <f aca="false">IFERROR(C194*'Weights &amp; Assumptions'!$B$25/'Weights &amp; Assumptions'!$B$28+D194*'Weights &amp; Assumptions'!$B$26/'Weights &amp; Assumptions'!$B$28+E194*'Weights &amp; Assumptions'!$B$27/'Weights &amp; Assumptions'!$B$28,"")</f>
        <v>145.075044264847</v>
      </c>
      <c r="G194" s="31" t="n">
        <f aca="false">IFERROR((F194/F193-1)*100,"")</f>
        <v>-2.52719846165786</v>
      </c>
      <c r="H194" s="31" t="n">
        <f aca="false">IFERROR((F194/F182-1)*100,"")</f>
        <v>-3.72065707873808</v>
      </c>
      <c r="I194" s="31" t="n">
        <f aca="false">IFERROR((C194/C193-1)*100,"")</f>
        <v>-8.02432483395462</v>
      </c>
      <c r="J194" s="31" t="n">
        <f aca="false">IFERROR((D194/D193-1)*100,"")</f>
        <v>-1.75033513665772</v>
      </c>
      <c r="K194" s="31" t="n">
        <f aca="false">IFERROR((E194/E193-1)*100,"")</f>
        <v>-2.14481001780394</v>
      </c>
    </row>
    <row r="195" customFormat="false" ht="15" hidden="false" customHeight="false" outlineLevel="0" collapsed="false">
      <c r="A195" s="20" t="n">
        <v>43738</v>
      </c>
      <c r="B195" s="32" t="str">
        <f aca="false">IF(ISNUMBER('SA Data'!T195),"A","F")</f>
        <v>A</v>
      </c>
      <c r="C195" s="30" t="n">
        <f aca="false">IFERROR('SA Data'!R195,"")</f>
        <v>127.070957544861</v>
      </c>
      <c r="D195" s="30" t="n">
        <f aca="false">IFERROR('SA Data'!S195,"")</f>
        <v>114.50518120204</v>
      </c>
      <c r="E195" s="30" t="n">
        <f aca="false">IFERROR('SA Data'!T195,"")</f>
        <v>154.809613582098</v>
      </c>
      <c r="F195" s="23" t="n">
        <f aca="false">IFERROR(C195*'Weights &amp; Assumptions'!$B$25/'Weights &amp; Assumptions'!$B$28+D195*'Weights &amp; Assumptions'!$B$26/'Weights &amp; Assumptions'!$B$28+E195*'Weights &amp; Assumptions'!$B$27/'Weights &amp; Assumptions'!$B$28,"")</f>
        <v>141.764664642176</v>
      </c>
      <c r="G195" s="31" t="n">
        <f aca="false">IFERROR((F195/F194-1)*100,"")</f>
        <v>-2.28183947104489</v>
      </c>
      <c r="H195" s="31" t="n">
        <f aca="false">IFERROR((F195/F183-1)*100,"")</f>
        <v>-2.01335484145067</v>
      </c>
      <c r="I195" s="31" t="n">
        <f aca="false">IFERROR((C195/C194-1)*100,"")</f>
        <v>-2.34904109649604</v>
      </c>
      <c r="J195" s="31" t="n">
        <f aca="false">IFERROR((D195/D194-1)*100,"")</f>
        <v>-5.07180270029297</v>
      </c>
      <c r="K195" s="31" t="n">
        <f aca="false">IFERROR((E195/E194-1)*100,"")</f>
        <v>-1.39799792195565</v>
      </c>
    </row>
    <row r="196" customFormat="false" ht="15" hidden="false" customHeight="false" outlineLevel="0" collapsed="false">
      <c r="A196" s="20" t="n">
        <v>43769</v>
      </c>
      <c r="B196" s="32" t="str">
        <f aca="false">IF(ISNUMBER('SA Data'!T196),"A","F")</f>
        <v>A</v>
      </c>
      <c r="C196" s="30" t="n">
        <f aca="false">IFERROR('SA Data'!R196,"")</f>
        <v>137.983375455065</v>
      </c>
      <c r="D196" s="30" t="n">
        <f aca="false">IFERROR('SA Data'!S196,"")</f>
        <v>119.314644461771</v>
      </c>
      <c r="E196" s="30" t="n">
        <f aca="false">IFERROR('SA Data'!T196,"")</f>
        <v>157.033423926745</v>
      </c>
      <c r="F196" s="23" t="n">
        <f aca="false">IFERROR(C196*'Weights &amp; Assumptions'!$B$25/'Weights &amp; Assumptions'!$B$28+D196*'Weights &amp; Assumptions'!$B$26/'Weights &amp; Assumptions'!$B$28+E196*'Weights &amp; Assumptions'!$B$27/'Weights &amp; Assumptions'!$B$28,"")</f>
        <v>145.40502666895</v>
      </c>
      <c r="G196" s="31" t="n">
        <f aca="false">IFERROR((F196/F195-1)*100,"")</f>
        <v>2.56789097336987</v>
      </c>
      <c r="H196" s="31" t="n">
        <f aca="false">IFERROR((F196/F184-1)*100,"")</f>
        <v>-1.43976914493752</v>
      </c>
      <c r="I196" s="31" t="n">
        <f aca="false">IFERROR((C196/C195-1)*100,"")</f>
        <v>8.58765694462555</v>
      </c>
      <c r="J196" s="31" t="n">
        <f aca="false">IFERROR((D196/D195-1)*100,"")</f>
        <v>4.2002145311179</v>
      </c>
      <c r="K196" s="31" t="n">
        <f aca="false">IFERROR((E196/E195-1)*100,"")</f>
        <v>1.4364807799661</v>
      </c>
    </row>
    <row r="197" customFormat="false" ht="15" hidden="false" customHeight="false" outlineLevel="0" collapsed="false">
      <c r="A197" s="20" t="n">
        <v>43799</v>
      </c>
      <c r="B197" s="32" t="str">
        <f aca="false">IF(ISNUMBER('SA Data'!T197),"A","F")</f>
        <v>A</v>
      </c>
      <c r="C197" s="30" t="n">
        <f aca="false">IFERROR('SA Data'!R197,"")</f>
        <v>130.277172178044</v>
      </c>
      <c r="D197" s="30" t="n">
        <f aca="false">IFERROR('SA Data'!S197,"")</f>
        <v>113.17276572005</v>
      </c>
      <c r="E197" s="30" t="n">
        <f aca="false">IFERROR('SA Data'!T197,"")</f>
        <v>154.448103245389</v>
      </c>
      <c r="F197" s="23" t="n">
        <f aca="false">IFERROR(C197*'Weights &amp; Assumptions'!$B$25/'Weights &amp; Assumptions'!$B$28+D197*'Weights &amp; Assumptions'!$B$26/'Weights &amp; Assumptions'!$B$28+E197*'Weights &amp; Assumptions'!$B$27/'Weights &amp; Assumptions'!$B$28,"")</f>
        <v>141.444308761434</v>
      </c>
      <c r="G197" s="31" t="n">
        <f aca="false">IFERROR((F197/F196-1)*100,"")</f>
        <v>-2.72392089754497</v>
      </c>
      <c r="H197" s="31" t="n">
        <f aca="false">IFERROR((F197/F185-1)*100,"")</f>
        <v>-2.24977389318425</v>
      </c>
      <c r="I197" s="31" t="n">
        <f aca="false">IFERROR((C197/C196-1)*100,"")</f>
        <v>-5.58487807071419</v>
      </c>
      <c r="J197" s="31" t="n">
        <f aca="false">IFERROR((D197/D196-1)*100,"")</f>
        <v>-5.14763193523081</v>
      </c>
      <c r="K197" s="31" t="n">
        <f aca="false">IFERROR((E197/E196-1)*100,"")</f>
        <v>-1.64635057728955</v>
      </c>
    </row>
    <row r="198" customFormat="false" ht="15" hidden="false" customHeight="false" outlineLevel="0" collapsed="false">
      <c r="A198" s="20" t="n">
        <v>43830</v>
      </c>
      <c r="B198" s="32" t="str">
        <f aca="false">IF(ISNUMBER('SA Data'!T198),"A","F")</f>
        <v>A</v>
      </c>
      <c r="C198" s="30" t="n">
        <f aca="false">IFERROR('SA Data'!R198,"")</f>
        <v>120.95895507775</v>
      </c>
      <c r="D198" s="30" t="n">
        <f aca="false">IFERROR('SA Data'!S198,"")</f>
        <v>114.243550912611</v>
      </c>
      <c r="E198" s="30" t="n">
        <f aca="false">IFERROR('SA Data'!T198,"")</f>
        <v>154.843145481926</v>
      </c>
      <c r="F198" s="23" t="n">
        <f aca="false">IFERROR(C198*'Weights &amp; Assumptions'!$B$25/'Weights &amp; Assumptions'!$B$28+D198*'Weights &amp; Assumptions'!$B$26/'Weights &amp; Assumptions'!$B$28+E198*'Weights &amp; Assumptions'!$B$27/'Weights &amp; Assumptions'!$B$28,"")</f>
        <v>141.204092312249</v>
      </c>
      <c r="G198" s="31" t="n">
        <f aca="false">IFERROR((F198/F197-1)*100,"")</f>
        <v>-0.169831116775709</v>
      </c>
      <c r="H198" s="31" t="n">
        <f aca="false">IFERROR((F198/F186-1)*100,"")</f>
        <v>-0.411370660736143</v>
      </c>
      <c r="I198" s="31" t="n">
        <f aca="false">IFERROR((C198/C197-1)*100,"")</f>
        <v>-7.15260927490763</v>
      </c>
      <c r="J198" s="31" t="n">
        <f aca="false">IFERROR((D198/D197-1)*100,"")</f>
        <v>0.94615094519237</v>
      </c>
      <c r="K198" s="31" t="n">
        <f aca="false">IFERROR((E198/E197-1)*100,"")</f>
        <v>0.255776683711884</v>
      </c>
    </row>
    <row r="199" customFormat="false" ht="15" hidden="false" customHeight="false" outlineLevel="0" collapsed="false">
      <c r="A199" s="20" t="n">
        <v>43861</v>
      </c>
      <c r="B199" s="32" t="str">
        <f aca="false">IF(ISNUMBER('SA Data'!T199),"A","F")</f>
        <v>A</v>
      </c>
      <c r="C199" s="30" t="n">
        <f aca="false">IFERROR('SA Data'!R199,"")</f>
        <v>128.688969036384</v>
      </c>
      <c r="D199" s="30" t="n">
        <f aca="false">IFERROR('SA Data'!S199,"")</f>
        <v>115.264185725455</v>
      </c>
      <c r="E199" s="30" t="n">
        <f aca="false">IFERROR('SA Data'!T199,"")</f>
        <v>155.152316668802</v>
      </c>
      <c r="F199" s="23" t="n">
        <f aca="false">IFERROR(C199*'Weights &amp; Assumptions'!$B$25/'Weights &amp; Assumptions'!$B$28+D199*'Weights &amp; Assumptions'!$B$26/'Weights &amp; Assumptions'!$B$28+E199*'Weights &amp; Assumptions'!$B$27/'Weights &amp; Assumptions'!$B$28,"")</f>
        <v>142.325068989397</v>
      </c>
      <c r="G199" s="31" t="n">
        <f aca="false">IFERROR((F199/F198-1)*100,"")</f>
        <v>0.793869822603521</v>
      </c>
      <c r="H199" s="31" t="n">
        <f aca="false">IFERROR((F199/F187-1)*100,"")</f>
        <v>-0.635783514198485</v>
      </c>
      <c r="I199" s="31" t="n">
        <f aca="false">IFERROR((C199/C198-1)*100,"")</f>
        <v>6.3906090736862</v>
      </c>
      <c r="J199" s="31" t="n">
        <f aca="false">IFERROR((D199/D198-1)*100,"")</f>
        <v>0.893385057354101</v>
      </c>
      <c r="K199" s="31" t="n">
        <f aca="false">IFERROR((E199/E198-1)*100,"")</f>
        <v>0.199667338139653</v>
      </c>
    </row>
    <row r="200" customFormat="false" ht="15" hidden="false" customHeight="false" outlineLevel="0" collapsed="false">
      <c r="A200" s="20" t="n">
        <v>43890</v>
      </c>
      <c r="B200" s="32" t="str">
        <f aca="false">IF(ISNUMBER('SA Data'!T200),"A","F")</f>
        <v>A</v>
      </c>
      <c r="C200" s="30" t="n">
        <f aca="false">IFERROR('SA Data'!R200,"")</f>
        <v>115.120658128112</v>
      </c>
      <c r="D200" s="30" t="n">
        <f aca="false">IFERROR('SA Data'!S200,"")</f>
        <v>115.813513977172</v>
      </c>
      <c r="E200" s="30" t="n">
        <f aca="false">IFERROR('SA Data'!T200,"")</f>
        <v>153.991684995407</v>
      </c>
      <c r="F200" s="23" t="n">
        <f aca="false">IFERROR(C200*'Weights &amp; Assumptions'!$B$25/'Weights &amp; Assumptions'!$B$28+D200*'Weights &amp; Assumptions'!$B$26/'Weights &amp; Assumptions'!$B$28+E200*'Weights &amp; Assumptions'!$B$27/'Weights &amp; Assumptions'!$B$28,"")</f>
        <v>140.578130916495</v>
      </c>
      <c r="G200" s="31" t="n">
        <f aca="false">IFERROR((F200/F199-1)*100,"")</f>
        <v>-1.22742822842523</v>
      </c>
      <c r="H200" s="31" t="n">
        <f aca="false">IFERROR((F200/F188-1)*100,"")</f>
        <v>-3.02776972805623</v>
      </c>
      <c r="I200" s="31" t="n">
        <f aca="false">IFERROR((C200/C199-1)*100,"")</f>
        <v>-10.5434918080946</v>
      </c>
      <c r="J200" s="31" t="n">
        <f aca="false">IFERROR((D200/D199-1)*100,"")</f>
        <v>0.476581904656648</v>
      </c>
      <c r="K200" s="31" t="n">
        <f aca="false">IFERROR((E200/E199-1)*100,"")</f>
        <v>-0.748059518745314</v>
      </c>
    </row>
    <row r="201" customFormat="false" ht="15" hidden="false" customHeight="false" outlineLevel="0" collapsed="false">
      <c r="A201" s="20" t="n">
        <v>43921</v>
      </c>
      <c r="B201" s="32" t="str">
        <f aca="false">IF(ISNUMBER('SA Data'!T201),"A","F")</f>
        <v>A</v>
      </c>
      <c r="C201" s="30" t="n">
        <f aca="false">IFERROR('SA Data'!R201,"")</f>
        <v>118.80250934742</v>
      </c>
      <c r="D201" s="30" t="n">
        <f aca="false">IFERROR('SA Data'!S201,"")</f>
        <v>96.5741005766515</v>
      </c>
      <c r="E201" s="30" t="n">
        <f aca="false">IFERROR('SA Data'!T201,"")</f>
        <v>140.848548942501</v>
      </c>
      <c r="F201" s="23" t="n">
        <f aca="false">IFERROR(C201*'Weights &amp; Assumptions'!$B$25/'Weights &amp; Assumptions'!$B$28+D201*'Weights &amp; Assumptions'!$B$26/'Weights &amp; Assumptions'!$B$28+E201*'Weights &amp; Assumptions'!$B$27/'Weights &amp; Assumptions'!$B$28,"")</f>
        <v>127.225518659944</v>
      </c>
      <c r="G201" s="31" t="n">
        <f aca="false">IFERROR((F201/F200-1)*100,"")</f>
        <v>-9.49835665725443</v>
      </c>
      <c r="H201" s="31" t="n">
        <f aca="false">IFERROR((F201/F189-1)*100,"")</f>
        <v>-11.7406062278197</v>
      </c>
      <c r="I201" s="31" t="n">
        <f aca="false">IFERROR((C201/C200-1)*100,"")</f>
        <v>3.19825414410955</v>
      </c>
      <c r="J201" s="31" t="n">
        <f aca="false">IFERROR((D201/D200-1)*100,"")</f>
        <v>-16.6124079477571</v>
      </c>
      <c r="K201" s="31" t="n">
        <f aca="false">IFERROR((E201/E200-1)*100,"")</f>
        <v>-8.53496476338865</v>
      </c>
    </row>
    <row r="202" customFormat="false" ht="15" hidden="false" customHeight="false" outlineLevel="0" collapsed="false">
      <c r="A202" s="20" t="n">
        <v>43951</v>
      </c>
      <c r="B202" s="32" t="str">
        <f aca="false">IF(ISNUMBER('SA Data'!T202),"A","F")</f>
        <v>A</v>
      </c>
      <c r="C202" s="30" t="n">
        <f aca="false">IFERROR('SA Data'!R202,"")</f>
        <v>131.39098574497</v>
      </c>
      <c r="D202" s="30" t="n">
        <f aca="false">IFERROR('SA Data'!S202,"")</f>
        <v>74.0261825953414</v>
      </c>
      <c r="E202" s="30" t="n">
        <f aca="false">IFERROR('SA Data'!T202,"")</f>
        <v>119.990512510818</v>
      </c>
      <c r="F202" s="23" t="n">
        <f aca="false">IFERROR(C202*'Weights &amp; Assumptions'!$B$25/'Weights &amp; Assumptions'!$B$28+D202*'Weights &amp; Assumptions'!$B$26/'Weights &amp; Assumptions'!$B$28+E202*'Weights &amp; Assumptions'!$B$27/'Weights &amp; Assumptions'!$B$28,"")</f>
        <v>108.724303465591</v>
      </c>
      <c r="G202" s="31" t="n">
        <f aca="false">IFERROR((F202/F201-1)*100,"")</f>
        <v>-14.5420630933362</v>
      </c>
      <c r="H202" s="31" t="n">
        <f aca="false">IFERROR((F202/F190-1)*100,"")</f>
        <v>-27.4094903362312</v>
      </c>
      <c r="I202" s="31" t="n">
        <f aca="false">IFERROR((C202/C201-1)*100,"")</f>
        <v>10.5961367875962</v>
      </c>
      <c r="J202" s="31" t="n">
        <f aca="false">IFERROR((D202/D201-1)*100,"")</f>
        <v>-23.3477897766324</v>
      </c>
      <c r="K202" s="31" t="n">
        <f aca="false">IFERROR((E202/E201-1)*100,"")</f>
        <v>-14.8088401252876</v>
      </c>
    </row>
    <row r="203" customFormat="false" ht="15" hidden="false" customHeight="false" outlineLevel="0" collapsed="false">
      <c r="A203" s="20" t="n">
        <v>43982</v>
      </c>
      <c r="B203" s="32" t="str">
        <f aca="false">IF(ISNUMBER('SA Data'!T203),"A","F")</f>
        <v>A</v>
      </c>
      <c r="C203" s="30" t="n">
        <f aca="false">IFERROR('SA Data'!R203,"")</f>
        <v>133.423091164364</v>
      </c>
      <c r="D203" s="30" t="n">
        <f aca="false">IFERROR('SA Data'!S203,"")</f>
        <v>87.6885172083244</v>
      </c>
      <c r="E203" s="30" t="n">
        <f aca="false">IFERROR('SA Data'!T203,"")</f>
        <v>126.900791951495</v>
      </c>
      <c r="F203" s="23" t="n">
        <f aca="false">IFERROR(C203*'Weights &amp; Assumptions'!$B$25/'Weights &amp; Assumptions'!$B$28+D203*'Weights &amp; Assumptions'!$B$26/'Weights &amp; Assumptions'!$B$28+E203*'Weights &amp; Assumptions'!$B$27/'Weights &amp; Assumptions'!$B$28,"")</f>
        <v>117.020789462604</v>
      </c>
      <c r="G203" s="31" t="n">
        <f aca="false">IFERROR((F203/F202-1)*100,"")</f>
        <v>7.63075571198193</v>
      </c>
      <c r="H203" s="31" t="n">
        <f aca="false">IFERROR((F203/F191-1)*100,"")</f>
        <v>-22.5374023855404</v>
      </c>
      <c r="I203" s="31" t="n">
        <f aca="false">IFERROR((C203/C202-1)*100,"")</f>
        <v>1.54660946325387</v>
      </c>
      <c r="J203" s="31" t="n">
        <f aca="false">IFERROR((D203/D202-1)*100,"")</f>
        <v>18.4560842312606</v>
      </c>
      <c r="K203" s="31" t="n">
        <f aca="false">IFERROR((E203/E202-1)*100,"")</f>
        <v>5.75902152268371</v>
      </c>
    </row>
    <row r="204" customFormat="false" ht="15" hidden="false" customHeight="false" outlineLevel="0" collapsed="false">
      <c r="A204" s="20" t="n">
        <v>44012</v>
      </c>
      <c r="B204" s="32" t="str">
        <f aca="false">IF(ISNUMBER('SA Data'!T204),"A","F")</f>
        <v>A</v>
      </c>
      <c r="C204" s="30" t="n">
        <f aca="false">IFERROR('SA Data'!R204,"")</f>
        <v>131.41325590775</v>
      </c>
      <c r="D204" s="30" t="n">
        <f aca="false">IFERROR('SA Data'!S204,"")</f>
        <v>104.007580444935</v>
      </c>
      <c r="E204" s="30" t="n">
        <f aca="false">IFERROR('SA Data'!T204,"")</f>
        <v>132.961749683477</v>
      </c>
      <c r="F204" s="23" t="n">
        <f aca="false">IFERROR(C204*'Weights &amp; Assumptions'!$B$25/'Weights &amp; Assumptions'!$B$28+D204*'Weights &amp; Assumptions'!$B$26/'Weights &amp; Assumptions'!$B$28+E204*'Weights &amp; Assumptions'!$B$27/'Weights &amp; Assumptions'!$B$28,"")</f>
        <v>125.132410390304</v>
      </c>
      <c r="G204" s="31" t="n">
        <f aca="false">IFERROR((F204/F203-1)*100,"")</f>
        <v>6.93177764818587</v>
      </c>
      <c r="H204" s="31" t="n">
        <f aca="false">IFERROR((F204/F192-1)*100,"")</f>
        <v>-14.1983454767577</v>
      </c>
      <c r="I204" s="31" t="n">
        <f aca="false">IFERROR((C204/C203-1)*100,"")</f>
        <v>-1.50636238380771</v>
      </c>
      <c r="J204" s="31" t="n">
        <f aca="false">IFERROR((D204/D203-1)*100,"")</f>
        <v>18.6102625020346</v>
      </c>
      <c r="K204" s="31" t="n">
        <f aca="false">IFERROR((E204/E203-1)*100,"")</f>
        <v>4.77613861881867</v>
      </c>
    </row>
    <row r="205" customFormat="false" ht="15" hidden="false" customHeight="false" outlineLevel="0" collapsed="false">
      <c r="A205" s="20" t="n">
        <v>44043</v>
      </c>
      <c r="B205" s="32" t="str">
        <f aca="false">IF(ISNUMBER('SA Data'!T205),"A","F")</f>
        <v>A</v>
      </c>
      <c r="C205" s="30" t="n">
        <f aca="false">IFERROR('SA Data'!R205,"")</f>
        <v>127.765686837122</v>
      </c>
      <c r="D205" s="30" t="n">
        <f aca="false">IFERROR('SA Data'!S205,"")</f>
        <v>107.498628338212</v>
      </c>
      <c r="E205" s="30" t="n">
        <f aca="false">IFERROR('SA Data'!T205,"")</f>
        <v>135.211641786355</v>
      </c>
      <c r="F205" s="23" t="n">
        <f aca="false">IFERROR(C205*'Weights &amp; Assumptions'!$B$25/'Weights &amp; Assumptions'!$B$28+D205*'Weights &amp; Assumptions'!$B$26/'Weights &amp; Assumptions'!$B$28+E205*'Weights &amp; Assumptions'!$B$27/'Weights &amp; Assumptions'!$B$28,"")</f>
        <v>127.217545598248</v>
      </c>
      <c r="G205" s="31" t="n">
        <f aca="false">IFERROR((F205/F204-1)*100,"")</f>
        <v>1.66634303730022</v>
      </c>
      <c r="H205" s="31" t="n">
        <f aca="false">IFERROR((F205/F193-1)*100,"")</f>
        <v>-14.5252676838385</v>
      </c>
      <c r="I205" s="31" t="n">
        <f aca="false">IFERROR((C205/C204-1)*100,"")</f>
        <v>-2.77564774225623</v>
      </c>
      <c r="J205" s="31" t="n">
        <f aca="false">IFERROR((D205/D204-1)*100,"")</f>
        <v>3.35653216654257</v>
      </c>
      <c r="K205" s="31" t="n">
        <f aca="false">IFERROR((E205/E204-1)*100,"")</f>
        <v>1.69213484948425</v>
      </c>
    </row>
    <row r="206" customFormat="false" ht="15" hidden="false" customHeight="false" outlineLevel="0" collapsed="false">
      <c r="A206" s="20" t="n">
        <v>44074</v>
      </c>
      <c r="B206" s="32" t="str">
        <f aca="false">IF(ISNUMBER('SA Data'!T206),"A","F")</f>
        <v>A</v>
      </c>
      <c r="C206" s="30" t="n">
        <f aca="false">IFERROR('SA Data'!R206,"")</f>
        <v>123.337069918355</v>
      </c>
      <c r="D206" s="30" t="n">
        <f aca="false">IFERROR('SA Data'!S206,"")</f>
        <v>104.397455810414</v>
      </c>
      <c r="E206" s="30" t="n">
        <f aca="false">IFERROR('SA Data'!T206,"")</f>
        <v>135.76581077144</v>
      </c>
      <c r="F206" s="23" t="n">
        <f aca="false">IFERROR(C206*'Weights &amp; Assumptions'!$B$25/'Weights &amp; Assumptions'!$B$28+D206*'Weights &amp; Assumptions'!$B$26/'Weights &amp; Assumptions'!$B$28+E206*'Weights &amp; Assumptions'!$B$27/'Weights &amp; Assumptions'!$B$28,"")</f>
        <v>126.38163553895</v>
      </c>
      <c r="G206" s="31" t="n">
        <f aca="false">IFERROR((F206/F205-1)*100,"")</f>
        <v>-0.657071361790285</v>
      </c>
      <c r="H206" s="31" t="n">
        <f aca="false">IFERROR((F206/F194-1)*100,"")</f>
        <v>-12.8853372546767</v>
      </c>
      <c r="I206" s="31" t="n">
        <f aca="false">IFERROR((C206/C205-1)*100,"")</f>
        <v>-3.46620209885601</v>
      </c>
      <c r="J206" s="31" t="n">
        <f aca="false">IFERROR((D206/D205-1)*100,"")</f>
        <v>-2.88484846340701</v>
      </c>
      <c r="K206" s="31" t="n">
        <f aca="false">IFERROR((E206/E205-1)*100,"")</f>
        <v>0.40985301100116</v>
      </c>
    </row>
    <row r="207" customFormat="false" ht="15" hidden="false" customHeight="false" outlineLevel="0" collapsed="false">
      <c r="A207" s="20" t="n">
        <v>44104</v>
      </c>
      <c r="B207" s="32" t="str">
        <f aca="false">IF(ISNUMBER('SA Data'!T207),"A","F")</f>
        <v>A</v>
      </c>
      <c r="C207" s="30" t="n">
        <f aca="false">IFERROR('SA Data'!R207,"")</f>
        <v>129.96975464684</v>
      </c>
      <c r="D207" s="30" t="n">
        <f aca="false">IFERROR('SA Data'!S207,"")</f>
        <v>109.740706103859</v>
      </c>
      <c r="E207" s="30" t="n">
        <f aca="false">IFERROR('SA Data'!T207,"")</f>
        <v>139.606338555889</v>
      </c>
      <c r="F207" s="23" t="n">
        <f aca="false">IFERROR(C207*'Weights &amp; Assumptions'!$B$25/'Weights &amp; Assumptions'!$B$28+D207*'Weights &amp; Assumptions'!$B$26/'Weights &amp; Assumptions'!$B$28+E207*'Weights &amp; Assumptions'!$B$27/'Weights &amp; Assumptions'!$B$28,"")</f>
        <v>130.856027779579</v>
      </c>
      <c r="G207" s="31" t="n">
        <f aca="false">IFERROR((F207/F206-1)*100,"")</f>
        <v>3.54038165556871</v>
      </c>
      <c r="H207" s="31" t="n">
        <f aca="false">IFERROR((F207/F195-1)*100,"")</f>
        <v>-7.69489131168993</v>
      </c>
      <c r="I207" s="31" t="n">
        <f aca="false">IFERROR((C207/C206-1)*100,"")</f>
        <v>5.37768955665567</v>
      </c>
      <c r="J207" s="31" t="n">
        <f aca="false">IFERROR((D207/D206-1)*100,"")</f>
        <v>5.11818056481035</v>
      </c>
      <c r="K207" s="31" t="n">
        <f aca="false">IFERROR((E207/E206-1)*100,"")</f>
        <v>2.82878860489719</v>
      </c>
    </row>
    <row r="208" customFormat="false" ht="15" hidden="false" customHeight="false" outlineLevel="0" collapsed="false">
      <c r="A208" s="20" t="n">
        <v>44135</v>
      </c>
      <c r="B208" s="32" t="str">
        <f aca="false">IF(ISNUMBER('SA Data'!T208),"A","F")</f>
        <v>A</v>
      </c>
      <c r="C208" s="30" t="n">
        <f aca="false">IFERROR('SA Data'!R208,"")</f>
        <v>124.847854644859</v>
      </c>
      <c r="D208" s="30" t="n">
        <f aca="false">IFERROR('SA Data'!S208,"")</f>
        <v>115.666240593981</v>
      </c>
      <c r="E208" s="30" t="n">
        <f aca="false">IFERROR('SA Data'!T208,"")</f>
        <v>142.338252466869</v>
      </c>
      <c r="F208" s="23" t="n">
        <f aca="false">IFERROR(C208*'Weights &amp; Assumptions'!$B$25/'Weights &amp; Assumptions'!$B$28+D208*'Weights &amp; Assumptions'!$B$26/'Weights &amp; Assumptions'!$B$28+E208*'Weights &amp; Assumptions'!$B$27/'Weights &amp; Assumptions'!$B$28,"")</f>
        <v>133.778239666016</v>
      </c>
      <c r="G208" s="31" t="n">
        <f aca="false">IFERROR((F208/F207-1)*100,"")</f>
        <v>2.23315038368683</v>
      </c>
      <c r="H208" s="31" t="n">
        <f aca="false">IFERROR((F208/F196-1)*100,"")</f>
        <v>-7.996138283036</v>
      </c>
      <c r="I208" s="31" t="n">
        <f aca="false">IFERROR((C208/C207-1)*100,"")</f>
        <v>-3.94083994072189</v>
      </c>
      <c r="J208" s="31" t="n">
        <f aca="false">IFERROR((D208/D207-1)*100,"")</f>
        <v>5.39957751366598</v>
      </c>
      <c r="K208" s="31" t="n">
        <f aca="false">IFERROR((E208/E207-1)*100,"")</f>
        <v>1.95686953704199</v>
      </c>
    </row>
    <row r="209" customFormat="false" ht="15" hidden="false" customHeight="false" outlineLevel="0" collapsed="false">
      <c r="A209" s="20" t="n">
        <v>44165</v>
      </c>
      <c r="B209" s="32" t="str">
        <f aca="false">IF(ISNUMBER('SA Data'!T209),"A","F")</f>
        <v>A</v>
      </c>
      <c r="C209" s="30" t="n">
        <f aca="false">IFERROR('SA Data'!R209,"")</f>
        <v>125.056655416359</v>
      </c>
      <c r="D209" s="30" t="n">
        <f aca="false">IFERROR('SA Data'!S209,"")</f>
        <v>115.527118752295</v>
      </c>
      <c r="E209" s="30" t="n">
        <f aca="false">IFERROR('SA Data'!T209,"")</f>
        <v>142.599738481274</v>
      </c>
      <c r="F209" s="23" t="n">
        <f aca="false">IFERROR(C209*'Weights &amp; Assumptions'!$B$25/'Weights &amp; Assumptions'!$B$28+D209*'Weights &amp; Assumptions'!$B$26/'Weights &amp; Assumptions'!$B$28+E209*'Weights &amp; Assumptions'!$B$27/'Weights &amp; Assumptions'!$B$28,"")</f>
        <v>133.928776717878</v>
      </c>
      <c r="G209" s="31" t="n">
        <f aca="false">IFERROR((F209/F208-1)*100,"")</f>
        <v>0.112527308056953</v>
      </c>
      <c r="H209" s="31" t="n">
        <f aca="false">IFERROR((F209/F197-1)*100,"")</f>
        <v>-5.31342131003103</v>
      </c>
      <c r="I209" s="31" t="n">
        <f aca="false">IFERROR((C209/C208-1)*100,"")</f>
        <v>0.167244180602188</v>
      </c>
      <c r="J209" s="31" t="n">
        <f aca="false">IFERROR((D209/D208-1)*100,"")</f>
        <v>-0.120278692357956</v>
      </c>
      <c r="K209" s="31" t="n">
        <f aca="false">IFERROR((E209/E208-1)*100,"")</f>
        <v>0.183707478399864</v>
      </c>
    </row>
    <row r="210" customFormat="false" ht="15" hidden="false" customHeight="false" outlineLevel="0" collapsed="false">
      <c r="A210" s="20" t="n">
        <v>44196</v>
      </c>
      <c r="B210" s="32" t="str">
        <f aca="false">IF(ISNUMBER('SA Data'!T210),"A","F")</f>
        <v>A</v>
      </c>
      <c r="C210" s="30" t="n">
        <f aca="false">IFERROR('SA Data'!R210,"")</f>
        <v>132.022863219029</v>
      </c>
      <c r="D210" s="30" t="n">
        <f aca="false">IFERROR('SA Data'!S210,"")</f>
        <v>119.452980663796</v>
      </c>
      <c r="E210" s="30" t="n">
        <f aca="false">IFERROR('SA Data'!T210,"")</f>
        <v>146.200129925877</v>
      </c>
      <c r="F210" s="23" t="n">
        <f aca="false">IFERROR(C210*'Weights &amp; Assumptions'!$B$25/'Weights &amp; Assumptions'!$B$28+D210*'Weights &amp; Assumptions'!$B$26/'Weights &amp; Assumptions'!$B$28+E210*'Weights &amp; Assumptions'!$B$27/'Weights &amp; Assumptions'!$B$28,"")</f>
        <v>137.898111238469</v>
      </c>
      <c r="G210" s="31" t="n">
        <f aca="false">IFERROR((F210/F209-1)*100,"")</f>
        <v>2.96376523243598</v>
      </c>
      <c r="H210" s="31" t="n">
        <f aca="false">IFERROR((F210/F198-1)*100,"")</f>
        <v>-2.34127851370554</v>
      </c>
      <c r="I210" s="31" t="n">
        <f aca="false">IFERROR((C210/C209-1)*100,"")</f>
        <v>5.57044147668673</v>
      </c>
      <c r="J210" s="31" t="n">
        <f aca="false">IFERROR((D210/D209-1)*100,"")</f>
        <v>3.39821675975329</v>
      </c>
      <c r="K210" s="31" t="n">
        <f aca="false">IFERROR((E210/E209-1)*100,"")</f>
        <v>2.52482331520927</v>
      </c>
    </row>
    <row r="211" customFormat="false" ht="15" hidden="false" customHeight="false" outlineLevel="0" collapsed="false">
      <c r="A211" s="20" t="n">
        <v>44227</v>
      </c>
      <c r="B211" s="32" t="str">
        <f aca="false">IF(ISNUMBER('SA Data'!T211),"A","F")</f>
        <v>A</v>
      </c>
      <c r="C211" s="30" t="n">
        <f aca="false">IFERROR('SA Data'!R211,"")</f>
        <v>127.796127857789</v>
      </c>
      <c r="D211" s="30" t="n">
        <f aca="false">IFERROR('SA Data'!S211,"")</f>
        <v>120.767720886205</v>
      </c>
      <c r="E211" s="30" t="n">
        <f aca="false">IFERROR('SA Data'!T211,"")</f>
        <v>147.510306628159</v>
      </c>
      <c r="F211" s="23" t="n">
        <f aca="false">IFERROR(C211*'Weights &amp; Assumptions'!$B$25/'Weights &amp; Assumptions'!$B$28+D211*'Weights &amp; Assumptions'!$B$26/'Weights &amp; Assumptions'!$B$28+E211*'Weights &amp; Assumptions'!$B$27/'Weights &amp; Assumptions'!$B$28,"")</f>
        <v>138.74494993053</v>
      </c>
      <c r="G211" s="31" t="n">
        <f aca="false">IFERROR((F211/F210-1)*100,"")</f>
        <v>0.614104634542101</v>
      </c>
      <c r="H211" s="31" t="n">
        <f aca="false">IFERROR((F211/F199-1)*100,"")</f>
        <v>-2.5154521858219</v>
      </c>
      <c r="I211" s="31" t="n">
        <f aca="false">IFERROR((C211/C210-1)*100,"")</f>
        <v>-3.20151772062979</v>
      </c>
      <c r="J211" s="31" t="n">
        <f aca="false">IFERROR((D211/D210-1)*100,"")</f>
        <v>1.10063408640209</v>
      </c>
      <c r="K211" s="31" t="n">
        <f aca="false">IFERROR((E211/E210-1)*100,"")</f>
        <v>0.896152898732749</v>
      </c>
    </row>
    <row r="212" customFormat="false" ht="15" hidden="false" customHeight="false" outlineLevel="0" collapsed="false">
      <c r="A212" s="20" t="n">
        <v>44255</v>
      </c>
      <c r="B212" s="32" t="str">
        <f aca="false">IF(ISNUMBER('SA Data'!T212),"A","F")</f>
        <v>A</v>
      </c>
      <c r="C212" s="30" t="n">
        <f aca="false">IFERROR('SA Data'!R212,"")</f>
        <v>119.14357540176</v>
      </c>
      <c r="D212" s="30" t="n">
        <f aca="false">IFERROR('SA Data'!S212,"")</f>
        <v>118.746112447243</v>
      </c>
      <c r="E212" s="30" t="n">
        <f aca="false">IFERROR('SA Data'!T212,"")</f>
        <v>147.084021520218</v>
      </c>
      <c r="F212" s="23" t="n">
        <f aca="false">IFERROR(C212*'Weights &amp; Assumptions'!$B$25/'Weights &amp; Assumptions'!$B$28+D212*'Weights &amp; Assumptions'!$B$26/'Weights &amp; Assumptions'!$B$28+E212*'Weights &amp; Assumptions'!$B$27/'Weights &amp; Assumptions'!$B$28,"")</f>
        <v>137.20424980511</v>
      </c>
      <c r="G212" s="31" t="n">
        <f aca="false">IFERROR((F212/F211-1)*100,"")</f>
        <v>-1.11045492192128</v>
      </c>
      <c r="H212" s="31" t="n">
        <f aca="false">IFERROR((F212/F200-1)*100,"")</f>
        <v>-2.40000424631457</v>
      </c>
      <c r="I212" s="31" t="n">
        <f aca="false">IFERROR((C212/C211-1)*100,"")</f>
        <v>-6.7705904717693</v>
      </c>
      <c r="J212" s="31" t="n">
        <f aca="false">IFERROR((D212/D211-1)*100,"")</f>
        <v>-1.67396422166988</v>
      </c>
      <c r="K212" s="31" t="n">
        <f aca="false">IFERROR((E212/E211-1)*100,"")</f>
        <v>-0.288986659769452</v>
      </c>
    </row>
    <row r="213" customFormat="false" ht="15" hidden="false" customHeight="false" outlineLevel="0" collapsed="false">
      <c r="A213" s="20" t="n">
        <v>44286</v>
      </c>
      <c r="B213" s="32" t="str">
        <f aca="false">IF(ISNUMBER('SA Data'!T213),"A","F")</f>
        <v>A</v>
      </c>
      <c r="C213" s="30" t="n">
        <f aca="false">IFERROR('SA Data'!R213,"")</f>
        <v>126.21621851042</v>
      </c>
      <c r="D213" s="30" t="n">
        <f aca="false">IFERROR('SA Data'!S213,"")</f>
        <v>128.665432151672</v>
      </c>
      <c r="E213" s="30" t="n">
        <f aca="false">IFERROR('SA Data'!T213,"")</f>
        <v>151.197533781225</v>
      </c>
      <c r="F213" s="23" t="n">
        <f aca="false">IFERROR(C213*'Weights &amp; Assumptions'!$B$25/'Weights &amp; Assumptions'!$B$28+D213*'Weights &amp; Assumptions'!$B$26/'Weights &amp; Assumptions'!$B$28+E213*'Weights &amp; Assumptions'!$B$27/'Weights &amp; Assumptions'!$B$28,"")</f>
        <v>143.109901222826</v>
      </c>
      <c r="G213" s="31" t="n">
        <f aca="false">IFERROR((F213/F212-1)*100,"")</f>
        <v>4.30427732822083</v>
      </c>
      <c r="H213" s="31" t="n">
        <f aca="false">IFERROR((F213/F201-1)*100,"")</f>
        <v>12.4852173763494</v>
      </c>
      <c r="I213" s="31" t="n">
        <f aca="false">IFERROR((C213/C212-1)*100,"")</f>
        <v>5.93623540741604</v>
      </c>
      <c r="J213" s="31" t="n">
        <f aca="false">IFERROR((D213/D212-1)*100,"")</f>
        <v>8.35338479719516</v>
      </c>
      <c r="K213" s="31" t="n">
        <f aca="false">IFERROR((E213/E212-1)*100,"")</f>
        <v>2.79670913161743</v>
      </c>
    </row>
    <row r="214" customFormat="false" ht="15" hidden="false" customHeight="false" outlineLevel="0" collapsed="false">
      <c r="A214" s="20" t="n">
        <v>44316</v>
      </c>
      <c r="B214" s="32" t="str">
        <f aca="false">IF(ISNUMBER('SA Data'!T214),"A","F")</f>
        <v>A</v>
      </c>
      <c r="C214" s="30" t="n">
        <f aca="false">IFERROR('SA Data'!R214,"")</f>
        <v>130.175467518569</v>
      </c>
      <c r="D214" s="30" t="n">
        <f aca="false">IFERROR('SA Data'!S214,"")</f>
        <v>129.377796922854</v>
      </c>
      <c r="E214" s="30" t="n">
        <f aca="false">IFERROR('SA Data'!T214,"")</f>
        <v>154.659898080892</v>
      </c>
      <c r="F214" s="23" t="n">
        <f aca="false">IFERROR(C214*'Weights &amp; Assumptions'!$B$25/'Weights &amp; Assumptions'!$B$28+D214*'Weights &amp; Assumptions'!$B$26/'Weights &amp; Assumptions'!$B$28+E214*'Weights &amp; Assumptions'!$B$27/'Weights &amp; Assumptions'!$B$28,"")</f>
        <v>145.882681650972</v>
      </c>
      <c r="G214" s="31" t="n">
        <f aca="false">IFERROR((F214/F213-1)*100,"")</f>
        <v>1.93751823210928</v>
      </c>
      <c r="H214" s="31" t="n">
        <f aca="false">IFERROR((F214/F202-1)*100,"")</f>
        <v>34.176699230031</v>
      </c>
      <c r="I214" s="31" t="n">
        <f aca="false">IFERROR((C214/C213-1)*100,"")</f>
        <v>3.13687817213544</v>
      </c>
      <c r="J214" s="31" t="n">
        <f aca="false">IFERROR((D214/D213-1)*100,"")</f>
        <v>0.553656688723114</v>
      </c>
      <c r="K214" s="31" t="n">
        <f aca="false">IFERROR((E214/E213-1)*100,"")</f>
        <v>2.28996083010025</v>
      </c>
    </row>
    <row r="215" customFormat="false" ht="15" hidden="false" customHeight="false" outlineLevel="0" collapsed="false">
      <c r="A215" s="20" t="n">
        <v>44347</v>
      </c>
      <c r="B215" s="32" t="str">
        <f aca="false">IF(ISNUMBER('SA Data'!T215),"A","F")</f>
        <v>A</v>
      </c>
      <c r="C215" s="30" t="n">
        <f aca="false">IFERROR('SA Data'!R215,"")</f>
        <v>130.18679535944</v>
      </c>
      <c r="D215" s="30" t="n">
        <f aca="false">IFERROR('SA Data'!S215,"")</f>
        <v>120.197434297232</v>
      </c>
      <c r="E215" s="30" t="n">
        <f aca="false">IFERROR('SA Data'!T215,"")</f>
        <v>150.067515120217</v>
      </c>
      <c r="F215" s="23" t="n">
        <f aca="false">IFERROR(C215*'Weights &amp; Assumptions'!$B$25/'Weights &amp; Assumptions'!$B$28+D215*'Weights &amp; Assumptions'!$B$26/'Weights &amp; Assumptions'!$B$28+E215*'Weights &amp; Assumptions'!$B$27/'Weights &amp; Assumptions'!$B$28,"")</f>
        <v>140.456529921252</v>
      </c>
      <c r="G215" s="31" t="n">
        <f aca="false">IFERROR((F215/F214-1)*100,"")</f>
        <v>-3.71953111110376</v>
      </c>
      <c r="H215" s="31" t="n">
        <f aca="false">IFERROR((F215/F203-1)*100,"")</f>
        <v>20.0269888506751</v>
      </c>
      <c r="I215" s="31" t="n">
        <f aca="false">IFERROR((C215/C214-1)*100,"")</f>
        <v>0.00870197825120211</v>
      </c>
      <c r="J215" s="31" t="n">
        <f aca="false">IFERROR((D215/D214-1)*100,"")</f>
        <v>-7.09577906253596</v>
      </c>
      <c r="K215" s="31" t="n">
        <f aca="false">IFERROR((E215/E214-1)*100,"")</f>
        <v>-2.96934306672897</v>
      </c>
    </row>
    <row r="216" customFormat="false" ht="15" hidden="false" customHeight="false" outlineLevel="0" collapsed="false">
      <c r="A216" s="20" t="n">
        <v>44377</v>
      </c>
      <c r="B216" s="32" t="str">
        <f aca="false">IF(ISNUMBER('SA Data'!T216),"A","F")</f>
        <v>A</v>
      </c>
      <c r="C216" s="30" t="n">
        <f aca="false">IFERROR('SA Data'!R216,"")</f>
        <v>129.308003761788</v>
      </c>
      <c r="D216" s="30" t="n">
        <f aca="false">IFERROR('SA Data'!S216,"")</f>
        <v>127.059635835968</v>
      </c>
      <c r="E216" s="30" t="n">
        <f aca="false">IFERROR('SA Data'!T216,"")</f>
        <v>152.045690624749</v>
      </c>
      <c r="F216" s="23" t="n">
        <f aca="false">IFERROR(C216*'Weights &amp; Assumptions'!$B$25/'Weights &amp; Assumptions'!$B$28+D216*'Weights &amp; Assumptions'!$B$26/'Weights &amp; Assumptions'!$B$28+E216*'Weights &amp; Assumptions'!$B$27/'Weights &amp; Assumptions'!$B$28,"")</f>
        <v>143.493751345815</v>
      </c>
      <c r="G216" s="31" t="n">
        <f aca="false">IFERROR((F216/F215-1)*100,"")</f>
        <v>2.16239246852117</v>
      </c>
      <c r="H216" s="31" t="n">
        <f aca="false">IFERROR((F216/F204-1)*100,"")</f>
        <v>14.6735293424304</v>
      </c>
      <c r="I216" s="31" t="n">
        <f aca="false">IFERROR((C216/C215-1)*100,"")</f>
        <v>-0.67502360375814</v>
      </c>
      <c r="J216" s="31" t="n">
        <f aca="false">IFERROR((D216/D215-1)*100,"")</f>
        <v>5.70910816762276</v>
      </c>
      <c r="K216" s="31" t="n">
        <f aca="false">IFERROR((E216/E215-1)*100,"")</f>
        <v>1.3181903511545</v>
      </c>
    </row>
    <row r="217" customFormat="false" ht="15" hidden="false" customHeight="false" outlineLevel="0" collapsed="false">
      <c r="A217" s="20" t="n">
        <v>44408</v>
      </c>
      <c r="B217" s="32" t="str">
        <f aca="false">IF(ISNUMBER('SA Data'!T217),"A","F")</f>
        <v>A</v>
      </c>
      <c r="C217" s="30" t="n">
        <f aca="false">IFERROR('SA Data'!R217,"")</f>
        <v>127.746062803406</v>
      </c>
      <c r="D217" s="30" t="n">
        <f aca="false">IFERROR('SA Data'!S217,"")</f>
        <v>123.228394003443</v>
      </c>
      <c r="E217" s="30" t="n">
        <f aca="false">IFERROR('SA Data'!T217,"")</f>
        <v>151.459568299434</v>
      </c>
      <c r="F217" s="23" t="n">
        <f aca="false">IFERROR(C217*'Weights &amp; Assumptions'!$B$25/'Weights &amp; Assumptions'!$B$28+D217*'Weights &amp; Assumptions'!$B$26/'Weights &amp; Assumptions'!$B$28+E217*'Weights &amp; Assumptions'!$B$27/'Weights &amp; Assumptions'!$B$28,"")</f>
        <v>141.962823061861</v>
      </c>
      <c r="G217" s="31" t="n">
        <f aca="false">IFERROR((F217/F216-1)*100,"")</f>
        <v>-1.06689543593065</v>
      </c>
      <c r="H217" s="31" t="n">
        <f aca="false">IFERROR((F217/F205-1)*100,"")</f>
        <v>11.590600490107</v>
      </c>
      <c r="I217" s="31" t="n">
        <f aca="false">IFERROR((C217/C216-1)*100,"")</f>
        <v>-1.2079228763438</v>
      </c>
      <c r="J217" s="31" t="n">
        <f aca="false">IFERROR((D217/D216-1)*100,"")</f>
        <v>-3.01530994270364</v>
      </c>
      <c r="K217" s="31" t="n">
        <f aca="false">IFERROR((E217/E216-1)*100,"")</f>
        <v>-0.385490915859854</v>
      </c>
    </row>
    <row r="218" customFormat="false" ht="15" hidden="false" customHeight="false" outlineLevel="0" collapsed="false">
      <c r="A218" s="20" t="n">
        <v>44439</v>
      </c>
      <c r="B218" s="32" t="str">
        <f aca="false">IF(ISNUMBER('SA Data'!T218),"A","F")</f>
        <v>A</v>
      </c>
      <c r="C218" s="30" t="n">
        <f aca="false">IFERROR('SA Data'!R218,"")</f>
        <v>126.895017038213</v>
      </c>
      <c r="D218" s="30" t="n">
        <f aca="false">IFERROR('SA Data'!S218,"")</f>
        <v>122.228475328459</v>
      </c>
      <c r="E218" s="30" t="n">
        <f aca="false">IFERROR('SA Data'!T218,"")</f>
        <v>152.874361719367</v>
      </c>
      <c r="F218" s="23" t="n">
        <f aca="false">IFERROR(C218*'Weights &amp; Assumptions'!$B$25/'Weights &amp; Assumptions'!$B$28+D218*'Weights &amp; Assumptions'!$B$26/'Weights &amp; Assumptions'!$B$28+E218*'Weights &amp; Assumptions'!$B$27/'Weights &amp; Assumptions'!$B$28,"")</f>
        <v>142.545396561907</v>
      </c>
      <c r="G218" s="31" t="n">
        <f aca="false">IFERROR((F218/F217-1)*100,"")</f>
        <v>0.410370467056453</v>
      </c>
      <c r="H218" s="31" t="n">
        <f aca="false">IFERROR((F218/F206-1)*100,"")</f>
        <v>12.7896438070507</v>
      </c>
      <c r="I218" s="31" t="n">
        <f aca="false">IFERROR((C218/C217-1)*100,"")</f>
        <v>-0.666201170131264</v>
      </c>
      <c r="J218" s="31" t="n">
        <f aca="false">IFERROR((D218/D217-1)*100,"")</f>
        <v>-0.811435288977502</v>
      </c>
      <c r="K218" s="31" t="n">
        <f aca="false">IFERROR((E218/E217-1)*100,"")</f>
        <v>0.934106333339124</v>
      </c>
    </row>
    <row r="219" customFormat="false" ht="15" hidden="false" customHeight="false" outlineLevel="0" collapsed="false">
      <c r="A219" s="20" t="n">
        <v>44469</v>
      </c>
      <c r="B219" s="32" t="str">
        <f aca="false">IF(ISNUMBER('SA Data'!T219),"A","F")</f>
        <v>A</v>
      </c>
      <c r="C219" s="30" t="n">
        <f aca="false">IFERROR('SA Data'!R219,"")</f>
        <v>128.405632312173</v>
      </c>
      <c r="D219" s="30" t="n">
        <f aca="false">IFERROR('SA Data'!S219,"")</f>
        <v>126.253472757932</v>
      </c>
      <c r="E219" s="30" t="n">
        <f aca="false">IFERROR('SA Data'!T219,"")</f>
        <v>155.080566192581</v>
      </c>
      <c r="F219" s="23" t="n">
        <f aca="false">IFERROR(C219*'Weights &amp; Assumptions'!$B$25/'Weights &amp; Assumptions'!$B$28+D219*'Weights &amp; Assumptions'!$B$26/'Weights &amp; Assumptions'!$B$28+E219*'Weights &amp; Assumptions'!$B$27/'Weights &amp; Assumptions'!$B$28,"")</f>
        <v>145.17688934048</v>
      </c>
      <c r="G219" s="31" t="n">
        <f aca="false">IFERROR((F219/F218-1)*100,"")</f>
        <v>1.84607349100219</v>
      </c>
      <c r="H219" s="31" t="n">
        <f aca="false">IFERROR((F219/F207-1)*100,"")</f>
        <v>10.943983096464</v>
      </c>
      <c r="I219" s="31" t="n">
        <f aca="false">IFERROR((C219/C218-1)*100,"")</f>
        <v>1.19044491203744</v>
      </c>
      <c r="J219" s="31" t="n">
        <f aca="false">IFERROR((D219/D218-1)*100,"")</f>
        <v>3.29301123871282</v>
      </c>
      <c r="K219" s="31" t="n">
        <f aca="false">IFERROR((E219/E218-1)*100,"")</f>
        <v>1.44314877157998</v>
      </c>
    </row>
    <row r="220" customFormat="false" ht="15" hidden="false" customHeight="false" outlineLevel="0" collapsed="false">
      <c r="A220" s="20" t="n">
        <v>44500</v>
      </c>
      <c r="B220" s="32" t="str">
        <f aca="false">IF(ISNUMBER('SA Data'!T220),"A","F")</f>
        <v>A</v>
      </c>
      <c r="C220" s="30" t="n">
        <f aca="false">IFERROR('SA Data'!R220,"")</f>
        <v>128.600755661388</v>
      </c>
      <c r="D220" s="30" t="n">
        <f aca="false">IFERROR('SA Data'!S220,"")</f>
        <v>121.975138905109</v>
      </c>
      <c r="E220" s="30" t="n">
        <f aca="false">IFERROR('SA Data'!T220,"")</f>
        <v>152.709797494847</v>
      </c>
      <c r="F220" s="23" t="n">
        <f aca="false">IFERROR(C220*'Weights &amp; Assumptions'!$B$25/'Weights &amp; Assumptions'!$B$28+D220*'Weights &amp; Assumptions'!$B$26/'Weights &amp; Assumptions'!$B$28+E220*'Weights &amp; Assumptions'!$B$27/'Weights &amp; Assumptions'!$B$28,"")</f>
        <v>142.514146224415</v>
      </c>
      <c r="G220" s="31" t="n">
        <f aca="false">IFERROR((F220/F219-1)*100,"")</f>
        <v>-1.8341370504365</v>
      </c>
      <c r="H220" s="31" t="n">
        <f aca="false">IFERROR((F220/F208-1)*100,"")</f>
        <v>6.53014016345934</v>
      </c>
      <c r="I220" s="31" t="n">
        <f aca="false">IFERROR((C220/C219-1)*100,"")</f>
        <v>0.151958559528609</v>
      </c>
      <c r="J220" s="31" t="n">
        <f aca="false">IFERROR((D220/D219-1)*100,"")</f>
        <v>-3.3886860767987</v>
      </c>
      <c r="K220" s="31" t="n">
        <f aca="false">IFERROR((E220/E219-1)*100,"")</f>
        <v>-1.52873358405839</v>
      </c>
    </row>
    <row r="221" customFormat="false" ht="15" hidden="false" customHeight="false" outlineLevel="0" collapsed="false">
      <c r="A221" s="20" t="n">
        <v>44530</v>
      </c>
      <c r="B221" s="32" t="str">
        <f aca="false">IF(ISNUMBER('SA Data'!T221),"A","F")</f>
        <v>A</v>
      </c>
      <c r="C221" s="30" t="n">
        <f aca="false">IFERROR('SA Data'!R221,"")</f>
        <v>133.088411345495</v>
      </c>
      <c r="D221" s="30" t="n">
        <f aca="false">IFERROR('SA Data'!S221,"")</f>
        <v>127.717415012676</v>
      </c>
      <c r="E221" s="30" t="n">
        <f aca="false">IFERROR('SA Data'!T221,"")</f>
        <v>156.33426873934</v>
      </c>
      <c r="F221" s="23" t="n">
        <f aca="false">IFERROR(C221*'Weights &amp; Assumptions'!$B$25/'Weights &amp; Assumptions'!$B$28+D221*'Weights &amp; Assumptions'!$B$26/'Weights &amp; Assumptions'!$B$28+E221*'Weights &amp; Assumptions'!$B$27/'Weights &amp; Assumptions'!$B$28,"")</f>
        <v>146.774200668988</v>
      </c>
      <c r="G221" s="31" t="n">
        <f aca="false">IFERROR((F221/F220-1)*100,"")</f>
        <v>2.98921514630917</v>
      </c>
      <c r="H221" s="31" t="n">
        <f aca="false">IFERROR((F221/F209-1)*100,"")</f>
        <v>9.59123518179339</v>
      </c>
      <c r="I221" s="31" t="n">
        <f aca="false">IFERROR((C221/C220-1)*100,"")</f>
        <v>3.48960288843272</v>
      </c>
      <c r="J221" s="31" t="n">
        <f aca="false">IFERROR((D221/D220-1)*100,"")</f>
        <v>4.70774303609038</v>
      </c>
      <c r="K221" s="31" t="n">
        <f aca="false">IFERROR((E221/E220-1)*100,"")</f>
        <v>2.37343726725536</v>
      </c>
    </row>
    <row r="222" customFormat="false" ht="15" hidden="false" customHeight="false" outlineLevel="0" collapsed="false">
      <c r="A222" s="20" t="n">
        <v>44561</v>
      </c>
      <c r="B222" s="32" t="str">
        <f aca="false">IF(ISNUMBER('SA Data'!T222),"A","F")</f>
        <v>A</v>
      </c>
      <c r="C222" s="30" t="n">
        <f aca="false">IFERROR('SA Data'!R222,"")</f>
        <v>148.718191574718</v>
      </c>
      <c r="D222" s="30" t="n">
        <f aca="false">IFERROR('SA Data'!S222,"")</f>
        <v>130.588720082774</v>
      </c>
      <c r="E222" s="30" t="n">
        <f aca="false">IFERROR('SA Data'!T222,"")</f>
        <v>158.872390400232</v>
      </c>
      <c r="F222" s="23" t="n">
        <f aca="false">IFERROR(C222*'Weights &amp; Assumptions'!$B$25/'Weights &amp; Assumptions'!$B$28+D222*'Weights &amp; Assumptions'!$B$26/'Weights &amp; Assumptions'!$B$28+E222*'Weights &amp; Assumptions'!$B$27/'Weights &amp; Assumptions'!$B$28,"")</f>
        <v>150.49932266723</v>
      </c>
      <c r="G222" s="31" t="n">
        <f aca="false">IFERROR((F222/F221-1)*100,"")</f>
        <v>2.53799508446504</v>
      </c>
      <c r="H222" s="31" t="n">
        <f aca="false">IFERROR((F222/F210-1)*100,"")</f>
        <v>9.13805948144544</v>
      </c>
      <c r="I222" s="31" t="n">
        <f aca="false">IFERROR((C222/C221-1)*100,"")</f>
        <v>11.743907731116</v>
      </c>
      <c r="J222" s="31" t="n">
        <f aca="false">IFERROR((D222/D221-1)*100,"")</f>
        <v>2.24817036095857</v>
      </c>
      <c r="K222" s="31" t="n">
        <f aca="false">IFERROR((E222/E221-1)*100,"")</f>
        <v>1.62352226505349</v>
      </c>
    </row>
    <row r="223" customFormat="false" ht="15" hidden="false" customHeight="false" outlineLevel="0" collapsed="false">
      <c r="A223" s="20" t="n">
        <v>44592</v>
      </c>
      <c r="B223" s="32" t="str">
        <f aca="false">IF(ISNUMBER('SA Data'!T223),"A","F")</f>
        <v>A</v>
      </c>
      <c r="C223" s="30" t="n">
        <f aca="false">IFERROR('SA Data'!R223,"")</f>
        <v>145.919210863581</v>
      </c>
      <c r="D223" s="30" t="n">
        <f aca="false">IFERROR('SA Data'!S223,"")</f>
        <v>121.939796647992</v>
      </c>
      <c r="E223" s="30" t="n">
        <f aca="false">IFERROR('SA Data'!T223,"")</f>
        <v>156.681591548421</v>
      </c>
      <c r="F223" s="23" t="n">
        <f aca="false">IFERROR(C223*'Weights &amp; Assumptions'!$B$25/'Weights &amp; Assumptions'!$B$28+D223*'Weights &amp; Assumptions'!$B$26/'Weights &amp; Assumptions'!$B$28+E223*'Weights &amp; Assumptions'!$B$27/'Weights &amp; Assumptions'!$B$28,"")</f>
        <v>146.540168713095</v>
      </c>
      <c r="G223" s="31" t="n">
        <f aca="false">IFERROR((F223/F222-1)*100,"")</f>
        <v>-2.63067891866127</v>
      </c>
      <c r="H223" s="31" t="n">
        <f aca="false">IFERROR((F223/F211-1)*100,"")</f>
        <v>5.61838019075138</v>
      </c>
      <c r="I223" s="31" t="n">
        <f aca="false">IFERROR((C223/C222-1)*100,"")</f>
        <v>-1.88207016337374</v>
      </c>
      <c r="J223" s="31" t="n">
        <f aca="false">IFERROR((D223/D222-1)*100,"")</f>
        <v>-6.62302489012812</v>
      </c>
      <c r="K223" s="31" t="n">
        <f aca="false">IFERROR((E223/E222-1)*100,"")</f>
        <v>-1.37896763955798</v>
      </c>
    </row>
    <row r="224" customFormat="false" ht="15" hidden="false" customHeight="false" outlineLevel="0" collapsed="false">
      <c r="A224" s="20" t="n">
        <v>44620</v>
      </c>
      <c r="B224" s="32" t="str">
        <f aca="false">IF(ISNUMBER('SA Data'!T224),"A","F")</f>
        <v>A</v>
      </c>
      <c r="C224" s="30" t="n">
        <f aca="false">IFERROR('SA Data'!R224,"")</f>
        <v>129.532935053036</v>
      </c>
      <c r="D224" s="30" t="n">
        <f aca="false">IFERROR('SA Data'!S224,"")</f>
        <v>129.294286913819</v>
      </c>
      <c r="E224" s="30" t="n">
        <f aca="false">IFERROR('SA Data'!T224,"")</f>
        <v>158.461591025309</v>
      </c>
      <c r="F224" s="23" t="n">
        <f aca="false">IFERROR(C224*'Weights &amp; Assumptions'!$B$25/'Weights &amp; Assumptions'!$B$28+D224*'Weights &amp; Assumptions'!$B$26/'Weights &amp; Assumptions'!$B$28+E224*'Weights &amp; Assumptions'!$B$27/'Weights &amp; Assumptions'!$B$28,"")</f>
        <v>148.278357052328</v>
      </c>
      <c r="G224" s="31" t="n">
        <f aca="false">IFERROR((F224/F223-1)*100,"")</f>
        <v>1.18615145219059</v>
      </c>
      <c r="H224" s="31" t="n">
        <f aca="false">IFERROR((F224/F212-1)*100,"")</f>
        <v>8.07125673071252</v>
      </c>
      <c r="I224" s="31" t="n">
        <f aca="false">IFERROR((C224/C223-1)*100,"")</f>
        <v>-11.2296905346232</v>
      </c>
      <c r="J224" s="31" t="n">
        <f aca="false">IFERROR((D224/D223-1)*100,"")</f>
        <v>6.03124694972055</v>
      </c>
      <c r="K224" s="31" t="n">
        <f aca="false">IFERROR((E224/E223-1)*100,"")</f>
        <v>1.13606165172144</v>
      </c>
    </row>
    <row r="225" customFormat="false" ht="15" hidden="false" customHeight="false" outlineLevel="0" collapsed="false">
      <c r="A225" s="20" t="n">
        <v>44651</v>
      </c>
      <c r="B225" s="32" t="str">
        <f aca="false">IF(ISNUMBER('SA Data'!T225),"A","F")</f>
        <v>A</v>
      </c>
      <c r="C225" s="30" t="n">
        <f aca="false">IFERROR('SA Data'!R225,"")</f>
        <v>126.979914143143</v>
      </c>
      <c r="D225" s="30" t="n">
        <f aca="false">IFERROR('SA Data'!S225,"")</f>
        <v>134.382190807027</v>
      </c>
      <c r="E225" s="30" t="n">
        <f aca="false">IFERROR('SA Data'!T225,"")</f>
        <v>161.115202089612</v>
      </c>
      <c r="F225" s="23" t="n">
        <f aca="false">IFERROR(C225*'Weights &amp; Assumptions'!$B$25/'Weights &amp; Assumptions'!$B$28+D225*'Weights &amp; Assumptions'!$B$26/'Weights &amp; Assumptions'!$B$28+E225*'Weights &amp; Assumptions'!$B$27/'Weights &amp; Assumptions'!$B$28,"")</f>
        <v>151.142448346881</v>
      </c>
      <c r="G225" s="31" t="n">
        <f aca="false">IFERROR((F225/F224-1)*100,"")</f>
        <v>1.93156395274983</v>
      </c>
      <c r="H225" s="31" t="n">
        <f aca="false">IFERROR((F225/F213-1)*100,"")</f>
        <v>5.61285211953804</v>
      </c>
      <c r="I225" s="31" t="n">
        <f aca="false">IFERROR((C225/C224-1)*100,"")</f>
        <v>-1.97094345839383</v>
      </c>
      <c r="J225" s="31" t="n">
        <f aca="false">IFERROR((D225/D224-1)*100,"")</f>
        <v>3.93513434711892</v>
      </c>
      <c r="K225" s="31" t="n">
        <f aca="false">IFERROR((E225/E224-1)*100,"")</f>
        <v>1.67460836858531</v>
      </c>
    </row>
    <row r="226" customFormat="false" ht="15" hidden="false" customHeight="false" outlineLevel="0" collapsed="false">
      <c r="A226" s="20" t="n">
        <v>44681</v>
      </c>
      <c r="B226" s="32" t="str">
        <f aca="false">IF(ISNUMBER('SA Data'!T226),"A","F")</f>
        <v>A</v>
      </c>
      <c r="C226" s="30" t="n">
        <f aca="false">IFERROR('SA Data'!R226,"")</f>
        <v>129.776015603486</v>
      </c>
      <c r="D226" s="30" t="n">
        <f aca="false">IFERROR('SA Data'!S226,"")</f>
        <v>138.067630394526</v>
      </c>
      <c r="E226" s="30" t="n">
        <f aca="false">IFERROR('SA Data'!T226,"")</f>
        <v>165.760295852984</v>
      </c>
      <c r="F226" s="23" t="n">
        <f aca="false">IFERROR(C226*'Weights &amp; Assumptions'!$B$25/'Weights &amp; Assumptions'!$B$28+D226*'Weights &amp; Assumptions'!$B$26/'Weights &amp; Assumptions'!$B$28+E226*'Weights &amp; Assumptions'!$B$27/'Weights &amp; Assumptions'!$B$28,"")</f>
        <v>155.377221308538</v>
      </c>
      <c r="G226" s="31" t="n">
        <f aca="false">IFERROR((F226/F225-1)*100,"")</f>
        <v>2.8018422408628</v>
      </c>
      <c r="H226" s="31" t="n">
        <f aca="false">IFERROR((F226/F214-1)*100,"")</f>
        <v>6.50833913259246</v>
      </c>
      <c r="I226" s="31" t="n">
        <f aca="false">IFERROR((C226/C225-1)*100,"")</f>
        <v>2.20200295394009</v>
      </c>
      <c r="J226" s="31" t="n">
        <f aca="false">IFERROR((D226/D225-1)*100,"")</f>
        <v>2.74250595660441</v>
      </c>
      <c r="K226" s="31" t="n">
        <f aca="false">IFERROR((E226/E225-1)*100,"")</f>
        <v>2.88308843804102</v>
      </c>
    </row>
    <row r="227" customFormat="false" ht="15" hidden="false" customHeight="false" outlineLevel="0" collapsed="false">
      <c r="A227" s="20" t="n">
        <v>44712</v>
      </c>
      <c r="B227" s="32" t="str">
        <f aca="false">IF(ISNUMBER('SA Data'!T227),"A","F")</f>
        <v>A</v>
      </c>
      <c r="C227" s="30" t="n">
        <f aca="false">IFERROR('SA Data'!R227,"")</f>
        <v>128.040999158444</v>
      </c>
      <c r="D227" s="30" t="n">
        <f aca="false">IFERROR('SA Data'!S227,"")</f>
        <v>135.883423737133</v>
      </c>
      <c r="E227" s="30" t="n">
        <f aca="false">IFERROR('SA Data'!T227,"")</f>
        <v>164.765928128734</v>
      </c>
      <c r="F227" s="23" t="n">
        <f aca="false">IFERROR(C227*'Weights &amp; Assumptions'!$B$25/'Weights &amp; Assumptions'!$B$28+D227*'Weights &amp; Assumptions'!$B$26/'Weights &amp; Assumptions'!$B$28+E227*'Weights &amp; Assumptions'!$B$27/'Weights &amp; Assumptions'!$B$28,"")</f>
        <v>154.004313583621</v>
      </c>
      <c r="G227" s="31" t="n">
        <f aca="false">IFERROR((F227/F226-1)*100,"")</f>
        <v>-0.883596522936092</v>
      </c>
      <c r="H227" s="31" t="n">
        <f aca="false">IFERROR((F227/F215-1)*100,"")</f>
        <v>9.64553493523197</v>
      </c>
      <c r="I227" s="31" t="n">
        <f aca="false">IFERROR((C227/C226-1)*100,"")</f>
        <v>-1.33693151001247</v>
      </c>
      <c r="J227" s="31" t="n">
        <f aca="false">IFERROR((D227/D226-1)*100,"")</f>
        <v>-1.58198315648028</v>
      </c>
      <c r="K227" s="31" t="n">
        <f aca="false">IFERROR((E227/E226-1)*100,"")</f>
        <v>-0.599882932842033</v>
      </c>
    </row>
    <row r="228" customFormat="false" ht="15" hidden="false" customHeight="false" outlineLevel="0" collapsed="false">
      <c r="A228" s="20" t="n">
        <v>44742</v>
      </c>
      <c r="B228" s="32" t="str">
        <f aca="false">IF(ISNUMBER('SA Data'!T228),"A","F")</f>
        <v>A</v>
      </c>
      <c r="C228" s="30" t="n">
        <f aca="false">IFERROR('SA Data'!R228,"")</f>
        <v>130.191161704065</v>
      </c>
      <c r="D228" s="30" t="n">
        <f aca="false">IFERROR('SA Data'!S228,"")</f>
        <v>137.285898287306</v>
      </c>
      <c r="E228" s="30" t="n">
        <f aca="false">IFERROR('SA Data'!T228,"")</f>
        <v>166.175973184044</v>
      </c>
      <c r="F228" s="23" t="n">
        <f aca="false">IFERROR(C228*'Weights &amp; Assumptions'!$B$25/'Weights &amp; Assumptions'!$B$28+D228*'Weights &amp; Assumptions'!$B$26/'Weights &amp; Assumptions'!$B$28+E228*'Weights &amp; Assumptions'!$B$27/'Weights &amp; Assumptions'!$B$28,"")</f>
        <v>155.474441982734</v>
      </c>
      <c r="G228" s="31" t="n">
        <f aca="false">IFERROR((F228/F227-1)*100,"")</f>
        <v>0.954602091917844</v>
      </c>
      <c r="H228" s="31" t="n">
        <f aca="false">IFERROR((F228/F216-1)*100,"")</f>
        <v>8.34927690199237</v>
      </c>
      <c r="I228" s="31" t="n">
        <f aca="false">IFERROR((C228/C227-1)*100,"")</f>
        <v>1.67927660651879</v>
      </c>
      <c r="J228" s="31" t="n">
        <f aca="false">IFERROR((D228/D227-1)*100,"")</f>
        <v>1.03211599443203</v>
      </c>
      <c r="K228" s="31" t="n">
        <f aca="false">IFERROR((E228/E227-1)*100,"")</f>
        <v>0.855786794833291</v>
      </c>
    </row>
    <row r="229" customFormat="false" ht="15" hidden="false" customHeight="false" outlineLevel="0" collapsed="false">
      <c r="A229" s="20" t="n">
        <v>44773</v>
      </c>
      <c r="B229" s="32" t="str">
        <f aca="false">IF(ISNUMBER('SA Data'!T229),"A","F")</f>
        <v>A</v>
      </c>
      <c r="C229" s="30" t="n">
        <f aca="false">IFERROR('SA Data'!R229,"")</f>
        <v>118.319925465452</v>
      </c>
      <c r="D229" s="30" t="n">
        <f aca="false">IFERROR('SA Data'!S229,"")</f>
        <v>131.098733859299</v>
      </c>
      <c r="E229" s="30" t="n">
        <f aca="false">IFERROR('SA Data'!T229,"")</f>
        <v>162.173063475353</v>
      </c>
      <c r="F229" s="23" t="n">
        <f aca="false">IFERROR(C229*'Weights &amp; Assumptions'!$B$25/'Weights &amp; Assumptions'!$B$28+D229*'Weights &amp; Assumptions'!$B$26/'Weights &amp; Assumptions'!$B$28+E229*'Weights &amp; Assumptions'!$B$27/'Weights &amp; Assumptions'!$B$28,"")</f>
        <v>150.230541645386</v>
      </c>
      <c r="G229" s="31" t="n">
        <f aca="false">IFERROR((F229/F228-1)*100,"")</f>
        <v>-3.37283753552902</v>
      </c>
      <c r="H229" s="31" t="n">
        <f aca="false">IFERROR((F229/F217-1)*100,"")</f>
        <v>5.82386177254455</v>
      </c>
      <c r="I229" s="31" t="n">
        <f aca="false">IFERROR((C229/C228-1)*100,"")</f>
        <v>-9.11831193702471</v>
      </c>
      <c r="J229" s="31" t="n">
        <f aca="false">IFERROR((D229/D228-1)*100,"")</f>
        <v>-4.50677345976078</v>
      </c>
      <c r="K229" s="31" t="n">
        <f aca="false">IFERROR((E229/E228-1)*100,"")</f>
        <v>-2.40883783136212</v>
      </c>
    </row>
    <row r="230" customFormat="false" ht="15" hidden="false" customHeight="false" outlineLevel="0" collapsed="false">
      <c r="A230" s="20" t="n">
        <v>44804</v>
      </c>
      <c r="B230" s="32" t="str">
        <f aca="false">IF(ISNUMBER('SA Data'!T230),"A","F")</f>
        <v>A</v>
      </c>
      <c r="C230" s="30" t="n">
        <f aca="false">IFERROR('SA Data'!R230,"")</f>
        <v>121.473923594516</v>
      </c>
      <c r="D230" s="30" t="n">
        <f aca="false">IFERROR('SA Data'!S230,"")</f>
        <v>132.608216601993</v>
      </c>
      <c r="E230" s="30" t="n">
        <f aca="false">IFERROR('SA Data'!T230,"")</f>
        <v>162.595565868477</v>
      </c>
      <c r="F230" s="23" t="n">
        <f aca="false">IFERROR(C230*'Weights &amp; Assumptions'!$B$25/'Weights &amp; Assumptions'!$B$28+D230*'Weights &amp; Assumptions'!$B$26/'Weights &amp; Assumptions'!$B$28+E230*'Weights &amp; Assumptions'!$B$27/'Weights &amp; Assumptions'!$B$28,"")</f>
        <v>151.171265866405</v>
      </c>
      <c r="G230" s="31" t="n">
        <f aca="false">IFERROR((F230/F229-1)*100,"")</f>
        <v>0.626187066035744</v>
      </c>
      <c r="H230" s="31" t="n">
        <f aca="false">IFERROR((F230/F218-1)*100,"")</f>
        <v>6.05131383583613</v>
      </c>
      <c r="I230" s="31" t="n">
        <f aca="false">IFERROR((C230/C229-1)*100,"")</f>
        <v>2.66565256583564</v>
      </c>
      <c r="J230" s="31" t="n">
        <f aca="false">IFERROR((D230/D229-1)*100,"")</f>
        <v>1.15140909317519</v>
      </c>
      <c r="K230" s="31" t="n">
        <f aca="false">IFERROR((E230/E229-1)*100,"")</f>
        <v>0.260525628652908</v>
      </c>
    </row>
    <row r="231" customFormat="false" ht="15" hidden="false" customHeight="false" outlineLevel="0" collapsed="false">
      <c r="A231" s="20" t="n">
        <v>44834</v>
      </c>
      <c r="B231" s="32" t="str">
        <f aca="false">IF(ISNUMBER('SA Data'!T231),"A","F")</f>
        <v>A</v>
      </c>
      <c r="C231" s="30" t="n">
        <f aca="false">IFERROR('SA Data'!R231,"")</f>
        <v>122.366161030829</v>
      </c>
      <c r="D231" s="30" t="n">
        <f aca="false">IFERROR('SA Data'!S231,"")</f>
        <v>132.580664702468</v>
      </c>
      <c r="E231" s="30" t="n">
        <f aca="false">IFERROR('SA Data'!T231,"")</f>
        <v>162.169072209826</v>
      </c>
      <c r="F231" s="23" t="n">
        <f aca="false">IFERROR(C231*'Weights &amp; Assumptions'!$B$25/'Weights &amp; Assumptions'!$B$28+D231*'Weights &amp; Assumptions'!$B$26/'Weights &amp; Assumptions'!$B$28+E231*'Weights &amp; Assumptions'!$B$27/'Weights &amp; Assumptions'!$B$28,"")</f>
        <v>150.961500426599</v>
      </c>
      <c r="G231" s="31" t="n">
        <f aca="false">IFERROR((F231/F230-1)*100,"")</f>
        <v>-0.138760126538418</v>
      </c>
      <c r="H231" s="31" t="n">
        <f aca="false">IFERROR((F231/F219-1)*100,"")</f>
        <v>3.98452612698732</v>
      </c>
      <c r="I231" s="31" t="n">
        <f aca="false">IFERROR((C231/C230-1)*100,"")</f>
        <v>0.734509440306996</v>
      </c>
      <c r="J231" s="31" t="n">
        <f aca="false">IFERROR((D231/D230-1)*100,"")</f>
        <v>-0.0207769173212746</v>
      </c>
      <c r="K231" s="31" t="n">
        <f aca="false">IFERROR((E231/E230-1)*100,"")</f>
        <v>-0.262303376093709</v>
      </c>
    </row>
    <row r="232" customFormat="false" ht="15" hidden="false" customHeight="false" outlineLevel="0" collapsed="false">
      <c r="A232" s="20" t="n">
        <v>44865</v>
      </c>
      <c r="B232" s="32" t="str">
        <f aca="false">IF(ISNUMBER('SA Data'!T232),"A","F")</f>
        <v>A</v>
      </c>
      <c r="C232" s="30" t="n">
        <f aca="false">IFERROR('SA Data'!R232,"")</f>
        <v>109.533728432836</v>
      </c>
      <c r="D232" s="30" t="n">
        <f aca="false">IFERROR('SA Data'!S232,"")</f>
        <v>126.864530740007</v>
      </c>
      <c r="E232" s="30" t="n">
        <f aca="false">IFERROR('SA Data'!T232,"")</f>
        <v>159.375010687025</v>
      </c>
      <c r="F232" s="23" t="n">
        <f aca="false">IFERROR(C232*'Weights &amp; Assumptions'!$B$25/'Weights &amp; Assumptions'!$B$28+D232*'Weights &amp; Assumptions'!$B$26/'Weights &amp; Assumptions'!$B$28+E232*'Weights &amp; Assumptions'!$B$27/'Weights &amp; Assumptions'!$B$28,"")</f>
        <v>146.548181111724</v>
      </c>
      <c r="G232" s="31" t="n">
        <f aca="false">IFERROR((F232/F231-1)*100,"")</f>
        <v>-2.92347340375077</v>
      </c>
      <c r="H232" s="31" t="n">
        <f aca="false">IFERROR((F232/F220-1)*100,"")</f>
        <v>2.83062067463591</v>
      </c>
      <c r="I232" s="31" t="n">
        <f aca="false">IFERROR((C232/C231-1)*100,"")</f>
        <v>-10.4869127950824</v>
      </c>
      <c r="J232" s="31" t="n">
        <f aca="false">IFERROR((D232/D231-1)*100,"")</f>
        <v>-4.31143860629262</v>
      </c>
      <c r="K232" s="31" t="n">
        <f aca="false">IFERROR((E232/E231-1)*100,"")</f>
        <v>-1.72293118825135</v>
      </c>
    </row>
    <row r="233" customFormat="false" ht="15" hidden="false" customHeight="false" outlineLevel="0" collapsed="false">
      <c r="A233" s="20" t="n">
        <v>44895</v>
      </c>
      <c r="B233" s="32" t="str">
        <f aca="false">IF(ISNUMBER('SA Data'!T233),"A","F")</f>
        <v>A</v>
      </c>
      <c r="C233" s="30" t="n">
        <f aca="false">IFERROR('SA Data'!R233,"")</f>
        <v>109.2333681444</v>
      </c>
      <c r="D233" s="30" t="n">
        <f aca="false">IFERROR('SA Data'!S233,"")</f>
        <v>130.906673541978</v>
      </c>
      <c r="E233" s="30" t="n">
        <f aca="false">IFERROR('SA Data'!T233,"")</f>
        <v>160.860442017909</v>
      </c>
      <c r="F233" s="23" t="n">
        <f aca="false">IFERROR(C233*'Weights &amp; Assumptions'!$B$25/'Weights &amp; Assumptions'!$B$28+D233*'Weights &amp; Assumptions'!$B$26/'Weights &amp; Assumptions'!$B$28+E233*'Weights &amp; Assumptions'!$B$27/'Weights &amp; Assumptions'!$B$28,"")</f>
        <v>148.563657280835</v>
      </c>
      <c r="G233" s="31" t="n">
        <f aca="false">IFERROR((F233/F232-1)*100,"")</f>
        <v>1.37529934102312</v>
      </c>
      <c r="H233" s="31" t="n">
        <f aca="false">IFERROR((F233/F221-1)*100,"")</f>
        <v>1.21919015991259</v>
      </c>
      <c r="I233" s="31" t="n">
        <f aca="false">IFERROR((C233/C232-1)*100,"")</f>
        <v>-0.274217168294433</v>
      </c>
      <c r="J233" s="31" t="n">
        <f aca="false">IFERROR((D233/D232-1)*100,"")</f>
        <v>3.18618827373871</v>
      </c>
      <c r="K233" s="31" t="n">
        <f aca="false">IFERROR((E233/E232-1)*100,"")</f>
        <v>0.932035282370425</v>
      </c>
    </row>
    <row r="234" customFormat="false" ht="15" hidden="false" customHeight="false" outlineLevel="0" collapsed="false">
      <c r="A234" s="20" t="n">
        <v>44926</v>
      </c>
      <c r="B234" s="32" t="str">
        <f aca="false">IF(ISNUMBER('SA Data'!T234),"A","F")</f>
        <v>A</v>
      </c>
      <c r="C234" s="30" t="n">
        <f aca="false">IFERROR('SA Data'!R234,"")</f>
        <v>106.642354480152</v>
      </c>
      <c r="D234" s="30" t="n">
        <f aca="false">IFERROR('SA Data'!S234,"")</f>
        <v>130.028963019288</v>
      </c>
      <c r="E234" s="30" t="n">
        <f aca="false">IFERROR('SA Data'!T234,"")</f>
        <v>160.617914106576</v>
      </c>
      <c r="F234" s="23" t="n">
        <f aca="false">IFERROR(C234*'Weights &amp; Assumptions'!$B$25/'Weights &amp; Assumptions'!$B$28+D234*'Weights &amp; Assumptions'!$B$26/'Weights &amp; Assumptions'!$B$28+E234*'Weights &amp; Assumptions'!$B$27/'Weights &amp; Assumptions'!$B$28,"")</f>
        <v>147.955183308591</v>
      </c>
      <c r="G234" s="31" t="n">
        <f aca="false">IFERROR((F234/F233-1)*100,"")</f>
        <v>-0.409571212354765</v>
      </c>
      <c r="H234" s="31" t="n">
        <f aca="false">IFERROR((F234/F222-1)*100,"")</f>
        <v>-1.69046565363233</v>
      </c>
      <c r="I234" s="31" t="n">
        <f aca="false">IFERROR((C234/C233-1)*100,"")</f>
        <v>-2.37199832639351</v>
      </c>
      <c r="J234" s="31" t="n">
        <f aca="false">IFERROR((D234/D233-1)*100,"")</f>
        <v>-0.670485697132395</v>
      </c>
      <c r="K234" s="31" t="n">
        <f aca="false">IFERROR((E234/E233-1)*100,"")</f>
        <v>-0.150769143918328</v>
      </c>
    </row>
    <row r="235" customFormat="false" ht="15" hidden="false" customHeight="false" outlineLevel="0" collapsed="false">
      <c r="A235" s="20" t="n">
        <v>44957</v>
      </c>
      <c r="B235" s="32" t="str">
        <f aca="false">IF(ISNUMBER('SA Data'!T235),"A","F")</f>
        <v>A</v>
      </c>
      <c r="C235" s="30" t="n">
        <f aca="false">IFERROR('SA Data'!R235,"")</f>
        <v>114.758265212799</v>
      </c>
      <c r="D235" s="30" t="n">
        <f aca="false">IFERROR('SA Data'!S235,"")</f>
        <v>131.220975641308</v>
      </c>
      <c r="E235" s="30" t="n">
        <f aca="false">IFERROR('SA Data'!T235,"")</f>
        <v>161.196969521319</v>
      </c>
      <c r="F235" s="23" t="n">
        <f aca="false">IFERROR(C235*'Weights &amp; Assumptions'!$B$25/'Weights &amp; Assumptions'!$B$28+D235*'Weights &amp; Assumptions'!$B$26/'Weights &amp; Assumptions'!$B$28+E235*'Weights &amp; Assumptions'!$B$27/'Weights &amp; Assumptions'!$B$28,"")</f>
        <v>149.329583185318</v>
      </c>
      <c r="G235" s="31" t="n">
        <f aca="false">IFERROR((F235/F234-1)*100,"")</f>
        <v>0.928929859699545</v>
      </c>
      <c r="H235" s="31" t="n">
        <f aca="false">IFERROR((F235/F223-1)*100,"")</f>
        <v>1.90351525913961</v>
      </c>
      <c r="I235" s="31" t="n">
        <f aca="false">IFERROR((C235/C234-1)*100,"")</f>
        <v>7.61040092579468</v>
      </c>
      <c r="J235" s="31" t="n">
        <f aca="false">IFERROR((D235/D234-1)*100,"")</f>
        <v>0.916728545965651</v>
      </c>
      <c r="K235" s="31" t="n">
        <f aca="false">IFERROR((E235/E234-1)*100,"")</f>
        <v>0.360517329567056</v>
      </c>
    </row>
    <row r="236" customFormat="false" ht="15" hidden="false" customHeight="false" outlineLevel="0" collapsed="false">
      <c r="A236" s="20" t="n">
        <v>44985</v>
      </c>
      <c r="B236" s="32" t="str">
        <f aca="false">IF(ISNUMBER('SA Data'!T236),"A","F")</f>
        <v>A</v>
      </c>
      <c r="C236" s="30" t="n">
        <f aca="false">IFERROR('SA Data'!R236,"")</f>
        <v>115.899237197798</v>
      </c>
      <c r="D236" s="30" t="n">
        <f aca="false">IFERROR('SA Data'!S236,"")</f>
        <v>128.598615393092</v>
      </c>
      <c r="E236" s="30" t="n">
        <f aca="false">IFERROR('SA Data'!T236,"")</f>
        <v>159.850678966666</v>
      </c>
      <c r="F236" s="23" t="n">
        <f aca="false">IFERROR(C236*'Weights &amp; Assumptions'!$B$25/'Weights &amp; Assumptions'!$B$28+D236*'Weights &amp; Assumptions'!$B$26/'Weights &amp; Assumptions'!$B$28+E236*'Weights &amp; Assumptions'!$B$27/'Weights &amp; Assumptions'!$B$28,"")</f>
        <v>147.852646805523</v>
      </c>
      <c r="G236" s="31" t="n">
        <f aca="false">IFERROR((F236/F235-1)*100,"")</f>
        <v>-0.989044734667521</v>
      </c>
      <c r="H236" s="31" t="n">
        <f aca="false">IFERROR((F236/F224-1)*100,"")</f>
        <v>-0.287102079675283</v>
      </c>
      <c r="I236" s="31" t="n">
        <f aca="false">IFERROR((C236/C235-1)*100,"")</f>
        <v>0.994239484959114</v>
      </c>
      <c r="J236" s="31" t="n">
        <f aca="false">IFERROR((D236/D235-1)*100,"")</f>
        <v>-1.99843068945396</v>
      </c>
      <c r="K236" s="31" t="n">
        <f aca="false">IFERROR((E236/E235-1)*100,"")</f>
        <v>-0.835183538903583</v>
      </c>
    </row>
    <row r="237" customFormat="false" ht="15" hidden="false" customHeight="false" outlineLevel="0" collapsed="false">
      <c r="A237" s="20" t="n">
        <v>45016</v>
      </c>
      <c r="B237" s="32" t="str">
        <f aca="false">IF(ISNUMBER('SA Data'!T237),"A","F")</f>
        <v>A</v>
      </c>
      <c r="C237" s="30" t="n">
        <f aca="false">IFERROR('SA Data'!R237,"")</f>
        <v>106.145846098552</v>
      </c>
      <c r="D237" s="30" t="n">
        <f aca="false">IFERROR('SA Data'!S237,"")</f>
        <v>140.192636582435</v>
      </c>
      <c r="E237" s="30" t="n">
        <f aca="false">IFERROR('SA Data'!T237,"")</f>
        <v>164.985902891068</v>
      </c>
      <c r="F237" s="23" t="n">
        <f aca="false">IFERROR(C237*'Weights &amp; Assumptions'!$B$25/'Weights &amp; Assumptions'!$B$28+D237*'Weights &amp; Assumptions'!$B$26/'Weights &amp; Assumptions'!$B$28+E237*'Weights &amp; Assumptions'!$B$27/'Weights &amp; Assumptions'!$B$28,"")</f>
        <v>153.456210555245</v>
      </c>
      <c r="G237" s="31" t="n">
        <f aca="false">IFERROR((F237/F236-1)*100,"")</f>
        <v>3.78996512459657</v>
      </c>
      <c r="H237" s="31" t="n">
        <f aca="false">IFERROR((F237/F225-1)*100,"")</f>
        <v>1.53084870178495</v>
      </c>
      <c r="I237" s="31" t="n">
        <f aca="false">IFERROR((C237/C236-1)*100,"")</f>
        <v>-8.41540577407003</v>
      </c>
      <c r="J237" s="31" t="n">
        <f aca="false">IFERROR((D237/D236-1)*100,"")</f>
        <v>9.01566564609098</v>
      </c>
      <c r="K237" s="31" t="n">
        <f aca="false">IFERROR((E237/E236-1)*100,"")</f>
        <v>3.21251305130417</v>
      </c>
    </row>
    <row r="238" customFormat="false" ht="15" hidden="false" customHeight="false" outlineLevel="0" collapsed="false">
      <c r="A238" s="20" t="n">
        <v>45046</v>
      </c>
      <c r="B238" s="32" t="str">
        <f aca="false">IF(ISNUMBER('SA Data'!T238),"A","F")</f>
        <v>A</v>
      </c>
      <c r="C238" s="30" t="n">
        <f aca="false">IFERROR('SA Data'!R238,"")</f>
        <v>76.374470934686</v>
      </c>
      <c r="D238" s="30" t="n">
        <f aca="false">IFERROR('SA Data'!S238,"")</f>
        <v>140.905969344912</v>
      </c>
      <c r="E238" s="30" t="n">
        <f aca="false">IFERROR('SA Data'!T238,"")</f>
        <v>166.549225329289</v>
      </c>
      <c r="F238" s="23" t="n">
        <f aca="false">IFERROR(C238*'Weights &amp; Assumptions'!$B$25/'Weights &amp; Assumptions'!$B$28+D238*'Weights &amp; Assumptions'!$B$26/'Weights &amp; Assumptions'!$B$28+E238*'Weights &amp; Assumptions'!$B$27/'Weights &amp; Assumptions'!$B$28,"")</f>
        <v>152.164498685427</v>
      </c>
      <c r="G238" s="31" t="n">
        <f aca="false">IFERROR((F238/F237-1)*100,"")</f>
        <v>-0.841746231803964</v>
      </c>
      <c r="H238" s="31" t="n">
        <f aca="false">IFERROR((F238/F226-1)*100,"")</f>
        <v>-2.06769215979944</v>
      </c>
      <c r="I238" s="31" t="n">
        <f aca="false">IFERROR((C238/C237-1)*100,"")</f>
        <v>-28.0476120904668</v>
      </c>
      <c r="J238" s="31" t="n">
        <f aca="false">IFERROR((D238/D237-1)*100,"")</f>
        <v>0.508823273365611</v>
      </c>
      <c r="K238" s="31" t="n">
        <f aca="false">IFERROR((E238/E237-1)*100,"")</f>
        <v>0.947549100151224</v>
      </c>
    </row>
    <row r="239" customFormat="false" ht="15" hidden="false" customHeight="false" outlineLevel="0" collapsed="false">
      <c r="A239" s="20" t="n">
        <v>45077</v>
      </c>
      <c r="B239" s="32" t="str">
        <f aca="false">IF(ISNUMBER('SA Data'!T239),"A","F")</f>
        <v>A</v>
      </c>
      <c r="C239" s="30" t="n">
        <f aca="false">IFERROR('SA Data'!R239,"")</f>
        <v>65.5113687929267</v>
      </c>
      <c r="D239" s="30" t="n">
        <f aca="false">IFERROR('SA Data'!S239,"")</f>
        <v>137.510800204932</v>
      </c>
      <c r="E239" s="30" t="n">
        <f aca="false">IFERROR('SA Data'!T239,"")</f>
        <v>166.049980408189</v>
      </c>
      <c r="F239" s="23" t="n">
        <f aca="false">IFERROR(C239*'Weights &amp; Assumptions'!$B$25/'Weights &amp; Assumptions'!$B$28+D239*'Weights &amp; Assumptions'!$B$26/'Weights &amp; Assumptions'!$B$28+E239*'Weights &amp; Assumptions'!$B$27/'Weights &amp; Assumptions'!$B$28,"")</f>
        <v>150.025640682447</v>
      </c>
      <c r="G239" s="31" t="n">
        <f aca="false">IFERROR((F239/F238-1)*100,"")</f>
        <v>-1.40562221901823</v>
      </c>
      <c r="H239" s="31" t="n">
        <f aca="false">IFERROR((F239/F227-1)*100,"")</f>
        <v>-2.58348146788346</v>
      </c>
      <c r="I239" s="31" t="n">
        <f aca="false">IFERROR((C239/C238-1)*100,"")</f>
        <v>-14.2234728552807</v>
      </c>
      <c r="J239" s="31" t="n">
        <f aca="false">IFERROR((D239/D238-1)*100,"")</f>
        <v>-2.40952825190003</v>
      </c>
      <c r="K239" s="31" t="n">
        <f aca="false">IFERROR((E239/E238-1)*100,"")</f>
        <v>-0.29975817666672</v>
      </c>
    </row>
    <row r="240" customFormat="false" ht="15" hidden="false" customHeight="false" outlineLevel="0" collapsed="false">
      <c r="A240" s="20" t="n">
        <v>45107</v>
      </c>
      <c r="B240" s="32" t="str">
        <f aca="false">IF(ISNUMBER('SA Data'!T240),"A","F")</f>
        <v>A</v>
      </c>
      <c r="C240" s="30" t="n">
        <f aca="false">IFERROR('SA Data'!R240,"")</f>
        <v>73.4454697712109</v>
      </c>
      <c r="D240" s="30" t="n">
        <f aca="false">IFERROR('SA Data'!S240,"")</f>
        <v>134.114973065434</v>
      </c>
      <c r="E240" s="30" t="n">
        <f aca="false">IFERROR('SA Data'!T240,"")</f>
        <v>166.564095625344</v>
      </c>
      <c r="F240" s="23" t="n">
        <f aca="false">IFERROR(C240*'Weights &amp; Assumptions'!$B$25/'Weights &amp; Assumptions'!$B$28+D240*'Weights &amp; Assumptions'!$B$26/'Weights &amp; Assumptions'!$B$28+E240*'Weights &amp; Assumptions'!$B$27/'Weights &amp; Assumptions'!$B$28,"")</f>
        <v>150.122576907708</v>
      </c>
      <c r="G240" s="31" t="n">
        <f aca="false">IFERROR((F240/F239-1)*100,"")</f>
        <v>0.0646131053464005</v>
      </c>
      <c r="H240" s="31" t="n">
        <f aca="false">IFERROR((F240/F228-1)*100,"")</f>
        <v>-3.44227964852287</v>
      </c>
      <c r="I240" s="31" t="n">
        <f aca="false">IFERROR((C240/C239-1)*100,"")</f>
        <v>12.111029161004</v>
      </c>
      <c r="J240" s="31" t="n">
        <f aca="false">IFERROR((D240/D239-1)*100,"")</f>
        <v>-2.46949849352748</v>
      </c>
      <c r="K240" s="31" t="n">
        <f aca="false">IFERROR((E240/E239-1)*100,"")</f>
        <v>0.309614741230901</v>
      </c>
    </row>
    <row r="241" customFormat="false" ht="15" hidden="false" customHeight="false" outlineLevel="0" collapsed="false">
      <c r="A241" s="20" t="n">
        <v>45138</v>
      </c>
      <c r="B241" s="32" t="str">
        <f aca="false">IF(ISNUMBER('SA Data'!T241),"A","F")</f>
        <v>A</v>
      </c>
      <c r="C241" s="30" t="n">
        <f aca="false">IFERROR('SA Data'!R241,"")</f>
        <v>103.316131718908</v>
      </c>
      <c r="D241" s="30" t="n">
        <f aca="false">IFERROR('SA Data'!S241,"")</f>
        <v>129.061255408337</v>
      </c>
      <c r="E241" s="30" t="n">
        <f aca="false">IFERROR('SA Data'!T241,"")</f>
        <v>163.284014078458</v>
      </c>
      <c r="F241" s="23" t="n">
        <f aca="false">IFERROR(C241*'Weights &amp; Assumptions'!$B$25/'Weights &amp; Assumptions'!$B$28+D241*'Weights &amp; Assumptions'!$B$26/'Weights &amp; Assumptions'!$B$28+E241*'Weights &amp; Assumptions'!$B$27/'Weights &amp; Assumptions'!$B$28,"")</f>
        <v>149.152229504138</v>
      </c>
      <c r="G241" s="31" t="n">
        <f aca="false">IFERROR((F241/F240-1)*100,"")</f>
        <v>-0.646370068751589</v>
      </c>
      <c r="H241" s="31" t="n">
        <f aca="false">IFERROR((F241/F229-1)*100,"")</f>
        <v>-0.717771585882687</v>
      </c>
      <c r="I241" s="31" t="n">
        <f aca="false">IFERROR((C241/C240-1)*100,"")</f>
        <v>40.6705301780308</v>
      </c>
      <c r="J241" s="31" t="n">
        <f aca="false">IFERROR((D241/D240-1)*100,"")</f>
        <v>-3.76819794358919</v>
      </c>
      <c r="K241" s="31" t="n">
        <f aca="false">IFERROR((E241/E240-1)*100,"")</f>
        <v>-1.96926086295541</v>
      </c>
    </row>
    <row r="242" customFormat="false" ht="15" hidden="false" customHeight="false" outlineLevel="0" collapsed="false">
      <c r="A242" s="20" t="n">
        <v>45169</v>
      </c>
      <c r="B242" s="32" t="str">
        <f aca="false">IF(ISNUMBER('SA Data'!T242),"A","F")</f>
        <v>A</v>
      </c>
      <c r="C242" s="30" t="n">
        <f aca="false">IFERROR('SA Data'!R242,"")</f>
        <v>118.976592151031</v>
      </c>
      <c r="D242" s="30" t="n">
        <f aca="false">IFERROR('SA Data'!S242,"")</f>
        <v>131.877962354979</v>
      </c>
      <c r="E242" s="30" t="n">
        <f aca="false">IFERROR('SA Data'!T242,"")</f>
        <v>165.210625470605</v>
      </c>
      <c r="F242" s="23" t="n">
        <f aca="false">IFERROR(C242*'Weights &amp; Assumptions'!$B$25/'Weights &amp; Assumptions'!$B$28+D242*'Weights &amp; Assumptions'!$B$26/'Weights &amp; Assumptions'!$B$28+E242*'Weights &amp; Assumptions'!$B$27/'Weights &amp; Assumptions'!$B$28,"")</f>
        <v>152.467814216301</v>
      </c>
      <c r="G242" s="31" t="n">
        <f aca="false">IFERROR((F242/F241-1)*100,"")</f>
        <v>2.22295350407153</v>
      </c>
      <c r="H242" s="31" t="n">
        <f aca="false">IFERROR((F242/F230-1)*100,"")</f>
        <v>0.857668514227927</v>
      </c>
      <c r="I242" s="31" t="n">
        <f aca="false">IFERROR((C242/C241-1)*100,"")</f>
        <v>15.1578075674864</v>
      </c>
      <c r="J242" s="31" t="n">
        <f aca="false">IFERROR((D242/D241-1)*100,"")</f>
        <v>2.18245742126855</v>
      </c>
      <c r="K242" s="31" t="n">
        <f aca="false">IFERROR((E242/E241-1)*100,"")</f>
        <v>1.17991427576041</v>
      </c>
    </row>
    <row r="243" customFormat="false" ht="15" hidden="false" customHeight="false" outlineLevel="0" collapsed="false">
      <c r="A243" s="20" t="n">
        <v>45199</v>
      </c>
      <c r="B243" s="32" t="str">
        <f aca="false">IF(ISNUMBER('SA Data'!T243),"A","F")</f>
        <v>A</v>
      </c>
      <c r="C243" s="30" t="n">
        <f aca="false">IFERROR('SA Data'!R243,"")</f>
        <v>120.834110258561</v>
      </c>
      <c r="D243" s="30" t="n">
        <f aca="false">IFERROR('SA Data'!S243,"")</f>
        <v>130.19773779108</v>
      </c>
      <c r="E243" s="30" t="n">
        <f aca="false">IFERROR('SA Data'!T243,"")</f>
        <v>163.643871503998</v>
      </c>
      <c r="F243" s="23" t="n">
        <f aca="false">IFERROR(C243*'Weights &amp; Assumptions'!$B$25/'Weights &amp; Assumptions'!$B$28+D243*'Weights &amp; Assumptions'!$B$26/'Weights &amp; Assumptions'!$B$28+E243*'Weights &amp; Assumptions'!$B$27/'Weights &amp; Assumptions'!$B$28,"")</f>
        <v>151.158185712444</v>
      </c>
      <c r="G243" s="31" t="n">
        <f aca="false">IFERROR((F243/F242-1)*100,"")</f>
        <v>-0.858954075381757</v>
      </c>
      <c r="H243" s="31" t="n">
        <f aca="false">IFERROR((F243/F231-1)*100,"")</f>
        <v>0.130288375042431</v>
      </c>
      <c r="I243" s="31" t="n">
        <f aca="false">IFERROR((C243/C242-1)*100,"")</f>
        <v>1.56124669058633</v>
      </c>
      <c r="J243" s="31" t="n">
        <f aca="false">IFERROR((D243/D242-1)*100,"")</f>
        <v>-1.27407531470358</v>
      </c>
      <c r="K243" s="31" t="n">
        <f aca="false">IFERROR((E243/E242-1)*100,"")</f>
        <v>-0.94833728892687</v>
      </c>
    </row>
    <row r="244" customFormat="false" ht="15" hidden="false" customHeight="false" outlineLevel="0" collapsed="false">
      <c r="A244" s="20" t="n">
        <v>45230</v>
      </c>
      <c r="B244" s="32" t="str">
        <f aca="false">IF(ISNUMBER('SA Data'!T244),"A","F")</f>
        <v>A</v>
      </c>
      <c r="C244" s="30" t="n">
        <f aca="false">IFERROR('SA Data'!R244,"")</f>
        <v>114.035048167104</v>
      </c>
      <c r="D244" s="30" t="n">
        <f aca="false">IFERROR('SA Data'!S244,"")</f>
        <v>127.153347061245</v>
      </c>
      <c r="E244" s="30" t="n">
        <f aca="false">IFERROR('SA Data'!T244,"")</f>
        <v>161.929105758544</v>
      </c>
      <c r="F244" s="23" t="n">
        <f aca="false">IFERROR(C244*'Weights &amp; Assumptions'!$B$25/'Weights &amp; Assumptions'!$B$28+D244*'Weights &amp; Assumptions'!$B$26/'Weights &amp; Assumptions'!$B$28+E244*'Weights &amp; Assumptions'!$B$27/'Weights &amp; Assumptions'!$B$28,"")</f>
        <v>148.663272762962</v>
      </c>
      <c r="G244" s="31" t="n">
        <f aca="false">IFERROR((F244/F243-1)*100,"")</f>
        <v>-1.65053115563866</v>
      </c>
      <c r="H244" s="31" t="n">
        <f aca="false">IFERROR((F244/F232-1)*100,"")</f>
        <v>1.44327390158852</v>
      </c>
      <c r="I244" s="31" t="n">
        <f aca="false">IFERROR((C244/C243-1)*100,"")</f>
        <v>-5.6267738281089</v>
      </c>
      <c r="J244" s="31" t="n">
        <f aca="false">IFERROR((D244/D243-1)*100,"")</f>
        <v>-2.33828235535072</v>
      </c>
      <c r="K244" s="31" t="n">
        <f aca="false">IFERROR((E244/E243-1)*100,"")</f>
        <v>-1.04786432250351</v>
      </c>
    </row>
    <row r="245" customFormat="false" ht="15" hidden="false" customHeight="false" outlineLevel="0" collapsed="false">
      <c r="A245" s="20" t="n">
        <v>45260</v>
      </c>
      <c r="B245" s="32" t="str">
        <f aca="false">IF(ISNUMBER('SA Data'!T245),"A","F")</f>
        <v>A</v>
      </c>
      <c r="C245" s="30" t="n">
        <f aca="false">IFERROR('SA Data'!R245,"")</f>
        <v>114.461770253004</v>
      </c>
      <c r="D245" s="30" t="n">
        <f aca="false">IFERROR('SA Data'!S245,"")</f>
        <v>127.010831379337</v>
      </c>
      <c r="E245" s="30" t="n">
        <f aca="false">IFERROR('SA Data'!T245,"")</f>
        <v>161.231006414596</v>
      </c>
      <c r="F245" s="23" t="n">
        <f aca="false">IFERROR(C245*'Weights &amp; Assumptions'!$B$25/'Weights &amp; Assumptions'!$B$28+D245*'Weights &amp; Assumptions'!$B$26/'Weights &amp; Assumptions'!$B$28+E245*'Weights &amp; Assumptions'!$B$27/'Weights &amp; Assumptions'!$B$28,"")</f>
        <v>148.207286273817</v>
      </c>
      <c r="G245" s="31" t="n">
        <f aca="false">IFERROR((F245/F244-1)*100,"")</f>
        <v>-0.306724371575373</v>
      </c>
      <c r="H245" s="31" t="n">
        <f aca="false">IFERROR((F245/F233-1)*100,"")</f>
        <v>-0.239877648101139</v>
      </c>
      <c r="I245" s="31" t="n">
        <f aca="false">IFERROR((C245/C244-1)*100,"")</f>
        <v>0.37420257434797</v>
      </c>
      <c r="J245" s="31" t="n">
        <f aca="false">IFERROR((D245/D244-1)*100,"")</f>
        <v>-0.112081738469594</v>
      </c>
      <c r="K245" s="31" t="n">
        <f aca="false">IFERROR((E245/E244-1)*100,"")</f>
        <v>-0.431114184616421</v>
      </c>
    </row>
    <row r="246" customFormat="false" ht="15" hidden="false" customHeight="false" outlineLevel="0" collapsed="false">
      <c r="A246" s="20" t="n">
        <v>45291</v>
      </c>
      <c r="B246" s="32" t="str">
        <f aca="false">IF(ISNUMBER('SA Data'!T246),"A","F")</f>
        <v>A</v>
      </c>
      <c r="C246" s="30" t="n">
        <f aca="false">IFERROR('SA Data'!R246,"")</f>
        <v>114.027525759265</v>
      </c>
      <c r="D246" s="30" t="n">
        <f aca="false">IFERROR('SA Data'!S246,"")</f>
        <v>117.398626131538</v>
      </c>
      <c r="E246" s="30" t="n">
        <f aca="false">IFERROR('SA Data'!T246,"")</f>
        <v>156.321723941782</v>
      </c>
      <c r="F246" s="23" t="n">
        <f aca="false">IFERROR(C246*'Weights &amp; Assumptions'!$B$25/'Weights &amp; Assumptions'!$B$28+D246*'Weights &amp; Assumptions'!$B$26/'Weights &amp; Assumptions'!$B$28+E246*'Weights &amp; Assumptions'!$B$27/'Weights &amp; Assumptions'!$B$28,"")</f>
        <v>142.422873894266</v>
      </c>
      <c r="G246" s="31" t="n">
        <f aca="false">IFERROR((F246/F245-1)*100,"")</f>
        <v>-3.90292037927446</v>
      </c>
      <c r="H246" s="31" t="n">
        <f aca="false">IFERROR((F246/F234-1)*100,"")</f>
        <v>-3.73917918291936</v>
      </c>
      <c r="I246" s="31" t="n">
        <f aca="false">IFERROR((C246/C245-1)*100,"")</f>
        <v>-0.379379501801658</v>
      </c>
      <c r="J246" s="31" t="n">
        <f aca="false">IFERROR((D246/D245-1)*100,"")</f>
        <v>-7.56802009986879</v>
      </c>
      <c r="K246" s="31" t="n">
        <f aca="false">IFERROR((E246/E245-1)*100,"")</f>
        <v>-3.04487491704319</v>
      </c>
    </row>
    <row r="247" customFormat="false" ht="15" hidden="false" customHeight="false" outlineLevel="0" collapsed="false">
      <c r="A247" s="20" t="n">
        <v>45322</v>
      </c>
      <c r="B247" s="32" t="str">
        <f aca="false">IF(ISNUMBER('SA Data'!T247),"A","F")</f>
        <v>A</v>
      </c>
      <c r="C247" s="30" t="n">
        <f aca="false">IFERROR('SA Data'!R247,"")</f>
        <v>120.335818655004</v>
      </c>
      <c r="D247" s="30" t="n">
        <f aca="false">IFERROR('SA Data'!S247,"")</f>
        <v>117.086472724758</v>
      </c>
      <c r="E247" s="30" t="n">
        <f aca="false">IFERROR('SA Data'!T247,"")</f>
        <v>156.540892714568</v>
      </c>
      <c r="F247" s="23" t="n">
        <f aca="false">IFERROR(C247*'Weights &amp; Assumptions'!$B$25/'Weights &amp; Assumptions'!$B$28+D247*'Weights &amp; Assumptions'!$B$26/'Weights &amp; Assumptions'!$B$28+E247*'Weights &amp; Assumptions'!$B$27/'Weights &amp; Assumptions'!$B$28,"")</f>
        <v>143.011637399557</v>
      </c>
      <c r="G247" s="31" t="n">
        <f aca="false">IFERROR((F247/F246-1)*100,"")</f>
        <v>0.41339111421641</v>
      </c>
      <c r="H247" s="31" t="n">
        <f aca="false">IFERROR((F247/F235-1)*100,"")</f>
        <v>-4.23087351547793</v>
      </c>
      <c r="I247" s="31" t="n">
        <f aca="false">IFERROR((C247/C246-1)*100,"")</f>
        <v>5.53225447429033</v>
      </c>
      <c r="J247" s="31" t="n">
        <f aca="false">IFERROR((D247/D246-1)*100,"")</f>
        <v>-0.2658918737518</v>
      </c>
      <c r="K247" s="31" t="n">
        <f aca="false">IFERROR((E247/E246-1)*100,"")</f>
        <v>0.140203656446025</v>
      </c>
    </row>
    <row r="248" customFormat="false" ht="15" hidden="false" customHeight="false" outlineLevel="0" collapsed="false">
      <c r="A248" s="20" t="n">
        <v>45351</v>
      </c>
      <c r="B248" s="32" t="str">
        <f aca="false">IF(ISNUMBER('SA Data'!T248),"A","F")</f>
        <v>A</v>
      </c>
      <c r="C248" s="30" t="n">
        <f aca="false">IFERROR('SA Data'!R248,"")</f>
        <v>117.199931482926</v>
      </c>
      <c r="D248" s="30" t="n">
        <f aca="false">IFERROR('SA Data'!S248,"")</f>
        <v>117.072282035945</v>
      </c>
      <c r="E248" s="30" t="n">
        <f aca="false">IFERROR('SA Data'!T248,"")</f>
        <v>156.876910976959</v>
      </c>
      <c r="F248" s="23" t="n">
        <f aca="false">IFERROR(C248*'Weights &amp; Assumptions'!$B$25/'Weights &amp; Assumptions'!$B$28+D248*'Weights &amp; Assumptions'!$B$26/'Weights &amp; Assumptions'!$B$28+E248*'Weights &amp; Assumptions'!$B$27/'Weights &amp; Assumptions'!$B$28,"")</f>
        <v>142.963233229049</v>
      </c>
      <c r="G248" s="31" t="n">
        <f aca="false">IFERROR((F248/F247-1)*100,"")</f>
        <v>-0.0338463158578217</v>
      </c>
      <c r="H248" s="31" t="n">
        <f aca="false">IFERROR((F248/F236-1)*100,"")</f>
        <v>-3.30695031987139</v>
      </c>
      <c r="I248" s="31" t="n">
        <f aca="false">IFERROR((C248/C247-1)*100,"")</f>
        <v>-2.60594659772014</v>
      </c>
      <c r="J248" s="31" t="n">
        <f aca="false">IFERROR((D248/D247-1)*100,"")</f>
        <v>-0.0121198362908248</v>
      </c>
      <c r="K248" s="31" t="n">
        <f aca="false">IFERROR((E248/E247-1)*100,"")</f>
        <v>0.214652067306087</v>
      </c>
    </row>
    <row r="249" customFormat="false" ht="15" hidden="false" customHeight="false" outlineLevel="0" collapsed="false">
      <c r="A249" s="20" t="n">
        <v>45382</v>
      </c>
      <c r="B249" s="32" t="str">
        <f aca="false">IF(ISNUMBER('SA Data'!T249),"A","F")</f>
        <v>A</v>
      </c>
      <c r="C249" s="30" t="n">
        <f aca="false">IFERROR('SA Data'!R249,"")</f>
        <v>117.67968365246</v>
      </c>
      <c r="D249" s="30" t="n">
        <f aca="false">IFERROR('SA Data'!S249,"")</f>
        <v>112.926434788099</v>
      </c>
      <c r="E249" s="30" t="n">
        <f aca="false">IFERROR('SA Data'!T249,"")</f>
        <v>156.042378693566</v>
      </c>
      <c r="F249" s="23" t="n">
        <f aca="false">IFERROR(C249*'Weights &amp; Assumptions'!$B$25/'Weights &amp; Assumptions'!$B$28+D249*'Weights &amp; Assumptions'!$B$26/'Weights &amp; Assumptions'!$B$28+E249*'Weights &amp; Assumptions'!$B$27/'Weights &amp; Assumptions'!$B$28,"")</f>
        <v>141.358434013357</v>
      </c>
      <c r="G249" s="31" t="n">
        <f aca="false">IFERROR((F249/F248-1)*100,"")</f>
        <v>-1.12252582670731</v>
      </c>
      <c r="H249" s="31" t="n">
        <f aca="false">IFERROR((F249/F237-1)*100,"")</f>
        <v>-7.88353661159411</v>
      </c>
      <c r="I249" s="31" t="n">
        <f aca="false">IFERROR((C249/C248-1)*100,"")</f>
        <v>0.40934509386108</v>
      </c>
      <c r="J249" s="31" t="n">
        <f aca="false">IFERROR((D249/D248-1)*100,"")</f>
        <v>-3.54127140579111</v>
      </c>
      <c r="K249" s="31" t="n">
        <f aca="false">IFERROR((E249/E248-1)*100,"")</f>
        <v>-0.53196629012926</v>
      </c>
    </row>
    <row r="250" customFormat="false" ht="15" hidden="false" customHeight="false" outlineLevel="0" collapsed="false">
      <c r="A250" s="20" t="n">
        <v>45412</v>
      </c>
      <c r="B250" s="32" t="str">
        <f aca="false">IF(ISNUMBER('SA Data'!T250),"A","F")</f>
        <v>A</v>
      </c>
      <c r="C250" s="30" t="n">
        <f aca="false">IFERROR('SA Data'!R250,"")</f>
        <v>127.251476638345</v>
      </c>
      <c r="D250" s="30" t="n">
        <f aca="false">IFERROR('SA Data'!S250,"")</f>
        <v>119.400044467277</v>
      </c>
      <c r="E250" s="30" t="n">
        <f aca="false">IFERROR('SA Data'!T250,"")</f>
        <v>160.567750109375</v>
      </c>
      <c r="F250" s="23" t="n">
        <f aca="false">IFERROR(C250*'Weights &amp; Assumptions'!$B$25/'Weights &amp; Assumptions'!$B$28+D250*'Weights &amp; Assumptions'!$B$26/'Weights &amp; Assumptions'!$B$28+E250*'Weights &amp; Assumptions'!$B$27/'Weights &amp; Assumptions'!$B$28,"")</f>
        <v>146.825274984897</v>
      </c>
      <c r="G250" s="31" t="n">
        <f aca="false">IFERROR((F250/F249-1)*100,"")</f>
        <v>3.86736101718799</v>
      </c>
      <c r="H250" s="31" t="n">
        <f aca="false">IFERROR((F250/F238-1)*100,"")</f>
        <v>-3.50884979522565</v>
      </c>
      <c r="I250" s="31" t="n">
        <f aca="false">IFERROR((C250/C249-1)*100,"")</f>
        <v>8.13376845416529</v>
      </c>
      <c r="J250" s="31" t="n">
        <f aca="false">IFERROR((D250/D249-1)*100,"")</f>
        <v>5.73259015156702</v>
      </c>
      <c r="K250" s="31" t="n">
        <f aca="false">IFERROR((E250/E249-1)*100,"")</f>
        <v>2.90009127885484</v>
      </c>
    </row>
    <row r="251" customFormat="false" ht="15" hidden="false" customHeight="false" outlineLevel="0" collapsed="false">
      <c r="A251" s="20" t="n">
        <v>45443</v>
      </c>
      <c r="B251" s="32" t="str">
        <f aca="false">IF(ISNUMBER('SA Data'!T251),"A","F")</f>
        <v>A</v>
      </c>
      <c r="C251" s="30" t="n">
        <f aca="false">IFERROR('SA Data'!R251,"")</f>
        <v>129.344785339898</v>
      </c>
      <c r="D251" s="30" t="n">
        <f aca="false">IFERROR('SA Data'!S251,"")</f>
        <v>119.004174583129</v>
      </c>
      <c r="E251" s="30" t="n">
        <f aca="false">IFERROR('SA Data'!T251,"")</f>
        <v>161.48782850227</v>
      </c>
      <c r="F251" s="23" t="n">
        <f aca="false">IFERROR(C251*'Weights &amp; Assumptions'!$B$25/'Weights &amp; Assumptions'!$B$28+D251*'Weights &amp; Assumptions'!$B$26/'Weights &amp; Assumptions'!$B$28+E251*'Weights &amp; Assumptions'!$B$27/'Weights &amp; Assumptions'!$B$28,"")</f>
        <v>147.493854742981</v>
      </c>
      <c r="G251" s="31" t="n">
        <f aca="false">IFERROR((F251/F250-1)*100,"")</f>
        <v>0.455357402294943</v>
      </c>
      <c r="H251" s="31" t="n">
        <f aca="false">IFERROR((F251/F239-1)*100,"")</f>
        <v>-1.68756882353528</v>
      </c>
      <c r="I251" s="31" t="n">
        <f aca="false">IFERROR((C251/C250-1)*100,"")</f>
        <v>1.64501721854471</v>
      </c>
      <c r="J251" s="31" t="n">
        <f aca="false">IFERROR((D251/D250-1)*100,"")</f>
        <v>-0.331549193230907</v>
      </c>
      <c r="K251" s="31" t="n">
        <f aca="false">IFERROR((E251/E250-1)*100,"")</f>
        <v>0.573015684823108</v>
      </c>
    </row>
    <row r="252" customFormat="false" ht="15" hidden="false" customHeight="false" outlineLevel="0" collapsed="false">
      <c r="A252" s="20" t="n">
        <v>45473</v>
      </c>
      <c r="B252" s="32" t="str">
        <f aca="false">IF(ISNUMBER('SA Data'!T252),"A","F")</f>
        <v>A</v>
      </c>
      <c r="C252" s="30" t="n">
        <f aca="false">IFERROR('SA Data'!R252,"")</f>
        <v>130.161987851068</v>
      </c>
      <c r="D252" s="30" t="n">
        <f aca="false">IFERROR('SA Data'!S252,"")</f>
        <v>109.360009207928</v>
      </c>
      <c r="E252" s="30" t="n">
        <f aca="false">IFERROR('SA Data'!T252,"")</f>
        <v>157.639675539243</v>
      </c>
      <c r="F252" s="23" t="n">
        <f aca="false">IFERROR(C252*'Weights &amp; Assumptions'!$B$25/'Weights &amp; Assumptions'!$B$28+D252*'Weights &amp; Assumptions'!$B$26/'Weights &amp; Assumptions'!$B$28+E252*'Weights &amp; Assumptions'!$B$27/'Weights &amp; Assumptions'!$B$28,"")</f>
        <v>142.495868040642</v>
      </c>
      <c r="G252" s="31" t="n">
        <f aca="false">IFERROR((F252/F251-1)*100,"")</f>
        <v>-3.38860673961506</v>
      </c>
      <c r="H252" s="31" t="n">
        <f aca="false">IFERROR((F252/F240-1)*100,"")</f>
        <v>-5.08032104441842</v>
      </c>
      <c r="I252" s="31" t="n">
        <f aca="false">IFERROR((C252/C251-1)*100,"")</f>
        <v>0.631801667939613</v>
      </c>
      <c r="J252" s="31" t="n">
        <f aca="false">IFERROR((D252/D251-1)*100,"")</f>
        <v>-8.10405635683288</v>
      </c>
      <c r="K252" s="31" t="n">
        <f aca="false">IFERROR((E252/E251-1)*100,"")</f>
        <v>-2.38293684342412</v>
      </c>
    </row>
    <row r="253" customFormat="false" ht="15" hidden="false" customHeight="false" outlineLevel="0" collapsed="false">
      <c r="A253" s="20" t="n">
        <v>45504</v>
      </c>
      <c r="B253" s="32" t="str">
        <f aca="false">IF(ISNUMBER('SA Data'!T253),"A","F")</f>
        <v>A</v>
      </c>
      <c r="C253" s="30" t="n">
        <f aca="false">IFERROR('SA Data'!R253,"")</f>
        <v>128.376868700153</v>
      </c>
      <c r="D253" s="30" t="n">
        <f aca="false">IFERROR('SA Data'!S253,"")</f>
        <v>120.804934944903</v>
      </c>
      <c r="E253" s="30" t="n">
        <f aca="false">IFERROR('SA Data'!T253,"")</f>
        <v>162.22022219469</v>
      </c>
      <c r="F253" s="23" t="n">
        <f aca="false">IFERROR(C253*'Weights &amp; Assumptions'!$B$25/'Weights &amp; Assumptions'!$B$28+D253*'Weights &amp; Assumptions'!$B$26/'Weights &amp; Assumptions'!$B$28+E253*'Weights &amp; Assumptions'!$B$27/'Weights &amp; Assumptions'!$B$28,"")</f>
        <v>148.367688343323</v>
      </c>
      <c r="G253" s="31" t="n">
        <f aca="false">IFERROR((F253/F252-1)*100,"")</f>
        <v>4.12069513552948</v>
      </c>
      <c r="H253" s="31" t="n">
        <f aca="false">IFERROR((F253/F241-1)*100,"")</f>
        <v>-0.526000290724782</v>
      </c>
      <c r="I253" s="31" t="n">
        <f aca="false">IFERROR((C253/C252-1)*100,"")</f>
        <v>-1.37145965606938</v>
      </c>
      <c r="J253" s="31" t="n">
        <f aca="false">IFERROR((D253/D252-1)*100,"")</f>
        <v>10.4653664715902</v>
      </c>
      <c r="K253" s="31" t="n">
        <f aca="false">IFERROR((E253/E252-1)*100,"")</f>
        <v>2.90570672629049</v>
      </c>
    </row>
    <row r="254" customFormat="false" ht="15" hidden="false" customHeight="false" outlineLevel="0" collapsed="false">
      <c r="A254" s="20" t="n">
        <v>45535</v>
      </c>
      <c r="B254" s="32" t="str">
        <f aca="false">IF(ISNUMBER('SA Data'!T254),"A","F")</f>
        <v>A</v>
      </c>
      <c r="C254" s="30" t="n">
        <f aca="false">IFERROR('SA Data'!R254,"")</f>
        <v>124.217277065181</v>
      </c>
      <c r="D254" s="30" t="n">
        <f aca="false">IFERROR('SA Data'!S254,"")</f>
        <v>121.445903916669</v>
      </c>
      <c r="E254" s="30" t="n">
        <f aca="false">IFERROR('SA Data'!T254,"")</f>
        <v>161.381921004468</v>
      </c>
      <c r="F254" s="23" t="n">
        <f aca="false">IFERROR(C254*'Weights &amp; Assumptions'!$B$25/'Weights &amp; Assumptions'!$B$28+D254*'Weights &amp; Assumptions'!$B$26/'Weights &amp; Assumptions'!$B$28+E254*'Weights &amp; Assumptions'!$B$27/'Weights &amp; Assumptions'!$B$28,"")</f>
        <v>147.644091897023</v>
      </c>
      <c r="G254" s="31" t="n">
        <f aca="false">IFERROR((F254/F253-1)*100,"")</f>
        <v>-0.487704873197226</v>
      </c>
      <c r="H254" s="31" t="n">
        <f aca="false">IFERROR((F254/F242-1)*100,"")</f>
        <v>-3.16376432893207</v>
      </c>
      <c r="I254" s="31" t="n">
        <f aca="false">IFERROR((C254/C253-1)*100,"")</f>
        <v>-3.24014106052669</v>
      </c>
      <c r="J254" s="31" t="n">
        <f aca="false">IFERROR((D254/D253-1)*100,"")</f>
        <v>0.530581778019656</v>
      </c>
      <c r="K254" s="31" t="n">
        <f aca="false">IFERROR((E254/E253-1)*100,"")</f>
        <v>-0.516767378863059</v>
      </c>
    </row>
    <row r="255" customFormat="false" ht="15" hidden="false" customHeight="false" outlineLevel="0" collapsed="false">
      <c r="A255" s="20" t="n">
        <v>45565</v>
      </c>
      <c r="B255" s="32" t="str">
        <f aca="false">IF(ISNUMBER('SA Data'!T255),"A","F")</f>
        <v>A</v>
      </c>
      <c r="C255" s="30" t="n">
        <f aca="false">IFERROR('SA Data'!R255,"")</f>
        <v>122.938261292401</v>
      </c>
      <c r="D255" s="30" t="n">
        <f aca="false">IFERROR('SA Data'!S255,"")</f>
        <v>119.915242681294</v>
      </c>
      <c r="E255" s="30" t="n">
        <f aca="false">IFERROR('SA Data'!T255,"")</f>
        <v>160.02260152354</v>
      </c>
      <c r="F255" s="23" t="n">
        <f aca="false">IFERROR(C255*'Weights &amp; Assumptions'!$B$25/'Weights &amp; Assumptions'!$B$28+D255*'Weights &amp; Assumptions'!$B$26/'Weights &amp; Assumptions'!$B$28+E255*'Weights &amp; Assumptions'!$B$27/'Weights &amp; Assumptions'!$B$28,"")</f>
        <v>146.245947198504</v>
      </c>
      <c r="G255" s="31" t="n">
        <f aca="false">IFERROR((F255/F254-1)*100,"")</f>
        <v>-0.946969621713401</v>
      </c>
      <c r="H255" s="31" t="n">
        <f aca="false">IFERROR((F255/F243-1)*100,"")</f>
        <v>-3.24973370829256</v>
      </c>
      <c r="I255" s="31" t="n">
        <f aca="false">IFERROR((C255/C254-1)*100,"")</f>
        <v>-1.02966012699588</v>
      </c>
      <c r="J255" s="31" t="n">
        <f aca="false">IFERROR((D255/D254-1)*100,"")</f>
        <v>-1.26036464467735</v>
      </c>
      <c r="K255" s="31" t="n">
        <f aca="false">IFERROR((E255/E254-1)*100,"")</f>
        <v>-0.842299727545559</v>
      </c>
    </row>
    <row r="256" customFormat="false" ht="15" hidden="false" customHeight="false" outlineLevel="0" collapsed="false">
      <c r="A256" s="20" t="n">
        <v>45596</v>
      </c>
      <c r="B256" s="32" t="str">
        <f aca="false">IF(ISNUMBER('SA Data'!T256),"A","F")</f>
        <v>A</v>
      </c>
      <c r="C256" s="30" t="n">
        <f aca="false">IFERROR('SA Data'!R256,"")</f>
        <v>118.953654545853</v>
      </c>
      <c r="D256" s="30" t="n">
        <f aca="false">IFERROR('SA Data'!S256,"")</f>
        <v>123.055015130224</v>
      </c>
      <c r="E256" s="30" t="n">
        <f aca="false">IFERROR('SA Data'!T256,"")</f>
        <v>163.223726715062</v>
      </c>
      <c r="F256" s="23" t="n">
        <f aca="false">IFERROR(C256*'Weights &amp; Assumptions'!$B$25/'Weights &amp; Assumptions'!$B$28+D256*'Weights &amp; Assumptions'!$B$26/'Weights &amp; Assumptions'!$B$28+E256*'Weights &amp; Assumptions'!$B$27/'Weights &amp; Assumptions'!$B$28,"")</f>
        <v>148.827868734492</v>
      </c>
      <c r="G256" s="31" t="n">
        <f aca="false">IFERROR((F256/F255-1)*100,"")</f>
        <v>1.76546535849227</v>
      </c>
      <c r="H256" s="31" t="n">
        <f aca="false">IFERROR((F256/F244-1)*100,"")</f>
        <v>0.110717306615582</v>
      </c>
      <c r="I256" s="31" t="n">
        <f aca="false">IFERROR((C256/C255-1)*100,"")</f>
        <v>-3.24114454251986</v>
      </c>
      <c r="J256" s="31" t="n">
        <f aca="false">IFERROR((D256/D255-1)*100,"")</f>
        <v>2.61832639347943</v>
      </c>
      <c r="K256" s="31" t="n">
        <f aca="false">IFERROR((E256/E255-1)*100,"")</f>
        <v>2.00042066623383</v>
      </c>
    </row>
    <row r="257" customFormat="false" ht="15" hidden="false" customHeight="false" outlineLevel="0" collapsed="false">
      <c r="A257" s="20" t="n">
        <v>45626</v>
      </c>
      <c r="B257" s="32" t="str">
        <f aca="false">IF(ISNUMBER('SA Data'!T257),"A","F")</f>
        <v>A</v>
      </c>
      <c r="C257" s="30" t="n">
        <f aca="false">IFERROR('SA Data'!R257,"")</f>
        <v>119.63354492917</v>
      </c>
      <c r="D257" s="30" t="n">
        <f aca="false">IFERROR('SA Data'!S257,"")</f>
        <v>123.328874855809</v>
      </c>
      <c r="E257" s="30" t="n">
        <f aca="false">IFERROR('SA Data'!T257,"")</f>
        <v>164.110074093296</v>
      </c>
      <c r="F257" s="23" t="n">
        <f aca="false">IFERROR(C257*'Weights &amp; Assumptions'!$B$25/'Weights &amp; Assumptions'!$B$28+D257*'Weights &amp; Assumptions'!$B$26/'Weights &amp; Assumptions'!$B$28+E257*'Weights &amp; Assumptions'!$B$27/'Weights &amp; Assumptions'!$B$28,"")</f>
        <v>149.534023033165</v>
      </c>
      <c r="G257" s="31" t="n">
        <f aca="false">IFERROR((F257/F256-1)*100,"")</f>
        <v>0.474477196157963</v>
      </c>
      <c r="H257" s="31" t="n">
        <f aca="false">IFERROR((F257/F245-1)*100,"")</f>
        <v>0.895189968526378</v>
      </c>
      <c r="I257" s="31" t="n">
        <f aca="false">IFERROR((C257/C256-1)*100,"")</f>
        <v>0.571559054585347</v>
      </c>
      <c r="J257" s="31" t="n">
        <f aca="false">IFERROR((D257/D256-1)*100,"")</f>
        <v>0.222550641512487</v>
      </c>
      <c r="K257" s="31" t="n">
        <f aca="false">IFERROR((E257/E256-1)*100,"")</f>
        <v>0.543026063717966</v>
      </c>
    </row>
    <row r="258" customFormat="false" ht="15" hidden="false" customHeight="false" outlineLevel="0" collapsed="false">
      <c r="A258" s="20" t="n">
        <v>45657</v>
      </c>
      <c r="B258" s="32" t="str">
        <f aca="false">IF(ISNUMBER('SA Data'!T258),"A","F")</f>
        <v>A</v>
      </c>
      <c r="C258" s="30" t="n">
        <f aca="false">IFERROR('SA Data'!R258,"")</f>
        <v>121.486998280701</v>
      </c>
      <c r="D258" s="30" t="n">
        <f aca="false">IFERROR('SA Data'!S258,"")</f>
        <v>123.995045745282</v>
      </c>
      <c r="E258" s="30" t="n">
        <f aca="false">IFERROR('SA Data'!T258,"")</f>
        <v>164.974699199695</v>
      </c>
      <c r="F258" s="23" t="n">
        <f aca="false">IFERROR(C258*'Weights &amp; Assumptions'!$B$25/'Weights &amp; Assumptions'!$B$28+D258*'Weights &amp; Assumptions'!$B$26/'Weights &amp; Assumptions'!$B$28+E258*'Weights &amp; Assumptions'!$B$27/'Weights &amp; Assumptions'!$B$28,"")</f>
        <v>150.42883920932</v>
      </c>
      <c r="G258" s="31" t="n">
        <f aca="false">IFERROR((F258/F257-1)*100,"")</f>
        <v>0.598403064402442</v>
      </c>
      <c r="H258" s="31" t="n">
        <f aca="false">IFERROR((F258/F246-1)*100,"")</f>
        <v>5.62126370304608</v>
      </c>
      <c r="I258" s="31" t="n">
        <f aca="false">IFERROR((C258/C257-1)*100,"")</f>
        <v>1.54927562551781</v>
      </c>
      <c r="J258" s="31" t="n">
        <f aca="false">IFERROR((D258/D257-1)*100,"")</f>
        <v>0.540158085648068</v>
      </c>
      <c r="K258" s="31" t="n">
        <f aca="false">IFERROR((E258/E257-1)*100,"")</f>
        <v>0.526856813133247</v>
      </c>
    </row>
    <row r="259" customFormat="false" ht="15" hidden="false" customHeight="false" outlineLevel="0" collapsed="false">
      <c r="A259" s="20" t="n">
        <v>45688</v>
      </c>
      <c r="B259" s="32" t="str">
        <f aca="false">IF(ISNUMBER('SA Data'!T259),"A","F")</f>
        <v>A</v>
      </c>
      <c r="C259" s="30" t="n">
        <f aca="false">IFERROR('SA Data'!R259,"")</f>
        <v>121.079543006311</v>
      </c>
      <c r="D259" s="30" t="n">
        <f aca="false">IFERROR('SA Data'!S259,"")</f>
        <v>125.978942127628</v>
      </c>
      <c r="E259" s="30" t="n">
        <f aca="false">IFERROR('SA Data'!T259,"")</f>
        <v>166.497352965443</v>
      </c>
      <c r="F259" s="23" t="n">
        <f aca="false">IFERROR(C259*'Weights &amp; Assumptions'!$B$25/'Weights &amp; Assumptions'!$B$28+D259*'Weights &amp; Assumptions'!$B$26/'Weights &amp; Assumptions'!$B$28+E259*'Weights &amp; Assumptions'!$B$27/'Weights &amp; Assumptions'!$B$28,"")</f>
        <v>151.912207689183</v>
      </c>
      <c r="G259" s="31" t="n">
        <f aca="false">IFERROR((F259/F258-1)*100,"")</f>
        <v>0.986093150528622</v>
      </c>
      <c r="H259" s="31" t="n">
        <f aca="false">IFERROR((F259/F247-1)*100,"")</f>
        <v>6.22366854297225</v>
      </c>
      <c r="I259" s="31" t="n">
        <f aca="false">IFERROR((C259/C258-1)*100,"")</f>
        <v>-0.335390025398663</v>
      </c>
      <c r="J259" s="31" t="n">
        <f aca="false">IFERROR((D259/D258-1)*100,"")</f>
        <v>1.59998036245901</v>
      </c>
      <c r="K259" s="31" t="n">
        <f aca="false">IFERROR((E259/E258-1)*100,"")</f>
        <v>0.922961989404914</v>
      </c>
    </row>
    <row r="260" customFormat="false" ht="15" hidden="false" customHeight="false" outlineLevel="0" collapsed="false">
      <c r="A260" s="20" t="n">
        <v>45716</v>
      </c>
      <c r="B260" s="32" t="str">
        <f aca="false">IF(ISNUMBER('SA Data'!T260),"A","F")</f>
        <v>A</v>
      </c>
      <c r="C260" s="30" t="n">
        <f aca="false">IFERROR('SA Data'!R260,"")</f>
        <v>122.503480817932</v>
      </c>
      <c r="D260" s="30" t="n">
        <f aca="false">IFERROR('SA Data'!S260,"")</f>
        <v>125.464644319143</v>
      </c>
      <c r="E260" s="30" t="n">
        <f aca="false">IFERROR('SA Data'!T260,"")</f>
        <v>166.752731864867</v>
      </c>
      <c r="F260" s="23" t="n">
        <f aca="false">IFERROR(C260*'Weights &amp; Assumptions'!$B$25/'Weights &amp; Assumptions'!$B$28+D260*'Weights &amp; Assumptions'!$B$26/'Weights &amp; Assumptions'!$B$28+E260*'Weights &amp; Assumptions'!$B$27/'Weights &amp; Assumptions'!$B$28,"")</f>
        <v>152.06095917234</v>
      </c>
      <c r="G260" s="31" t="n">
        <f aca="false">IFERROR((F260/F259-1)*100,"")</f>
        <v>0.0979193742358442</v>
      </c>
      <c r="H260" s="31" t="n">
        <f aca="false">IFERROR((F260/F248-1)*100,"")</f>
        <v>6.36368228236319</v>
      </c>
      <c r="I260" s="31" t="n">
        <f aca="false">IFERROR((C260/C259-1)*100,"")</f>
        <v>1.17603500662904</v>
      </c>
      <c r="J260" s="31" t="n">
        <f aca="false">IFERROR((D260/D259-1)*100,"")</f>
        <v>-0.408241091566008</v>
      </c>
      <c r="K260" s="31" t="n">
        <f aca="false">IFERROR((E260/E259-1)*100,"")</f>
        <v>0.153383158876252</v>
      </c>
    </row>
    <row r="261" customFormat="false" ht="15" hidden="false" customHeight="false" outlineLevel="0" collapsed="false">
      <c r="A261" s="20" t="n">
        <v>45747</v>
      </c>
      <c r="B261" s="32" t="str">
        <f aca="false">IF(ISNUMBER('SA Data'!T261),"A","F")</f>
        <v>A</v>
      </c>
      <c r="C261" s="30" t="n">
        <f aca="false">IFERROR('SA Data'!R261,"")</f>
        <v>124.914131598365</v>
      </c>
      <c r="D261" s="30" t="n">
        <f aca="false">IFERROR('SA Data'!S261,"")</f>
        <v>118.404678456905</v>
      </c>
      <c r="E261" s="30" t="n">
        <f aca="false">IFERROR('SA Data'!T261,"")</f>
        <v>163.59676564425</v>
      </c>
      <c r="F261" s="23" t="n">
        <f aca="false">IFERROR(C261*'Weights &amp; Assumptions'!$B$25/'Weights &amp; Assumptions'!$B$28+D261*'Weights &amp; Assumptions'!$B$26/'Weights &amp; Assumptions'!$B$28+E261*'Weights &amp; Assumptions'!$B$27/'Weights &amp; Assumptions'!$B$28,"")</f>
        <v>148.333895050223</v>
      </c>
      <c r="G261" s="31" t="n">
        <f aca="false">IFERROR((F261/F260-1)*100,"")</f>
        <v>-2.45103288996912</v>
      </c>
      <c r="H261" s="31" t="n">
        <f aca="false">IFERROR((F261/F249-1)*100,"")</f>
        <v>4.93459133553131</v>
      </c>
      <c r="I261" s="31" t="n">
        <f aca="false">IFERROR((C261/C260-1)*100,"")</f>
        <v>1.96782227275283</v>
      </c>
      <c r="J261" s="31" t="n">
        <f aca="false">IFERROR((D261/D260-1)*100,"")</f>
        <v>-5.62705605276319</v>
      </c>
      <c r="K261" s="31" t="n">
        <f aca="false">IFERROR((E261/E260-1)*100,"")</f>
        <v>-1.89260240916129</v>
      </c>
    </row>
    <row r="262" customFormat="false" ht="15" hidden="false" customHeight="false" outlineLevel="0" collapsed="false">
      <c r="A262" s="20" t="n">
        <v>45777</v>
      </c>
      <c r="B262" s="32" t="str">
        <f aca="false">IF(ISNUMBER('SA Data'!T262),"A","F")</f>
        <v>A</v>
      </c>
      <c r="C262" s="30" t="n">
        <f aca="false">IFERROR('SA Data'!R262,"")</f>
        <v>136.869094493639</v>
      </c>
      <c r="D262" s="30" t="n">
        <f aca="false">IFERROR('SA Data'!S262,"")</f>
        <v>124.261407489037</v>
      </c>
      <c r="E262" s="30" t="n">
        <f aca="false">IFERROR('SA Data'!T262,"")</f>
        <v>166.73529921407</v>
      </c>
      <c r="F262" s="23" t="n">
        <f aca="false">IFERROR(C262*'Weights &amp; Assumptions'!$B$25/'Weights &amp; Assumptions'!$B$28+D262*'Weights &amp; Assumptions'!$B$26/'Weights &amp; Assumptions'!$B$28+E262*'Weights &amp; Assumptions'!$B$27/'Weights &amp; Assumptions'!$B$28,"")</f>
        <v>152.934950032782</v>
      </c>
      <c r="G262" s="31" t="n">
        <f aca="false">IFERROR((F262/F261-1)*100,"")</f>
        <v>3.10182307354701</v>
      </c>
      <c r="H262" s="31" t="n">
        <f aca="false">IFERROR((F262/F250-1)*100,"")</f>
        <v>4.16118753975647</v>
      </c>
      <c r="I262" s="31" t="n">
        <f aca="false">IFERROR((C262/C261-1)*100,"")</f>
        <v>9.57054477528063</v>
      </c>
      <c r="J262" s="31" t="n">
        <f aca="false">IFERROR((D262/D261-1)*100,"")</f>
        <v>4.94636623185734</v>
      </c>
      <c r="K262" s="31" t="n">
        <f aca="false">IFERROR((E262/E261-1)*100,"")</f>
        <v>1.91845698016089</v>
      </c>
    </row>
    <row r="263" customFormat="false" ht="15" hidden="false" customHeight="false" outlineLevel="0" collapsed="false">
      <c r="A263" s="20" t="n">
        <v>45808</v>
      </c>
      <c r="B263" s="32" t="str">
        <f aca="false">IF(ISNUMBER('SA Data'!T263),"A","F")</f>
        <v>A</v>
      </c>
      <c r="C263" s="30" t="n">
        <f aca="false">IFERROR('SA Data'!R263,"")</f>
        <v>138.715714084799</v>
      </c>
      <c r="D263" s="30" t="n">
        <f aca="false">IFERROR('SA Data'!S263,"")</f>
        <v>122.628276000926</v>
      </c>
      <c r="E263" s="30" t="n">
        <f aca="false">IFERROR('SA Data'!T263,"")</f>
        <v>166.616922080789</v>
      </c>
      <c r="F263" s="23" t="n">
        <f aca="false">IFERROR(C263*'Weights &amp; Assumptions'!$B$25/'Weights &amp; Assumptions'!$B$28+D263*'Weights &amp; Assumptions'!$B$26/'Weights &amp; Assumptions'!$B$28+E263*'Weights &amp; Assumptions'!$B$27/'Weights &amp; Assumptions'!$B$28,"")</f>
        <v>152.57863811702</v>
      </c>
      <c r="G263" s="31" t="n">
        <f aca="false">IFERROR((F263/F262-1)*100,"")</f>
        <v>-0.232982660723069</v>
      </c>
      <c r="H263" s="31" t="n">
        <f aca="false">IFERROR((F263/F251-1)*100,"")</f>
        <v>3.44745439252356</v>
      </c>
      <c r="I263" s="31" t="n">
        <f aca="false">IFERROR((C263/C262-1)*100,"")</f>
        <v>1.34918667942663</v>
      </c>
      <c r="J263" s="31" t="n">
        <f aca="false">IFERROR((D263/D262-1)*100,"")</f>
        <v>-1.31427087549684</v>
      </c>
      <c r="K263" s="31" t="n">
        <f aca="false">IFERROR((E263/E262-1)*100,"")</f>
        <v>-0.0709970437209107</v>
      </c>
    </row>
    <row r="264" customFormat="false" ht="15" hidden="false" customHeight="false" outlineLevel="0" collapsed="false">
      <c r="A264" s="20" t="n">
        <v>45838</v>
      </c>
      <c r="B264" s="32" t="str">
        <f aca="false">IF(ISNUMBER('SA Data'!T264),"A","F")</f>
        <v>A</v>
      </c>
      <c r="C264" s="30" t="n">
        <f aca="false">IFERROR('SA Data'!R264,"")</f>
        <v>136.334235617136</v>
      </c>
      <c r="D264" s="30" t="n">
        <f aca="false">IFERROR('SA Data'!S264,"")</f>
        <v>119.366687697252</v>
      </c>
      <c r="E264" s="30" t="n">
        <f aca="false">IFERROR('SA Data'!T264,"")</f>
        <v>165.923934480277</v>
      </c>
      <c r="F264" s="23" t="n">
        <f aca="false">IFERROR(C264*'Weights &amp; Assumptions'!$B$25/'Weights &amp; Assumptions'!$B$28+D264*'Weights &amp; Assumptions'!$B$26/'Weights &amp; Assumptions'!$B$28+E264*'Weights &amp; Assumptions'!$B$27/'Weights &amp; Assumptions'!$B$28,"")</f>
        <v>151.060948931883</v>
      </c>
      <c r="G264" s="31" t="n">
        <f aca="false">IFERROR((F264/F263-1)*100,"")</f>
        <v>-0.994693099811805</v>
      </c>
      <c r="H264" s="31" t="n">
        <f aca="false">IFERROR((F264/F252-1)*100,"")</f>
        <v>6.01075737073176</v>
      </c>
      <c r="I264" s="31" t="n">
        <f aca="false">IFERROR((C264/C263-1)*100,"")</f>
        <v>-1.71680510991498</v>
      </c>
      <c r="J264" s="31" t="n">
        <f aca="false">IFERROR((D264/D263-1)*100,"")</f>
        <v>-2.65973591902206</v>
      </c>
      <c r="K264" s="31" t="n">
        <f aca="false">IFERROR((E264/E263-1)*100,"")</f>
        <v>-0.415916697930296</v>
      </c>
    </row>
    <row r="265" customFormat="false" ht="15" hidden="false" customHeight="false" outlineLevel="0" collapsed="false">
      <c r="A265" s="20" t="n">
        <v>45869</v>
      </c>
      <c r="B265" s="32" t="str">
        <f aca="false">IF(ISNUMBER('SA Data'!T265),"A","F")</f>
        <v>A</v>
      </c>
      <c r="C265" s="30" t="n">
        <f aca="false">IFERROR('SA Data'!R265,"")</f>
        <v>128.19315719576</v>
      </c>
      <c r="D265" s="30" t="n">
        <f aca="false">IFERROR('SA Data'!S265,"")</f>
        <v>122.688815094666</v>
      </c>
      <c r="E265" s="30" t="n">
        <f aca="false">IFERROR('SA Data'!T265,"")</f>
        <v>166.541735608922</v>
      </c>
      <c r="F265" s="23" t="n">
        <f aca="false">IFERROR(C265*'Weights &amp; Assumptions'!$B$25/'Weights &amp; Assumptions'!$B$28+D265*'Weights &amp; Assumptions'!$B$26/'Weights &amp; Assumptions'!$B$28+E265*'Weights &amp; Assumptions'!$B$27/'Weights &amp; Assumptions'!$B$28,"")</f>
        <v>151.66300037164</v>
      </c>
      <c r="G265" s="31" t="n">
        <f aca="false">IFERROR((F265/F264-1)*100,"")</f>
        <v>0.398548694426659</v>
      </c>
      <c r="H265" s="31" t="n">
        <f aca="false">IFERROR((F265/F253-1)*100,"")</f>
        <v>2.22104426180114</v>
      </c>
      <c r="I265" s="31" t="n">
        <f aca="false">IFERROR((C265/C264-1)*100,"")</f>
        <v>-5.97141164471585</v>
      </c>
      <c r="J265" s="31" t="n">
        <f aca="false">IFERROR((D265/D264-1)*100,"")</f>
        <v>2.78312773982634</v>
      </c>
      <c r="K265" s="31" t="n">
        <f aca="false">IFERROR((E265/E264-1)*100,"")</f>
        <v>0.372339970469038</v>
      </c>
    </row>
    <row r="266" customFormat="false" ht="15" hidden="false" customHeight="false" outlineLevel="0" collapsed="false">
      <c r="A266" s="20" t="n">
        <v>45900</v>
      </c>
      <c r="B266" s="32" t="str">
        <f aca="false">IF(ISNUMBER('SA Data'!T266),"A","F")</f>
        <v>A</v>
      </c>
      <c r="C266" s="30" t="n">
        <f aca="false">IFERROR('SA Data'!R266,"")</f>
        <v>121.900363945353</v>
      </c>
      <c r="D266" s="30" t="n">
        <f aca="false">IFERROR('SA Data'!S266,"")</f>
        <v>119.216730788163</v>
      </c>
      <c r="E266" s="30" t="n">
        <f aca="false">IFERROR('SA Data'!T266,"")</f>
        <v>165.609643596274</v>
      </c>
      <c r="F266" s="23" t="n">
        <f aca="false">IFERROR(C266*'Weights &amp; Assumptions'!$B$25/'Weights &amp; Assumptions'!$B$28+D266*'Weights &amp; Assumptions'!$B$26/'Weights &amp; Assumptions'!$B$28+E266*'Weights &amp; Assumptions'!$B$27/'Weights &amp; Assumptions'!$B$28,"")</f>
        <v>149.605712744037</v>
      </c>
      <c r="G266" s="31" t="n">
        <f aca="false">IFERROR((F266/F265-1)*100,"")</f>
        <v>-1.35648617168439</v>
      </c>
      <c r="H266" s="31" t="n">
        <f aca="false">IFERROR((F266/F254-1)*100,"")</f>
        <v>1.32861452280939</v>
      </c>
      <c r="I266" s="31" t="n">
        <f aca="false">IFERROR((C266/C265-1)*100,"")</f>
        <v>-4.90883709244915</v>
      </c>
      <c r="J266" s="31" t="n">
        <f aca="false">IFERROR((D266/D265-1)*100,"")</f>
        <v>-2.82999253340519</v>
      </c>
      <c r="K266" s="31" t="n">
        <f aca="false">IFERROR((E266/E265-1)*100,"")</f>
        <v>-0.559674732126247</v>
      </c>
    </row>
    <row r="267" customFormat="false" ht="15" hidden="false" customHeight="false" outlineLevel="0" collapsed="false">
      <c r="A267" s="20" t="n">
        <v>45930</v>
      </c>
      <c r="B267" s="32" t="str">
        <f aca="false">IF(ISNUMBER('SA Data'!T267),"A","F")</f>
        <v>A</v>
      </c>
      <c r="C267" s="30" t="n">
        <f aca="false">IFERROR('SA Data'!R267,"")</f>
        <v>124.132591207767</v>
      </c>
      <c r="D267" s="30" t="n">
        <f aca="false">IFERROR('SA Data'!S267,"")</f>
        <v>121.697498816787</v>
      </c>
      <c r="E267" s="30" t="n">
        <f aca="false">IFERROR('SA Data'!T267,"")</f>
        <v>168.511182211951</v>
      </c>
      <c r="F267" s="23" t="n">
        <f aca="false">IFERROR(C267*'Weights &amp; Assumptions'!$B$25/'Weights &amp; Assumptions'!$B$28+D267*'Weights &amp; Assumptions'!$B$26/'Weights &amp; Assumptions'!$B$28+E267*'Weights &amp; Assumptions'!$B$27/'Weights &amp; Assumptions'!$B$28,"")</f>
        <v>152.339205330988</v>
      </c>
      <c r="G267" s="31" t="n">
        <f aca="false">IFERROR((F267/F266-1)*100,"")</f>
        <v>1.82713115482946</v>
      </c>
      <c r="H267" s="31" t="n">
        <f aca="false">IFERROR((F267/F255-1)*100,"")</f>
        <v>4.16644580530752</v>
      </c>
      <c r="I267" s="31" t="n">
        <f aca="false">IFERROR((C267/C266-1)*100,"")</f>
        <v>1.83118999005985</v>
      </c>
      <c r="J267" s="31" t="n">
        <f aca="false">IFERROR((D267/D266-1)*100,"")</f>
        <v>2.08088916062641</v>
      </c>
      <c r="K267" s="31" t="n">
        <f aca="false">IFERROR((E267/E266-1)*100,"")</f>
        <v>1.75203481673467</v>
      </c>
    </row>
    <row r="268" customFormat="false" ht="15" hidden="false" customHeight="false" outlineLevel="0" collapsed="false">
      <c r="A268" s="20" t="n">
        <v>45961</v>
      </c>
      <c r="B268" s="32" t="str">
        <f aca="false">IF(ISNUMBER('SA Data'!T268),"A","F")</f>
        <v>A</v>
      </c>
      <c r="C268" s="30" t="n">
        <f aca="false">IFERROR('SA Data'!R268,"")</f>
        <v>126.554076894326</v>
      </c>
      <c r="D268" s="30" t="n">
        <f aca="false">IFERROR('SA Data'!S268,"")</f>
        <v>123.527348082029</v>
      </c>
      <c r="E268" s="30" t="n">
        <f aca="false">IFERROR('SA Data'!T268,"")</f>
        <v>168.989963193893</v>
      </c>
      <c r="F268" s="23" t="n">
        <f aca="false">IFERROR(C268*'Weights &amp; Assumptions'!$B$25/'Weights &amp; Assumptions'!$B$28+D268*'Weights &amp; Assumptions'!$B$26/'Weights &amp; Assumptions'!$B$28+E268*'Weights &amp; Assumptions'!$B$27/'Weights &amp; Assumptions'!$B$28,"")</f>
        <v>153.340253511576</v>
      </c>
      <c r="G268" s="31" t="n">
        <f aca="false">IFERROR((F268/F267-1)*100,"")</f>
        <v>0.657117895825166</v>
      </c>
      <c r="H268" s="31" t="n">
        <f aca="false">IFERROR((F268/F256-1)*100,"")</f>
        <v>3.03194879793223</v>
      </c>
      <c r="I268" s="31" t="n">
        <f aca="false">IFERROR((C268/C267-1)*100,"")</f>
        <v>1.9507251584771</v>
      </c>
      <c r="J268" s="31" t="n">
        <f aca="false">IFERROR((D268/D267-1)*100,"")</f>
        <v>1.50360466158519</v>
      </c>
      <c r="K268" s="31" t="n">
        <f aca="false">IFERROR((E268/E267-1)*100,"")</f>
        <v>0.284124160578925</v>
      </c>
    </row>
    <row r="269" customFormat="false" ht="15" hidden="false" customHeight="false" outlineLevel="0" collapsed="false">
      <c r="A269" s="20" t="n">
        <v>45991</v>
      </c>
      <c r="B269" s="32" t="str">
        <f aca="false">IF(ISNUMBER('SA Data'!T269),"A","F")</f>
        <v>A</v>
      </c>
      <c r="C269" s="30" t="n">
        <f aca="false">IFERROR('SA Data'!R269,"")</f>
        <v>132.069150754299</v>
      </c>
      <c r="D269" s="30" t="n">
        <f aca="false">IFERROR('SA Data'!S269,"")</f>
        <v>116.940935010626</v>
      </c>
      <c r="E269" s="30" t="n">
        <f aca="false">IFERROR('SA Data'!T269,"")</f>
        <v>165.117068559913</v>
      </c>
      <c r="F269" s="23" t="n">
        <f aca="false">IFERROR(C269*'Weights &amp; Assumptions'!$B$25/'Weights &amp; Assumptions'!$B$28+D269*'Weights &amp; Assumptions'!$B$26/'Weights &amp; Assumptions'!$B$28+E269*'Weights &amp; Assumptions'!$B$27/'Weights &amp; Assumptions'!$B$28,"")</f>
        <v>149.533445294191</v>
      </c>
      <c r="G269" s="31" t="n">
        <f aca="false">IFERROR((F269/F268-1)*100,"")</f>
        <v>-2.48258896813214</v>
      </c>
      <c r="H269" s="31" t="n">
        <f aca="false">IFERROR((F269/F257-1)*100,"")</f>
        <v>-0.000386359546800108</v>
      </c>
      <c r="I269" s="31" t="n">
        <f aca="false">IFERROR((C269/C268-1)*100,"")</f>
        <v>4.35787925234386</v>
      </c>
      <c r="J269" s="31" t="n">
        <f aca="false">IFERROR((D269/D268-1)*100,"")</f>
        <v>-5.3319472761852</v>
      </c>
      <c r="K269" s="31" t="n">
        <f aca="false">IFERROR((E269/E268-1)*100,"")</f>
        <v>-2.2917897375574</v>
      </c>
    </row>
    <row r="270" customFormat="false" ht="15" hidden="false" customHeight="false" outlineLevel="0" collapsed="false">
      <c r="A270" s="20" t="n">
        <v>46022</v>
      </c>
      <c r="B270" s="32" t="str">
        <f aca="false">IF(ISNUMBER('SA Data'!T270),"A","F")</f>
        <v>A</v>
      </c>
      <c r="C270" s="30" t="n">
        <f aca="false">IFERROR('SA Data'!R270,"")</f>
        <v>158.786003658104</v>
      </c>
      <c r="D270" s="30" t="n">
        <f aca="false">IFERROR('SA Data'!S270,"")</f>
        <v>122.167353067354</v>
      </c>
      <c r="E270" s="30" t="n">
        <f aca="false">IFERROR('SA Data'!T270,"")</f>
        <v>168.393780716533</v>
      </c>
      <c r="F270" s="23" t="n">
        <f aca="false">IFERROR(C270*'Weights &amp; Assumptions'!$B$25/'Weights &amp; Assumptions'!$B$28+D270*'Weights &amp; Assumptions'!$B$26/'Weights &amp; Assumptions'!$B$28+E270*'Weights &amp; Assumptions'!$B$27/'Weights &amp; Assumptions'!$B$28,"")</f>
        <v>155.295265622969</v>
      </c>
      <c r="G270" s="31" t="n">
        <f aca="false">IFERROR((F270/F269-1)*100,"")</f>
        <v>3.85319840484004</v>
      </c>
      <c r="H270" s="31" t="n">
        <f aca="false">IFERROR((F270/F258-1)*100,"")</f>
        <v>3.23503554187383</v>
      </c>
      <c r="I270" s="31" t="n">
        <f aca="false">IFERROR((C270/C269-1)*100,"")</f>
        <v>20.2294424937346</v>
      </c>
      <c r="J270" s="31" t="n">
        <f aca="false">IFERROR((D270/D269-1)*100,"")</f>
        <v>4.46928020222679</v>
      </c>
      <c r="K270" s="31" t="n">
        <f aca="false">IFERROR((E270/E269-1)*100,"")</f>
        <v>1.98447815552802</v>
      </c>
    </row>
    <row r="271" customFormat="false" ht="15" hidden="false" customHeight="false" outlineLevel="0" collapsed="false">
      <c r="A271" s="20" t="n">
        <v>46053</v>
      </c>
      <c r="B271" s="32" t="str">
        <f aca="false">IF(ISNUMBER('SA Data'!T271),"A","F")</f>
        <v>A</v>
      </c>
      <c r="C271" s="30" t="n">
        <f aca="false">IFERROR('SA Data'!R271,"")</f>
        <v>146.475725620734</v>
      </c>
      <c r="D271" s="30" t="n">
        <f aca="false">IFERROR('SA Data'!S271,"")</f>
        <v>125.985515729668</v>
      </c>
      <c r="E271" s="30" t="n">
        <f aca="false">IFERROR('SA Data'!T271,"")</f>
        <v>167.991428134378</v>
      </c>
      <c r="F271" s="23" t="n">
        <f aca="false">IFERROR(C271*'Weights &amp; Assumptions'!$B$25/'Weights &amp; Assumptions'!$B$28+D271*'Weights &amp; Assumptions'!$B$26/'Weights &amp; Assumptions'!$B$28+E271*'Weights &amp; Assumptions'!$B$27/'Weights &amp; Assumptions'!$B$28,"")</f>
        <v>155.016136913528</v>
      </c>
      <c r="G271" s="31" t="n">
        <f aca="false">IFERROR((F271/F270-1)*100,"")</f>
        <v>-0.179740643297688</v>
      </c>
      <c r="H271" s="31" t="n">
        <f aca="false">IFERROR((F271/F259-1)*100,"")</f>
        <v>2.04323883614153</v>
      </c>
      <c r="I271" s="31" t="n">
        <f aca="false">IFERROR((C271/C270-1)*100,"")</f>
        <v>-7.75274756827842</v>
      </c>
      <c r="J271" s="31" t="n">
        <f aca="false">IFERROR((D271/D270-1)*100,"")</f>
        <v>3.12535433276422</v>
      </c>
      <c r="K271" s="31" t="n">
        <f aca="false">IFERROR((E271/E270-1)*100,"")</f>
        <v>-0.238935535767526</v>
      </c>
    </row>
    <row r="272" customFormat="false" ht="15" hidden="false" customHeight="false" outlineLevel="0" collapsed="false">
      <c r="A272" s="20" t="n">
        <v>46081</v>
      </c>
      <c r="B272" s="32" t="str">
        <f aca="false">IF(ISNUMBER('SA Data'!T272),"A","F")</f>
        <v>A</v>
      </c>
      <c r="C272" s="30" t="n">
        <f aca="false">IFERROR('SA Data'!R272,"")</f>
        <v>129.063977014259</v>
      </c>
      <c r="D272" s="30" t="n">
        <f aca="false">IFERROR('SA Data'!S272,"")</f>
        <v>119.378125856441</v>
      </c>
      <c r="E272" s="30" t="n">
        <f aca="false">IFERROR('SA Data'!T272,"")</f>
        <v>166.130159258652</v>
      </c>
      <c r="F272" s="23" t="n">
        <f aca="false">IFERROR(C272*'Weights &amp; Assumptions'!$B$25/'Weights &amp; Assumptions'!$B$28+D272*'Weights &amp; Assumptions'!$B$26/'Weights &amp; Assumptions'!$B$28+E272*'Weights &amp; Assumptions'!$B$27/'Weights &amp; Assumptions'!$B$28,"")</f>
        <v>150.588093368048</v>
      </c>
      <c r="G272" s="31" t="n">
        <f aca="false">IFERROR((F272/F271-1)*100,"")</f>
        <v>-2.85650489919647</v>
      </c>
      <c r="H272" s="31" t="n">
        <f aca="false">IFERROR((F272/F260-1)*100,"")</f>
        <v>-0.968602205528968</v>
      </c>
      <c r="I272" s="31" t="n">
        <f aca="false">IFERROR((C272/C271-1)*100,"")</f>
        <v>-11.8871222741431</v>
      </c>
      <c r="J272" s="31" t="n">
        <f aca="false">IFERROR((D272/D271-1)*100,"")</f>
        <v>-5.2445631031148</v>
      </c>
      <c r="K272" s="31" t="n">
        <f aca="false">IFERROR((E272/E271-1)*100,"")</f>
        <v>-1.10795467149527</v>
      </c>
    </row>
    <row r="273" customFormat="false" ht="15" hidden="false" customHeight="false" outlineLevel="0" collapsed="false">
      <c r="A273" s="20" t="n">
        <v>46112</v>
      </c>
      <c r="B273" s="32" t="str">
        <f aca="false">IF(ISNUMBER('SA Data'!T273),"A","F")</f>
        <v>A</v>
      </c>
      <c r="C273" s="30" t="n">
        <f aca="false">IFERROR('SA Data'!R273,"")</f>
        <v>149.567375471466</v>
      </c>
      <c r="D273" s="30" t="n">
        <f aca="false">IFERROR('SA Data'!S273,"")</f>
        <v>128.168226155559</v>
      </c>
      <c r="E273" s="30" t="n">
        <f aca="false">IFERROR('SA Data'!T273,"")</f>
        <v>169.429399147482</v>
      </c>
      <c r="F273" s="23" t="n">
        <f aca="false">IFERROR(C273*'Weights &amp; Assumptions'!$B$25/'Weights &amp; Assumptions'!$B$28+D273*'Weights &amp; Assumptions'!$B$26/'Weights &amp; Assumptions'!$B$28+E273*'Weights &amp; Assumptions'!$B$27/'Weights &amp; Assumptions'!$B$28,"")</f>
        <v>156.790892176388</v>
      </c>
      <c r="G273" s="31" t="n">
        <f aca="false">IFERROR((F273/F272-1)*100,"")</f>
        <v>4.11904996577686</v>
      </c>
      <c r="H273" s="31" t="n">
        <f aca="false">IFERROR((F273/F261-1)*100,"")</f>
        <v>5.70132478709737</v>
      </c>
      <c r="I273" s="31" t="n">
        <f aca="false">IFERROR((C273/C272-1)*100,"")</f>
        <v>15.8862286220591</v>
      </c>
      <c r="J273" s="31" t="n">
        <f aca="false">IFERROR((D273/D272-1)*100,"")</f>
        <v>7.36324199769058</v>
      </c>
      <c r="K273" s="31" t="n">
        <f aca="false">IFERROR((E273/E272-1)*100,"")</f>
        <v>1.98593675197389</v>
      </c>
    </row>
    <row r="274" customFormat="false" ht="15" hidden="false" customHeight="false" outlineLevel="0" collapsed="false">
      <c r="A274" s="20" t="n">
        <v>46142</v>
      </c>
      <c r="B274" s="32" t="str">
        <f aca="false">IF(ISNUMBER('SA Data'!T274),"A","F")</f>
        <v>A</v>
      </c>
      <c r="C274" s="30" t="n">
        <f aca="false">IFERROR('SA Data'!R274,"")</f>
        <v>152.69370647978</v>
      </c>
      <c r="D274" s="30" t="n">
        <f aca="false">IFERROR('SA Data'!S274,"")</f>
        <v>124.221741915986</v>
      </c>
      <c r="E274" s="30" t="n">
        <f aca="false">IFERROR('SA Data'!T274,"")</f>
        <v>167.421591800834</v>
      </c>
      <c r="F274" s="23" t="n">
        <f aca="false">IFERROR(C274*'Weights &amp; Assumptions'!$B$25/'Weights &amp; Assumptions'!$B$28+D274*'Weights &amp; Assumptions'!$B$26/'Weights &amp; Assumptions'!$B$28+E274*'Weights &amp; Assumptions'!$B$27/'Weights &amp; Assumptions'!$B$28,"")</f>
        <v>154.698315259386</v>
      </c>
      <c r="G274" s="31" t="n">
        <f aca="false">IFERROR((F274/F273-1)*100,"")</f>
        <v>-1.33462912797779</v>
      </c>
      <c r="H274" s="31" t="n">
        <f aca="false">IFERROR((F274/F262-1)*100,"")</f>
        <v>1.15301651207016</v>
      </c>
      <c r="I274" s="31" t="n">
        <f aca="false">IFERROR((C274/C273-1)*100,"")</f>
        <v>2.09024929297545</v>
      </c>
      <c r="J274" s="31" t="n">
        <f aca="false">IFERROR((D274/D273-1)*100,"")</f>
        <v>-3.07914399531652</v>
      </c>
      <c r="K274" s="31" t="n">
        <f aca="false">IFERROR((E274/E273-1)*100,"")</f>
        <v>-1.18504070530343</v>
      </c>
    </row>
    <row r="275" customFormat="false" ht="15" hidden="false" customHeight="false" outlineLevel="0" collapsed="false">
      <c r="A275" s="20" t="n">
        <v>46173</v>
      </c>
      <c r="B275" s="32" t="str">
        <f aca="false">IF(ISNUMBER('SA Data'!T275),"A","F")</f>
        <v>A</v>
      </c>
      <c r="C275" s="30" t="n">
        <f aca="false">IFERROR('SA Data'!R275,"")</f>
        <v>147.24443805072</v>
      </c>
      <c r="D275" s="30" t="n">
        <f aca="false">IFERROR('SA Data'!S275,"")</f>
        <v>119.855196252247</v>
      </c>
      <c r="E275" s="30" t="n">
        <f aca="false">IFERROR('SA Data'!T275,"")</f>
        <v>165.209614312207</v>
      </c>
      <c r="F275" s="23" t="n">
        <f aca="false">IFERROR(C275*'Weights &amp; Assumptions'!$B$25/'Weights &amp; Assumptions'!$B$28+D275*'Weights &amp; Assumptions'!$B$26/'Weights &amp; Assumptions'!$B$28+E275*'Weights &amp; Assumptions'!$B$27/'Weights &amp; Assumptions'!$B$28,"")</f>
        <v>151.641789052674</v>
      </c>
      <c r="G275" s="31" t="n">
        <f aca="false">IFERROR((F275/F274-1)*100,"")</f>
        <v>-1.97579799210308</v>
      </c>
      <c r="H275" s="31" t="n">
        <f aca="false">IFERROR((F275/F263-1)*100,"")</f>
        <v>-0.614010634717854</v>
      </c>
      <c r="I275" s="31" t="n">
        <f aca="false">IFERROR((C275/C274-1)*100,"")</f>
        <v>-3.56875771417707</v>
      </c>
      <c r="J275" s="31" t="n">
        <f aca="false">IFERROR((D275/D274-1)*100,"")</f>
        <v>-3.51512190731651</v>
      </c>
      <c r="K275" s="31" t="n">
        <f aca="false">IFERROR((E275/E274-1)*100,"")</f>
        <v>-1.32120204140597</v>
      </c>
    </row>
    <row r="276" customFormat="false" ht="15" hidden="false" customHeight="false" outlineLevel="0" collapsed="false">
      <c r="A276" s="20" t="n">
        <v>46203</v>
      </c>
      <c r="B276" s="33" t="str">
        <f aca="false">IF(ISNUMBER('SA Data'!T276),"A","F")</f>
        <v>F</v>
      </c>
      <c r="C276" s="34" t="n">
        <f aca="false">IF(ISNUMBER('SA Data'!R276),'SA Data'!R276,C275*(1+'Weights &amp; Assumptions'!$B$33/100))</f>
        <v>147.391682488771</v>
      </c>
      <c r="D276" s="34" t="n">
        <f aca="false">IF(ISNUMBER('SA Data'!S276),'SA Data'!S276,D275*(1+'Weights &amp; Assumptions'!$B$34/100))</f>
        <v>120.034979046625</v>
      </c>
      <c r="E276" s="34" t="n">
        <f aca="false">IF(ISNUMBER('SA Data'!T276),'SA Data'!T276,E275*(1+'Weights &amp; Assumptions'!$B$35/100))</f>
        <v>165.457428733675</v>
      </c>
      <c r="F276" s="34" t="n">
        <f aca="false">IFERROR(C276*'Weights &amp; Assumptions'!$B$25/'Weights &amp; Assumptions'!$B$28+D276*'Weights &amp; Assumptions'!$B$26/'Weights &amp; Assumptions'!$B$28+E276*'Weights &amp; Assumptions'!$B$27/'Weights &amp; Assumptions'!$B$28,"")</f>
        <v>151.863074770808</v>
      </c>
      <c r="G276" s="31" t="n">
        <f aca="false">IFERROR((F276/F275-1)*100,"")</f>
        <v>0.145926607379732</v>
      </c>
      <c r="H276" s="31" t="n">
        <f aca="false">IFERROR((F276/F264-1)*100,"")</f>
        <v>0.530994836585341</v>
      </c>
      <c r="I276" s="31" t="n">
        <f aca="false">IFERROR((C276/C275-1)*100,"")</f>
        <v>0.099999999999989</v>
      </c>
      <c r="J276" s="31" t="n">
        <f aca="false">IFERROR((D276/D275-1)*100,"")</f>
        <v>0.150000000000006</v>
      </c>
      <c r="K276" s="31" t="n">
        <f aca="false">IFERROR((E276/E275-1)*100,"")</f>
        <v>0.150000000000006</v>
      </c>
    </row>
    <row r="277" customFormat="false" ht="15" hidden="false" customHeight="false" outlineLevel="0" collapsed="false">
      <c r="A277" s="20" t="n">
        <v>46234</v>
      </c>
      <c r="B277" s="33" t="str">
        <f aca="false">IF(ISNUMBER('SA Data'!T277),"A","F")</f>
        <v>F</v>
      </c>
      <c r="C277" s="34" t="n">
        <f aca="false">IF(ISNUMBER('SA Data'!R277),'SA Data'!R277,C276*(1+'Weights &amp; Assumptions'!$B$33/100))</f>
        <v>147.53907417126</v>
      </c>
      <c r="D277" s="34" t="n">
        <f aca="false">IF(ISNUMBER('SA Data'!S277),'SA Data'!S277,D276*(1+'Weights &amp; Assumptions'!$B$34/100))</f>
        <v>120.215031515195</v>
      </c>
      <c r="E277" s="34" t="n">
        <f aca="false">IF(ISNUMBER('SA Data'!T277),'SA Data'!T277,E276*(1+'Weights &amp; Assumptions'!$B$35/100))</f>
        <v>165.705614876775</v>
      </c>
      <c r="F277" s="34" t="n">
        <f aca="false">IFERROR(C277*'Weights &amp; Assumptions'!$B$25/'Weights &amp; Assumptions'!$B$28+D277*'Weights &amp; Assumptions'!$B$26/'Weights &amp; Assumptions'!$B$28+E277*'Weights &amp; Assumptions'!$B$27/'Weights &amp; Assumptions'!$B$28,"")</f>
        <v>152.084686240555</v>
      </c>
      <c r="G277" s="31" t="n">
        <f aca="false">IFERROR((F277/F276-1)*100,"")</f>
        <v>0.145928475424784</v>
      </c>
      <c r="H277" s="31" t="n">
        <f aca="false">IFERROR((F277/F265-1)*100,"")</f>
        <v>0.27804136004268</v>
      </c>
      <c r="I277" s="31" t="n">
        <f aca="false">IFERROR((C277/C276-1)*100,"")</f>
        <v>0.099999999999989</v>
      </c>
      <c r="J277" s="31" t="n">
        <f aca="false">IFERROR((D277/D276-1)*100,"")</f>
        <v>0.150000000000006</v>
      </c>
      <c r="K277" s="31" t="n">
        <f aca="false">IFERROR((E277/E276-1)*100,"")</f>
        <v>0.150000000000006</v>
      </c>
    </row>
    <row r="278" customFormat="false" ht="15" hidden="false" customHeight="false" outlineLevel="0" collapsed="false">
      <c r="A278" s="20" t="n">
        <v>46265</v>
      </c>
      <c r="B278" s="33" t="str">
        <f aca="false">IF(ISNUMBER('SA Data'!T278),"A","F")</f>
        <v>F</v>
      </c>
      <c r="C278" s="34" t="n">
        <f aca="false">IF(ISNUMBER('SA Data'!R278),'SA Data'!R278,C277*(1+'Weights &amp; Assumptions'!$B$33/100))</f>
        <v>147.686613245431</v>
      </c>
      <c r="D278" s="34" t="n">
        <f aca="false">IF(ISNUMBER('SA Data'!S278),'SA Data'!S278,D277*(1+'Weights &amp; Assumptions'!$B$34/100))</f>
        <v>120.395354062468</v>
      </c>
      <c r="E278" s="34" t="n">
        <f aca="false">IF(ISNUMBER('SA Data'!T278),'SA Data'!T278,E277*(1+'Weights &amp; Assumptions'!$B$35/100))</f>
        <v>165.954173299091</v>
      </c>
      <c r="F278" s="34" t="n">
        <f aca="false">IFERROR(C278*'Weights &amp; Assumptions'!$B$25/'Weights &amp; Assumptions'!$B$28+D278*'Weights &amp; Assumptions'!$B$26/'Weights &amp; Assumptions'!$B$28+E278*'Weights &amp; Assumptions'!$B$27/'Weights &amp; Assumptions'!$B$28,"")</f>
        <v>152.306623944363</v>
      </c>
      <c r="G278" s="31" t="n">
        <f aca="false">IFERROR((F278/F277-1)*100,"")</f>
        <v>0.145930342689082</v>
      </c>
      <c r="H278" s="31" t="n">
        <f aca="false">IFERROR((F278/F266-1)*100,"")</f>
        <v>1.8053529847134</v>
      </c>
      <c r="I278" s="31" t="n">
        <f aca="false">IFERROR((C278/C277-1)*100,"")</f>
        <v>0.099999999999989</v>
      </c>
      <c r="J278" s="31" t="n">
        <f aca="false">IFERROR((D278/D277-1)*100,"")</f>
        <v>0.150000000000006</v>
      </c>
      <c r="K278" s="31" t="n">
        <f aca="false">IFERROR((E278/E277-1)*100,"")</f>
        <v>0.150000000000006</v>
      </c>
    </row>
    <row r="279" customFormat="false" ht="15" hidden="false" customHeight="false" outlineLevel="0" collapsed="false">
      <c r="A279" s="20" t="n">
        <v>46295</v>
      </c>
      <c r="B279" s="33" t="str">
        <f aca="false">IF(ISNUMBER('SA Data'!T279),"A","F")</f>
        <v>F</v>
      </c>
      <c r="C279" s="34" t="n">
        <f aca="false">IF(ISNUMBER('SA Data'!R279),'SA Data'!R279,C278*(1+'Weights &amp; Assumptions'!$B$33/100))</f>
        <v>147.834299858676</v>
      </c>
      <c r="D279" s="34" t="n">
        <f aca="false">IF(ISNUMBER('SA Data'!S279),'SA Data'!S279,D278*(1+'Weights &amp; Assumptions'!$B$34/100))</f>
        <v>120.575947093562</v>
      </c>
      <c r="E279" s="34" t="n">
        <f aca="false">IF(ISNUMBER('SA Data'!T279),'SA Data'!T279,E278*(1+'Weights &amp; Assumptions'!$B$35/100))</f>
        <v>166.203104559039</v>
      </c>
      <c r="F279" s="34" t="n">
        <f aca="false">IFERROR(C279*'Weights &amp; Assumptions'!$B$25/'Weights &amp; Assumptions'!$B$28+D279*'Weights &amp; Assumptions'!$B$26/'Weights &amp; Assumptions'!$B$28+E279*'Weights &amp; Assumptions'!$B$27/'Weights &amp; Assumptions'!$B$28,"")</f>
        <v>152.528888365402</v>
      </c>
      <c r="G279" s="31" t="n">
        <f aca="false">IFERROR((F279/F278-1)*100,"")</f>
        <v>0.145932209172872</v>
      </c>
      <c r="H279" s="31" t="n">
        <f aca="false">IFERROR((F279/F267-1)*100,"")</f>
        <v>0.124513603705467</v>
      </c>
      <c r="I279" s="31" t="n">
        <f aca="false">IFERROR((C279/C278-1)*100,"")</f>
        <v>0.099999999999989</v>
      </c>
      <c r="J279" s="31" t="n">
        <f aca="false">IFERROR((D279/D278-1)*100,"")</f>
        <v>0.150000000000006</v>
      </c>
      <c r="K279" s="31" t="n">
        <f aca="false">IFERROR((E279/E278-1)*100,"")</f>
        <v>0.150000000000006</v>
      </c>
    </row>
    <row r="280" customFormat="false" ht="15" hidden="false" customHeight="false" outlineLevel="0" collapsed="false">
      <c r="A280" s="20" t="n">
        <v>46326</v>
      </c>
      <c r="B280" s="33" t="str">
        <f aca="false">IF(ISNUMBER('SA Data'!T280),"A","F")</f>
        <v>F</v>
      </c>
      <c r="C280" s="34" t="n">
        <f aca="false">IF(ISNUMBER('SA Data'!R280),'SA Data'!R280,C279*(1+'Weights &amp; Assumptions'!$B$33/100))</f>
        <v>147.982134158535</v>
      </c>
      <c r="D280" s="34" t="n">
        <f aca="false">IF(ISNUMBER('SA Data'!S280),'SA Data'!S280,D279*(1+'Weights &amp; Assumptions'!$B$34/100))</f>
        <v>120.756811014202</v>
      </c>
      <c r="E280" s="34" t="n">
        <f aca="false">IF(ISNUMBER('SA Data'!T280),'SA Data'!T280,E279*(1+'Weights &amp; Assumptions'!$B$35/100))</f>
        <v>166.452409215878</v>
      </c>
      <c r="F280" s="34" t="n">
        <f aca="false">IFERROR(C280*'Weights &amp; Assumptions'!$B$25/'Weights &amp; Assumptions'!$B$28+D280*'Weights &amp; Assumptions'!$B$26/'Weights &amp; Assumptions'!$B$28+E280*'Weights &amp; Assumptions'!$B$27/'Weights &amp; Assumptions'!$B$28,"")</f>
        <v>152.751479987557</v>
      </c>
      <c r="G280" s="31" t="n">
        <f aca="false">IFERROR((F280/F279-1)*100,"")</f>
        <v>0.145934074876397</v>
      </c>
      <c r="H280" s="31" t="n">
        <f aca="false">IFERROR((F280/F268-1)*100,"")</f>
        <v>-0.383965404083619</v>
      </c>
      <c r="I280" s="31" t="n">
        <f aca="false">IFERROR((C280/C279-1)*100,"")</f>
        <v>0.099999999999989</v>
      </c>
      <c r="J280" s="31" t="n">
        <f aca="false">IFERROR((D280/D279-1)*100,"")</f>
        <v>0.150000000000006</v>
      </c>
      <c r="K280" s="31" t="n">
        <f aca="false">IFERROR((E280/E279-1)*100,"")</f>
        <v>0.150000000000006</v>
      </c>
    </row>
    <row r="281" customFormat="false" ht="15" hidden="false" customHeight="false" outlineLevel="0" collapsed="false">
      <c r="A281" s="20" t="n">
        <v>46356</v>
      </c>
      <c r="B281" s="33" t="str">
        <f aca="false">IF(ISNUMBER('SA Data'!T281),"A","F")</f>
        <v>F</v>
      </c>
      <c r="C281" s="34" t="n">
        <f aca="false">IF(ISNUMBER('SA Data'!R281),'SA Data'!R281,C280*(1+'Weights &amp; Assumptions'!$B$33/100))</f>
        <v>148.130116292694</v>
      </c>
      <c r="D281" s="34" t="n">
        <f aca="false">IF(ISNUMBER('SA Data'!S281),'SA Data'!S281,D280*(1+'Weights &amp; Assumptions'!$B$34/100))</f>
        <v>120.937946230724</v>
      </c>
      <c r="E281" s="34" t="n">
        <f aca="false">IF(ISNUMBER('SA Data'!T281),'SA Data'!T281,E280*(1+'Weights &amp; Assumptions'!$B$35/100))</f>
        <v>166.702087829702</v>
      </c>
      <c r="F281" s="34" t="n">
        <f aca="false">IFERROR(C281*'Weights &amp; Assumptions'!$B$25/'Weights &amp; Assumptions'!$B$28+D281*'Weights &amp; Assumptions'!$B$26/'Weights &amp; Assumptions'!$B$28+E281*'Weights &amp; Assumptions'!$B$27/'Weights &amp; Assumptions'!$B$28,"")</f>
        <v>152.974399295435</v>
      </c>
      <c r="G281" s="31" t="n">
        <f aca="false">IFERROR((F281/F280-1)*100,"")</f>
        <v>0.145935939799946</v>
      </c>
      <c r="H281" s="31" t="n">
        <f aca="false">IFERROR((F281/F269-1)*100,"")</f>
        <v>2.30112667736244</v>
      </c>
      <c r="I281" s="31" t="n">
        <f aca="false">IFERROR((C281/C280-1)*100,"")</f>
        <v>0.099999999999989</v>
      </c>
      <c r="J281" s="31" t="n">
        <f aca="false">IFERROR((D281/D280-1)*100,"")</f>
        <v>0.150000000000006</v>
      </c>
      <c r="K281" s="31" t="n">
        <f aca="false">IFERROR((E281/E280-1)*100,"")</f>
        <v>0.150000000000006</v>
      </c>
    </row>
    <row r="282" customFormat="false" ht="15" hidden="false" customHeight="false" outlineLevel="0" collapsed="false">
      <c r="A282" s="20" t="n">
        <v>46387</v>
      </c>
      <c r="B282" s="33" t="str">
        <f aca="false">IF(ISNUMBER('SA Data'!T282),"A","F")</f>
        <v>F</v>
      </c>
      <c r="C282" s="34" t="n">
        <f aca="false">IF(ISNUMBER('SA Data'!R282),'SA Data'!R282,C281*(1+'Weights &amp; Assumptions'!$B$33/100))</f>
        <v>148.278246408986</v>
      </c>
      <c r="D282" s="34" t="n">
        <f aca="false">IF(ISNUMBER('SA Data'!S282),'SA Data'!S282,D281*(1+'Weights &amp; Assumptions'!$B$34/100))</f>
        <v>121.11935315007</v>
      </c>
      <c r="E282" s="34" t="n">
        <f aca="false">IF(ISNUMBER('SA Data'!T282),'SA Data'!T282,E281*(1+'Weights &amp; Assumptions'!$B$35/100))</f>
        <v>166.952140961446</v>
      </c>
      <c r="F282" s="34" t="n">
        <f aca="false">IFERROR(C282*'Weights &amp; Assumptions'!$B$25/'Weights &amp; Assumptions'!$B$28+D282*'Weights &amp; Assumptions'!$B$26/'Weights &amp; Assumptions'!$B$28+E282*'Weights &amp; Assumptions'!$B$27/'Weights &amp; Assumptions'!$B$28,"")</f>
        <v>153.197646774363</v>
      </c>
      <c r="G282" s="31" t="n">
        <f aca="false">IFERROR((F282/F281-1)*100,"")</f>
        <v>0.145937803943719</v>
      </c>
      <c r="H282" s="31" t="n">
        <f aca="false">IFERROR((F282/F270-1)*100,"")</f>
        <v>-1.35072942513207</v>
      </c>
      <c r="I282" s="31" t="n">
        <f aca="false">IFERROR((C282/C281-1)*100,"")</f>
        <v>0.099999999999989</v>
      </c>
      <c r="J282" s="31" t="n">
        <f aca="false">IFERROR((D282/D281-1)*100,"")</f>
        <v>0.150000000000006</v>
      </c>
      <c r="K282" s="31" t="n">
        <f aca="false">IFERROR((E282/E281-1)*100,"")</f>
        <v>0.150000000000006</v>
      </c>
    </row>
    <row r="283" customFormat="false" ht="15" hidden="false" customHeight="false" outlineLevel="0" collapsed="false">
      <c r="A283" s="20" t="n">
        <v>46418</v>
      </c>
      <c r="B283" s="33" t="str">
        <f aca="false">IF(ISNUMBER('SA Data'!T283),"A","F")</f>
        <v>F</v>
      </c>
      <c r="C283" s="34" t="n">
        <f aca="false">IF(ISNUMBER('SA Data'!R283),'SA Data'!R283,C282*(1+'Weights &amp; Assumptions'!$C$33/100))</f>
        <v>148.648942025009</v>
      </c>
      <c r="D283" s="34" t="n">
        <f aca="false">IF(ISNUMBER('SA Data'!S283),'SA Data'!S283,D282*(1+'Weights &amp; Assumptions'!$C$34/100))</f>
        <v>121.543270886095</v>
      </c>
      <c r="E283" s="34" t="n">
        <f aca="false">IF(ISNUMBER('SA Data'!T283),'SA Data'!T283,E282*(1+'Weights &amp; Assumptions'!$C$35/100))</f>
        <v>167.452997384331</v>
      </c>
      <c r="F283" s="34" t="n">
        <f aca="false">IFERROR(C283*'Weights &amp; Assumptions'!$B$25/'Weights &amp; Assumptions'!$B$28+D283*'Weights &amp; Assumptions'!$B$26/'Weights &amp; Assumptions'!$B$28+E283*'Weights &amp; Assumptions'!$B$27/'Weights &amp; Assumptions'!$B$28,"")</f>
        <v>153.667123256419</v>
      </c>
      <c r="G283" s="31" t="n">
        <f aca="false">IFERROR((F283/F282-1)*100,"")</f>
        <v>0.306451497095761</v>
      </c>
      <c r="H283" s="31" t="n">
        <f aca="false">IFERROR((F283/F271-1)*100,"")</f>
        <v>-0.870240791680854</v>
      </c>
      <c r="I283" s="31" t="n">
        <f aca="false">IFERROR((C283/C282-1)*100,"")</f>
        <v>0.249999999999995</v>
      </c>
      <c r="J283" s="31" t="n">
        <f aca="false">IFERROR((D283/D282-1)*100,"")</f>
        <v>0.350000000000006</v>
      </c>
      <c r="K283" s="31" t="n">
        <f aca="false">IFERROR((E283/E282-1)*100,"")</f>
        <v>0.299999999999989</v>
      </c>
    </row>
    <row r="284" customFormat="false" ht="15" hidden="false" customHeight="false" outlineLevel="0" collapsed="false">
      <c r="A284" s="20" t="n">
        <v>46446</v>
      </c>
      <c r="B284" s="33" t="str">
        <f aca="false">IF(ISNUMBER('SA Data'!T284),"A","F")</f>
        <v>F</v>
      </c>
      <c r="C284" s="34" t="n">
        <f aca="false">IF(ISNUMBER('SA Data'!R284),'SA Data'!R284,C283*(1+'Weights &amp; Assumptions'!$C$33/100))</f>
        <v>149.020564380071</v>
      </c>
      <c r="D284" s="34" t="n">
        <f aca="false">IF(ISNUMBER('SA Data'!S284),'SA Data'!S284,D283*(1+'Weights &amp; Assumptions'!$C$34/100))</f>
        <v>121.968672334196</v>
      </c>
      <c r="E284" s="34" t="n">
        <f aca="false">IF(ISNUMBER('SA Data'!T284),'SA Data'!T284,E283*(1+'Weights &amp; Assumptions'!$C$35/100))</f>
        <v>167.955356376484</v>
      </c>
      <c r="F284" s="34" t="n">
        <f aca="false">IFERROR(C284*'Weights &amp; Assumptions'!$B$25/'Weights &amp; Assumptions'!$B$28+D284*'Weights &amp; Assumptions'!$B$26/'Weights &amp; Assumptions'!$B$28+E284*'Weights &amp; Assumptions'!$B$27/'Weights &amp; Assumptions'!$B$28,"")</f>
        <v>154.13804898065</v>
      </c>
      <c r="G284" s="31" t="n">
        <f aca="false">IFERROR((F284/F283-1)*100,"")</f>
        <v>0.306458345970362</v>
      </c>
      <c r="H284" s="31" t="n">
        <f aca="false">IFERROR((F284/F272-1)*100,"")</f>
        <v>2.35739462078597</v>
      </c>
      <c r="I284" s="31" t="n">
        <f aca="false">IFERROR((C284/C283-1)*100,"")</f>
        <v>0.249999999999995</v>
      </c>
      <c r="J284" s="31" t="n">
        <f aca="false">IFERROR((D284/D283-1)*100,"")</f>
        <v>0.350000000000006</v>
      </c>
      <c r="K284" s="31" t="n">
        <f aca="false">IFERROR((E284/E283-1)*100,"")</f>
        <v>0.299999999999989</v>
      </c>
    </row>
    <row r="285" customFormat="false" ht="15" hidden="false" customHeight="false" outlineLevel="0" collapsed="false">
      <c r="A285" s="20" t="n">
        <v>46477</v>
      </c>
      <c r="B285" s="33" t="str">
        <f aca="false">IF(ISNUMBER('SA Data'!T285),"A","F")</f>
        <v>F</v>
      </c>
      <c r="C285" s="34" t="n">
        <f aca="false">IF(ISNUMBER('SA Data'!R285),'SA Data'!R285,C284*(1+'Weights &amp; Assumptions'!$C$33/100))</f>
        <v>149.393115791021</v>
      </c>
      <c r="D285" s="34" t="n">
        <f aca="false">IF(ISNUMBER('SA Data'!S285),'SA Data'!S285,D284*(1+'Weights &amp; Assumptions'!$C$34/100))</f>
        <v>122.395562687366</v>
      </c>
      <c r="E285" s="34" t="n">
        <f aca="false">IF(ISNUMBER('SA Data'!T285),'SA Data'!T285,E284*(1+'Weights &amp; Assumptions'!$C$35/100))</f>
        <v>168.459222445613</v>
      </c>
      <c r="F285" s="34" t="n">
        <f aca="false">IFERROR(C285*'Weights &amp; Assumptions'!$B$25/'Weights &amp; Assumptions'!$B$28+D285*'Weights &amp; Assumptions'!$B$26/'Weights &amp; Assumptions'!$B$28+E285*'Weights &amp; Assumptions'!$B$27/'Weights &amp; Assumptions'!$B$28,"")</f>
        <v>154.610428453181</v>
      </c>
      <c r="G285" s="31" t="n">
        <f aca="false">IFERROR((F285/F284-1)*100,"")</f>
        <v>0.306465195098871</v>
      </c>
      <c r="H285" s="31" t="n">
        <f aca="false">IFERROR((F285/F273-1)*100,"")</f>
        <v>-1.39068264294009</v>
      </c>
      <c r="I285" s="31" t="n">
        <f aca="false">IFERROR((C285/C284-1)*100,"")</f>
        <v>0.249999999999995</v>
      </c>
      <c r="J285" s="31" t="n">
        <f aca="false">IFERROR((D285/D284-1)*100,"")</f>
        <v>0.350000000000006</v>
      </c>
      <c r="K285" s="31" t="n">
        <f aca="false">IFERROR((E285/E284-1)*100,"")</f>
        <v>0.299999999999989</v>
      </c>
    </row>
    <row r="286" customFormat="false" ht="15" hidden="false" customHeight="false" outlineLevel="0" collapsed="false">
      <c r="A286" s="20" t="n">
        <v>46507</v>
      </c>
      <c r="B286" s="33" t="str">
        <f aca="false">IF(ISNUMBER('SA Data'!T286),"A","F")</f>
        <v>F</v>
      </c>
      <c r="C286" s="34" t="n">
        <f aca="false">IF(ISNUMBER('SA Data'!R286),'SA Data'!R286,C285*(1+'Weights &amp; Assumptions'!$C$33/100))</f>
        <v>149.766598580499</v>
      </c>
      <c r="D286" s="34" t="n">
        <f aca="false">IF(ISNUMBER('SA Data'!S286),'SA Data'!S286,D285*(1+'Weights &amp; Assumptions'!$C$34/100))</f>
        <v>122.823947156772</v>
      </c>
      <c r="E286" s="34" t="n">
        <f aca="false">IF(ISNUMBER('SA Data'!T286),'SA Data'!T286,E285*(1+'Weights &amp; Assumptions'!$C$35/100))</f>
        <v>168.96460011295</v>
      </c>
      <c r="F286" s="34" t="n">
        <f aca="false">IFERROR(C286*'Weights &amp; Assumptions'!$B$25/'Weights &amp; Assumptions'!$B$28+D286*'Weights &amp; Assumptions'!$B$26/'Weights &amp; Assumptions'!$B$28+E286*'Weights &amp; Assumptions'!$B$27/'Weights &amp; Assumptions'!$B$28,"")</f>
        <v>155.084266194242</v>
      </c>
      <c r="G286" s="31" t="n">
        <f aca="false">IFERROR((F286/F285-1)*100,"")</f>
        <v>0.306472044481443</v>
      </c>
      <c r="H286" s="31" t="n">
        <f aca="false">IFERROR((F286/F274-1)*100,"")</f>
        <v>0.249486191371395</v>
      </c>
      <c r="I286" s="31" t="n">
        <f aca="false">IFERROR((C286/C285-1)*100,"")</f>
        <v>0.249999999999995</v>
      </c>
      <c r="J286" s="31" t="n">
        <f aca="false">IFERROR((D286/D285-1)*100,"")</f>
        <v>0.350000000000006</v>
      </c>
      <c r="K286" s="31" t="n">
        <f aca="false">IFERROR((E286/E285-1)*100,"")</f>
        <v>0.299999999999989</v>
      </c>
    </row>
    <row r="287" customFormat="false" ht="15" hidden="false" customHeight="false" outlineLevel="0" collapsed="false">
      <c r="A287" s="20" t="n">
        <v>46538</v>
      </c>
      <c r="B287" s="33" t="str">
        <f aca="false">IF(ISNUMBER('SA Data'!T287),"A","F")</f>
        <v>F</v>
      </c>
      <c r="C287" s="34" t="n">
        <f aca="false">IF(ISNUMBER('SA Data'!R287),'SA Data'!R287,C286*(1+'Weights &amp; Assumptions'!$C$33/100))</f>
        <v>150.14101507695</v>
      </c>
      <c r="D287" s="34" t="n">
        <f aca="false">IF(ISNUMBER('SA Data'!S287),'SA Data'!S287,D286*(1+'Weights &amp; Assumptions'!$C$34/100))</f>
        <v>123.25383097182</v>
      </c>
      <c r="E287" s="34" t="n">
        <f aca="false">IF(ISNUMBER('SA Data'!T287),'SA Data'!T287,E286*(1+'Weights &amp; Assumptions'!$C$35/100))</f>
        <v>169.471493913289</v>
      </c>
      <c r="F287" s="34" t="n">
        <f aca="false">IFERROR(C287*'Weights &amp; Assumptions'!$B$25/'Weights &amp; Assumptions'!$B$28+D287*'Weights &amp; Assumptions'!$B$26/'Weights &amp; Assumptions'!$B$28+E287*'Weights &amp; Assumptions'!$B$27/'Weights &amp; Assumptions'!$B$28,"")</f>
        <v>155.559566738226</v>
      </c>
      <c r="G287" s="31" t="n">
        <f aca="false">IFERROR((F287/F286-1)*100,"")</f>
        <v>0.306478894118234</v>
      </c>
      <c r="H287" s="31" t="n">
        <f aca="false">IFERROR((F287/F275-1)*100,"")</f>
        <v>2.583573901381</v>
      </c>
      <c r="I287" s="31" t="n">
        <f aca="false">IFERROR((C287/C286-1)*100,"")</f>
        <v>0.249999999999995</v>
      </c>
      <c r="J287" s="31" t="n">
        <f aca="false">IFERROR((D287/D286-1)*100,"")</f>
        <v>0.350000000000006</v>
      </c>
      <c r="K287" s="31" t="n">
        <f aca="false">IFERROR((E287/E286-1)*100,"")</f>
        <v>0.299999999999989</v>
      </c>
    </row>
    <row r="288" customFormat="false" ht="15" hidden="false" customHeight="false" outlineLevel="0" collapsed="false">
      <c r="A288" s="20" t="n">
        <v>46568</v>
      </c>
      <c r="B288" s="33" t="str">
        <f aca="false">IF(ISNUMBER('SA Data'!T288),"A","F")</f>
        <v>F</v>
      </c>
      <c r="C288" s="34" t="n">
        <f aca="false">IF(ISNUMBER('SA Data'!R288),'SA Data'!R288,C287*(1+'Weights &amp; Assumptions'!$C$33/100))</f>
        <v>150.516367614643</v>
      </c>
      <c r="D288" s="34" t="n">
        <f aca="false">IF(ISNUMBER('SA Data'!S288),'SA Data'!S288,D287*(1+'Weights &amp; Assumptions'!$C$34/100))</f>
        <v>123.685219380222</v>
      </c>
      <c r="E288" s="34" t="n">
        <f aca="false">IF(ISNUMBER('SA Data'!T288),'SA Data'!T288,E287*(1+'Weights &amp; Assumptions'!$C$35/100))</f>
        <v>169.979908395028</v>
      </c>
      <c r="F288" s="34" t="n">
        <f aca="false">IFERROR(C288*'Weights &amp; Assumptions'!$B$25/'Weights &amp; Assumptions'!$B$28+D288*'Weights &amp; Assumptions'!$B$26/'Weights &amp; Assumptions'!$B$28+E288*'Weights &amp; Assumptions'!$B$27/'Weights &amp; Assumptions'!$B$28,"")</f>
        <v>156.036334633721</v>
      </c>
      <c r="G288" s="31" t="n">
        <f aca="false">IFERROR((F288/F287-1)*100,"")</f>
        <v>0.306485744009399</v>
      </c>
      <c r="H288" s="31" t="n">
        <f aca="false">IFERROR((F288/F276-1)*100,"")</f>
        <v>2.74804120041121</v>
      </c>
      <c r="I288" s="31" t="n">
        <f aca="false">IFERROR((C288/C287-1)*100,"")</f>
        <v>0.249999999999995</v>
      </c>
      <c r="J288" s="31" t="n">
        <f aca="false">IFERROR((D288/D287-1)*100,"")</f>
        <v>0.350000000000006</v>
      </c>
      <c r="K288" s="31" t="n">
        <f aca="false">IFERROR((E288/E287-1)*100,"")</f>
        <v>0.299999999999989</v>
      </c>
    </row>
    <row r="289" customFormat="false" ht="15" hidden="false" customHeight="false" outlineLevel="0" collapsed="false">
      <c r="A289" s="20" t="n">
        <v>46599</v>
      </c>
      <c r="B289" s="33" t="str">
        <f aca="false">IF(ISNUMBER('SA Data'!T289),"A","F")</f>
        <v>F</v>
      </c>
      <c r="C289" s="34" t="n">
        <f aca="false">IF(ISNUMBER('SA Data'!R289),'SA Data'!R289,C288*(1+'Weights &amp; Assumptions'!$C$33/100))</f>
        <v>150.892658533679</v>
      </c>
      <c r="D289" s="34" t="n">
        <f aca="false">IF(ISNUMBER('SA Data'!S289),'SA Data'!S289,D288*(1+'Weights &amp; Assumptions'!$C$34/100))</f>
        <v>124.118117648053</v>
      </c>
      <c r="E289" s="34" t="n">
        <f aca="false">IF(ISNUMBER('SA Data'!T289),'SA Data'!T289,E288*(1+'Weights &amp; Assumptions'!$C$35/100))</f>
        <v>170.489848120214</v>
      </c>
      <c r="F289" s="34" t="n">
        <f aca="false">IFERROR(C289*'Weights &amp; Assumptions'!$B$25/'Weights &amp; Assumptions'!$B$28+D289*'Weights &amp; Assumptions'!$B$26/'Weights &amp; Assumptions'!$B$28+E289*'Weights &amp; Assumptions'!$B$27/'Weights &amp; Assumptions'!$B$28,"")</f>
        <v>156.514574443565</v>
      </c>
      <c r="G289" s="31" t="n">
        <f aca="false">IFERROR((F289/F288-1)*100,"")</f>
        <v>0.306492594155139</v>
      </c>
      <c r="H289" s="31" t="n">
        <f aca="false">IFERROR((F289/F277-1)*100,"")</f>
        <v>2.91277729041273</v>
      </c>
      <c r="I289" s="31" t="n">
        <f aca="false">IFERROR((C289/C288-1)*100,"")</f>
        <v>0.249999999999995</v>
      </c>
      <c r="J289" s="31" t="n">
        <f aca="false">IFERROR((D289/D288-1)*100,"")</f>
        <v>0.350000000000006</v>
      </c>
      <c r="K289" s="31" t="n">
        <f aca="false">IFERROR((E289/E288-1)*100,"")</f>
        <v>0.299999999999989</v>
      </c>
    </row>
    <row r="290" customFormat="false" ht="15" hidden="false" customHeight="false" outlineLevel="0" collapsed="false">
      <c r="A290" s="20" t="n">
        <v>46630</v>
      </c>
      <c r="B290" s="33" t="str">
        <f aca="false">IF(ISNUMBER('SA Data'!T290),"A","F")</f>
        <v>F</v>
      </c>
      <c r="C290" s="34" t="n">
        <f aca="false">IF(ISNUMBER('SA Data'!R290),'SA Data'!R290,C289*(1+'Weights &amp; Assumptions'!$C$33/100))</f>
        <v>151.269890180013</v>
      </c>
      <c r="D290" s="34" t="n">
        <f aca="false">IF(ISNUMBER('SA Data'!S290),'SA Data'!S290,D289*(1+'Weights &amp; Assumptions'!$C$34/100))</f>
        <v>124.552531059821</v>
      </c>
      <c r="E290" s="34" t="n">
        <f aca="false">IF(ISNUMBER('SA Data'!T290),'SA Data'!T290,E289*(1+'Weights &amp; Assumptions'!$C$35/100))</f>
        <v>171.001317664574</v>
      </c>
      <c r="F290" s="34" t="n">
        <f aca="false">IFERROR(C290*'Weights &amp; Assumptions'!$B$25/'Weights &amp; Assumptions'!$B$28+D290*'Weights &amp; Assumptions'!$B$26/'Weights &amp; Assumptions'!$B$28+E290*'Weights &amp; Assumptions'!$B$27/'Weights &amp; Assumptions'!$B$28,"")</f>
        <v>156.994290744883</v>
      </c>
      <c r="G290" s="31" t="n">
        <f aca="false">IFERROR((F290/F289-1)*100,"")</f>
        <v>0.306499444555608</v>
      </c>
      <c r="H290" s="31" t="n">
        <f aca="false">IFERROR((F290/F278-1)*100,"")</f>
        <v>3.07778261977125</v>
      </c>
      <c r="I290" s="31" t="n">
        <f aca="false">IFERROR((C290/C289-1)*100,"")</f>
        <v>0.249999999999995</v>
      </c>
      <c r="J290" s="31" t="n">
        <f aca="false">IFERROR((D290/D289-1)*100,"")</f>
        <v>0.350000000000006</v>
      </c>
      <c r="K290" s="31" t="n">
        <f aca="false">IFERROR((E290/E289-1)*100,"")</f>
        <v>0.299999999999989</v>
      </c>
    </row>
    <row r="291" customFormat="false" ht="15" hidden="false" customHeight="false" outlineLevel="0" collapsed="false">
      <c r="A291" s="20" t="n">
        <v>46660</v>
      </c>
      <c r="B291" s="33" t="str">
        <f aca="false">IF(ISNUMBER('SA Data'!T291),"A","F")</f>
        <v>F</v>
      </c>
      <c r="C291" s="34" t="n">
        <f aca="false">IF(ISNUMBER('SA Data'!R291),'SA Data'!R291,C290*(1+'Weights &amp; Assumptions'!$C$33/100))</f>
        <v>151.648064905463</v>
      </c>
      <c r="D291" s="34" t="n">
        <f aca="false">IF(ISNUMBER('SA Data'!S291),'SA Data'!S291,D290*(1+'Weights &amp; Assumptions'!$C$34/100))</f>
        <v>124.98846491853</v>
      </c>
      <c r="E291" s="34" t="n">
        <f aca="false">IF(ISNUMBER('SA Data'!T291),'SA Data'!T291,E290*(1+'Weights &amp; Assumptions'!$C$35/100))</f>
        <v>171.514321617568</v>
      </c>
      <c r="F291" s="34" t="n">
        <f aca="false">IFERROR(C291*'Weights &amp; Assumptions'!$B$25/'Weights &amp; Assumptions'!$B$28+D291*'Weights &amp; Assumptions'!$B$26/'Weights &amp; Assumptions'!$B$28+E291*'Weights &amp; Assumptions'!$B$27/'Weights &amp; Assumptions'!$B$28,"")</f>
        <v>157.475488129138</v>
      </c>
      <c r="G291" s="31" t="n">
        <f aca="false">IFERROR((F291/F290-1)*100,"")</f>
        <v>0.306506295210918</v>
      </c>
      <c r="H291" s="31" t="n">
        <f aca="false">IFERROR((F291/F279-1)*100,"")</f>
        <v>3.24305763763644</v>
      </c>
      <c r="I291" s="31" t="n">
        <f aca="false">IFERROR((C291/C290-1)*100,"")</f>
        <v>0.249999999999995</v>
      </c>
      <c r="J291" s="31" t="n">
        <f aca="false">IFERROR((D291/D290-1)*100,"")</f>
        <v>0.350000000000006</v>
      </c>
      <c r="K291" s="31" t="n">
        <f aca="false">IFERROR((E291/E290-1)*100,"")</f>
        <v>0.299999999999989</v>
      </c>
    </row>
    <row r="292" customFormat="false" ht="15" hidden="false" customHeight="false" outlineLevel="0" collapsed="false">
      <c r="A292" s="20" t="n">
        <v>46691</v>
      </c>
      <c r="B292" s="33" t="str">
        <f aca="false">IF(ISNUMBER('SA Data'!T292),"A","F")</f>
        <v>F</v>
      </c>
      <c r="C292" s="34" t="n">
        <f aca="false">IF(ISNUMBER('SA Data'!R292),'SA Data'!R292,C291*(1+'Weights &amp; Assumptions'!$C$33/100))</f>
        <v>152.027185067727</v>
      </c>
      <c r="D292" s="34" t="n">
        <f aca="false">IF(ISNUMBER('SA Data'!S292),'SA Data'!S292,D291*(1+'Weights &amp; Assumptions'!$C$34/100))</f>
        <v>125.425924545745</v>
      </c>
      <c r="E292" s="34" t="n">
        <f aca="false">IF(ISNUMBER('SA Data'!T292),'SA Data'!T292,E291*(1+'Weights &amp; Assumptions'!$C$35/100))</f>
        <v>172.028864582421</v>
      </c>
      <c r="F292" s="34" t="n">
        <f aca="false">IFERROR(C292*'Weights &amp; Assumptions'!$B$25/'Weights &amp; Assumptions'!$B$28+D292*'Weights &amp; Assumptions'!$B$26/'Weights &amp; Assumptions'!$B$28+E292*'Weights &amp; Assumptions'!$B$27/'Weights &amp; Assumptions'!$B$28,"")</f>
        <v>157.958171202172</v>
      </c>
      <c r="G292" s="31" t="n">
        <f aca="false">IFERROR((F292/F291-1)*100,"")</f>
        <v>0.30651314612129</v>
      </c>
      <c r="H292" s="31" t="n">
        <f aca="false">IFERROR((F292/F280-1)*100,"")</f>
        <v>3.40860279392345</v>
      </c>
      <c r="I292" s="31" t="n">
        <f aca="false">IFERROR((C292/C291-1)*100,"")</f>
        <v>0.249999999999995</v>
      </c>
      <c r="J292" s="31" t="n">
        <f aca="false">IFERROR((D292/D291-1)*100,"")</f>
        <v>0.350000000000006</v>
      </c>
      <c r="K292" s="31" t="n">
        <f aca="false">IFERROR((E292/E291-1)*100,"")</f>
        <v>0.299999999999989</v>
      </c>
    </row>
    <row r="293" customFormat="false" ht="15" hidden="false" customHeight="false" outlineLevel="0" collapsed="false">
      <c r="A293" s="20" t="n">
        <v>46721</v>
      </c>
      <c r="B293" s="33" t="str">
        <f aca="false">IF(ISNUMBER('SA Data'!T293),"A","F")</f>
        <v>F</v>
      </c>
      <c r="C293" s="34" t="n">
        <f aca="false">IF(ISNUMBER('SA Data'!R293),'SA Data'!R293,C292*(1+'Weights &amp; Assumptions'!$C$33/100))</f>
        <v>152.407253030396</v>
      </c>
      <c r="D293" s="34" t="n">
        <f aca="false">IF(ISNUMBER('SA Data'!S293),'SA Data'!S293,D292*(1+'Weights &amp; Assumptions'!$C$34/100))</f>
        <v>125.864915281655</v>
      </c>
      <c r="E293" s="34" t="n">
        <f aca="false">IF(ISNUMBER('SA Data'!T293),'SA Data'!T293,E292*(1+'Weights &amp; Assumptions'!$C$35/100))</f>
        <v>172.544951176168</v>
      </c>
      <c r="F293" s="34" t="n">
        <f aca="false">IFERROR(C293*'Weights &amp; Assumptions'!$B$25/'Weights &amp; Assumptions'!$B$28+D293*'Weights &amp; Assumptions'!$B$26/'Weights &amp; Assumptions'!$B$28+E293*'Weights &amp; Assumptions'!$B$27/'Weights &amp; Assumptions'!$B$28,"")</f>
        <v>158.442344584256</v>
      </c>
      <c r="G293" s="31" t="n">
        <f aca="false">IFERROR((F293/F292-1)*100,"")</f>
        <v>0.306519997286858</v>
      </c>
      <c r="H293" s="31" t="n">
        <f aca="false">IFERROR((F293/F281-1)*100,"")</f>
        <v>3.57441853931408</v>
      </c>
      <c r="I293" s="31" t="n">
        <f aca="false">IFERROR((C293/C292-1)*100,"")</f>
        <v>0.249999999999995</v>
      </c>
      <c r="J293" s="31" t="n">
        <f aca="false">IFERROR((D293/D292-1)*100,"")</f>
        <v>0.350000000000006</v>
      </c>
      <c r="K293" s="31" t="n">
        <f aca="false">IFERROR((E293/E292-1)*100,"")</f>
        <v>0.299999999999989</v>
      </c>
    </row>
    <row r="294" customFormat="false" ht="15" hidden="false" customHeight="false" outlineLevel="0" collapsed="false">
      <c r="A294" s="20" t="n">
        <v>46752</v>
      </c>
      <c r="B294" s="33" t="str">
        <f aca="false">IF(ISNUMBER('SA Data'!T294),"A","F")</f>
        <v>F</v>
      </c>
      <c r="C294" s="34" t="n">
        <f aca="false">IF(ISNUMBER('SA Data'!R294),'SA Data'!R294,C293*(1+'Weights &amp; Assumptions'!$C$33/100))</f>
        <v>152.788271162972</v>
      </c>
      <c r="D294" s="34" t="n">
        <f aca="false">IF(ISNUMBER('SA Data'!S294),'SA Data'!S294,D293*(1+'Weights &amp; Assumptions'!$C$34/100))</f>
        <v>126.305442485141</v>
      </c>
      <c r="E294" s="34" t="n">
        <f aca="false">IF(ISNUMBER('SA Data'!T294),'SA Data'!T294,E293*(1+'Weights &amp; Assumptions'!$C$35/100))</f>
        <v>173.062586029696</v>
      </c>
      <c r="F294" s="34" t="n">
        <f aca="false">IFERROR(C294*'Weights &amp; Assumptions'!$B$25/'Weights &amp; Assumptions'!$B$28+D294*'Weights &amp; Assumptions'!$B$26/'Weights &amp; Assumptions'!$B$28+E294*'Weights &amp; Assumptions'!$B$27/'Weights &amp; Assumptions'!$B$28,"")</f>
        <v>158.928012910128</v>
      </c>
      <c r="G294" s="31" t="n">
        <f aca="false">IFERROR((F294/F293-1)*100,"")</f>
        <v>0.3065268487078</v>
      </c>
      <c r="H294" s="31" t="n">
        <f aca="false">IFERROR((F294/F282-1)*100,"")</f>
        <v>3.74050532525829</v>
      </c>
      <c r="I294" s="31" t="n">
        <f aca="false">IFERROR((C294/C293-1)*100,"")</f>
        <v>0.249999999999995</v>
      </c>
      <c r="J294" s="31" t="n">
        <f aca="false">IFERROR((D294/D293-1)*100,"")</f>
        <v>0.350000000000006</v>
      </c>
      <c r="K294" s="31" t="n">
        <f aca="false">IFERROR((E294/E293-1)*100,"")</f>
        <v>0.299999999999989</v>
      </c>
    </row>
    <row r="297" customFormat="false" ht="15" hidden="false" customHeight="false" outlineLevel="0" collapsed="false">
      <c r="A297" s="6" t="s">
        <v>513</v>
      </c>
    </row>
    <row r="298" customFormat="false" ht="23.85" hidden="false" customHeight="false" outlineLevel="0" collapsed="false">
      <c r="A298" s="7" t="s">
        <v>514</v>
      </c>
      <c r="B298" s="7" t="s">
        <v>515</v>
      </c>
      <c r="C298" s="7" t="s">
        <v>516</v>
      </c>
      <c r="D298" s="7" t="s">
        <v>517</v>
      </c>
      <c r="E298" s="7" t="s">
        <v>518</v>
      </c>
      <c r="F298" s="7" t="s">
        <v>519</v>
      </c>
      <c r="G298" s="7" t="s">
        <v>520</v>
      </c>
      <c r="H298" s="7" t="s">
        <v>521</v>
      </c>
      <c r="I298" s="7" t="s">
        <v>522</v>
      </c>
      <c r="J298" s="7" t="s">
        <v>523</v>
      </c>
      <c r="K298" s="7" t="s">
        <v>524</v>
      </c>
      <c r="L298" s="7" t="s">
        <v>525</v>
      </c>
    </row>
    <row r="299" customFormat="false" ht="15" hidden="false" customHeight="false" outlineLevel="0" collapsed="false">
      <c r="A299" s="8" t="s">
        <v>526</v>
      </c>
      <c r="B299" s="35" t="n">
        <f aca="false">AVERAGE(C187:C198)</f>
        <v>134.246106859435</v>
      </c>
      <c r="C299" s="35" t="n">
        <f aca="false">AVERAGE(D187:D198)</f>
        <v>119.450700518862</v>
      </c>
      <c r="D299" s="35" t="n">
        <f aca="false">AVERAGE(E187:E198)</f>
        <v>157.191676988155</v>
      </c>
      <c r="E299" s="35" t="n">
        <f aca="false">AVERAGE(F187:F198)</f>
        <v>145.230539650298</v>
      </c>
      <c r="F299" s="36"/>
      <c r="G299" s="36"/>
      <c r="H299" s="36"/>
      <c r="I299" s="36"/>
      <c r="J299" s="36"/>
      <c r="K299" s="36"/>
      <c r="L299" s="36"/>
    </row>
    <row r="300" customFormat="false" ht="15" hidden="false" customHeight="false" outlineLevel="0" collapsed="false">
      <c r="A300" s="8" t="s">
        <v>527</v>
      </c>
      <c r="B300" s="35" t="n">
        <f aca="false">AVERAGE(C199:C210)</f>
        <v>126.81994616763</v>
      </c>
      <c r="C300" s="35" t="n">
        <f aca="false">AVERAGE(D199:D210)</f>
        <v>105.471434232536</v>
      </c>
      <c r="D300" s="35" t="n">
        <f aca="false">AVERAGE(E199:E210)</f>
        <v>139.297293061684</v>
      </c>
      <c r="E300" s="35" t="n">
        <f aca="false">AVERAGE(F199:F210)</f>
        <v>129.25554653529</v>
      </c>
      <c r="F300" s="11" t="n">
        <f aca="false">(B300/B299-1)*100</f>
        <v>-5.53175124816143</v>
      </c>
      <c r="G300" s="11" t="n">
        <f aca="false">(C300/C299-1)*100</f>
        <v>-11.7029588153132</v>
      </c>
      <c r="H300" s="11" t="n">
        <f aca="false">(D300/D299-1)*100</f>
        <v>-11.3837986013848</v>
      </c>
      <c r="I300" s="37" t="n">
        <f aca="false">(E300/E299-1)*100</f>
        <v>-10.999747817143</v>
      </c>
      <c r="J300" s="11" t="n">
        <f aca="false">(B300-B299)*'Weights &amp; Assumptions'!$B$25/'Weights &amp; Assumptions'!$B$28/E299*100</f>
        <v>-0.429015180678442</v>
      </c>
      <c r="K300" s="11" t="n">
        <f aca="false">(C300-C299)*'Weights &amp; Assumptions'!$B$26/'Weights &amp; Assumptions'!$B$28/E299*100</f>
        <v>-2.55960702660467</v>
      </c>
      <c r="L300" s="11" t="n">
        <f aca="false">(D300-D299)*'Weights &amp; Assumptions'!$B$27/'Weights &amp; Assumptions'!$B$28/E299*100</f>
        <v>-8.01112560985984</v>
      </c>
    </row>
    <row r="301" customFormat="false" ht="15" hidden="false" customHeight="false" outlineLevel="0" collapsed="false">
      <c r="A301" s="8" t="s">
        <v>528</v>
      </c>
      <c r="B301" s="35" t="n">
        <f aca="false">AVERAGE(C211:C222)</f>
        <v>129.69002159543</v>
      </c>
      <c r="C301" s="35" t="n">
        <f aca="false">AVERAGE(D211:D222)</f>
        <v>124.733812385964</v>
      </c>
      <c r="D301" s="35" t="n">
        <f aca="false">AVERAGE(E211:E222)</f>
        <v>152.491326550105</v>
      </c>
      <c r="E301" s="35" t="n">
        <f aca="false">AVERAGE(F211:F222)</f>
        <v>143.197070200116</v>
      </c>
      <c r="F301" s="11" t="n">
        <f aca="false">(B301/B300-1)*100</f>
        <v>2.26311042902176</v>
      </c>
      <c r="G301" s="11" t="n">
        <f aca="false">(C301/C300-1)*100</f>
        <v>18.2631233694606</v>
      </c>
      <c r="H301" s="11" t="n">
        <f aca="false">(D301/D300-1)*100</f>
        <v>9.47185203561634</v>
      </c>
      <c r="I301" s="37" t="n">
        <f aca="false">(E301/E300-1)*100</f>
        <v>10.786015794703</v>
      </c>
      <c r="J301" s="11" t="n">
        <f aca="false">(B301-B300)*'Weights &amp; Assumptions'!$B$25/'Weights &amp; Assumptions'!$B$28/E300*100</f>
        <v>0.186298942922826</v>
      </c>
      <c r="K301" s="11" t="n">
        <f aca="false">(C301-C300)*'Weights &amp; Assumptions'!$B$26/'Weights &amp; Assumptions'!$B$28/E300*100</f>
        <v>3.96284953852949</v>
      </c>
      <c r="L301" s="11" t="n">
        <f aca="false">(D301-D300)*'Weights &amp; Assumptions'!$B$27/'Weights &amp; Assumptions'!$B$28/E300*100</f>
        <v>6.63686731325068</v>
      </c>
    </row>
    <row r="302" customFormat="false" ht="15" hidden="false" customHeight="false" outlineLevel="0" collapsed="false">
      <c r="A302" s="8" t="s">
        <v>529</v>
      </c>
      <c r="B302" s="35" t="n">
        <f aca="false">AVERAGE(C223:C234)</f>
        <v>123.167474806162</v>
      </c>
      <c r="C302" s="35" t="n">
        <f aca="false">AVERAGE(D223:D234)</f>
        <v>131.745084104403</v>
      </c>
      <c r="D302" s="35" t="n">
        <f aca="false">AVERAGE(E223:E234)</f>
        <v>161.729304182856</v>
      </c>
      <c r="E302" s="35" t="n">
        <f aca="false">AVERAGE(F223:F234)</f>
        <v>150.520606718895</v>
      </c>
      <c r="F302" s="11" t="n">
        <f aca="false">(B302/B301-1)*100</f>
        <v>-5.02933588030035</v>
      </c>
      <c r="G302" s="11" t="n">
        <f aca="false">(C302/C301-1)*100</f>
        <v>5.62098727227556</v>
      </c>
      <c r="H302" s="11" t="n">
        <f aca="false">(D302/D301-1)*100</f>
        <v>6.05803480220573</v>
      </c>
      <c r="I302" s="37" t="n">
        <f aca="false">(E302/E301-1)*100</f>
        <v>5.11430611572192</v>
      </c>
      <c r="J302" s="11" t="n">
        <f aca="false">(B302-B301)*'Weights &amp; Assumptions'!$B$25/'Weights &amp; Assumptions'!$B$28/E301*100</f>
        <v>-0.382163617528918</v>
      </c>
      <c r="K302" s="11" t="n">
        <f aca="false">(C302-C301)*'Weights &amp; Assumptions'!$B$26/'Weights &amp; Assumptions'!$B$28/E301*100</f>
        <v>1.30199564933776</v>
      </c>
      <c r="L302" s="11" t="n">
        <f aca="false">(D302-D301)*'Weights &amp; Assumptions'!$B$27/'Weights &amp; Assumptions'!$B$28/E301*100</f>
        <v>4.19447408391307</v>
      </c>
    </row>
    <row r="303" customFormat="false" ht="15" hidden="false" customHeight="false" outlineLevel="0" collapsed="false">
      <c r="A303" s="8" t="s">
        <v>530</v>
      </c>
      <c r="B303" s="35" t="n">
        <f aca="false">AVERAGE(C235:C246)</f>
        <v>103.148819692987</v>
      </c>
      <c r="C303" s="35" t="n">
        <f aca="false">AVERAGE(D235:D246)</f>
        <v>131.270310863219</v>
      </c>
      <c r="D303" s="35" t="n">
        <f aca="false">AVERAGE(E235:E246)</f>
        <v>163.068099992488</v>
      </c>
      <c r="E303" s="35" t="n">
        <f aca="false">AVERAGE(F235:F246)</f>
        <v>149.585234932133</v>
      </c>
      <c r="F303" s="11" t="n">
        <f aca="false">(B303/B302-1)*100</f>
        <v>-16.2531992676472</v>
      </c>
      <c r="G303" s="11" t="n">
        <f aca="false">(C303/C302-1)*100</f>
        <v>-0.360372642676843</v>
      </c>
      <c r="H303" s="11" t="n">
        <f aca="false">(D303/D302-1)*100</f>
        <v>0.827800389296618</v>
      </c>
      <c r="I303" s="37" t="n">
        <f aca="false">(E303/E302-1)*100</f>
        <v>-0.621424406366278</v>
      </c>
      <c r="J303" s="11" t="n">
        <f aca="false">(B303-B302)*'Weights &amp; Assumptions'!$B$25/'Weights &amp; Assumptions'!$B$28/E302*100</f>
        <v>-1.11584842773291</v>
      </c>
      <c r="K303" s="11" t="n">
        <f aca="false">(C303-C302)*'Weights &amp; Assumptions'!$B$26/'Weights &amp; Assumptions'!$B$28/E302*100</f>
        <v>-0.0838758898201327</v>
      </c>
      <c r="L303" s="11" t="n">
        <f aca="false">(D303-D302)*'Weights &amp; Assumptions'!$B$27/'Weights &amp; Assumptions'!$B$28/E302*100</f>
        <v>0.578299911186763</v>
      </c>
    </row>
    <row r="304" customFormat="false" ht="15" hidden="false" customHeight="false" outlineLevel="0" collapsed="false">
      <c r="A304" s="8" t="s">
        <v>531</v>
      </c>
      <c r="B304" s="35" t="n">
        <f aca="false">AVERAGE(C247:C258)</f>
        <v>123.131690702763</v>
      </c>
      <c r="C304" s="35" t="n">
        <f aca="false">AVERAGE(D247:D258)</f>
        <v>118.949536256776</v>
      </c>
      <c r="D304" s="35" t="n">
        <f aca="false">AVERAGE(E247:E258)</f>
        <v>160.424056772228</v>
      </c>
      <c r="E304" s="35" t="n">
        <f aca="false">AVERAGE(F247:F258)</f>
        <v>146.266396735526</v>
      </c>
      <c r="F304" s="11" t="n">
        <f aca="false">(B304/B303-1)*100</f>
        <v>19.3728547444882</v>
      </c>
      <c r="G304" s="11" t="n">
        <f aca="false">(C304/C303-1)*100</f>
        <v>-9.38580439508572</v>
      </c>
      <c r="H304" s="11" t="n">
        <f aca="false">(D304/D303-1)*100</f>
        <v>-1.62143498353288</v>
      </c>
      <c r="I304" s="37" t="n">
        <f aca="false">(E304/E303-1)*100</f>
        <v>-2.21869370871586</v>
      </c>
      <c r="J304" s="11" t="n">
        <f aca="false">(B304-B303)*'Weights &amp; Assumptions'!$B$25/'Weights &amp; Assumptions'!$B$28/E303*100</f>
        <v>1.12081884832611</v>
      </c>
      <c r="K304" s="11" t="n">
        <f aca="false">(C304-C303)*'Weights &amp; Assumptions'!$B$26/'Weights &amp; Assumptions'!$B$28/E303*100</f>
        <v>-2.19026242173174</v>
      </c>
      <c r="L304" s="11" t="n">
        <f aca="false">(D304-D303)*'Weights &amp; Assumptions'!$B$27/'Weights &amp; Assumptions'!$B$28/E303*100</f>
        <v>-1.14925013531023</v>
      </c>
    </row>
    <row r="305" customFormat="false" ht="15" hidden="false" customHeight="false" outlineLevel="0" collapsed="false">
      <c r="A305" s="8" t="s">
        <v>532</v>
      </c>
      <c r="B305" s="35" t="n">
        <f aca="false">AVERAGE(C259:C270)</f>
        <v>131.004295272816</v>
      </c>
      <c r="C305" s="35" t="n">
        <f aca="false">AVERAGE(D259:D270)</f>
        <v>121.86194307921</v>
      </c>
      <c r="D305" s="35" t="n">
        <f aca="false">AVERAGE(E259:E270)</f>
        <v>166.607198344765</v>
      </c>
      <c r="E305" s="35" t="n">
        <f aca="false">AVERAGE(F259:F270)</f>
        <v>151.721540155736</v>
      </c>
      <c r="F305" s="11" t="n">
        <f aca="false">(B305/B304-1)*100</f>
        <v>6.39364612401598</v>
      </c>
      <c r="G305" s="11" t="n">
        <f aca="false">(C305/C304-1)*100</f>
        <v>2.44843898856926</v>
      </c>
      <c r="H305" s="11" t="n">
        <f aca="false">(D305/D304-1)*100</f>
        <v>3.85424835710049</v>
      </c>
      <c r="I305" s="37" t="n">
        <f aca="false">(E305/E304-1)*100</f>
        <v>3.72959445365564</v>
      </c>
      <c r="J305" s="11" t="n">
        <f aca="false">(B305-B304)*'Weights &amp; Assumptions'!$B$25/'Weights &amp; Assumptions'!$B$28/E304*100</f>
        <v>0.451585661325997</v>
      </c>
      <c r="K305" s="11" t="n">
        <f aca="false">(C305-C304)*'Weights &amp; Assumptions'!$B$26/'Weights &amp; Assumptions'!$B$28/E304*100</f>
        <v>0.529485832544613</v>
      </c>
      <c r="L305" s="11" t="n">
        <f aca="false">(D305-D304)*'Weights &amp; Assumptions'!$B$27/'Weights &amp; Assumptions'!$B$28/E304*100</f>
        <v>2.74852295978502</v>
      </c>
    </row>
    <row r="306" customFormat="false" ht="15" hidden="false" customHeight="false" outlineLevel="0" collapsed="false">
      <c r="A306" s="8" t="s">
        <v>533</v>
      </c>
      <c r="B306" s="35" t="n">
        <f aca="false">AVERAGE(C271:C282)</f>
        <v>146.657282438443</v>
      </c>
      <c r="C306" s="35" t="n">
        <f aca="false">AVERAGE(D271:D282)</f>
        <v>121.803685668562</v>
      </c>
      <c r="D306" s="35" t="n">
        <f aca="false">AVERAGE(E271:E282)</f>
        <v>166.634096010763</v>
      </c>
      <c r="E306" s="35" t="n">
        <f aca="false">AVERAGE(F271:F282)</f>
        <v>153.036835512376</v>
      </c>
      <c r="F306" s="11" t="n">
        <f aca="false">(B306/B305-1)*100</f>
        <v>11.948453394623</v>
      </c>
      <c r="G306" s="11" t="n">
        <f aca="false">(C306/C305-1)*100</f>
        <v>-0.0478060739680486</v>
      </c>
      <c r="H306" s="11" t="n">
        <f aca="false">(D306/D305-1)*100</f>
        <v>0.016144360066872</v>
      </c>
      <c r="I306" s="37" t="n">
        <f aca="false">(E306/E305-1)*100</f>
        <v>0.86691405537378</v>
      </c>
      <c r="J306" s="11" t="n">
        <f aca="false">(B306-B305)*'Weights &amp; Assumptions'!$B$25/'Weights &amp; Assumptions'!$B$28/E305*100</f>
        <v>0.865598021373825</v>
      </c>
      <c r="K306" s="11" t="n">
        <f aca="false">(C306-C305)*'Weights &amp; Assumptions'!$B$26/'Weights &amp; Assumptions'!$B$28/E305*100</f>
        <v>-0.0102105891657126</v>
      </c>
      <c r="L306" s="11" t="n">
        <f aca="false">(D306-D305)*'Weights &amp; Assumptions'!$B$27/'Weights &amp; Assumptions'!$B$28/E305*100</f>
        <v>0.0115266231656788</v>
      </c>
    </row>
    <row r="307" customFormat="false" ht="15" hidden="false" customHeight="false" outlineLevel="0" collapsed="false">
      <c r="A307" s="8" t="s">
        <v>534</v>
      </c>
      <c r="B307" s="35" t="n">
        <f aca="false">AVERAGE(C283:C294)</f>
        <v>150.70999386237</v>
      </c>
      <c r="C307" s="35" t="n">
        <f aca="false">AVERAGE(D283:D294)</f>
        <v>123.910491612951</v>
      </c>
      <c r="D307" s="35" t="n">
        <f aca="false">AVERAGE(E283:E294)</f>
        <v>170.243788984861</v>
      </c>
      <c r="E307" s="35" t="n">
        <f aca="false">AVERAGE(F283:F294)</f>
        <v>156.284054189215</v>
      </c>
      <c r="F307" s="11" t="n">
        <f aca="false">(B307/B306-1)*100</f>
        <v>2.76338914545806</v>
      </c>
      <c r="G307" s="11" t="n">
        <f aca="false">(C307/C306-1)*100</f>
        <v>1.72967339438461</v>
      </c>
      <c r="H307" s="11" t="n">
        <f aca="false">(D307/D306-1)*100</f>
        <v>2.16623911943252</v>
      </c>
      <c r="I307" s="37" t="n">
        <f aca="false">(E307/E306-1)*100</f>
        <v>2.12185430126524</v>
      </c>
      <c r="J307" s="11" t="n">
        <f aca="false">(B307-B306)*'Weights &amp; Assumptions'!$B$25/'Weights &amp; Assumptions'!$B$28/E306*100</f>
        <v>0.222185632621591</v>
      </c>
      <c r="K307" s="11" t="n">
        <f aca="false">(C307-C306)*'Weights &amp; Assumptions'!$B$26/'Weights &amp; Assumptions'!$B$28/E306*100</f>
        <v>0.366079513321954</v>
      </c>
      <c r="L307" s="11" t="n">
        <f aca="false">(D307-D306)*'Weights &amp; Assumptions'!$B$27/'Weights &amp; Assumptions'!$B$28/E306*100</f>
        <v>1.53358915532168</v>
      </c>
    </row>
    <row r="310" customFormat="false" ht="15" hidden="false" customHeight="false" outlineLevel="0" collapsed="false">
      <c r="A310" s="6" t="s">
        <v>535</v>
      </c>
    </row>
    <row r="311" customFormat="false" ht="15" hidden="false" customHeight="false" outlineLevel="0" collapsed="false">
      <c r="A311" s="5" t="s">
        <v>536</v>
      </c>
    </row>
    <row r="312" customFormat="false" ht="15" hidden="false" customHeight="false" outlineLevel="0" collapsed="false">
      <c r="A312" s="7"/>
      <c r="B312" s="7" t="s">
        <v>533</v>
      </c>
      <c r="C312" s="7" t="s">
        <v>534</v>
      </c>
      <c r="E312" s="13" t="s">
        <v>537</v>
      </c>
      <c r="F312" s="22" t="n">
        <f aca="false">COUNTIF($B$271:$B$282,"A")</f>
        <v>5</v>
      </c>
      <c r="G312" s="22" t="n">
        <f aca="false">COUNTIF($B$283:$B$294,"A")</f>
        <v>0</v>
      </c>
    </row>
    <row r="313" customFormat="false" ht="15" hidden="false" customHeight="false" outlineLevel="0" collapsed="false">
      <c r="A313" s="22" t="s">
        <v>538</v>
      </c>
      <c r="B313" s="11" t="n">
        <f aca="false">IFERROR(((SUMIF($B$271:$B$282,"A",$F$271:$F$282)+INDEX($F$271:$F$282,MAX(1,$F$312))*(12-$F$312))/12/E305-1)*100,"")</f>
        <v>0.525593809339098</v>
      </c>
      <c r="C313" s="11" t="n">
        <f aca="false">IFERROR(((SUMIF($B$283:$B$294,"A",$F$283:$F$294)+IF($G$312&gt;0,INDEX($F$283:$F$294,$G$312),INDEX($F$271:$F$282,MAX(1,$F$312)))*(12-$G$312))/12/E306-1)*100,"")</f>
        <v>-0.911575605331239</v>
      </c>
    </row>
    <row r="314" customFormat="false" ht="15" hidden="false" customHeight="false" outlineLevel="0" collapsed="false">
      <c r="A314" s="13" t="s">
        <v>539</v>
      </c>
      <c r="B314" s="11" t="n">
        <f aca="false">I306</f>
        <v>0.86691405537378</v>
      </c>
      <c r="C314" s="11" t="n">
        <f aca="false">I307</f>
        <v>2.12185430126524</v>
      </c>
    </row>
    <row r="315" customFormat="false" ht="15" hidden="false" customHeight="false" outlineLevel="0" collapsed="false">
      <c r="A315" s="22" t="s">
        <v>540</v>
      </c>
      <c r="B315" s="11" t="n">
        <f aca="false">B314-B313</f>
        <v>0.341320246034682</v>
      </c>
      <c r="C315" s="11" t="n">
        <f aca="false">C314-C313</f>
        <v>3.03342990659647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3"/>
    <col collapsed="false" customWidth="true" hidden="false" outlineLevel="0" max="5" min="3" style="0" width="12"/>
    <col collapsed="false" customWidth="true" hidden="false" outlineLevel="0" max="6" min="6" style="0" width="15"/>
    <col collapsed="false" customWidth="true" hidden="false" outlineLevel="0" max="8" min="7" style="0" width="12"/>
  </cols>
  <sheetData>
    <row r="1" customFormat="false" ht="17.35" hidden="false" customHeight="false" outlineLevel="0" collapsed="false">
      <c r="A1" s="4" t="s">
        <v>541</v>
      </c>
    </row>
    <row r="2" customFormat="false" ht="15" hidden="false" customHeight="false" outlineLevel="0" collapsed="false">
      <c r="A2" s="5" t="s">
        <v>542</v>
      </c>
    </row>
    <row r="4" customFormat="false" ht="15" hidden="false" customHeight="false" outlineLevel="0" collapsed="false">
      <c r="A4" s="6" t="s">
        <v>543</v>
      </c>
    </row>
    <row r="5" customFormat="false" ht="23.85" hidden="false" customHeight="false" outlineLevel="0" collapsed="false">
      <c r="A5" s="7" t="s">
        <v>544</v>
      </c>
      <c r="B5" s="7" t="s">
        <v>545</v>
      </c>
      <c r="C5" s="7" t="s">
        <v>546</v>
      </c>
      <c r="D5" s="7" t="s">
        <v>547</v>
      </c>
      <c r="E5" s="7" t="s">
        <v>548</v>
      </c>
      <c r="F5" s="7" t="s">
        <v>549</v>
      </c>
      <c r="G5" s="7" t="s">
        <v>550</v>
      </c>
      <c r="H5" s="7" t="s">
        <v>551</v>
      </c>
    </row>
    <row r="6" customFormat="false" ht="15" hidden="false" customHeight="false" outlineLevel="0" collapsed="false">
      <c r="A6" s="38" t="s">
        <v>552</v>
      </c>
      <c r="B6" s="39" t="n">
        <f aca="false">'EMAE Analysis'!B275</f>
        <v>153.62027</v>
      </c>
      <c r="C6" s="40" t="n">
        <f aca="false">'EMAE Analysis'!C275</f>
        <v>-0.464005898802866</v>
      </c>
      <c r="D6" s="40" t="n">
        <f aca="false">'EMAE Analysis'!E275</f>
        <v>-0.0200023289521956</v>
      </c>
      <c r="E6" s="40" t="n">
        <f aca="false">'EMAE Analysis'!F275</f>
        <v>0.886415834135201</v>
      </c>
      <c r="F6" s="40" t="n">
        <f aca="false">'EMAE Analysis'!G275</f>
        <v>1.84016498335997</v>
      </c>
      <c r="G6" s="36"/>
      <c r="H6" s="36"/>
    </row>
    <row r="7" customFormat="false" ht="15" hidden="false" customHeight="false" outlineLevel="0" collapsed="false">
      <c r="A7" s="38" t="s">
        <v>553</v>
      </c>
      <c r="B7" s="39" t="n">
        <f aca="false">'EMAE Analysis'!H275</f>
        <v>151.641789052674</v>
      </c>
      <c r="C7" s="40" t="n">
        <f aca="false">'EMAE Analysis'!I275</f>
        <v>-1.97579799210308</v>
      </c>
      <c r="D7" s="40" t="n">
        <f aca="false">'EMAE Analysis'!K275</f>
        <v>1.95075854575317</v>
      </c>
      <c r="E7" s="40" t="n">
        <f aca="false">'EMAE Analysis'!L275</f>
        <v>-0.00861358364081521</v>
      </c>
      <c r="F7" s="40" t="n">
        <f aca="false">'EMAE Analysis'!M275</f>
        <v>1.50873545247763</v>
      </c>
      <c r="G7" s="40" t="n">
        <f aca="false">Forecast!I306</f>
        <v>0.86691405537378</v>
      </c>
      <c r="H7" s="40" t="n">
        <f aca="false">Forecast!I307</f>
        <v>2.12185430126524</v>
      </c>
    </row>
    <row r="8" customFormat="false" ht="15" hidden="false" customHeight="false" outlineLevel="0" collapsed="false">
      <c r="A8" s="8" t="s">
        <v>338</v>
      </c>
      <c r="B8" s="39" t="n">
        <f aca="false">'Sub-Index Analysis'!B275</f>
        <v>147.24443805072</v>
      </c>
      <c r="C8" s="40" t="n">
        <f aca="false">'Sub-Index Analysis'!C275</f>
        <v>-3.56875771417707</v>
      </c>
      <c r="D8" s="40" t="n">
        <f aca="false">'Sub-Index Analysis'!E275</f>
        <v>14.7302603144231</v>
      </c>
      <c r="E8" s="40" t="n">
        <f aca="false">'Sub-Index Analysis'!F275</f>
        <v>4.37626772786128</v>
      </c>
      <c r="F8" s="40" t="n">
        <f aca="false">'Sub-Index Analysis'!G275</f>
        <v>11.4501414296118</v>
      </c>
      <c r="G8" s="40" t="n">
        <f aca="false">Forecast!F306</f>
        <v>11.948453394623</v>
      </c>
      <c r="H8" s="40" t="n">
        <f aca="false">Forecast!F307</f>
        <v>2.76338914545806</v>
      </c>
    </row>
    <row r="9" customFormat="false" ht="15" hidden="false" customHeight="false" outlineLevel="0" collapsed="false">
      <c r="A9" s="8" t="s">
        <v>339</v>
      </c>
      <c r="B9" s="39" t="n">
        <f aca="false">'Sub-Index Analysis'!H275</f>
        <v>119.855196252247</v>
      </c>
      <c r="C9" s="40" t="n">
        <f aca="false">'Sub-Index Analysis'!I275</f>
        <v>-3.51512190731651</v>
      </c>
      <c r="D9" s="40" t="n">
        <f aca="false">'Sub-Index Analysis'!K275</f>
        <v>5.2301959803069</v>
      </c>
      <c r="E9" s="40" t="n">
        <f aca="false">'Sub-Index Analysis'!L275</f>
        <v>-1.43744898179198</v>
      </c>
      <c r="F9" s="40" t="n">
        <f aca="false">'Sub-Index Analysis'!M275</f>
        <v>0.258854333525305</v>
      </c>
      <c r="G9" s="40" t="n">
        <f aca="false">Forecast!G306</f>
        <v>-0.0478060739680486</v>
      </c>
      <c r="H9" s="40" t="n">
        <f aca="false">Forecast!G307</f>
        <v>1.72967339438461</v>
      </c>
    </row>
    <row r="10" customFormat="false" ht="15" hidden="false" customHeight="false" outlineLevel="0" collapsed="false">
      <c r="A10" s="8" t="s">
        <v>340</v>
      </c>
      <c r="B10" s="39" t="n">
        <f aca="false">'Sub-Index Analysis'!N275</f>
        <v>165.209614312207</v>
      </c>
      <c r="C10" s="40" t="n">
        <f aca="false">'Sub-Index Analysis'!O275</f>
        <v>-1.32120204140597</v>
      </c>
      <c r="D10" s="40" t="n">
        <f aca="false">'Sub-Index Analysis'!Q275</f>
        <v>-0.361498117713743</v>
      </c>
      <c r="E10" s="40" t="n">
        <f aca="false">'Sub-Index Analysis'!R275</f>
        <v>-0.539267438113456</v>
      </c>
      <c r="F10" s="40" t="n">
        <f aca="false">'Sub-Index Analysis'!S275</f>
        <v>0.610334649266564</v>
      </c>
      <c r="G10" s="40" t="n">
        <f aca="false">Forecast!H306</f>
        <v>0.016144360066872</v>
      </c>
      <c r="H10" s="40" t="n">
        <f aca="false">Forecast!H307</f>
        <v>2.16623911943252</v>
      </c>
    </row>
    <row r="13" customFormat="false" ht="15" hidden="false" customHeight="false" outlineLevel="0" collapsed="false">
      <c r="A13" s="6" t="s">
        <v>554</v>
      </c>
    </row>
    <row r="14" customFormat="false" ht="15" hidden="false" customHeight="false" outlineLevel="0" collapsed="false">
      <c r="A14" s="7" t="s">
        <v>331</v>
      </c>
      <c r="B14" s="7" t="s">
        <v>332</v>
      </c>
      <c r="C14" s="7" t="s">
        <v>440</v>
      </c>
      <c r="D14" s="7" t="s">
        <v>545</v>
      </c>
      <c r="E14" s="7" t="s">
        <v>546</v>
      </c>
      <c r="F14" s="7" t="s">
        <v>547</v>
      </c>
      <c r="G14" s="7" t="s">
        <v>548</v>
      </c>
    </row>
    <row r="15" customFormat="false" ht="15" hidden="false" customHeight="false" outlineLevel="0" collapsed="false">
      <c r="A15" s="8" t="s">
        <v>1</v>
      </c>
      <c r="B15" s="41" t="str">
        <f aca="false">'Weights &amp; Assumptions'!B6</f>
        <v>Primary</v>
      </c>
      <c r="C15" s="29" t="n">
        <f aca="false">'Weights &amp; Assumptions'!C6</f>
        <v>8.2873</v>
      </c>
      <c r="D15" s="39" t="n">
        <f aca="false">'SA Data'!C275</f>
        <v>147.633885728318</v>
      </c>
      <c r="E15" s="11" t="n">
        <f aca="false">('SA Data'!C275/'SA Data'!C274-1)*100</f>
        <v>-3.58332754392942</v>
      </c>
      <c r="F15" s="11" t="n">
        <f aca="false">((AVERAGE('SA Data'!C273:C275)/AVERAGE('SA Data'!C270:C272))^4-1)*100</f>
        <v>18.016580528696</v>
      </c>
      <c r="G15" s="40" t="n">
        <f aca="false">IFERROR((Tabelle1!E276/Tabelle1!E264-1)*100,"")</f>
        <v>4.59014825523032</v>
      </c>
    </row>
    <row r="16" customFormat="false" ht="15" hidden="false" customHeight="false" outlineLevel="0" collapsed="false">
      <c r="A16" s="8" t="s">
        <v>2</v>
      </c>
      <c r="B16" s="41" t="str">
        <f aca="false">'Weights &amp; Assumptions'!B7</f>
        <v>Primary</v>
      </c>
      <c r="C16" s="29" t="n">
        <f aca="false">'Weights &amp; Assumptions'!C7</f>
        <v>0.1028</v>
      </c>
      <c r="D16" s="39" t="n">
        <f aca="false">'SA Data'!D275</f>
        <v>115.84881802586</v>
      </c>
      <c r="E16" s="11" t="n">
        <f aca="false">('SA Data'!D275/'SA Data'!D274-1)*100</f>
        <v>-2.04810667751238</v>
      </c>
      <c r="F16" s="11" t="n">
        <f aca="false">((AVERAGE('SA Data'!D273:D275)/AVERAGE('SA Data'!D270:D272))^4-1)*100</f>
        <v>-80.5658770339235</v>
      </c>
      <c r="G16" s="40" t="n">
        <f aca="false">IFERROR((Tabelle1!F276/Tabelle1!F264-1)*100,"")</f>
        <v>-29.3387704926649</v>
      </c>
    </row>
    <row r="17" customFormat="false" ht="15" hidden="false" customHeight="false" outlineLevel="0" collapsed="false">
      <c r="A17" s="8" t="s">
        <v>3</v>
      </c>
      <c r="B17" s="41" t="str">
        <f aca="false">'Weights &amp; Assumptions'!B8</f>
        <v>Industrial</v>
      </c>
      <c r="C17" s="29" t="n">
        <f aca="false">'Weights &amp; Assumptions'!C8</f>
        <v>3.175</v>
      </c>
      <c r="D17" s="39" t="n">
        <f aca="false">'SA Data'!E275</f>
        <v>136.714158527118</v>
      </c>
      <c r="E17" s="11" t="n">
        <f aca="false">('SA Data'!E275/'SA Data'!E274-1)*100</f>
        <v>-1.33007890302471</v>
      </c>
      <c r="F17" s="11" t="n">
        <f aca="false">((AVERAGE('SA Data'!E273:E275)/AVERAGE('SA Data'!E270:E272))^4-1)*100</f>
        <v>21.0159907840041</v>
      </c>
      <c r="G17" s="40" t="n">
        <f aca="false">IFERROR((Tabelle1!G276/Tabelle1!G264-1)*100,"")</f>
        <v>15.663150299883</v>
      </c>
    </row>
    <row r="18" customFormat="false" ht="15" hidden="false" customHeight="false" outlineLevel="0" collapsed="false">
      <c r="A18" s="8" t="s">
        <v>4</v>
      </c>
      <c r="B18" s="41" t="str">
        <f aca="false">'Weights &amp; Assumptions'!B9</f>
        <v>Industrial</v>
      </c>
      <c r="C18" s="29" t="n">
        <f aca="false">'Weights &amp; Assumptions'!C9</f>
        <v>17.8771</v>
      </c>
      <c r="D18" s="39" t="n">
        <f aca="false">'SA Data'!F275</f>
        <v>113.078652866481</v>
      </c>
      <c r="E18" s="11" t="n">
        <f aca="false">('SA Data'!F275/'SA Data'!F274-1)*100</f>
        <v>-4.75422733294042</v>
      </c>
      <c r="F18" s="11" t="n">
        <f aca="false">((AVERAGE('SA Data'!F273:F275)/AVERAGE('SA Data'!F270:F272))^4-1)*100</f>
        <v>-0.767960929943989</v>
      </c>
      <c r="G18" s="40" t="n">
        <f aca="false">IFERROR((Tabelle1!H276/Tabelle1!H264-1)*100,"")</f>
        <v>-5.61849184284146</v>
      </c>
    </row>
    <row r="19" customFormat="false" ht="15" hidden="false" customHeight="false" outlineLevel="0" collapsed="false">
      <c r="A19" s="8" t="s">
        <v>5</v>
      </c>
      <c r="B19" s="41" t="str">
        <f aca="false">'Weights &amp; Assumptions'!B10</f>
        <v>Services</v>
      </c>
      <c r="C19" s="29" t="n">
        <f aca="false">'Weights &amp; Assumptions'!C10</f>
        <v>1.8434</v>
      </c>
      <c r="D19" s="39" t="n">
        <f aca="false">'SA Data'!G275</f>
        <v>155.535001461178</v>
      </c>
      <c r="E19" s="11" t="n">
        <f aca="false">('SA Data'!G275/'SA Data'!G274-1)*100</f>
        <v>1.07747318633951</v>
      </c>
      <c r="F19" s="11" t="n">
        <f aca="false">((AVERAGE('SA Data'!G273:G275)/AVERAGE('SA Data'!G270:G272))^4-1)*100</f>
        <v>5.76052781695313</v>
      </c>
      <c r="G19" s="40" t="n">
        <f aca="false">IFERROR((Tabelle1!I276/Tabelle1!I264-1)*100,"")</f>
        <v>7.98944749879458</v>
      </c>
    </row>
    <row r="20" customFormat="false" ht="15" hidden="false" customHeight="false" outlineLevel="0" collapsed="false">
      <c r="A20" s="8" t="s">
        <v>6</v>
      </c>
      <c r="B20" s="41" t="str">
        <f aca="false">'Weights &amp; Assumptions'!B11</f>
        <v>Industrial</v>
      </c>
      <c r="C20" s="29" t="n">
        <f aca="false">'Weights &amp; Assumptions'!C11</f>
        <v>5.5397</v>
      </c>
      <c r="D20" s="39" t="n">
        <f aca="false">'SA Data'!H275</f>
        <v>132.061225195866</v>
      </c>
      <c r="E20" s="11" t="n">
        <f aca="false">('SA Data'!H275/'SA Data'!H274-1)*100</f>
        <v>-1.26302352386362</v>
      </c>
      <c r="F20" s="11" t="n">
        <f aca="false">((AVERAGE('SA Data'!H273:H275)/AVERAGE('SA Data'!H270:H272))^4-1)*100</f>
        <v>14.8118902129215</v>
      </c>
      <c r="G20" s="40" t="n">
        <f aca="false">IFERROR((Tabelle1!J276/Tabelle1!J264-1)*100,"")</f>
        <v>1.91806284625202</v>
      </c>
    </row>
    <row r="21" customFormat="false" ht="15" hidden="false" customHeight="false" outlineLevel="0" collapsed="false">
      <c r="A21" s="8" t="s">
        <v>7</v>
      </c>
      <c r="B21" s="41" t="str">
        <f aca="false">'Weights &amp; Assumptions'!B12</f>
        <v>Services</v>
      </c>
      <c r="C21" s="29" t="n">
        <f aca="false">'Weights &amp; Assumptions'!C12</f>
        <v>13.2283</v>
      </c>
      <c r="D21" s="39" t="n">
        <f aca="false">'SA Data'!I275</f>
        <v>148.766832749392</v>
      </c>
      <c r="E21" s="11" t="n">
        <f aca="false">('SA Data'!I275/'SA Data'!I274-1)*100</f>
        <v>-3.36737549412844</v>
      </c>
      <c r="F21" s="11" t="n">
        <f aca="false">((AVERAGE('SA Data'!I273:I275)/AVERAGE('SA Data'!I270:I272))^4-1)*100</f>
        <v>-5.17345854991236</v>
      </c>
      <c r="G21" s="40" t="n">
        <f aca="false">IFERROR((Tabelle1!K276/Tabelle1!K264-1)*100,"")</f>
        <v>-4.31329983956038</v>
      </c>
    </row>
    <row r="22" customFormat="false" ht="15" hidden="false" customHeight="false" outlineLevel="0" collapsed="false">
      <c r="A22" s="8" t="s">
        <v>8</v>
      </c>
      <c r="B22" s="41" t="str">
        <f aca="false">'Weights &amp; Assumptions'!B13</f>
        <v>Services</v>
      </c>
      <c r="C22" s="29" t="n">
        <f aca="false">'Weights &amp; Assumptions'!C13</f>
        <v>3.0404</v>
      </c>
      <c r="D22" s="39" t="n">
        <f aca="false">'SA Data'!J275</f>
        <v>172.597178847519</v>
      </c>
      <c r="E22" s="11" t="n">
        <f aca="false">('SA Data'!J275/'SA Data'!J274-1)*100</f>
        <v>1.08590403268631</v>
      </c>
      <c r="F22" s="11" t="n">
        <f aca="false">((AVERAGE('SA Data'!J273:J275)/AVERAGE('SA Data'!J270:J272))^4-1)*100</f>
        <v>-7.2417844912014</v>
      </c>
      <c r="G22" s="40" t="n">
        <f aca="false">IFERROR((Tabelle1!L276/Tabelle1!L264-1)*100,"")</f>
        <v>-1.79832533811707</v>
      </c>
    </row>
    <row r="23" customFormat="false" ht="15" hidden="false" customHeight="false" outlineLevel="0" collapsed="false">
      <c r="A23" s="8" t="s">
        <v>9</v>
      </c>
      <c r="B23" s="41" t="str">
        <f aca="false">'Weights &amp; Assumptions'!B14</f>
        <v>Services</v>
      </c>
      <c r="C23" s="29" t="n">
        <f aca="false">'Weights &amp; Assumptions'!C14</f>
        <v>9.4699</v>
      </c>
      <c r="D23" s="39" t="n">
        <f aca="false">'SA Data'!K275</f>
        <v>186.373293842507</v>
      </c>
      <c r="E23" s="11" t="n">
        <f aca="false">('SA Data'!K275/'SA Data'!K274-1)*100</f>
        <v>-1.59856731675444</v>
      </c>
      <c r="F23" s="11" t="n">
        <f aca="false">((AVERAGE('SA Data'!K273:K275)/AVERAGE('SA Data'!K270:K272))^4-1)*100</f>
        <v>2.4734809785153</v>
      </c>
      <c r="G23" s="40" t="n">
        <f aca="false">IFERROR((Tabelle1!M276/Tabelle1!M264-1)*100,"")</f>
        <v>0.585071951020844</v>
      </c>
    </row>
    <row r="24" customFormat="false" ht="15" hidden="false" customHeight="false" outlineLevel="0" collapsed="false">
      <c r="A24" s="8" t="s">
        <v>10</v>
      </c>
      <c r="B24" s="41" t="str">
        <f aca="false">'Weights &amp; Assumptions'!B15</f>
        <v>Services</v>
      </c>
      <c r="C24" s="29" t="n">
        <f aca="false">'Weights &amp; Assumptions'!C15</f>
        <v>4.9519</v>
      </c>
      <c r="D24" s="39" t="n">
        <f aca="false">'SA Data'!L275</f>
        <v>193.19039547072</v>
      </c>
      <c r="E24" s="11" t="n">
        <f aca="false">('SA Data'!L275/'SA Data'!L274-1)*100</f>
        <v>-3.19957365910846</v>
      </c>
      <c r="F24" s="11" t="n">
        <f aca="false">((AVERAGE('SA Data'!L273:L275)/AVERAGE('SA Data'!L270:L272))^4-1)*100</f>
        <v>0.037679153488912</v>
      </c>
      <c r="G24" s="40" t="n">
        <f aca="false">IFERROR((Tabelle1!N276/Tabelle1!N264-1)*100,"")</f>
        <v>1.52653189823122</v>
      </c>
    </row>
    <row r="25" customFormat="false" ht="15" hidden="false" customHeight="false" outlineLevel="0" collapsed="false">
      <c r="A25" s="8" t="s">
        <v>11</v>
      </c>
      <c r="B25" s="41" t="str">
        <f aca="false">'Weights &amp; Assumptions'!B16</f>
        <v>Services</v>
      </c>
      <c r="C25" s="29" t="n">
        <f aca="false">'Weights &amp; Assumptions'!C16</f>
        <v>13.2728</v>
      </c>
      <c r="D25" s="39" t="n">
        <f aca="false">'SA Data'!M275</f>
        <v>158.383154589003</v>
      </c>
      <c r="E25" s="11" t="n">
        <f aca="false">('SA Data'!M275/'SA Data'!M274-1)*100</f>
        <v>-0.81558964256907</v>
      </c>
      <c r="F25" s="11" t="n">
        <f aca="false">((AVERAGE('SA Data'!M273:M275)/AVERAGE('SA Data'!M270:M272))^4-1)*100</f>
        <v>2.20969984790138</v>
      </c>
      <c r="G25" s="40" t="n">
        <f aca="false">IFERROR((Tabelle1!O276/Tabelle1!O264-1)*100,"")</f>
        <v>0.356905586423117</v>
      </c>
    </row>
    <row r="26" customFormat="false" ht="15" hidden="false" customHeight="false" outlineLevel="0" collapsed="false">
      <c r="A26" s="8" t="s">
        <v>12</v>
      </c>
      <c r="B26" s="41" t="str">
        <f aca="false">'Weights &amp; Assumptions'!B17</f>
        <v>Services</v>
      </c>
      <c r="C26" s="29" t="n">
        <f aca="false">'Weights &amp; Assumptions'!C17</f>
        <v>6.1054</v>
      </c>
      <c r="D26" s="39" t="n">
        <f aca="false">'SA Data'!N275</f>
        <v>159.52310177106</v>
      </c>
      <c r="E26" s="11" t="n">
        <f aca="false">('SA Data'!N275/'SA Data'!N274-1)*100</f>
        <v>-0.218677276607382</v>
      </c>
      <c r="F26" s="11" t="n">
        <f aca="false">((AVERAGE('SA Data'!N273:N275)/AVERAGE('SA Data'!N270:N272))^4-1)*100</f>
        <v>-0.254869822566262</v>
      </c>
      <c r="G26" s="40" t="n">
        <f aca="false">IFERROR((Tabelle1!P276/Tabelle1!P264-1)*100,"")</f>
        <v>-1.37708325831237</v>
      </c>
    </row>
    <row r="27" customFormat="false" ht="15" hidden="false" customHeight="false" outlineLevel="0" collapsed="false">
      <c r="A27" s="8" t="s">
        <v>13</v>
      </c>
      <c r="B27" s="41" t="str">
        <f aca="false">'Weights &amp; Assumptions'!B18</f>
        <v>Services</v>
      </c>
      <c r="C27" s="29" t="n">
        <f aca="false">'Weights &amp; Assumptions'!C18</f>
        <v>4.8085</v>
      </c>
      <c r="D27" s="39" t="n">
        <f aca="false">'SA Data'!O275</f>
        <v>172.08517879881</v>
      </c>
      <c r="E27" s="11" t="n">
        <f aca="false">('SA Data'!O275/'SA Data'!O274-1)*100</f>
        <v>-0.192953287549447</v>
      </c>
      <c r="F27" s="11" t="n">
        <f aca="false">((AVERAGE('SA Data'!O273:O275)/AVERAGE('SA Data'!O270:O272))^4-1)*100</f>
        <v>0.533813843508657</v>
      </c>
      <c r="G27" s="40" t="n">
        <f aca="false">IFERROR((Tabelle1!Q276/Tabelle1!Q264-1)*100,"")</f>
        <v>-0.0806384452656461</v>
      </c>
    </row>
    <row r="28" customFormat="false" ht="15" hidden="false" customHeight="false" outlineLevel="0" collapsed="false">
      <c r="A28" s="8" t="s">
        <v>14</v>
      </c>
      <c r="B28" s="41" t="str">
        <f aca="false">'Weights &amp; Assumptions'!B19</f>
        <v>Services</v>
      </c>
      <c r="C28" s="29" t="n">
        <f aca="false">'Weights &amp; Assumptions'!C19</f>
        <v>4.7366</v>
      </c>
      <c r="D28" s="39" t="n">
        <f aca="false">'SA Data'!P275</f>
        <v>187.037076542947</v>
      </c>
      <c r="E28" s="11" t="n">
        <f aca="false">('SA Data'!P275/'SA Data'!P274-1)*100</f>
        <v>0.118857304683528</v>
      </c>
      <c r="F28" s="11" t="n">
        <f aca="false">((AVERAGE('SA Data'!P273:P275)/AVERAGE('SA Data'!P270:P272))^4-1)*100</f>
        <v>1.73414977289195</v>
      </c>
      <c r="G28" s="40" t="n">
        <f aca="false">IFERROR((Tabelle1!R276/Tabelle1!R264-1)*100,"")</f>
        <v>0.849469450452123</v>
      </c>
    </row>
    <row r="29" customFormat="false" ht="15" hidden="false" customHeight="false" outlineLevel="0" collapsed="false">
      <c r="A29" s="8" t="s">
        <v>15</v>
      </c>
      <c r="B29" s="41" t="str">
        <f aca="false">'Weights &amp; Assumptions'!B20</f>
        <v>Services</v>
      </c>
      <c r="C29" s="29" t="n">
        <f aca="false">'Weights &amp; Assumptions'!C20</f>
        <v>3.5611</v>
      </c>
      <c r="D29" s="39" t="n">
        <f aca="false">'SA Data'!Q275</f>
        <v>126.677328588095</v>
      </c>
      <c r="E29" s="11" t="n">
        <f aca="false">('SA Data'!Q275/'SA Data'!Q274-1)*100</f>
        <v>-0.807893824800809</v>
      </c>
      <c r="F29" s="11" t="n">
        <f aca="false">((AVERAGE('SA Data'!Q273:Q275)/AVERAGE('SA Data'!Q270:Q272))^4-1)*100</f>
        <v>-3.08658963551116</v>
      </c>
      <c r="G29" s="40" t="n">
        <f aca="false">IFERROR((Tabelle1!S276/Tabelle1!S264-1)*100,"")</f>
        <v>-1.26539425405252</v>
      </c>
    </row>
  </sheetData>
  <conditionalFormatting sqref="C6:C10">
    <cfRule type="cellIs" priority="2" operator="lessThan" aboveAverage="0" equalAverage="0" bottom="0" percent="0" rank="0" text="" dxfId="0">
      <formula>0</formula>
    </cfRule>
  </conditionalFormatting>
  <conditionalFormatting sqref="D6:D10">
    <cfRule type="cellIs" priority="3" operator="lessThan" aboveAverage="0" equalAverage="0" bottom="0" percent="0" rank="0" text="" dxfId="0">
      <formula>0</formula>
    </cfRule>
  </conditionalFormatting>
  <conditionalFormatting sqref="E6:E10">
    <cfRule type="cellIs" priority="4" operator="lessThan" aboveAverage="0" equalAverage="0" bottom="0" percent="0" rank="0" text="" dxfId="0">
      <formula>0</formula>
    </cfRule>
  </conditionalFormatting>
  <conditionalFormatting sqref="F6:F10">
    <cfRule type="cellIs" priority="5" operator="lessThan" aboveAverage="0" equalAverage="0" bottom="0" percent="0" rank="0" text="" dxfId="0">
      <formula>0</formula>
    </cfRule>
  </conditionalFormatting>
  <conditionalFormatting sqref="G6:G10">
    <cfRule type="cellIs" priority="6" operator="lessThan" aboveAverage="0" equalAverage="0" bottom="0" percent="0" rank="0" text="" dxfId="0">
      <formula>0</formula>
    </cfRule>
  </conditionalFormatting>
  <conditionalFormatting sqref="H6:H10">
    <cfRule type="cellIs" priority="7" operator="lessThan" aboveAverage="0" equalAverage="0" bottom="0" percent="0" rank="0" text="" dxfId="0">
      <formula>0</formula>
    </cfRule>
  </conditionalFormatting>
  <conditionalFormatting sqref="E15:E29">
    <cfRule type="cellIs" priority="8" operator="lessThan" aboveAverage="0" equalAverage="0" bottom="0" percent="0" rank="0" text="" dxfId="0">
      <formula>0</formula>
    </cfRule>
  </conditionalFormatting>
  <conditionalFormatting sqref="F15:F29">
    <cfRule type="cellIs" priority="9" operator="lessThan" aboveAverage="0" equalAverage="0" bottom="0" percent="0" rank="0" text="" dxfId="0">
      <formula>0</formula>
    </cfRule>
  </conditionalFormatting>
  <conditionalFormatting sqref="G15:G29">
    <cfRule type="cellIs" priority="10" operator="lessThan" aboveAverage="0" equalAverage="0" bottom="0" percent="0" rank="0" text="" dxfId="0">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08"/>
  </cols>
  <sheetData>
    <row r="1" customFormat="false" ht="17.35" hidden="false" customHeight="false" outlineLevel="0" collapsed="false">
      <c r="A1" s="4" t="s">
        <v>555</v>
      </c>
    </row>
    <row r="4" customFormat="false" ht="13.5" hidden="false" customHeight="true" outlineLevel="0" collapsed="false">
      <c r="A4" s="42" t="s">
        <v>556</v>
      </c>
      <c r="B4" s="43" t="s">
        <v>557</v>
      </c>
    </row>
    <row r="5" customFormat="false" ht="36" hidden="false" customHeight="true" outlineLevel="0" collapsed="false">
      <c r="A5" s="42" t="s">
        <v>558</v>
      </c>
      <c r="B5" s="43" t="s">
        <v>559</v>
      </c>
    </row>
    <row r="6" customFormat="false" ht="48" hidden="false" customHeight="true" outlineLevel="0" collapsed="false">
      <c r="A6" s="42" t="s">
        <v>560</v>
      </c>
      <c r="B6" s="43" t="s">
        <v>561</v>
      </c>
    </row>
    <row r="7" customFormat="false" ht="108" hidden="false" customHeight="true" outlineLevel="0" collapsed="false">
      <c r="A7" s="42" t="s">
        <v>562</v>
      </c>
      <c r="B7" s="43" t="s">
        <v>563</v>
      </c>
    </row>
    <row r="8" customFormat="false" ht="36" hidden="false" customHeight="true" outlineLevel="0" collapsed="false">
      <c r="A8" s="42" t="s">
        <v>564</v>
      </c>
      <c r="B8" s="43" t="s">
        <v>565</v>
      </c>
    </row>
    <row r="9" customFormat="false" ht="48" hidden="false" customHeight="true" outlineLevel="0" collapsed="false">
      <c r="A9" s="42" t="s">
        <v>566</v>
      </c>
      <c r="B9" s="43" t="s">
        <v>567</v>
      </c>
    </row>
    <row r="10" customFormat="false" ht="36" hidden="false" customHeight="true" outlineLevel="0" collapsed="false">
      <c r="A10" s="42" t="s">
        <v>568</v>
      </c>
      <c r="B10" s="43" t="s">
        <v>569</v>
      </c>
    </row>
    <row r="11" customFormat="false" ht="24" hidden="false" customHeight="true" outlineLevel="0" collapsed="false">
      <c r="A11" s="42" t="s">
        <v>570</v>
      </c>
      <c r="B11" s="43" t="s">
        <v>571</v>
      </c>
    </row>
    <row r="12" customFormat="false" ht="36" hidden="false" customHeight="true" outlineLevel="0" collapsed="false">
      <c r="A12" s="42" t="s">
        <v>572</v>
      </c>
      <c r="B12" s="43" t="s">
        <v>573</v>
      </c>
    </row>
    <row r="13" customFormat="false" ht="60" hidden="false" customHeight="true" outlineLevel="0" collapsed="false">
      <c r="A13" s="42" t="s">
        <v>574</v>
      </c>
      <c r="B13" s="43" t="s">
        <v>575</v>
      </c>
    </row>
    <row r="14" customFormat="false" ht="24" hidden="false" customHeight="true" outlineLevel="0" collapsed="false">
      <c r="A14" s="42" t="s">
        <v>576</v>
      </c>
      <c r="B14" s="43" t="s">
        <v>577</v>
      </c>
    </row>
    <row r="15" customFormat="false" ht="36" hidden="false" customHeight="true" outlineLevel="0" collapsed="false">
      <c r="A15" s="42" t="s">
        <v>578</v>
      </c>
      <c r="B15" s="43" t="s">
        <v>579</v>
      </c>
    </row>
    <row r="16" customFormat="false" ht="36" hidden="false" customHeight="true" outlineLevel="0" collapsed="false">
      <c r="A16" s="42" t="s">
        <v>580</v>
      </c>
      <c r="B16" s="43" t="s">
        <v>581</v>
      </c>
    </row>
    <row r="17" customFormat="false" ht="36" hidden="false" customHeight="true" outlineLevel="0" collapsed="false">
      <c r="A17" s="42" t="s">
        <v>582</v>
      </c>
      <c r="B17" s="43" t="s">
        <v>583</v>
      </c>
    </row>
    <row r="18" customFormat="false" ht="24" hidden="false" customHeight="true" outlineLevel="0" collapsed="false">
      <c r="A18" s="42" t="s">
        <v>584</v>
      </c>
      <c r="B18" s="43" t="s">
        <v>585</v>
      </c>
    </row>
    <row r="19" customFormat="false" ht="48" hidden="false" customHeight="true" outlineLevel="0" collapsed="false">
      <c r="A19" s="42" t="s">
        <v>586</v>
      </c>
      <c r="B19" s="43" t="s">
        <v>587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2015-06-05T18:19:34Z</dcterms:created>
  <dc:creator>Rojas, Alberto</dc:creator>
  <dc:description/>
  <dc:language>en-US</dc:language>
  <cp:lastModifiedBy/>
  <dcterms:modified xsi:type="dcterms:W3CDTF">2026-08-03T18:11:42Z</dcterms:modified>
  <cp:revision>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1e85bf-ac82-4d95-8ebe-b1488d74b05a_ActionId">
    <vt:lpwstr>f60b4ce8-edd6-4936-adf8-87c6736e959c</vt:lpwstr>
  </property>
  <property fmtid="{D5CDD505-2E9C-101B-9397-08002B2CF9AE}" pid="3" name="MSIP_Label_0c1e85bf-ac82-4d95-8ebe-b1488d74b05a_ContentBits">
    <vt:lpwstr>0</vt:lpwstr>
  </property>
  <property fmtid="{D5CDD505-2E9C-101B-9397-08002B2CF9AE}" pid="4" name="MSIP_Label_0c1e85bf-ac82-4d95-8ebe-b1488d74b05a_Enabled">
    <vt:lpwstr>true</vt:lpwstr>
  </property>
  <property fmtid="{D5CDD505-2E9C-101B-9397-08002B2CF9AE}" pid="5" name="MSIP_Label_0c1e85bf-ac82-4d95-8ebe-b1488d74b05a_Method">
    <vt:lpwstr>Privileged</vt:lpwstr>
  </property>
  <property fmtid="{D5CDD505-2E9C-101B-9397-08002B2CF9AE}" pid="6" name="MSIP_Label_0c1e85bf-ac82-4d95-8ebe-b1488d74b05a_Name">
    <vt:lpwstr>0c1e85bf-ac82-4d95-8ebe-b1488d74b05a</vt:lpwstr>
  </property>
  <property fmtid="{D5CDD505-2E9C-101B-9397-08002B2CF9AE}" pid="7" name="MSIP_Label_0c1e85bf-ac82-4d95-8ebe-b1488d74b05a_SetDate">
    <vt:lpwstr>2026-08-03T17:43:57Z</vt:lpwstr>
  </property>
  <property fmtid="{D5CDD505-2E9C-101B-9397-08002B2CF9AE}" pid="8" name="MSIP_Label_0c1e85bf-ac82-4d95-8ebe-b1488d74b05a_SiteId">
    <vt:lpwstr>fb6ea403-7cf1-4905-810a-fe5547e98204</vt:lpwstr>
  </property>
  <property fmtid="{D5CDD505-2E9C-101B-9397-08002B2CF9AE}" pid="9" name="MSIP_Label_0c1e85bf-ac82-4d95-8ebe-b1488d74b05a_Tag">
    <vt:lpwstr>10, 0, 1, 1</vt:lpwstr>
  </property>
</Properties>
</file>