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Key Facts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Candidates" sheetId="4" state="visible" r:id="rId4"/>
    <sheet xmlns:r="http://schemas.openxmlformats.org/officeDocument/2006/relationships" name="Vote Intention" sheetId="5" state="visible" r:id="rId5"/>
    <sheet xmlns:r="http://schemas.openxmlformats.org/officeDocument/2006/relationships" name="Approval" sheetId="6" state="visible" r:id="rId6"/>
    <sheet xmlns:r="http://schemas.openxmlformats.org/officeDocument/2006/relationships" name="Rejection" sheetId="7" state="visible" r:id="rId7"/>
    <sheet xmlns:r="http://schemas.openxmlformats.org/officeDocument/2006/relationships" name="2022 Benchmar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0.0"/>
    <numFmt numFmtId="166" formatCode="0.0%"/>
    <numFmt numFmtId="167" formatCode="+0.0;-0.0;0.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6B6B"/>
      <sz val="9"/>
    </font>
    <font>
      <name val="Arial"/>
      <b val="1"/>
      <color rgb="001F3B63"/>
      <sz val="11"/>
    </font>
    <font>
      <name val="Arial"/>
      <b val="1"/>
      <color rgb="001A1A1A"/>
      <sz val="10"/>
    </font>
    <font>
      <name val="Arial"/>
      <color rgb="001A1A1A"/>
      <sz val="9"/>
    </font>
    <font>
      <name val="Arial"/>
      <color rgb="006B6B6B"/>
      <sz val="9"/>
    </font>
    <font>
      <name val="Arial"/>
      <b val="1"/>
      <color rgb="00E60000"/>
      <sz val="9"/>
    </font>
    <font>
      <name val="Arial"/>
      <b val="1"/>
      <color rgb="001A1A1A"/>
      <sz val="9"/>
    </font>
    <font>
      <name val="Arial"/>
      <color rgb="001A1A1A"/>
      <sz val="10"/>
    </font>
    <font>
      <name val="Arial"/>
      <b val="1"/>
      <color rgb="000000FF"/>
      <sz val="10"/>
    </font>
    <font>
      <name val="Arial"/>
      <i val="1"/>
      <color rgb="006B6B6B"/>
      <sz val="8"/>
    </font>
    <font>
      <name val="Arial"/>
      <b val="1"/>
      <color rgb="00E60000"/>
      <sz val="10"/>
    </font>
    <font>
      <name val="Arial"/>
      <color rgb="000000FF"/>
      <sz val="10"/>
    </font>
    <font>
      <name val="Arial"/>
      <color rgb="000000FF"/>
      <sz val="9"/>
    </font>
    <font>
      <name val="Arial"/>
      <b val="1"/>
      <color rgb="001F3B63"/>
      <sz val="9"/>
    </font>
    <font>
      <name val="Arial"/>
      <color rgb="006B6B6B"/>
      <sz val="8"/>
    </font>
    <font>
      <name val="Arial"/>
      <b val="1"/>
      <color rgb="001F3B63"/>
      <sz val="10"/>
    </font>
    <font>
      <name val="Arial"/>
      <b val="1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1F3B6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10" fillId="0" borderId="0" pivotButton="0" quotePrefix="0" xfId="0"/>
    <xf numFmtId="164" fontId="4" fillId="0" borderId="0" pivotButton="0" quotePrefix="0" xfId="0"/>
    <xf numFmtId="9" fontId="1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4" fontId="13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6" fontId="14" fillId="0" borderId="0" pivotButton="0" quotePrefix="0" xfId="0"/>
    <xf numFmtId="167" fontId="15" fillId="0" borderId="0" pivotButton="0" quotePrefix="0" xfId="0"/>
    <xf numFmtId="164" fontId="14" fillId="0" borderId="0" pivotButton="0" quotePrefix="0" xfId="0"/>
    <xf numFmtId="0" fontId="16" fillId="0" borderId="0" pivotButton="0" quotePrefix="0" xfId="0"/>
    <xf numFmtId="167" fontId="4" fillId="0" borderId="0" pivotButton="0" quotePrefix="0" xfId="0"/>
    <xf numFmtId="167" fontId="12" fillId="0" borderId="0" pivotButton="0" quotePrefix="0" xfId="0"/>
    <xf numFmtId="166" fontId="8" fillId="0" borderId="0" pivotButton="0" quotePrefix="0" xfId="0"/>
    <xf numFmtId="166" fontId="4" fillId="0" borderId="0" pivotButton="0" quotePrefix="0" xfId="0"/>
    <xf numFmtId="166" fontId="12" fillId="0" borderId="0" pivotButton="0" quotePrefix="0" xfId="0"/>
    <xf numFmtId="166" fontId="10" fillId="0" borderId="0" pivotButton="0" quotePrefix="0" xfId="0"/>
    <xf numFmtId="10" fontId="13" fillId="0" borderId="0" pivotButton="0" quotePrefix="0" xfId="0"/>
    <xf numFmtId="167" fontId="17" fillId="0" borderId="0" pivotButton="0" quotePrefix="0" xfId="0"/>
    <xf numFmtId="165" fontId="13" fillId="0" borderId="0" pivotButton="0" quotePrefix="0" xfId="0"/>
    <xf numFmtId="167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Runoff: Lula vs Flavio Bolsonaro (all institutes, chronological)</a:t>
            </a:r>
          </a:p>
        </rich>
      </tx>
    </title>
    <plotArea>
      <lineChart>
        <grouping val="standard"/>
        <ser>
          <idx val="0"/>
          <order val="0"/>
          <tx>
            <strRef>
              <f>'Vote Intention'!K5</f>
            </strRef>
          </tx>
          <spPr>
            <a:ln xmlns:a="http://schemas.openxmlformats.org/drawingml/2006/main" w="22000">
              <a:solidFill>
                <a:srgbClr val="E6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'Vote Intention'!$D$6:$D$20</f>
            </numRef>
          </cat>
          <val>
            <numRef>
              <f>'Vote Intention'!$K$6:$K$20</f>
            </numRef>
          </val>
          <smooth val="0"/>
        </ser>
        <ser>
          <idx val="1"/>
          <order val="1"/>
          <tx>
            <strRef>
              <f>'Vote Intention'!L5</f>
            </strRef>
          </tx>
          <spPr>
            <a:ln xmlns:a="http://schemas.openxmlformats.org/drawingml/2006/main" w="22000">
              <a:solidFill>
                <a:srgbClr val="1F3B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'Vote Intention'!$D$6:$D$20</f>
            </numRef>
          </cat>
          <val>
            <numRef>
              <f>'Vote Intention'!$L$6:$L$20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55"/>
          <min val="0.3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Genial/Quaest — Lula government approval vs disapproval</a:t>
            </a:r>
          </a:p>
        </rich>
      </tx>
    </title>
    <plotArea>
      <lineChart>
        <grouping val="standard"/>
        <ser>
          <idx val="0"/>
          <order val="0"/>
          <tx>
            <strRef>
              <f>'Approval'!D22</f>
            </strRef>
          </tx>
          <spPr>
            <a:ln xmlns:a="http://schemas.openxmlformats.org/drawingml/2006/main" w="22000">
              <a:solidFill>
                <a:srgbClr val="E6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'Approval'!$B$23:$B$27</f>
            </numRef>
          </cat>
          <val>
            <numRef>
              <f>'Approval'!$D$23:$D$27</f>
            </numRef>
          </val>
          <smooth val="0"/>
        </ser>
        <ser>
          <idx val="1"/>
          <order val="1"/>
          <tx>
            <strRef>
              <f>'Approval'!E22</f>
            </strRef>
          </tx>
          <spPr>
            <a:ln xmlns:a="http://schemas.openxmlformats.org/drawingml/2006/main" w="22000">
              <a:solidFill>
                <a:srgbClr val="9A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'Approval'!$B$23:$B$27</f>
            </numRef>
          </cat>
          <val>
            <numRef>
              <f>'Approval'!$E$23:$E$27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55"/>
          <min val="0.4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Genial/Quaest rejection — Lula vs Flavio Bolsonaro</a:t>
            </a:r>
          </a:p>
        </rich>
      </tx>
    </title>
    <plotArea>
      <lineChart>
        <grouping val="standard"/>
        <ser>
          <idx val="0"/>
          <order val="0"/>
          <tx>
            <strRef>
              <f>'Rejection'!D8</f>
            </strRef>
          </tx>
          <spPr>
            <a:ln xmlns:a="http://schemas.openxmlformats.org/drawingml/2006/main" w="22000">
              <a:solidFill>
                <a:srgbClr val="E6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'Rejection'!$B$9:$B$12</f>
            </numRef>
          </cat>
          <val>
            <numRef>
              <f>'Rejection'!$D$9:$D$12</f>
            </numRef>
          </val>
          <smooth val="0"/>
        </ser>
        <ser>
          <idx val="1"/>
          <order val="1"/>
          <tx>
            <strRef>
              <f>'Rejection'!E8</f>
            </strRef>
          </tx>
          <spPr>
            <a:ln xmlns:a="http://schemas.openxmlformats.org/drawingml/2006/main" w="22000">
              <a:solidFill>
                <a:srgbClr val="1F3B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'Rejection'!$B$9:$B$12</f>
            </numRef>
          </cat>
          <val>
            <numRef>
              <f>'Rejection'!$E$9:$E$12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6"/>
          <min val="0.45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30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35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29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3B63"/>
    <outlinePr summaryBelow="1" summaryRight="1"/>
    <pageSetUpPr/>
  </sheetPr>
  <dimension ref="B2:C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2" ht="26" customHeight="1">
      <c r="B2" s="1" t="inlineStr">
        <is>
          <t>Brazil — 2026 General Election: data and polling pack</t>
        </is>
      </c>
    </row>
    <row r="3">
      <c r="B3" s="2" t="inlineStr">
        <is>
          <t>Data cut 21-Aug-2026 · figures as published by each institute · no aggregation across pollsters</t>
        </is>
      </c>
    </row>
    <row r="5">
      <c r="B5" s="3" t="inlineStr">
        <is>
          <t>What is in here</t>
        </is>
      </c>
    </row>
    <row r="6">
      <c r="B6" s="4" t="inlineStr">
        <is>
          <t>Key Facts</t>
        </is>
      </c>
      <c r="C6" s="5" t="inlineStr">
        <is>
          <t>Election mechanics, offices contested, electorate, voting hours, results timing.</t>
        </is>
      </c>
    </row>
    <row r="7">
      <c r="B7" s="4" t="inlineStr">
        <is>
          <t>Calendar</t>
        </is>
      </c>
      <c r="C7" s="5" t="inlineStr">
        <is>
          <t>Statutory electoral calendar (TSE Res. 23.760/2026) and campaign milestones.</t>
        </is>
      </c>
    </row>
    <row r="8">
      <c r="B8" s="4" t="inlineStr">
        <is>
          <t>Candidates</t>
        </is>
      </c>
      <c r="C8" s="5" t="inlineStr">
        <is>
          <t>The 13 presidential tickets registered with the TSE by the 15-Aug deadline.</t>
        </is>
      </c>
    </row>
    <row r="9">
      <c r="B9" s="4" t="inlineStr">
        <is>
          <t>Vote Intention</t>
        </is>
      </c>
      <c r="C9" s="5" t="inlineStr">
        <is>
          <t>First-round and runoff voting intention, one row per published poll.</t>
        </is>
      </c>
    </row>
    <row r="10">
      <c r="B10" s="4" t="inlineStr">
        <is>
          <t>Approval</t>
        </is>
      </c>
      <c r="C10" s="5" t="inlineStr">
        <is>
          <t>Lula government/personal approval and disapproval, kept separate by institute.</t>
        </is>
      </c>
    </row>
    <row r="11">
      <c r="B11" s="4" t="inlineStr">
        <is>
          <t>Rejection</t>
        </is>
      </c>
      <c r="C11" s="5" t="inlineStr">
        <is>
          <t>"Would not vote for X under any circumstances" — separate series per institute.</t>
        </is>
      </c>
    </row>
    <row r="12">
      <c r="B12" s="4" t="inlineStr">
        <is>
          <t>2022 Benchmark</t>
        </is>
      </c>
      <c r="C12" s="5" t="inlineStr">
        <is>
          <t>Official 2022 results and the size of the 2022 pre-election polling error.</t>
        </is>
      </c>
    </row>
    <row r="14">
      <c r="B14" s="3" t="inlineStr">
        <is>
          <t>Conventions</t>
        </is>
      </c>
    </row>
    <row r="15">
      <c r="B15" s="6" t="inlineStr">
        <is>
          <t>•</t>
        </is>
      </c>
      <c r="C15" s="5" t="inlineStr">
        <is>
          <t>Blue text = hardcoded figure taken from a published source. Black = formula. No number is estimated or interpolated.</t>
        </is>
      </c>
    </row>
    <row r="16">
      <c r="B16" s="6" t="inlineStr">
        <is>
          <t>•</t>
        </is>
      </c>
      <c r="C16" s="5" t="inlineStr">
        <is>
          <t>All poll figures are stored as fractions (0.38 renders 38.0%). Percentage-point gaps are formula-driven.</t>
        </is>
      </c>
    </row>
    <row r="17">
      <c r="B17" s="6" t="inlineStr">
        <is>
          <t>•</t>
        </is>
      </c>
      <c r="C17" s="5" t="inlineStr">
        <is>
          <t>Blank cells are genuinely unpublished / not located, not zero. Each is flagged in the row note.</t>
        </is>
      </c>
    </row>
    <row r="18">
      <c r="B18" s="6" t="inlineStr">
        <is>
          <t>•</t>
        </is>
      </c>
      <c r="C18" s="5" t="inlineStr">
        <is>
          <t>Institutes are NEVER blended into a single series. Question wording differs materially — see the Rejection tab.</t>
        </is>
      </c>
    </row>
    <row r="19">
      <c r="B19" s="6" t="inlineStr">
        <is>
          <t>•</t>
        </is>
      </c>
      <c r="C19" s="5" t="inlineStr">
        <is>
          <t>Every poll row carries its TSE registration number where published; Brazilian law requires registration.</t>
        </is>
      </c>
    </row>
    <row r="21">
      <c r="B21" s="3" t="inlineStr">
        <is>
          <t>Health warnings</t>
        </is>
      </c>
    </row>
    <row r="22" ht="26" customHeight="1">
      <c r="B22" s="7" t="inlineStr">
        <is>
          <t>!</t>
        </is>
      </c>
      <c r="C22" s="5" t="inlineStr">
        <is>
          <t>Jair Bolsonaro is NOT a candidate. He is serving 27 years 3 months for the 2023 coup attempt and is ineligible until 2030 on a separate TSE ruling. The PL candidate is his eldest son, Senator Flavio Bolsonaro.</t>
        </is>
      </c>
    </row>
    <row r="23" ht="26" customHeight="1">
      <c r="B23" s="7" t="inlineStr">
        <is>
          <t>!</t>
        </is>
      </c>
      <c r="C23" s="5" t="inlineStr">
        <is>
          <t>Quaest measures rejection as 'knows the candidate and would not vote for them'; Datafolha asks 'would not vote for under any circumstances'. The two are NOT comparable levels. Quaest prints ~6-9pp higher by construction.</t>
        </is>
      </c>
    </row>
    <row r="24" ht="26" customHeight="1">
      <c r="B24" s="7" t="inlineStr">
        <is>
          <t>!</t>
        </is>
      </c>
      <c r="C24" s="5" t="inlineStr">
        <is>
          <t>AtlasIntel polls online (self-completed electronic form, n~5,000); Datafolha, Quaest and PoderData are in-person or telephone. AtlasIntel has consistently shown a wider Lula first-round lead this cycle.</t>
        </is>
      </c>
    </row>
    <row r="25" ht="26" customHeight="1">
      <c r="B25" s="7" t="inlineStr">
        <is>
          <t>!</t>
        </is>
      </c>
      <c r="C25" s="5" t="inlineStr">
        <is>
          <t>Datafolha's approve/disapprove question and its otimo-bom/regular-ruim-pessimo scale are different instruments. Folha itself warns they are not directly comparable. Both are carried here, side by side, not merged.</t>
        </is>
      </c>
    </row>
    <row r="26" ht="26" customHeight="1">
      <c r="B26" s="7" t="inlineStr">
        <is>
          <t>!</t>
        </is>
      </c>
      <c r="C26" s="5" t="inlineStr">
        <is>
          <t>riotimesonline.com ranks highly in search on this topic and carries at least one demonstrably false claim (that Jair Bolsonaro is barred until 'approximately 2060'). Not used as a source anywhere in this pack.</t>
        </is>
      </c>
    </row>
    <row r="27" ht="26" customHeight="1">
      <c r="B27" s="7" t="inlineStr">
        <is>
          <t>!</t>
        </is>
      </c>
      <c r="C27" s="5" t="inlineStr">
        <is>
          <t>One sourcing conflict left unresolved: Latin Times (18-Jun-2026) reported a Datafolha runoff at 45-45; O Povo, citing the same 20-Jun release, reported 47-43. The 47-43 print is carried; the conflict is flagged in the row.</t>
        </is>
      </c>
    </row>
    <row r="29">
      <c r="B29" s="3" t="inlineStr">
        <is>
          <t>Sources</t>
        </is>
      </c>
    </row>
    <row r="30">
      <c r="B30" s="6" t="inlineStr">
        <is>
          <t>•</t>
        </is>
      </c>
      <c r="C30" s="5" t="inlineStr">
        <is>
          <t>Tribunal Superior Eleitoral (TSE) — Resolucao 23.760/2026 (electoral calendar); Resolucao 23.751/2026; Manual do Eleitor 2026; candidate registration data; Portal Resultados.</t>
        </is>
      </c>
    </row>
    <row r="31">
      <c r="B31" s="6" t="inlineStr">
        <is>
          <t>•</t>
        </is>
      </c>
      <c r="C31" s="5" t="inlineStr">
        <is>
          <t>Genial/Quaest — TSE reg. BR-06773/2026 (Aug round, commissioned by Grupo Globo, cost R$314,628).</t>
        </is>
      </c>
    </row>
    <row r="32">
      <c r="B32" s="6" t="inlineStr">
        <is>
          <t>•</t>
        </is>
      </c>
      <c r="C32" s="5" t="inlineStr">
        <is>
          <t>Datafolha — TSE reg. BR-01166/2026 (Jul round); BR-09956/2026 (Jun round). Commissioned by Folha da Manha S/A.</t>
        </is>
      </c>
    </row>
    <row r="33">
      <c r="B33" s="6" t="inlineStr">
        <is>
          <t>•</t>
        </is>
      </c>
      <c r="C33" s="5" t="inlineStr">
        <is>
          <t>PoderData — TSE reg. BR-06868/2026 (Aug round, self-commissioned).</t>
        </is>
      </c>
    </row>
    <row r="34">
      <c r="B34" s="6" t="inlineStr">
        <is>
          <t>•</t>
        </is>
      </c>
      <c r="C34" s="5" t="inlineStr">
        <is>
          <t>AtlasIntel — commissioned by Bloomberg.</t>
        </is>
      </c>
    </row>
    <row r="35">
      <c r="B35" s="6" t="inlineStr">
        <is>
          <t>•</t>
        </is>
      </c>
      <c r="C35" s="5" t="inlineStr">
        <is>
          <t>Reuters, Agencia Brasil, Poder360, Gazeta do Povo, CNN Brasil, JOTA, Senado Noticias, AS/COA, Americas Quarterly, Covington &amp; Burling, Inter-American Dialogue.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B63"/>
    <outlinePr summaryBelow="1" summaryRight="1"/>
    <pageSetUpPr/>
  </sheetPr>
  <dimension ref="B2:D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30" customWidth="1" min="3" max="3"/>
    <col width="70" customWidth="1" min="4" max="4"/>
  </cols>
  <sheetData>
    <row r="2" ht="26" customHeight="1">
      <c r="B2" s="1" t="inlineStr">
        <is>
          <t>Key facts</t>
        </is>
      </c>
    </row>
    <row r="3">
      <c r="B3" s="2" t="inlineStr">
        <is>
          <t>Mechanics, offices and electorate</t>
        </is>
      </c>
    </row>
    <row r="5">
      <c r="B5" s="3" t="inlineStr">
        <is>
          <t>Election mechanics</t>
        </is>
      </c>
    </row>
    <row r="6">
      <c r="B6" s="8" t="inlineStr">
        <is>
          <t>Item</t>
        </is>
      </c>
      <c r="C6" s="8" t="inlineStr">
        <is>
          <t>Value</t>
        </is>
      </c>
      <c r="D6" s="8" t="inlineStr">
        <is>
          <t>Note</t>
        </is>
      </c>
    </row>
    <row r="7">
      <c r="B7" s="9" t="inlineStr">
        <is>
          <t>First round</t>
        </is>
      </c>
      <c r="C7" s="10" t="inlineStr">
        <is>
          <t>Sunday 4 October 2026</t>
        </is>
      </c>
      <c r="D7" s="11" t="inlineStr">
        <is>
          <t>First Sunday of October, per the Constitution.</t>
        </is>
      </c>
    </row>
    <row r="8">
      <c r="B8" s="9" t="inlineStr">
        <is>
          <t>Runoff</t>
        </is>
      </c>
      <c r="C8" s="10" t="inlineStr">
        <is>
          <t>Sunday 25 October 2026</t>
        </is>
      </c>
      <c r="D8" s="11" t="inlineStr">
        <is>
          <t>Last Sunday of October. Executive offices only: president and governors.</t>
        </is>
      </c>
    </row>
    <row r="9">
      <c r="B9" s="9" t="inlineStr">
        <is>
          <t>Runoff trigger</t>
        </is>
      </c>
      <c r="C9" s="10" t="inlineStr">
        <is>
          <t>&gt;50% of valid votes</t>
        </is>
      </c>
      <c r="D9" s="11" t="inlineStr">
        <is>
          <t>Blank and null votes excluded from the denominator.</t>
        </is>
      </c>
    </row>
    <row r="10">
      <c r="B10" s="9" t="inlineStr">
        <is>
          <t>Polling hours</t>
        </is>
      </c>
      <c r="C10" s="10" t="inlineStr">
        <is>
          <t>08:00-17:00</t>
        </is>
      </c>
      <c r="D10" s="11" t="inlineStr">
        <is>
          <t>Brasilia time, uniform nationwide. Anyone queuing at 17:00 still votes.</t>
        </is>
      </c>
    </row>
    <row r="11">
      <c r="B11" s="9" t="inlineStr">
        <is>
          <t>Results publication</t>
        </is>
      </c>
      <c r="C11" s="10" t="inlineStr">
        <is>
          <t>From 17:00 Brasilia time</t>
        </is>
      </c>
      <c r="D11" s="11" t="inlineStr">
        <is>
          <t>TSE Portal Resultados and app, real time, all states and overseas votes released simultaneously.</t>
        </is>
      </c>
    </row>
    <row r="12">
      <c r="B12" s="9" t="inlineStr">
        <is>
          <t>Voting system</t>
        </is>
      </c>
      <c r="C12" s="10" t="inlineStr">
        <is>
          <t>Electronic urnas, ~88% biometric</t>
        </is>
      </c>
      <c r="D12" s="11" t="inlineStr">
        <is>
          <t>Presidential result is typically called within hours.</t>
        </is>
      </c>
    </row>
    <row r="13">
      <c r="B13" s="9" t="inlineStr">
        <is>
          <t>Term</t>
        </is>
      </c>
      <c r="C13" s="10" t="inlineStr">
        <is>
          <t>4 years</t>
        </is>
      </c>
      <c r="D13" s="11" t="inlineStr">
        <is>
          <t>One consecutive re-election permitted.</t>
        </is>
      </c>
    </row>
    <row r="14">
      <c r="B14" s="9" t="inlineStr">
        <is>
          <t>Presidential inauguration</t>
        </is>
      </c>
      <c r="C14" s="10" t="inlineStr">
        <is>
          <t>5 January 2027</t>
        </is>
      </c>
      <c r="D14" s="11" t="inlineStr">
        <is>
          <t>Brasilia.</t>
        </is>
      </c>
    </row>
    <row r="15">
      <c r="B15" s="9" t="inlineStr">
        <is>
          <t>Governors take office</t>
        </is>
      </c>
      <c r="C15" s="10" t="inlineStr">
        <is>
          <t>6 January 2027</t>
        </is>
      </c>
      <c r="D15" s="11" t="inlineStr">
        <is>
          <t>26 states plus the Federal District.</t>
        </is>
      </c>
    </row>
    <row r="16">
      <c r="B16" s="9" t="inlineStr">
        <is>
          <t>Diplomas issued</t>
        </is>
      </c>
      <c r="C16" s="10" t="inlineStr">
        <is>
          <t>by 19 December 2026</t>
        </is>
      </c>
      <c r="D16" s="11" t="inlineStr">
        <is>
          <t>Formal certification of those elected.</t>
        </is>
      </c>
    </row>
    <row r="18">
      <c r="B18" s="3" t="inlineStr">
        <is>
          <t>Offices contested on 4 October</t>
        </is>
      </c>
    </row>
    <row r="19">
      <c r="B19" s="8" t="inlineStr">
        <is>
          <t>Office</t>
        </is>
      </c>
      <c r="C19" s="8" t="inlineStr">
        <is>
          <t>Seats</t>
        </is>
      </c>
      <c r="D19" s="8" t="inlineStr">
        <is>
          <t>Note</t>
        </is>
      </c>
    </row>
    <row r="20">
      <c r="B20" s="9" t="inlineStr">
        <is>
          <t>President and Vice-President</t>
        </is>
      </c>
      <c r="C20" s="12" t="n">
        <v>1</v>
      </c>
      <c r="D20" s="11" t="inlineStr">
        <is>
          <t>Joint ticket, two-round system.</t>
        </is>
      </c>
    </row>
    <row r="21">
      <c r="B21" s="9" t="inlineStr">
        <is>
          <t>Governors (states + DF)</t>
        </is>
      </c>
      <c r="C21" s="12" t="n">
        <v>27</v>
      </c>
      <c r="D21" s="11" t="inlineStr">
        <is>
          <t>Same two-round rule as the presidency.</t>
        </is>
      </c>
    </row>
    <row r="22">
      <c r="B22" s="9" t="inlineStr">
        <is>
          <t>Federal Senate</t>
        </is>
      </c>
      <c r="C22" s="12" t="n">
        <v>54</v>
      </c>
      <c r="D22" s="11" t="inlineStr">
        <is>
          <t>Two-thirds of the 81-seat chamber. Two per state/DF, plurality block vote, 8-year terms. Voters cast TWO senate votes this cycle.</t>
        </is>
      </c>
    </row>
    <row r="23">
      <c r="B23" s="9" t="inlineStr">
        <is>
          <t>Chamber of Deputies</t>
        </is>
      </c>
      <c r="C23" s="12" t="n">
        <v>513</v>
      </c>
      <c r="D23" s="11" t="inlineStr">
        <is>
          <t>All seats. Open-list PR, state-level at-large districts. 4-year terms, no limit.</t>
        </is>
      </c>
    </row>
    <row r="24">
      <c r="B24" s="9" t="inlineStr">
        <is>
          <t>State/district assemblies</t>
        </is>
      </c>
      <c r="C24" s="12" t="n">
        <v>1059</v>
      </c>
      <c r="D24" s="11" t="inlineStr">
        <is>
          <t>More than 1,000 seats; figure is indicative.</t>
        </is>
      </c>
    </row>
    <row r="25">
      <c r="B25" s="9" t="inlineStr">
        <is>
          <t>Senate seats not up in 2026</t>
        </is>
      </c>
      <c r="C25" s="13">
        <f>81-C22</f>
        <v/>
      </c>
      <c r="D25" s="11" t="inlineStr">
        <is>
          <t>Elected in 2022, terms run to 2031.</t>
        </is>
      </c>
    </row>
    <row r="26">
      <c r="B26" s="9" t="inlineStr">
        <is>
          <t>Senate majority threshold</t>
        </is>
      </c>
      <c r="C26" s="12" t="n">
        <v>41</v>
      </c>
    </row>
    <row r="27">
      <c r="B27" s="9" t="inlineStr">
        <is>
          <t>Chamber majority threshold</t>
        </is>
      </c>
      <c r="C27" s="12" t="n">
        <v>257</v>
      </c>
    </row>
    <row r="29">
      <c r="B29" s="3" t="inlineStr">
        <is>
          <t>Electorate</t>
        </is>
      </c>
    </row>
    <row r="30">
      <c r="B30" s="8" t="inlineStr">
        <is>
          <t>Item</t>
        </is>
      </c>
      <c r="C30" s="8" t="inlineStr">
        <is>
          <t>Value</t>
        </is>
      </c>
      <c r="D30" s="8" t="inlineStr">
        <is>
          <t>Note</t>
        </is>
      </c>
    </row>
    <row r="31">
      <c r="B31" s="9" t="inlineStr">
        <is>
          <t>Eligible voters</t>
        </is>
      </c>
      <c r="C31" s="12" t="n">
        <v>158700000</v>
      </c>
      <c r="D31" s="11" t="inlineStr">
        <is>
          <t>TSE, July 2026 official publication. Basis for campaign spending caps.</t>
        </is>
      </c>
    </row>
    <row r="32">
      <c r="B32" s="9" t="inlineStr">
        <is>
          <t>Overseas voters</t>
        </is>
      </c>
      <c r="C32" s="12" t="n">
        <v>900000</v>
      </c>
      <c r="D32" s="11" t="inlineStr">
        <is>
          <t>More than 900,000; up 32% vs 2022.</t>
        </is>
      </c>
    </row>
    <row r="33">
      <c r="B33" s="9" t="inlineStr">
        <is>
          <t>Turnout, 2022 first round</t>
        </is>
      </c>
      <c r="C33" s="14" t="n">
        <v>0.79</v>
      </c>
      <c r="D33" s="11" t="inlineStr">
        <is>
          <t>In line with the long-run Brazilian average.</t>
        </is>
      </c>
    </row>
    <row r="34">
      <c r="B34" s="9" t="inlineStr">
        <is>
          <t>Self-declared black / pardo</t>
        </is>
      </c>
      <c r="C34" s="12" t="n">
        <v>20500000</v>
      </c>
      <c r="D34" s="11" t="inlineStr">
        <is>
          <t>Highest ever recorded; TSE has allowed race and gender declaration since 2022.</t>
        </is>
      </c>
    </row>
    <row r="35">
      <c r="B35" s="9" t="inlineStr">
        <is>
          <t>Total candidacy registrations</t>
        </is>
      </c>
      <c r="C35" s="12" t="n">
        <v>20506</v>
      </c>
      <c r="D35" s="11" t="inlineStr">
        <is>
          <t>All offices, TSE data to 17-Aug-2026. c.8,700 fewer than 2022.</t>
        </is>
      </c>
    </row>
    <row r="36">
      <c r="B36" s="9" t="inlineStr">
        <is>
          <t>Presidential tickets registered</t>
        </is>
      </c>
      <c r="C36" s="12" t="n">
        <v>13</v>
      </c>
      <c r="D36" s="11" t="inlineStr">
        <is>
          <t>Registration filed is not the same as registration approved; TSE was still adjudicating at the data cut.</t>
        </is>
      </c>
    </row>
    <row r="37">
      <c r="B37" s="9" t="inlineStr">
        <is>
          <t>Implied 2022-style turnout on 2026 roll</t>
        </is>
      </c>
      <c r="C37" s="13">
        <f>C31*C33</f>
        <v/>
      </c>
      <c r="D37" s="11" t="inlineStr">
        <is>
          <t>Eligible voters x 2022 first-round turnout rate. Indicative ballot volume only.</t>
        </is>
      </c>
    </row>
    <row r="39">
      <c r="B39" s="3" t="inlineStr">
        <is>
          <t>Voting obligation and campaign finance</t>
        </is>
      </c>
    </row>
    <row r="40">
      <c r="B40" s="8" t="inlineStr">
        <is>
          <t>Item</t>
        </is>
      </c>
      <c r="C40" s="8" t="inlineStr">
        <is>
          <t>Value</t>
        </is>
      </c>
      <c r="D40" s="8" t="inlineStr">
        <is>
          <t>Note</t>
        </is>
      </c>
    </row>
    <row r="41">
      <c r="B41" s="9" t="inlineStr">
        <is>
          <t>Compulsory voting</t>
        </is>
      </c>
      <c r="C41" s="10" t="inlineStr">
        <is>
          <t>Ages 18-70</t>
        </is>
      </c>
      <c r="D41" s="11" t="inlineStr">
        <is>
          <t>Literate citizens. Conscripts on military service may not vote.</t>
        </is>
      </c>
    </row>
    <row r="42">
      <c r="B42" s="9" t="inlineStr">
        <is>
          <t>Optional voting</t>
        </is>
      </c>
      <c r="C42" s="10" t="inlineStr">
        <is>
          <t>Ages 16-17 and 70+</t>
        </is>
      </c>
      <c r="D42" s="11" t="inlineStr"/>
    </row>
    <row r="43">
      <c r="B43" s="9" t="inlineStr">
        <is>
          <t>Abstention fine</t>
        </is>
      </c>
      <c r="C43" s="10" t="inlineStr">
        <is>
          <t>R$3.51</t>
        </is>
      </c>
      <c r="D43" s="11" t="inlineStr">
        <is>
          <t>c.US$0.69. Can be waived, reduced, or raised to R$35.13.</t>
        </is>
      </c>
    </row>
    <row r="44">
      <c r="B44" s="9" t="inlineStr">
        <is>
          <t>Spending cap, first round</t>
        </is>
      </c>
      <c r="C44" s="10" t="inlineStr">
        <is>
          <t>c.US$17.2m</t>
        </is>
      </c>
      <c r="D44" s="11" t="inlineStr">
        <is>
          <t>TSE ruled on 21-Jul-2026 to hold 2022 ceilings unchanged.</t>
        </is>
      </c>
    </row>
    <row r="45">
      <c r="B45" s="9" t="inlineStr">
        <is>
          <t>Spending cap, runoff</t>
        </is>
      </c>
      <c r="C45" s="10" t="inlineStr">
        <is>
          <t>c.US$8.6m</t>
        </is>
      </c>
      <c r="D45" s="11" t="inlineStr">
        <is>
          <t>Additional to the first-round cap.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B63"/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46" customWidth="1" min="3" max="3"/>
    <col width="62" customWidth="1" min="4" max="4"/>
  </cols>
  <sheetData>
    <row r="2" ht="26" customHeight="1">
      <c r="B2" s="1" t="inlineStr">
        <is>
          <t>Electoral calendar</t>
        </is>
      </c>
    </row>
    <row r="3">
      <c r="B3" s="2" t="inlineStr">
        <is>
          <t>TSE Resolucao 23.760 of 2 March 2026, plus campaign milestones</t>
        </is>
      </c>
    </row>
    <row r="5">
      <c r="B5" s="8" t="inlineStr">
        <is>
          <t>Date</t>
        </is>
      </c>
      <c r="C5" s="8" t="inlineStr">
        <is>
          <t>Event</t>
        </is>
      </c>
      <c r="D5" s="8" t="inlineStr">
        <is>
          <t>Note</t>
        </is>
      </c>
    </row>
    <row r="6">
      <c r="B6" s="10" t="inlineStr">
        <is>
          <t>1 Jan 2026</t>
        </is>
      </c>
      <c r="C6" s="9" t="inlineStr">
        <is>
          <t>Polling regulation and government-advertising restrictions begin</t>
        </is>
      </c>
      <c r="D6" s="11" t="inlineStr"/>
    </row>
    <row r="7">
      <c r="B7" s="10" t="inlineStr">
        <is>
          <t>5 Mar - 3 Apr 2026</t>
        </is>
      </c>
      <c r="C7" s="9" t="inlineStr">
        <is>
          <t>Janela partidaria (party-switching window)</t>
        </is>
      </c>
      <c r="D7" s="11" t="inlineStr">
        <is>
          <t>Legislators may change party without losing their mandate.</t>
        </is>
      </c>
    </row>
    <row r="8">
      <c r="B8" s="10" t="inlineStr">
        <is>
          <t>4 Apr 2026</t>
        </is>
      </c>
      <c r="C8" s="9" t="inlineStr">
        <is>
          <t>Deadline: voter registration, party affiliation, resignation of executive officials</t>
        </is>
      </c>
      <c r="D8" s="11" t="inlineStr">
        <is>
          <t>Six-month desincompatibilizacao rule. This is why Tarcisio de Freitas had to decide by April.</t>
        </is>
      </c>
    </row>
    <row r="9">
      <c r="B9" s="10" t="inlineStr">
        <is>
          <t>6 May 2026</t>
        </is>
      </c>
      <c r="C9" s="9" t="inlineStr">
        <is>
          <t>Electoral register closed</t>
        </is>
      </c>
      <c r="D9" s="11" t="inlineStr">
        <is>
          <t>No new registrations until after the election.</t>
        </is>
      </c>
    </row>
    <row r="10">
      <c r="B10" s="10" t="inlineStr">
        <is>
          <t>20 Jul - 5 Aug 2026</t>
        </is>
      </c>
      <c r="C10" s="9" t="inlineStr">
        <is>
          <t>Party conventions</t>
        </is>
      </c>
      <c r="D10" s="11" t="inlineStr">
        <is>
          <t>Candidates and coalitions formally chosen.</t>
        </is>
      </c>
    </row>
    <row r="11">
      <c r="B11" s="10" t="inlineStr">
        <is>
          <t>4 Aug 2026</t>
        </is>
      </c>
      <c r="C11" s="9" t="inlineStr">
        <is>
          <t>TSE publishes free radio/TV airtime allocation table</t>
        </is>
      </c>
      <c r="D11" s="11" t="inlineStr">
        <is>
          <t>Allocated by size of congressional representation.</t>
        </is>
      </c>
    </row>
    <row r="12">
      <c r="B12" s="10" t="inlineStr">
        <is>
          <t>6 Aug 2026</t>
        </is>
      </c>
      <c r="C12" s="9" t="inlineStr">
        <is>
          <t>Broadcast restrictions on radio and TV take effect</t>
        </is>
      </c>
      <c r="D12" s="11" t="inlineStr"/>
    </row>
    <row r="13">
      <c r="B13" s="10" t="inlineStr">
        <is>
          <t>15 Aug 2026</t>
        </is>
      </c>
      <c r="C13" s="9" t="inlineStr">
        <is>
          <t>Candidacy registration deadline, 19:00</t>
        </is>
      </c>
      <c r="D13" s="11" t="inlineStr">
        <is>
          <t>13 presidential tickets filed.</t>
        </is>
      </c>
    </row>
    <row r="14">
      <c r="B14" s="10" t="inlineStr">
        <is>
          <t>16 Aug 2026</t>
        </is>
      </c>
      <c r="C14" s="9" t="inlineStr">
        <is>
          <t>Campaign officially begins</t>
        </is>
      </c>
      <c r="D14" s="11" t="inlineStr">
        <is>
          <t>Street and internet advertising permitted. Lula launched in Sao Bernardo do Campo, Flavio Bolsonaro in Copacabana.</t>
        </is>
      </c>
    </row>
    <row r="15">
      <c r="B15" s="10" t="inlineStr">
        <is>
          <t>16 Aug 2026</t>
        </is>
      </c>
      <c r="C15" s="9" t="inlineStr">
        <is>
          <t>First televised presidential debate</t>
        </is>
      </c>
      <c r="D15" s="11" t="inlineStr">
        <is>
          <t>Band.</t>
        </is>
      </c>
    </row>
    <row r="16">
      <c r="B16" s="10" t="inlineStr">
        <is>
          <t>20 Aug 2026</t>
        </is>
      </c>
      <c r="C16" s="9" t="inlineStr">
        <is>
          <t>Deadline to request voto em transito</t>
        </is>
      </c>
      <c r="D16" s="11" t="inlineStr"/>
    </row>
    <row r="17">
      <c r="B17" s="10" t="inlineStr">
        <is>
          <t>28 Aug - 1 Oct 2026</t>
        </is>
      </c>
      <c r="C17" s="9" t="inlineStr">
        <is>
          <t>Free radio/TV electoral broadcast, first round</t>
        </is>
      </c>
      <c r="D17" s="11" t="inlineStr">
        <is>
          <t>One hour per day.</t>
        </is>
      </c>
    </row>
    <row r="18">
      <c r="B18" s="10" t="inlineStr">
        <is>
          <t>14 Sep 2026</t>
        </is>
      </c>
      <c r="C18" s="9" t="inlineStr">
        <is>
          <t>Second presidential debate</t>
        </is>
      </c>
      <c r="D18" s="11" t="inlineStr"/>
    </row>
    <row r="19">
      <c r="B19" s="10" t="inlineStr">
        <is>
          <t>3 Oct 2026</t>
        </is>
      </c>
      <c r="C19" s="9" t="inlineStr">
        <is>
          <t>Campaigning ends; TSE tabulation-system verification ceremony</t>
        </is>
      </c>
      <c r="D19" s="11" t="inlineStr"/>
    </row>
    <row r="20">
      <c r="B20" s="10" t="inlineStr">
        <is>
          <t>3 - 5 Oct 2026</t>
        </is>
      </c>
      <c r="C20" s="9" t="inlineStr">
        <is>
          <t>Nationwide ban on transport of firearms by CACs</t>
        </is>
      </c>
      <c r="D20" s="11" t="inlineStr"/>
    </row>
    <row r="21">
      <c r="B21" s="15" t="inlineStr">
        <is>
          <t>4 OCT 2026</t>
        </is>
      </c>
      <c r="C21" s="4" t="inlineStr">
        <is>
          <t>FIRST ROUND</t>
        </is>
      </c>
      <c r="D21" s="11" t="inlineStr">
        <is>
          <t>Polls 08:00-17:00 Brasilia. Results from 17:00.</t>
        </is>
      </c>
    </row>
    <row r="22">
      <c r="B22" s="10" t="inlineStr">
        <is>
          <t>9 - 23 Oct 2026</t>
        </is>
      </c>
      <c r="C22" s="9" t="inlineStr">
        <is>
          <t>Free radio/TV electoral broadcast, runoff</t>
        </is>
      </c>
      <c r="D22" s="11" t="inlineStr"/>
    </row>
    <row r="23">
      <c r="B23" s="10" t="inlineStr">
        <is>
          <t>10 Oct 2026</t>
        </is>
      </c>
      <c r="C23" s="9" t="inlineStr">
        <is>
          <t>Runoff candidates may not be detained</t>
        </is>
      </c>
      <c r="D23" s="11" t="inlineStr">
        <is>
          <t>Except in flagrante delicto.</t>
        </is>
      </c>
    </row>
    <row r="24">
      <c r="B24" s="10" t="inlineStr">
        <is>
          <t>19 Oct 2026</t>
        </is>
      </c>
      <c r="C24" s="9" t="inlineStr">
        <is>
          <t>Voters may not be detained</t>
        </is>
      </c>
      <c r="D24" s="11" t="inlineStr">
        <is>
          <t>Except in flagrante delicto or for a non-bailable offence.</t>
        </is>
      </c>
    </row>
    <row r="25">
      <c r="B25" s="10" t="inlineStr">
        <is>
          <t>24 - 26 Oct 2026</t>
        </is>
      </c>
      <c r="C25" s="9" t="inlineStr">
        <is>
          <t>Nationwide ban on transport of firearms by CACs</t>
        </is>
      </c>
      <c r="D25" s="11" t="inlineStr"/>
    </row>
    <row r="26">
      <c r="B26" s="15" t="inlineStr">
        <is>
          <t>25 OCT 2026</t>
        </is>
      </c>
      <c r="C26" s="4" t="inlineStr">
        <is>
          <t>RUNOFF</t>
        </is>
      </c>
      <c r="D26" s="11" t="inlineStr">
        <is>
          <t>President and governors only. Polls 08:00-17:00 Brasilia.</t>
        </is>
      </c>
    </row>
    <row r="27">
      <c r="B27" s="10" t="inlineStr">
        <is>
          <t>by 19 Dec 2026</t>
        </is>
      </c>
      <c r="C27" s="9" t="inlineStr">
        <is>
          <t>Diplomas issued to those elected</t>
        </is>
      </c>
      <c r="D27" s="11" t="inlineStr"/>
    </row>
    <row r="28">
      <c r="B28" s="15" t="inlineStr">
        <is>
          <t>5 JAN 2027</t>
        </is>
      </c>
      <c r="C28" s="4" t="inlineStr">
        <is>
          <t>PRESIDENTIAL INAUGURATION</t>
        </is>
      </c>
      <c r="D28" s="11" t="inlineStr">
        <is>
          <t>Brasilia.</t>
        </is>
      </c>
    </row>
    <row r="29">
      <c r="B29" s="10" t="inlineStr">
        <is>
          <t>6 Jan 2027</t>
        </is>
      </c>
      <c r="C29" s="9" t="inlineStr">
        <is>
          <t>Governors take office</t>
        </is>
      </c>
      <c r="D29" s="11" t="inlineStr">
        <is>
          <t>26 states and the Federal District.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B63"/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26" customWidth="1" min="4" max="4"/>
    <col width="16" customWidth="1" min="5" max="5"/>
    <col width="62" customWidth="1" min="6" max="6"/>
  </cols>
  <sheetData>
    <row r="2" ht="26" customHeight="1">
      <c r="B2" s="1" t="inlineStr">
        <is>
          <t>Presidential tickets registered with the TSE</t>
        </is>
      </c>
    </row>
    <row r="3">
      <c r="B3" s="2" t="inlineStr">
        <is>
          <t>13 tickets filed by the 19:00, 15-Aug-2026 deadline. Registration filed is not registration approved.</t>
        </is>
      </c>
    </row>
    <row r="5">
      <c r="B5" s="8" t="inlineStr">
        <is>
          <t>Candidate</t>
        </is>
      </c>
      <c r="C5" s="8" t="inlineStr">
        <is>
          <t>Party</t>
        </is>
      </c>
      <c r="D5" s="8" t="inlineStr">
        <is>
          <t>Running mate</t>
        </is>
      </c>
      <c r="E5" s="8" t="inlineStr">
        <is>
          <t>Declared assets</t>
        </is>
      </c>
      <c r="F5" s="8" t="inlineStr">
        <is>
          <t>Note</t>
        </is>
      </c>
    </row>
    <row r="6" ht="22" customHeight="1">
      <c r="B6" s="4" t="inlineStr">
        <is>
          <t>Luiz Inacio Lula da Silva</t>
        </is>
      </c>
      <c r="C6" s="16" t="inlineStr">
        <is>
          <t>PT</t>
        </is>
      </c>
      <c r="D6" s="9" t="inlineStr">
        <is>
          <t>Geraldo Alckmin (PSB)</t>
        </is>
      </c>
      <c r="F6" s="11" t="inlineStr">
        <is>
          <t>Incumbent, seeking a fourth non-consecutive term. 80 on election day. The ONLY coalition ticket: PT, PSB, PCdoB, PDT, PSOL, PV, Rede. Repeats the winning 2022 pairing.</t>
        </is>
      </c>
    </row>
    <row r="7" ht="22" customHeight="1">
      <c r="B7" s="4" t="inlineStr">
        <is>
          <t>Flavio Bolsonaro</t>
        </is>
      </c>
      <c r="C7" s="16" t="inlineStr">
        <is>
          <t>PL</t>
        </is>
      </c>
      <c r="D7" s="9" t="inlineStr">
        <is>
          <t>Alfredo Gaspar (PL-AL)</t>
        </is>
      </c>
      <c r="E7" s="17" t="n">
        <v>8200000</v>
      </c>
      <c r="F7" s="11" t="inlineStr">
        <is>
          <t>45. Senator for Rio de Janeiro, four terms as Rio state deputy. Eldest son of Jair Bolsonaro; endorsed by him from prison in Dec-2025, confirmed at PL convention 25-Jul-2026. PL-only ticket. Gaspar is a former Alagoas public prosecutor and state security secretary; rapporteur of the INSS CPMI.</t>
        </is>
      </c>
    </row>
    <row r="8" ht="22" customHeight="1">
      <c r="B8" s="9" t="inlineStr">
        <is>
          <t>Ronaldo Caiado</t>
        </is>
      </c>
      <c r="C8" s="16" t="inlineStr">
        <is>
          <t>PSD</t>
        </is>
      </c>
      <c r="D8" s="9" t="inlineStr">
        <is>
          <t>Gilberto Kassab (PSD)</t>
        </is>
      </c>
      <c r="E8" s="17" t="n">
        <v>52600000</v>
      </c>
      <c r="F8" s="11" t="inlineStr">
        <is>
          <t>Former governor of Goias. Kassab is PSD national president and a former mayor of Sao Paulo.</t>
        </is>
      </c>
    </row>
    <row r="9" ht="22" customHeight="1">
      <c r="B9" s="9" t="inlineStr">
        <is>
          <t>Romeu Zema</t>
        </is>
      </c>
      <c r="C9" s="16" t="inlineStr">
        <is>
          <t>Novo</t>
        </is>
      </c>
      <c r="D9" s="9" t="inlineStr">
        <is>
          <t>Eduardo Girao (Novo-CE)</t>
        </is>
      </c>
      <c r="E9" s="17" t="n">
        <v>178707610</v>
      </c>
      <c r="F9" s="11" t="inlineStr">
        <is>
          <t>Former governor of Minas Gerais, two terms. Platform: privatise all state enterprises, maximum-security prisons for faction members, lower the age of criminal responsibility to 16.</t>
        </is>
      </c>
    </row>
    <row r="10" ht="22" customHeight="1">
      <c r="B10" s="9" t="inlineStr">
        <is>
          <t>Renan Santos</t>
        </is>
      </c>
      <c r="C10" s="16" t="inlineStr">
        <is>
          <t>Missao</t>
        </is>
      </c>
      <c r="D10" s="9" t="inlineStr">
        <is>
          <t>Coronel Medina (Missao)</t>
        </is>
      </c>
      <c r="F10" s="11" t="inlineStr">
        <is>
          <t>Founder of the MBL and of the Missao party. Running on an anti-establishment right platform critical of both Lula and Flavio Bolsonaro.</t>
        </is>
      </c>
    </row>
    <row r="11" ht="22" customHeight="1">
      <c r="B11" s="9" t="inlineStr">
        <is>
          <t>Pablo Marcal</t>
        </is>
      </c>
      <c r="C11" s="16" t="inlineStr">
        <is>
          <t>PRTB</t>
        </is>
      </c>
      <c r="D11" s="9" t="inlineStr">
        <is>
          <t>Leonardo Avalanche (PRTB)</t>
        </is>
      </c>
      <c r="E11" s="17" t="n">
        <v>7400000000</v>
      </c>
      <c r="F11" s="11" t="inlineStr">
        <is>
          <t>INELIGIBLE until 2032; registered on the final day under an injunction permitting his move to the PRTB. The Ministerio Publico Eleitoral is expected to challenge. Avalanche was originally the head of the ticket.</t>
        </is>
      </c>
    </row>
    <row r="12" ht="22" customHeight="1">
      <c r="B12" s="9" t="inlineStr">
        <is>
          <t>Augusto Cury</t>
        </is>
      </c>
      <c r="C12" s="16" t="inlineStr">
        <is>
          <t>Avante</t>
        </is>
      </c>
      <c r="D12" s="9" t="inlineStr">
        <is>
          <t>Julio Delgado (Avante)</t>
        </is>
      </c>
      <c r="E12" s="17" t="n">
        <v>242300000</v>
      </c>
      <c r="F12" s="11" t="inlineStr">
        <is>
          <t>67. Psychiatrist and author; no prior elected or administrative office.</t>
        </is>
      </c>
    </row>
    <row r="13" ht="22" customHeight="1">
      <c r="B13" s="9" t="inlineStr">
        <is>
          <t>Clariana Barao</t>
        </is>
      </c>
      <c r="C13" s="16" t="inlineStr">
        <is>
          <t>DC</t>
        </is>
      </c>
      <c r="D13" s="9" t="inlineStr">
        <is>
          <t>Fabiana Torquato (DC)</t>
        </is>
      </c>
      <c r="F13" s="11" t="inlineStr">
        <is>
          <t>39, lawyer. The DC nomination passed through Aldo Rebelo and Joaquim Barbosa before reaching her.</t>
        </is>
      </c>
    </row>
    <row r="14" ht="22" customHeight="1">
      <c r="B14" s="9" t="inlineStr">
        <is>
          <t>Wilson Grassi</t>
        </is>
      </c>
      <c r="C14" s="16" t="inlineStr">
        <is>
          <t>Democrata</t>
        </is>
      </c>
      <c r="D14" s="9" t="inlineStr">
        <is>
          <t>Sued Haidar (Democrata)</t>
        </is>
      </c>
      <c r="E14" s="17" t="n">
        <v>50000000</v>
      </c>
      <c r="F14" s="11" t="inlineStr">
        <is>
          <t>Veterinarian.</t>
        </is>
      </c>
    </row>
    <row r="15" ht="22" customHeight="1">
      <c r="B15" s="9" t="inlineStr">
        <is>
          <t>Edmilson Costa</t>
        </is>
      </c>
      <c r="C15" s="16" t="inlineStr">
        <is>
          <t>PCB</t>
        </is>
      </c>
      <c r="D15" s="9" t="inlineStr">
        <is>
          <t>Cleusa Santos (PCB)</t>
        </is>
      </c>
      <c r="F15" s="11" t="inlineStr">
        <is>
          <t>Economics doctorate (Unicamp); PCB militant since the 1970s. First presidential run.</t>
        </is>
      </c>
    </row>
    <row r="16" ht="22" customHeight="1">
      <c r="B16" s="9" t="inlineStr">
        <is>
          <t>Hertz Dias</t>
        </is>
      </c>
      <c r="C16" s="16" t="inlineStr">
        <is>
          <t>PSTU</t>
        </is>
      </c>
      <c r="D16" s="9" t="inlineStr">
        <is>
          <t>Vanessa Portugal (PSTU)</t>
        </is>
      </c>
      <c r="F16" s="11" t="inlineStr">
        <is>
          <t>55, teacher. Second presidential election.</t>
        </is>
      </c>
    </row>
    <row r="17" ht="22" customHeight="1">
      <c r="B17" s="9" t="inlineStr">
        <is>
          <t>Rui Costa Pimenta</t>
        </is>
      </c>
      <c r="C17" s="16" t="inlineStr">
        <is>
          <t>PCO</t>
        </is>
      </c>
      <c r="D17" s="9" t="inlineStr">
        <is>
          <t>Antonio Carlos (PCO)</t>
        </is>
      </c>
      <c r="F17" s="11" t="inlineStr"/>
    </row>
    <row r="18" ht="22" customHeight="1">
      <c r="B18" s="9" t="inlineStr">
        <is>
          <t>Samara Martins</t>
        </is>
      </c>
      <c r="C18" s="16" t="inlineStr">
        <is>
          <t>UP</t>
        </is>
      </c>
      <c r="D18" s="9" t="inlineStr">
        <is>
          <t>Raquel Bricio (UP)</t>
        </is>
      </c>
      <c r="F18" s="11" t="inlineStr"/>
    </row>
    <row r="20">
      <c r="B20" s="11" t="inlineStr">
        <is>
          <t>Declared assets in BRL, as filed with the TSE at registration (dataset updated 20-Aug-2026). Official self-declaration, not a market valuation; candidates may amend. Blank = not located.</t>
        </is>
      </c>
    </row>
    <row r="21">
      <c r="B21" s="11" t="inlineStr">
        <is>
          <t>Tarcisio de Freitas (Sao Paulo governor), the strongest polling figure on the right, declined to run and endorsed Flavio Bolsonaro in January 2026, seeking re-election as governor instead. Ciro Gomes withdrew to contest the Ceara governorship.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B63"/>
    <outlinePr summaryBelow="1" summaryRight="1"/>
    <pageSetUpPr/>
  </sheetPr>
  <dimension ref="B2:N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3" customWidth="1" min="3" max="3"/>
    <col width="16" customWidth="1" min="4" max="4"/>
    <col width="9" customWidth="1" min="5" max="5"/>
    <col width="8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62" customWidth="1" min="13" max="13"/>
    <col width="62" customWidth="1" min="14" max="14"/>
  </cols>
  <sheetData>
    <row r="2" ht="26" customHeight="1">
      <c r="B2" s="1" t="inlineStr">
        <is>
          <t>Voting intention — stimulated scenarios</t>
        </is>
      </c>
    </row>
    <row r="3">
      <c r="B3" s="2" t="inlineStr">
        <is>
          <t>One row per published poll. Runoff column pair is Lula vs Flavio Bolsonaro only.</t>
        </is>
      </c>
    </row>
    <row r="5">
      <c r="B5" s="18" t="inlineStr">
        <is>
          <t>Institute</t>
        </is>
      </c>
      <c r="C5" s="18" t="inlineStr">
        <is>
          <t>Client</t>
        </is>
      </c>
      <c r="D5" s="18" t="inlineStr">
        <is>
          <t>Fieldwork</t>
        </is>
      </c>
      <c r="E5" s="18" t="inlineStr">
        <is>
          <t>n</t>
        </is>
      </c>
      <c r="F5" s="18" t="inlineStr">
        <is>
          <t>MoE (pp)</t>
        </is>
      </c>
      <c r="G5" s="18" t="inlineStr">
        <is>
          <t>TSE reg.</t>
        </is>
      </c>
      <c r="H5" s="18" t="inlineStr">
        <is>
          <t>R1 Lula</t>
        </is>
      </c>
      <c r="I5" s="18" t="inlineStr">
        <is>
          <t>R1 Flavio</t>
        </is>
      </c>
      <c r="J5" s="18" t="inlineStr">
        <is>
          <t>R1 gap</t>
        </is>
      </c>
      <c r="K5" s="18" t="inlineStr">
        <is>
          <t>R2 Lula</t>
        </is>
      </c>
      <c r="L5" s="18" t="inlineStr">
        <is>
          <t>R2 Flavio</t>
        </is>
      </c>
      <c r="M5" s="18" t="inlineStr">
        <is>
          <t>R2 gap</t>
        </is>
      </c>
      <c r="N5" s="18" t="inlineStr">
        <is>
          <t>Note</t>
        </is>
      </c>
    </row>
    <row r="6" ht="24" customHeight="1">
      <c r="B6" s="19" t="inlineStr">
        <is>
          <t>Genial/Quaest</t>
        </is>
      </c>
      <c r="C6" s="6" t="inlineStr">
        <is>
          <t>Genial</t>
        </is>
      </c>
      <c r="D6" s="20" t="inlineStr">
        <is>
          <t>Dec 2025</t>
        </is>
      </c>
      <c r="F6" s="21" t="n">
        <v>2</v>
      </c>
      <c r="K6" s="22" t="n">
        <v>0.46</v>
      </c>
      <c r="L6" s="22" t="n">
        <v>0.36</v>
      </c>
      <c r="M6" s="23">
        <f>(K6-L6)*100</f>
        <v/>
      </c>
      <c r="N6" s="11" t="inlineStr">
        <is>
          <t>Pre-registration baseline. First round not located for this round.</t>
        </is>
      </c>
    </row>
    <row r="7" ht="24" customHeight="1">
      <c r="B7" s="19" t="inlineStr">
        <is>
          <t>Genial/Quaest</t>
        </is>
      </c>
      <c r="C7" s="6" t="inlineStr">
        <is>
          <t>Genial</t>
        </is>
      </c>
      <c r="D7" s="20" t="inlineStr">
        <is>
          <t>8-11 Jan 2026</t>
        </is>
      </c>
      <c r="E7" s="24" t="n">
        <v>2004</v>
      </c>
      <c r="F7" s="21" t="n">
        <v>2</v>
      </c>
      <c r="H7" s="22" t="n">
        <v>0.35</v>
      </c>
      <c r="I7" s="22" t="n">
        <v>0.26</v>
      </c>
      <c r="J7" s="23">
        <f>(H7-I7)*100</f>
        <v/>
      </c>
      <c r="K7" s="22" t="n">
        <v>0.45</v>
      </c>
      <c r="L7" s="22" t="n">
        <v>0.38</v>
      </c>
      <c r="M7" s="23">
        <f>(K7-L7)*100</f>
        <v/>
      </c>
      <c r="N7" s="11" t="inlineStr">
        <is>
          <t>Main scenario. An alternative scenario including Tarcisio had Lula 36, Flavio 23, Tarcisio 9, Ratinho Jr 7. 43% said a non-Bolsonaro opposition candidate would do better against Lula; 34% said a Bolsonaro would.</t>
        </is>
      </c>
    </row>
    <row r="8" ht="24" customHeight="1">
      <c r="B8" s="19" t="inlineStr">
        <is>
          <t>AtlasIntel</t>
        </is>
      </c>
      <c r="C8" s="6" t="inlineStr">
        <is>
          <t>Bloomberg</t>
        </is>
      </c>
      <c r="D8" s="20" t="inlineStr">
        <is>
          <t>Feb 2026</t>
        </is>
      </c>
      <c r="N8" s="11" t="inlineStr">
        <is>
          <t>R1 Lula 43-47 and Flavio 33-40 across scenarios; runoff virtually tied. Point estimates not published as single figures.</t>
        </is>
      </c>
    </row>
    <row r="9" ht="24" customHeight="1">
      <c r="B9" s="19" t="inlineStr">
        <is>
          <t>Datafolha</t>
        </is>
      </c>
      <c r="C9" s="6" t="inlineStr">
        <is>
          <t>Folha da Manha</t>
        </is>
      </c>
      <c r="D9" s="20" t="inlineStr">
        <is>
          <t>3-5 Mar 2026</t>
        </is>
      </c>
      <c r="E9" s="24" t="n">
        <v>2004</v>
      </c>
      <c r="F9" s="21" t="n">
        <v>2</v>
      </c>
      <c r="K9" s="22" t="n">
        <v>0.46</v>
      </c>
      <c r="L9" s="22" t="n">
        <v>0.43</v>
      </c>
      <c r="M9" s="23">
        <f>(K9-L9)*100</f>
        <v/>
      </c>
      <c r="N9" s="11" t="inlineStr">
        <is>
          <t>137 municipalities. Lula led all first-round scenarios. Lula vs Tarcisio runoff 45-42. This is the round that first made the runoff a statistical tie.</t>
        </is>
      </c>
    </row>
    <row r="10" ht="24" customHeight="1">
      <c r="B10" s="19" t="inlineStr">
        <is>
          <t>AtlasIntel</t>
        </is>
      </c>
      <c r="C10" s="6" t="inlineStr">
        <is>
          <t>Bloomberg</t>
        </is>
      </c>
      <c r="D10" s="20" t="inlineStr">
        <is>
          <t>to 25 Mar 2026</t>
        </is>
      </c>
      <c r="F10" s="21" t="n">
        <v>1</v>
      </c>
      <c r="H10" s="22" t="n">
        <v>0.46</v>
      </c>
      <c r="K10" s="22" t="n">
        <v>0.466</v>
      </c>
      <c r="L10" s="22" t="n">
        <v>0.476</v>
      </c>
      <c r="M10" s="23">
        <f>(K10-L10)*100</f>
        <v/>
      </c>
      <c r="N10" s="11" t="inlineStr">
        <is>
          <t>FLAVIO AHEAD by 1.0pp, inside a 1pp MoE. R1: Lula c.46% across all five scenarios, Flavio 36-42%.</t>
        </is>
      </c>
    </row>
    <row r="11" ht="24" customHeight="1">
      <c r="B11" s="19" t="inlineStr">
        <is>
          <t>Genial/Quaest</t>
        </is>
      </c>
      <c r="C11" s="6" t="inlineStr">
        <is>
          <t>Genial</t>
        </is>
      </c>
      <c r="D11" s="20" t="inlineStr">
        <is>
          <t>9-13 Apr 2026</t>
        </is>
      </c>
      <c r="F11" s="21" t="n">
        <v>2</v>
      </c>
      <c r="K11" s="22" t="n">
        <v>0.4</v>
      </c>
      <c r="L11" s="22" t="n">
        <v>0.42</v>
      </c>
      <c r="M11" s="23">
        <f>(K11-L11)*100</f>
        <v/>
      </c>
      <c r="N11" s="11" t="inlineStr">
        <is>
          <t>FLAVIO AHEAD by 2pp — the first Quaest round to show it.</t>
        </is>
      </c>
    </row>
    <row r="12" ht="24" customHeight="1">
      <c r="B12" s="19" t="inlineStr">
        <is>
          <t>BTG Pactual/Nexus</t>
        </is>
      </c>
      <c r="C12" s="6" t="inlineStr">
        <is>
          <t>BTG Pactual</t>
        </is>
      </c>
      <c r="D12" s="20" t="inlineStr">
        <is>
          <t>24-26 Apr 2026</t>
        </is>
      </c>
      <c r="K12" s="22" t="n">
        <v>0.46</v>
      </c>
      <c r="L12" s="22" t="n">
        <v>0.45</v>
      </c>
      <c r="M12" s="23">
        <f>(K12-L12)*100</f>
        <v/>
      </c>
      <c r="N12" s="11" t="inlineStr">
        <is>
          <t>Dead heat.</t>
        </is>
      </c>
    </row>
    <row r="13" ht="24" customHeight="1">
      <c r="B13" s="19" t="inlineStr">
        <is>
          <t>Genial/Quaest</t>
        </is>
      </c>
      <c r="C13" s="6" t="inlineStr">
        <is>
          <t>Genial</t>
        </is>
      </c>
      <c r="D13" s="20" t="inlineStr">
        <is>
          <t>May 2026</t>
        </is>
      </c>
      <c r="F13" s="21" t="n">
        <v>2</v>
      </c>
      <c r="N13" s="11" t="inlineStr">
        <is>
          <t>Reported as a 1pp Lula lead — the flip back. Point estimates not located.</t>
        </is>
      </c>
    </row>
    <row r="14" ht="24" customHeight="1">
      <c r="B14" s="19" t="inlineStr">
        <is>
          <t>Datafolha</t>
        </is>
      </c>
      <c r="C14" s="6" t="inlineStr">
        <is>
          <t>Folha da Manha</t>
        </is>
      </c>
      <c r="D14" s="20" t="inlineStr">
        <is>
          <t>17-19 Jun 2026</t>
        </is>
      </c>
      <c r="E14" s="24" t="n">
        <v>2004</v>
      </c>
      <c r="F14" s="21" t="n">
        <v>2</v>
      </c>
      <c r="G14" s="25" t="inlineStr">
        <is>
          <t>BR-09956/2026</t>
        </is>
      </c>
      <c r="K14" s="22" t="n">
        <v>0.47</v>
      </c>
      <c r="L14" s="22" t="n">
        <v>0.43</v>
      </c>
      <c r="M14" s="23">
        <f>(K14-L14)*100</f>
        <v/>
      </c>
      <c r="N14" s="11" t="inlineStr">
        <is>
          <t>CONFLICT: Latin Times reported this release at 45-45; O Povo, citing the same 20-Jun release, reported 47-43. The 47-43 print is carried here. Verify against the Datafolha release before publication.</t>
        </is>
      </c>
    </row>
    <row r="15" ht="24" customHeight="1">
      <c r="B15" s="19" t="inlineStr">
        <is>
          <t>Genial/Quaest</t>
        </is>
      </c>
      <c r="C15" s="6" t="inlineStr">
        <is>
          <t>Genial</t>
        </is>
      </c>
      <c r="D15" s="20" t="inlineStr">
        <is>
          <t>to 15 Jul 2026</t>
        </is>
      </c>
      <c r="F15" s="21" t="n">
        <v>2</v>
      </c>
      <c r="H15" s="22" t="n">
        <v>0.4</v>
      </c>
      <c r="I15" s="22" t="n">
        <v>0.28</v>
      </c>
      <c r="J15" s="23">
        <f>(H15-I15)*100</f>
        <v/>
      </c>
      <c r="K15" s="22" t="n">
        <v>0.45</v>
      </c>
      <c r="L15" s="22" t="n">
        <v>0.37</v>
      </c>
      <c r="M15" s="23">
        <f>(K15-L15)*100</f>
        <v/>
      </c>
      <c r="N15" s="11" t="inlineStr">
        <is>
          <t>Lula lead widens to 8pp. First Quaest round after a corruption probe touching a senior Lula ally and the escalation of US tariff threats.</t>
        </is>
      </c>
    </row>
    <row r="16" ht="24" customHeight="1">
      <c r="B16" s="19" t="inlineStr">
        <is>
          <t>Datafolha</t>
        </is>
      </c>
      <c r="C16" s="6" t="inlineStr">
        <is>
          <t>Folha da Manha</t>
        </is>
      </c>
      <c r="D16" s="20" t="inlineStr">
        <is>
          <t>22-24 Jul 2026</t>
        </is>
      </c>
      <c r="E16" s="24" t="n">
        <v>2004</v>
      </c>
      <c r="F16" s="21" t="n">
        <v>2</v>
      </c>
      <c r="G16" s="25" t="inlineStr">
        <is>
          <t>BR-01166/2026</t>
        </is>
      </c>
      <c r="H16" s="22" t="n">
        <v>0.4</v>
      </c>
      <c r="I16" s="22" t="n">
        <v>0.32</v>
      </c>
      <c r="J16" s="23">
        <f>(H16-I16)*100</f>
        <v/>
      </c>
      <c r="K16" s="22" t="n">
        <v>0.48</v>
      </c>
      <c r="L16" s="22" t="n">
        <v>0.43</v>
      </c>
      <c r="M16" s="23">
        <f>(K16-L16)*100</f>
        <v/>
      </c>
      <c r="N16" s="11" t="inlineStr">
        <is>
          <t>Spontaneous (unprompted) scenario: Lula 30, Flavio 17. Lula vs Caiado runoff 47-40. Fieldwork dates: CNN and Blog do BG report 22-24 Jul per the TSE filing; Brasil247 reported 22-23. 139 municipalities.</t>
        </is>
      </c>
    </row>
    <row r="17" ht="24" customHeight="1">
      <c r="B17" s="19" t="inlineStr">
        <is>
          <t>AtlasIntel</t>
        </is>
      </c>
      <c r="C17" s="6" t="inlineStr">
        <is>
          <t>Bloomberg</t>
        </is>
      </c>
      <c r="D17" s="20" t="inlineStr">
        <is>
          <t>22-27 Jul 2026</t>
        </is>
      </c>
      <c r="E17" s="24" t="n">
        <v>5021</v>
      </c>
      <c r="H17" s="22" t="n">
        <v>0.45</v>
      </c>
      <c r="I17" s="22" t="n">
        <v>0.36</v>
      </c>
      <c r="J17" s="23">
        <f>(H17-I17)*100</f>
        <v/>
      </c>
      <c r="K17" s="22" t="n">
        <v>0.492</v>
      </c>
      <c r="L17" s="22" t="n">
        <v>0.429</v>
      </c>
      <c r="M17" s="23">
        <f>(K17-L17)*100</f>
        <v/>
      </c>
      <c r="N17" s="11" t="inlineStr">
        <is>
          <t>ONLINE self-completed form — methodologically distinct from the in-person institutes. Lula also beat Caiado, Zema, Renan Santos, Michelle Bolsonaro and Jair Bolsonaro in runoff simulations. In a no-Lula runoff, Alckmin 45.8 vs Flavio 42.7.</t>
        </is>
      </c>
    </row>
    <row r="18" ht="24" customHeight="1">
      <c r="B18" s="19" t="inlineStr">
        <is>
          <t>PoderData</t>
        </is>
      </c>
      <c r="C18" s="6" t="inlineStr">
        <is>
          <t>PoderData (self)</t>
        </is>
      </c>
      <c r="D18" s="20" t="inlineStr">
        <is>
          <t>9-12 Aug 2026</t>
        </is>
      </c>
      <c r="E18" s="24" t="n">
        <v>2400</v>
      </c>
      <c r="F18" s="21" t="n">
        <v>2</v>
      </c>
      <c r="G18" s="25" t="inlineStr">
        <is>
          <t>BR-06868/2026</t>
        </is>
      </c>
      <c r="H18" s="22" t="n">
        <v>0.41</v>
      </c>
      <c r="I18" s="22" t="n">
        <v>0.35</v>
      </c>
      <c r="J18" s="23">
        <f>(H18-I18)*100</f>
        <v/>
      </c>
      <c r="K18" s="22" t="n">
        <v>0.46</v>
      </c>
      <c r="L18" s="22" t="n">
        <v>0.45</v>
      </c>
      <c r="M18" s="23">
        <f>(K18-L18)*100</f>
        <v/>
      </c>
      <c r="N18" s="11" t="inlineStr">
        <is>
          <t>Technical tie. Flavio +2pp vs the prior PoderData round; Lula unchanged. Also tied vs Zema (45-43) and vs Caiado.</t>
        </is>
      </c>
    </row>
    <row r="19" ht="24" customHeight="1">
      <c r="B19" s="19" t="inlineStr">
        <is>
          <t>Genial/Quaest</t>
        </is>
      </c>
      <c r="C19" s="6" t="inlineStr">
        <is>
          <t>Grupo Globo</t>
        </is>
      </c>
      <c r="D19" s="20" t="inlineStr">
        <is>
          <t>10-13 Aug 2026</t>
        </is>
      </c>
      <c r="E19" s="24" t="n">
        <v>2004</v>
      </c>
      <c r="F19" s="21" t="n">
        <v>2</v>
      </c>
      <c r="G19" s="25" t="inlineStr">
        <is>
          <t>BR-06773/2026</t>
        </is>
      </c>
      <c r="H19" s="22" t="n">
        <v>0.38</v>
      </c>
      <c r="I19" s="22" t="n">
        <v>0.31</v>
      </c>
      <c r="J19" s="23">
        <f>(H19-I19)*100</f>
        <v/>
      </c>
      <c r="K19" s="22" t="n">
        <v>0.43</v>
      </c>
      <c r="L19" s="22" t="n">
        <v>0.4</v>
      </c>
      <c r="M19" s="23">
        <f>(K19-L19)*100</f>
        <v/>
      </c>
      <c r="N19" s="11" t="inlineStr">
        <is>
          <t>Last Quaest round before the free broadcast period. 13 names tested in R1, four runoff pairs. Technical tie in the runoff. Cost R$314,628, paid by Grupo Globo.</t>
        </is>
      </c>
    </row>
    <row r="20" ht="24" customHeight="1">
      <c r="B20" s="19" t="inlineStr">
        <is>
          <t>BBC aggregator</t>
        </is>
      </c>
      <c r="C20" s="6" t="inlineStr">
        <is>
          <t>BBC</t>
        </is>
      </c>
      <c r="D20" s="20" t="inlineStr">
        <is>
          <t>mid-Aug 2026</t>
        </is>
      </c>
      <c r="K20" s="22" t="n">
        <v>0.46</v>
      </c>
      <c r="L20" s="22" t="n">
        <v>0.43</v>
      </c>
      <c r="M20" s="23">
        <f>(K20-L20)*100</f>
        <v/>
      </c>
      <c r="N20" s="11" t="inlineStr">
        <is>
          <t>Aggregate, not a field poll. Shown for reference only; do not treat as a data point.</t>
        </is>
      </c>
    </row>
    <row r="22">
      <c r="B22" s="3" t="inlineStr">
        <is>
          <t>Range of the runoff margin, published polls only</t>
        </is>
      </c>
    </row>
    <row r="23">
      <c r="B23" s="9" t="inlineStr">
        <is>
          <t>Widest Lula lead</t>
        </is>
      </c>
      <c r="C23" s="26">
        <f>MAX(M6:M19)</f>
        <v/>
      </c>
      <c r="E23" s="11" t="inlineStr">
        <is>
          <t>Percentage points, Lula minus Flavio. Negative = Flavio ahead.</t>
        </is>
      </c>
    </row>
    <row r="24">
      <c r="B24" s="9" t="inlineStr">
        <is>
          <t>Widest Flavio lead</t>
        </is>
      </c>
      <c r="C24" s="26">
        <f>MIN(M6:M19)</f>
        <v/>
      </c>
    </row>
    <row r="25">
      <c r="B25" s="9" t="inlineStr">
        <is>
          <t>Full swing over the period</t>
        </is>
      </c>
      <c r="C25" s="27">
        <f>MAX(M6:M19)-MIN(M6:M19)</f>
        <v/>
      </c>
      <c r="E25" s="11" t="inlineStr">
        <is>
          <t>This is the single most important number on the sheet: the runoff margin has traversed this range in roughly eight months. A series this unstable does not support a confident call.</t>
        </is>
      </c>
    </row>
    <row r="26">
      <c r="B26" s="9" t="inlineStr">
        <is>
          <t>Median Lula runoff lead</t>
        </is>
      </c>
      <c r="C26" s="26">
        <f>MEDIAN(M6:M19)</f>
        <v/>
      </c>
    </row>
    <row r="27">
      <c r="B27" s="9" t="inlineStr">
        <is>
          <t>Polls with margin inside +/-2pp</t>
        </is>
      </c>
      <c r="C27" s="13">
        <f>COUNTIFS(M6:M19,"&lt;=2")-COUNTIFS(M6:M19,"&lt;-2")</f>
        <v/>
      </c>
      <c r="E27" s="11" t="inlineStr">
        <is>
          <t>Statistical ties, on a typical 2pp margin of error. Summary block covers field polls only; the BBC aggregator row is excluded.</t>
        </is>
      </c>
    </row>
    <row r="28">
      <c r="B28" s="9" t="inlineStr">
        <is>
          <t>Total runoff prints</t>
        </is>
      </c>
      <c r="C28" s="13">
        <f>COUNT(M6:M19)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3B63"/>
    <outlinePr summaryBelow="1" summaryRight="1"/>
    <pageSetUpPr/>
  </sheetPr>
  <dimension ref="B2:I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66" customWidth="1" min="9" max="9"/>
  </cols>
  <sheetData>
    <row r="2" ht="26" customHeight="1">
      <c r="B2" s="1" t="inlineStr">
        <is>
          <t>Lula — approval and disapproval</t>
        </is>
      </c>
    </row>
    <row r="3">
      <c r="B3" s="2" t="inlineStr">
        <is>
          <t>Series kept strictly separate by institute and by instrument. Do not merge.</t>
        </is>
      </c>
    </row>
    <row r="5">
      <c r="B5" s="3" t="inlineStr">
        <is>
          <t>Datafolha — direct approve / disapprove of Lula's performance as president</t>
        </is>
      </c>
    </row>
    <row r="6">
      <c r="B6" s="11" t="inlineStr">
        <is>
          <t>Question format: "aprova ou desaprova". n=2,004 per round, MoE 2pp, 95% confidence.</t>
        </is>
      </c>
    </row>
    <row r="7">
      <c r="B7" s="18" t="inlineStr">
        <is>
          <t>Round</t>
        </is>
      </c>
      <c r="C7" s="18" t="inlineStr">
        <is>
          <t>Fieldwork</t>
        </is>
      </c>
      <c r="D7" s="18" t="inlineStr">
        <is>
          <t>Approve</t>
        </is>
      </c>
      <c r="E7" s="18" t="inlineStr">
        <is>
          <t>Disapprove</t>
        </is>
      </c>
      <c r="F7" s="18" t="inlineStr">
        <is>
          <t>Don't know</t>
        </is>
      </c>
      <c r="G7" s="18" t="inlineStr">
        <is>
          <t>Net (pp)</t>
        </is>
      </c>
      <c r="H7" s="8" t="inlineStr">
        <is>
          <t>TSE reg.</t>
        </is>
      </c>
      <c r="I7" s="8" t="inlineStr">
        <is>
          <t>Note</t>
        </is>
      </c>
    </row>
    <row r="8" ht="24" customHeight="1">
      <c r="B8" s="19" t="inlineStr">
        <is>
          <t>Jun-26</t>
        </is>
      </c>
      <c r="C8" s="20" t="inlineStr">
        <is>
          <t>17-19 Jun 2026</t>
        </is>
      </c>
      <c r="D8" s="22" t="n">
        <v>0.48</v>
      </c>
      <c r="E8" s="22" t="n">
        <v>0.49</v>
      </c>
      <c r="F8" s="22" t="n">
        <v>0.03</v>
      </c>
      <c r="G8" s="23">
        <f>(D8-E8)*100</f>
        <v/>
      </c>
      <c r="H8" s="25" t="inlineStr">
        <is>
          <t>BR-09956/2026</t>
        </is>
      </c>
      <c r="I8" s="11" t="inlineStr">
        <is>
          <t>Technical tie.</t>
        </is>
      </c>
    </row>
    <row r="9" ht="24" customHeight="1">
      <c r="B9" s="19" t="inlineStr">
        <is>
          <t>Jul-26</t>
        </is>
      </c>
      <c r="C9" s="20" t="inlineStr">
        <is>
          <t>22-24 Jul 2026</t>
        </is>
      </c>
      <c r="D9" s="22" t="n">
        <v>0.49</v>
      </c>
      <c r="E9" s="22" t="n">
        <v>0.48</v>
      </c>
      <c r="F9" s="22" t="n">
        <v>0.03</v>
      </c>
      <c r="G9" s="23">
        <f>(D9-E9)*100</f>
        <v/>
      </c>
      <c r="H9" s="25" t="inlineStr">
        <is>
          <t>BR-01166/2026</t>
        </is>
      </c>
      <c r="I9" s="11" t="inlineStr">
        <is>
          <t>Approval numerically above disapproval for the first time in 2026, but inside the MoE. Fieldwork straddled the escalation of the US-Brazil trade dispute, which the round shows did not move the government's numbers.</t>
        </is>
      </c>
    </row>
    <row r="10">
      <c r="B10" s="11" t="inlineStr">
        <is>
          <t>Earlier 2026 Datafolha approve/disapprove rounds (Mar-May) were not located at the data cut and are deliberately left blank rather than estimated.</t>
        </is>
      </c>
    </row>
    <row r="12">
      <c r="B12" s="3" t="inlineStr">
        <is>
          <t>Datafolha — government rating scale (a different instrument)</t>
        </is>
      </c>
    </row>
    <row r="13">
      <c r="B13" s="11" t="inlineStr">
        <is>
          <t>Question: otimo / bom / regular / ruim / pessimo. Folha states explicitly that this is NOT directly comparable with the approve/disapprove question above.</t>
        </is>
      </c>
    </row>
    <row r="14">
      <c r="B14" s="18" t="inlineStr">
        <is>
          <t>Round</t>
        </is>
      </c>
      <c r="C14" s="18" t="inlineStr">
        <is>
          <t>Fieldwork</t>
        </is>
      </c>
      <c r="D14" s="18" t="inlineStr">
        <is>
          <t>Otimo/bom</t>
        </is>
      </c>
      <c r="E14" s="18" t="inlineStr">
        <is>
          <t>Regular</t>
        </is>
      </c>
      <c r="F14" s="18" t="inlineStr">
        <is>
          <t>Ruim/pessimo</t>
        </is>
      </c>
      <c r="G14" s="18" t="inlineStr">
        <is>
          <t>Net (pp)</t>
        </is>
      </c>
      <c r="H14" s="8" t="inlineStr">
        <is>
          <t>Don't know</t>
        </is>
      </c>
      <c r="I14" s="8" t="inlineStr">
        <is>
          <t>Note</t>
        </is>
      </c>
    </row>
    <row r="15" ht="24" customHeight="1">
      <c r="B15" s="19" t="inlineStr">
        <is>
          <t>Apr-26</t>
        </is>
      </c>
      <c r="C15" s="20" t="inlineStr">
        <is>
          <t>Apr 2026</t>
        </is>
      </c>
      <c r="D15" s="22" t="n">
        <v>0.29</v>
      </c>
      <c r="I15" s="11" t="inlineStr">
        <is>
          <t>Only the otimo/bom figure was located for this round.</t>
        </is>
      </c>
    </row>
    <row r="16" ht="24" customHeight="1">
      <c r="B16" s="19" t="inlineStr">
        <is>
          <t>May-26</t>
        </is>
      </c>
      <c r="C16" s="20" t="inlineStr">
        <is>
          <t>May 2026</t>
        </is>
      </c>
      <c r="D16" s="22" t="n">
        <v>0.32</v>
      </c>
      <c r="F16" s="22" t="n">
        <v>0.38</v>
      </c>
      <c r="G16" s="23">
        <f>(D16-F16)*100</f>
        <v/>
      </c>
      <c r="I16" s="11" t="inlineStr">
        <is>
          <t>Regular not located.</t>
        </is>
      </c>
    </row>
    <row r="17" ht="24" customHeight="1">
      <c r="B17" s="19" t="inlineStr">
        <is>
          <t>Jun-26</t>
        </is>
      </c>
      <c r="C17" s="20" t="inlineStr">
        <is>
          <t>17-19 Jun 2026</t>
        </is>
      </c>
      <c r="D17" s="22" t="n">
        <v>0.32</v>
      </c>
      <c r="E17" s="22" t="n">
        <v>0.29</v>
      </c>
      <c r="F17" s="22" t="n">
        <v>0.38</v>
      </c>
      <c r="G17" s="23">
        <f>(D17-F17)*100</f>
        <v/>
      </c>
      <c r="H17" s="22" t="n">
        <v>0.01</v>
      </c>
      <c r="I17" s="11" t="inlineStr"/>
    </row>
    <row r="18" ht="24" customHeight="1">
      <c r="B18" s="19" t="inlineStr">
        <is>
          <t>Jul-26</t>
        </is>
      </c>
      <c r="C18" s="20" t="inlineStr">
        <is>
          <t>22-24 Jul 2026</t>
        </is>
      </c>
      <c r="D18" s="22" t="n">
        <v>0.32</v>
      </c>
      <c r="E18" s="22" t="n">
        <v>0.28</v>
      </c>
      <c r="F18" s="22" t="n">
        <v>0.38</v>
      </c>
      <c r="G18" s="23">
        <f>(D18-F18)*100</f>
        <v/>
      </c>
      <c r="H18" s="22" t="n">
        <v>0.01</v>
      </c>
      <c r="I18" s="11" t="inlineStr">
        <is>
          <t>Flat for a third consecutive round. Negative rating peaks at 51% among evangelicals, 48% among the university-educated, 46% in the South, 43% among men. Positive peaks at 46% among the least educated, 45% in the Northeast, 42% among over-60s, 39% among the poorest.</t>
        </is>
      </c>
    </row>
    <row r="20">
      <c r="B20" s="3" t="inlineStr">
        <is>
          <t>Genial/Quaest — approval / disapproval of the Lula government</t>
        </is>
      </c>
    </row>
    <row r="21">
      <c r="B21" s="11" t="inlineStr">
        <is>
          <t>In-person interviews, n=2,004 per round, MoE 2pp, 95% confidence. Question refers to the GOVERNMENT, not to Lula personally — another reason not to splice onto the Datafolha series.</t>
        </is>
      </c>
    </row>
    <row r="22">
      <c r="B22" s="18" t="inlineStr">
        <is>
          <t>Round</t>
        </is>
      </c>
      <c r="C22" s="18" t="inlineStr">
        <is>
          <t>Fieldwork</t>
        </is>
      </c>
      <c r="D22" s="18" t="inlineStr">
        <is>
          <t>Approve</t>
        </is>
      </c>
      <c r="E22" s="18" t="inlineStr">
        <is>
          <t>Disapprove</t>
        </is>
      </c>
      <c r="F22" s="18" t="inlineStr">
        <is>
          <t>Don't know</t>
        </is>
      </c>
      <c r="G22" s="18" t="inlineStr">
        <is>
          <t>Net (pp)</t>
        </is>
      </c>
      <c r="H22" s="8" t="inlineStr">
        <is>
          <t>TSE reg.</t>
        </is>
      </c>
      <c r="I22" s="8" t="inlineStr">
        <is>
          <t>Note</t>
        </is>
      </c>
    </row>
    <row r="23" ht="24" customHeight="1">
      <c r="B23" s="19" t="inlineStr">
        <is>
          <t>Aug-25</t>
        </is>
      </c>
      <c r="C23" s="20" t="inlineStr">
        <is>
          <t>Aug 2025</t>
        </is>
      </c>
      <c r="D23" s="22" t="n">
        <v>0.46</v>
      </c>
      <c r="E23" s="22" t="n">
        <v>0.51</v>
      </c>
      <c r="G23" s="23">
        <f>(D23-E23)*100</f>
        <v/>
      </c>
      <c r="I23" s="11" t="inlineStr">
        <is>
          <t>Year-earlier comparator, per Quaest's own back-series.</t>
        </is>
      </c>
    </row>
    <row r="24" ht="24" customHeight="1">
      <c r="B24" s="19" t="inlineStr">
        <is>
          <t>Dec-25</t>
        </is>
      </c>
      <c r="C24" s="20" t="inlineStr">
        <is>
          <t>Dec 2025</t>
        </is>
      </c>
      <c r="D24" s="22" t="n">
        <v>0.48</v>
      </c>
      <c r="E24" s="22" t="n">
        <v>0.49</v>
      </c>
      <c r="G24" s="23">
        <f>(D24-E24)*100</f>
        <v/>
      </c>
      <c r="I24" s="11" t="inlineStr">
        <is>
          <t>Effectively level.</t>
        </is>
      </c>
    </row>
    <row r="25" ht="24" customHeight="1">
      <c r="B25" s="19" t="inlineStr">
        <is>
          <t>Jan-26</t>
        </is>
      </c>
      <c r="C25" s="20" t="inlineStr">
        <is>
          <t>8-11 Jan 2026</t>
        </is>
      </c>
      <c r="D25" s="22" t="n">
        <v>0.47</v>
      </c>
      <c r="E25" s="22" t="n">
        <v>0.49</v>
      </c>
      <c r="G25" s="23">
        <f>(D25-E25)*100</f>
        <v/>
      </c>
      <c r="I25" s="11" t="inlineStr">
        <is>
          <t>First Quaest round of the election year. Disapproval above approval; Quaest read it as stagnation.</t>
        </is>
      </c>
    </row>
    <row r="26" ht="24" customHeight="1">
      <c r="B26" s="19" t="inlineStr">
        <is>
          <t>Jul-26</t>
        </is>
      </c>
      <c r="C26" s="20" t="inlineStr">
        <is>
          <t>Jul 2026</t>
        </is>
      </c>
      <c r="D26" s="22" t="n">
        <v>0.48</v>
      </c>
      <c r="E26" s="22" t="n">
        <v>0.47</v>
      </c>
      <c r="F26" s="22" t="n">
        <v>0.05</v>
      </c>
      <c r="G26" s="23">
        <f>(D26-E26)*100</f>
        <v/>
      </c>
      <c r="I26" s="11" t="inlineStr">
        <is>
          <t>Approval above disapproval, inside the MoE.</t>
        </is>
      </c>
    </row>
    <row r="27" ht="24" customHeight="1">
      <c r="B27" s="19" t="inlineStr">
        <is>
          <t>Aug-26</t>
        </is>
      </c>
      <c r="C27" s="20" t="inlineStr">
        <is>
          <t>10-13 Aug 2026</t>
        </is>
      </c>
      <c r="D27" s="22" t="n">
        <v>0.46</v>
      </c>
      <c r="E27" s="22" t="n">
        <v>0.48</v>
      </c>
      <c r="G27" s="23">
        <f>(D27-E27)*100</f>
        <v/>
      </c>
      <c r="H27" s="25" t="inlineStr">
        <is>
          <t>BR-06773/2026</t>
        </is>
      </c>
      <c r="I27" s="11" t="inlineStr">
        <is>
          <t>Disapproval back above approval. Separately, on the rating scale: 36% positive, 25% regular, 37% negative. Quaest's own reading: Lula starts ahead, Flavio has consolidated as the opposition's candidate, and the race is open because Lula's electoral lead coexists with a weak government evaluation.</t>
        </is>
      </c>
    </row>
    <row r="28">
      <c r="B28" s="11" t="inlineStr">
        <is>
          <t>Feb, Mar, Apr, May and Jun 2026 Quaest approval rounds were not located at the data cut.</t>
        </is>
      </c>
    </row>
    <row r="30">
      <c r="B30" s="3" t="inlineStr">
        <is>
          <t>Summary</t>
        </is>
      </c>
    </row>
    <row r="31">
      <c r="B31" s="9" t="inlineStr">
        <is>
          <t>Quaest net, latest</t>
        </is>
      </c>
      <c r="C31" s="26">
        <f>H27</f>
        <v/>
      </c>
      <c r="E31" s="11" t="inlineStr">
        <is>
          <t>Approve minus disapprove, percentage points.</t>
        </is>
      </c>
    </row>
    <row r="32">
      <c r="B32" s="9" t="inlineStr">
        <is>
          <t>Datafolha net, latest</t>
        </is>
      </c>
      <c r="C32" s="26">
        <f>G9</f>
        <v/>
      </c>
    </row>
    <row r="33">
      <c r="B33" s="9" t="inlineStr">
        <is>
          <t>Quaest net, range Aug-25 to date</t>
        </is>
      </c>
      <c r="C33" s="26">
        <f>MAX(H23:H27)-MIN(H23:H27)</f>
        <v/>
      </c>
      <c r="E33" s="11" t="inlineStr">
        <is>
          <t>Net approval has been pinned in a narrow band around zero for a year. There is no incumbency tailwind here, and no collapse either.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F3B63"/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70" customWidth="1" min="8" max="8"/>
  </cols>
  <sheetData>
    <row r="2" ht="26" customHeight="1">
      <c r="B2" s="1" t="inlineStr">
        <is>
          <t>Rejection — "would not vote for X"</t>
        </is>
      </c>
    </row>
    <row r="3">
      <c r="B3" s="2" t="inlineStr">
        <is>
          <t>The binding constraint on both candidacies. Two institutes, two question wordings, two separate series.</t>
        </is>
      </c>
    </row>
    <row r="5" ht="46" customHeight="1">
      <c r="B5" s="15" t="inlineStr">
        <is>
          <t>READ THIS FIRST</t>
        </is>
      </c>
      <c r="C5" s="5" t="inlineStr">
        <is>
          <t>Quaest and Datafolha do not measure the same thing. Quaest offers three options — knows and would vote / does not know / knows and would NOT vote — so its rejection figure captures soft refusal. Datafolha asks who the respondent would not vote for 'de jeito nenhum' (under any circumstances), a harder test. Quaest prints roughly 6-9pp higher by construction. Never chart them on one line.</t>
        </is>
      </c>
    </row>
    <row r="7">
      <c r="B7" s="3" t="inlineStr">
        <is>
          <t>Genial/Quaest — "knows the candidate and would not vote for them"</t>
        </is>
      </c>
    </row>
    <row r="8">
      <c r="B8" s="18" t="inlineStr">
        <is>
          <t>Round</t>
        </is>
      </c>
      <c r="C8" s="18" t="inlineStr">
        <is>
          <t>Fieldwork</t>
        </is>
      </c>
      <c r="D8" s="18" t="inlineStr">
        <is>
          <t>Lula</t>
        </is>
      </c>
      <c r="E8" s="18" t="inlineStr">
        <is>
          <t>Flavio Bolsonaro</t>
        </is>
      </c>
      <c r="F8" s="18" t="inlineStr">
        <is>
          <t>Gap (pp)</t>
        </is>
      </c>
      <c r="G8" s="18" t="inlineStr">
        <is>
          <t>Combined</t>
        </is>
      </c>
      <c r="H8" s="8" t="inlineStr">
        <is>
          <t>Note</t>
        </is>
      </c>
    </row>
    <row r="9" ht="24" customHeight="1">
      <c r="B9" s="19" t="inlineStr">
        <is>
          <t>Apr-26</t>
        </is>
      </c>
      <c r="C9" s="20" t="inlineStr">
        <is>
          <t>Apr 2026</t>
        </is>
      </c>
      <c r="D9" s="22" t="n">
        <v>0.55</v>
      </c>
      <c r="H9" s="11" t="inlineStr">
        <is>
          <t>Lula's rejection peak in the Quaest series.</t>
        </is>
      </c>
    </row>
    <row r="10" ht="24" customHeight="1">
      <c r="B10" s="19" t="inlineStr">
        <is>
          <t>Jun-26</t>
        </is>
      </c>
      <c r="C10" s="20" t="inlineStr">
        <is>
          <t>Jun 2026</t>
        </is>
      </c>
      <c r="D10" s="22" t="n">
        <v>0.53</v>
      </c>
      <c r="H10" s="11" t="inlineStr"/>
    </row>
    <row r="11" ht="24" customHeight="1">
      <c r="B11" s="19" t="inlineStr">
        <is>
          <t>Jul-26</t>
        </is>
      </c>
      <c r="C11" s="20" t="inlineStr">
        <is>
          <t>Jul 2026</t>
        </is>
      </c>
      <c r="D11" s="22" t="n">
        <v>0.5</v>
      </c>
      <c r="E11" s="22" t="n">
        <v>0.57</v>
      </c>
      <c r="F11" s="23">
        <f>(D11-E11)*100</f>
        <v/>
      </c>
      <c r="G11" s="28">
        <f>D11+E11</f>
        <v/>
      </c>
      <c r="H11" s="11" t="inlineStr">
        <is>
          <t>Lula's low; Flavio's high. Flavio was the most-rejected candidate tested.</t>
        </is>
      </c>
    </row>
    <row r="12" ht="24" customHeight="1">
      <c r="B12" s="19" t="inlineStr">
        <is>
          <t>Aug-26</t>
        </is>
      </c>
      <c r="C12" s="20" t="inlineStr">
        <is>
          <t>10-13 Aug 2026</t>
        </is>
      </c>
      <c r="D12" s="22" t="n">
        <v>0.52</v>
      </c>
      <c r="E12" s="22" t="n">
        <v>0.54</v>
      </c>
      <c r="F12" s="23">
        <f>(D12-E12)*100</f>
        <v/>
      </c>
      <c r="G12" s="28">
        <f>D12+E12</f>
        <v/>
      </c>
      <c r="H12" s="11" t="inlineStr">
        <is>
          <t>Flavio -3pp from July, and his potential vote (knows and would vote) rose from 38% to 41%; 5% still do not know him. Lula +2pp, breaking a downtrend. The two lines are converging from opposite directions.</t>
        </is>
      </c>
    </row>
    <row r="14">
      <c r="B14" s="3" t="inlineStr">
        <is>
          <t>Datafolha — "would not vote for under any circumstances"</t>
        </is>
      </c>
    </row>
    <row r="15">
      <c r="B15" s="18" t="inlineStr">
        <is>
          <t>Round</t>
        </is>
      </c>
      <c r="C15" s="18" t="inlineStr">
        <is>
          <t>Fieldwork</t>
        </is>
      </c>
      <c r="D15" s="18" t="inlineStr">
        <is>
          <t>Lula</t>
        </is>
      </c>
      <c r="E15" s="18" t="inlineStr">
        <is>
          <t>Flavio Bolsonaro</t>
        </is>
      </c>
      <c r="F15" s="18" t="inlineStr">
        <is>
          <t>Gap (pp)</t>
        </is>
      </c>
      <c r="G15" s="18" t="inlineStr">
        <is>
          <t>Combined</t>
        </is>
      </c>
      <c r="H15" s="8" t="inlineStr">
        <is>
          <t>Note</t>
        </is>
      </c>
    </row>
    <row r="16" ht="24" customHeight="1">
      <c r="B16" s="19" t="inlineStr">
        <is>
          <t>Mar-26</t>
        </is>
      </c>
      <c r="C16" s="20" t="inlineStr">
        <is>
          <t>3-5 Mar 2026</t>
        </is>
      </c>
      <c r="D16" s="22" t="n">
        <v>0.46</v>
      </c>
      <c r="E16" s="22" t="n">
        <v>0.45</v>
      </c>
      <c r="F16" s="23">
        <f>(D16-E16)*100</f>
        <v/>
      </c>
      <c r="G16" s="28">
        <f>D16+E16</f>
        <v/>
      </c>
      <c r="H16" s="11" t="inlineStr">
        <is>
          <t>The two highest rejection rates in the poll, and a technical tie between them. TSE-registered, n=2,004, 137 municipalities.</t>
        </is>
      </c>
    </row>
    <row r="17" ht="24" customHeight="1">
      <c r="B17" s="19" t="inlineStr">
        <is>
          <t>Jul-26</t>
        </is>
      </c>
      <c r="C17" s="20" t="inlineStr">
        <is>
          <t>22-24 Jul 2026</t>
        </is>
      </c>
      <c r="H17" s="11" t="inlineStr">
        <is>
          <t>Datafolha asked the first-round 'would not vote for at all' question in this round but the candidate-level figures were not located. Left blank deliberately.</t>
        </is>
      </c>
    </row>
    <row r="20">
      <c r="B20" s="3" t="inlineStr">
        <is>
          <t>Why this is the number that decides the runoff</t>
        </is>
      </c>
    </row>
    <row r="21">
      <c r="B21" s="9" t="inlineStr">
        <is>
          <t>Quaest: Lula rejection, latest</t>
        </is>
      </c>
      <c r="C21" s="29">
        <f>D12</f>
        <v/>
      </c>
    </row>
    <row r="22">
      <c r="B22" s="9" t="inlineStr">
        <is>
          <t>Quaest: Flavio rejection, latest</t>
        </is>
      </c>
      <c r="C22" s="29">
        <f>E12</f>
        <v/>
      </c>
    </row>
    <row r="23">
      <c r="B23" s="9" t="inlineStr">
        <is>
          <t>Combined rejection</t>
        </is>
      </c>
      <c r="C23" s="30">
        <f>G12</f>
        <v/>
      </c>
      <c r="E23" s="11" t="inlineStr">
        <is>
          <t>Both candidates rejected by more than half the electorate. The two pools overlap, but the persuadable middle is thin in any decomposition.</t>
        </is>
      </c>
    </row>
    <row r="24">
      <c r="B24" s="9" t="inlineStr">
        <is>
          <t>Implied non-rejecting electorate</t>
        </is>
      </c>
      <c r="C24" s="29">
        <f>1-D12</f>
        <v/>
      </c>
      <c r="E24" s="11" t="inlineStr">
        <is>
          <t>Upper bound on Lula's runoff ceiling if rejection were an absolute constraint. It is not — some rejecters vote tactically — but it frames the arithmetic.</t>
        </is>
      </c>
    </row>
    <row r="25">
      <c r="B25" s="9" t="inlineStr">
        <is>
          <t>Flavio's implied ceiling</t>
        </is>
      </c>
      <c r="C25" s="29">
        <f>1-E12</f>
        <v/>
      </c>
    </row>
    <row r="26">
      <c r="B26" s="9" t="inlineStr">
        <is>
          <t>Ceiling threshold to watch</t>
        </is>
      </c>
      <c r="C26" s="31" t="n">
        <v>0.45</v>
      </c>
      <c r="E26" s="11" t="inlineStr">
        <is>
          <t>The analyst consensus is that if Flavio cannot pull rejection below roughly 45% nationally, the runoff arithmetic favours Lula regardless of first-round momentum. Hardcoded threshold — edit here.</t>
        </is>
      </c>
    </row>
    <row r="27">
      <c r="B27" s="9" t="inlineStr">
        <is>
          <t>Distance to threshold (Quaest)</t>
        </is>
      </c>
      <c r="C27" s="26">
        <f>(E12-C26)*100</f>
        <v/>
      </c>
      <c r="E27" s="11" t="inlineStr">
        <is>
          <t>Percentage points Flavio still has to shed. Note the threshold is framed on Datafolha-style wording; on Quaest wording the equivalent bar is higher.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B63"/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72" customWidth="1" min="5" max="5"/>
  </cols>
  <sheetData>
    <row r="2" ht="26" customHeight="1">
      <c r="B2" s="1" t="inlineStr">
        <is>
          <t>2022 benchmark and the polling error</t>
        </is>
      </c>
    </row>
    <row r="3">
      <c r="B3" s="2" t="inlineStr">
        <is>
          <t>Why a 3pp runoff lead in Brazil is not a lead you can bank</t>
        </is>
      </c>
    </row>
    <row r="5">
      <c r="B5" s="3" t="inlineStr">
        <is>
          <t>Official 2022 results (valid votes)</t>
        </is>
      </c>
    </row>
    <row r="6">
      <c r="B6" s="8" t="inlineStr">
        <is>
          <t>Round</t>
        </is>
      </c>
      <c r="C6" s="8" t="inlineStr">
        <is>
          <t>Lula (PT)</t>
        </is>
      </c>
      <c r="D6" s="8" t="inlineStr">
        <is>
          <t>Bolsonaro (PL)</t>
        </is>
      </c>
      <c r="E6" s="8" t="inlineStr">
        <is>
          <t>Gap (pp)</t>
        </is>
      </c>
    </row>
    <row r="7">
      <c r="B7" s="9" t="inlineStr">
        <is>
          <t>First round, 2 Oct 2022</t>
        </is>
      </c>
      <c r="C7" s="32" t="n">
        <v>0.4843</v>
      </c>
      <c r="D7" s="32" t="n">
        <v>0.432</v>
      </c>
      <c r="E7" s="33">
        <f>(C7-D7)*100</f>
        <v/>
      </c>
    </row>
    <row r="8">
      <c r="B8" s="9" t="inlineStr">
        <is>
          <t>Runoff, 30 Oct 2022</t>
        </is>
      </c>
      <c r="C8" s="32" t="n">
        <v>0.509</v>
      </c>
      <c r="D8" s="32" t="n">
        <v>0.491</v>
      </c>
      <c r="E8" s="33">
        <f>(C8-D8)*100</f>
        <v/>
      </c>
    </row>
    <row r="10">
      <c r="B10" s="3" t="inlineStr">
        <is>
          <t>The first-round polling error</t>
        </is>
      </c>
    </row>
    <row r="11">
      <c r="B11" s="8" t="inlineStr">
        <is>
          <t>Item</t>
        </is>
      </c>
      <c r="C11" s="8" t="inlineStr">
        <is>
          <t>Low</t>
        </is>
      </c>
      <c r="D11" s="8" t="inlineStr">
        <is>
          <t>High</t>
        </is>
      </c>
      <c r="E11" s="8" t="inlineStr">
        <is>
          <t>Note</t>
        </is>
      </c>
    </row>
    <row r="12">
      <c r="B12" s="9" t="inlineStr">
        <is>
          <t>Pre-election polling gap, Lula over Bolsonaro (pp)</t>
        </is>
      </c>
      <c r="C12" s="34" t="n">
        <v>10</v>
      </c>
      <c r="D12" s="34" t="n">
        <v>15</v>
      </c>
      <c r="E12" s="11" t="inlineStr">
        <is>
          <t>Range as reported by Reuters on the night: several surveys had shown Lula ahead by 10-15 points. A range, not a point estimate — treat accordingly.</t>
        </is>
      </c>
    </row>
    <row r="13">
      <c r="B13" s="9" t="inlineStr">
        <is>
          <t>Actual first-round gap (pp)</t>
        </is>
      </c>
      <c r="C13" s="26">
        <f>E7</f>
        <v/>
      </c>
      <c r="D13" s="26">
        <f>E7</f>
        <v/>
      </c>
    </row>
    <row r="14">
      <c r="B14" s="9" t="inlineStr">
        <is>
          <t>Polling error on the gap (pp)</t>
        </is>
      </c>
      <c r="C14" s="27">
        <f>C12-C13</f>
        <v/>
      </c>
      <c r="D14" s="27">
        <f>D12-D13</f>
        <v/>
      </c>
      <c r="E14" s="11" t="inlineStr">
        <is>
          <t>Bolsonaro's position was understated by this much. JPMorgan's Cassiana Fernandez attributed it to a 'shy voter' effect that polling agencies underestimate.</t>
        </is>
      </c>
    </row>
    <row r="16">
      <c r="B16" s="3" t="inlineStr">
        <is>
          <t>Applying the 2022 error to today</t>
        </is>
      </c>
    </row>
    <row r="17">
      <c r="B17" s="9" t="inlineStr">
        <is>
          <t>Latest runoff margin, Lula over Flavio (pp)</t>
        </is>
      </c>
      <c r="C17" s="35">
        <f>'Vote Intention'!M19</f>
        <v/>
      </c>
      <c r="E17" s="11" t="inlineStr">
        <is>
          <t>Live link to the most recent Genial/Quaest field poll on the Vote Intention tab.</t>
        </is>
      </c>
    </row>
    <row r="18">
      <c r="B18" s="9" t="inlineStr">
        <is>
          <t>Adjusted margin, low end of 2022 error</t>
        </is>
      </c>
      <c r="C18" s="26">
        <f>C17-C14</f>
        <v/>
      </c>
    </row>
    <row r="19">
      <c r="B19" s="9" t="inlineStr">
        <is>
          <t>Adjusted margin, high end of 2022 error</t>
        </is>
      </c>
      <c r="C19" s="26">
        <f>C17-D14</f>
        <v/>
      </c>
    </row>
    <row r="20">
      <c r="B20" s="11" t="inlineStr">
        <is>
          <t>This is an illustration, not a forecast. It assumes the 2022 error repeats in the same direction and magnitude, which is exactly what one should not assume. It is here to make one point: the current lead is smaller than the error the Brazilian polling industry made four years ago.</t>
        </is>
      </c>
    </row>
    <row r="22">
      <c r="B22" s="3" t="inlineStr">
        <is>
          <t>Structural notes carried from 2022</t>
        </is>
      </c>
    </row>
    <row r="23" ht="24" customHeight="1">
      <c r="B23" s="6" t="inlineStr">
        <is>
          <t>•</t>
        </is>
      </c>
      <c r="C23" s="5" t="inlineStr">
        <is>
          <t>Lulismo and bolsonarismo each command roughly 25-35% of the vote. With a runoff, a third-way candidate reaching the second round is arithmetically very hard.</t>
        </is>
      </c>
    </row>
    <row r="24" ht="24" customHeight="1">
      <c r="B24" s="6" t="inlineStr">
        <is>
          <t>•</t>
        </is>
      </c>
      <c r="C24" s="5" t="inlineStr">
        <is>
          <t>In 2022 right-wing and centrist parties supporting Bolsonaro took around 60% of the lower house. The concurrent legislative election is a structurally conservative event regardless of the presidential result.</t>
        </is>
      </c>
    </row>
    <row r="25" ht="24" customHeight="1">
      <c r="B25" s="6" t="inlineStr">
        <is>
          <t>•</t>
        </is>
      </c>
      <c r="C25" s="5" t="inlineStr">
        <is>
          <t>The 2026 runoff transfer matrix is asymmetric: Lula's coalition already spans seven parties and is close to its first-round ceiling, while the right's first-round vote is split across Flavio, Caiado, Zema, Marcal and Renan Santos and largely consolidates behind Flavio in a runoff.</t>
        </is>
      </c>
    </row>
    <row r="26" ht="24" customHeight="1">
      <c r="B26" s="6" t="inlineStr">
        <is>
          <t>•</t>
        </is>
      </c>
      <c r="C26" s="5" t="inlineStr">
        <is>
          <t>Whoever wins faces a spending-side fiscal adjustment and will need Centrao votes for constitutional amendments. Congressional composition, not the presidency alone, is what prices policy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2026-08-21T13:15:50Z</dcterms:created>
  <dcterms:modified xmlns:dcterms="http://purl.org/dc/terms/" xmlns:xsi="http://www.w3.org/2001/XMLSchema-instance" xsi:type="dcterms:W3CDTF">2026-08-21T13:15:50Z</dcterms:modified>
</cp:coreProperties>
</file>