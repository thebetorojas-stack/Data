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Bond inputs" sheetId="1" state="visible" r:id="rId3"/>
    <sheet name="2 Carry cushion" sheetId="2" state="visible" r:id="rId4"/>
    <sheet name="3 Total return grid" sheetId="3" state="visible" r:id="rId5"/>
    <sheet name="4 Cushion by horizon" sheetId="4" state="visible" r:id="rId6"/>
    <sheet name="5 Spread move check" sheetId="5" state="visible" r:id="rId7"/>
    <sheet name="6 Bloomberg refresh" sheetId="6" state="visible" r:id="rId8"/>
    <sheet name="Notes"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The single lever that drives the whole workbook. 0.5 = six months. Every carry, breakeven and grid figure recalculates off this cell.</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Yield x holding period. This is the '4%'. It is NOT cash in hand — see the next two columns.</t>
        </r>
      </text>
    </comment>
    <comment ref="D5" authorId="0">
      <text>
        <r>
          <rPr>
            <sz val="10"/>
            <rFont val="Arial"/>
            <family val="2"/>
          </rPr>
          <t xml:space="preserve">Coupon actually paid over the horizon, as a percentage of the price you paid. You keep this unless there is a credit event.</t>
        </r>
      </text>
    </comment>
    <comment ref="E5" authorId="0">
      <text>
        <r>
          <rPr>
            <sz val="10"/>
            <rFont val="Arial"/>
            <family val="2"/>
          </rPr>
          <t xml:space="preserve">Pull-to-par accretion. Only realised if the curve does not move against you. This is the half of the '4%' that evaporates in a selloff.</t>
        </r>
      </text>
    </comment>
    <comment ref="H5" authorId="0">
      <text>
        <r>
          <rPr>
            <sz val="10"/>
            <rFont val="Arial"/>
            <family val="2"/>
          </rPr>
          <t xml:space="preserve">Solves 0.5*C*x^2 - D*x + carry = 0 for x. Convexity works in your favour, so this is always a little wider than the duration-only number.</t>
        </r>
      </text>
    </comment>
  </commentList>
</comments>
</file>

<file path=xl/sharedStrings.xml><?xml version="1.0" encoding="utf-8"?>
<sst xmlns="http://schemas.openxmlformats.org/spreadsheetml/2006/main" count="224" uniqueCount="218">
  <si>
    <t xml:space="preserve">Argentina hard-currency curve — inputs</t>
  </si>
  <si>
    <t xml:space="preserve">EVERY BLUE CELL IS AN INPUT: overwrite from Bloomberg. Black cells are formulas and should not be typed over. The numbers below are ILLUSTRATIVE PLACEHOLDERS chosen only to make the arithmetic visible — they are not market levels and must be replaced before use.</t>
  </si>
  <si>
    <t xml:space="preserve">Holding period (years)</t>
  </si>
  <si>
    <t xml:space="preserve">&lt;- drives tabs 2 and 3</t>
  </si>
  <si>
    <t xml:space="preserve">Bond</t>
  </si>
  <si>
    <t xml:space="preserve">Maturity</t>
  </si>
  <si>
    <t xml:space="preserve">Coupon
(%, current step)</t>
  </si>
  <si>
    <t xml:space="preserve">Price
(clean)</t>
  </si>
  <si>
    <t xml:space="preserve">YTM
(%)</t>
  </si>
  <si>
    <t xml:space="preserve">Mod. duration
(years)</t>
  </si>
  <si>
    <t xml:space="preserve">Convexity
(years squared)</t>
  </si>
  <si>
    <t xml:space="preserve">GD29</t>
  </si>
  <si>
    <t xml:space="preserve">2029</t>
  </si>
  <si>
    <t xml:space="preserve">GD30</t>
  </si>
  <si>
    <t xml:space="preserve">2030</t>
  </si>
  <si>
    <t xml:space="preserve">GD35</t>
  </si>
  <si>
    <t xml:space="preserve">2035</t>
  </si>
  <si>
    <t xml:space="preserve">GD38</t>
  </si>
  <si>
    <t xml:space="preserve">2038</t>
  </si>
  <si>
    <t xml:space="preserve">GD41</t>
  </si>
  <si>
    <t xml:space="preserve">2041</t>
  </si>
  <si>
    <t xml:space="preserve">GD46</t>
  </si>
  <si>
    <t xml:space="preserve">2046</t>
  </si>
  <si>
    <t xml:space="preserve">UNITS — read this once. All rates and returns are in PERCENT UNITS: 8.50 means 8.5%, not 0.085. All yield moves are in BASIS POINTS. Mixing the two is the only way to get this workbook wrong.</t>
  </si>
  <si>
    <t xml:space="preserve">Bloomberg fields: coupon CPN, clean price PX_LAST, yield YLD_YTM_MID, modified duration DUR_ADJ_MID (use OAD if you prefer), convexity CVX_MID. CONVEXITY SCALE MATTERS: this model wants years squared, so the price effect is 0.5 x CVX x (dy in decimals)^2 — roughly 36 for a 5.4-year bond. Bloomberg quotes CVX_MID divided by 100, so MULTIPLY THE BLOOMBERG NUMBER BY 100 before pasting. Getting this wrong silently kills the convexity benefit and you will not see an error.</t>
  </si>
  <si>
    <t xml:space="preserve">The globals amortise, so modified duration — not maturity — is the right risk measure, and it is why GD29 and GD46 behave completely differently on near-identical yields.</t>
  </si>
  <si>
    <t xml:space="preserve">Coupon = the step currently in effect, not the weighted average over the bond's life. The step-up schedule is why the cash half of carry grows over time on the long bonds.</t>
  </si>
  <si>
    <t xml:space="preserve">Carry cushion — how far yields can widen before you lose money</t>
  </si>
  <si>
    <t xml:space="preserve">The headline 'you accrue ~4% in six months' is only interesting relative to what it protects against. Carry divided by duration converts it into basis points of widening, which is the unit the market actually moves in.</t>
  </si>
  <si>
    <t xml:space="preserve">Holding
period (yrs)</t>
  </si>
  <si>
    <t xml:space="preserve">Carry if yields
unchanged (%)</t>
  </si>
  <si>
    <t xml:space="preserve">of which:
cash coupon (%)</t>
  </si>
  <si>
    <t xml:space="preserve">of which:
pull-to-par (%)</t>
  </si>
  <si>
    <t xml:space="preserve">Breakeven widening
— duration only (bp)</t>
  </si>
  <si>
    <t xml:space="preserve">Breakeven widening
— with convexity (bp)</t>
  </si>
  <si>
    <t xml:space="preserve">Breakeven
end price</t>
  </si>
  <si>
    <t xml:space="preserve">READ THE CHART THIS WAY: same yield, same 4% headline, and the front end absorbs roughly twice the widening the long end does. That gap is the entire point — it is invisible on a yield screen and it is what actually determines whether the trade works.</t>
  </si>
  <si>
    <t xml:space="preserve">The stacked chart splits the carry into the part you bank and the part you only book if the market cooperates. On a deep-discount bond the second bar is the larger one, which is why 'I'm getting paid 8% to wait' overstates what is genuinely being banked.</t>
  </si>
  <si>
    <t xml:space="preserve">Breakeven end price = price - coupon x horizon: the level the bond can fall to and still leave you flat. It sits below today's price because a discount bond would otherwise have accreted upward over the period.</t>
  </si>
  <si>
    <t xml:space="preserve">Duration/convexity approximation, not full cashflow repricing. It is accurate to a few bp for moves inside roughly +/-200bp and understates the cushion for very large moves. For a hard number on a big shock, reprice the schedule.</t>
  </si>
  <si>
    <t xml:space="preserve">Total return over the holding period vs. parallel yield shift</t>
  </si>
  <si>
    <t xml:space="preserve">The sensitivity table. Read down a column to find where each bond flips from positive to negative — that crossing point is the cushion in tab 2, and the chart shows it as the line crossing zero.</t>
  </si>
  <si>
    <t xml:space="preserve">Yield change
(bp)</t>
  </si>
  <si>
    <t xml:space="preserve">Left column is an input in the sense that you can change the range — the row labels drive the calculation, so overwrite them to zoom in on the region you care about.</t>
  </si>
  <si>
    <t xml:space="preserve">Every column crosses zero at a different place despite the yields sitting in a 120bp band. That dispersion is duration, and it is the whole trade.</t>
  </si>
  <si>
    <t xml:space="preserve">The cushion builds with time</t>
  </si>
  <si>
    <t xml:space="preserve">Breakeven widening in basis points, by holding period. Carry accrues linearly while duration barely moves, so protection grows roughly in a straight line the longer you are prepared to sit.</t>
  </si>
  <si>
    <t xml:space="preserve">Holding period
(months)</t>
  </si>
  <si>
    <t xml:space="preserve">Duration-only breakeven, so it is the conservative version of tab 2 column H. It also ignores roll-down, which on a steep curve is a second source of cushion.</t>
  </si>
  <si>
    <t xml:space="preserve">This tab is independent of the holding-period input on tab 1 — it sweeps the horizon deliberately. Tab 1's cell fixes the single horizon used everywhere else.</t>
  </si>
  <si>
    <t xml:space="preserve">Is the cushion big relative to how this market actually moves?</t>
  </si>
  <si>
    <t xml:space="preserve">A cushion only means something next to the realised distribution of moves. Paste a real spread history over column B and this tab answers the only question that matters: how often has a six-month move been larger than the protection you are being paid?</t>
  </si>
  <si>
    <t xml:space="preserve">Periods ahead (rows)</t>
  </si>
  <si>
    <t xml:space="preserve">&lt;- 6 with monthly data; set to 126 and paste daily data if you prefer</t>
  </si>
  <si>
    <t xml:space="preserve">Month</t>
  </si>
  <si>
    <t xml:space="preserve">Spread
(bp)</t>
  </si>
  <si>
    <t xml:space="preserve">Spread 6m
later (bp)</t>
  </si>
  <si>
    <t xml:space="preserve">Change
(bp)</t>
  </si>
  <si>
    <t xml:space="preserve">Absolute
change (bp)</t>
  </si>
  <si>
    <t xml:space="preserve">Distribution of six-month absolute moves</t>
  </si>
  <si>
    <t xml:space="preserve">Sep-2022</t>
  </si>
  <si>
    <t xml:space="preserve">Median (bp)</t>
  </si>
  <si>
    <t xml:space="preserve">Oct-2022</t>
  </si>
  <si>
    <t xml:space="preserve">75th percentile (bp)</t>
  </si>
  <si>
    <t xml:space="preserve">Nov-2022</t>
  </si>
  <si>
    <t xml:space="preserve">90th percentile (bp)</t>
  </si>
  <si>
    <t xml:space="preserve">Dec-2022</t>
  </si>
  <si>
    <t xml:space="preserve">Largest in sample (bp)</t>
  </si>
  <si>
    <t xml:space="preserve">Jan-2023</t>
  </si>
  <si>
    <t xml:space="preserve">Cushion on GD35 (bp)</t>
  </si>
  <si>
    <t xml:space="preserve">Feb-2023</t>
  </si>
  <si>
    <t xml:space="preserve">Share of windows breaching</t>
  </si>
  <si>
    <t xml:space="preserve">Mar-2023</t>
  </si>
  <si>
    <t xml:space="preserve">Apr-2023</t>
  </si>
  <si>
    <t xml:space="preserve">May-2023</t>
  </si>
  <si>
    <t xml:space="preserve">Jun-2023</t>
  </si>
  <si>
    <t xml:space="preserve">Jul-2023</t>
  </si>
  <si>
    <t xml:space="preserve">Aug-2023</t>
  </si>
  <si>
    <t xml:space="preserve">Sep-2023</t>
  </si>
  <si>
    <t xml:space="preserve">Oct-2023</t>
  </si>
  <si>
    <t xml:space="preserve">Nov-2023</t>
  </si>
  <si>
    <t xml:space="preserve">Dec-2023</t>
  </si>
  <si>
    <t xml:space="preserve">Jan-2024</t>
  </si>
  <si>
    <t xml:space="preserve">Feb-2024</t>
  </si>
  <si>
    <t xml:space="preserve">Mar-2024</t>
  </si>
  <si>
    <t xml:space="preserve">Apr-2024</t>
  </si>
  <si>
    <t xml:space="preserve">May-2024</t>
  </si>
  <si>
    <t xml:space="preserve">Jun-2024</t>
  </si>
  <si>
    <t xml:space="preserve">Jul-2024</t>
  </si>
  <si>
    <t xml:space="preserve">Aug-2024</t>
  </si>
  <si>
    <t xml:space="preserve">Sep-2024</t>
  </si>
  <si>
    <t xml:space="preserve">Oct-2024</t>
  </si>
  <si>
    <t xml:space="preserve">Nov-2024</t>
  </si>
  <si>
    <t xml:space="preserve">Dec-2024</t>
  </si>
  <si>
    <t xml:space="preserve">Jan-2025</t>
  </si>
  <si>
    <t xml:space="preserve">Feb-2025</t>
  </si>
  <si>
    <t xml:space="preserve">Mar-2025</t>
  </si>
  <si>
    <t xml:space="preserve">Apr-2025</t>
  </si>
  <si>
    <t xml:space="preserve">May-2025</t>
  </si>
  <si>
    <t xml:space="preserve">Jun-2025</t>
  </si>
  <si>
    <t xml:space="preserve">Jul-2025</t>
  </si>
  <si>
    <t xml:space="preserve">Aug-2025</t>
  </si>
  <si>
    <t xml:space="preserve">Sep-2025</t>
  </si>
  <si>
    <t xml:space="preserve">Oct-2025</t>
  </si>
  <si>
    <t xml:space="preserve">Nov-2025</t>
  </si>
  <si>
    <t xml:space="preserve">Dec-2025</t>
  </si>
  <si>
    <t xml:space="preserve">Jan-2026</t>
  </si>
  <si>
    <t xml:space="preserve">Feb-2026</t>
  </si>
  <si>
    <t xml:space="preserve">Mar-2026</t>
  </si>
  <si>
    <t xml:space="preserve">Apr-2026</t>
  </si>
  <si>
    <t xml:space="preserve">May-2026</t>
  </si>
  <si>
    <t xml:space="preserve">Jun-2026</t>
  </si>
  <si>
    <t xml:space="preserve">Jul-2026</t>
  </si>
  <si>
    <t xml:space="preserve">Aug-2026</t>
  </si>
  <si>
    <t xml:space="preserve">THE SPREAD HISTORY IN COLUMN B IS ILLUSTRATIVE — it is shaped like Argentina's recent path but the values are invented. Paste the real series before quoting a single number off this tab.</t>
  </si>
  <si>
    <t xml:space="preserve">The bottom-right cell is the honest version of the pitch. If a large share of historical six-month windows moved more than the cushion, then the carry is compensation for volatility rather than a free lunch, and the trade is a view on the distribution narrowing — not on the coupon.</t>
  </si>
  <si>
    <t xml:space="preserve">Overlapping windows, so these are not independent observations and the percentiles are noisier than the sample size suggests. Fine for scaling the cushion; not a probability estimate.</t>
  </si>
  <si>
    <t xml:space="preserve">Formulas stop six rows early on purpose: the last six months have no six-month-forward observation yet. Extend both the data and the formulas together as new months print.</t>
  </si>
  <si>
    <t xml:space="preserve">Refreshing this model from Bloomberg — do it yourself</t>
  </si>
  <si>
    <t xml:space="preserve">Every formula below is written WITHOUT its leading equals sign, so this tab stays inert outside the terminal. Type an = in front when you paste it into a live sheet. Replace the ISIN with the bond you want.</t>
  </si>
  <si>
    <t xml:space="preserve">Tab 1 cell</t>
  </si>
  <si>
    <t xml:space="preserve">What it is</t>
  </si>
  <si>
    <t xml:space="preserve">Type this (prefix with =)</t>
  </si>
  <si>
    <t xml:space="preserve">Bloomberg field</t>
  </si>
  <si>
    <t xml:space="preserve">What goes wrong</t>
  </si>
  <si>
    <t xml:space="preserve">STEP 1 — one row per bond, pulled live</t>
  </si>
  <si>
    <t xml:space="preserve">A6</t>
  </si>
  <si>
    <t xml:space="preserve">Bond name</t>
  </si>
  <si>
    <t xml:space="preserve">BDP("US040114HS26 Corp","SECURITY_NAME")</t>
  </si>
  <si>
    <t xml:space="preserve">SECURITY_NAME</t>
  </si>
  <si>
    <t xml:space="preserve">Identify by ISIN, not by the ARGENT ticker string. The globals and the local-law Bonares have near-identical descriptions and mixing GD35 with AL35 is the classic error.</t>
  </si>
  <si>
    <t xml:space="preserve">B6</t>
  </si>
  <si>
    <t xml:space="preserve">BDP("US040114HS26 Corp","MATURITY")</t>
  </si>
  <si>
    <t xml:space="preserve">MATURITY</t>
  </si>
  <si>
    <t xml:space="preserve">Format the cell as a date or it shows as a five-digit serial.</t>
  </si>
  <si>
    <t xml:space="preserve">C6</t>
  </si>
  <si>
    <t xml:space="preserve">Coupon in effect</t>
  </si>
  <si>
    <t xml:space="preserve">BDP("US040114HS26 Corp","CPN")</t>
  </si>
  <si>
    <t xml:space="preserve">CPN</t>
  </si>
  <si>
    <t xml:space="preserve">Returns the CURRENT step, which is what this model wants. For the whole step schedule use BDS("US040114HS26 Corp","MULTI_CPN_SCHEDULE") — it spills down, so leave room.</t>
  </si>
  <si>
    <t xml:space="preserve">D6</t>
  </si>
  <si>
    <t xml:space="preserve">Clean price</t>
  </si>
  <si>
    <t xml:space="preserve">BDP("US040114HS26 Corp","PX_LAST")</t>
  </si>
  <si>
    <t xml:space="preserve">PX_LAST</t>
  </si>
  <si>
    <t xml:space="preserve">PX_LAST is clean. Use PX_BID if you are sizing a real buy — the bid/ask on these is wide enough to move the cushion by several bp.</t>
  </si>
  <si>
    <t xml:space="preserve">E6</t>
  </si>
  <si>
    <t xml:space="preserve">Yield to maturity</t>
  </si>
  <si>
    <t xml:space="preserve">BDP("US040114HS26 Corp","YLD_YTM_MID")</t>
  </si>
  <si>
    <t xml:space="preserve">YLD_YTM_MID</t>
  </si>
  <si>
    <t xml:space="preserve">Comes back as 7.9 (percent units), which is what this model wants. Add an override to price off your own level: BDP(...,"YLD_YTM_MID","PX_BID=72.5").</t>
  </si>
  <si>
    <t xml:space="preserve">F6</t>
  </si>
  <si>
    <t xml:space="preserve">Modified duration</t>
  </si>
  <si>
    <t xml:space="preserve">BDP("US040114HS26 Corp","DUR_ADJ_MID")</t>
  </si>
  <si>
    <t xml:space="preserve">DUR_ADJ_MID</t>
  </si>
  <si>
    <t xml:space="preserve">Duration to workout. For these bullets/amortisers it equals DUR_ADJ_MTY_MID; if the two ever differ, take the maturity one, since the cushion logic assumes you hold.</t>
  </si>
  <si>
    <t xml:space="preserve">G6</t>
  </si>
  <si>
    <t xml:space="preserve">Convexity</t>
  </si>
  <si>
    <t xml:space="preserve">BDP("US040114HS26 Corp","CVX_MID")*100</t>
  </si>
  <si>
    <t xml:space="preserve">CVX_MID</t>
  </si>
  <si>
    <t xml:space="preserve">THE x100 IS NOT OPTIONAL. Bloomberg quotes convexity divided by 100; this model wants years squared (~36 for a 5.4-year bond). Omit it and the convexity column silently does nothing.</t>
  </si>
  <si>
    <t xml:space="preserve">STEP 2 — spread history for tab 5</t>
  </si>
  <si>
    <t xml:space="preserve">Tab 5 A:B</t>
  </si>
  <si>
    <t xml:space="preserve">Monthly spread history</t>
  </si>
  <si>
    <t xml:space="preserve">BDH("US040114HS26 Corp","Z_SPRD_MID","1/1/2023","8/11/2026","Per=M","Dir=V","Fill=P")</t>
  </si>
  <si>
    <t xml:space="preserve">Z_SPRD_MID</t>
  </si>
  <si>
    <t xml:space="preserve">Pull the spread off the BOND rather than hunting for an EMBI index ticker — it is the spread your position actually carries, and it definitely exists. BDH is an array that spills down and will overwrite anything below it.</t>
  </si>
  <si>
    <t xml:space="preserve">Alternative: yield history</t>
  </si>
  <si>
    <t xml:space="preserve">BDH("US040114HS26 Corp","YLD_YTM_MID","1/1/2023","8/11/2026","Per=M","Dir=V")</t>
  </si>
  <si>
    <t xml:space="preserve">Use yield rather than spread if you want the move measured in the same units as the cushion. Strictly more correct: the cushion is a YIELD breakeven, not a spread breakeven.</t>
  </si>
  <si>
    <t xml:space="preserve">STEP 3 — check my field names rather than trusting them</t>
  </si>
  <si>
    <t xml:space="preserve">Field finder</t>
  </si>
  <si>
    <t xml:space="preserve">Terminal: US040114HS26 Corp  FLDS  &lt;GO&gt;</t>
  </si>
  <si>
    <t xml:space="preserve">—</t>
  </si>
  <si>
    <t xml:space="preserve">Searches every field available on that specific security and shows the live value. This is how you verify anything on this tab in ten seconds. Field coverage differs by security, so a name that works on one bond can be blank on another.</t>
  </si>
  <si>
    <t xml:space="preserve">Yield and spread screen</t>
  </si>
  <si>
    <t xml:space="preserve">Terminal: US040114HS26 Corp  YAS  &lt;GO&gt;</t>
  </si>
  <si>
    <t xml:space="preserve">Cross-check price, yield, duration and convexity against the numbers your BDP calls return before you trust the model. If YAS and your sheet disagree it is almost always a settlement date difference.</t>
  </si>
  <si>
    <t xml:space="preserve">Formula builder</t>
  </si>
  <si>
    <t xml:space="preserve">Excel ribbon: Bloomberg tab  -&gt;  Spreadsheet Builder</t>
  </si>
  <si>
    <t xml:space="preserve">Builds BDP/BDH calls through a wizard and writes the syntax for you. Faster than remembering override names, and it shows you the argument order.</t>
  </si>
  <si>
    <t xml:space="preserve">SETTLEMENT DATE is the quiet one. BDP prices analytics to the default settlement convention, so yield, duration and convexity all shift if you change it. Force it explicitly when it matters: BDP(...,"YLD_YTM_MID","SETTLE_DT=20260813").</t>
  </si>
  <si>
    <t xml:space="preserve">CLEAN vs DIRTY PRICE is a real refinement once you are on live data. This model divides the coupon by the CLEAN price, but you actually pay clean + accrued. Pull accrued with BDP(...,"INT_ACC") and use clean + accrued as the denominator in column D of tab 2 for a true return on capital employed. It moves the cash-coupon number by a few basis points, never enough to change a decision, but it is the correct version.</t>
  </si>
  <si>
    <t xml:space="preserve">BDP is a snapshot that refreshes with the sheet; BDH is a historical array that spills. Never point BDH at a range that has anything below it. A cell reading 'Requesting Data' has not returned yet — that is not an error, just wait.</t>
  </si>
  <si>
    <t xml:space="preserve">The ISIN above is a placeholder and may not be the bond you think it is. Confirm each one on the terminal before wiring it in.</t>
  </si>
  <si>
    <t xml:space="preserve">Method, conventions and what to overwrite</t>
  </si>
  <si>
    <t xml:space="preserve">HOW TO USE THIS</t>
  </si>
  <si>
    <t xml:space="preserve">1. Overwrite every blue cell on tab 1 with live Bloomberg data. Nothing else needs touching.</t>
  </si>
  <si>
    <t xml:space="preserve">2. Set the holding period in cell B3 of tab 1. Everything downstream recalculates.</t>
  </si>
  <si>
    <t xml:space="preserve">3. Paste a real spread history into columns A and B of tab 5, then extend the formulas in C:E.</t>
  </si>
  <si>
    <t xml:space="preserve">4. Blue = type here. Black = formula. Green = pulled from another tab.</t>
  </si>
  <si>
    <t xml:space="preserve">THE ARITHMETIC</t>
  </si>
  <si>
    <t xml:space="preserve">Total return over horizon h  =  y*h  -  D*dy  +  0.5*C*dy^2</t>
  </si>
  <si>
    <t xml:space="preserve">   y  = yield to maturity          D = modified duration</t>
  </si>
  <si>
    <t xml:space="preserve">   h  = holding period in years    C = convexity</t>
  </si>
  <si>
    <t xml:space="preserve">   dy = parallel yield shift in decimals</t>
  </si>
  <si>
    <t xml:space="preserve">Setting total return to zero and solving for dy gives the breakeven widening — the cushion.</t>
  </si>
  <si>
    <t xml:space="preserve">Without convexity it collapses to the one line worth memorising:  cushion = y * h / D.</t>
  </si>
  <si>
    <t xml:space="preserve">WHY THE DECOMPOSITION MATTERS</t>
  </si>
  <si>
    <t xml:space="preserve">Carry of y*h is not cash. The cash part is coupon*h; the rest is pull-to-par accretion that is</t>
  </si>
  <si>
    <t xml:space="preserve">only realised if the curve holds. On a deep-discount step-up bond the accretion is the larger</t>
  </si>
  <si>
    <t xml:space="preserve">half, so the amount genuinely banked over six months is materially less than the yield implies.</t>
  </si>
  <si>
    <t xml:space="preserve">This is the single most common error in a carry pitch and tab 2 makes it visible.</t>
  </si>
  <si>
    <t xml:space="preserve">WHAT THIS MODEL DOES NOT DO</t>
  </si>
  <si>
    <t xml:space="preserve">Parallel shifts only — no curve steepening or flattening, which is how EM distress usually</t>
  </si>
  <si>
    <t xml:space="preserve">actually arrives.</t>
  </si>
  <si>
    <t xml:space="preserve">Duration/convexity approximation rather than full cashflow repricing. Accurate to a few basis</t>
  </si>
  <si>
    <t xml:space="preserve">points inside roughly +/-200bp; it understates the cushion on very large moves.</t>
  </si>
  <si>
    <t xml:space="preserve">No roll-down. On a steep curve this is a real additional source of return and the cushion here</t>
  </si>
  <si>
    <t xml:space="preserve">is therefore conservative.</t>
  </si>
  <si>
    <t xml:space="preserve">No default, restructuring or recovery modelling. A credit event takes the cash coupon too, and</t>
  </si>
  <si>
    <t xml:space="preserve">nothing on these tabs prices that.</t>
  </si>
  <si>
    <t xml:space="preserve">No FX or financing cost. This is an unlevered, unhedged USD total return.</t>
  </si>
  <si>
    <t xml:space="preserve">PROVENANCE</t>
  </si>
  <si>
    <t xml:space="preserve">Bond-level inputs on tab 1 and the spread history on tab 5 are ILLUSTRATIVE PLACEHOLDERS,</t>
  </si>
  <si>
    <t xml:space="preserve">chosen by the model builder to sit in the 7.0-8.5% yield range discussed and to make the</t>
  </si>
  <si>
    <t xml:space="preserve">structure legible. They are not market data. Replace before any use.</t>
  </si>
  <si>
    <t xml:space="preserve">Chart objects are deliberately left at Excel defaults - no colours, axis bounds, legend</t>
  </si>
  <si>
    <t xml:space="preserve">positions or gridline settings - so there is nothing to undo when reformatting by hand.</t>
  </si>
</sst>
</file>

<file path=xl/styles.xml><?xml version="1.0" encoding="utf-8"?>
<styleSheet xmlns="http://schemas.openxmlformats.org/spreadsheetml/2006/main">
  <numFmts count="4">
    <numFmt numFmtId="164" formatCode="General"/>
    <numFmt numFmtId="165" formatCode="0.00"/>
    <numFmt numFmtId="166" formatCode="#,##0"/>
    <numFmt numFmtId="167" formatCode="0.0%"/>
  </numFmts>
  <fonts count="1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color rgb="FF000000"/>
      <name val="Arial"/>
      <family val="0"/>
      <charset val="1"/>
    </font>
    <font>
      <b val="true"/>
      <sz val="10"/>
      <color rgb="FF0000FF"/>
      <name val="Arial"/>
      <family val="0"/>
      <charset val="1"/>
    </font>
    <font>
      <i val="true"/>
      <sz val="9"/>
      <color rgb="FF000000"/>
      <name val="Arial"/>
      <family val="0"/>
      <charset val="1"/>
    </font>
    <font>
      <b val="true"/>
      <sz val="10"/>
      <name val="Arial"/>
      <family val="0"/>
      <charset val="1"/>
    </font>
    <font>
      <sz val="10"/>
      <color rgb="FF0000FF"/>
      <name val="Arial"/>
      <family val="0"/>
      <charset val="1"/>
    </font>
    <font>
      <sz val="10"/>
      <name val="Arial"/>
      <family val="2"/>
    </font>
    <font>
      <b val="true"/>
      <sz val="10"/>
      <color rgb="FF008000"/>
      <name val="Arial"/>
      <family val="0"/>
      <charset val="1"/>
    </font>
    <font>
      <sz val="10"/>
      <color rgb="FF008000"/>
      <name val="Arial"/>
      <family val="0"/>
      <charset val="1"/>
    </font>
    <font>
      <sz val="10"/>
      <color rgb="FF000000"/>
      <name val="Arial"/>
      <family val="0"/>
      <charset val="1"/>
    </font>
    <font>
      <b val="true"/>
      <sz val="18"/>
      <color rgb="FF000000"/>
      <name val="Calibri"/>
      <family val="2"/>
    </font>
    <font>
      <sz val="10"/>
      <color rgb="FF000000"/>
      <name val="Calibri"/>
      <family val="2"/>
    </font>
    <font>
      <sz val="9"/>
      <color rgb="FF000000"/>
      <name val="Arial"/>
      <family val="0"/>
      <charset val="1"/>
    </font>
    <font>
      <sz val="1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6AAC4"/>
      <rgbColor rgb="FF98B855"/>
      <rgbColor rgb="FFFFCC00"/>
      <rgbColor rgb="FFF59240"/>
      <rgbColor rgb="FFFF6600"/>
      <rgbColor rgb="FF7D5FA0"/>
      <rgbColor rgb="FF969696"/>
      <rgbColor rgb="FF003366"/>
      <rgbColor rgb="FF4F81BD"/>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Basis points of widening absorbed before total return goes negative</a:t>
            </a:r>
          </a:p>
        </c:rich>
      </c:tx>
      <c:overlay val="0"/>
      <c:spPr>
        <a:noFill/>
        <a:ln w="0">
          <a:noFill/>
        </a:ln>
      </c:spPr>
    </c:title>
    <c:autoTitleDeleted val="0"/>
    <c:plotArea>
      <c:barChart>
        <c:barDir val="bar"/>
        <c:grouping val="clustered"/>
        <c:varyColors val="0"/>
        <c:ser>
          <c:idx val="0"/>
          <c:order val="0"/>
          <c:tx>
            <c:strRef>
              <c:f>'2 Carry cushion'!H5</c:f>
              <c:strCache>
                <c:ptCount val="1"/>
                <c:pt idx="0">
                  <c:v>Breakeven widening
— with convexity (bp)</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cushion'!$H$6:$H$11</c:f>
              <c:numCache>
                <c:formatCode>#,##0</c:formatCode>
                <c:ptCount val="6"/>
                <c:pt idx="0">
                  <c:v>242.6534085184</c:v>
                </c:pt>
                <c:pt idx="1">
                  <c:v>162.248483328491</c:v>
                </c:pt>
                <c:pt idx="2">
                  <c:v>75.0243666800629</c:v>
                </c:pt>
                <c:pt idx="3">
                  <c:v>77.8802535046438</c:v>
                </c:pt>
                <c:pt idx="4">
                  <c:v>64.6567395802601</c:v>
                </c:pt>
                <c:pt idx="5">
                  <c:v>59.2749935998456</c:v>
                </c:pt>
              </c:numCache>
            </c:numRef>
          </c:val>
        </c:ser>
        <c:gapWidth val="150"/>
        <c:overlap val="0"/>
        <c:axId val="78044460"/>
        <c:axId val="92076941"/>
      </c:barChart>
      <c:catAx>
        <c:axId val="780444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076941"/>
        <c:crosses val="autoZero"/>
        <c:auto val="1"/>
        <c:lblAlgn val="ctr"/>
        <c:lblOffset val="100"/>
        <c:noMultiLvlLbl val="0"/>
      </c:catAx>
      <c:valAx>
        <c:axId val="92076941"/>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04446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the carry is actually made of (% over the holding period)</a:t>
            </a:r>
          </a:p>
        </c:rich>
      </c:tx>
      <c:overlay val="0"/>
      <c:spPr>
        <a:noFill/>
        <a:ln w="0">
          <a:noFill/>
        </a:ln>
      </c:spPr>
    </c:title>
    <c:autoTitleDeleted val="0"/>
    <c:plotArea>
      <c:barChart>
        <c:barDir val="bar"/>
        <c:grouping val="stacked"/>
        <c:varyColors val="0"/>
        <c:ser>
          <c:idx val="0"/>
          <c:order val="0"/>
          <c:tx>
            <c:strRef>
              <c:f>'2 Carry cushion'!D5</c:f>
              <c:strCache>
                <c:ptCount val="1"/>
                <c:pt idx="0">
                  <c:v>of which:
cash coupon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cushion'!$D$6:$D$11</c:f>
              <c:numCache>
                <c:formatCode>0.00</c:formatCode>
                <c:ptCount val="6"/>
                <c:pt idx="0">
                  <c:v>0.568181818181818</c:v>
                </c:pt>
                <c:pt idx="1">
                  <c:v>1.06707317073171</c:v>
                </c:pt>
                <c:pt idx="2">
                  <c:v>2.86458333333333</c:v>
                </c:pt>
                <c:pt idx="3">
                  <c:v>2.68987341772152</c:v>
                </c:pt>
                <c:pt idx="4">
                  <c:v>2.57352941176471</c:v>
                </c:pt>
                <c:pt idx="5">
                  <c:v>2.94642857142857</c:v>
                </c:pt>
              </c:numCache>
            </c:numRef>
          </c:val>
        </c:ser>
        <c:ser>
          <c:idx val="1"/>
          <c:order val="1"/>
          <c:tx>
            <c:strRef>
              <c:f>'2 Carry cushion'!E5</c:f>
              <c:strCache>
                <c:ptCount val="1"/>
                <c:pt idx="0">
                  <c:v>of which:
pull-to-par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cushion'!$E$6:$E$11</c:f>
              <c:numCache>
                <c:formatCode>0.00</c:formatCode>
                <c:ptCount val="6"/>
                <c:pt idx="0">
                  <c:v>3.68181818181818</c:v>
                </c:pt>
                <c:pt idx="1">
                  <c:v>3.03292682926829</c:v>
                </c:pt>
                <c:pt idx="2">
                  <c:v>1.08541666666667</c:v>
                </c:pt>
                <c:pt idx="3">
                  <c:v>1.11012658227848</c:v>
                </c:pt>
                <c:pt idx="4">
                  <c:v>1.27647058823529</c:v>
                </c:pt>
                <c:pt idx="5">
                  <c:v>0.703571428571429</c:v>
                </c:pt>
              </c:numCache>
            </c:numRef>
          </c:val>
        </c:ser>
        <c:gapWidth val="150"/>
        <c:overlap val="100"/>
        <c:axId val="36419879"/>
        <c:axId val="54945341"/>
      </c:barChart>
      <c:catAx>
        <c:axId val="364198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945341"/>
        <c:crosses val="autoZero"/>
        <c:auto val="1"/>
        <c:lblAlgn val="ctr"/>
        <c:lblOffset val="100"/>
        <c:noMultiLvlLbl val="0"/>
      </c:catAx>
      <c:valAx>
        <c:axId val="54945341"/>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4198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Same split as shares of total carry</a:t>
            </a:r>
          </a:p>
        </c:rich>
      </c:tx>
      <c:overlay val="0"/>
      <c:spPr>
        <a:noFill/>
        <a:ln w="0">
          <a:noFill/>
        </a:ln>
      </c:spPr>
    </c:title>
    <c:autoTitleDeleted val="0"/>
    <c:plotArea>
      <c:barChart>
        <c:barDir val="bar"/>
        <c:grouping val="percentStacked"/>
        <c:varyColors val="0"/>
        <c:ser>
          <c:idx val="0"/>
          <c:order val="0"/>
          <c:tx>
            <c:strRef>
              <c:f>'2 Carry cushion'!D5</c:f>
              <c:strCache>
                <c:ptCount val="1"/>
                <c:pt idx="0">
                  <c:v>of which:
cash coupon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cushion'!$D$6:$D$11</c:f>
              <c:numCache>
                <c:formatCode>0.00</c:formatCode>
                <c:ptCount val="6"/>
                <c:pt idx="0">
                  <c:v>0.568181818181818</c:v>
                </c:pt>
                <c:pt idx="1">
                  <c:v>1.06707317073171</c:v>
                </c:pt>
                <c:pt idx="2">
                  <c:v>2.86458333333333</c:v>
                </c:pt>
                <c:pt idx="3">
                  <c:v>2.68987341772152</c:v>
                </c:pt>
                <c:pt idx="4">
                  <c:v>2.57352941176471</c:v>
                </c:pt>
                <c:pt idx="5">
                  <c:v>2.94642857142857</c:v>
                </c:pt>
              </c:numCache>
            </c:numRef>
          </c:val>
        </c:ser>
        <c:ser>
          <c:idx val="1"/>
          <c:order val="1"/>
          <c:tx>
            <c:strRef>
              <c:f>'2 Carry cushion'!E5</c:f>
              <c:strCache>
                <c:ptCount val="1"/>
                <c:pt idx="0">
                  <c:v>of which:
pull-to-par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Carry cushion'!$A$6:$A$11</c:f>
              <c:strCache>
                <c:ptCount val="6"/>
                <c:pt idx="0">
                  <c:v>GD29</c:v>
                </c:pt>
                <c:pt idx="1">
                  <c:v>GD30</c:v>
                </c:pt>
                <c:pt idx="2">
                  <c:v>GD35</c:v>
                </c:pt>
                <c:pt idx="3">
                  <c:v>GD38</c:v>
                </c:pt>
                <c:pt idx="4">
                  <c:v>GD41</c:v>
                </c:pt>
                <c:pt idx="5">
                  <c:v>GD46</c:v>
                </c:pt>
              </c:strCache>
            </c:strRef>
          </c:cat>
          <c:val>
            <c:numRef>
              <c:f>'2 Carry cushion'!$E$6:$E$11</c:f>
              <c:numCache>
                <c:formatCode>0.00</c:formatCode>
                <c:ptCount val="6"/>
                <c:pt idx="0">
                  <c:v>3.68181818181818</c:v>
                </c:pt>
                <c:pt idx="1">
                  <c:v>3.03292682926829</c:v>
                </c:pt>
                <c:pt idx="2">
                  <c:v>1.08541666666667</c:v>
                </c:pt>
                <c:pt idx="3">
                  <c:v>1.11012658227848</c:v>
                </c:pt>
                <c:pt idx="4">
                  <c:v>1.27647058823529</c:v>
                </c:pt>
                <c:pt idx="5">
                  <c:v>0.703571428571429</c:v>
                </c:pt>
              </c:numCache>
            </c:numRef>
          </c:val>
        </c:ser>
        <c:gapWidth val="150"/>
        <c:overlap val="100"/>
        <c:axId val="83426343"/>
        <c:axId val="90770518"/>
      </c:barChart>
      <c:catAx>
        <c:axId val="834263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770518"/>
        <c:crosses val="autoZero"/>
        <c:auto val="1"/>
        <c:lblAlgn val="ctr"/>
        <c:lblOffset val="100"/>
        <c:noMultiLvlLbl val="0"/>
      </c:catAx>
      <c:valAx>
        <c:axId val="90770518"/>
        <c:scaling>
          <c:orientation val="minMax"/>
        </c:scaling>
        <c:delete val="0"/>
        <c:axPos val="l"/>
        <c:majorGridlines>
          <c:spPr>
            <a:ln w="9360">
              <a:solidFill>
                <a:srgbClr val="878787"/>
              </a:solidFill>
              <a:round/>
            </a:ln>
          </c:spPr>
        </c:majorGridlines>
        <c:numFmt formatCode="[$-409]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42634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return over the holding period (%) vs. parallel yield shift (bp)</a:t>
            </a:r>
          </a:p>
        </c:rich>
      </c:tx>
      <c:overlay val="0"/>
      <c:spPr>
        <a:noFill/>
        <a:ln w="0">
          <a:noFill/>
        </a:ln>
      </c:spPr>
    </c:title>
    <c:autoTitleDeleted val="0"/>
    <c:plotArea>
      <c:lineChart>
        <c:grouping val="standard"/>
        <c:varyColors val="0"/>
        <c:ser>
          <c:idx val="0"/>
          <c:order val="0"/>
          <c:tx>
            <c:strRef>
              <c:f>'3 Total return grid'!B5</c:f>
              <c:strCache>
                <c:ptCount val="1"/>
                <c:pt idx="0">
                  <c:v>GD29</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Total return grid'!$A$6:$A$22</c:f>
              <c:strCache>
                <c:ptCount val="17"/>
                <c:pt idx="0">
                  <c:v>-300</c:v>
                </c:pt>
                <c:pt idx="1">
                  <c:v>-250</c:v>
                </c:pt>
                <c:pt idx="2">
                  <c:v>-200</c:v>
                </c:pt>
                <c:pt idx="3">
                  <c:v>-150</c:v>
                </c:pt>
                <c:pt idx="4">
                  <c:v>-100</c:v>
                </c:pt>
                <c:pt idx="5">
                  <c:v>-50</c:v>
                </c:pt>
                <c:pt idx="6">
                  <c:v>0</c:v>
                </c:pt>
                <c:pt idx="7">
                  <c:v>50</c:v>
                </c:pt>
                <c:pt idx="8">
                  <c:v>100</c:v>
                </c:pt>
                <c:pt idx="9">
                  <c:v>150</c:v>
                </c:pt>
                <c:pt idx="10">
                  <c:v>200</c:v>
                </c:pt>
                <c:pt idx="11">
                  <c:v>250</c:v>
                </c:pt>
                <c:pt idx="12">
                  <c:v>300</c:v>
                </c:pt>
                <c:pt idx="13">
                  <c:v>350</c:v>
                </c:pt>
                <c:pt idx="14">
                  <c:v>400</c:v>
                </c:pt>
                <c:pt idx="15">
                  <c:v>450</c:v>
                </c:pt>
                <c:pt idx="16">
                  <c:v>500</c:v>
                </c:pt>
              </c:strCache>
            </c:strRef>
          </c:cat>
          <c:val>
            <c:numRef>
              <c:f>'3 Total return grid'!$B$6:$B$22</c:f>
              <c:numCache>
                <c:formatCode>0.00</c:formatCode>
                <c:ptCount val="17"/>
                <c:pt idx="0">
                  <c:v>9.83</c:v>
                </c:pt>
                <c:pt idx="1">
                  <c:v>8.875</c:v>
                </c:pt>
                <c:pt idx="2">
                  <c:v>7.93</c:v>
                </c:pt>
                <c:pt idx="3">
                  <c:v>6.995</c:v>
                </c:pt>
                <c:pt idx="4">
                  <c:v>6.07</c:v>
                </c:pt>
                <c:pt idx="5">
                  <c:v>5.155</c:v>
                </c:pt>
                <c:pt idx="6">
                  <c:v>4.25</c:v>
                </c:pt>
                <c:pt idx="7">
                  <c:v>3.355</c:v>
                </c:pt>
                <c:pt idx="8">
                  <c:v>2.47</c:v>
                </c:pt>
                <c:pt idx="9">
                  <c:v>1.595</c:v>
                </c:pt>
                <c:pt idx="10">
                  <c:v>0.729999999999999</c:v>
                </c:pt>
                <c:pt idx="11">
                  <c:v>-0.125000000000001</c:v>
                </c:pt>
                <c:pt idx="12">
                  <c:v>-0.97</c:v>
                </c:pt>
                <c:pt idx="13">
                  <c:v>-1.805</c:v>
                </c:pt>
                <c:pt idx="14">
                  <c:v>-2.63</c:v>
                </c:pt>
                <c:pt idx="15">
                  <c:v>-3.445</c:v>
                </c:pt>
                <c:pt idx="16">
                  <c:v>-4.25</c:v>
                </c:pt>
              </c:numCache>
            </c:numRef>
          </c:val>
          <c:smooth val="1"/>
        </c:ser>
        <c:ser>
          <c:idx val="1"/>
          <c:order val="1"/>
          <c:tx>
            <c:strRef>
              <c:f>'3 Total return grid'!C5</c:f>
              <c:strCache>
                <c:ptCount val="1"/>
                <c:pt idx="0">
                  <c:v>GD30</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Total return grid'!$A$6:$A$22</c:f>
              <c:strCache>
                <c:ptCount val="17"/>
                <c:pt idx="0">
                  <c:v>-300</c:v>
                </c:pt>
                <c:pt idx="1">
                  <c:v>-250</c:v>
                </c:pt>
                <c:pt idx="2">
                  <c:v>-200</c:v>
                </c:pt>
                <c:pt idx="3">
                  <c:v>-150</c:v>
                </c:pt>
                <c:pt idx="4">
                  <c:v>-100</c:v>
                </c:pt>
                <c:pt idx="5">
                  <c:v>-50</c:v>
                </c:pt>
                <c:pt idx="6">
                  <c:v>0</c:v>
                </c:pt>
                <c:pt idx="7">
                  <c:v>50</c:v>
                </c:pt>
                <c:pt idx="8">
                  <c:v>100</c:v>
                </c:pt>
                <c:pt idx="9">
                  <c:v>150</c:v>
                </c:pt>
                <c:pt idx="10">
                  <c:v>200</c:v>
                </c:pt>
                <c:pt idx="11">
                  <c:v>250</c:v>
                </c:pt>
                <c:pt idx="12">
                  <c:v>300</c:v>
                </c:pt>
                <c:pt idx="13">
                  <c:v>350</c:v>
                </c:pt>
                <c:pt idx="14">
                  <c:v>400</c:v>
                </c:pt>
                <c:pt idx="15">
                  <c:v>450</c:v>
                </c:pt>
                <c:pt idx="16">
                  <c:v>500</c:v>
                </c:pt>
              </c:strCache>
            </c:strRef>
          </c:cat>
          <c:val>
            <c:numRef>
              <c:f>'3 Total return grid'!$C$6:$C$22</c:f>
              <c:numCache>
                <c:formatCode>0.00</c:formatCode>
                <c:ptCount val="17"/>
                <c:pt idx="0">
                  <c:v>12.305</c:v>
                </c:pt>
                <c:pt idx="1">
                  <c:v>10.88125</c:v>
                </c:pt>
                <c:pt idx="2">
                  <c:v>9.48</c:v>
                </c:pt>
                <c:pt idx="3">
                  <c:v>8.10125</c:v>
                </c:pt>
                <c:pt idx="4">
                  <c:v>6.745</c:v>
                </c:pt>
                <c:pt idx="5">
                  <c:v>5.41125</c:v>
                </c:pt>
                <c:pt idx="6">
                  <c:v>4.1</c:v>
                </c:pt>
                <c:pt idx="7">
                  <c:v>2.81125</c:v>
                </c:pt>
                <c:pt idx="8">
                  <c:v>1.545</c:v>
                </c:pt>
                <c:pt idx="9">
                  <c:v>0.30125</c:v>
                </c:pt>
                <c:pt idx="10">
                  <c:v>-0.920000000000001</c:v>
                </c:pt>
                <c:pt idx="11">
                  <c:v>-2.11875</c:v>
                </c:pt>
                <c:pt idx="12">
                  <c:v>-3.295</c:v>
                </c:pt>
                <c:pt idx="13">
                  <c:v>-4.44875</c:v>
                </c:pt>
                <c:pt idx="14">
                  <c:v>-5.58</c:v>
                </c:pt>
                <c:pt idx="15">
                  <c:v>-6.68875</c:v>
                </c:pt>
                <c:pt idx="16">
                  <c:v>-7.775</c:v>
                </c:pt>
              </c:numCache>
            </c:numRef>
          </c:val>
          <c:smooth val="1"/>
        </c:ser>
        <c:ser>
          <c:idx val="2"/>
          <c:order val="2"/>
          <c:tx>
            <c:strRef>
              <c:f>'3 Total return grid'!D5</c:f>
              <c:strCache>
                <c:ptCount val="1"/>
                <c:pt idx="0">
                  <c:v>GD35</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Total return grid'!$A$6:$A$22</c:f>
              <c:strCache>
                <c:ptCount val="17"/>
                <c:pt idx="0">
                  <c:v>-300</c:v>
                </c:pt>
                <c:pt idx="1">
                  <c:v>-250</c:v>
                </c:pt>
                <c:pt idx="2">
                  <c:v>-200</c:v>
                </c:pt>
                <c:pt idx="3">
                  <c:v>-150</c:v>
                </c:pt>
                <c:pt idx="4">
                  <c:v>-100</c:v>
                </c:pt>
                <c:pt idx="5">
                  <c:v>-50</c:v>
                </c:pt>
                <c:pt idx="6">
                  <c:v>0</c:v>
                </c:pt>
                <c:pt idx="7">
                  <c:v>50</c:v>
                </c:pt>
                <c:pt idx="8">
                  <c:v>100</c:v>
                </c:pt>
                <c:pt idx="9">
                  <c:v>150</c:v>
                </c:pt>
                <c:pt idx="10">
                  <c:v>200</c:v>
                </c:pt>
                <c:pt idx="11">
                  <c:v>250</c:v>
                </c:pt>
                <c:pt idx="12">
                  <c:v>300</c:v>
                </c:pt>
                <c:pt idx="13">
                  <c:v>350</c:v>
                </c:pt>
                <c:pt idx="14">
                  <c:v>400</c:v>
                </c:pt>
                <c:pt idx="15">
                  <c:v>450</c:v>
                </c:pt>
                <c:pt idx="16">
                  <c:v>500</c:v>
                </c:pt>
              </c:strCache>
            </c:strRef>
          </c:cat>
          <c:val>
            <c:numRef>
              <c:f>'3 Total return grid'!$D$6:$D$22</c:f>
              <c:numCache>
                <c:formatCode>0.00</c:formatCode>
                <c:ptCount val="17"/>
                <c:pt idx="0">
                  <c:v>21.77</c:v>
                </c:pt>
                <c:pt idx="1">
                  <c:v>18.575</c:v>
                </c:pt>
                <c:pt idx="2">
                  <c:v>15.47</c:v>
                </c:pt>
                <c:pt idx="3">
                  <c:v>12.455</c:v>
                </c:pt>
                <c:pt idx="4">
                  <c:v>9.53</c:v>
                </c:pt>
                <c:pt idx="5">
                  <c:v>6.695</c:v>
                </c:pt>
                <c:pt idx="6">
                  <c:v>3.95</c:v>
                </c:pt>
                <c:pt idx="7">
                  <c:v>1.295</c:v>
                </c:pt>
                <c:pt idx="8">
                  <c:v>-1.27</c:v>
                </c:pt>
                <c:pt idx="9">
                  <c:v>-3.745</c:v>
                </c:pt>
                <c:pt idx="10">
                  <c:v>-6.13</c:v>
                </c:pt>
                <c:pt idx="11">
                  <c:v>-8.425</c:v>
                </c:pt>
                <c:pt idx="12">
                  <c:v>-10.63</c:v>
                </c:pt>
                <c:pt idx="13">
                  <c:v>-12.745</c:v>
                </c:pt>
                <c:pt idx="14">
                  <c:v>-14.77</c:v>
                </c:pt>
                <c:pt idx="15">
                  <c:v>-16.705</c:v>
                </c:pt>
                <c:pt idx="16">
                  <c:v>-18.55</c:v>
                </c:pt>
              </c:numCache>
            </c:numRef>
          </c:val>
          <c:smooth val="1"/>
        </c:ser>
        <c:ser>
          <c:idx val="3"/>
          <c:order val="3"/>
          <c:tx>
            <c:strRef>
              <c:f>'3 Total return grid'!E5</c:f>
              <c:strCache>
                <c:ptCount val="1"/>
                <c:pt idx="0">
                  <c:v>GD38</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Total return grid'!$A$6:$A$22</c:f>
              <c:strCache>
                <c:ptCount val="17"/>
                <c:pt idx="0">
                  <c:v>-300</c:v>
                </c:pt>
                <c:pt idx="1">
                  <c:v>-250</c:v>
                </c:pt>
                <c:pt idx="2">
                  <c:v>-200</c:v>
                </c:pt>
                <c:pt idx="3">
                  <c:v>-150</c:v>
                </c:pt>
                <c:pt idx="4">
                  <c:v>-100</c:v>
                </c:pt>
                <c:pt idx="5">
                  <c:v>-50</c:v>
                </c:pt>
                <c:pt idx="6">
                  <c:v>0</c:v>
                </c:pt>
                <c:pt idx="7">
                  <c:v>50</c:v>
                </c:pt>
                <c:pt idx="8">
                  <c:v>100</c:v>
                </c:pt>
                <c:pt idx="9">
                  <c:v>150</c:v>
                </c:pt>
                <c:pt idx="10">
                  <c:v>200</c:v>
                </c:pt>
                <c:pt idx="11">
                  <c:v>250</c:v>
                </c:pt>
                <c:pt idx="12">
                  <c:v>300</c:v>
                </c:pt>
                <c:pt idx="13">
                  <c:v>350</c:v>
                </c:pt>
                <c:pt idx="14">
                  <c:v>400</c:v>
                </c:pt>
                <c:pt idx="15">
                  <c:v>450</c:v>
                </c:pt>
                <c:pt idx="16">
                  <c:v>500</c:v>
                </c:pt>
              </c:strCache>
            </c:strRef>
          </c:cat>
          <c:val>
            <c:numRef>
              <c:f>'3 Total return grid'!$E$6:$E$22</c:f>
              <c:numCache>
                <c:formatCode>0.00</c:formatCode>
                <c:ptCount val="17"/>
                <c:pt idx="0">
                  <c:v>20.195</c:v>
                </c:pt>
                <c:pt idx="1">
                  <c:v>17.26875</c:v>
                </c:pt>
                <c:pt idx="2">
                  <c:v>14.42</c:v>
                </c:pt>
                <c:pt idx="3">
                  <c:v>11.64875</c:v>
                </c:pt>
                <c:pt idx="4">
                  <c:v>8.955</c:v>
                </c:pt>
                <c:pt idx="5">
                  <c:v>6.33875</c:v>
                </c:pt>
                <c:pt idx="6">
                  <c:v>3.8</c:v>
                </c:pt>
                <c:pt idx="7">
                  <c:v>1.33875</c:v>
                </c:pt>
                <c:pt idx="8">
                  <c:v>-1.045</c:v>
                </c:pt>
                <c:pt idx="9">
                  <c:v>-3.35125</c:v>
                </c:pt>
                <c:pt idx="10">
                  <c:v>-5.58</c:v>
                </c:pt>
                <c:pt idx="11">
                  <c:v>-7.73125</c:v>
                </c:pt>
                <c:pt idx="12">
                  <c:v>-9.805</c:v>
                </c:pt>
                <c:pt idx="13">
                  <c:v>-11.80125</c:v>
                </c:pt>
                <c:pt idx="14">
                  <c:v>-13.72</c:v>
                </c:pt>
                <c:pt idx="15">
                  <c:v>-15.56125</c:v>
                </c:pt>
                <c:pt idx="16">
                  <c:v>-17.325</c:v>
                </c:pt>
              </c:numCache>
            </c:numRef>
          </c:val>
          <c:smooth val="1"/>
        </c:ser>
        <c:ser>
          <c:idx val="4"/>
          <c:order val="4"/>
          <c:tx>
            <c:strRef>
              <c:f>'3 Total return grid'!F5</c:f>
              <c:strCache>
                <c:ptCount val="1"/>
                <c:pt idx="0">
                  <c:v>GD41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Total return grid'!$A$6:$A$22</c:f>
              <c:strCache>
                <c:ptCount val="17"/>
                <c:pt idx="0">
                  <c:v>-300</c:v>
                </c:pt>
                <c:pt idx="1">
                  <c:v>-250</c:v>
                </c:pt>
                <c:pt idx="2">
                  <c:v>-200</c:v>
                </c:pt>
                <c:pt idx="3">
                  <c:v>-150</c:v>
                </c:pt>
                <c:pt idx="4">
                  <c:v>-100</c:v>
                </c:pt>
                <c:pt idx="5">
                  <c:v>-50</c:v>
                </c:pt>
                <c:pt idx="6">
                  <c:v>0</c:v>
                </c:pt>
                <c:pt idx="7">
                  <c:v>50</c:v>
                </c:pt>
                <c:pt idx="8">
                  <c:v>100</c:v>
                </c:pt>
                <c:pt idx="9">
                  <c:v>150</c:v>
                </c:pt>
                <c:pt idx="10">
                  <c:v>200</c:v>
                </c:pt>
                <c:pt idx="11">
                  <c:v>250</c:v>
                </c:pt>
                <c:pt idx="12">
                  <c:v>300</c:v>
                </c:pt>
                <c:pt idx="13">
                  <c:v>350</c:v>
                </c:pt>
                <c:pt idx="14">
                  <c:v>400</c:v>
                </c:pt>
                <c:pt idx="15">
                  <c:v>450</c:v>
                </c:pt>
                <c:pt idx="16">
                  <c:v>500</c:v>
                </c:pt>
              </c:strCache>
            </c:strRef>
          </c:cat>
          <c:val>
            <c:numRef>
              <c:f>'3 Total return grid'!$F$6:$F$22</c:f>
              <c:numCache>
                <c:formatCode>0.00</c:formatCode>
                <c:ptCount val="17"/>
                <c:pt idx="0">
                  <c:v>24.175</c:v>
                </c:pt>
                <c:pt idx="1">
                  <c:v>20.50625</c:v>
                </c:pt>
                <c:pt idx="2">
                  <c:v>16.95</c:v>
                </c:pt>
                <c:pt idx="3">
                  <c:v>13.50625</c:v>
                </c:pt>
                <c:pt idx="4">
                  <c:v>10.175</c:v>
                </c:pt>
                <c:pt idx="5">
                  <c:v>6.95625</c:v>
                </c:pt>
                <c:pt idx="6">
                  <c:v>3.85</c:v>
                </c:pt>
                <c:pt idx="7">
                  <c:v>0.85625</c:v>
                </c:pt>
                <c:pt idx="8">
                  <c:v>-2.025</c:v>
                </c:pt>
                <c:pt idx="9">
                  <c:v>-4.79375</c:v>
                </c:pt>
                <c:pt idx="10">
                  <c:v>-7.45</c:v>
                </c:pt>
                <c:pt idx="11">
                  <c:v>-9.99375</c:v>
                </c:pt>
                <c:pt idx="12">
                  <c:v>-12.425</c:v>
                </c:pt>
                <c:pt idx="13">
                  <c:v>-14.74375</c:v>
                </c:pt>
                <c:pt idx="14">
                  <c:v>-16.95</c:v>
                </c:pt>
                <c:pt idx="15">
                  <c:v>-19.04375</c:v>
                </c:pt>
                <c:pt idx="16">
                  <c:v>-21.025</c:v>
                </c:pt>
              </c:numCache>
            </c:numRef>
          </c:val>
          <c:smooth val="1"/>
        </c:ser>
        <c:ser>
          <c:idx val="5"/>
          <c:order val="5"/>
          <c:tx>
            <c:strRef>
              <c:f>'3 Total return grid'!G5</c:f>
              <c:strCache>
                <c:ptCount val="1"/>
                <c:pt idx="0">
                  <c:v>GD46</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Total return grid'!$A$6:$A$22</c:f>
              <c:strCache>
                <c:ptCount val="17"/>
                <c:pt idx="0">
                  <c:v>-300</c:v>
                </c:pt>
                <c:pt idx="1">
                  <c:v>-250</c:v>
                </c:pt>
                <c:pt idx="2">
                  <c:v>-200</c:v>
                </c:pt>
                <c:pt idx="3">
                  <c:v>-150</c:v>
                </c:pt>
                <c:pt idx="4">
                  <c:v>-100</c:v>
                </c:pt>
                <c:pt idx="5">
                  <c:v>-50</c:v>
                </c:pt>
                <c:pt idx="6">
                  <c:v>0</c:v>
                </c:pt>
                <c:pt idx="7">
                  <c:v>50</c:v>
                </c:pt>
                <c:pt idx="8">
                  <c:v>100</c:v>
                </c:pt>
                <c:pt idx="9">
                  <c:v>150</c:v>
                </c:pt>
                <c:pt idx="10">
                  <c:v>200</c:v>
                </c:pt>
                <c:pt idx="11">
                  <c:v>250</c:v>
                </c:pt>
                <c:pt idx="12">
                  <c:v>300</c:v>
                </c:pt>
                <c:pt idx="13">
                  <c:v>350</c:v>
                </c:pt>
                <c:pt idx="14">
                  <c:v>400</c:v>
                </c:pt>
                <c:pt idx="15">
                  <c:v>450</c:v>
                </c:pt>
                <c:pt idx="16">
                  <c:v>500</c:v>
                </c:pt>
              </c:strCache>
            </c:strRef>
          </c:cat>
          <c:val>
            <c:numRef>
              <c:f>'3 Total return grid'!$G$6:$G$22</c:f>
              <c:numCache>
                <c:formatCode>0.00</c:formatCode>
                <c:ptCount val="17"/>
                <c:pt idx="0">
                  <c:v>24.71</c:v>
                </c:pt>
                <c:pt idx="1">
                  <c:v>20.9</c:v>
                </c:pt>
                <c:pt idx="2">
                  <c:v>17.21</c:v>
                </c:pt>
                <c:pt idx="3">
                  <c:v>13.64</c:v>
                </c:pt>
                <c:pt idx="4">
                  <c:v>10.19</c:v>
                </c:pt>
                <c:pt idx="5">
                  <c:v>6.86</c:v>
                </c:pt>
                <c:pt idx="6">
                  <c:v>3.65</c:v>
                </c:pt>
                <c:pt idx="7">
                  <c:v>0.56</c:v>
                </c:pt>
                <c:pt idx="8">
                  <c:v>-2.41</c:v>
                </c:pt>
                <c:pt idx="9">
                  <c:v>-5.26</c:v>
                </c:pt>
                <c:pt idx="10">
                  <c:v>-7.99</c:v>
                </c:pt>
                <c:pt idx="11">
                  <c:v>-10.6</c:v>
                </c:pt>
                <c:pt idx="12">
                  <c:v>-13.09</c:v>
                </c:pt>
                <c:pt idx="13">
                  <c:v>-15.46</c:v>
                </c:pt>
                <c:pt idx="14">
                  <c:v>-17.71</c:v>
                </c:pt>
                <c:pt idx="15">
                  <c:v>-19.84</c:v>
                </c:pt>
                <c:pt idx="16">
                  <c:v>-21.85</c:v>
                </c:pt>
              </c:numCache>
            </c:numRef>
          </c:val>
          <c:smooth val="1"/>
        </c:ser>
        <c:hiLowLines>
          <c:spPr>
            <a:ln w="0">
              <a:noFill/>
            </a:ln>
          </c:spPr>
        </c:hiLowLines>
        <c:marker val="0"/>
        <c:axId val="41445717"/>
        <c:axId val="78939149"/>
      </c:lineChart>
      <c:catAx>
        <c:axId val="41445717"/>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939149"/>
        <c:crosses val="autoZero"/>
        <c:auto val="1"/>
        <c:lblAlgn val="ctr"/>
        <c:lblOffset val="100"/>
        <c:noMultiLvlLbl val="0"/>
      </c:catAx>
      <c:valAx>
        <c:axId val="78939149"/>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44571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Breakeven yield widening (bp) by holding period (months)</a:t>
            </a:r>
          </a:p>
        </c:rich>
      </c:tx>
      <c:overlay val="0"/>
      <c:spPr>
        <a:noFill/>
        <a:ln w="0">
          <a:noFill/>
        </a:ln>
      </c:spPr>
    </c:title>
    <c:autoTitleDeleted val="0"/>
    <c:plotArea>
      <c:lineChart>
        <c:grouping val="standard"/>
        <c:varyColors val="0"/>
        <c:ser>
          <c:idx val="0"/>
          <c:order val="0"/>
          <c:tx>
            <c:strRef>
              <c:f>'4 Cushion by horizon'!B5</c:f>
              <c:strCache>
                <c:ptCount val="1"/>
                <c:pt idx="0">
                  <c:v>GD29</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Cushion by horizon'!$A$6:$A$15</c:f>
              <c:strCache>
                <c:ptCount val="10"/>
                <c:pt idx="0">
                  <c:v>1</c:v>
                </c:pt>
                <c:pt idx="1">
                  <c:v>2</c:v>
                </c:pt>
                <c:pt idx="2">
                  <c:v>3</c:v>
                </c:pt>
                <c:pt idx="3">
                  <c:v>4</c:v>
                </c:pt>
                <c:pt idx="4">
                  <c:v>6</c:v>
                </c:pt>
                <c:pt idx="5">
                  <c:v>9</c:v>
                </c:pt>
                <c:pt idx="6">
                  <c:v>12</c:v>
                </c:pt>
                <c:pt idx="7">
                  <c:v>18</c:v>
                </c:pt>
                <c:pt idx="8">
                  <c:v>24</c:v>
                </c:pt>
                <c:pt idx="9">
                  <c:v>36</c:v>
                </c:pt>
              </c:strCache>
            </c:strRef>
          </c:cat>
          <c:val>
            <c:numRef>
              <c:f>'4 Cushion by horizon'!$B$6:$B$15</c:f>
              <c:numCache>
                <c:formatCode>#,##0</c:formatCode>
                <c:ptCount val="10"/>
                <c:pt idx="0">
                  <c:v>39.3518518518519</c:v>
                </c:pt>
                <c:pt idx="1">
                  <c:v>78.7037037037037</c:v>
                </c:pt>
                <c:pt idx="2">
                  <c:v>118.055555555556</c:v>
                </c:pt>
                <c:pt idx="3">
                  <c:v>157.407407407407</c:v>
                </c:pt>
                <c:pt idx="4">
                  <c:v>236.111111111111</c:v>
                </c:pt>
                <c:pt idx="5">
                  <c:v>354.166666666667</c:v>
                </c:pt>
                <c:pt idx="6">
                  <c:v>472.222222222222</c:v>
                </c:pt>
                <c:pt idx="7">
                  <c:v>708.333333333333</c:v>
                </c:pt>
                <c:pt idx="8">
                  <c:v>944.444444444445</c:v>
                </c:pt>
                <c:pt idx="9">
                  <c:v>1416.66666666667</c:v>
                </c:pt>
              </c:numCache>
            </c:numRef>
          </c:val>
          <c:smooth val="1"/>
        </c:ser>
        <c:ser>
          <c:idx val="1"/>
          <c:order val="1"/>
          <c:tx>
            <c:strRef>
              <c:f>'4 Cushion by horizon'!C5</c:f>
              <c:strCache>
                <c:ptCount val="1"/>
                <c:pt idx="0">
                  <c:v>GD30</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Cushion by horizon'!$A$6:$A$15</c:f>
              <c:strCache>
                <c:ptCount val="10"/>
                <c:pt idx="0">
                  <c:v>1</c:v>
                </c:pt>
                <c:pt idx="1">
                  <c:v>2</c:v>
                </c:pt>
                <c:pt idx="2">
                  <c:v>3</c:v>
                </c:pt>
                <c:pt idx="3">
                  <c:v>4</c:v>
                </c:pt>
                <c:pt idx="4">
                  <c:v>6</c:v>
                </c:pt>
                <c:pt idx="5">
                  <c:v>9</c:v>
                </c:pt>
                <c:pt idx="6">
                  <c:v>12</c:v>
                </c:pt>
                <c:pt idx="7">
                  <c:v>18</c:v>
                </c:pt>
                <c:pt idx="8">
                  <c:v>24</c:v>
                </c:pt>
                <c:pt idx="9">
                  <c:v>36</c:v>
                </c:pt>
              </c:strCache>
            </c:strRef>
          </c:cat>
          <c:val>
            <c:numRef>
              <c:f>'4 Cushion by horizon'!$C$6:$C$15</c:f>
              <c:numCache>
                <c:formatCode>#,##0</c:formatCode>
                <c:ptCount val="10"/>
                <c:pt idx="0">
                  <c:v>26.2820512820513</c:v>
                </c:pt>
                <c:pt idx="1">
                  <c:v>52.5641025641026</c:v>
                </c:pt>
                <c:pt idx="2">
                  <c:v>78.8461538461538</c:v>
                </c:pt>
                <c:pt idx="3">
                  <c:v>105.128205128205</c:v>
                </c:pt>
                <c:pt idx="4">
                  <c:v>157.692307692308</c:v>
                </c:pt>
                <c:pt idx="5">
                  <c:v>236.538461538462</c:v>
                </c:pt>
                <c:pt idx="6">
                  <c:v>315.384615384615</c:v>
                </c:pt>
                <c:pt idx="7">
                  <c:v>473.076923076923</c:v>
                </c:pt>
                <c:pt idx="8">
                  <c:v>630.769230769231</c:v>
                </c:pt>
                <c:pt idx="9">
                  <c:v>946.153846153846</c:v>
                </c:pt>
              </c:numCache>
            </c:numRef>
          </c:val>
          <c:smooth val="1"/>
        </c:ser>
        <c:ser>
          <c:idx val="2"/>
          <c:order val="2"/>
          <c:tx>
            <c:strRef>
              <c:f>'4 Cushion by horizon'!D5</c:f>
              <c:strCache>
                <c:ptCount val="1"/>
                <c:pt idx="0">
                  <c:v>GD35</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Cushion by horizon'!$A$6:$A$15</c:f>
              <c:strCache>
                <c:ptCount val="10"/>
                <c:pt idx="0">
                  <c:v>1</c:v>
                </c:pt>
                <c:pt idx="1">
                  <c:v>2</c:v>
                </c:pt>
                <c:pt idx="2">
                  <c:v>3</c:v>
                </c:pt>
                <c:pt idx="3">
                  <c:v>4</c:v>
                </c:pt>
                <c:pt idx="4">
                  <c:v>6</c:v>
                </c:pt>
                <c:pt idx="5">
                  <c:v>9</c:v>
                </c:pt>
                <c:pt idx="6">
                  <c:v>12</c:v>
                </c:pt>
                <c:pt idx="7">
                  <c:v>18</c:v>
                </c:pt>
                <c:pt idx="8">
                  <c:v>24</c:v>
                </c:pt>
                <c:pt idx="9">
                  <c:v>36</c:v>
                </c:pt>
              </c:strCache>
            </c:strRef>
          </c:cat>
          <c:val>
            <c:numRef>
              <c:f>'4 Cushion by horizon'!$D$6:$D$15</c:f>
              <c:numCache>
                <c:formatCode>#,##0</c:formatCode>
                <c:ptCount val="10"/>
                <c:pt idx="0">
                  <c:v>12.1913580246914</c:v>
                </c:pt>
                <c:pt idx="1">
                  <c:v>24.3827160493827</c:v>
                </c:pt>
                <c:pt idx="2">
                  <c:v>36.5740740740741</c:v>
                </c:pt>
                <c:pt idx="3">
                  <c:v>48.7654320987654</c:v>
                </c:pt>
                <c:pt idx="4">
                  <c:v>73.1481481481482</c:v>
                </c:pt>
                <c:pt idx="5">
                  <c:v>109.722222222222</c:v>
                </c:pt>
                <c:pt idx="6">
                  <c:v>146.296296296296</c:v>
                </c:pt>
                <c:pt idx="7">
                  <c:v>219.444444444444</c:v>
                </c:pt>
                <c:pt idx="8">
                  <c:v>292.592592592593</c:v>
                </c:pt>
                <c:pt idx="9">
                  <c:v>438.888888888889</c:v>
                </c:pt>
              </c:numCache>
            </c:numRef>
          </c:val>
          <c:smooth val="1"/>
        </c:ser>
        <c:ser>
          <c:idx val="3"/>
          <c:order val="3"/>
          <c:tx>
            <c:strRef>
              <c:f>'4 Cushion by horizon'!E5</c:f>
              <c:strCache>
                <c:ptCount val="1"/>
                <c:pt idx="0">
                  <c:v>GD38</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Cushion by horizon'!$A$6:$A$15</c:f>
              <c:strCache>
                <c:ptCount val="10"/>
                <c:pt idx="0">
                  <c:v>1</c:v>
                </c:pt>
                <c:pt idx="1">
                  <c:v>2</c:v>
                </c:pt>
                <c:pt idx="2">
                  <c:v>3</c:v>
                </c:pt>
                <c:pt idx="3">
                  <c:v>4</c:v>
                </c:pt>
                <c:pt idx="4">
                  <c:v>6</c:v>
                </c:pt>
                <c:pt idx="5">
                  <c:v>9</c:v>
                </c:pt>
                <c:pt idx="6">
                  <c:v>12</c:v>
                </c:pt>
                <c:pt idx="7">
                  <c:v>18</c:v>
                </c:pt>
                <c:pt idx="8">
                  <c:v>24</c:v>
                </c:pt>
                <c:pt idx="9">
                  <c:v>36</c:v>
                </c:pt>
              </c:strCache>
            </c:strRef>
          </c:cat>
          <c:val>
            <c:numRef>
              <c:f>'4 Cushion by horizon'!$E$6:$E$15</c:f>
              <c:numCache>
                <c:formatCode>#,##0</c:formatCode>
                <c:ptCount val="10"/>
                <c:pt idx="0">
                  <c:v>12.6666666666667</c:v>
                </c:pt>
                <c:pt idx="1">
                  <c:v>25.3333333333333</c:v>
                </c:pt>
                <c:pt idx="2">
                  <c:v>38</c:v>
                </c:pt>
                <c:pt idx="3">
                  <c:v>50.6666666666667</c:v>
                </c:pt>
                <c:pt idx="4">
                  <c:v>76</c:v>
                </c:pt>
                <c:pt idx="5">
                  <c:v>114</c:v>
                </c:pt>
                <c:pt idx="6">
                  <c:v>152</c:v>
                </c:pt>
                <c:pt idx="7">
                  <c:v>228</c:v>
                </c:pt>
                <c:pt idx="8">
                  <c:v>304</c:v>
                </c:pt>
                <c:pt idx="9">
                  <c:v>456</c:v>
                </c:pt>
              </c:numCache>
            </c:numRef>
          </c:val>
          <c:smooth val="1"/>
        </c:ser>
        <c:ser>
          <c:idx val="4"/>
          <c:order val="4"/>
          <c:tx>
            <c:strRef>
              <c:f>'4 Cushion by horizon'!F5</c:f>
              <c:strCache>
                <c:ptCount val="1"/>
                <c:pt idx="0">
                  <c:v>GD41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Cushion by horizon'!$A$6:$A$15</c:f>
              <c:strCache>
                <c:ptCount val="10"/>
                <c:pt idx="0">
                  <c:v>1</c:v>
                </c:pt>
                <c:pt idx="1">
                  <c:v>2</c:v>
                </c:pt>
                <c:pt idx="2">
                  <c:v>3</c:v>
                </c:pt>
                <c:pt idx="3">
                  <c:v>4</c:v>
                </c:pt>
                <c:pt idx="4">
                  <c:v>6</c:v>
                </c:pt>
                <c:pt idx="5">
                  <c:v>9</c:v>
                </c:pt>
                <c:pt idx="6">
                  <c:v>12</c:v>
                </c:pt>
                <c:pt idx="7">
                  <c:v>18</c:v>
                </c:pt>
                <c:pt idx="8">
                  <c:v>24</c:v>
                </c:pt>
                <c:pt idx="9">
                  <c:v>36</c:v>
                </c:pt>
              </c:strCache>
            </c:strRef>
          </c:cat>
          <c:val>
            <c:numRef>
              <c:f>'4 Cushion by horizon'!$F$6:$F$15</c:f>
              <c:numCache>
                <c:formatCode>#,##0</c:formatCode>
                <c:ptCount val="10"/>
                <c:pt idx="0">
                  <c:v>10.5191256830601</c:v>
                </c:pt>
                <c:pt idx="1">
                  <c:v>21.0382513661202</c:v>
                </c:pt>
                <c:pt idx="2">
                  <c:v>31.5573770491803</c:v>
                </c:pt>
                <c:pt idx="3">
                  <c:v>42.0765027322404</c:v>
                </c:pt>
                <c:pt idx="4">
                  <c:v>63.1147540983607</c:v>
                </c:pt>
                <c:pt idx="5">
                  <c:v>94.672131147541</c:v>
                </c:pt>
                <c:pt idx="6">
                  <c:v>126.229508196721</c:v>
                </c:pt>
                <c:pt idx="7">
                  <c:v>189.344262295082</c:v>
                </c:pt>
                <c:pt idx="8">
                  <c:v>252.459016393443</c:v>
                </c:pt>
                <c:pt idx="9">
                  <c:v>378.688524590164</c:v>
                </c:pt>
              </c:numCache>
            </c:numRef>
          </c:val>
          <c:smooth val="1"/>
        </c:ser>
        <c:ser>
          <c:idx val="5"/>
          <c:order val="5"/>
          <c:tx>
            <c:strRef>
              <c:f>'4 Cushion by horizon'!G5</c:f>
              <c:strCache>
                <c:ptCount val="1"/>
                <c:pt idx="0">
                  <c:v>GD46</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Cushion by horizon'!$A$6:$A$15</c:f>
              <c:strCache>
                <c:ptCount val="10"/>
                <c:pt idx="0">
                  <c:v>1</c:v>
                </c:pt>
                <c:pt idx="1">
                  <c:v>2</c:v>
                </c:pt>
                <c:pt idx="2">
                  <c:v>3</c:v>
                </c:pt>
                <c:pt idx="3">
                  <c:v>4</c:v>
                </c:pt>
                <c:pt idx="4">
                  <c:v>6</c:v>
                </c:pt>
                <c:pt idx="5">
                  <c:v>9</c:v>
                </c:pt>
                <c:pt idx="6">
                  <c:v>12</c:v>
                </c:pt>
                <c:pt idx="7">
                  <c:v>18</c:v>
                </c:pt>
                <c:pt idx="8">
                  <c:v>24</c:v>
                </c:pt>
                <c:pt idx="9">
                  <c:v>36</c:v>
                </c:pt>
              </c:strCache>
            </c:strRef>
          </c:cat>
          <c:val>
            <c:numRef>
              <c:f>'4 Cushion by horizon'!$G$6:$G$15</c:f>
              <c:numCache>
                <c:formatCode>#,##0</c:formatCode>
                <c:ptCount val="10"/>
                <c:pt idx="0">
                  <c:v>9.65608465608466</c:v>
                </c:pt>
                <c:pt idx="1">
                  <c:v>19.3121693121693</c:v>
                </c:pt>
                <c:pt idx="2">
                  <c:v>28.968253968254</c:v>
                </c:pt>
                <c:pt idx="3">
                  <c:v>38.6243386243386</c:v>
                </c:pt>
                <c:pt idx="4">
                  <c:v>57.9365079365079</c:v>
                </c:pt>
                <c:pt idx="5">
                  <c:v>86.9047619047619</c:v>
                </c:pt>
                <c:pt idx="6">
                  <c:v>115.873015873016</c:v>
                </c:pt>
                <c:pt idx="7">
                  <c:v>173.809523809524</c:v>
                </c:pt>
                <c:pt idx="8">
                  <c:v>231.746031746032</c:v>
                </c:pt>
                <c:pt idx="9">
                  <c:v>347.619047619048</c:v>
                </c:pt>
              </c:numCache>
            </c:numRef>
          </c:val>
          <c:smooth val="1"/>
        </c:ser>
        <c:hiLowLines>
          <c:spPr>
            <a:ln w="0">
              <a:noFill/>
            </a:ln>
          </c:spPr>
        </c:hiLowLines>
        <c:marker val="0"/>
        <c:axId val="73521577"/>
        <c:axId val="87588617"/>
      </c:lineChart>
      <c:catAx>
        <c:axId val="73521577"/>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588617"/>
        <c:crosses val="autoZero"/>
        <c:auto val="1"/>
        <c:lblAlgn val="ctr"/>
        <c:lblOffset val="100"/>
        <c:noMultiLvlLbl val="0"/>
      </c:catAx>
      <c:valAx>
        <c:axId val="8758861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5215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Six-month forward change in spread (bp)</a:t>
            </a:r>
          </a:p>
        </c:rich>
      </c:tx>
      <c:overlay val="0"/>
      <c:spPr>
        <a:noFill/>
        <a:ln w="0">
          <a:noFill/>
        </a:ln>
      </c:spPr>
    </c:title>
    <c:autoTitleDeleted val="0"/>
    <c:plotArea>
      <c:lineChart>
        <c:grouping val="standard"/>
        <c:varyColors val="0"/>
        <c:ser>
          <c:idx val="0"/>
          <c:order val="0"/>
          <c:tx>
            <c:strRef>
              <c:f>'5 Spread move check'!D5</c:f>
              <c:strCache>
                <c:ptCount val="1"/>
                <c:pt idx="0">
                  <c:v>Change
(bp)</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Spread move check'!$A$6:$A$47</c:f>
              <c:strCache>
                <c:ptCount val="42"/>
                <c:pt idx="0">
                  <c:v>Sep-2022</c:v>
                </c:pt>
                <c:pt idx="1">
                  <c:v>Oct-2022</c:v>
                </c:pt>
                <c:pt idx="2">
                  <c:v>Nov-2022</c:v>
                </c:pt>
                <c:pt idx="3">
                  <c:v>Dec-2022</c:v>
                </c:pt>
                <c:pt idx="4">
                  <c:v>Jan-2023</c:v>
                </c:pt>
                <c:pt idx="5">
                  <c:v>Feb-2023</c:v>
                </c:pt>
                <c:pt idx="6">
                  <c:v>Mar-2023</c:v>
                </c:pt>
                <c:pt idx="7">
                  <c:v>Apr-2023</c:v>
                </c:pt>
                <c:pt idx="8">
                  <c:v>May-2023</c:v>
                </c:pt>
                <c:pt idx="9">
                  <c:v>Jun-2023</c:v>
                </c:pt>
                <c:pt idx="10">
                  <c:v>Jul-2023</c:v>
                </c:pt>
                <c:pt idx="11">
                  <c:v>Aug-2023</c:v>
                </c:pt>
                <c:pt idx="12">
                  <c:v>Sep-2023</c:v>
                </c:pt>
                <c:pt idx="13">
                  <c:v>Oct-2023</c:v>
                </c:pt>
                <c:pt idx="14">
                  <c:v>Nov-2023</c:v>
                </c:pt>
                <c:pt idx="15">
                  <c:v>Dec-2023</c:v>
                </c:pt>
                <c:pt idx="16">
                  <c:v>Jan-2024</c:v>
                </c:pt>
                <c:pt idx="17">
                  <c:v>Feb-2024</c:v>
                </c:pt>
                <c:pt idx="18">
                  <c:v>Mar-2024</c:v>
                </c:pt>
                <c:pt idx="19">
                  <c:v>Apr-2024</c:v>
                </c:pt>
                <c:pt idx="20">
                  <c:v>May-2024</c:v>
                </c:pt>
                <c:pt idx="21">
                  <c:v>Jun-2024</c:v>
                </c:pt>
                <c:pt idx="22">
                  <c:v>Jul-2024</c:v>
                </c:pt>
                <c:pt idx="23">
                  <c:v>Aug-2024</c:v>
                </c:pt>
                <c:pt idx="24">
                  <c:v>Sep-2024</c:v>
                </c:pt>
                <c:pt idx="25">
                  <c:v>Oct-2024</c:v>
                </c:pt>
                <c:pt idx="26">
                  <c:v>Nov-2024</c:v>
                </c:pt>
                <c:pt idx="27">
                  <c:v>Dec-2024</c:v>
                </c:pt>
                <c:pt idx="28">
                  <c:v>Jan-2025</c:v>
                </c:pt>
                <c:pt idx="29">
                  <c:v>Feb-2025</c:v>
                </c:pt>
                <c:pt idx="30">
                  <c:v>Mar-2025</c:v>
                </c:pt>
                <c:pt idx="31">
                  <c:v>Apr-2025</c:v>
                </c:pt>
                <c:pt idx="32">
                  <c:v>May-2025</c:v>
                </c:pt>
                <c:pt idx="33">
                  <c:v>Jun-2025</c:v>
                </c:pt>
                <c:pt idx="34">
                  <c:v>Jul-2025</c:v>
                </c:pt>
                <c:pt idx="35">
                  <c:v>Aug-2025</c:v>
                </c:pt>
                <c:pt idx="36">
                  <c:v>Sep-2025</c:v>
                </c:pt>
                <c:pt idx="37">
                  <c:v>Oct-2025</c:v>
                </c:pt>
                <c:pt idx="38">
                  <c:v>Nov-2025</c:v>
                </c:pt>
                <c:pt idx="39">
                  <c:v>Dec-2025</c:v>
                </c:pt>
                <c:pt idx="40">
                  <c:v>Jan-2026</c:v>
                </c:pt>
                <c:pt idx="41">
                  <c:v>Feb-2026</c:v>
                </c:pt>
              </c:strCache>
            </c:strRef>
          </c:cat>
          <c:val>
            <c:numRef>
              <c:f>'5 Spread move check'!$D$6:$D$47</c:f>
              <c:numCache>
                <c:formatCode>#,##0</c:formatCode>
                <c:ptCount val="42"/>
                <c:pt idx="0">
                  <c:v>-100</c:v>
                </c:pt>
                <c:pt idx="1">
                  <c:v>0</c:v>
                </c:pt>
                <c:pt idx="2">
                  <c:v>100</c:v>
                </c:pt>
                <c:pt idx="3">
                  <c:v>0</c:v>
                </c:pt>
                <c:pt idx="4">
                  <c:v>150</c:v>
                </c:pt>
                <c:pt idx="5">
                  <c:v>250</c:v>
                </c:pt>
                <c:pt idx="6">
                  <c:v>50</c:v>
                </c:pt>
                <c:pt idx="7">
                  <c:v>0</c:v>
                </c:pt>
                <c:pt idx="8">
                  <c:v>-350</c:v>
                </c:pt>
                <c:pt idx="9">
                  <c:v>-300</c:v>
                </c:pt>
                <c:pt idx="10">
                  <c:v>-100</c:v>
                </c:pt>
                <c:pt idx="11">
                  <c:v>-600</c:v>
                </c:pt>
                <c:pt idx="12">
                  <c:v>-800</c:v>
                </c:pt>
                <c:pt idx="13">
                  <c:v>-1350</c:v>
                </c:pt>
                <c:pt idx="14">
                  <c:v>-700</c:v>
                </c:pt>
                <c:pt idx="15">
                  <c:v>-350</c:v>
                </c:pt>
                <c:pt idx="16">
                  <c:v>-350</c:v>
                </c:pt>
                <c:pt idx="17">
                  <c:v>-300</c:v>
                </c:pt>
                <c:pt idx="18">
                  <c:v>-350</c:v>
                </c:pt>
                <c:pt idx="19">
                  <c:v>-300</c:v>
                </c:pt>
                <c:pt idx="20">
                  <c:v>-650</c:v>
                </c:pt>
                <c:pt idx="21">
                  <c:v>-900</c:v>
                </c:pt>
                <c:pt idx="22">
                  <c:v>-1000</c:v>
                </c:pt>
                <c:pt idx="23">
                  <c:v>-750</c:v>
                </c:pt>
                <c:pt idx="24">
                  <c:v>-450</c:v>
                </c:pt>
                <c:pt idx="25">
                  <c:v>0</c:v>
                </c:pt>
                <c:pt idx="26">
                  <c:v>-50</c:v>
                </c:pt>
                <c:pt idx="27">
                  <c:v>30</c:v>
                </c:pt>
                <c:pt idx="28">
                  <c:v>120</c:v>
                </c:pt>
                <c:pt idx="29">
                  <c:v>150</c:v>
                </c:pt>
                <c:pt idx="30">
                  <c:v>300</c:v>
                </c:pt>
                <c:pt idx="31">
                  <c:v>0</c:v>
                </c:pt>
                <c:pt idx="32">
                  <c:v>0</c:v>
                </c:pt>
                <c:pt idx="33">
                  <c:v>-60</c:v>
                </c:pt>
                <c:pt idx="34">
                  <c:v>-140</c:v>
                </c:pt>
                <c:pt idx="35">
                  <c:v>-290</c:v>
                </c:pt>
                <c:pt idx="36">
                  <c:v>-500</c:v>
                </c:pt>
                <c:pt idx="37">
                  <c:v>-310</c:v>
                </c:pt>
                <c:pt idx="38">
                  <c:v>-110</c:v>
                </c:pt>
                <c:pt idx="39">
                  <c:v>-60</c:v>
                </c:pt>
                <c:pt idx="40">
                  <c:v>-40</c:v>
                </c:pt>
                <c:pt idx="41">
                  <c:v>-40</c:v>
                </c:pt>
              </c:numCache>
            </c:numRef>
          </c:val>
          <c:smooth val="1"/>
        </c:ser>
        <c:hiLowLines>
          <c:spPr>
            <a:ln w="0">
              <a:noFill/>
            </a:ln>
          </c:spPr>
        </c:hiLowLines>
        <c:marker val="0"/>
        <c:axId val="8948700"/>
        <c:axId val="69078022"/>
      </c:lineChart>
      <c:catAx>
        <c:axId val="89487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078022"/>
        <c:crosses val="autoZero"/>
        <c:auto val="1"/>
        <c:lblAlgn val="ctr"/>
        <c:lblOffset val="100"/>
        <c:noMultiLvlLbl val="0"/>
      </c:catAx>
      <c:valAx>
        <c:axId val="69078022"/>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487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_rels/drawing4.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xdr:row>
      <xdr:rowOff>176040</xdr:rowOff>
    </xdr:from>
    <xdr:to>
      <xdr:col>18</xdr:col>
      <xdr:colOff>507600</xdr:colOff>
      <xdr:row>16</xdr:row>
      <xdr:rowOff>56160</xdr:rowOff>
    </xdr:to>
    <xdr:graphicFrame>
      <xdr:nvGraphicFramePr>
        <xdr:cNvPr id="0" name="Chart 1"/>
        <xdr:cNvGraphicFramePr/>
      </xdr:nvGraphicFramePr>
      <xdr:xfrm>
        <a:off x="9867960" y="76212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22</xdr:row>
      <xdr:rowOff>175680</xdr:rowOff>
    </xdr:from>
    <xdr:to>
      <xdr:col>18</xdr:col>
      <xdr:colOff>507600</xdr:colOff>
      <xdr:row>37</xdr:row>
      <xdr:rowOff>18000</xdr:rowOff>
    </xdr:to>
    <xdr:graphicFrame>
      <xdr:nvGraphicFramePr>
        <xdr:cNvPr id="1" name="Chart 2"/>
        <xdr:cNvGraphicFramePr/>
      </xdr:nvGraphicFramePr>
      <xdr:xfrm>
        <a:off x="9867960" y="472428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41</xdr:row>
      <xdr:rowOff>176040</xdr:rowOff>
    </xdr:from>
    <xdr:to>
      <xdr:col>18</xdr:col>
      <xdr:colOff>507600</xdr:colOff>
      <xdr:row>56</xdr:row>
      <xdr:rowOff>18360</xdr:rowOff>
    </xdr:to>
    <xdr:graphicFrame>
      <xdr:nvGraphicFramePr>
        <xdr:cNvPr id="2" name="Chart 3"/>
        <xdr:cNvGraphicFramePr/>
      </xdr:nvGraphicFramePr>
      <xdr:xfrm>
        <a:off x="9867960" y="8344080"/>
        <a:ext cx="539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176040</xdr:rowOff>
    </xdr:from>
    <xdr:to>
      <xdr:col>17</xdr:col>
      <xdr:colOff>132480</xdr:colOff>
      <xdr:row>16</xdr:row>
      <xdr:rowOff>56160</xdr:rowOff>
    </xdr:to>
    <xdr:graphicFrame>
      <xdr:nvGraphicFramePr>
        <xdr:cNvPr id="3" name="Chart 1"/>
        <xdr:cNvGraphicFramePr/>
      </xdr:nvGraphicFramePr>
      <xdr:xfrm>
        <a:off x="7542000" y="76212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176040</xdr:rowOff>
    </xdr:from>
    <xdr:to>
      <xdr:col>17</xdr:col>
      <xdr:colOff>132120</xdr:colOff>
      <xdr:row>16</xdr:row>
      <xdr:rowOff>56160</xdr:rowOff>
    </xdr:to>
    <xdr:graphicFrame>
      <xdr:nvGraphicFramePr>
        <xdr:cNvPr id="4" name="Chart 1"/>
        <xdr:cNvGraphicFramePr/>
      </xdr:nvGraphicFramePr>
      <xdr:xfrm>
        <a:off x="7682760" y="76212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12</xdr:row>
      <xdr:rowOff>176040</xdr:rowOff>
    </xdr:from>
    <xdr:to>
      <xdr:col>11</xdr:col>
      <xdr:colOff>136080</xdr:colOff>
      <xdr:row>27</xdr:row>
      <xdr:rowOff>18000</xdr:rowOff>
    </xdr:to>
    <xdr:graphicFrame>
      <xdr:nvGraphicFramePr>
        <xdr:cNvPr id="5" name="Chart 1"/>
        <xdr:cNvGraphicFramePr/>
      </xdr:nvGraphicFramePr>
      <xdr:xfrm>
        <a:off x="5286240" y="281952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5"/>
    <col collapsed="false" customWidth="true" hidden="false" outlineLevel="0" max="4" min="4" style="0" width="12"/>
    <col collapsed="false" customWidth="true" hidden="false" outlineLevel="0" max="5" min="5" style="0" width="11"/>
    <col collapsed="false" customWidth="true" hidden="false" outlineLevel="0" max="6" min="6" style="0" width="14"/>
    <col collapsed="false" customWidth="true" hidden="false" outlineLevel="0" max="7" min="7" style="0" width="15"/>
    <col collapsed="false" customWidth="true" hidden="false" outlineLevel="0" max="10" min="8" style="0" width="14"/>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4" t="n">
        <v>0.5</v>
      </c>
      <c r="C3" s="5" t="s">
        <v>3</v>
      </c>
    </row>
    <row r="5" customFormat="false" ht="42" hidden="false" customHeight="true" outlineLevel="0" collapsed="false">
      <c r="A5" s="6" t="s">
        <v>4</v>
      </c>
      <c r="B5" s="6" t="s">
        <v>5</v>
      </c>
      <c r="C5" s="6" t="s">
        <v>6</v>
      </c>
      <c r="D5" s="6" t="s">
        <v>7</v>
      </c>
      <c r="E5" s="6" t="s">
        <v>8</v>
      </c>
      <c r="F5" s="6" t="s">
        <v>9</v>
      </c>
      <c r="G5" s="6" t="s">
        <v>10</v>
      </c>
    </row>
    <row r="6" customFormat="false" ht="15" hidden="false" customHeight="false" outlineLevel="0" collapsed="false">
      <c r="A6" s="7" t="s">
        <v>11</v>
      </c>
      <c r="B6" s="8" t="s">
        <v>12</v>
      </c>
      <c r="C6" s="9" t="n">
        <v>1</v>
      </c>
      <c r="D6" s="9" t="n">
        <v>88</v>
      </c>
      <c r="E6" s="9" t="n">
        <v>8.5</v>
      </c>
      <c r="F6" s="9" t="n">
        <v>1.8</v>
      </c>
      <c r="G6" s="9" t="n">
        <v>4</v>
      </c>
    </row>
    <row r="7" customFormat="false" ht="15" hidden="false" customHeight="false" outlineLevel="0" collapsed="false">
      <c r="A7" s="7" t="s">
        <v>13</v>
      </c>
      <c r="B7" s="8" t="s">
        <v>14</v>
      </c>
      <c r="C7" s="9" t="n">
        <v>1.75</v>
      </c>
      <c r="D7" s="9" t="n">
        <v>82</v>
      </c>
      <c r="E7" s="9" t="n">
        <v>8.2</v>
      </c>
      <c r="F7" s="9" t="n">
        <v>2.6</v>
      </c>
      <c r="G7" s="9" t="n">
        <v>9</v>
      </c>
    </row>
    <row r="8" customFormat="false" ht="15" hidden="false" customHeight="false" outlineLevel="0" collapsed="false">
      <c r="A8" s="7" t="s">
        <v>15</v>
      </c>
      <c r="B8" s="8" t="s">
        <v>16</v>
      </c>
      <c r="C8" s="9" t="n">
        <v>4.125</v>
      </c>
      <c r="D8" s="9" t="n">
        <v>72</v>
      </c>
      <c r="E8" s="9" t="n">
        <v>7.9</v>
      </c>
      <c r="F8" s="9" t="n">
        <v>5.4</v>
      </c>
      <c r="G8" s="9" t="n">
        <v>36</v>
      </c>
    </row>
    <row r="9" customFormat="false" ht="15" hidden="false" customHeight="false" outlineLevel="0" collapsed="false">
      <c r="A9" s="7" t="s">
        <v>17</v>
      </c>
      <c r="B9" s="8" t="s">
        <v>18</v>
      </c>
      <c r="C9" s="9" t="n">
        <v>4.25</v>
      </c>
      <c r="D9" s="9" t="n">
        <v>79</v>
      </c>
      <c r="E9" s="9" t="n">
        <v>7.6</v>
      </c>
      <c r="F9" s="9" t="n">
        <v>5</v>
      </c>
      <c r="G9" s="9" t="n">
        <v>31</v>
      </c>
    </row>
    <row r="10" customFormat="false" ht="15" hidden="false" customHeight="false" outlineLevel="0" collapsed="false">
      <c r="A10" s="7" t="s">
        <v>19</v>
      </c>
      <c r="B10" s="8" t="s">
        <v>20</v>
      </c>
      <c r="C10" s="9" t="n">
        <v>3.5</v>
      </c>
      <c r="D10" s="9" t="n">
        <v>68</v>
      </c>
      <c r="E10" s="9" t="n">
        <v>7.7</v>
      </c>
      <c r="F10" s="9" t="n">
        <v>6.1</v>
      </c>
      <c r="G10" s="9" t="n">
        <v>45</v>
      </c>
    </row>
    <row r="11" customFormat="false" ht="15" hidden="false" customHeight="false" outlineLevel="0" collapsed="false">
      <c r="A11" s="7" t="s">
        <v>21</v>
      </c>
      <c r="B11" s="8" t="s">
        <v>22</v>
      </c>
      <c r="C11" s="9" t="n">
        <v>4.125</v>
      </c>
      <c r="D11" s="9" t="n">
        <v>70</v>
      </c>
      <c r="E11" s="9" t="n">
        <v>7.3</v>
      </c>
      <c r="F11" s="9" t="n">
        <v>6.3</v>
      </c>
      <c r="G11" s="9" t="n">
        <v>48</v>
      </c>
    </row>
    <row r="13" customFormat="false" ht="15" hidden="false" customHeight="false" outlineLevel="0" collapsed="false">
      <c r="A13" s="2" t="s">
        <v>23</v>
      </c>
    </row>
    <row r="14" customFormat="false" ht="15" hidden="false" customHeight="false" outlineLevel="0" collapsed="false">
      <c r="A14" s="2" t="s">
        <v>24</v>
      </c>
    </row>
    <row r="15" customFormat="false" ht="15" hidden="false" customHeight="false" outlineLevel="0" collapsed="false">
      <c r="A15" s="2" t="s">
        <v>25</v>
      </c>
    </row>
    <row r="16" customFormat="false" ht="15" hidden="false" customHeight="false" outlineLevel="0" collapsed="false">
      <c r="A16"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5"/>
    <col collapsed="false" customWidth="true" hidden="false" outlineLevel="0" max="5" min="4" style="0" width="14"/>
    <col collapsed="false" customWidth="true" hidden="false" outlineLevel="0" max="6" min="6" style="0" width="13"/>
    <col collapsed="false" customWidth="true" hidden="false" outlineLevel="0" max="8" min="7" style="0" width="17"/>
    <col collapsed="false" customWidth="true" hidden="false" outlineLevel="0" max="9" min="9" style="0" width="12"/>
    <col collapsed="false" customWidth="true" hidden="false" outlineLevel="0" max="10" min="10" style="0" width="14"/>
  </cols>
  <sheetData>
    <row r="1" customFormat="false" ht="16.15" hidden="false" customHeight="false" outlineLevel="0" collapsed="false">
      <c r="A1" s="1" t="s">
        <v>27</v>
      </c>
    </row>
    <row r="2" customFormat="false" ht="15" hidden="false" customHeight="false" outlineLevel="0" collapsed="false">
      <c r="A2" s="2" t="s">
        <v>28</v>
      </c>
    </row>
    <row r="5" customFormat="false" ht="42" hidden="false" customHeight="true" outlineLevel="0" collapsed="false">
      <c r="A5" s="6" t="s">
        <v>4</v>
      </c>
      <c r="B5" s="6" t="s">
        <v>29</v>
      </c>
      <c r="C5" s="6" t="s">
        <v>30</v>
      </c>
      <c r="D5" s="6" t="s">
        <v>31</v>
      </c>
      <c r="E5" s="6" t="s">
        <v>32</v>
      </c>
      <c r="F5" s="6" t="s">
        <v>9</v>
      </c>
      <c r="G5" s="6" t="s">
        <v>33</v>
      </c>
      <c r="H5" s="6" t="s">
        <v>34</v>
      </c>
      <c r="I5" s="6" t="s">
        <v>35</v>
      </c>
    </row>
    <row r="6" customFormat="false" ht="15" hidden="false" customHeight="false" outlineLevel="0" collapsed="false">
      <c r="A6" s="10" t="str">
        <f aca="false">'1 Bond inputs'!A6</f>
        <v>GD29</v>
      </c>
      <c r="B6" s="11" t="n">
        <f aca="false">'1 Bond inputs'!$B$3</f>
        <v>0.5</v>
      </c>
      <c r="C6" s="12" t="n">
        <f aca="false">'1 Bond inputs'!E6*$B6</f>
        <v>4.25</v>
      </c>
      <c r="D6" s="13" t="n">
        <f aca="false">'1 Bond inputs'!C6*$B6/'1 Bond inputs'!D6*100</f>
        <v>0.568181818181818</v>
      </c>
      <c r="E6" s="13" t="n">
        <f aca="false">C6-D6</f>
        <v>3.68181818181818</v>
      </c>
      <c r="F6" s="11" t="n">
        <f aca="false">'1 Bond inputs'!F6</f>
        <v>1.8</v>
      </c>
      <c r="G6" s="14" t="n">
        <f aca="false">C6/100/F6*10000</f>
        <v>236.111111111111</v>
      </c>
      <c r="H6" s="15" t="n">
        <f aca="false">(F6-SQRT(F6^2-2*'1 Bond inputs'!G6*C6/100))/'1 Bond inputs'!G6*10000</f>
        <v>242.6534085184</v>
      </c>
      <c r="I6" s="13" t="n">
        <f aca="false">'1 Bond inputs'!D6-'1 Bond inputs'!C6*$B6</f>
        <v>87.5</v>
      </c>
    </row>
    <row r="7" customFormat="false" ht="15" hidden="false" customHeight="false" outlineLevel="0" collapsed="false">
      <c r="A7" s="10" t="str">
        <f aca="false">'1 Bond inputs'!A7</f>
        <v>GD30</v>
      </c>
      <c r="B7" s="11" t="n">
        <f aca="false">'1 Bond inputs'!$B$3</f>
        <v>0.5</v>
      </c>
      <c r="C7" s="12" t="n">
        <f aca="false">'1 Bond inputs'!E7*$B7</f>
        <v>4.1</v>
      </c>
      <c r="D7" s="13" t="n">
        <f aca="false">'1 Bond inputs'!C7*$B7/'1 Bond inputs'!D7*100</f>
        <v>1.06707317073171</v>
      </c>
      <c r="E7" s="13" t="n">
        <f aca="false">C7-D7</f>
        <v>3.03292682926829</v>
      </c>
      <c r="F7" s="11" t="n">
        <f aca="false">'1 Bond inputs'!F7</f>
        <v>2.6</v>
      </c>
      <c r="G7" s="14" t="n">
        <f aca="false">C7/100/F7*10000</f>
        <v>157.692307692308</v>
      </c>
      <c r="H7" s="15" t="n">
        <f aca="false">(F7-SQRT(F7^2-2*'1 Bond inputs'!G7*C7/100))/'1 Bond inputs'!G7*10000</f>
        <v>162.248483328491</v>
      </c>
      <c r="I7" s="13" t="n">
        <f aca="false">'1 Bond inputs'!D7-'1 Bond inputs'!C7*$B7</f>
        <v>81.125</v>
      </c>
    </row>
    <row r="8" customFormat="false" ht="15" hidden="false" customHeight="false" outlineLevel="0" collapsed="false">
      <c r="A8" s="10" t="str">
        <f aca="false">'1 Bond inputs'!A8</f>
        <v>GD35</v>
      </c>
      <c r="B8" s="11" t="n">
        <f aca="false">'1 Bond inputs'!$B$3</f>
        <v>0.5</v>
      </c>
      <c r="C8" s="12" t="n">
        <f aca="false">'1 Bond inputs'!E8*$B8</f>
        <v>3.95</v>
      </c>
      <c r="D8" s="13" t="n">
        <f aca="false">'1 Bond inputs'!C8*$B8/'1 Bond inputs'!D8*100</f>
        <v>2.86458333333333</v>
      </c>
      <c r="E8" s="13" t="n">
        <f aca="false">C8-D8</f>
        <v>1.08541666666667</v>
      </c>
      <c r="F8" s="11" t="n">
        <f aca="false">'1 Bond inputs'!F8</f>
        <v>5.4</v>
      </c>
      <c r="G8" s="14" t="n">
        <f aca="false">C8/100/F8*10000</f>
        <v>73.1481481481482</v>
      </c>
      <c r="H8" s="15" t="n">
        <f aca="false">(F8-SQRT(F8^2-2*'1 Bond inputs'!G8*C8/100))/'1 Bond inputs'!G8*10000</f>
        <v>75.0243666800629</v>
      </c>
      <c r="I8" s="13" t="n">
        <f aca="false">'1 Bond inputs'!D8-'1 Bond inputs'!C8*$B8</f>
        <v>69.9375</v>
      </c>
    </row>
    <row r="9" customFormat="false" ht="15" hidden="false" customHeight="false" outlineLevel="0" collapsed="false">
      <c r="A9" s="10" t="str">
        <f aca="false">'1 Bond inputs'!A9</f>
        <v>GD38</v>
      </c>
      <c r="B9" s="11" t="n">
        <f aca="false">'1 Bond inputs'!$B$3</f>
        <v>0.5</v>
      </c>
      <c r="C9" s="12" t="n">
        <f aca="false">'1 Bond inputs'!E9*$B9</f>
        <v>3.8</v>
      </c>
      <c r="D9" s="13" t="n">
        <f aca="false">'1 Bond inputs'!C9*$B9/'1 Bond inputs'!D9*100</f>
        <v>2.68987341772152</v>
      </c>
      <c r="E9" s="13" t="n">
        <f aca="false">C9-D9</f>
        <v>1.11012658227848</v>
      </c>
      <c r="F9" s="11" t="n">
        <f aca="false">'1 Bond inputs'!F9</f>
        <v>5</v>
      </c>
      <c r="G9" s="14" t="n">
        <f aca="false">C9/100/F9*10000</f>
        <v>76</v>
      </c>
      <c r="H9" s="15" t="n">
        <f aca="false">(F9-SQRT(F9^2-2*'1 Bond inputs'!G9*C9/100))/'1 Bond inputs'!G9*10000</f>
        <v>77.8802535046438</v>
      </c>
      <c r="I9" s="13" t="n">
        <f aca="false">'1 Bond inputs'!D9-'1 Bond inputs'!C9*$B9</f>
        <v>76.875</v>
      </c>
    </row>
    <row r="10" customFormat="false" ht="15" hidden="false" customHeight="false" outlineLevel="0" collapsed="false">
      <c r="A10" s="10" t="str">
        <f aca="false">'1 Bond inputs'!A10</f>
        <v>GD41</v>
      </c>
      <c r="B10" s="11" t="n">
        <f aca="false">'1 Bond inputs'!$B$3</f>
        <v>0.5</v>
      </c>
      <c r="C10" s="12" t="n">
        <f aca="false">'1 Bond inputs'!E10*$B10</f>
        <v>3.85</v>
      </c>
      <c r="D10" s="13" t="n">
        <f aca="false">'1 Bond inputs'!C10*$B10/'1 Bond inputs'!D10*100</f>
        <v>2.57352941176471</v>
      </c>
      <c r="E10" s="13" t="n">
        <f aca="false">C10-D10</f>
        <v>1.27647058823529</v>
      </c>
      <c r="F10" s="11" t="n">
        <f aca="false">'1 Bond inputs'!F10</f>
        <v>6.1</v>
      </c>
      <c r="G10" s="14" t="n">
        <f aca="false">C10/100/F10*10000</f>
        <v>63.1147540983607</v>
      </c>
      <c r="H10" s="15" t="n">
        <f aca="false">(F10-SQRT(F10^2-2*'1 Bond inputs'!G10*C10/100))/'1 Bond inputs'!G10*10000</f>
        <v>64.6567395802601</v>
      </c>
      <c r="I10" s="13" t="n">
        <f aca="false">'1 Bond inputs'!D10-'1 Bond inputs'!C10*$B10</f>
        <v>66.25</v>
      </c>
    </row>
    <row r="11" customFormat="false" ht="15" hidden="false" customHeight="false" outlineLevel="0" collapsed="false">
      <c r="A11" s="10" t="str">
        <f aca="false">'1 Bond inputs'!A11</f>
        <v>GD46</v>
      </c>
      <c r="B11" s="11" t="n">
        <f aca="false">'1 Bond inputs'!$B$3</f>
        <v>0.5</v>
      </c>
      <c r="C11" s="12" t="n">
        <f aca="false">'1 Bond inputs'!E11*$B11</f>
        <v>3.65</v>
      </c>
      <c r="D11" s="13" t="n">
        <f aca="false">'1 Bond inputs'!C11*$B11/'1 Bond inputs'!D11*100</f>
        <v>2.94642857142857</v>
      </c>
      <c r="E11" s="13" t="n">
        <f aca="false">C11-D11</f>
        <v>0.703571428571429</v>
      </c>
      <c r="F11" s="11" t="n">
        <f aca="false">'1 Bond inputs'!F11</f>
        <v>6.3</v>
      </c>
      <c r="G11" s="14" t="n">
        <f aca="false">C11/100/F11*10000</f>
        <v>57.9365079365079</v>
      </c>
      <c r="H11" s="15" t="n">
        <f aca="false">(F11-SQRT(F11^2-2*'1 Bond inputs'!G11*C11/100))/'1 Bond inputs'!G11*10000</f>
        <v>59.2749935998456</v>
      </c>
      <c r="I11" s="13" t="n">
        <f aca="false">'1 Bond inputs'!D11-'1 Bond inputs'!C11*$B11</f>
        <v>67.9375</v>
      </c>
    </row>
    <row r="13" customFormat="false" ht="15" hidden="false" customHeight="false" outlineLevel="0" collapsed="false">
      <c r="A13" s="2" t="s">
        <v>36</v>
      </c>
    </row>
    <row r="14" customFormat="false" ht="15" hidden="false" customHeight="false" outlineLevel="0" collapsed="false">
      <c r="A14" s="2" t="s">
        <v>37</v>
      </c>
    </row>
    <row r="15" customFormat="false" ht="15" hidden="false" customHeight="false" outlineLevel="0" collapsed="false">
      <c r="A15" s="2" t="s">
        <v>38</v>
      </c>
    </row>
    <row r="16" customFormat="false" ht="15" hidden="false" customHeight="false" outlineLevel="0" collapsed="false">
      <c r="A16"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7" min="2" style="0" width="11"/>
    <col collapsed="false" customWidth="true" hidden="false" outlineLevel="0" max="10" min="8" style="0" width="14"/>
  </cols>
  <sheetData>
    <row r="1" customFormat="false" ht="16.15" hidden="false" customHeight="false" outlineLevel="0" collapsed="false">
      <c r="A1" s="1" t="s">
        <v>40</v>
      </c>
    </row>
    <row r="2" customFormat="false" ht="15" hidden="false" customHeight="false" outlineLevel="0" collapsed="false">
      <c r="A2" s="2" t="s">
        <v>41</v>
      </c>
    </row>
    <row r="5" customFormat="false" ht="42" hidden="false" customHeight="true" outlineLevel="0" collapsed="false">
      <c r="A5" s="6" t="s">
        <v>42</v>
      </c>
      <c r="B5" s="16" t="str">
        <f aca="false">'2 Carry cushion'!A6</f>
        <v>GD29</v>
      </c>
      <c r="C5" s="16" t="str">
        <f aca="false">'2 Carry cushion'!A7</f>
        <v>GD30</v>
      </c>
      <c r="D5" s="16" t="str">
        <f aca="false">'2 Carry cushion'!A8</f>
        <v>GD35</v>
      </c>
      <c r="E5" s="16" t="str">
        <f aca="false">'2 Carry cushion'!A9</f>
        <v>GD38</v>
      </c>
      <c r="F5" s="16" t="str">
        <f aca="false">'2 Carry cushion'!A10</f>
        <v>GD41</v>
      </c>
      <c r="G5" s="16" t="str">
        <f aca="false">'2 Carry cushion'!A11</f>
        <v>GD46</v>
      </c>
    </row>
    <row r="6" customFormat="false" ht="15" hidden="false" customHeight="false" outlineLevel="0" collapsed="false">
      <c r="A6" s="17" t="n">
        <v>-300</v>
      </c>
      <c r="B6" s="13" t="n">
        <f aca="false">'2 Carry cushion'!$C$6-'2 Carry cushion'!$F$6*($A6/10000)*100+0.5*'1 Bond inputs'!$G$6*($A6/10000)^2*100</f>
        <v>9.83</v>
      </c>
      <c r="C6" s="13" t="n">
        <f aca="false">'2 Carry cushion'!$C$7-'2 Carry cushion'!$F$7*($A6/10000)*100+0.5*'1 Bond inputs'!$G$7*($A6/10000)^2*100</f>
        <v>12.305</v>
      </c>
      <c r="D6" s="13" t="n">
        <f aca="false">'2 Carry cushion'!$C$8-'2 Carry cushion'!$F$8*($A6/10000)*100+0.5*'1 Bond inputs'!$G$8*($A6/10000)^2*100</f>
        <v>21.77</v>
      </c>
      <c r="E6" s="13" t="n">
        <f aca="false">'2 Carry cushion'!$C$9-'2 Carry cushion'!$F$9*($A6/10000)*100+0.5*'1 Bond inputs'!$G$9*($A6/10000)^2*100</f>
        <v>20.195</v>
      </c>
      <c r="F6" s="13" t="n">
        <f aca="false">'2 Carry cushion'!$C$10-'2 Carry cushion'!$F$10*($A6/10000)*100+0.5*'1 Bond inputs'!$G$10*($A6/10000)^2*100</f>
        <v>24.175</v>
      </c>
      <c r="G6" s="13" t="n">
        <f aca="false">'2 Carry cushion'!$C$11-'2 Carry cushion'!$F$11*($A6/10000)*100+0.5*'1 Bond inputs'!$G$11*($A6/10000)^2*100</f>
        <v>24.71</v>
      </c>
    </row>
    <row r="7" customFormat="false" ht="15" hidden="false" customHeight="false" outlineLevel="0" collapsed="false">
      <c r="A7" s="17" t="n">
        <v>-250</v>
      </c>
      <c r="B7" s="13" t="n">
        <f aca="false">'2 Carry cushion'!$C$6-'2 Carry cushion'!$F$6*($A7/10000)*100+0.5*'1 Bond inputs'!$G$6*($A7/10000)^2*100</f>
        <v>8.875</v>
      </c>
      <c r="C7" s="13" t="n">
        <f aca="false">'2 Carry cushion'!$C$7-'2 Carry cushion'!$F$7*($A7/10000)*100+0.5*'1 Bond inputs'!$G$7*($A7/10000)^2*100</f>
        <v>10.88125</v>
      </c>
      <c r="D7" s="13" t="n">
        <f aca="false">'2 Carry cushion'!$C$8-'2 Carry cushion'!$F$8*($A7/10000)*100+0.5*'1 Bond inputs'!$G$8*($A7/10000)^2*100</f>
        <v>18.575</v>
      </c>
      <c r="E7" s="13" t="n">
        <f aca="false">'2 Carry cushion'!$C$9-'2 Carry cushion'!$F$9*($A7/10000)*100+0.5*'1 Bond inputs'!$G$9*($A7/10000)^2*100</f>
        <v>17.26875</v>
      </c>
      <c r="F7" s="13" t="n">
        <f aca="false">'2 Carry cushion'!$C$10-'2 Carry cushion'!$F$10*($A7/10000)*100+0.5*'1 Bond inputs'!$G$10*($A7/10000)^2*100</f>
        <v>20.50625</v>
      </c>
      <c r="G7" s="13" t="n">
        <f aca="false">'2 Carry cushion'!$C$11-'2 Carry cushion'!$F$11*($A7/10000)*100+0.5*'1 Bond inputs'!$G$11*($A7/10000)^2*100</f>
        <v>20.9</v>
      </c>
    </row>
    <row r="8" customFormat="false" ht="15" hidden="false" customHeight="false" outlineLevel="0" collapsed="false">
      <c r="A8" s="17" t="n">
        <v>-200</v>
      </c>
      <c r="B8" s="13" t="n">
        <f aca="false">'2 Carry cushion'!$C$6-'2 Carry cushion'!$F$6*($A8/10000)*100+0.5*'1 Bond inputs'!$G$6*($A8/10000)^2*100</f>
        <v>7.93</v>
      </c>
      <c r="C8" s="13" t="n">
        <f aca="false">'2 Carry cushion'!$C$7-'2 Carry cushion'!$F$7*($A8/10000)*100+0.5*'1 Bond inputs'!$G$7*($A8/10000)^2*100</f>
        <v>9.48</v>
      </c>
      <c r="D8" s="13" t="n">
        <f aca="false">'2 Carry cushion'!$C$8-'2 Carry cushion'!$F$8*($A8/10000)*100+0.5*'1 Bond inputs'!$G$8*($A8/10000)^2*100</f>
        <v>15.47</v>
      </c>
      <c r="E8" s="13" t="n">
        <f aca="false">'2 Carry cushion'!$C$9-'2 Carry cushion'!$F$9*($A8/10000)*100+0.5*'1 Bond inputs'!$G$9*($A8/10000)^2*100</f>
        <v>14.42</v>
      </c>
      <c r="F8" s="13" t="n">
        <f aca="false">'2 Carry cushion'!$C$10-'2 Carry cushion'!$F$10*($A8/10000)*100+0.5*'1 Bond inputs'!$G$10*($A8/10000)^2*100</f>
        <v>16.95</v>
      </c>
      <c r="G8" s="13" t="n">
        <f aca="false">'2 Carry cushion'!$C$11-'2 Carry cushion'!$F$11*($A8/10000)*100+0.5*'1 Bond inputs'!$G$11*($A8/10000)^2*100</f>
        <v>17.21</v>
      </c>
    </row>
    <row r="9" customFormat="false" ht="15" hidden="false" customHeight="false" outlineLevel="0" collapsed="false">
      <c r="A9" s="17" t="n">
        <v>-150</v>
      </c>
      <c r="B9" s="13" t="n">
        <f aca="false">'2 Carry cushion'!$C$6-'2 Carry cushion'!$F$6*($A9/10000)*100+0.5*'1 Bond inputs'!$G$6*($A9/10000)^2*100</f>
        <v>6.995</v>
      </c>
      <c r="C9" s="13" t="n">
        <f aca="false">'2 Carry cushion'!$C$7-'2 Carry cushion'!$F$7*($A9/10000)*100+0.5*'1 Bond inputs'!$G$7*($A9/10000)^2*100</f>
        <v>8.10125</v>
      </c>
      <c r="D9" s="13" t="n">
        <f aca="false">'2 Carry cushion'!$C$8-'2 Carry cushion'!$F$8*($A9/10000)*100+0.5*'1 Bond inputs'!$G$8*($A9/10000)^2*100</f>
        <v>12.455</v>
      </c>
      <c r="E9" s="13" t="n">
        <f aca="false">'2 Carry cushion'!$C$9-'2 Carry cushion'!$F$9*($A9/10000)*100+0.5*'1 Bond inputs'!$G$9*($A9/10000)^2*100</f>
        <v>11.64875</v>
      </c>
      <c r="F9" s="13" t="n">
        <f aca="false">'2 Carry cushion'!$C$10-'2 Carry cushion'!$F$10*($A9/10000)*100+0.5*'1 Bond inputs'!$G$10*($A9/10000)^2*100</f>
        <v>13.50625</v>
      </c>
      <c r="G9" s="13" t="n">
        <f aca="false">'2 Carry cushion'!$C$11-'2 Carry cushion'!$F$11*($A9/10000)*100+0.5*'1 Bond inputs'!$G$11*($A9/10000)^2*100</f>
        <v>13.64</v>
      </c>
    </row>
    <row r="10" customFormat="false" ht="15" hidden="false" customHeight="false" outlineLevel="0" collapsed="false">
      <c r="A10" s="17" t="n">
        <v>-100</v>
      </c>
      <c r="B10" s="13" t="n">
        <f aca="false">'2 Carry cushion'!$C$6-'2 Carry cushion'!$F$6*($A10/10000)*100+0.5*'1 Bond inputs'!$G$6*($A10/10000)^2*100</f>
        <v>6.07</v>
      </c>
      <c r="C10" s="13" t="n">
        <f aca="false">'2 Carry cushion'!$C$7-'2 Carry cushion'!$F$7*($A10/10000)*100+0.5*'1 Bond inputs'!$G$7*($A10/10000)^2*100</f>
        <v>6.745</v>
      </c>
      <c r="D10" s="13" t="n">
        <f aca="false">'2 Carry cushion'!$C$8-'2 Carry cushion'!$F$8*($A10/10000)*100+0.5*'1 Bond inputs'!$G$8*($A10/10000)^2*100</f>
        <v>9.53</v>
      </c>
      <c r="E10" s="13" t="n">
        <f aca="false">'2 Carry cushion'!$C$9-'2 Carry cushion'!$F$9*($A10/10000)*100+0.5*'1 Bond inputs'!$G$9*($A10/10000)^2*100</f>
        <v>8.955</v>
      </c>
      <c r="F10" s="13" t="n">
        <f aca="false">'2 Carry cushion'!$C$10-'2 Carry cushion'!$F$10*($A10/10000)*100+0.5*'1 Bond inputs'!$G$10*($A10/10000)^2*100</f>
        <v>10.175</v>
      </c>
      <c r="G10" s="13" t="n">
        <f aca="false">'2 Carry cushion'!$C$11-'2 Carry cushion'!$F$11*($A10/10000)*100+0.5*'1 Bond inputs'!$G$11*($A10/10000)^2*100</f>
        <v>10.19</v>
      </c>
    </row>
    <row r="11" customFormat="false" ht="15" hidden="false" customHeight="false" outlineLevel="0" collapsed="false">
      <c r="A11" s="17" t="n">
        <v>-50</v>
      </c>
      <c r="B11" s="13" t="n">
        <f aca="false">'2 Carry cushion'!$C$6-'2 Carry cushion'!$F$6*($A11/10000)*100+0.5*'1 Bond inputs'!$G$6*($A11/10000)^2*100</f>
        <v>5.155</v>
      </c>
      <c r="C11" s="13" t="n">
        <f aca="false">'2 Carry cushion'!$C$7-'2 Carry cushion'!$F$7*($A11/10000)*100+0.5*'1 Bond inputs'!$G$7*($A11/10000)^2*100</f>
        <v>5.41125</v>
      </c>
      <c r="D11" s="13" t="n">
        <f aca="false">'2 Carry cushion'!$C$8-'2 Carry cushion'!$F$8*($A11/10000)*100+0.5*'1 Bond inputs'!$G$8*($A11/10000)^2*100</f>
        <v>6.695</v>
      </c>
      <c r="E11" s="13" t="n">
        <f aca="false">'2 Carry cushion'!$C$9-'2 Carry cushion'!$F$9*($A11/10000)*100+0.5*'1 Bond inputs'!$G$9*($A11/10000)^2*100</f>
        <v>6.33875</v>
      </c>
      <c r="F11" s="13" t="n">
        <f aca="false">'2 Carry cushion'!$C$10-'2 Carry cushion'!$F$10*($A11/10000)*100+0.5*'1 Bond inputs'!$G$10*($A11/10000)^2*100</f>
        <v>6.95625</v>
      </c>
      <c r="G11" s="13" t="n">
        <f aca="false">'2 Carry cushion'!$C$11-'2 Carry cushion'!$F$11*($A11/10000)*100+0.5*'1 Bond inputs'!$G$11*($A11/10000)^2*100</f>
        <v>6.86</v>
      </c>
    </row>
    <row r="12" customFormat="false" ht="15" hidden="false" customHeight="false" outlineLevel="0" collapsed="false">
      <c r="A12" s="17" t="n">
        <v>0</v>
      </c>
      <c r="B12" s="13" t="n">
        <f aca="false">'2 Carry cushion'!$C$6-'2 Carry cushion'!$F$6*($A12/10000)*100+0.5*'1 Bond inputs'!$G$6*($A12/10000)^2*100</f>
        <v>4.25</v>
      </c>
      <c r="C12" s="13" t="n">
        <f aca="false">'2 Carry cushion'!$C$7-'2 Carry cushion'!$F$7*($A12/10000)*100+0.5*'1 Bond inputs'!$G$7*($A12/10000)^2*100</f>
        <v>4.1</v>
      </c>
      <c r="D12" s="13" t="n">
        <f aca="false">'2 Carry cushion'!$C$8-'2 Carry cushion'!$F$8*($A12/10000)*100+0.5*'1 Bond inputs'!$G$8*($A12/10000)^2*100</f>
        <v>3.95</v>
      </c>
      <c r="E12" s="13" t="n">
        <f aca="false">'2 Carry cushion'!$C$9-'2 Carry cushion'!$F$9*($A12/10000)*100+0.5*'1 Bond inputs'!$G$9*($A12/10000)^2*100</f>
        <v>3.8</v>
      </c>
      <c r="F12" s="13" t="n">
        <f aca="false">'2 Carry cushion'!$C$10-'2 Carry cushion'!$F$10*($A12/10000)*100+0.5*'1 Bond inputs'!$G$10*($A12/10000)^2*100</f>
        <v>3.85</v>
      </c>
      <c r="G12" s="13" t="n">
        <f aca="false">'2 Carry cushion'!$C$11-'2 Carry cushion'!$F$11*($A12/10000)*100+0.5*'1 Bond inputs'!$G$11*($A12/10000)^2*100</f>
        <v>3.65</v>
      </c>
    </row>
    <row r="13" customFormat="false" ht="15" hidden="false" customHeight="false" outlineLevel="0" collapsed="false">
      <c r="A13" s="17" t="n">
        <v>50</v>
      </c>
      <c r="B13" s="13" t="n">
        <f aca="false">'2 Carry cushion'!$C$6-'2 Carry cushion'!$F$6*($A13/10000)*100+0.5*'1 Bond inputs'!$G$6*($A13/10000)^2*100</f>
        <v>3.355</v>
      </c>
      <c r="C13" s="13" t="n">
        <f aca="false">'2 Carry cushion'!$C$7-'2 Carry cushion'!$F$7*($A13/10000)*100+0.5*'1 Bond inputs'!$G$7*($A13/10000)^2*100</f>
        <v>2.81125</v>
      </c>
      <c r="D13" s="13" t="n">
        <f aca="false">'2 Carry cushion'!$C$8-'2 Carry cushion'!$F$8*($A13/10000)*100+0.5*'1 Bond inputs'!$G$8*($A13/10000)^2*100</f>
        <v>1.295</v>
      </c>
      <c r="E13" s="13" t="n">
        <f aca="false">'2 Carry cushion'!$C$9-'2 Carry cushion'!$F$9*($A13/10000)*100+0.5*'1 Bond inputs'!$G$9*($A13/10000)^2*100</f>
        <v>1.33875</v>
      </c>
      <c r="F13" s="13" t="n">
        <f aca="false">'2 Carry cushion'!$C$10-'2 Carry cushion'!$F$10*($A13/10000)*100+0.5*'1 Bond inputs'!$G$10*($A13/10000)^2*100</f>
        <v>0.85625</v>
      </c>
      <c r="G13" s="13" t="n">
        <f aca="false">'2 Carry cushion'!$C$11-'2 Carry cushion'!$F$11*($A13/10000)*100+0.5*'1 Bond inputs'!$G$11*($A13/10000)^2*100</f>
        <v>0.56</v>
      </c>
    </row>
    <row r="14" customFormat="false" ht="15" hidden="false" customHeight="false" outlineLevel="0" collapsed="false">
      <c r="A14" s="17" t="n">
        <v>100</v>
      </c>
      <c r="B14" s="13" t="n">
        <f aca="false">'2 Carry cushion'!$C$6-'2 Carry cushion'!$F$6*($A14/10000)*100+0.5*'1 Bond inputs'!$G$6*($A14/10000)^2*100</f>
        <v>2.47</v>
      </c>
      <c r="C14" s="13" t="n">
        <f aca="false">'2 Carry cushion'!$C$7-'2 Carry cushion'!$F$7*($A14/10000)*100+0.5*'1 Bond inputs'!$G$7*($A14/10000)^2*100</f>
        <v>1.545</v>
      </c>
      <c r="D14" s="13" t="n">
        <f aca="false">'2 Carry cushion'!$C$8-'2 Carry cushion'!$F$8*($A14/10000)*100+0.5*'1 Bond inputs'!$G$8*($A14/10000)^2*100</f>
        <v>-1.27</v>
      </c>
      <c r="E14" s="13" t="n">
        <f aca="false">'2 Carry cushion'!$C$9-'2 Carry cushion'!$F$9*($A14/10000)*100+0.5*'1 Bond inputs'!$G$9*($A14/10000)^2*100</f>
        <v>-1.045</v>
      </c>
      <c r="F14" s="13" t="n">
        <f aca="false">'2 Carry cushion'!$C$10-'2 Carry cushion'!$F$10*($A14/10000)*100+0.5*'1 Bond inputs'!$G$10*($A14/10000)^2*100</f>
        <v>-2.025</v>
      </c>
      <c r="G14" s="13" t="n">
        <f aca="false">'2 Carry cushion'!$C$11-'2 Carry cushion'!$F$11*($A14/10000)*100+0.5*'1 Bond inputs'!$G$11*($A14/10000)^2*100</f>
        <v>-2.41</v>
      </c>
    </row>
    <row r="15" customFormat="false" ht="15" hidden="false" customHeight="false" outlineLevel="0" collapsed="false">
      <c r="A15" s="17" t="n">
        <v>150</v>
      </c>
      <c r="B15" s="13" t="n">
        <f aca="false">'2 Carry cushion'!$C$6-'2 Carry cushion'!$F$6*($A15/10000)*100+0.5*'1 Bond inputs'!$G$6*($A15/10000)^2*100</f>
        <v>1.595</v>
      </c>
      <c r="C15" s="13" t="n">
        <f aca="false">'2 Carry cushion'!$C$7-'2 Carry cushion'!$F$7*($A15/10000)*100+0.5*'1 Bond inputs'!$G$7*($A15/10000)^2*100</f>
        <v>0.30125</v>
      </c>
      <c r="D15" s="13" t="n">
        <f aca="false">'2 Carry cushion'!$C$8-'2 Carry cushion'!$F$8*($A15/10000)*100+0.5*'1 Bond inputs'!$G$8*($A15/10000)^2*100</f>
        <v>-3.745</v>
      </c>
      <c r="E15" s="13" t="n">
        <f aca="false">'2 Carry cushion'!$C$9-'2 Carry cushion'!$F$9*($A15/10000)*100+0.5*'1 Bond inputs'!$G$9*($A15/10000)^2*100</f>
        <v>-3.35125</v>
      </c>
      <c r="F15" s="13" t="n">
        <f aca="false">'2 Carry cushion'!$C$10-'2 Carry cushion'!$F$10*($A15/10000)*100+0.5*'1 Bond inputs'!$G$10*($A15/10000)^2*100</f>
        <v>-4.79375</v>
      </c>
      <c r="G15" s="13" t="n">
        <f aca="false">'2 Carry cushion'!$C$11-'2 Carry cushion'!$F$11*($A15/10000)*100+0.5*'1 Bond inputs'!$G$11*($A15/10000)^2*100</f>
        <v>-5.26</v>
      </c>
    </row>
    <row r="16" customFormat="false" ht="15" hidden="false" customHeight="false" outlineLevel="0" collapsed="false">
      <c r="A16" s="17" t="n">
        <v>200</v>
      </c>
      <c r="B16" s="13" t="n">
        <f aca="false">'2 Carry cushion'!$C$6-'2 Carry cushion'!$F$6*($A16/10000)*100+0.5*'1 Bond inputs'!$G$6*($A16/10000)^2*100</f>
        <v>0.729999999999999</v>
      </c>
      <c r="C16" s="13" t="n">
        <f aca="false">'2 Carry cushion'!$C$7-'2 Carry cushion'!$F$7*($A16/10000)*100+0.5*'1 Bond inputs'!$G$7*($A16/10000)^2*100</f>
        <v>-0.920000000000001</v>
      </c>
      <c r="D16" s="13" t="n">
        <f aca="false">'2 Carry cushion'!$C$8-'2 Carry cushion'!$F$8*($A16/10000)*100+0.5*'1 Bond inputs'!$G$8*($A16/10000)^2*100</f>
        <v>-6.13</v>
      </c>
      <c r="E16" s="13" t="n">
        <f aca="false">'2 Carry cushion'!$C$9-'2 Carry cushion'!$F$9*($A16/10000)*100+0.5*'1 Bond inputs'!$G$9*($A16/10000)^2*100</f>
        <v>-5.58</v>
      </c>
      <c r="F16" s="13" t="n">
        <f aca="false">'2 Carry cushion'!$C$10-'2 Carry cushion'!$F$10*($A16/10000)*100+0.5*'1 Bond inputs'!$G$10*($A16/10000)^2*100</f>
        <v>-7.45</v>
      </c>
      <c r="G16" s="13" t="n">
        <f aca="false">'2 Carry cushion'!$C$11-'2 Carry cushion'!$F$11*($A16/10000)*100+0.5*'1 Bond inputs'!$G$11*($A16/10000)^2*100</f>
        <v>-7.99</v>
      </c>
    </row>
    <row r="17" customFormat="false" ht="15" hidden="false" customHeight="false" outlineLevel="0" collapsed="false">
      <c r="A17" s="17" t="n">
        <v>250</v>
      </c>
      <c r="B17" s="13" t="n">
        <f aca="false">'2 Carry cushion'!$C$6-'2 Carry cushion'!$F$6*($A17/10000)*100+0.5*'1 Bond inputs'!$G$6*($A17/10000)^2*100</f>
        <v>-0.125000000000001</v>
      </c>
      <c r="C17" s="13" t="n">
        <f aca="false">'2 Carry cushion'!$C$7-'2 Carry cushion'!$F$7*($A17/10000)*100+0.5*'1 Bond inputs'!$G$7*($A17/10000)^2*100</f>
        <v>-2.11875</v>
      </c>
      <c r="D17" s="13" t="n">
        <f aca="false">'2 Carry cushion'!$C$8-'2 Carry cushion'!$F$8*($A17/10000)*100+0.5*'1 Bond inputs'!$G$8*($A17/10000)^2*100</f>
        <v>-8.425</v>
      </c>
      <c r="E17" s="13" t="n">
        <f aca="false">'2 Carry cushion'!$C$9-'2 Carry cushion'!$F$9*($A17/10000)*100+0.5*'1 Bond inputs'!$G$9*($A17/10000)^2*100</f>
        <v>-7.73125</v>
      </c>
      <c r="F17" s="13" t="n">
        <f aca="false">'2 Carry cushion'!$C$10-'2 Carry cushion'!$F$10*($A17/10000)*100+0.5*'1 Bond inputs'!$G$10*($A17/10000)^2*100</f>
        <v>-9.99375</v>
      </c>
      <c r="G17" s="13" t="n">
        <f aca="false">'2 Carry cushion'!$C$11-'2 Carry cushion'!$F$11*($A17/10000)*100+0.5*'1 Bond inputs'!$G$11*($A17/10000)^2*100</f>
        <v>-10.6</v>
      </c>
    </row>
    <row r="18" customFormat="false" ht="15" hidden="false" customHeight="false" outlineLevel="0" collapsed="false">
      <c r="A18" s="17" t="n">
        <v>300</v>
      </c>
      <c r="B18" s="13" t="n">
        <f aca="false">'2 Carry cushion'!$C$6-'2 Carry cushion'!$F$6*($A18/10000)*100+0.5*'1 Bond inputs'!$G$6*($A18/10000)^2*100</f>
        <v>-0.97</v>
      </c>
      <c r="C18" s="13" t="n">
        <f aca="false">'2 Carry cushion'!$C$7-'2 Carry cushion'!$F$7*($A18/10000)*100+0.5*'1 Bond inputs'!$G$7*($A18/10000)^2*100</f>
        <v>-3.295</v>
      </c>
      <c r="D18" s="13" t="n">
        <f aca="false">'2 Carry cushion'!$C$8-'2 Carry cushion'!$F$8*($A18/10000)*100+0.5*'1 Bond inputs'!$G$8*($A18/10000)^2*100</f>
        <v>-10.63</v>
      </c>
      <c r="E18" s="13" t="n">
        <f aca="false">'2 Carry cushion'!$C$9-'2 Carry cushion'!$F$9*($A18/10000)*100+0.5*'1 Bond inputs'!$G$9*($A18/10000)^2*100</f>
        <v>-9.805</v>
      </c>
      <c r="F18" s="13" t="n">
        <f aca="false">'2 Carry cushion'!$C$10-'2 Carry cushion'!$F$10*($A18/10000)*100+0.5*'1 Bond inputs'!$G$10*($A18/10000)^2*100</f>
        <v>-12.425</v>
      </c>
      <c r="G18" s="13" t="n">
        <f aca="false">'2 Carry cushion'!$C$11-'2 Carry cushion'!$F$11*($A18/10000)*100+0.5*'1 Bond inputs'!$G$11*($A18/10000)^2*100</f>
        <v>-13.09</v>
      </c>
    </row>
    <row r="19" customFormat="false" ht="15" hidden="false" customHeight="false" outlineLevel="0" collapsed="false">
      <c r="A19" s="17" t="n">
        <v>350</v>
      </c>
      <c r="B19" s="13" t="n">
        <f aca="false">'2 Carry cushion'!$C$6-'2 Carry cushion'!$F$6*($A19/10000)*100+0.5*'1 Bond inputs'!$G$6*($A19/10000)^2*100</f>
        <v>-1.805</v>
      </c>
      <c r="C19" s="13" t="n">
        <f aca="false">'2 Carry cushion'!$C$7-'2 Carry cushion'!$F$7*($A19/10000)*100+0.5*'1 Bond inputs'!$G$7*($A19/10000)^2*100</f>
        <v>-4.44875</v>
      </c>
      <c r="D19" s="13" t="n">
        <f aca="false">'2 Carry cushion'!$C$8-'2 Carry cushion'!$F$8*($A19/10000)*100+0.5*'1 Bond inputs'!$G$8*($A19/10000)^2*100</f>
        <v>-12.745</v>
      </c>
      <c r="E19" s="13" t="n">
        <f aca="false">'2 Carry cushion'!$C$9-'2 Carry cushion'!$F$9*($A19/10000)*100+0.5*'1 Bond inputs'!$G$9*($A19/10000)^2*100</f>
        <v>-11.80125</v>
      </c>
      <c r="F19" s="13" t="n">
        <f aca="false">'2 Carry cushion'!$C$10-'2 Carry cushion'!$F$10*($A19/10000)*100+0.5*'1 Bond inputs'!$G$10*($A19/10000)^2*100</f>
        <v>-14.74375</v>
      </c>
      <c r="G19" s="13" t="n">
        <f aca="false">'2 Carry cushion'!$C$11-'2 Carry cushion'!$F$11*($A19/10000)*100+0.5*'1 Bond inputs'!$G$11*($A19/10000)^2*100</f>
        <v>-15.46</v>
      </c>
    </row>
    <row r="20" customFormat="false" ht="15" hidden="false" customHeight="false" outlineLevel="0" collapsed="false">
      <c r="A20" s="17" t="n">
        <v>400</v>
      </c>
      <c r="B20" s="13" t="n">
        <f aca="false">'2 Carry cushion'!$C$6-'2 Carry cushion'!$F$6*($A20/10000)*100+0.5*'1 Bond inputs'!$G$6*($A20/10000)^2*100</f>
        <v>-2.63</v>
      </c>
      <c r="C20" s="13" t="n">
        <f aca="false">'2 Carry cushion'!$C$7-'2 Carry cushion'!$F$7*($A20/10000)*100+0.5*'1 Bond inputs'!$G$7*($A20/10000)^2*100</f>
        <v>-5.58</v>
      </c>
      <c r="D20" s="13" t="n">
        <f aca="false">'2 Carry cushion'!$C$8-'2 Carry cushion'!$F$8*($A20/10000)*100+0.5*'1 Bond inputs'!$G$8*($A20/10000)^2*100</f>
        <v>-14.77</v>
      </c>
      <c r="E20" s="13" t="n">
        <f aca="false">'2 Carry cushion'!$C$9-'2 Carry cushion'!$F$9*($A20/10000)*100+0.5*'1 Bond inputs'!$G$9*($A20/10000)^2*100</f>
        <v>-13.72</v>
      </c>
      <c r="F20" s="13" t="n">
        <f aca="false">'2 Carry cushion'!$C$10-'2 Carry cushion'!$F$10*($A20/10000)*100+0.5*'1 Bond inputs'!$G$10*($A20/10000)^2*100</f>
        <v>-16.95</v>
      </c>
      <c r="G20" s="13" t="n">
        <f aca="false">'2 Carry cushion'!$C$11-'2 Carry cushion'!$F$11*($A20/10000)*100+0.5*'1 Bond inputs'!$G$11*($A20/10000)^2*100</f>
        <v>-17.71</v>
      </c>
    </row>
    <row r="21" customFormat="false" ht="15" hidden="false" customHeight="false" outlineLevel="0" collapsed="false">
      <c r="A21" s="17" t="n">
        <v>450</v>
      </c>
      <c r="B21" s="13" t="n">
        <f aca="false">'2 Carry cushion'!$C$6-'2 Carry cushion'!$F$6*($A21/10000)*100+0.5*'1 Bond inputs'!$G$6*($A21/10000)^2*100</f>
        <v>-3.445</v>
      </c>
      <c r="C21" s="13" t="n">
        <f aca="false">'2 Carry cushion'!$C$7-'2 Carry cushion'!$F$7*($A21/10000)*100+0.5*'1 Bond inputs'!$G$7*($A21/10000)^2*100</f>
        <v>-6.68875</v>
      </c>
      <c r="D21" s="13" t="n">
        <f aca="false">'2 Carry cushion'!$C$8-'2 Carry cushion'!$F$8*($A21/10000)*100+0.5*'1 Bond inputs'!$G$8*($A21/10000)^2*100</f>
        <v>-16.705</v>
      </c>
      <c r="E21" s="13" t="n">
        <f aca="false">'2 Carry cushion'!$C$9-'2 Carry cushion'!$F$9*($A21/10000)*100+0.5*'1 Bond inputs'!$G$9*($A21/10000)^2*100</f>
        <v>-15.56125</v>
      </c>
      <c r="F21" s="13" t="n">
        <f aca="false">'2 Carry cushion'!$C$10-'2 Carry cushion'!$F$10*($A21/10000)*100+0.5*'1 Bond inputs'!$G$10*($A21/10000)^2*100</f>
        <v>-19.04375</v>
      </c>
      <c r="G21" s="13" t="n">
        <f aca="false">'2 Carry cushion'!$C$11-'2 Carry cushion'!$F$11*($A21/10000)*100+0.5*'1 Bond inputs'!$G$11*($A21/10000)^2*100</f>
        <v>-19.84</v>
      </c>
    </row>
    <row r="22" customFormat="false" ht="15" hidden="false" customHeight="false" outlineLevel="0" collapsed="false">
      <c r="A22" s="17" t="n">
        <v>500</v>
      </c>
      <c r="B22" s="13" t="n">
        <f aca="false">'2 Carry cushion'!$C$6-'2 Carry cushion'!$F$6*($A22/10000)*100+0.5*'1 Bond inputs'!$G$6*($A22/10000)^2*100</f>
        <v>-4.25</v>
      </c>
      <c r="C22" s="13" t="n">
        <f aca="false">'2 Carry cushion'!$C$7-'2 Carry cushion'!$F$7*($A22/10000)*100+0.5*'1 Bond inputs'!$G$7*($A22/10000)^2*100</f>
        <v>-7.775</v>
      </c>
      <c r="D22" s="13" t="n">
        <f aca="false">'2 Carry cushion'!$C$8-'2 Carry cushion'!$F$8*($A22/10000)*100+0.5*'1 Bond inputs'!$G$8*($A22/10000)^2*100</f>
        <v>-18.55</v>
      </c>
      <c r="E22" s="13" t="n">
        <f aca="false">'2 Carry cushion'!$C$9-'2 Carry cushion'!$F$9*($A22/10000)*100+0.5*'1 Bond inputs'!$G$9*($A22/10000)^2*100</f>
        <v>-17.325</v>
      </c>
      <c r="F22" s="13" t="n">
        <f aca="false">'2 Carry cushion'!$C$10-'2 Carry cushion'!$F$10*($A22/10000)*100+0.5*'1 Bond inputs'!$G$10*($A22/10000)^2*100</f>
        <v>-21.025</v>
      </c>
      <c r="G22" s="13" t="n">
        <f aca="false">'2 Carry cushion'!$C$11-'2 Carry cushion'!$F$11*($A22/10000)*100+0.5*'1 Bond inputs'!$G$11*($A22/10000)^2*100</f>
        <v>-21.85</v>
      </c>
    </row>
    <row r="24" customFormat="false" ht="15" hidden="false" customHeight="false" outlineLevel="0" collapsed="false">
      <c r="A24" s="2" t="s">
        <v>43</v>
      </c>
    </row>
    <row r="25" customFormat="false" ht="15" hidden="false" customHeight="false" outlineLevel="0" collapsed="false">
      <c r="A25" s="2"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7" min="2" style="0" width="11"/>
    <col collapsed="false" customWidth="true" hidden="false" outlineLevel="0" max="10" min="8" style="0" width="14"/>
  </cols>
  <sheetData>
    <row r="1" customFormat="false" ht="16.15" hidden="false" customHeight="false" outlineLevel="0" collapsed="false">
      <c r="A1" s="1" t="s">
        <v>45</v>
      </c>
    </row>
    <row r="2" customFormat="false" ht="15" hidden="false" customHeight="false" outlineLevel="0" collapsed="false">
      <c r="A2" s="2" t="s">
        <v>46</v>
      </c>
    </row>
    <row r="5" customFormat="false" ht="42" hidden="false" customHeight="true" outlineLevel="0" collapsed="false">
      <c r="A5" s="6" t="s">
        <v>47</v>
      </c>
      <c r="B5" s="16" t="str">
        <f aca="false">'2 Carry cushion'!A6</f>
        <v>GD29</v>
      </c>
      <c r="C5" s="16" t="str">
        <f aca="false">'2 Carry cushion'!A7</f>
        <v>GD30</v>
      </c>
      <c r="D5" s="16" t="str">
        <f aca="false">'2 Carry cushion'!A8</f>
        <v>GD35</v>
      </c>
      <c r="E5" s="16" t="str">
        <f aca="false">'2 Carry cushion'!A9</f>
        <v>GD38</v>
      </c>
      <c r="F5" s="16" t="str">
        <f aca="false">'2 Carry cushion'!A10</f>
        <v>GD41</v>
      </c>
      <c r="G5" s="16" t="str">
        <f aca="false">'2 Carry cushion'!A11</f>
        <v>GD46</v>
      </c>
    </row>
    <row r="6" customFormat="false" ht="15" hidden="false" customHeight="false" outlineLevel="0" collapsed="false">
      <c r="A6" s="17" t="n">
        <v>1</v>
      </c>
      <c r="B6" s="14" t="n">
        <f aca="false">'1 Bond inputs'!$E$6/100*($A6/12)/'1 Bond inputs'!$F$6*10000</f>
        <v>39.3518518518519</v>
      </c>
      <c r="C6" s="14" t="n">
        <f aca="false">'1 Bond inputs'!$E$7/100*($A6/12)/'1 Bond inputs'!$F$7*10000</f>
        <v>26.2820512820513</v>
      </c>
      <c r="D6" s="14" t="n">
        <f aca="false">'1 Bond inputs'!$E$8/100*($A6/12)/'1 Bond inputs'!$F$8*10000</f>
        <v>12.1913580246914</v>
      </c>
      <c r="E6" s="14" t="n">
        <f aca="false">'1 Bond inputs'!$E$9/100*($A6/12)/'1 Bond inputs'!$F$9*10000</f>
        <v>12.6666666666667</v>
      </c>
      <c r="F6" s="14" t="n">
        <f aca="false">'1 Bond inputs'!$E$10/100*($A6/12)/'1 Bond inputs'!$F$10*10000</f>
        <v>10.5191256830601</v>
      </c>
      <c r="G6" s="14" t="n">
        <f aca="false">'1 Bond inputs'!$E$11/100*($A6/12)/'1 Bond inputs'!$F$11*10000</f>
        <v>9.65608465608466</v>
      </c>
    </row>
    <row r="7" customFormat="false" ht="15" hidden="false" customHeight="false" outlineLevel="0" collapsed="false">
      <c r="A7" s="17" t="n">
        <v>2</v>
      </c>
      <c r="B7" s="14" t="n">
        <f aca="false">'1 Bond inputs'!$E$6/100*($A7/12)/'1 Bond inputs'!$F$6*10000</f>
        <v>78.7037037037037</v>
      </c>
      <c r="C7" s="14" t="n">
        <f aca="false">'1 Bond inputs'!$E$7/100*($A7/12)/'1 Bond inputs'!$F$7*10000</f>
        <v>52.5641025641026</v>
      </c>
      <c r="D7" s="14" t="n">
        <f aca="false">'1 Bond inputs'!$E$8/100*($A7/12)/'1 Bond inputs'!$F$8*10000</f>
        <v>24.3827160493827</v>
      </c>
      <c r="E7" s="14" t="n">
        <f aca="false">'1 Bond inputs'!$E$9/100*($A7/12)/'1 Bond inputs'!$F$9*10000</f>
        <v>25.3333333333333</v>
      </c>
      <c r="F7" s="14" t="n">
        <f aca="false">'1 Bond inputs'!$E$10/100*($A7/12)/'1 Bond inputs'!$F$10*10000</f>
        <v>21.0382513661202</v>
      </c>
      <c r="G7" s="14" t="n">
        <f aca="false">'1 Bond inputs'!$E$11/100*($A7/12)/'1 Bond inputs'!$F$11*10000</f>
        <v>19.3121693121693</v>
      </c>
    </row>
    <row r="8" customFormat="false" ht="15" hidden="false" customHeight="false" outlineLevel="0" collapsed="false">
      <c r="A8" s="17" t="n">
        <v>3</v>
      </c>
      <c r="B8" s="14" t="n">
        <f aca="false">'1 Bond inputs'!$E$6/100*($A8/12)/'1 Bond inputs'!$F$6*10000</f>
        <v>118.055555555556</v>
      </c>
      <c r="C8" s="14" t="n">
        <f aca="false">'1 Bond inputs'!$E$7/100*($A8/12)/'1 Bond inputs'!$F$7*10000</f>
        <v>78.8461538461538</v>
      </c>
      <c r="D8" s="14" t="n">
        <f aca="false">'1 Bond inputs'!$E$8/100*($A8/12)/'1 Bond inputs'!$F$8*10000</f>
        <v>36.5740740740741</v>
      </c>
      <c r="E8" s="14" t="n">
        <f aca="false">'1 Bond inputs'!$E$9/100*($A8/12)/'1 Bond inputs'!$F$9*10000</f>
        <v>38</v>
      </c>
      <c r="F8" s="14" t="n">
        <f aca="false">'1 Bond inputs'!$E$10/100*($A8/12)/'1 Bond inputs'!$F$10*10000</f>
        <v>31.5573770491803</v>
      </c>
      <c r="G8" s="14" t="n">
        <f aca="false">'1 Bond inputs'!$E$11/100*($A8/12)/'1 Bond inputs'!$F$11*10000</f>
        <v>28.968253968254</v>
      </c>
    </row>
    <row r="9" customFormat="false" ht="15" hidden="false" customHeight="false" outlineLevel="0" collapsed="false">
      <c r="A9" s="17" t="n">
        <v>4</v>
      </c>
      <c r="B9" s="14" t="n">
        <f aca="false">'1 Bond inputs'!$E$6/100*($A9/12)/'1 Bond inputs'!$F$6*10000</f>
        <v>157.407407407407</v>
      </c>
      <c r="C9" s="14" t="n">
        <f aca="false">'1 Bond inputs'!$E$7/100*($A9/12)/'1 Bond inputs'!$F$7*10000</f>
        <v>105.128205128205</v>
      </c>
      <c r="D9" s="14" t="n">
        <f aca="false">'1 Bond inputs'!$E$8/100*($A9/12)/'1 Bond inputs'!$F$8*10000</f>
        <v>48.7654320987654</v>
      </c>
      <c r="E9" s="14" t="n">
        <f aca="false">'1 Bond inputs'!$E$9/100*($A9/12)/'1 Bond inputs'!$F$9*10000</f>
        <v>50.6666666666667</v>
      </c>
      <c r="F9" s="14" t="n">
        <f aca="false">'1 Bond inputs'!$E$10/100*($A9/12)/'1 Bond inputs'!$F$10*10000</f>
        <v>42.0765027322404</v>
      </c>
      <c r="G9" s="14" t="n">
        <f aca="false">'1 Bond inputs'!$E$11/100*($A9/12)/'1 Bond inputs'!$F$11*10000</f>
        <v>38.6243386243386</v>
      </c>
    </row>
    <row r="10" customFormat="false" ht="15" hidden="false" customHeight="false" outlineLevel="0" collapsed="false">
      <c r="A10" s="17" t="n">
        <v>6</v>
      </c>
      <c r="B10" s="14" t="n">
        <f aca="false">'1 Bond inputs'!$E$6/100*($A10/12)/'1 Bond inputs'!$F$6*10000</f>
        <v>236.111111111111</v>
      </c>
      <c r="C10" s="14" t="n">
        <f aca="false">'1 Bond inputs'!$E$7/100*($A10/12)/'1 Bond inputs'!$F$7*10000</f>
        <v>157.692307692308</v>
      </c>
      <c r="D10" s="14" t="n">
        <f aca="false">'1 Bond inputs'!$E$8/100*($A10/12)/'1 Bond inputs'!$F$8*10000</f>
        <v>73.1481481481482</v>
      </c>
      <c r="E10" s="14" t="n">
        <f aca="false">'1 Bond inputs'!$E$9/100*($A10/12)/'1 Bond inputs'!$F$9*10000</f>
        <v>76</v>
      </c>
      <c r="F10" s="14" t="n">
        <f aca="false">'1 Bond inputs'!$E$10/100*($A10/12)/'1 Bond inputs'!$F$10*10000</f>
        <v>63.1147540983607</v>
      </c>
      <c r="G10" s="14" t="n">
        <f aca="false">'1 Bond inputs'!$E$11/100*($A10/12)/'1 Bond inputs'!$F$11*10000</f>
        <v>57.9365079365079</v>
      </c>
    </row>
    <row r="11" customFormat="false" ht="15" hidden="false" customHeight="false" outlineLevel="0" collapsed="false">
      <c r="A11" s="17" t="n">
        <v>9</v>
      </c>
      <c r="B11" s="14" t="n">
        <f aca="false">'1 Bond inputs'!$E$6/100*($A11/12)/'1 Bond inputs'!$F$6*10000</f>
        <v>354.166666666667</v>
      </c>
      <c r="C11" s="14" t="n">
        <f aca="false">'1 Bond inputs'!$E$7/100*($A11/12)/'1 Bond inputs'!$F$7*10000</f>
        <v>236.538461538462</v>
      </c>
      <c r="D11" s="14" t="n">
        <f aca="false">'1 Bond inputs'!$E$8/100*($A11/12)/'1 Bond inputs'!$F$8*10000</f>
        <v>109.722222222222</v>
      </c>
      <c r="E11" s="14" t="n">
        <f aca="false">'1 Bond inputs'!$E$9/100*($A11/12)/'1 Bond inputs'!$F$9*10000</f>
        <v>114</v>
      </c>
      <c r="F11" s="14" t="n">
        <f aca="false">'1 Bond inputs'!$E$10/100*($A11/12)/'1 Bond inputs'!$F$10*10000</f>
        <v>94.672131147541</v>
      </c>
      <c r="G11" s="14" t="n">
        <f aca="false">'1 Bond inputs'!$E$11/100*($A11/12)/'1 Bond inputs'!$F$11*10000</f>
        <v>86.9047619047619</v>
      </c>
    </row>
    <row r="12" customFormat="false" ht="15" hidden="false" customHeight="false" outlineLevel="0" collapsed="false">
      <c r="A12" s="17" t="n">
        <v>12</v>
      </c>
      <c r="B12" s="14" t="n">
        <f aca="false">'1 Bond inputs'!$E$6/100*($A12/12)/'1 Bond inputs'!$F$6*10000</f>
        <v>472.222222222222</v>
      </c>
      <c r="C12" s="14" t="n">
        <f aca="false">'1 Bond inputs'!$E$7/100*($A12/12)/'1 Bond inputs'!$F$7*10000</f>
        <v>315.384615384615</v>
      </c>
      <c r="D12" s="14" t="n">
        <f aca="false">'1 Bond inputs'!$E$8/100*($A12/12)/'1 Bond inputs'!$F$8*10000</f>
        <v>146.296296296296</v>
      </c>
      <c r="E12" s="14" t="n">
        <f aca="false">'1 Bond inputs'!$E$9/100*($A12/12)/'1 Bond inputs'!$F$9*10000</f>
        <v>152</v>
      </c>
      <c r="F12" s="14" t="n">
        <f aca="false">'1 Bond inputs'!$E$10/100*($A12/12)/'1 Bond inputs'!$F$10*10000</f>
        <v>126.229508196721</v>
      </c>
      <c r="G12" s="14" t="n">
        <f aca="false">'1 Bond inputs'!$E$11/100*($A12/12)/'1 Bond inputs'!$F$11*10000</f>
        <v>115.873015873016</v>
      </c>
    </row>
    <row r="13" customFormat="false" ht="15" hidden="false" customHeight="false" outlineLevel="0" collapsed="false">
      <c r="A13" s="17" t="n">
        <v>18</v>
      </c>
      <c r="B13" s="14" t="n">
        <f aca="false">'1 Bond inputs'!$E$6/100*($A13/12)/'1 Bond inputs'!$F$6*10000</f>
        <v>708.333333333333</v>
      </c>
      <c r="C13" s="14" t="n">
        <f aca="false">'1 Bond inputs'!$E$7/100*($A13/12)/'1 Bond inputs'!$F$7*10000</f>
        <v>473.076923076923</v>
      </c>
      <c r="D13" s="14" t="n">
        <f aca="false">'1 Bond inputs'!$E$8/100*($A13/12)/'1 Bond inputs'!$F$8*10000</f>
        <v>219.444444444444</v>
      </c>
      <c r="E13" s="14" t="n">
        <f aca="false">'1 Bond inputs'!$E$9/100*($A13/12)/'1 Bond inputs'!$F$9*10000</f>
        <v>228</v>
      </c>
      <c r="F13" s="14" t="n">
        <f aca="false">'1 Bond inputs'!$E$10/100*($A13/12)/'1 Bond inputs'!$F$10*10000</f>
        <v>189.344262295082</v>
      </c>
      <c r="G13" s="14" t="n">
        <f aca="false">'1 Bond inputs'!$E$11/100*($A13/12)/'1 Bond inputs'!$F$11*10000</f>
        <v>173.809523809524</v>
      </c>
    </row>
    <row r="14" customFormat="false" ht="15" hidden="false" customHeight="false" outlineLevel="0" collapsed="false">
      <c r="A14" s="17" t="n">
        <v>24</v>
      </c>
      <c r="B14" s="14" t="n">
        <f aca="false">'1 Bond inputs'!$E$6/100*($A14/12)/'1 Bond inputs'!$F$6*10000</f>
        <v>944.444444444445</v>
      </c>
      <c r="C14" s="14" t="n">
        <f aca="false">'1 Bond inputs'!$E$7/100*($A14/12)/'1 Bond inputs'!$F$7*10000</f>
        <v>630.769230769231</v>
      </c>
      <c r="D14" s="14" t="n">
        <f aca="false">'1 Bond inputs'!$E$8/100*($A14/12)/'1 Bond inputs'!$F$8*10000</f>
        <v>292.592592592593</v>
      </c>
      <c r="E14" s="14" t="n">
        <f aca="false">'1 Bond inputs'!$E$9/100*($A14/12)/'1 Bond inputs'!$F$9*10000</f>
        <v>304</v>
      </c>
      <c r="F14" s="14" t="n">
        <f aca="false">'1 Bond inputs'!$E$10/100*($A14/12)/'1 Bond inputs'!$F$10*10000</f>
        <v>252.459016393443</v>
      </c>
      <c r="G14" s="14" t="n">
        <f aca="false">'1 Bond inputs'!$E$11/100*($A14/12)/'1 Bond inputs'!$F$11*10000</f>
        <v>231.746031746032</v>
      </c>
    </row>
    <row r="15" customFormat="false" ht="15" hidden="false" customHeight="false" outlineLevel="0" collapsed="false">
      <c r="A15" s="17" t="n">
        <v>36</v>
      </c>
      <c r="B15" s="14" t="n">
        <f aca="false">'1 Bond inputs'!$E$6/100*($A15/12)/'1 Bond inputs'!$F$6*10000</f>
        <v>1416.66666666667</v>
      </c>
      <c r="C15" s="14" t="n">
        <f aca="false">'1 Bond inputs'!$E$7/100*($A15/12)/'1 Bond inputs'!$F$7*10000</f>
        <v>946.153846153846</v>
      </c>
      <c r="D15" s="14" t="n">
        <f aca="false">'1 Bond inputs'!$E$8/100*($A15/12)/'1 Bond inputs'!$F$8*10000</f>
        <v>438.888888888889</v>
      </c>
      <c r="E15" s="14" t="n">
        <f aca="false">'1 Bond inputs'!$E$9/100*($A15/12)/'1 Bond inputs'!$F$9*10000</f>
        <v>456</v>
      </c>
      <c r="F15" s="14" t="n">
        <f aca="false">'1 Bond inputs'!$E$10/100*($A15/12)/'1 Bond inputs'!$F$10*10000</f>
        <v>378.688524590164</v>
      </c>
      <c r="G15" s="14" t="n">
        <f aca="false">'1 Bond inputs'!$E$11/100*($A15/12)/'1 Bond inputs'!$F$11*10000</f>
        <v>347.619047619048</v>
      </c>
    </row>
    <row r="17" customFormat="false" ht="15" hidden="false" customHeight="false" outlineLevel="0" collapsed="false">
      <c r="A17" s="2" t="s">
        <v>48</v>
      </c>
    </row>
    <row r="18" customFormat="false" ht="15" hidden="false" customHeight="false" outlineLevel="0" collapsed="false">
      <c r="A18" s="2"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5" min="4" style="0" width="12"/>
    <col collapsed="false" customWidth="true" hidden="false" outlineLevel="0" max="6" min="6" style="0" width="14"/>
    <col collapsed="false" customWidth="true" hidden="false" outlineLevel="0" max="7" min="7" style="0" width="26"/>
    <col collapsed="false" customWidth="true" hidden="false" outlineLevel="0" max="8" min="8" style="0" width="12"/>
    <col collapsed="false" customWidth="true" hidden="false" outlineLevel="0" max="10" min="9" style="0" width="14"/>
  </cols>
  <sheetData>
    <row r="1" customFormat="false" ht="16.15" hidden="false" customHeight="false" outlineLevel="0" collapsed="false">
      <c r="A1" s="1" t="s">
        <v>50</v>
      </c>
    </row>
    <row r="2" customFormat="false" ht="15" hidden="false" customHeight="false" outlineLevel="0" collapsed="false">
      <c r="A2" s="2" t="s">
        <v>51</v>
      </c>
    </row>
    <row r="3" customFormat="false" ht="15" hidden="false" customHeight="false" outlineLevel="0" collapsed="false">
      <c r="A3" s="3" t="s">
        <v>52</v>
      </c>
      <c r="B3" s="17" t="n">
        <v>6</v>
      </c>
      <c r="C3" s="5" t="s">
        <v>53</v>
      </c>
    </row>
    <row r="5" customFormat="false" ht="42" hidden="false" customHeight="true" outlineLevel="0" collapsed="false">
      <c r="A5" s="6" t="s">
        <v>54</v>
      </c>
      <c r="B5" s="6" t="s">
        <v>55</v>
      </c>
      <c r="C5" s="6" t="s">
        <v>56</v>
      </c>
      <c r="D5" s="6" t="s">
        <v>57</v>
      </c>
      <c r="E5" s="6" t="s">
        <v>58</v>
      </c>
      <c r="G5" s="3" t="s">
        <v>59</v>
      </c>
    </row>
    <row r="6" customFormat="false" ht="15" hidden="false" customHeight="false" outlineLevel="0" collapsed="false">
      <c r="A6" s="8" t="s">
        <v>60</v>
      </c>
      <c r="B6" s="18" t="n">
        <v>2450</v>
      </c>
      <c r="C6" s="14" t="n">
        <f aca="false">INDEX($B$6:$B$53,ROW()-5+$B$3)</f>
        <v>2350</v>
      </c>
      <c r="D6" s="14" t="n">
        <f aca="false">C6-B6</f>
        <v>-100</v>
      </c>
      <c r="E6" s="14" t="n">
        <f aca="false">ABS(D6)</f>
        <v>100</v>
      </c>
      <c r="G6" s="19" t="s">
        <v>61</v>
      </c>
      <c r="H6" s="14" t="n">
        <f aca="false">MEDIAN($E$6:$E$47)</f>
        <v>200</v>
      </c>
    </row>
    <row r="7" customFormat="false" ht="15" hidden="false" customHeight="false" outlineLevel="0" collapsed="false">
      <c r="A7" s="8" t="s">
        <v>62</v>
      </c>
      <c r="B7" s="18" t="n">
        <v>2600</v>
      </c>
      <c r="C7" s="14" t="n">
        <f aca="false">INDEX($B$6:$B$53,ROW()-5+$B$3)</f>
        <v>2600</v>
      </c>
      <c r="D7" s="14" t="n">
        <f aca="false">C7-B7</f>
        <v>0</v>
      </c>
      <c r="E7" s="14" t="n">
        <f aca="false">ABS(D7)</f>
        <v>0</v>
      </c>
      <c r="G7" s="19" t="s">
        <v>63</v>
      </c>
      <c r="H7" s="14" t="n">
        <f aca="false">PERCENTILE($E$6:$E$47,0.75)</f>
        <v>350</v>
      </c>
    </row>
    <row r="8" customFormat="false" ht="15" hidden="false" customHeight="false" outlineLevel="0" collapsed="false">
      <c r="A8" s="8" t="s">
        <v>64</v>
      </c>
      <c r="B8" s="18" t="n">
        <v>2350</v>
      </c>
      <c r="C8" s="14" t="n">
        <f aca="false">INDEX($B$6:$B$53,ROW()-5+$B$3)</f>
        <v>2450</v>
      </c>
      <c r="D8" s="14" t="n">
        <f aca="false">C8-B8</f>
        <v>100</v>
      </c>
      <c r="E8" s="14" t="n">
        <f aca="false">ABS(D8)</f>
        <v>100</v>
      </c>
      <c r="G8" s="19" t="s">
        <v>65</v>
      </c>
      <c r="H8" s="14" t="n">
        <f aca="false">PERCENTILE($E$6:$E$47,0.9)</f>
        <v>745</v>
      </c>
    </row>
    <row r="9" customFormat="false" ht="15" hidden="false" customHeight="false" outlineLevel="0" collapsed="false">
      <c r="A9" s="8" t="s">
        <v>66</v>
      </c>
      <c r="B9" s="18" t="n">
        <v>2200</v>
      </c>
      <c r="C9" s="14" t="n">
        <f aca="false">INDEX($B$6:$B$53,ROW()-5+$B$3)</f>
        <v>2200</v>
      </c>
      <c r="D9" s="14" t="n">
        <f aca="false">C9-B9</f>
        <v>0</v>
      </c>
      <c r="E9" s="14" t="n">
        <f aca="false">ABS(D9)</f>
        <v>0</v>
      </c>
      <c r="G9" s="19" t="s">
        <v>67</v>
      </c>
      <c r="H9" s="14" t="n">
        <f aca="false">MAX($E$6:$E$47)</f>
        <v>1350</v>
      </c>
    </row>
    <row r="10" customFormat="false" ht="15" hidden="false" customHeight="false" outlineLevel="0" collapsed="false">
      <c r="A10" s="8" t="s">
        <v>68</v>
      </c>
      <c r="B10" s="18" t="n">
        <v>1900</v>
      </c>
      <c r="C10" s="14" t="n">
        <f aca="false">INDEX($B$6:$B$53,ROW()-5+$B$3)</f>
        <v>2050</v>
      </c>
      <c r="D10" s="14" t="n">
        <f aca="false">C10-B10</f>
        <v>150</v>
      </c>
      <c r="E10" s="14" t="n">
        <f aca="false">ABS(D10)</f>
        <v>150</v>
      </c>
      <c r="G10" s="19" t="s">
        <v>69</v>
      </c>
      <c r="H10" s="15" t="n">
        <f aca="false">'2 Carry cushion'!H8</f>
        <v>75.0243666800629</v>
      </c>
    </row>
    <row r="11" customFormat="false" ht="15" hidden="false" customHeight="false" outlineLevel="0" collapsed="false">
      <c r="A11" s="8" t="s">
        <v>70</v>
      </c>
      <c r="B11" s="18" t="n">
        <v>2100</v>
      </c>
      <c r="C11" s="14" t="n">
        <f aca="false">INDEX($B$6:$B$53,ROW()-5+$B$3)</f>
        <v>2350</v>
      </c>
      <c r="D11" s="14" t="n">
        <f aca="false">C11-B11</f>
        <v>250</v>
      </c>
      <c r="E11" s="14" t="n">
        <f aca="false">ABS(D11)</f>
        <v>250</v>
      </c>
      <c r="G11" s="19" t="s">
        <v>71</v>
      </c>
      <c r="H11" s="20" t="n">
        <f aca="false">COUNTIF($E$6:$E$47,"&gt;"&amp;$H$10)/COUNT($E$6:$E$47)</f>
        <v>0.690476190476191</v>
      </c>
    </row>
    <row r="12" customFormat="false" ht="15" hidden="false" customHeight="false" outlineLevel="0" collapsed="false">
      <c r="A12" s="8" t="s">
        <v>72</v>
      </c>
      <c r="B12" s="18" t="n">
        <v>2350</v>
      </c>
      <c r="C12" s="14" t="n">
        <f aca="false">INDEX($B$6:$B$53,ROW()-5+$B$3)</f>
        <v>2400</v>
      </c>
      <c r="D12" s="14" t="n">
        <f aca="false">C12-B12</f>
        <v>50</v>
      </c>
      <c r="E12" s="14" t="n">
        <f aca="false">ABS(D12)</f>
        <v>50</v>
      </c>
    </row>
    <row r="13" customFormat="false" ht="15" hidden="false" customHeight="false" outlineLevel="0" collapsed="false">
      <c r="A13" s="8" t="s">
        <v>73</v>
      </c>
      <c r="B13" s="18" t="n">
        <v>2600</v>
      </c>
      <c r="C13" s="14" t="n">
        <f aca="false">INDEX($B$6:$B$53,ROW()-5+$B$3)</f>
        <v>2600</v>
      </c>
      <c r="D13" s="14" t="n">
        <f aca="false">C13-B13</f>
        <v>0</v>
      </c>
      <c r="E13" s="14" t="n">
        <f aca="false">ABS(D13)</f>
        <v>0</v>
      </c>
    </row>
    <row r="14" customFormat="false" ht="15" hidden="false" customHeight="false" outlineLevel="0" collapsed="false">
      <c r="A14" s="8" t="s">
        <v>74</v>
      </c>
      <c r="B14" s="18" t="n">
        <v>2450</v>
      </c>
      <c r="C14" s="14" t="n">
        <f aca="false">INDEX($B$6:$B$53,ROW()-5+$B$3)</f>
        <v>2100</v>
      </c>
      <c r="D14" s="14" t="n">
        <f aca="false">C14-B14</f>
        <v>-350</v>
      </c>
      <c r="E14" s="14" t="n">
        <f aca="false">ABS(D14)</f>
        <v>350</v>
      </c>
    </row>
    <row r="15" customFormat="false" ht="15" hidden="false" customHeight="false" outlineLevel="0" collapsed="false">
      <c r="A15" s="8" t="s">
        <v>75</v>
      </c>
      <c r="B15" s="18" t="n">
        <v>2200</v>
      </c>
      <c r="C15" s="14" t="n">
        <f aca="false">INDEX($B$6:$B$53,ROW()-5+$B$3)</f>
        <v>1900</v>
      </c>
      <c r="D15" s="14" t="n">
        <f aca="false">C15-B15</f>
        <v>-300</v>
      </c>
      <c r="E15" s="14" t="n">
        <f aca="false">ABS(D15)</f>
        <v>300</v>
      </c>
    </row>
    <row r="16" customFormat="false" ht="15" hidden="false" customHeight="false" outlineLevel="0" collapsed="false">
      <c r="A16" s="8" t="s">
        <v>76</v>
      </c>
      <c r="B16" s="18" t="n">
        <v>2050</v>
      </c>
      <c r="C16" s="14" t="n">
        <f aca="false">INDEX($B$6:$B$53,ROW()-5+$B$3)</f>
        <v>1950</v>
      </c>
      <c r="D16" s="14" t="n">
        <f aca="false">C16-B16</f>
        <v>-100</v>
      </c>
      <c r="E16" s="14" t="n">
        <f aca="false">ABS(D16)</f>
        <v>100</v>
      </c>
    </row>
    <row r="17" customFormat="false" ht="15" hidden="false" customHeight="false" outlineLevel="0" collapsed="false">
      <c r="A17" s="8" t="s">
        <v>77</v>
      </c>
      <c r="B17" s="18" t="n">
        <v>2350</v>
      </c>
      <c r="C17" s="14" t="n">
        <f aca="false">INDEX($B$6:$B$53,ROW()-5+$B$3)</f>
        <v>1750</v>
      </c>
      <c r="D17" s="14" t="n">
        <f aca="false">C17-B17</f>
        <v>-600</v>
      </c>
      <c r="E17" s="14" t="n">
        <f aca="false">ABS(D17)</f>
        <v>600</v>
      </c>
    </row>
    <row r="18" customFormat="false" ht="15" hidden="false" customHeight="false" outlineLevel="0" collapsed="false">
      <c r="A18" s="8" t="s">
        <v>78</v>
      </c>
      <c r="B18" s="18" t="n">
        <v>2400</v>
      </c>
      <c r="C18" s="14" t="n">
        <f aca="false">INDEX($B$6:$B$53,ROW()-5+$B$3)</f>
        <v>1600</v>
      </c>
      <c r="D18" s="14" t="n">
        <f aca="false">C18-B18</f>
        <v>-800</v>
      </c>
      <c r="E18" s="14" t="n">
        <f aca="false">ABS(D18)</f>
        <v>800</v>
      </c>
    </row>
    <row r="19" customFormat="false" ht="15" hidden="false" customHeight="false" outlineLevel="0" collapsed="false">
      <c r="A19" s="8" t="s">
        <v>79</v>
      </c>
      <c r="B19" s="18" t="n">
        <v>2600</v>
      </c>
      <c r="C19" s="14" t="n">
        <f aca="false">INDEX($B$6:$B$53,ROW()-5+$B$3)</f>
        <v>1250</v>
      </c>
      <c r="D19" s="14" t="n">
        <f aca="false">C19-B19</f>
        <v>-1350</v>
      </c>
      <c r="E19" s="14" t="n">
        <f aca="false">ABS(D19)</f>
        <v>1350</v>
      </c>
    </row>
    <row r="20" customFormat="false" ht="15" hidden="false" customHeight="false" outlineLevel="0" collapsed="false">
      <c r="A20" s="8" t="s">
        <v>80</v>
      </c>
      <c r="B20" s="18" t="n">
        <v>2100</v>
      </c>
      <c r="C20" s="14" t="n">
        <f aca="false">INDEX($B$6:$B$53,ROW()-5+$B$3)</f>
        <v>1400</v>
      </c>
      <c r="D20" s="14" t="n">
        <f aca="false">C20-B20</f>
        <v>-700</v>
      </c>
      <c r="E20" s="14" t="n">
        <f aca="false">ABS(D20)</f>
        <v>700</v>
      </c>
    </row>
    <row r="21" customFormat="false" ht="15" hidden="false" customHeight="false" outlineLevel="0" collapsed="false">
      <c r="A21" s="8" t="s">
        <v>81</v>
      </c>
      <c r="B21" s="18" t="n">
        <v>1900</v>
      </c>
      <c r="C21" s="14" t="n">
        <f aca="false">INDEX($B$6:$B$53,ROW()-5+$B$3)</f>
        <v>1550</v>
      </c>
      <c r="D21" s="14" t="n">
        <f aca="false">C21-B21</f>
        <v>-350</v>
      </c>
      <c r="E21" s="14" t="n">
        <f aca="false">ABS(D21)</f>
        <v>350</v>
      </c>
    </row>
    <row r="22" customFormat="false" ht="15" hidden="false" customHeight="false" outlineLevel="0" collapsed="false">
      <c r="A22" s="8" t="s">
        <v>82</v>
      </c>
      <c r="B22" s="18" t="n">
        <v>1950</v>
      </c>
      <c r="C22" s="14" t="n">
        <f aca="false">INDEX($B$6:$B$53,ROW()-5+$B$3)</f>
        <v>1600</v>
      </c>
      <c r="D22" s="14" t="n">
        <f aca="false">C22-B22</f>
        <v>-350</v>
      </c>
      <c r="E22" s="14" t="n">
        <f aca="false">ABS(D22)</f>
        <v>350</v>
      </c>
    </row>
    <row r="23" customFormat="false" ht="15" hidden="false" customHeight="false" outlineLevel="0" collapsed="false">
      <c r="A23" s="8" t="s">
        <v>83</v>
      </c>
      <c r="B23" s="18" t="n">
        <v>1750</v>
      </c>
      <c r="C23" s="14" t="n">
        <f aca="false">INDEX($B$6:$B$53,ROW()-5+$B$3)</f>
        <v>1450</v>
      </c>
      <c r="D23" s="14" t="n">
        <f aca="false">C23-B23</f>
        <v>-300</v>
      </c>
      <c r="E23" s="14" t="n">
        <f aca="false">ABS(D23)</f>
        <v>300</v>
      </c>
    </row>
    <row r="24" customFormat="false" ht="15" hidden="false" customHeight="false" outlineLevel="0" collapsed="false">
      <c r="A24" s="8" t="s">
        <v>84</v>
      </c>
      <c r="B24" s="18" t="n">
        <v>1600</v>
      </c>
      <c r="C24" s="14" t="n">
        <f aca="false">INDEX($B$6:$B$53,ROW()-5+$B$3)</f>
        <v>1250</v>
      </c>
      <c r="D24" s="14" t="n">
        <f aca="false">C24-B24</f>
        <v>-350</v>
      </c>
      <c r="E24" s="14" t="n">
        <f aca="false">ABS(D24)</f>
        <v>350</v>
      </c>
    </row>
    <row r="25" customFormat="false" ht="15" hidden="false" customHeight="false" outlineLevel="0" collapsed="false">
      <c r="A25" s="8" t="s">
        <v>85</v>
      </c>
      <c r="B25" s="18" t="n">
        <v>1250</v>
      </c>
      <c r="C25" s="14" t="n">
        <f aca="false">INDEX($B$6:$B$53,ROW()-5+$B$3)</f>
        <v>950</v>
      </c>
      <c r="D25" s="14" t="n">
        <f aca="false">C25-B25</f>
        <v>-300</v>
      </c>
      <c r="E25" s="14" t="n">
        <f aca="false">ABS(D25)</f>
        <v>300</v>
      </c>
    </row>
    <row r="26" customFormat="false" ht="15" hidden="false" customHeight="false" outlineLevel="0" collapsed="false">
      <c r="A26" s="8" t="s">
        <v>86</v>
      </c>
      <c r="B26" s="18" t="n">
        <v>1400</v>
      </c>
      <c r="C26" s="14" t="n">
        <f aca="false">INDEX($B$6:$B$53,ROW()-5+$B$3)</f>
        <v>750</v>
      </c>
      <c r="D26" s="14" t="n">
        <f aca="false">C26-B26</f>
        <v>-650</v>
      </c>
      <c r="E26" s="14" t="n">
        <f aca="false">ABS(D26)</f>
        <v>650</v>
      </c>
    </row>
    <row r="27" customFormat="false" ht="15" hidden="false" customHeight="false" outlineLevel="0" collapsed="false">
      <c r="A27" s="8" t="s">
        <v>87</v>
      </c>
      <c r="B27" s="18" t="n">
        <v>1550</v>
      </c>
      <c r="C27" s="14" t="n">
        <f aca="false">INDEX($B$6:$B$53,ROW()-5+$B$3)</f>
        <v>650</v>
      </c>
      <c r="D27" s="14" t="n">
        <f aca="false">C27-B27</f>
        <v>-900</v>
      </c>
      <c r="E27" s="14" t="n">
        <f aca="false">ABS(D27)</f>
        <v>900</v>
      </c>
    </row>
    <row r="28" customFormat="false" ht="15" hidden="false" customHeight="false" outlineLevel="0" collapsed="false">
      <c r="A28" s="8" t="s">
        <v>88</v>
      </c>
      <c r="B28" s="18" t="n">
        <v>1600</v>
      </c>
      <c r="C28" s="14" t="n">
        <f aca="false">INDEX($B$6:$B$53,ROW()-5+$B$3)</f>
        <v>600</v>
      </c>
      <c r="D28" s="14" t="n">
        <f aca="false">C28-B28</f>
        <v>-1000</v>
      </c>
      <c r="E28" s="14" t="n">
        <f aca="false">ABS(D28)</f>
        <v>1000</v>
      </c>
    </row>
    <row r="29" customFormat="false" ht="15" hidden="false" customHeight="false" outlineLevel="0" collapsed="false">
      <c r="A29" s="8" t="s">
        <v>89</v>
      </c>
      <c r="B29" s="18" t="n">
        <v>1450</v>
      </c>
      <c r="C29" s="14" t="n">
        <f aca="false">INDEX($B$6:$B$53,ROW()-5+$B$3)</f>
        <v>700</v>
      </c>
      <c r="D29" s="14" t="n">
        <f aca="false">C29-B29</f>
        <v>-750</v>
      </c>
      <c r="E29" s="14" t="n">
        <f aca="false">ABS(D29)</f>
        <v>750</v>
      </c>
    </row>
    <row r="30" customFormat="false" ht="15" hidden="false" customHeight="false" outlineLevel="0" collapsed="false">
      <c r="A30" s="8" t="s">
        <v>90</v>
      </c>
      <c r="B30" s="18" t="n">
        <v>1250</v>
      </c>
      <c r="C30" s="14" t="n">
        <f aca="false">INDEX($B$6:$B$53,ROW()-5+$B$3)</f>
        <v>800</v>
      </c>
      <c r="D30" s="14" t="n">
        <f aca="false">C30-B30</f>
        <v>-450</v>
      </c>
      <c r="E30" s="14" t="n">
        <f aca="false">ABS(D30)</f>
        <v>450</v>
      </c>
    </row>
    <row r="31" customFormat="false" ht="15" hidden="false" customHeight="false" outlineLevel="0" collapsed="false">
      <c r="A31" s="8" t="s">
        <v>91</v>
      </c>
      <c r="B31" s="18" t="n">
        <v>950</v>
      </c>
      <c r="C31" s="14" t="n">
        <f aca="false">INDEX($B$6:$B$53,ROW()-5+$B$3)</f>
        <v>950</v>
      </c>
      <c r="D31" s="14" t="n">
        <f aca="false">C31-B31</f>
        <v>0</v>
      </c>
      <c r="E31" s="14" t="n">
        <f aca="false">ABS(D31)</f>
        <v>0</v>
      </c>
    </row>
    <row r="32" customFormat="false" ht="15" hidden="false" customHeight="false" outlineLevel="0" collapsed="false">
      <c r="A32" s="8" t="s">
        <v>92</v>
      </c>
      <c r="B32" s="18" t="n">
        <v>750</v>
      </c>
      <c r="C32" s="14" t="n">
        <f aca="false">INDEX($B$6:$B$53,ROW()-5+$B$3)</f>
        <v>700</v>
      </c>
      <c r="D32" s="14" t="n">
        <f aca="false">C32-B32</f>
        <v>-50</v>
      </c>
      <c r="E32" s="14" t="n">
        <f aca="false">ABS(D32)</f>
        <v>50</v>
      </c>
    </row>
    <row r="33" customFormat="false" ht="15" hidden="false" customHeight="false" outlineLevel="0" collapsed="false">
      <c r="A33" s="8" t="s">
        <v>93</v>
      </c>
      <c r="B33" s="18" t="n">
        <v>650</v>
      </c>
      <c r="C33" s="14" t="n">
        <f aca="false">INDEX($B$6:$B$53,ROW()-5+$B$3)</f>
        <v>680</v>
      </c>
      <c r="D33" s="14" t="n">
        <f aca="false">C33-B33</f>
        <v>30</v>
      </c>
      <c r="E33" s="14" t="n">
        <f aca="false">ABS(D33)</f>
        <v>30</v>
      </c>
    </row>
    <row r="34" customFormat="false" ht="15" hidden="false" customHeight="false" outlineLevel="0" collapsed="false">
      <c r="A34" s="8" t="s">
        <v>94</v>
      </c>
      <c r="B34" s="18" t="n">
        <v>600</v>
      </c>
      <c r="C34" s="14" t="n">
        <f aca="false">INDEX($B$6:$B$53,ROW()-5+$B$3)</f>
        <v>720</v>
      </c>
      <c r="D34" s="14" t="n">
        <f aca="false">C34-B34</f>
        <v>120</v>
      </c>
      <c r="E34" s="14" t="n">
        <f aca="false">ABS(D34)</f>
        <v>120</v>
      </c>
    </row>
    <row r="35" customFormat="false" ht="15" hidden="false" customHeight="false" outlineLevel="0" collapsed="false">
      <c r="A35" s="8" t="s">
        <v>95</v>
      </c>
      <c r="B35" s="18" t="n">
        <v>700</v>
      </c>
      <c r="C35" s="14" t="n">
        <f aca="false">INDEX($B$6:$B$53,ROW()-5+$B$3)</f>
        <v>850</v>
      </c>
      <c r="D35" s="14" t="n">
        <f aca="false">C35-B35</f>
        <v>150</v>
      </c>
      <c r="E35" s="14" t="n">
        <f aca="false">ABS(D35)</f>
        <v>150</v>
      </c>
    </row>
    <row r="36" customFormat="false" ht="15" hidden="false" customHeight="false" outlineLevel="0" collapsed="false">
      <c r="A36" s="8" t="s">
        <v>96</v>
      </c>
      <c r="B36" s="18" t="n">
        <v>800</v>
      </c>
      <c r="C36" s="14" t="n">
        <f aca="false">INDEX($B$6:$B$53,ROW()-5+$B$3)</f>
        <v>1100</v>
      </c>
      <c r="D36" s="14" t="n">
        <f aca="false">C36-B36</f>
        <v>300</v>
      </c>
      <c r="E36" s="14" t="n">
        <f aca="false">ABS(D36)</f>
        <v>300</v>
      </c>
    </row>
    <row r="37" customFormat="false" ht="15" hidden="false" customHeight="false" outlineLevel="0" collapsed="false">
      <c r="A37" s="8" t="s">
        <v>97</v>
      </c>
      <c r="B37" s="18" t="n">
        <v>950</v>
      </c>
      <c r="C37" s="14" t="n">
        <f aca="false">INDEX($B$6:$B$53,ROW()-5+$B$3)</f>
        <v>950</v>
      </c>
      <c r="D37" s="14" t="n">
        <f aca="false">C37-B37</f>
        <v>0</v>
      </c>
      <c r="E37" s="14" t="n">
        <f aca="false">ABS(D37)</f>
        <v>0</v>
      </c>
    </row>
    <row r="38" customFormat="false" ht="15" hidden="false" customHeight="false" outlineLevel="0" collapsed="false">
      <c r="A38" s="8" t="s">
        <v>98</v>
      </c>
      <c r="B38" s="18" t="n">
        <v>700</v>
      </c>
      <c r="C38" s="14" t="n">
        <f aca="false">INDEX($B$6:$B$53,ROW()-5+$B$3)</f>
        <v>700</v>
      </c>
      <c r="D38" s="14" t="n">
        <f aca="false">C38-B38</f>
        <v>0</v>
      </c>
      <c r="E38" s="14" t="n">
        <f aca="false">ABS(D38)</f>
        <v>0</v>
      </c>
    </row>
    <row r="39" customFormat="false" ht="15" hidden="false" customHeight="false" outlineLevel="0" collapsed="false">
      <c r="A39" s="8" t="s">
        <v>99</v>
      </c>
      <c r="B39" s="18" t="n">
        <v>680</v>
      </c>
      <c r="C39" s="14" t="n">
        <f aca="false">INDEX($B$6:$B$53,ROW()-5+$B$3)</f>
        <v>620</v>
      </c>
      <c r="D39" s="14" t="n">
        <f aca="false">C39-B39</f>
        <v>-60</v>
      </c>
      <c r="E39" s="14" t="n">
        <f aca="false">ABS(D39)</f>
        <v>60</v>
      </c>
    </row>
    <row r="40" customFormat="false" ht="15" hidden="false" customHeight="false" outlineLevel="0" collapsed="false">
      <c r="A40" s="8" t="s">
        <v>100</v>
      </c>
      <c r="B40" s="18" t="n">
        <v>720</v>
      </c>
      <c r="C40" s="14" t="n">
        <f aca="false">INDEX($B$6:$B$53,ROW()-5+$B$3)</f>
        <v>580</v>
      </c>
      <c r="D40" s="14" t="n">
        <f aca="false">C40-B40</f>
        <v>-140</v>
      </c>
      <c r="E40" s="14" t="n">
        <f aca="false">ABS(D40)</f>
        <v>140</v>
      </c>
    </row>
    <row r="41" customFormat="false" ht="15" hidden="false" customHeight="false" outlineLevel="0" collapsed="false">
      <c r="A41" s="8" t="s">
        <v>101</v>
      </c>
      <c r="B41" s="18" t="n">
        <v>850</v>
      </c>
      <c r="C41" s="14" t="n">
        <f aca="false">INDEX($B$6:$B$53,ROW()-5+$B$3)</f>
        <v>560</v>
      </c>
      <c r="D41" s="14" t="n">
        <f aca="false">C41-B41</f>
        <v>-290</v>
      </c>
      <c r="E41" s="14" t="n">
        <f aca="false">ABS(D41)</f>
        <v>290</v>
      </c>
    </row>
    <row r="42" customFormat="false" ht="15" hidden="false" customHeight="false" outlineLevel="0" collapsed="false">
      <c r="A42" s="8" t="s">
        <v>102</v>
      </c>
      <c r="B42" s="18" t="n">
        <v>1100</v>
      </c>
      <c r="C42" s="14" t="n">
        <f aca="false">INDEX($B$6:$B$53,ROW()-5+$B$3)</f>
        <v>600</v>
      </c>
      <c r="D42" s="14" t="n">
        <f aca="false">C42-B42</f>
        <v>-500</v>
      </c>
      <c r="E42" s="14" t="n">
        <f aca="false">ABS(D42)</f>
        <v>500</v>
      </c>
    </row>
    <row r="43" customFormat="false" ht="15" hidden="false" customHeight="false" outlineLevel="0" collapsed="false">
      <c r="A43" s="8" t="s">
        <v>103</v>
      </c>
      <c r="B43" s="18" t="n">
        <v>950</v>
      </c>
      <c r="C43" s="14" t="n">
        <f aca="false">INDEX($B$6:$B$53,ROW()-5+$B$3)</f>
        <v>640</v>
      </c>
      <c r="D43" s="14" t="n">
        <f aca="false">C43-B43</f>
        <v>-310</v>
      </c>
      <c r="E43" s="14" t="n">
        <f aca="false">ABS(D43)</f>
        <v>310</v>
      </c>
    </row>
    <row r="44" customFormat="false" ht="15" hidden="false" customHeight="false" outlineLevel="0" collapsed="false">
      <c r="A44" s="8" t="s">
        <v>104</v>
      </c>
      <c r="B44" s="18" t="n">
        <v>700</v>
      </c>
      <c r="C44" s="14" t="n">
        <f aca="false">INDEX($B$6:$B$53,ROW()-5+$B$3)</f>
        <v>590</v>
      </c>
      <c r="D44" s="14" t="n">
        <f aca="false">C44-B44</f>
        <v>-110</v>
      </c>
      <c r="E44" s="14" t="n">
        <f aca="false">ABS(D44)</f>
        <v>110</v>
      </c>
    </row>
    <row r="45" customFormat="false" ht="15" hidden="false" customHeight="false" outlineLevel="0" collapsed="false">
      <c r="A45" s="8" t="s">
        <v>105</v>
      </c>
      <c r="B45" s="18" t="n">
        <v>620</v>
      </c>
      <c r="C45" s="14" t="n">
        <f aca="false">INDEX($B$6:$B$53,ROW()-5+$B$3)</f>
        <v>560</v>
      </c>
      <c r="D45" s="14" t="n">
        <f aca="false">C45-B45</f>
        <v>-60</v>
      </c>
      <c r="E45" s="14" t="n">
        <f aca="false">ABS(D45)</f>
        <v>60</v>
      </c>
    </row>
    <row r="46" customFormat="false" ht="15" hidden="false" customHeight="false" outlineLevel="0" collapsed="false">
      <c r="A46" s="8" t="s">
        <v>106</v>
      </c>
      <c r="B46" s="18" t="n">
        <v>580</v>
      </c>
      <c r="C46" s="14" t="n">
        <f aca="false">INDEX($B$6:$B$53,ROW()-5+$B$3)</f>
        <v>540</v>
      </c>
      <c r="D46" s="14" t="n">
        <f aca="false">C46-B46</f>
        <v>-40</v>
      </c>
      <c r="E46" s="14" t="n">
        <f aca="false">ABS(D46)</f>
        <v>40</v>
      </c>
    </row>
    <row r="47" customFormat="false" ht="15" hidden="false" customHeight="false" outlineLevel="0" collapsed="false">
      <c r="A47" s="8" t="s">
        <v>107</v>
      </c>
      <c r="B47" s="18" t="n">
        <v>560</v>
      </c>
      <c r="C47" s="14" t="n">
        <f aca="false">INDEX($B$6:$B$53,ROW()-5+$B$3)</f>
        <v>520</v>
      </c>
      <c r="D47" s="14" t="n">
        <f aca="false">C47-B47</f>
        <v>-40</v>
      </c>
      <c r="E47" s="14" t="n">
        <f aca="false">ABS(D47)</f>
        <v>40</v>
      </c>
    </row>
    <row r="48" customFormat="false" ht="15" hidden="false" customHeight="false" outlineLevel="0" collapsed="false">
      <c r="A48" s="8" t="s">
        <v>108</v>
      </c>
      <c r="B48" s="18" t="n">
        <v>600</v>
      </c>
    </row>
    <row r="49" customFormat="false" ht="15" hidden="false" customHeight="false" outlineLevel="0" collapsed="false">
      <c r="A49" s="8" t="s">
        <v>109</v>
      </c>
      <c r="B49" s="18" t="n">
        <v>640</v>
      </c>
    </row>
    <row r="50" customFormat="false" ht="15" hidden="false" customHeight="false" outlineLevel="0" collapsed="false">
      <c r="A50" s="8" t="s">
        <v>110</v>
      </c>
      <c r="B50" s="18" t="n">
        <v>590</v>
      </c>
    </row>
    <row r="51" customFormat="false" ht="15" hidden="false" customHeight="false" outlineLevel="0" collapsed="false">
      <c r="A51" s="8" t="s">
        <v>111</v>
      </c>
      <c r="B51" s="18" t="n">
        <v>560</v>
      </c>
    </row>
    <row r="52" customFormat="false" ht="15" hidden="false" customHeight="false" outlineLevel="0" collapsed="false">
      <c r="A52" s="8" t="s">
        <v>112</v>
      </c>
      <c r="B52" s="18" t="n">
        <v>540</v>
      </c>
    </row>
    <row r="53" customFormat="false" ht="15" hidden="false" customHeight="false" outlineLevel="0" collapsed="false">
      <c r="A53" s="8" t="s">
        <v>113</v>
      </c>
      <c r="B53" s="18" t="n">
        <v>520</v>
      </c>
    </row>
    <row r="55" customFormat="false" ht="15" hidden="false" customHeight="false" outlineLevel="0" collapsed="false">
      <c r="A55" s="2" t="s">
        <v>114</v>
      </c>
    </row>
    <row r="56" customFormat="false" ht="15" hidden="false" customHeight="false" outlineLevel="0" collapsed="false">
      <c r="A56" s="2" t="s">
        <v>115</v>
      </c>
    </row>
    <row r="57" customFormat="false" ht="15" hidden="false" customHeight="false" outlineLevel="0" collapsed="false">
      <c r="A57" s="2" t="s">
        <v>116</v>
      </c>
    </row>
    <row r="58" customFormat="false" ht="15" hidden="false" customHeight="false" outlineLevel="0" collapsed="false">
      <c r="A58" s="2"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60"/>
    <col collapsed="false" customWidth="true" hidden="false" outlineLevel="0" max="4" min="4" style="0" width="21"/>
    <col collapsed="false" customWidth="true" hidden="false" outlineLevel="0" max="5" min="5" style="0" width="52"/>
    <col collapsed="false" customWidth="true" hidden="false" outlineLevel="0" max="10" min="6" style="0" width="14"/>
  </cols>
  <sheetData>
    <row r="1" customFormat="false" ht="16.15" hidden="false" customHeight="false" outlineLevel="0" collapsed="false">
      <c r="A1" s="1" t="s">
        <v>118</v>
      </c>
    </row>
    <row r="2" customFormat="false" ht="15" hidden="false" customHeight="false" outlineLevel="0" collapsed="false">
      <c r="A2" s="2" t="s">
        <v>119</v>
      </c>
    </row>
    <row r="5" customFormat="false" ht="42" hidden="false" customHeight="true" outlineLevel="0" collapsed="false">
      <c r="A5" s="6" t="s">
        <v>120</v>
      </c>
      <c r="B5" s="6" t="s">
        <v>121</v>
      </c>
      <c r="C5" s="6" t="s">
        <v>122</v>
      </c>
      <c r="D5" s="6" t="s">
        <v>123</v>
      </c>
      <c r="E5" s="6" t="s">
        <v>124</v>
      </c>
    </row>
    <row r="6" customFormat="false" ht="15" hidden="false" customHeight="false" outlineLevel="0" collapsed="false">
      <c r="A6" s="3" t="s">
        <v>125</v>
      </c>
    </row>
    <row r="7" customFormat="false" ht="57.75" hidden="false" customHeight="true" outlineLevel="0" collapsed="false">
      <c r="A7" s="7" t="s">
        <v>126</v>
      </c>
      <c r="B7" s="19" t="s">
        <v>127</v>
      </c>
      <c r="C7" s="21" t="s">
        <v>128</v>
      </c>
      <c r="D7" s="22" t="s">
        <v>129</v>
      </c>
      <c r="E7" s="21" t="s">
        <v>130</v>
      </c>
    </row>
    <row r="8" customFormat="false" ht="57.75" hidden="false" customHeight="true" outlineLevel="0" collapsed="false">
      <c r="A8" s="7" t="s">
        <v>131</v>
      </c>
      <c r="B8" s="19" t="s">
        <v>5</v>
      </c>
      <c r="C8" s="21" t="s">
        <v>132</v>
      </c>
      <c r="D8" s="22" t="s">
        <v>133</v>
      </c>
      <c r="E8" s="21" t="s">
        <v>134</v>
      </c>
    </row>
    <row r="9" customFormat="false" ht="57.75" hidden="false" customHeight="true" outlineLevel="0" collapsed="false">
      <c r="A9" s="7" t="s">
        <v>135</v>
      </c>
      <c r="B9" s="19" t="s">
        <v>136</v>
      </c>
      <c r="C9" s="21" t="s">
        <v>137</v>
      </c>
      <c r="D9" s="22" t="s">
        <v>138</v>
      </c>
      <c r="E9" s="21" t="s">
        <v>139</v>
      </c>
    </row>
    <row r="10" customFormat="false" ht="57.75" hidden="false" customHeight="true" outlineLevel="0" collapsed="false">
      <c r="A10" s="7" t="s">
        <v>140</v>
      </c>
      <c r="B10" s="19" t="s">
        <v>141</v>
      </c>
      <c r="C10" s="21" t="s">
        <v>142</v>
      </c>
      <c r="D10" s="22" t="s">
        <v>143</v>
      </c>
      <c r="E10" s="21" t="s">
        <v>144</v>
      </c>
    </row>
    <row r="11" customFormat="false" ht="57.75" hidden="false" customHeight="true" outlineLevel="0" collapsed="false">
      <c r="A11" s="7" t="s">
        <v>145</v>
      </c>
      <c r="B11" s="19" t="s">
        <v>146</v>
      </c>
      <c r="C11" s="21" t="s">
        <v>147</v>
      </c>
      <c r="D11" s="22" t="s">
        <v>148</v>
      </c>
      <c r="E11" s="21" t="s">
        <v>149</v>
      </c>
    </row>
    <row r="12" customFormat="false" ht="57.75" hidden="false" customHeight="true" outlineLevel="0" collapsed="false">
      <c r="A12" s="7" t="s">
        <v>150</v>
      </c>
      <c r="B12" s="19" t="s">
        <v>151</v>
      </c>
      <c r="C12" s="21" t="s">
        <v>152</v>
      </c>
      <c r="D12" s="22" t="s">
        <v>153</v>
      </c>
      <c r="E12" s="21" t="s">
        <v>154</v>
      </c>
    </row>
    <row r="13" customFormat="false" ht="57.75" hidden="false" customHeight="true" outlineLevel="0" collapsed="false">
      <c r="A13" s="7" t="s">
        <v>155</v>
      </c>
      <c r="B13" s="19" t="s">
        <v>156</v>
      </c>
      <c r="C13" s="21" t="s">
        <v>157</v>
      </c>
      <c r="D13" s="22" t="s">
        <v>158</v>
      </c>
      <c r="E13" s="21" t="s">
        <v>159</v>
      </c>
    </row>
    <row r="14" customFormat="false" ht="15" hidden="false" customHeight="false" outlineLevel="0" collapsed="false">
      <c r="A14" s="3" t="s">
        <v>160</v>
      </c>
    </row>
    <row r="15" customFormat="false" ht="57.75" hidden="false" customHeight="true" outlineLevel="0" collapsed="false">
      <c r="A15" s="7" t="s">
        <v>161</v>
      </c>
      <c r="B15" s="19" t="s">
        <v>162</v>
      </c>
      <c r="C15" s="21" t="s">
        <v>163</v>
      </c>
      <c r="D15" s="22" t="s">
        <v>164</v>
      </c>
      <c r="E15" s="21" t="s">
        <v>165</v>
      </c>
    </row>
    <row r="16" customFormat="false" ht="57.75" hidden="false" customHeight="true" outlineLevel="0" collapsed="false">
      <c r="A16" s="7"/>
      <c r="B16" s="19" t="s">
        <v>166</v>
      </c>
      <c r="C16" s="21" t="s">
        <v>167</v>
      </c>
      <c r="D16" s="22" t="s">
        <v>148</v>
      </c>
      <c r="E16" s="21" t="s">
        <v>168</v>
      </c>
    </row>
    <row r="17" customFormat="false" ht="15" hidden="false" customHeight="false" outlineLevel="0" collapsed="false">
      <c r="A17" s="3" t="s">
        <v>169</v>
      </c>
    </row>
    <row r="18" customFormat="false" ht="57.75" hidden="false" customHeight="true" outlineLevel="0" collapsed="false">
      <c r="A18" s="7"/>
      <c r="B18" s="19" t="s">
        <v>170</v>
      </c>
      <c r="C18" s="21" t="s">
        <v>171</v>
      </c>
      <c r="D18" s="22" t="s">
        <v>172</v>
      </c>
      <c r="E18" s="21" t="s">
        <v>173</v>
      </c>
    </row>
    <row r="19" customFormat="false" ht="57.75" hidden="false" customHeight="true" outlineLevel="0" collapsed="false">
      <c r="A19" s="7"/>
      <c r="B19" s="19" t="s">
        <v>174</v>
      </c>
      <c r="C19" s="21" t="s">
        <v>175</v>
      </c>
      <c r="D19" s="22" t="s">
        <v>172</v>
      </c>
      <c r="E19" s="21" t="s">
        <v>176</v>
      </c>
    </row>
    <row r="20" customFormat="false" ht="57.75" hidden="false" customHeight="true" outlineLevel="0" collapsed="false">
      <c r="A20" s="7"/>
      <c r="B20" s="19" t="s">
        <v>177</v>
      </c>
      <c r="C20" s="21" t="s">
        <v>178</v>
      </c>
      <c r="D20" s="22" t="s">
        <v>172</v>
      </c>
      <c r="E20" s="21" t="s">
        <v>179</v>
      </c>
    </row>
    <row r="22" customFormat="false" ht="15" hidden="false" customHeight="false" outlineLevel="0" collapsed="false">
      <c r="A22" s="2" t="s">
        <v>180</v>
      </c>
    </row>
    <row r="23" customFormat="false" ht="15" hidden="false" customHeight="false" outlineLevel="0" collapsed="false">
      <c r="A23" s="2" t="s">
        <v>181</v>
      </c>
    </row>
    <row r="24" customFormat="false" ht="15" hidden="false" customHeight="false" outlineLevel="0" collapsed="false">
      <c r="A24" s="2" t="s">
        <v>182</v>
      </c>
    </row>
    <row r="25" customFormat="false" ht="15" hidden="false" customHeight="false" outlineLevel="0" collapsed="false">
      <c r="A25" s="2"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 collapsed="false" customWidth="true" hidden="false" outlineLevel="0" max="10" min="2" style="0" width="14"/>
  </cols>
  <sheetData>
    <row r="1" customFormat="false" ht="16.15" hidden="false" customHeight="false" outlineLevel="0" collapsed="false">
      <c r="A1" s="1" t="s">
        <v>184</v>
      </c>
    </row>
    <row r="2" customFormat="false" ht="15" hidden="false" customHeight="false" outlineLevel="0" collapsed="false">
      <c r="A2" s="2"/>
    </row>
    <row r="4" customFormat="false" ht="15" hidden="false" customHeight="false" outlineLevel="0" collapsed="false">
      <c r="A4" s="23" t="s">
        <v>185</v>
      </c>
    </row>
    <row r="5" customFormat="false" ht="15" hidden="false" customHeight="false" outlineLevel="0" collapsed="false">
      <c r="A5" s="24" t="s">
        <v>186</v>
      </c>
    </row>
    <row r="6" customFormat="false" ht="15" hidden="false" customHeight="false" outlineLevel="0" collapsed="false">
      <c r="A6" s="24" t="s">
        <v>187</v>
      </c>
    </row>
    <row r="7" customFormat="false" ht="15" hidden="false" customHeight="false" outlineLevel="0" collapsed="false">
      <c r="A7" s="24" t="s">
        <v>188</v>
      </c>
    </row>
    <row r="8" customFormat="false" ht="15" hidden="false" customHeight="false" outlineLevel="0" collapsed="false">
      <c r="A8" s="24" t="s">
        <v>189</v>
      </c>
    </row>
    <row r="9" customFormat="false" ht="15" hidden="false" customHeight="false" outlineLevel="0" collapsed="false">
      <c r="A9" s="24"/>
    </row>
    <row r="10" customFormat="false" ht="15" hidden="false" customHeight="false" outlineLevel="0" collapsed="false">
      <c r="A10" s="23" t="s">
        <v>190</v>
      </c>
    </row>
    <row r="11" customFormat="false" ht="15" hidden="false" customHeight="false" outlineLevel="0" collapsed="false">
      <c r="A11" s="24" t="s">
        <v>191</v>
      </c>
    </row>
    <row r="12" customFormat="false" ht="15" hidden="false" customHeight="false" outlineLevel="0" collapsed="false">
      <c r="A12" s="24" t="s">
        <v>192</v>
      </c>
    </row>
    <row r="13" customFormat="false" ht="15" hidden="false" customHeight="false" outlineLevel="0" collapsed="false">
      <c r="A13" s="24" t="s">
        <v>193</v>
      </c>
    </row>
    <row r="14" customFormat="false" ht="15" hidden="false" customHeight="false" outlineLevel="0" collapsed="false">
      <c r="A14" s="24" t="s">
        <v>194</v>
      </c>
    </row>
    <row r="15" customFormat="false" ht="15" hidden="false" customHeight="false" outlineLevel="0" collapsed="false">
      <c r="A15" s="24" t="s">
        <v>195</v>
      </c>
    </row>
    <row r="16" customFormat="false" ht="15" hidden="false" customHeight="false" outlineLevel="0" collapsed="false">
      <c r="A16" s="24" t="s">
        <v>196</v>
      </c>
    </row>
    <row r="17" customFormat="false" ht="15" hidden="false" customHeight="false" outlineLevel="0" collapsed="false">
      <c r="A17" s="24"/>
    </row>
    <row r="18" customFormat="false" ht="15" hidden="false" customHeight="false" outlineLevel="0" collapsed="false">
      <c r="A18" s="23" t="s">
        <v>197</v>
      </c>
    </row>
    <row r="19" customFormat="false" ht="15" hidden="false" customHeight="false" outlineLevel="0" collapsed="false">
      <c r="A19" s="24" t="s">
        <v>198</v>
      </c>
    </row>
    <row r="20" customFormat="false" ht="15" hidden="false" customHeight="false" outlineLevel="0" collapsed="false">
      <c r="A20" s="24" t="s">
        <v>199</v>
      </c>
    </row>
    <row r="21" customFormat="false" ht="15" hidden="false" customHeight="false" outlineLevel="0" collapsed="false">
      <c r="A21" s="24" t="s">
        <v>200</v>
      </c>
    </row>
    <row r="22" customFormat="false" ht="15" hidden="false" customHeight="false" outlineLevel="0" collapsed="false">
      <c r="A22" s="24" t="s">
        <v>201</v>
      </c>
    </row>
    <row r="23" customFormat="false" ht="15" hidden="false" customHeight="false" outlineLevel="0" collapsed="false">
      <c r="A23" s="24"/>
    </row>
    <row r="24" customFormat="false" ht="15" hidden="false" customHeight="false" outlineLevel="0" collapsed="false">
      <c r="A24" s="23" t="s">
        <v>202</v>
      </c>
    </row>
    <row r="25" customFormat="false" ht="15" hidden="false" customHeight="false" outlineLevel="0" collapsed="false">
      <c r="A25" s="24" t="s">
        <v>203</v>
      </c>
    </row>
    <row r="26" customFormat="false" ht="15" hidden="false" customHeight="false" outlineLevel="0" collapsed="false">
      <c r="A26" s="24" t="s">
        <v>204</v>
      </c>
    </row>
    <row r="27" customFormat="false" ht="15" hidden="false" customHeight="false" outlineLevel="0" collapsed="false">
      <c r="A27" s="24" t="s">
        <v>205</v>
      </c>
    </row>
    <row r="28" customFormat="false" ht="15" hidden="false" customHeight="false" outlineLevel="0" collapsed="false">
      <c r="A28" s="24" t="s">
        <v>206</v>
      </c>
    </row>
    <row r="29" customFormat="false" ht="15" hidden="false" customHeight="false" outlineLevel="0" collapsed="false">
      <c r="A29" s="24" t="s">
        <v>207</v>
      </c>
    </row>
    <row r="30" customFormat="false" ht="15" hidden="false" customHeight="false" outlineLevel="0" collapsed="false">
      <c r="A30" s="24" t="s">
        <v>208</v>
      </c>
    </row>
    <row r="31" customFormat="false" ht="15" hidden="false" customHeight="false" outlineLevel="0" collapsed="false">
      <c r="A31" s="24" t="s">
        <v>209</v>
      </c>
    </row>
    <row r="32" customFormat="false" ht="15" hidden="false" customHeight="false" outlineLevel="0" collapsed="false">
      <c r="A32" s="24" t="s">
        <v>210</v>
      </c>
    </row>
    <row r="33" customFormat="false" ht="15" hidden="false" customHeight="false" outlineLevel="0" collapsed="false">
      <c r="A33" s="24" t="s">
        <v>211</v>
      </c>
    </row>
    <row r="34" customFormat="false" ht="15" hidden="false" customHeight="false" outlineLevel="0" collapsed="false">
      <c r="A34" s="24"/>
    </row>
    <row r="35" customFormat="false" ht="15" hidden="false" customHeight="false" outlineLevel="0" collapsed="false">
      <c r="A35" s="23" t="s">
        <v>212</v>
      </c>
    </row>
    <row r="36" customFormat="false" ht="15" hidden="false" customHeight="false" outlineLevel="0" collapsed="false">
      <c r="A36" s="24" t="s">
        <v>213</v>
      </c>
    </row>
    <row r="37" customFormat="false" ht="15" hidden="false" customHeight="false" outlineLevel="0" collapsed="false">
      <c r="A37" s="24" t="s">
        <v>214</v>
      </c>
    </row>
    <row r="38" customFormat="false" ht="15" hidden="false" customHeight="false" outlineLevel="0" collapsed="false">
      <c r="A38" s="24" t="s">
        <v>215</v>
      </c>
    </row>
    <row r="39" customFormat="false" ht="15" hidden="false" customHeight="false" outlineLevel="0" collapsed="false">
      <c r="A39" s="24" t="s">
        <v>216</v>
      </c>
    </row>
    <row r="40" customFormat="false" ht="15" hidden="false" customHeight="false" outlineLevel="0" collapsed="false">
      <c r="A40" s="24" t="s">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2026-08-11T14:37:52Z</dcterms:created>
  <dc:creator>openpyxl</dc:creator>
  <dc:description/>
  <dc:language>en-US</dc:language>
  <cp:lastModifiedBy/>
  <dcterms:modified xsi:type="dcterms:W3CDTF">2026-08-11T14:37:56Z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