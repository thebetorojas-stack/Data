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 Indices" sheetId="1" state="visible" r:id="rId1"/>
    <sheet xmlns:r="http://schemas.openxmlformats.org/officeDocument/2006/relationships" name="CFTC Positioning" sheetId="2" state="visible" r:id="rId2"/>
    <sheet xmlns:r="http://schemas.openxmlformats.org/officeDocument/2006/relationships" name="Macro Surpr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;[Red](#,##0.00);-"/>
    <numFmt numFmtId="165" formatCode="+0.00%;[Red]-0.00%;-"/>
    <numFmt numFmtId="166" formatCode="#,##0;[Red](#,##0);-"/>
    <numFmt numFmtId="167" formatCode="+0.0;[Red]-0.0;-"/>
    <numFmt numFmtId="168" formatCode="0.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7F7F7F"/>
      <sz val="9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sz val="10"/>
    </font>
    <font>
      <name val="Arial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0" fontId="5" fillId="0" borderId="1" pivotButton="0" quotePrefix="0" xfId="0"/>
    <xf numFmtId="0" fontId="0" fillId="0" borderId="1" pivotButton="0" quotePrefix="0" xfId="0"/>
    <xf numFmtId="168" fontId="0" fillId="0" borderId="1" pivotButton="0" quotePrefix="0" xfId="0"/>
    <xf numFmtId="0" fontId="6" fillId="0" borderId="1" pivotButton="0" quotePrefix="0" xfId="0"/>
    <xf numFmtId="166" fontId="0" fillId="0" borderId="1" pivotButton="0" quotePrefix="0" xfId="0"/>
    <xf numFmtId="9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1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Cross-Asset Volatility (levels &amp; % change)</t>
        </is>
      </c>
    </row>
    <row r="2">
      <c r="A2" s="2" t="inlineStr">
        <is>
          <t>As of:</t>
        </is>
      </c>
      <c r="B2" s="2">
        <f>TEXT(TODAY(),"yyyy-mm-dd")</f>
        <v/>
      </c>
      <c r="C2" s="2" t="inlineStr">
        <is>
          <t>(BBG add-in required for live values)</t>
        </is>
      </c>
    </row>
    <row r="4">
      <c r="A4" s="3" t="inlineStr">
        <is>
          <t>Security</t>
        </is>
      </c>
      <c r="B4" s="3" t="inlineStr">
        <is>
          <t>BBG Ticker</t>
        </is>
      </c>
      <c r="C4" s="3" t="inlineStr">
        <is>
          <t>Last</t>
        </is>
      </c>
      <c r="D4" s="3" t="inlineStr">
        <is>
          <t>1d</t>
        </is>
      </c>
      <c r="E4" s="3" t="inlineStr">
        <is>
          <t>5d</t>
        </is>
      </c>
      <c r="F4" s="3" t="inlineStr">
        <is>
          <t>MTD</t>
        </is>
      </c>
      <c r="G4" s="3" t="inlineStr">
        <is>
          <t>YTD</t>
        </is>
      </c>
      <c r="H4" s="3" t="inlineStr">
        <is>
          <t>1Y</t>
        </is>
      </c>
    </row>
    <row r="5">
      <c r="A5" s="4" t="inlineStr">
        <is>
          <t>Equity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5" t="inlineStr">
        <is>
          <t>VIX</t>
        </is>
      </c>
      <c r="B6" s="6" t="inlineStr">
        <is>
          <t>VIX Index</t>
        </is>
      </c>
      <c r="C6" s="7">
        <f>BDP("VIX Index","PX_LAST")</f>
        <v/>
      </c>
      <c r="D6" s="8">
        <f>BDP("VIX Index","CHG_PCT_1D")</f>
        <v/>
      </c>
      <c r="E6" s="8">
        <f>BDP("VIX Index","CHG_PCT_5D")</f>
        <v/>
      </c>
      <c r="F6" s="8">
        <f>BDP("VIX Index","CHG_PCT_MTD")</f>
        <v/>
      </c>
      <c r="G6" s="8">
        <f>BDP("VIX Index","CHG_PCT_YTD")</f>
        <v/>
      </c>
      <c r="H6" s="8">
        <f>BDP("VIX Index","CHG_PCT_1Y")</f>
        <v/>
      </c>
    </row>
    <row r="7">
      <c r="A7" s="5" t="inlineStr">
        <is>
          <t>VVIX</t>
        </is>
      </c>
      <c r="B7" s="6" t="inlineStr">
        <is>
          <t>VVIX Index</t>
        </is>
      </c>
      <c r="C7" s="7">
        <f>BDP("VVIX Index","PX_LAST")</f>
        <v/>
      </c>
      <c r="D7" s="8">
        <f>BDP("VVIX Index","CHG_PCT_1D")</f>
        <v/>
      </c>
      <c r="E7" s="8">
        <f>BDP("VVIX Index","CHG_PCT_5D")</f>
        <v/>
      </c>
      <c r="F7" s="8">
        <f>BDP("VVIX Index","CHG_PCT_MTD")</f>
        <v/>
      </c>
      <c r="G7" s="8">
        <f>BDP("VVIX Index","CHG_PCT_YTD")</f>
        <v/>
      </c>
      <c r="H7" s="8">
        <f>BDP("VVIX Index","CHG_PCT_1Y")</f>
        <v/>
      </c>
    </row>
    <row r="8">
      <c r="A8" s="5" t="inlineStr">
        <is>
          <t>VXN (Nasdaq)</t>
        </is>
      </c>
      <c r="B8" s="6" t="inlineStr">
        <is>
          <t>VXN Index</t>
        </is>
      </c>
      <c r="C8" s="7">
        <f>BDP("VXN Index","PX_LAST")</f>
        <v/>
      </c>
      <c r="D8" s="8">
        <f>BDP("VXN Index","CHG_PCT_1D")</f>
        <v/>
      </c>
      <c r="E8" s="8">
        <f>BDP("VXN Index","CHG_PCT_5D")</f>
        <v/>
      </c>
      <c r="F8" s="8">
        <f>BDP("VXN Index","CHG_PCT_MTD")</f>
        <v/>
      </c>
      <c r="G8" s="8">
        <f>BDP("VXN Index","CHG_PCT_YTD")</f>
        <v/>
      </c>
      <c r="H8" s="8">
        <f>BDP("VXN Index","CHG_PCT_1Y")</f>
        <v/>
      </c>
    </row>
    <row r="9">
      <c r="A9" s="5" t="inlineStr">
        <is>
          <t>RVX (Russell)</t>
        </is>
      </c>
      <c r="B9" s="6" t="inlineStr">
        <is>
          <t>RVX Index</t>
        </is>
      </c>
      <c r="C9" s="7">
        <f>BDP("RVX Index","PX_LAST")</f>
        <v/>
      </c>
      <c r="D9" s="8">
        <f>BDP("RVX Index","CHG_PCT_1D")</f>
        <v/>
      </c>
      <c r="E9" s="8">
        <f>BDP("RVX Index","CHG_PCT_5D")</f>
        <v/>
      </c>
      <c r="F9" s="8">
        <f>BDP("RVX Index","CHG_PCT_MTD")</f>
        <v/>
      </c>
      <c r="G9" s="8">
        <f>BDP("RVX Index","CHG_PCT_YTD")</f>
        <v/>
      </c>
      <c r="H9" s="8">
        <f>BDP("RVX Index","CHG_PCT_1Y")</f>
        <v/>
      </c>
    </row>
    <row r="10">
      <c r="A10" s="5" t="inlineStr">
        <is>
          <t>V2X (EuroStoxx)</t>
        </is>
      </c>
      <c r="B10" s="6" t="inlineStr">
        <is>
          <t>V2X Index</t>
        </is>
      </c>
      <c r="C10" s="7">
        <f>BDP("V2X Index","PX_LAST")</f>
        <v/>
      </c>
      <c r="D10" s="8">
        <f>BDP("V2X Index","CHG_PCT_1D")</f>
        <v/>
      </c>
      <c r="E10" s="8">
        <f>BDP("V2X Index","CHG_PCT_5D")</f>
        <v/>
      </c>
      <c r="F10" s="8">
        <f>BDP("V2X Index","CHG_PCT_MTD")</f>
        <v/>
      </c>
      <c r="G10" s="8">
        <f>BDP("V2X Index","CHG_PCT_YTD")</f>
        <v/>
      </c>
      <c r="H10" s="8">
        <f>BDP("V2X Index","CHG_PCT_1Y")</f>
        <v/>
      </c>
    </row>
    <row r="11">
      <c r="A11" s="5" t="inlineStr">
        <is>
          <t>VNKY (Nikkei)</t>
        </is>
      </c>
      <c r="B11" s="6" t="inlineStr">
        <is>
          <t>VNKY Index</t>
        </is>
      </c>
      <c r="C11" s="7">
        <f>BDP("VNKY Index","PX_LAST")</f>
        <v/>
      </c>
      <c r="D11" s="8">
        <f>BDP("VNKY Index","CHG_PCT_1D")</f>
        <v/>
      </c>
      <c r="E11" s="8">
        <f>BDP("VNKY Index","CHG_PCT_5D")</f>
        <v/>
      </c>
      <c r="F11" s="8">
        <f>BDP("VNKY Index","CHG_PCT_MTD")</f>
        <v/>
      </c>
      <c r="G11" s="8">
        <f>BDP("VNKY Index","CHG_PCT_YTD")</f>
        <v/>
      </c>
      <c r="H11" s="8">
        <f>BDP("VNKY Index","CHG_PCT_1Y")</f>
        <v/>
      </c>
    </row>
    <row r="12">
      <c r="A12" s="5" t="inlineStr">
        <is>
          <t>VHSI (HSI)</t>
        </is>
      </c>
      <c r="B12" s="6" t="inlineStr">
        <is>
          <t>VHSI Index</t>
        </is>
      </c>
      <c r="C12" s="7">
        <f>BDP("VHSI Index","PX_LAST")</f>
        <v/>
      </c>
      <c r="D12" s="8">
        <f>BDP("VHSI Index","CHG_PCT_1D")</f>
        <v/>
      </c>
      <c r="E12" s="8">
        <f>BDP("VHSI Index","CHG_PCT_5D")</f>
        <v/>
      </c>
      <c r="F12" s="8">
        <f>BDP("VHSI Index","CHG_PCT_MTD")</f>
        <v/>
      </c>
      <c r="G12" s="8">
        <f>BDP("VHSI Index","CHG_PCT_YTD")</f>
        <v/>
      </c>
      <c r="H12" s="8">
        <f>BDP("VHSI Index","CHG_PCT_1Y")</f>
        <v/>
      </c>
    </row>
    <row r="13">
      <c r="A13" s="5" t="inlineStr">
        <is>
          <t>VXEEM (EM)</t>
        </is>
      </c>
      <c r="B13" s="6" t="inlineStr">
        <is>
          <t>VXEEM Index</t>
        </is>
      </c>
      <c r="C13" s="7">
        <f>BDP("VXEEM Index","PX_LAST")</f>
        <v/>
      </c>
      <c r="D13" s="8">
        <f>BDP("VXEEM Index","CHG_PCT_1D")</f>
        <v/>
      </c>
      <c r="E13" s="8">
        <f>BDP("VXEEM Index","CHG_PCT_5D")</f>
        <v/>
      </c>
      <c r="F13" s="8">
        <f>BDP("VXEEM Index","CHG_PCT_MTD")</f>
        <v/>
      </c>
      <c r="G13" s="8">
        <f>BDP("VXEEM Index","CHG_PCT_YTD")</f>
        <v/>
      </c>
      <c r="H13" s="8">
        <f>BDP("VXEEM Index","CHG_PCT_1Y")</f>
        <v/>
      </c>
    </row>
    <row r="14">
      <c r="A14" s="4" t="inlineStr">
        <is>
          <t>Rates &amp; Credit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5" t="inlineStr">
        <is>
          <t>MOVE Index</t>
        </is>
      </c>
      <c r="B15" s="6" t="inlineStr">
        <is>
          <t>MOVE Index</t>
        </is>
      </c>
      <c r="C15" s="7">
        <f>BDP("MOVE Index","PX_LAST")</f>
        <v/>
      </c>
      <c r="D15" s="8">
        <f>BDP("MOVE Index","CHG_PCT_1D")</f>
        <v/>
      </c>
      <c r="E15" s="8">
        <f>BDP("MOVE Index","CHG_PCT_5D")</f>
        <v/>
      </c>
      <c r="F15" s="8">
        <f>BDP("MOVE Index","CHG_PCT_MTD")</f>
        <v/>
      </c>
      <c r="G15" s="8">
        <f>BDP("MOVE Index","CHG_PCT_YTD")</f>
        <v/>
      </c>
      <c r="H15" s="8">
        <f>BDP("MOVE Index","CHG_PCT_1Y")</f>
        <v/>
      </c>
    </row>
    <row r="16">
      <c r="A16" s="5" t="inlineStr">
        <is>
          <t>SRVIX (US swaption)</t>
        </is>
      </c>
      <c r="B16" s="6" t="inlineStr">
        <is>
          <t>SRVIX Index</t>
        </is>
      </c>
      <c r="C16" s="7">
        <f>BDP("SRVIX Index","PX_LAST")</f>
        <v/>
      </c>
      <c r="D16" s="8">
        <f>BDP("SRVIX Index","CHG_PCT_1D")</f>
        <v/>
      </c>
      <c r="E16" s="8">
        <f>BDP("SRVIX Index","CHG_PCT_5D")</f>
        <v/>
      </c>
      <c r="F16" s="8">
        <f>BDP("SRVIX Index","CHG_PCT_MTD")</f>
        <v/>
      </c>
      <c r="G16" s="8">
        <f>BDP("SRVIX Index","CHG_PCT_YTD")</f>
        <v/>
      </c>
      <c r="H16" s="8">
        <f>BDP("SRVIX Index","CHG_PCT_1Y")</f>
        <v/>
      </c>
    </row>
    <row r="17">
      <c r="A17" s="5" t="inlineStr">
        <is>
          <t>CDX HY 5Y Vol (proxy)</t>
        </is>
      </c>
      <c r="B17" s="6" t="inlineStr">
        <is>
          <t>IBOXHYSE Index</t>
        </is>
      </c>
      <c r="C17" s="9">
        <f>BDP("IBOXHYSE Index","PX_LAST")</f>
        <v/>
      </c>
      <c r="D17" s="10">
        <f>BDP("IBOXHYSE Index","CHG_NET_1D")</f>
        <v/>
      </c>
      <c r="E17" s="10">
        <f>BDP("IBOXHYSE Index","CHG_NET_5D")</f>
        <v/>
      </c>
      <c r="F17" s="10">
        <f>BDP("IBOXHYSE Index","CHG_NET_MTD")</f>
        <v/>
      </c>
      <c r="G17" s="10">
        <f>BDP("IBOXHYSE Index","CHG_NET_YTD")</f>
        <v/>
      </c>
      <c r="H17" s="10">
        <f>BDP("IBOXHYSE Index","CHG_NET_1Y")</f>
        <v/>
      </c>
    </row>
    <row r="18">
      <c r="A18" s="4" t="inlineStr">
        <is>
          <t>FX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5" t="inlineStr">
        <is>
          <t>CVIX (Deutsche)</t>
        </is>
      </c>
      <c r="B19" s="6" t="inlineStr">
        <is>
          <t>CVIX Index</t>
        </is>
      </c>
      <c r="C19" s="7">
        <f>BDP("CVIX Index","PX_LAST")</f>
        <v/>
      </c>
      <c r="D19" s="8">
        <f>BDP("CVIX Index","CHG_PCT_1D")</f>
        <v/>
      </c>
      <c r="E19" s="8">
        <f>BDP("CVIX Index","CHG_PCT_5D")</f>
        <v/>
      </c>
      <c r="F19" s="8">
        <f>BDP("CVIX Index","CHG_PCT_MTD")</f>
        <v/>
      </c>
      <c r="G19" s="8">
        <f>BDP("CVIX Index","CHG_PCT_YTD")</f>
        <v/>
      </c>
      <c r="H19" s="8">
        <f>BDP("CVIX Index","CHG_PCT_1Y")</f>
        <v/>
      </c>
    </row>
    <row r="20">
      <c r="A20" s="5" t="inlineStr">
        <is>
          <t>JPM G7 FX Vol</t>
        </is>
      </c>
      <c r="B20" s="6" t="inlineStr">
        <is>
          <t>JPMVXYG7 Index</t>
        </is>
      </c>
      <c r="C20" s="7">
        <f>BDP("JPMVXYG7 Index","PX_LAST")</f>
        <v/>
      </c>
      <c r="D20" s="8">
        <f>BDP("JPMVXYG7 Index","CHG_PCT_1D")</f>
        <v/>
      </c>
      <c r="E20" s="8">
        <f>BDP("JPMVXYG7 Index","CHG_PCT_5D")</f>
        <v/>
      </c>
      <c r="F20" s="8">
        <f>BDP("JPMVXYG7 Index","CHG_PCT_MTD")</f>
        <v/>
      </c>
      <c r="G20" s="8">
        <f>BDP("JPMVXYG7 Index","CHG_PCT_YTD")</f>
        <v/>
      </c>
      <c r="H20" s="8">
        <f>BDP("JPMVXYG7 Index","CHG_PCT_1Y")</f>
        <v/>
      </c>
    </row>
    <row r="21">
      <c r="A21" s="5" t="inlineStr">
        <is>
          <t>JPM EM FX Vol</t>
        </is>
      </c>
      <c r="B21" s="6" t="inlineStr">
        <is>
          <t>JPMVXYEM Index</t>
        </is>
      </c>
      <c r="C21" s="7">
        <f>BDP("JPMVXYEM Index","PX_LAST")</f>
        <v/>
      </c>
      <c r="D21" s="8">
        <f>BDP("JPMVXYEM Index","CHG_PCT_1D")</f>
        <v/>
      </c>
      <c r="E21" s="8">
        <f>BDP("JPMVXYEM Index","CHG_PCT_5D")</f>
        <v/>
      </c>
      <c r="F21" s="8">
        <f>BDP("JPMVXYEM Index","CHG_PCT_MTD")</f>
        <v/>
      </c>
      <c r="G21" s="8">
        <f>BDP("JPMVXYEM Index","CHG_PCT_YTD")</f>
        <v/>
      </c>
      <c r="H21" s="8">
        <f>BDP("JPMVXYEM Index","CHG_PCT_1Y")</f>
        <v/>
      </c>
    </row>
    <row r="22">
      <c r="A22" s="4" t="inlineStr">
        <is>
          <t>Commodities</t>
        </is>
      </c>
      <c r="B22" s="4" t="n"/>
      <c r="C22" s="4" t="n"/>
      <c r="D22" s="4" t="n"/>
      <c r="E22" s="4" t="n"/>
      <c r="F22" s="4" t="n"/>
      <c r="G22" s="4" t="n"/>
      <c r="H22" s="4" t="n"/>
    </row>
    <row r="23">
      <c r="A23" s="5" t="inlineStr">
        <is>
          <t>OVX (oil vol)</t>
        </is>
      </c>
      <c r="B23" s="6" t="inlineStr">
        <is>
          <t>OVX Index</t>
        </is>
      </c>
      <c r="C23" s="7">
        <f>BDP("OVX Index","PX_LAST")</f>
        <v/>
      </c>
      <c r="D23" s="8">
        <f>BDP("OVX Index","CHG_PCT_1D")</f>
        <v/>
      </c>
      <c r="E23" s="8">
        <f>BDP("OVX Index","CHG_PCT_5D")</f>
        <v/>
      </c>
      <c r="F23" s="8">
        <f>BDP("OVX Index","CHG_PCT_MTD")</f>
        <v/>
      </c>
      <c r="G23" s="8">
        <f>BDP("OVX Index","CHG_PCT_YTD")</f>
        <v/>
      </c>
      <c r="H23" s="8">
        <f>BDP("OVX Index","CHG_PCT_1Y")</f>
        <v/>
      </c>
    </row>
    <row r="24">
      <c r="A24" s="5" t="inlineStr">
        <is>
          <t>GVZ (gold vol)</t>
        </is>
      </c>
      <c r="B24" s="6" t="inlineStr">
        <is>
          <t>GVZ Index</t>
        </is>
      </c>
      <c r="C24" s="7">
        <f>BDP("GVZ Index","PX_LAST")</f>
        <v/>
      </c>
      <c r="D24" s="8">
        <f>BDP("GVZ Index","CHG_PCT_1D")</f>
        <v/>
      </c>
      <c r="E24" s="8">
        <f>BDP("GVZ Index","CHG_PCT_5D")</f>
        <v/>
      </c>
      <c r="F24" s="8">
        <f>BDP("GVZ Index","CHG_PCT_MTD")</f>
        <v/>
      </c>
      <c r="G24" s="8">
        <f>BDP("GVZ Index","CHG_PCT_YTD")</f>
        <v/>
      </c>
      <c r="H24" s="8">
        <f>BDP("GVZ Index","CHG_PCT_1Y")</f>
        <v/>
      </c>
    </row>
    <row r="25">
      <c r="A25" s="4" t="inlineStr">
        <is>
          <t>VIX Term Structure (front / 4m)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5" t="inlineStr">
        <is>
          <t>VIX front</t>
        </is>
      </c>
      <c r="B26" s="6" t="inlineStr">
        <is>
          <t>UX1 Index</t>
        </is>
      </c>
      <c r="C26" s="7">
        <f>BDP("UX1 Index","PX_LAST")</f>
        <v/>
      </c>
      <c r="D26" s="8">
        <f>BDP("UX1 Index","CHG_PCT_1D")</f>
        <v/>
      </c>
      <c r="E26" s="8">
        <f>BDP("UX1 Index","CHG_PCT_5D")</f>
        <v/>
      </c>
      <c r="F26" s="8">
        <f>BDP("UX1 Index","CHG_PCT_MTD")</f>
        <v/>
      </c>
      <c r="G26" s="8">
        <f>BDP("UX1 Index","CHG_PCT_YTD")</f>
        <v/>
      </c>
      <c r="H26" s="8">
        <f>BDP("UX1 Index","CHG_PCT_1Y")</f>
        <v/>
      </c>
    </row>
    <row r="27">
      <c r="A27" s="5" t="inlineStr">
        <is>
          <t>VIX 4m</t>
        </is>
      </c>
      <c r="B27" s="6" t="inlineStr">
        <is>
          <t>UX4 Index</t>
        </is>
      </c>
      <c r="C27" s="7">
        <f>BDP("UX4 Index","PX_LAST")</f>
        <v/>
      </c>
      <c r="D27" s="8">
        <f>BDP("UX4 Index","CHG_PCT_1D")</f>
        <v/>
      </c>
      <c r="E27" s="8">
        <f>BDP("UX4 Index","CHG_PCT_5D")</f>
        <v/>
      </c>
      <c r="F27" s="8">
        <f>BDP("UX4 Index","CHG_PCT_MTD")</f>
        <v/>
      </c>
      <c r="G27" s="8">
        <f>BDP("UX4 Index","CHG_PCT_YTD")</f>
        <v/>
      </c>
      <c r="H27" s="8">
        <f>BDP("UX4 Index","CHG_PCT_1Y")</f>
        <v/>
      </c>
    </row>
    <row r="28">
      <c r="A28" s="4" t="inlineStr">
        <is>
          <t>Term structure metric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11" t="inlineStr">
        <is>
          <t>VIX 4m / VIX front (&gt;1 = contango)</t>
        </is>
      </c>
      <c r="B29" s="12" t="n"/>
      <c r="C29" s="13">
        <f>BDP("UX4 Index","PX_LAST")/BDP("UX1 Index","PX_LAST")</f>
        <v/>
      </c>
      <c r="D29" s="12" t="n"/>
      <c r="E29" s="12" t="n"/>
      <c r="F29" s="12" t="n"/>
      <c r="G29" s="12" t="n"/>
      <c r="H29" s="12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1" customWidth="1" min="4" max="4"/>
    <col width="11" customWidth="1" min="5" max="5"/>
    <col width="9" customWidth="1" min="6" max="6"/>
    <col width="9" customWidth="1" min="7" max="7"/>
    <col width="36" customWidth="1" min="8" max="8"/>
  </cols>
  <sheetData>
    <row r="1">
      <c r="A1" s="1" t="inlineStr">
        <is>
          <t>CFTC Non-Commercial Net Positioning (contracts, weekly)</t>
        </is>
      </c>
    </row>
    <row r="2">
      <c r="A2" s="2" t="inlineStr">
        <is>
          <t>As of:</t>
        </is>
      </c>
      <c r="B2" s="2">
        <f>TEXT(TODAY(),"yyyy-mm-dd")</f>
        <v/>
      </c>
      <c r="C2" s="2" t="inlineStr">
        <is>
          <t>(BBG add-in required for live values)</t>
        </is>
      </c>
    </row>
    <row r="4">
      <c r="A4" s="3" t="inlineStr">
        <is>
          <t>Future</t>
        </is>
      </c>
      <c r="B4" s="3" t="inlineStr">
        <is>
          <t>BBG Ticker</t>
        </is>
      </c>
      <c r="C4" s="3" t="inlineStr">
        <is>
          <t>Net Position</t>
        </is>
      </c>
      <c r="D4" s="3" t="inlineStr">
        <is>
          <t>1w Δ</t>
        </is>
      </c>
      <c r="E4" s="3" t="inlineStr">
        <is>
          <t>4w Δ</t>
        </is>
      </c>
      <c r="F4" s="3" t="inlineStr">
        <is>
          <t>%ile 1Y</t>
        </is>
      </c>
      <c r="G4" s="3" t="inlineStr">
        <is>
          <t>%ile 3Y</t>
        </is>
      </c>
      <c r="H4" s="3" t="inlineStr">
        <is>
          <t>Notes</t>
        </is>
      </c>
    </row>
    <row r="5">
      <c r="A5" s="4" t="inlineStr">
        <is>
          <t>Rates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11" t="inlineStr">
        <is>
          <t>UST 10Y note</t>
        </is>
      </c>
      <c r="B6" s="14" t="inlineStr">
        <is>
          <t>IMM0067 Index</t>
        </is>
      </c>
      <c r="C6" s="15">
        <f>BDP("IMM0067 Index","PX_LAST")</f>
        <v/>
      </c>
      <c r="D6" s="15">
        <f>BDP("IMM0067 Index","CHG_NET_5D")</f>
        <v/>
      </c>
      <c r="E6" s="15">
        <f>BDP("IMM0067 Index","CHG_NET_1M")</f>
        <v/>
      </c>
      <c r="F6" s="16">
        <f>BDP("IMM0067 Index","PCT_RANK_252D")</f>
        <v/>
      </c>
      <c r="G6" s="16">
        <f>BDP("IMM0067 Index","PCT_RANK_756D")</f>
        <v/>
      </c>
      <c r="H6" s="17" t="inlineStr">
        <is>
          <t>Verify IMM ticker on TRACE / CFTC&lt;GO&gt;</t>
        </is>
      </c>
    </row>
    <row r="7">
      <c r="A7" s="11" t="inlineStr">
        <is>
          <t>UST 30Y bond</t>
        </is>
      </c>
      <c r="B7" s="14" t="inlineStr">
        <is>
          <t>IMM0066 Index</t>
        </is>
      </c>
      <c r="C7" s="15">
        <f>BDP("IMM0066 Index","PX_LAST")</f>
        <v/>
      </c>
      <c r="D7" s="15">
        <f>BDP("IMM0066 Index","CHG_NET_5D")</f>
        <v/>
      </c>
      <c r="E7" s="15">
        <f>BDP("IMM0066 Index","CHG_NET_1M")</f>
        <v/>
      </c>
      <c r="F7" s="16">
        <f>BDP("IMM0066 Index","PCT_RANK_252D")</f>
        <v/>
      </c>
      <c r="G7" s="16">
        <f>BDP("IMM0066 Index","PCT_RANK_756D")</f>
        <v/>
      </c>
      <c r="H7" s="17" t="inlineStr">
        <is>
          <t>Verify IMM ticker on TRACE / CFTC&lt;GO&gt;</t>
        </is>
      </c>
    </row>
    <row r="8">
      <c r="A8" s="11" t="inlineStr">
        <is>
          <t>UST 2Y note</t>
        </is>
      </c>
      <c r="B8" s="14" t="inlineStr">
        <is>
          <t>IMM0068 Index</t>
        </is>
      </c>
      <c r="C8" s="15">
        <f>BDP("IMM0068 Index","PX_LAST")</f>
        <v/>
      </c>
      <c r="D8" s="15">
        <f>BDP("IMM0068 Index","CHG_NET_5D")</f>
        <v/>
      </c>
      <c r="E8" s="15">
        <f>BDP("IMM0068 Index","CHG_NET_1M")</f>
        <v/>
      </c>
      <c r="F8" s="16">
        <f>BDP("IMM0068 Index","PCT_RANK_252D")</f>
        <v/>
      </c>
      <c r="G8" s="16">
        <f>BDP("IMM0068 Index","PCT_RANK_756D")</f>
        <v/>
      </c>
      <c r="H8" s="17" t="inlineStr">
        <is>
          <t>Verify IMM ticker on TRACE / CFTC&lt;GO&gt;</t>
        </is>
      </c>
    </row>
    <row r="9">
      <c r="A9" s="11" t="inlineStr">
        <is>
          <t>SOFR 3M</t>
        </is>
      </c>
      <c r="B9" s="14" t="inlineStr">
        <is>
          <t>IMM0114 Index</t>
        </is>
      </c>
      <c r="C9" s="15">
        <f>BDP("IMM0114 Index","PX_LAST")</f>
        <v/>
      </c>
      <c r="D9" s="15">
        <f>BDP("IMM0114 Index","CHG_NET_5D")</f>
        <v/>
      </c>
      <c r="E9" s="15">
        <f>BDP("IMM0114 Index","CHG_NET_1M")</f>
        <v/>
      </c>
      <c r="F9" s="16">
        <f>BDP("IMM0114 Index","PCT_RANK_252D")</f>
        <v/>
      </c>
      <c r="G9" s="16">
        <f>BDP("IMM0114 Index","PCT_RANK_756D")</f>
        <v/>
      </c>
      <c r="H9" s="17" t="inlineStr">
        <is>
          <t>Verify IMM ticker on TRACE / CFTC&lt;GO&gt;</t>
        </is>
      </c>
    </row>
    <row r="10">
      <c r="A10" s="4" t="inlineStr">
        <is>
          <t>FX (vs USD)</t>
        </is>
      </c>
      <c r="B10" s="4" t="n"/>
      <c r="C10" s="4" t="n"/>
      <c r="D10" s="4" t="n"/>
      <c r="E10" s="4" t="n"/>
      <c r="F10" s="4" t="n"/>
      <c r="G10" s="4" t="n"/>
      <c r="H10" s="4" t="n"/>
    </row>
    <row r="11">
      <c r="A11" s="11" t="inlineStr">
        <is>
          <t>EUR FX</t>
        </is>
      </c>
      <c r="B11" s="14" t="inlineStr">
        <is>
          <t>IMM0001 Index</t>
        </is>
      </c>
      <c r="C11" s="15">
        <f>BDP("IMM0001 Index","PX_LAST")</f>
        <v/>
      </c>
      <c r="D11" s="15">
        <f>BDP("IMM0001 Index","CHG_NET_5D")</f>
        <v/>
      </c>
      <c r="E11" s="15">
        <f>BDP("IMM0001 Index","CHG_NET_1M")</f>
        <v/>
      </c>
      <c r="F11" s="16">
        <f>BDP("IMM0001 Index","PCT_RANK_252D")</f>
        <v/>
      </c>
      <c r="G11" s="16">
        <f>BDP("IMM0001 Index","PCT_RANK_756D")</f>
        <v/>
      </c>
      <c r="H11" s="17" t="inlineStr">
        <is>
          <t>Verify IMM ticker on TRACE / CFTC&lt;GO&gt;</t>
        </is>
      </c>
    </row>
    <row r="12">
      <c r="A12" s="11" t="inlineStr">
        <is>
          <t>JPY FX</t>
        </is>
      </c>
      <c r="B12" s="14" t="inlineStr">
        <is>
          <t>IMM0002 Index</t>
        </is>
      </c>
      <c r="C12" s="15">
        <f>BDP("IMM0002 Index","PX_LAST")</f>
        <v/>
      </c>
      <c r="D12" s="15">
        <f>BDP("IMM0002 Index","CHG_NET_5D")</f>
        <v/>
      </c>
      <c r="E12" s="15">
        <f>BDP("IMM0002 Index","CHG_NET_1M")</f>
        <v/>
      </c>
      <c r="F12" s="16">
        <f>BDP("IMM0002 Index","PCT_RANK_252D")</f>
        <v/>
      </c>
      <c r="G12" s="16">
        <f>BDP("IMM0002 Index","PCT_RANK_756D")</f>
        <v/>
      </c>
      <c r="H12" s="17" t="inlineStr">
        <is>
          <t>Verify IMM ticker on TRACE / CFTC&lt;GO&gt;</t>
        </is>
      </c>
    </row>
    <row r="13">
      <c r="A13" s="11" t="inlineStr">
        <is>
          <t>GBP FX</t>
        </is>
      </c>
      <c r="B13" s="14" t="inlineStr">
        <is>
          <t>IMM0003 Index</t>
        </is>
      </c>
      <c r="C13" s="15">
        <f>BDP("IMM0003 Index","PX_LAST")</f>
        <v/>
      </c>
      <c r="D13" s="15">
        <f>BDP("IMM0003 Index","CHG_NET_5D")</f>
        <v/>
      </c>
      <c r="E13" s="15">
        <f>BDP("IMM0003 Index","CHG_NET_1M")</f>
        <v/>
      </c>
      <c r="F13" s="16">
        <f>BDP("IMM0003 Index","PCT_RANK_252D")</f>
        <v/>
      </c>
      <c r="G13" s="16">
        <f>BDP("IMM0003 Index","PCT_RANK_756D")</f>
        <v/>
      </c>
      <c r="H13" s="17" t="inlineStr">
        <is>
          <t>Verify IMM ticker on TRACE / CFTC&lt;GO&gt;</t>
        </is>
      </c>
    </row>
    <row r="14">
      <c r="A14" s="11" t="inlineStr">
        <is>
          <t>CHF FX</t>
        </is>
      </c>
      <c r="B14" s="14" t="inlineStr">
        <is>
          <t>IMM0004 Index</t>
        </is>
      </c>
      <c r="C14" s="15">
        <f>BDP("IMM0004 Index","PX_LAST")</f>
        <v/>
      </c>
      <c r="D14" s="15">
        <f>BDP("IMM0004 Index","CHG_NET_5D")</f>
        <v/>
      </c>
      <c r="E14" s="15">
        <f>BDP("IMM0004 Index","CHG_NET_1M")</f>
        <v/>
      </c>
      <c r="F14" s="16">
        <f>BDP("IMM0004 Index","PCT_RANK_252D")</f>
        <v/>
      </c>
      <c r="G14" s="16">
        <f>BDP("IMM0004 Index","PCT_RANK_756D")</f>
        <v/>
      </c>
      <c r="H14" s="17" t="inlineStr">
        <is>
          <t>Verify IMM ticker on TRACE / CFTC&lt;GO&gt;</t>
        </is>
      </c>
    </row>
    <row r="15">
      <c r="A15" s="11" t="inlineStr">
        <is>
          <t>CAD FX</t>
        </is>
      </c>
      <c r="B15" s="14" t="inlineStr">
        <is>
          <t>IMM0005 Index</t>
        </is>
      </c>
      <c r="C15" s="15">
        <f>BDP("IMM0005 Index","PX_LAST")</f>
        <v/>
      </c>
      <c r="D15" s="15">
        <f>BDP("IMM0005 Index","CHG_NET_5D")</f>
        <v/>
      </c>
      <c r="E15" s="15">
        <f>BDP("IMM0005 Index","CHG_NET_1M")</f>
        <v/>
      </c>
      <c r="F15" s="16">
        <f>BDP("IMM0005 Index","PCT_RANK_252D")</f>
        <v/>
      </c>
      <c r="G15" s="16">
        <f>BDP("IMM0005 Index","PCT_RANK_756D")</f>
        <v/>
      </c>
      <c r="H15" s="17" t="inlineStr">
        <is>
          <t>Verify IMM ticker on TRACE / CFTC&lt;GO&gt;</t>
        </is>
      </c>
    </row>
    <row r="16">
      <c r="A16" s="11" t="inlineStr">
        <is>
          <t>AUD FX</t>
        </is>
      </c>
      <c r="B16" s="14" t="inlineStr">
        <is>
          <t>IMM0006 Index</t>
        </is>
      </c>
      <c r="C16" s="15">
        <f>BDP("IMM0006 Index","PX_LAST")</f>
        <v/>
      </c>
      <c r="D16" s="15">
        <f>BDP("IMM0006 Index","CHG_NET_5D")</f>
        <v/>
      </c>
      <c r="E16" s="15">
        <f>BDP("IMM0006 Index","CHG_NET_1M")</f>
        <v/>
      </c>
      <c r="F16" s="16">
        <f>BDP("IMM0006 Index","PCT_RANK_252D")</f>
        <v/>
      </c>
      <c r="G16" s="16">
        <f>BDP("IMM0006 Index","PCT_RANK_756D")</f>
        <v/>
      </c>
      <c r="H16" s="17" t="inlineStr">
        <is>
          <t>Verify IMM ticker on TRACE / CFTC&lt;GO&gt;</t>
        </is>
      </c>
    </row>
    <row r="17">
      <c r="A17" s="11" t="inlineStr">
        <is>
          <t>MXN FX</t>
        </is>
      </c>
      <c r="B17" s="14" t="inlineStr">
        <is>
          <t>IMM0007 Index</t>
        </is>
      </c>
      <c r="C17" s="15">
        <f>BDP("IMM0007 Index","PX_LAST")</f>
        <v/>
      </c>
      <c r="D17" s="15">
        <f>BDP("IMM0007 Index","CHG_NET_5D")</f>
        <v/>
      </c>
      <c r="E17" s="15">
        <f>BDP("IMM0007 Index","CHG_NET_1M")</f>
        <v/>
      </c>
      <c r="F17" s="16">
        <f>BDP("IMM0007 Index","PCT_RANK_252D")</f>
        <v/>
      </c>
      <c r="G17" s="16">
        <f>BDP("IMM0007 Index","PCT_RANK_756D")</f>
        <v/>
      </c>
      <c r="H17" s="17" t="inlineStr">
        <is>
          <t>Verify IMM ticker on TRACE / CFTC&lt;GO&gt;</t>
        </is>
      </c>
    </row>
    <row r="18">
      <c r="A18" s="11" t="inlineStr">
        <is>
          <t>BRL FX</t>
        </is>
      </c>
      <c r="B18" s="14" t="inlineStr">
        <is>
          <t>IMM0009 Index</t>
        </is>
      </c>
      <c r="C18" s="15">
        <f>BDP("IMM0009 Index","PX_LAST")</f>
        <v/>
      </c>
      <c r="D18" s="15">
        <f>BDP("IMM0009 Index","CHG_NET_5D")</f>
        <v/>
      </c>
      <c r="E18" s="15">
        <f>BDP("IMM0009 Index","CHG_NET_1M")</f>
        <v/>
      </c>
      <c r="F18" s="16">
        <f>BDP("IMM0009 Index","PCT_RANK_252D")</f>
        <v/>
      </c>
      <c r="G18" s="16">
        <f>BDP("IMM0009 Index","PCT_RANK_756D")</f>
        <v/>
      </c>
      <c r="H18" s="17" t="inlineStr">
        <is>
          <t>Verify IMM ticker on TRACE / CFTC&lt;GO&gt;</t>
        </is>
      </c>
    </row>
    <row r="19">
      <c r="A19" s="4" t="inlineStr">
        <is>
          <t>Equity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11" t="inlineStr">
        <is>
          <t>S&amp;P 500 e-mini</t>
        </is>
      </c>
      <c r="B20" s="14" t="inlineStr">
        <is>
          <t>IMM0024 Index</t>
        </is>
      </c>
      <c r="C20" s="15">
        <f>BDP("IMM0024 Index","PX_LAST")</f>
        <v/>
      </c>
      <c r="D20" s="15">
        <f>BDP("IMM0024 Index","CHG_NET_5D")</f>
        <v/>
      </c>
      <c r="E20" s="15">
        <f>BDP("IMM0024 Index","CHG_NET_1M")</f>
        <v/>
      </c>
      <c r="F20" s="16">
        <f>BDP("IMM0024 Index","PCT_RANK_252D")</f>
        <v/>
      </c>
      <c r="G20" s="16">
        <f>BDP("IMM0024 Index","PCT_RANK_756D")</f>
        <v/>
      </c>
      <c r="H20" s="17" t="inlineStr">
        <is>
          <t>Verify IMM ticker on TRACE / CFTC&lt;GO&gt;</t>
        </is>
      </c>
    </row>
    <row r="21">
      <c r="A21" s="11" t="inlineStr">
        <is>
          <t>Nasdaq 100</t>
        </is>
      </c>
      <c r="B21" s="14" t="inlineStr">
        <is>
          <t>IMM0025 Index</t>
        </is>
      </c>
      <c r="C21" s="15">
        <f>BDP("IMM0025 Index","PX_LAST")</f>
        <v/>
      </c>
      <c r="D21" s="15">
        <f>BDP("IMM0025 Index","CHG_NET_5D")</f>
        <v/>
      </c>
      <c r="E21" s="15">
        <f>BDP("IMM0025 Index","CHG_NET_1M")</f>
        <v/>
      </c>
      <c r="F21" s="16">
        <f>BDP("IMM0025 Index","PCT_RANK_252D")</f>
        <v/>
      </c>
      <c r="G21" s="16">
        <f>BDP("IMM0025 Index","PCT_RANK_756D")</f>
        <v/>
      </c>
      <c r="H21" s="17" t="inlineStr">
        <is>
          <t>Verify IMM ticker on TRACE / CFTC&lt;GO&gt;</t>
        </is>
      </c>
    </row>
    <row r="22">
      <c r="A22" s="11" t="inlineStr">
        <is>
          <t>Russell 2000</t>
        </is>
      </c>
      <c r="B22" s="14" t="inlineStr">
        <is>
          <t>IMM0026 Index</t>
        </is>
      </c>
      <c r="C22" s="15">
        <f>BDP("IMM0026 Index","PX_LAST")</f>
        <v/>
      </c>
      <c r="D22" s="15">
        <f>BDP("IMM0026 Index","CHG_NET_5D")</f>
        <v/>
      </c>
      <c r="E22" s="15">
        <f>BDP("IMM0026 Index","CHG_NET_1M")</f>
        <v/>
      </c>
      <c r="F22" s="16">
        <f>BDP("IMM0026 Index","PCT_RANK_252D")</f>
        <v/>
      </c>
      <c r="G22" s="16">
        <f>BDP("IMM0026 Index","PCT_RANK_756D")</f>
        <v/>
      </c>
      <c r="H22" s="17" t="inlineStr">
        <is>
          <t>Verify IMM ticker on TRACE / CFTC&lt;GO&gt;</t>
        </is>
      </c>
    </row>
    <row r="23">
      <c r="A23" s="11" t="inlineStr">
        <is>
          <t>VIX futures</t>
        </is>
      </c>
      <c r="B23" s="14" t="inlineStr">
        <is>
          <t>IMM0048 Index</t>
        </is>
      </c>
      <c r="C23" s="15">
        <f>BDP("IMM0048 Index","PX_LAST")</f>
        <v/>
      </c>
      <c r="D23" s="15">
        <f>BDP("IMM0048 Index","CHG_NET_5D")</f>
        <v/>
      </c>
      <c r="E23" s="15">
        <f>BDP("IMM0048 Index","CHG_NET_1M")</f>
        <v/>
      </c>
      <c r="F23" s="16">
        <f>BDP("IMM0048 Index","PCT_RANK_252D")</f>
        <v/>
      </c>
      <c r="G23" s="16">
        <f>BDP("IMM0048 Index","PCT_RANK_756D")</f>
        <v/>
      </c>
      <c r="H23" s="17" t="inlineStr">
        <is>
          <t>Verify IMM ticker on TRACE / CFTC&lt;GO&gt;</t>
        </is>
      </c>
    </row>
    <row r="24">
      <c r="A24" s="4" t="inlineStr">
        <is>
          <t>Commodities</t>
        </is>
      </c>
      <c r="B24" s="4" t="n"/>
      <c r="C24" s="4" t="n"/>
      <c r="D24" s="4" t="n"/>
      <c r="E24" s="4" t="n"/>
      <c r="F24" s="4" t="n"/>
      <c r="G24" s="4" t="n"/>
      <c r="H24" s="4" t="n"/>
    </row>
    <row r="25">
      <c r="A25" s="11" t="inlineStr">
        <is>
          <t>WTI Crude</t>
        </is>
      </c>
      <c r="B25" s="14" t="inlineStr">
        <is>
          <t>IMM0090 Index</t>
        </is>
      </c>
      <c r="C25" s="15">
        <f>BDP("IMM0090 Index","PX_LAST")</f>
        <v/>
      </c>
      <c r="D25" s="15">
        <f>BDP("IMM0090 Index","CHG_NET_5D")</f>
        <v/>
      </c>
      <c r="E25" s="15">
        <f>BDP("IMM0090 Index","CHG_NET_1M")</f>
        <v/>
      </c>
      <c r="F25" s="16">
        <f>BDP("IMM0090 Index","PCT_RANK_252D")</f>
        <v/>
      </c>
      <c r="G25" s="16">
        <f>BDP("IMM0090 Index","PCT_RANK_756D")</f>
        <v/>
      </c>
      <c r="H25" s="17" t="inlineStr">
        <is>
          <t>Verify IMM ticker on TRACE / CFTC&lt;GO&gt;</t>
        </is>
      </c>
    </row>
    <row r="26">
      <c r="A26" s="11" t="inlineStr">
        <is>
          <t>Gold</t>
        </is>
      </c>
      <c r="B26" s="14" t="inlineStr">
        <is>
          <t>IMM0080 Index</t>
        </is>
      </c>
      <c r="C26" s="15">
        <f>BDP("IMM0080 Index","PX_LAST")</f>
        <v/>
      </c>
      <c r="D26" s="15">
        <f>BDP("IMM0080 Index","CHG_NET_5D")</f>
        <v/>
      </c>
      <c r="E26" s="15">
        <f>BDP("IMM0080 Index","CHG_NET_1M")</f>
        <v/>
      </c>
      <c r="F26" s="16">
        <f>BDP("IMM0080 Index","PCT_RANK_252D")</f>
        <v/>
      </c>
      <c r="G26" s="16">
        <f>BDP("IMM0080 Index","PCT_RANK_756D")</f>
        <v/>
      </c>
      <c r="H26" s="17" t="inlineStr">
        <is>
          <t>Verify IMM ticker on TRACE / CFTC&lt;GO&gt;</t>
        </is>
      </c>
    </row>
    <row r="27">
      <c r="A27" s="11" t="inlineStr">
        <is>
          <t>Silver</t>
        </is>
      </c>
      <c r="B27" s="14" t="inlineStr">
        <is>
          <t>IMM0081 Index</t>
        </is>
      </c>
      <c r="C27" s="15">
        <f>BDP("IMM0081 Index","PX_LAST")</f>
        <v/>
      </c>
      <c r="D27" s="15">
        <f>BDP("IMM0081 Index","CHG_NET_5D")</f>
        <v/>
      </c>
      <c r="E27" s="15">
        <f>BDP("IMM0081 Index","CHG_NET_1M")</f>
        <v/>
      </c>
      <c r="F27" s="16">
        <f>BDP("IMM0081 Index","PCT_RANK_252D")</f>
        <v/>
      </c>
      <c r="G27" s="16">
        <f>BDP("IMM0081 Index","PCT_RANK_756D")</f>
        <v/>
      </c>
      <c r="H27" s="17" t="inlineStr">
        <is>
          <t>Verify IMM ticker on TRACE / CFTC&lt;GO&gt;</t>
        </is>
      </c>
    </row>
    <row r="28">
      <c r="A28" s="11" t="inlineStr">
        <is>
          <t>Copper</t>
        </is>
      </c>
      <c r="B28" s="14" t="inlineStr">
        <is>
          <t>IMM0086 Index</t>
        </is>
      </c>
      <c r="C28" s="15">
        <f>BDP("IMM0086 Index","PX_LAST")</f>
        <v/>
      </c>
      <c r="D28" s="15">
        <f>BDP("IMM0086 Index","CHG_NET_5D")</f>
        <v/>
      </c>
      <c r="E28" s="15">
        <f>BDP("IMM0086 Index","CHG_NET_1M")</f>
        <v/>
      </c>
      <c r="F28" s="16">
        <f>BDP("IMM0086 Index","PCT_RANK_252D")</f>
        <v/>
      </c>
      <c r="G28" s="16">
        <f>BDP("IMM0086 Index","PCT_RANK_756D")</f>
        <v/>
      </c>
      <c r="H28" s="17" t="inlineStr">
        <is>
          <t>Verify IMM ticker on TRACE / CFTC&lt;GO&gt;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1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Citi Economic Surprise Indices (level + change)</t>
        </is>
      </c>
    </row>
    <row r="2">
      <c r="A2" s="2" t="inlineStr">
        <is>
          <t>As of:</t>
        </is>
      </c>
      <c r="B2" s="2">
        <f>TEXT(TODAY(),"yyyy-mm-dd")</f>
        <v/>
      </c>
      <c r="C2" s="2" t="inlineStr">
        <is>
          <t>(BBG add-in required for live values)</t>
        </is>
      </c>
    </row>
    <row r="4">
      <c r="A4" s="3" t="inlineStr">
        <is>
          <t>Security</t>
        </is>
      </c>
      <c r="B4" s="3" t="inlineStr">
        <is>
          <t>BBG Ticker</t>
        </is>
      </c>
      <c r="C4" s="3" t="inlineStr">
        <is>
          <t>Last</t>
        </is>
      </c>
      <c r="D4" s="3" t="inlineStr">
        <is>
          <t>1d</t>
        </is>
      </c>
      <c r="E4" s="3" t="inlineStr">
        <is>
          <t>5d</t>
        </is>
      </c>
      <c r="F4" s="3" t="inlineStr">
        <is>
          <t>MTD</t>
        </is>
      </c>
      <c r="G4" s="3" t="inlineStr">
        <is>
          <t>YTD</t>
        </is>
      </c>
      <c r="H4" s="3" t="inlineStr">
        <is>
          <t>1Y</t>
        </is>
      </c>
    </row>
    <row r="5">
      <c r="A5" s="4" t="inlineStr">
        <is>
          <t>Global &amp; DM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5" t="inlineStr">
        <is>
          <t>Global</t>
        </is>
      </c>
      <c r="B6" s="6" t="inlineStr">
        <is>
          <t>CESIGL Index</t>
        </is>
      </c>
      <c r="C6" s="7">
        <f>BDP("CESIGL Index","PX_LAST")</f>
        <v/>
      </c>
      <c r="D6" s="8">
        <f>BDP("CESIGL Index","CHG_PCT_1D")</f>
        <v/>
      </c>
      <c r="E6" s="8">
        <f>BDP("CESIGL Index","CHG_PCT_5D")</f>
        <v/>
      </c>
      <c r="F6" s="8">
        <f>BDP("CESIGL Index","CHG_PCT_MTD")</f>
        <v/>
      </c>
      <c r="G6" s="8">
        <f>BDP("CESIGL Index","CHG_PCT_YTD")</f>
        <v/>
      </c>
      <c r="H6" s="8">
        <f>BDP("CESIGL Index","CHG_PCT_1Y")</f>
        <v/>
      </c>
    </row>
    <row r="7">
      <c r="A7" s="5" t="inlineStr">
        <is>
          <t>G10</t>
        </is>
      </c>
      <c r="B7" s="6" t="inlineStr">
        <is>
          <t>CESIG10 Index</t>
        </is>
      </c>
      <c r="C7" s="7">
        <f>BDP("CESIG10 Index","PX_LAST")</f>
        <v/>
      </c>
      <c r="D7" s="8">
        <f>BDP("CESIG10 Index","CHG_PCT_1D")</f>
        <v/>
      </c>
      <c r="E7" s="8">
        <f>BDP("CESIG10 Index","CHG_PCT_5D")</f>
        <v/>
      </c>
      <c r="F7" s="8">
        <f>BDP("CESIG10 Index","CHG_PCT_MTD")</f>
        <v/>
      </c>
      <c r="G7" s="8">
        <f>BDP("CESIG10 Index","CHG_PCT_YTD")</f>
        <v/>
      </c>
      <c r="H7" s="8">
        <f>BDP("CESIG10 Index","CHG_PCT_1Y")</f>
        <v/>
      </c>
    </row>
    <row r="8">
      <c r="A8" s="5" t="inlineStr">
        <is>
          <t>US</t>
        </is>
      </c>
      <c r="B8" s="6" t="inlineStr">
        <is>
          <t>CESIUSD Index</t>
        </is>
      </c>
      <c r="C8" s="7">
        <f>BDP("CESIUSD Index","PX_LAST")</f>
        <v/>
      </c>
      <c r="D8" s="8">
        <f>BDP("CESIUSD Index","CHG_PCT_1D")</f>
        <v/>
      </c>
      <c r="E8" s="8">
        <f>BDP("CESIUSD Index","CHG_PCT_5D")</f>
        <v/>
      </c>
      <c r="F8" s="8">
        <f>BDP("CESIUSD Index","CHG_PCT_MTD")</f>
        <v/>
      </c>
      <c r="G8" s="8">
        <f>BDP("CESIUSD Index","CHG_PCT_YTD")</f>
        <v/>
      </c>
      <c r="H8" s="8">
        <f>BDP("CESIUSD Index","CHG_PCT_1Y")</f>
        <v/>
      </c>
    </row>
    <row r="9">
      <c r="A9" s="5" t="inlineStr">
        <is>
          <t>EUR</t>
        </is>
      </c>
      <c r="B9" s="6" t="inlineStr">
        <is>
          <t>CESIEUR Index</t>
        </is>
      </c>
      <c r="C9" s="7">
        <f>BDP("CESIEUR Index","PX_LAST")</f>
        <v/>
      </c>
      <c r="D9" s="8">
        <f>BDP("CESIEUR Index","CHG_PCT_1D")</f>
        <v/>
      </c>
      <c r="E9" s="8">
        <f>BDP("CESIEUR Index","CHG_PCT_5D")</f>
        <v/>
      </c>
      <c r="F9" s="8">
        <f>BDP("CESIEUR Index","CHG_PCT_MTD")</f>
        <v/>
      </c>
      <c r="G9" s="8">
        <f>BDP("CESIEUR Index","CHG_PCT_YTD")</f>
        <v/>
      </c>
      <c r="H9" s="8">
        <f>BDP("CESIEUR Index","CHG_PCT_1Y")</f>
        <v/>
      </c>
    </row>
    <row r="10">
      <c r="A10" s="5" t="inlineStr">
        <is>
          <t>UK</t>
        </is>
      </c>
      <c r="B10" s="6" t="inlineStr">
        <is>
          <t>CESIGBP Index</t>
        </is>
      </c>
      <c r="C10" s="7">
        <f>BDP("CESIGBP Index","PX_LAST")</f>
        <v/>
      </c>
      <c r="D10" s="8">
        <f>BDP("CESIGBP Index","CHG_PCT_1D")</f>
        <v/>
      </c>
      <c r="E10" s="8">
        <f>BDP("CESIGBP Index","CHG_PCT_5D")</f>
        <v/>
      </c>
      <c r="F10" s="8">
        <f>BDP("CESIGBP Index","CHG_PCT_MTD")</f>
        <v/>
      </c>
      <c r="G10" s="8">
        <f>BDP("CESIGBP Index","CHG_PCT_YTD")</f>
        <v/>
      </c>
      <c r="H10" s="8">
        <f>BDP("CESIGBP Index","CHG_PCT_1Y")</f>
        <v/>
      </c>
    </row>
    <row r="11">
      <c r="A11" s="5" t="inlineStr">
        <is>
          <t>Japan</t>
        </is>
      </c>
      <c r="B11" s="6" t="inlineStr">
        <is>
          <t>CESIJPY Index</t>
        </is>
      </c>
      <c r="C11" s="7">
        <f>BDP("CESIJPY Index","PX_LAST")</f>
        <v/>
      </c>
      <c r="D11" s="8">
        <f>BDP("CESIJPY Index","CHG_PCT_1D")</f>
        <v/>
      </c>
      <c r="E11" s="8">
        <f>BDP("CESIJPY Index","CHG_PCT_5D")</f>
        <v/>
      </c>
      <c r="F11" s="8">
        <f>BDP("CESIJPY Index","CHG_PCT_MTD")</f>
        <v/>
      </c>
      <c r="G11" s="8">
        <f>BDP("CESIJPY Index","CHG_PCT_YTD")</f>
        <v/>
      </c>
      <c r="H11" s="8">
        <f>BDP("CESIJPY Index","CHG_PCT_1Y")</f>
        <v/>
      </c>
    </row>
    <row r="12">
      <c r="A12" s="4" t="inlineStr">
        <is>
          <t>Emerging Markets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5" t="inlineStr">
        <is>
          <t>EM</t>
        </is>
      </c>
      <c r="B13" s="6" t="inlineStr">
        <is>
          <t>CESIEM Index</t>
        </is>
      </c>
      <c r="C13" s="7">
        <f>BDP("CESIEM Index","PX_LAST")</f>
        <v/>
      </c>
      <c r="D13" s="8">
        <f>BDP("CESIEM Index","CHG_PCT_1D")</f>
        <v/>
      </c>
      <c r="E13" s="8">
        <f>BDP("CESIEM Index","CHG_PCT_5D")</f>
        <v/>
      </c>
      <c r="F13" s="8">
        <f>BDP("CESIEM Index","CHG_PCT_MTD")</f>
        <v/>
      </c>
      <c r="G13" s="8">
        <f>BDP("CESIEM Index","CHG_PCT_YTD")</f>
        <v/>
      </c>
      <c r="H13" s="8">
        <f>BDP("CESIEM Index","CHG_PCT_1Y")</f>
        <v/>
      </c>
    </row>
    <row r="14">
      <c r="A14" s="5" t="inlineStr">
        <is>
          <t>LatAm</t>
        </is>
      </c>
      <c r="B14" s="6" t="inlineStr">
        <is>
          <t>CESILTAM Index</t>
        </is>
      </c>
      <c r="C14" s="7">
        <f>BDP("CESILTAM Index","PX_LAST")</f>
        <v/>
      </c>
      <c r="D14" s="8">
        <f>BDP("CESILTAM Index","CHG_PCT_1D")</f>
        <v/>
      </c>
      <c r="E14" s="8">
        <f>BDP("CESILTAM Index","CHG_PCT_5D")</f>
        <v/>
      </c>
      <c r="F14" s="8">
        <f>BDP("CESILTAM Index","CHG_PCT_MTD")</f>
        <v/>
      </c>
      <c r="G14" s="8">
        <f>BDP("CESILTAM Index","CHG_PCT_YTD")</f>
        <v/>
      </c>
      <c r="H14" s="8">
        <f>BDP("CESILTAM Index","CHG_PCT_1Y")</f>
        <v/>
      </c>
    </row>
    <row r="15">
      <c r="A15" s="5" t="inlineStr">
        <is>
          <t>EMEA</t>
        </is>
      </c>
      <c r="B15" s="6" t="inlineStr">
        <is>
          <t>CESIEMEA Index</t>
        </is>
      </c>
      <c r="C15" s="7">
        <f>BDP("CESIEMEA Index","PX_LAST")</f>
        <v/>
      </c>
      <c r="D15" s="8">
        <f>BDP("CESIEMEA Index","CHG_PCT_1D")</f>
        <v/>
      </c>
      <c r="E15" s="8">
        <f>BDP("CESIEMEA Index","CHG_PCT_5D")</f>
        <v/>
      </c>
      <c r="F15" s="8">
        <f>BDP("CESIEMEA Index","CHG_PCT_MTD")</f>
        <v/>
      </c>
      <c r="G15" s="8">
        <f>BDP("CESIEMEA Index","CHG_PCT_YTD")</f>
        <v/>
      </c>
      <c r="H15" s="8">
        <f>BDP("CESIEMEA Index","CHG_PCT_1Y")</f>
        <v/>
      </c>
    </row>
    <row r="16">
      <c r="A16" s="5" t="inlineStr">
        <is>
          <t>Asia ex-J</t>
        </is>
      </c>
      <c r="B16" s="6" t="inlineStr">
        <is>
          <t>CESIAPACXJ Index</t>
        </is>
      </c>
      <c r="C16" s="7">
        <f>BDP("CESIAPACXJ Index","PX_LAST")</f>
        <v/>
      </c>
      <c r="D16" s="8">
        <f>BDP("CESIAPACXJ Index","CHG_PCT_1D")</f>
        <v/>
      </c>
      <c r="E16" s="8">
        <f>BDP("CESIAPACXJ Index","CHG_PCT_5D")</f>
        <v/>
      </c>
      <c r="F16" s="8">
        <f>BDP("CESIAPACXJ Index","CHG_PCT_MTD")</f>
        <v/>
      </c>
      <c r="G16" s="8">
        <f>BDP("CESIAPACXJ Index","CHG_PCT_YTD")</f>
        <v/>
      </c>
      <c r="H16" s="8">
        <f>BDP("CESIAPACXJ Index","CHG_PCT_1Y")</f>
        <v/>
      </c>
    </row>
    <row r="17">
      <c r="A17" s="5" t="inlineStr">
        <is>
          <t>China</t>
        </is>
      </c>
      <c r="B17" s="6" t="inlineStr">
        <is>
          <t>CESICNY Index</t>
        </is>
      </c>
      <c r="C17" s="7">
        <f>BDP("CESICNY Index","PX_LAST")</f>
        <v/>
      </c>
      <c r="D17" s="8">
        <f>BDP("CESICNY Index","CHG_PCT_1D")</f>
        <v/>
      </c>
      <c r="E17" s="8">
        <f>BDP("CESICNY Index","CHG_PCT_5D")</f>
        <v/>
      </c>
      <c r="F17" s="8">
        <f>BDP("CESICNY Index","CHG_PCT_MTD")</f>
        <v/>
      </c>
      <c r="G17" s="8">
        <f>BDP("CESICNY Index","CHG_PCT_YTD")</f>
        <v/>
      </c>
      <c r="H17" s="8">
        <f>BDP("CESICNY Index","CHG_PCT_1Y")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2026-05-14T21:24:05Z</dcterms:created>
  <dcterms:modified xmlns:dcterms="http://purl.org/dc/terms/" xmlns:xsi="http://www.w3.org/2001/XMLSchema-instance" xsi:type="dcterms:W3CDTF">2026-05-14T21:24:05Z</dcterms:modified>
</cp:coreProperties>
</file>